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12.xml.rels" ContentType="application/vnd.openxmlformats-package.relationships+xml"/>
  <Override PartName="/xl/worksheets/_rels/sheet6.xml.rels" ContentType="application/vnd.openxmlformats-package.relationships+xml"/>
  <Override PartName="/xl/worksheets/_rels/sheet8.xml.rels" ContentType="application/vnd.openxmlformats-package.relationships+xml"/>
  <Override PartName="/xl/worksheets/_rels/sheet9.xml.rels" ContentType="application/vnd.openxmlformats-package.relationships+xml"/>
  <Override PartName="/xl/worksheets/_rels/sheet15.xml.rels" ContentType="application/vnd.openxmlformats-package.relationships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trength" sheetId="1" state="visible" r:id="rId3"/>
    <sheet name="Report" sheetId="2" state="visible" r:id="rId4"/>
    <sheet name="Index Report" sheetId="3" state="visible" r:id="rId5"/>
    <sheet name="NIFTY fno" sheetId="4" state="visible" r:id="rId6"/>
    <sheet name="Thematic" sheetId="5" state="hidden" r:id="rId7"/>
    <sheet name="Broad" sheetId="6" state="hidden" r:id="rId8"/>
    <sheet name="Sector" sheetId="7" state="visible" r:id="rId9"/>
    <sheet name="Breadth" sheetId="8" state="visible" r:id="rId10"/>
    <sheet name="Sectoral" sheetId="9" state="visible" r:id="rId11"/>
    <sheet name="Data" sheetId="10" state="visible" r:id="rId12"/>
    <sheet name="Data 2" sheetId="11" state="visible" r:id="rId13"/>
    <sheet name="NIFTY500" sheetId="12" state="visible" r:id="rId14"/>
    <sheet name="Data 3" sheetId="13" state="visible" r:id="rId15"/>
    <sheet name="Indexdata" sheetId="14" state="visible" r:id="rId16"/>
    <sheet name="Sector_div" sheetId="15" state="hidden" r:id="rId17"/>
    <sheet name="Data500" sheetId="16" state="visible" r:id="rId18"/>
  </sheets>
  <definedNames>
    <definedName function="false" hidden="true" localSheetId="5" name="_xlnm._FilterDatabase" vbProcedure="false">Broad!$A$2:$Z$1000</definedName>
    <definedName function="false" hidden="true" localSheetId="2" name="_xlnm._FilterDatabase" vbProcedure="false">'Index Report'!$A$1:$P$30</definedName>
    <definedName function="false" hidden="true" localSheetId="3" name="_xlnm._FilterDatabase" vbProcedure="false">'NIFTY fno'!$L$1:$Q$486</definedName>
    <definedName function="false" hidden="true" localSheetId="11" name="_xlnm._FilterDatabase" vbProcedure="false">NIFTY500!$N$1:$N$501</definedName>
    <definedName function="false" hidden="true" localSheetId="1" name="_xlnm._FilterDatabase" vbProcedure="false">Report!$A$1:$S$259</definedName>
    <definedName function="false" hidden="true" localSheetId="14" name="_xlnm._FilterDatabase" vbProcedure="false">Sector_div!$A$1:$E$209</definedName>
    <definedName function="false" hidden="true" localSheetId="3" name="Z_42E8BCC4_0DD0_4C11_BE84_DEB7A9E640BE_.wvu.FilterData" vbProcedure="false">'NIFTY fno'!$L$1:$N$489</definedName>
    <definedName function="false" hidden="true" localSheetId="3" name="Z_67EDDE47_063B_45D0_9757_09EEAF394573_.wvu.FilterData" vbProcedure="false">'NIFTY fno'!$L$1:$N$489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<sst xmlns="http://schemas.openxmlformats.org/spreadsheetml/2006/main" count="7701" uniqueCount="2419">
  <si>
    <t xml:space="preserve">Date</t>
  </si>
  <si>
    <t xml:space="preserve">PRICE ABOVE ST</t>
  </si>
  <si>
    <t xml:space="preserve">PRICE BELOW ST</t>
  </si>
  <si>
    <t xml:space="preserve">ST BUY</t>
  </si>
  <si>
    <t xml:space="preserve">ST SELL</t>
  </si>
  <si>
    <t xml:space="preserve">CCI ABOVE 100</t>
  </si>
  <si>
    <t xml:space="preserve">CCI BELOW -100</t>
  </si>
  <si>
    <t xml:space="preserve">SCORE</t>
  </si>
  <si>
    <t xml:space="preserve">Strength</t>
  </si>
  <si>
    <t xml:space="preserve">Change in Strength</t>
  </si>
  <si>
    <t xml:space="preserve">NIFTY</t>
  </si>
  <si>
    <t xml:space="preserve">Change</t>
  </si>
  <si>
    <t xml:space="preserve">Vol. Times</t>
  </si>
  <si>
    <t xml:space="preserve">%Gap52WL</t>
  </si>
  <si>
    <t xml:space="preserve">RSI</t>
  </si>
  <si>
    <t xml:space="preserve">Sector</t>
  </si>
  <si>
    <t xml:space="preserve">Tradingview Code</t>
  </si>
  <si>
    <t xml:space="preserve">Rank</t>
  </si>
  <si>
    <t xml:space="preserve">80% Candle</t>
  </si>
  <si>
    <t xml:space="preserve">Score</t>
  </si>
  <si>
    <t xml:space="preserve">MR Signal</t>
  </si>
  <si>
    <t xml:space="preserve">Nifty FNO:  Strong and Weak Stocks</t>
  </si>
  <si>
    <t xml:space="preserve">Short</t>
  </si>
  <si>
    <t xml:space="preserve">Rank 1</t>
  </si>
  <si>
    <t xml:space="preserve">Symbol</t>
  </si>
  <si>
    <t xml:space="preserve">Long</t>
  </si>
  <si>
    <t xml:space="preserve">Rank 2</t>
  </si>
  <si>
    <t xml:space="preserve">MCX</t>
  </si>
  <si>
    <t xml:space="preserve">Trading View Symbols</t>
  </si>
  <si>
    <t xml:space="preserve">Strong</t>
  </si>
  <si>
    <t xml:space="preserve">S.No.</t>
  </si>
  <si>
    <t xml:space="preserve">CMP</t>
  </si>
  <si>
    <t xml:space="preserve">Short Term Breadth</t>
  </si>
  <si>
    <t xml:space="preserve">ST 10.2</t>
  </si>
  <si>
    <t xml:space="preserve">Weak</t>
  </si>
  <si>
    <t xml:space="preserve">SUNTV</t>
  </si>
  <si>
    <t xml:space="preserve">DIXON</t>
  </si>
  <si>
    <t xml:space="preserve">PVRINOX</t>
  </si>
  <si>
    <t xml:space="preserve">TRENT</t>
  </si>
  <si>
    <t xml:space="preserve">NATIONALUM</t>
  </si>
  <si>
    <t xml:space="preserve">AXISBANK</t>
  </si>
  <si>
    <t xml:space="preserve">HINDCOPPER</t>
  </si>
  <si>
    <t xml:space="preserve">ICICIBANK</t>
  </si>
  <si>
    <t xml:space="preserve">PEL</t>
  </si>
  <si>
    <t xml:space="preserve">ABFRL</t>
  </si>
  <si>
    <t xml:space="preserve">JSWSTEEL</t>
  </si>
  <si>
    <t xml:space="preserve">NAUKRI</t>
  </si>
  <si>
    <t xml:space="preserve">INDUSINDBK</t>
  </si>
  <si>
    <t xml:space="preserve">WIPRO</t>
  </si>
  <si>
    <t xml:space="preserve">UNITDSPR</t>
  </si>
  <si>
    <t xml:space="preserve">UBL</t>
  </si>
  <si>
    <t xml:space="preserve">SYNGENE</t>
  </si>
  <si>
    <t xml:space="preserve">Long Term Breadth</t>
  </si>
  <si>
    <t xml:space="preserve">OBEROIRLTY</t>
  </si>
  <si>
    <t xml:space="preserve">OFSS</t>
  </si>
  <si>
    <t xml:space="preserve">ESCORTS</t>
  </si>
  <si>
    <t xml:space="preserve">VOLTAS</t>
  </si>
  <si>
    <t xml:space="preserve">JKCEMENT</t>
  </si>
  <si>
    <t xml:space="preserve">KOTAKBANK</t>
  </si>
  <si>
    <t xml:space="preserve">HDFCBANK</t>
  </si>
  <si>
    <t xml:space="preserve">DLF</t>
  </si>
  <si>
    <t xml:space="preserve">TATASTEEL</t>
  </si>
  <si>
    <t xml:space="preserve">RAMCOCEM</t>
  </si>
  <si>
    <t xml:space="preserve">MARICO</t>
  </si>
  <si>
    <t xml:space="preserve">NMDC</t>
  </si>
  <si>
    <t xml:space="preserve">ABB</t>
  </si>
  <si>
    <t xml:space="preserve">ACC</t>
  </si>
  <si>
    <t xml:space="preserve">BANDHANBNK</t>
  </si>
  <si>
    <t xml:space="preserve">MOTHERSON</t>
  </si>
  <si>
    <t xml:space="preserve">ABCAPITAL</t>
  </si>
  <si>
    <t xml:space="preserve">SHRIRAMFIN</t>
  </si>
  <si>
    <t xml:space="preserve">TATACOMM</t>
  </si>
  <si>
    <t xml:space="preserve">HINDALCO</t>
  </si>
  <si>
    <t xml:space="preserve">EICHERMOT</t>
  </si>
  <si>
    <t xml:space="preserve">NTPC</t>
  </si>
  <si>
    <t xml:space="preserve">HCLTECH</t>
  </si>
  <si>
    <t xml:space="preserve">IEX</t>
  </si>
  <si>
    <t xml:space="preserve">BERGEPAINT</t>
  </si>
  <si>
    <t xml:space="preserve">TVSMOTOR</t>
  </si>
  <si>
    <t xml:space="preserve">PIDILITIND</t>
  </si>
  <si>
    <t xml:space="preserve">POWERGRID</t>
  </si>
  <si>
    <t xml:space="preserve">GRASIM</t>
  </si>
  <si>
    <t xml:space="preserve">SUNPHARMA</t>
  </si>
  <si>
    <t xml:space="preserve">MRF</t>
  </si>
  <si>
    <t xml:space="preserve">CIPLA</t>
  </si>
  <si>
    <t xml:space="preserve">COFORGE</t>
  </si>
  <si>
    <t xml:space="preserve">APOLLOTYRE</t>
  </si>
  <si>
    <t xml:space="preserve">LTIM</t>
  </si>
  <si>
    <t xml:space="preserve">SAIL</t>
  </si>
  <si>
    <t xml:space="preserve">TECHM</t>
  </si>
  <si>
    <t xml:space="preserve">DIVISLAB</t>
  </si>
  <si>
    <t xml:space="preserve">BIOCON</t>
  </si>
  <si>
    <t xml:space="preserve">TATAPOWER</t>
  </si>
  <si>
    <t xml:space="preserve">LT</t>
  </si>
  <si>
    <t xml:space="preserve">M&amp;M</t>
  </si>
  <si>
    <t xml:space="preserve">GLENMARK</t>
  </si>
  <si>
    <t xml:space="preserve">CUMMINSIND</t>
  </si>
  <si>
    <t xml:space="preserve">MANAPPURAM</t>
  </si>
  <si>
    <t xml:space="preserve">EXIDEIND</t>
  </si>
  <si>
    <t xml:space="preserve">TATACONSUM</t>
  </si>
  <si>
    <t xml:space="preserve">ADANIENT</t>
  </si>
  <si>
    <t xml:space="preserve">SIEMENS</t>
  </si>
  <si>
    <t xml:space="preserve">CUB</t>
  </si>
  <si>
    <t xml:space="preserve">CHAMBLFERT</t>
  </si>
  <si>
    <t xml:space="preserve">CANBK</t>
  </si>
  <si>
    <t xml:space="preserve">METROPOLIS</t>
  </si>
  <si>
    <t xml:space="preserve">IDFCFIRSTB</t>
  </si>
  <si>
    <t xml:space="preserve">BHEL</t>
  </si>
  <si>
    <t xml:space="preserve">HDFCAMC</t>
  </si>
  <si>
    <t xml:space="preserve">ZYDUSLIFE</t>
  </si>
  <si>
    <t xml:space="preserve">VEDL</t>
  </si>
  <si>
    <t xml:space="preserve">BANKBARODA</t>
  </si>
  <si>
    <t xml:space="preserve">RBLBANK</t>
  </si>
  <si>
    <t xml:space="preserve">PNB</t>
  </si>
  <si>
    <t xml:space="preserve">DELTACORP</t>
  </si>
  <si>
    <t xml:space="preserve">TORNTPHARM</t>
  </si>
  <si>
    <t xml:space="preserve">M&amp;MFIN</t>
  </si>
  <si>
    <t xml:space="preserve">MUTHOOTFIN</t>
  </si>
  <si>
    <t xml:space="preserve">LTF</t>
  </si>
  <si>
    <t xml:space="preserve">ASIANPAINT</t>
  </si>
  <si>
    <t xml:space="preserve">IPCALAB</t>
  </si>
  <si>
    <t xml:space="preserve">COLPAL</t>
  </si>
  <si>
    <t xml:space="preserve">MPHASIS</t>
  </si>
  <si>
    <t xml:space="preserve">BHARTIARTL</t>
  </si>
  <si>
    <t xml:space="preserve">PAGEIND</t>
  </si>
  <si>
    <t xml:space="preserve">AUROPHARMA</t>
  </si>
  <si>
    <t xml:space="preserve">DABUR</t>
  </si>
  <si>
    <t xml:space="preserve">ULTRACEMCO</t>
  </si>
  <si>
    <t xml:space="preserve">HAVELLS</t>
  </si>
  <si>
    <t xml:space="preserve">APOLLOHOSP</t>
  </si>
  <si>
    <t xml:space="preserve">CHOLAFIN</t>
  </si>
  <si>
    <t xml:space="preserve">BAJAJ-AUTO</t>
  </si>
  <si>
    <t xml:space="preserve">INFY</t>
  </si>
  <si>
    <t xml:space="preserve">LTTS</t>
  </si>
  <si>
    <t xml:space="preserve">BHARATFORG</t>
  </si>
  <si>
    <t xml:space="preserve">TCS</t>
  </si>
  <si>
    <t xml:space="preserve">BAJAJFINSV</t>
  </si>
  <si>
    <t xml:space="preserve">ALKEM</t>
  </si>
  <si>
    <t xml:space="preserve">LAURUSLABS</t>
  </si>
  <si>
    <t xml:space="preserve">HEROMOTOCO</t>
  </si>
  <si>
    <t xml:space="preserve">BAJFINANCE</t>
  </si>
  <si>
    <t xml:space="preserve">BOSCHLTD</t>
  </si>
  <si>
    <t xml:space="preserve">TITAN</t>
  </si>
  <si>
    <t xml:space="preserve">AMBUJACEM</t>
  </si>
  <si>
    <t xml:space="preserve">INDIGO</t>
  </si>
  <si>
    <t xml:space="preserve">JUBLFOOD</t>
  </si>
  <si>
    <t xml:space="preserve">LUPIN</t>
  </si>
  <si>
    <t xml:space="preserve">NESTLEIND</t>
  </si>
  <si>
    <t xml:space="preserve">PIIND</t>
  </si>
  <si>
    <t xml:space="preserve">PERSISTENT</t>
  </si>
  <si>
    <t xml:space="preserve">INDHOTEL</t>
  </si>
  <si>
    <t xml:space="preserve">IGL</t>
  </si>
  <si>
    <t xml:space="preserve">CONCOR</t>
  </si>
  <si>
    <t xml:space="preserve">BRITANNIA</t>
  </si>
  <si>
    <t xml:space="preserve">BALKRISIND</t>
  </si>
  <si>
    <t xml:space="preserve">FEDERALBNK</t>
  </si>
  <si>
    <t xml:space="preserve">INDIAMART</t>
  </si>
  <si>
    <t xml:space="preserve">IRCTC</t>
  </si>
  <si>
    <t xml:space="preserve">MARUTI</t>
  </si>
  <si>
    <t xml:space="preserve">SBIN</t>
  </si>
  <si>
    <t xml:space="preserve">BEL</t>
  </si>
  <si>
    <t xml:space="preserve">COALINDIA</t>
  </si>
  <si>
    <t xml:space="preserve">RELIANCE</t>
  </si>
  <si>
    <t xml:space="preserve">SBICARD</t>
  </si>
  <si>
    <t xml:space="preserve">LICHSGFIN</t>
  </si>
  <si>
    <t xml:space="preserve">GODREJPROP</t>
  </si>
  <si>
    <t xml:space="preserve">ONGC</t>
  </si>
  <si>
    <t xml:space="preserve">MGL</t>
  </si>
  <si>
    <t xml:space="preserve">BSOFT</t>
  </si>
  <si>
    <t xml:space="preserve">TATACHEM</t>
  </si>
  <si>
    <t xml:space="preserve">TATAMOTORS</t>
  </si>
  <si>
    <t xml:space="preserve">SHREECEM</t>
  </si>
  <si>
    <t xml:space="preserve">AARTIIND</t>
  </si>
  <si>
    <t xml:space="preserve">POLYCAB</t>
  </si>
  <si>
    <t xml:space="preserve">AUBANK</t>
  </si>
  <si>
    <t xml:space="preserve">ASHOKLEY</t>
  </si>
  <si>
    <t xml:space="preserve">ADANIPORTS</t>
  </si>
  <si>
    <t xml:space="preserve">DRREDDY</t>
  </si>
  <si>
    <t xml:space="preserve">ITC</t>
  </si>
  <si>
    <t xml:space="preserve">ZEEL</t>
  </si>
  <si>
    <t xml:space="preserve">GAIL</t>
  </si>
  <si>
    <t xml:space="preserve">UPL</t>
  </si>
  <si>
    <t xml:space="preserve">IOC</t>
  </si>
  <si>
    <t xml:space="preserve">MFSL</t>
  </si>
  <si>
    <t xml:space="preserve">HDFCLIFE</t>
  </si>
  <si>
    <t xml:space="preserve">GNFC</t>
  </si>
  <si>
    <t xml:space="preserve">ICICIPRULI</t>
  </si>
  <si>
    <t xml:space="preserve">HINDUNILVR</t>
  </si>
  <si>
    <t xml:space="preserve">DEEPAKNTR</t>
  </si>
  <si>
    <t xml:space="preserve">PETRONET</t>
  </si>
  <si>
    <t xml:space="preserve">INDUSTOWER</t>
  </si>
  <si>
    <t xml:space="preserve">NAVINFLUOR</t>
  </si>
  <si>
    <t xml:space="preserve">HAL</t>
  </si>
  <si>
    <t xml:space="preserve">HINDPETRO</t>
  </si>
  <si>
    <t xml:space="preserve">GRANULES</t>
  </si>
  <si>
    <t xml:space="preserve">ASTRAL</t>
  </si>
  <si>
    <t xml:space="preserve">RECLTD</t>
  </si>
  <si>
    <t xml:space="preserve">GODREJCP</t>
  </si>
  <si>
    <t xml:space="preserve">BPCL</t>
  </si>
  <si>
    <t xml:space="preserve">ICICIGI</t>
  </si>
  <si>
    <t xml:space="preserve">DALBHARAT</t>
  </si>
  <si>
    <t xml:space="preserve">PFC</t>
  </si>
  <si>
    <t xml:space="preserve">GUJGASLTD</t>
  </si>
  <si>
    <t xml:space="preserve">SRF</t>
  </si>
  <si>
    <t xml:space="preserve">SBILIFE</t>
  </si>
  <si>
    <t xml:space="preserve">CROMPTON</t>
  </si>
  <si>
    <t xml:space="preserve">LALPATHLAB</t>
  </si>
  <si>
    <t xml:space="preserve">LICI</t>
  </si>
  <si>
    <t xml:space="preserve">CAMS</t>
  </si>
  <si>
    <t xml:space="preserve">KEI</t>
  </si>
  <si>
    <t xml:space="preserve">ATGL</t>
  </si>
  <si>
    <t xml:space="preserve">POLICYBZR</t>
  </si>
  <si>
    <t xml:space="preserve">HUDCO</t>
  </si>
  <si>
    <t xml:space="preserve">UNIONBANK</t>
  </si>
  <si>
    <t xml:space="preserve">CDSL</t>
  </si>
  <si>
    <t xml:space="preserve">PAYTM</t>
  </si>
  <si>
    <t xml:space="preserve">KALYANKJIL</t>
  </si>
  <si>
    <t xml:space="preserve">JIOFIN</t>
  </si>
  <si>
    <t xml:space="preserve">HFCL</t>
  </si>
  <si>
    <t xml:space="preserve">VBL</t>
  </si>
  <si>
    <t xml:space="preserve">SJVN</t>
  </si>
  <si>
    <t xml:space="preserve">IRB</t>
  </si>
  <si>
    <t xml:space="preserve">LODHA</t>
  </si>
  <si>
    <t xml:space="preserve">NCC</t>
  </si>
  <si>
    <t xml:space="preserve">CGPOWER</t>
  </si>
  <si>
    <t xml:space="preserve">INDIANB</t>
  </si>
  <si>
    <t xml:space="preserve">SUPREMEIND</t>
  </si>
  <si>
    <t xml:space="preserve">BANKINDIA</t>
  </si>
  <si>
    <t xml:space="preserve">PRESTIGE</t>
  </si>
  <si>
    <t xml:space="preserve">ANGELONE</t>
  </si>
  <si>
    <t xml:space="preserve">IRFC</t>
  </si>
  <si>
    <t xml:space="preserve">NHPC</t>
  </si>
  <si>
    <t xml:space="preserve">BSE</t>
  </si>
  <si>
    <t xml:space="preserve">CYIENT</t>
  </si>
  <si>
    <t xml:space="preserve">YESBANK</t>
  </si>
  <si>
    <t xml:space="preserve">APLAPOLLO</t>
  </si>
  <si>
    <t xml:space="preserve">OIL</t>
  </si>
  <si>
    <t xml:space="preserve">KPITTECH</t>
  </si>
  <si>
    <t xml:space="preserve">ADANIENSOL</t>
  </si>
  <si>
    <t xml:space="preserve">JSL</t>
  </si>
  <si>
    <t xml:space="preserve">TATAELXSI</t>
  </si>
  <si>
    <t xml:space="preserve">TIINDIA</t>
  </si>
  <si>
    <t xml:space="preserve">ADANIGREEN</t>
  </si>
  <si>
    <t xml:space="preserve">NYKAA</t>
  </si>
  <si>
    <t xml:space="preserve">CESC</t>
  </si>
  <si>
    <t xml:space="preserve">POONAWALLA</t>
  </si>
  <si>
    <t xml:space="preserve">DMART</t>
  </si>
  <si>
    <t xml:space="preserve">DELHIVERY</t>
  </si>
  <si>
    <t xml:space="preserve">JSWENERGY</t>
  </si>
  <si>
    <t xml:space="preserve">MAXHEALTH</t>
  </si>
  <si>
    <t xml:space="preserve">SONACOMS</t>
  </si>
  <si>
    <t xml:space="preserve">Commodity</t>
  </si>
  <si>
    <t xml:space="preserve">CPSE</t>
  </si>
  <si>
    <t xml:space="preserve">Consumption</t>
  </si>
  <si>
    <t xml:space="preserve">Infra</t>
  </si>
  <si>
    <t xml:space="preserve">Service Sector</t>
  </si>
  <si>
    <t xml:space="preserve">Ticker</t>
  </si>
  <si>
    <t xml:space="preserve">Short Term</t>
  </si>
  <si>
    <t xml:space="preserve">Long Term</t>
  </si>
  <si>
    <t xml:space="preserve">ADANIPOWER</t>
  </si>
  <si>
    <t xml:space="preserve">COCHINSHIP</t>
  </si>
  <si>
    <t xml:space="preserve">NBCC</t>
  </si>
  <si>
    <t xml:space="preserve">NLCINDIA</t>
  </si>
  <si>
    <t xml:space="preserve">JINDALSTEL</t>
  </si>
  <si>
    <t xml:space="preserve">TORNTPOWER</t>
  </si>
  <si>
    <t xml:space="preserve">Nifty 50</t>
  </si>
  <si>
    <t xml:space="preserve">NIfty 500</t>
  </si>
  <si>
    <t xml:space="preserve">Midcap 50</t>
  </si>
  <si>
    <t xml:space="preserve">Midcap 150</t>
  </si>
  <si>
    <t xml:space="preserve">Smallcap 50</t>
  </si>
  <si>
    <t xml:space="preserve">Smallcap 250</t>
  </si>
  <si>
    <t xml:space="preserve">LargeMidcap 250</t>
  </si>
  <si>
    <t xml:space="preserve">MidSmallcap 400</t>
  </si>
  <si>
    <t xml:space="preserve">360ONE</t>
  </si>
  <si>
    <t xml:space="preserve">3MINDIA</t>
  </si>
  <si>
    <t xml:space="preserve">AADHARHFC</t>
  </si>
  <si>
    <t xml:space="preserve">AIAENG</t>
  </si>
  <si>
    <t xml:space="preserve">ABREL</t>
  </si>
  <si>
    <t xml:space="preserve">ARE&amp;M</t>
  </si>
  <si>
    <t xml:space="preserve">AAVAS</t>
  </si>
  <si>
    <t xml:space="preserve">ACE</t>
  </si>
  <si>
    <t xml:space="preserve">ABBOTINDIA</t>
  </si>
  <si>
    <t xml:space="preserve">APARINDS</t>
  </si>
  <si>
    <t xml:space="preserve">AWL</t>
  </si>
  <si>
    <t xml:space="preserve">ATUL</t>
  </si>
  <si>
    <t xml:space="preserve">ABSLAMC</t>
  </si>
  <si>
    <t xml:space="preserve">AEGISLOG</t>
  </si>
  <si>
    <t xml:space="preserve">BLUESTARCO</t>
  </si>
  <si>
    <t xml:space="preserve">AFFLE</t>
  </si>
  <si>
    <t xml:space="preserve">AJANTPHARM</t>
  </si>
  <si>
    <t xml:space="preserve">BRIGADE</t>
  </si>
  <si>
    <t xml:space="preserve">AKUMS</t>
  </si>
  <si>
    <t xml:space="preserve">APLLTD</t>
  </si>
  <si>
    <t xml:space="preserve">CASTROLIND</t>
  </si>
  <si>
    <t xml:space="preserve">ALKYLAMINE</t>
  </si>
  <si>
    <t xml:space="preserve">ALOKINDS</t>
  </si>
  <si>
    <t xml:space="preserve">AMBER</t>
  </si>
  <si>
    <t xml:space="preserve">GMRAIRPORT</t>
  </si>
  <si>
    <t xml:space="preserve">ANANDRATHI</t>
  </si>
  <si>
    <t xml:space="preserve">FINCABLES</t>
  </si>
  <si>
    <t xml:space="preserve">ANANTRAJ</t>
  </si>
  <si>
    <t xml:space="preserve">GESHIP</t>
  </si>
  <si>
    <t xml:space="preserve">MAHABANK</t>
  </si>
  <si>
    <t xml:space="preserve">GSPL</t>
  </si>
  <si>
    <t xml:space="preserve">APTUS</t>
  </si>
  <si>
    <t xml:space="preserve">BAYERCROP</t>
  </si>
  <si>
    <t xml:space="preserve">ACI</t>
  </si>
  <si>
    <t xml:space="preserve">ASAHIINDIA</t>
  </si>
  <si>
    <t xml:space="preserve">BDL</t>
  </si>
  <si>
    <t xml:space="preserve">IIFL</t>
  </si>
  <si>
    <t xml:space="preserve">ASTERDM</t>
  </si>
  <si>
    <t xml:space="preserve">ASTRAZEN</t>
  </si>
  <si>
    <t xml:space="preserve">BHARTIHEXA</t>
  </si>
  <si>
    <t xml:space="preserve">KPIL</t>
  </si>
  <si>
    <t xml:space="preserve">AVANTIFEED</t>
  </si>
  <si>
    <t xml:space="preserve">KARURVYSYA</t>
  </si>
  <si>
    <t xml:space="preserve">BASF</t>
  </si>
  <si>
    <t xml:space="preserve">CRISIL</t>
  </si>
  <si>
    <t xml:space="preserve">BEML</t>
  </si>
  <si>
    <t xml:space="preserve">CARBORUNIV</t>
  </si>
  <si>
    <t xml:space="preserve">BLS</t>
  </si>
  <si>
    <t xml:space="preserve">BALAMINES</t>
  </si>
  <si>
    <t xml:space="preserve">BALRAMCHIN</t>
  </si>
  <si>
    <t xml:space="preserve">NATCOPHARM</t>
  </si>
  <si>
    <t xml:space="preserve">BATAINDIA</t>
  </si>
  <si>
    <t xml:space="preserve">BAJAJHLDNG</t>
  </si>
  <si>
    <t xml:space="preserve">BIKAJI</t>
  </si>
  <si>
    <t xml:space="preserve">COROMANDEL</t>
  </si>
  <si>
    <t xml:space="preserve">BIRLACORPN</t>
  </si>
  <si>
    <t xml:space="preserve">NH</t>
  </si>
  <si>
    <t xml:space="preserve">BLUEDART</t>
  </si>
  <si>
    <t xml:space="preserve">PHOENIXLTD</t>
  </si>
  <si>
    <t xml:space="preserve">PNBHOUSING</t>
  </si>
  <si>
    <t xml:space="preserve">BBTC</t>
  </si>
  <si>
    <t xml:space="preserve">EMAMILTD</t>
  </si>
  <si>
    <t xml:space="preserve">MAPMYINDIA</t>
  </si>
  <si>
    <t xml:space="preserve">ENDURANCE</t>
  </si>
  <si>
    <t xml:space="preserve">PPLPHARMA</t>
  </si>
  <si>
    <t xml:space="preserve">CCL</t>
  </si>
  <si>
    <t xml:space="preserve">SUNDARMFIN</t>
  </si>
  <si>
    <t xml:space="preserve">RADICO</t>
  </si>
  <si>
    <t xml:space="preserve">CIEINDIA</t>
  </si>
  <si>
    <t xml:space="preserve">RKFORGE</t>
  </si>
  <si>
    <t xml:space="preserve">CAMPUS</t>
  </si>
  <si>
    <t xml:space="preserve">SUZLON</t>
  </si>
  <si>
    <t xml:space="preserve">REDINGTON</t>
  </si>
  <si>
    <t xml:space="preserve">CANFINHOME</t>
  </si>
  <si>
    <t xml:space="preserve">FACT</t>
  </si>
  <si>
    <t xml:space="preserve">SONATSOFTW</t>
  </si>
  <si>
    <t xml:space="preserve">CAPLIPOINT</t>
  </si>
  <si>
    <t xml:space="preserve">FORTIS</t>
  </si>
  <si>
    <t xml:space="preserve">TEJASNET</t>
  </si>
  <si>
    <t xml:space="preserve">CGCL</t>
  </si>
  <si>
    <t xml:space="preserve">IDEA</t>
  </si>
  <si>
    <t xml:space="preserve">GICRE</t>
  </si>
  <si>
    <t xml:space="preserve">CEATLTD</t>
  </si>
  <si>
    <t xml:space="preserve">GLAND</t>
  </si>
  <si>
    <t xml:space="preserve">ZENSARTECH</t>
  </si>
  <si>
    <t xml:space="preserve">CELLO</t>
  </si>
  <si>
    <t xml:space="preserve">GLAXO</t>
  </si>
  <si>
    <t xml:space="preserve">CENTRALBK</t>
  </si>
  <si>
    <t xml:space="preserve">MEDANTA</t>
  </si>
  <si>
    <t xml:space="preserve">GODREJIND</t>
  </si>
  <si>
    <t xml:space="preserve">CENTURYPLY</t>
  </si>
  <si>
    <t xml:space="preserve">CERA</t>
  </si>
  <si>
    <t xml:space="preserve">GRINDWELL</t>
  </si>
  <si>
    <t xml:space="preserve">CHALET</t>
  </si>
  <si>
    <t xml:space="preserve">FLUOROCHEM</t>
  </si>
  <si>
    <t xml:space="preserve">CHEMPLASTS</t>
  </si>
  <si>
    <t xml:space="preserve">CHENNPETRO</t>
  </si>
  <si>
    <t xml:space="preserve">CHOLAHLDNG</t>
  </si>
  <si>
    <t xml:space="preserve">HINDZINC</t>
  </si>
  <si>
    <t xml:space="preserve">POWERINDIA</t>
  </si>
  <si>
    <t xml:space="preserve">CLEAN</t>
  </si>
  <si>
    <t xml:space="preserve">HONAUT</t>
  </si>
  <si>
    <t xml:space="preserve">CONCORDBIO</t>
  </si>
  <si>
    <t xml:space="preserve">IDBI</t>
  </si>
  <si>
    <t xml:space="preserve">CRAFTSMAN</t>
  </si>
  <si>
    <t xml:space="preserve">CREDITACC</t>
  </si>
  <si>
    <t xml:space="preserve">DOMS</t>
  </si>
  <si>
    <t xml:space="preserve">IOB</t>
  </si>
  <si>
    <t xml:space="preserve">DATAPATTNS</t>
  </si>
  <si>
    <t xml:space="preserve">IREDA</t>
  </si>
  <si>
    <t xml:space="preserve">DEEPAKFERT</t>
  </si>
  <si>
    <t xml:space="preserve">DEVYANI</t>
  </si>
  <si>
    <t xml:space="preserve">EIDPARRY</t>
  </si>
  <si>
    <t xml:space="preserve">EIHOTEL</t>
  </si>
  <si>
    <t xml:space="preserve">JSWINFRA</t>
  </si>
  <si>
    <t xml:space="preserve">EASEMYTRIP</t>
  </si>
  <si>
    <t xml:space="preserve">ELECON</t>
  </si>
  <si>
    <t xml:space="preserve">ELGIEQUIP</t>
  </si>
  <si>
    <t xml:space="preserve">KPRMILL</t>
  </si>
  <si>
    <t xml:space="preserve">EMCURE</t>
  </si>
  <si>
    <t xml:space="preserve">ENGINERSIN</t>
  </si>
  <si>
    <t xml:space="preserve">EQUITASBNK</t>
  </si>
  <si>
    <t xml:space="preserve">ERIS</t>
  </si>
  <si>
    <t xml:space="preserve">FINEORG</t>
  </si>
  <si>
    <t xml:space="preserve">FINPIPE</t>
  </si>
  <si>
    <t xml:space="preserve">LINDEINDIA</t>
  </si>
  <si>
    <t xml:space="preserve">FSL</t>
  </si>
  <si>
    <t xml:space="preserve">LLOYDSME</t>
  </si>
  <si>
    <t xml:space="preserve">FIVESTAR</t>
  </si>
  <si>
    <t xml:space="preserve">GRINFRA</t>
  </si>
  <si>
    <t xml:space="preserve">GVT&amp;D</t>
  </si>
  <si>
    <t xml:space="preserve">GRSE</t>
  </si>
  <si>
    <t xml:space="preserve">MRPL</t>
  </si>
  <si>
    <t xml:space="preserve">GILLETTE</t>
  </si>
  <si>
    <t xml:space="preserve">MANKIND</t>
  </si>
  <si>
    <t xml:space="preserve">GODIGIT</t>
  </si>
  <si>
    <t xml:space="preserve">GPIL</t>
  </si>
  <si>
    <t xml:space="preserve">GODFRYPHLP</t>
  </si>
  <si>
    <t xml:space="preserve">MAZDOCK</t>
  </si>
  <si>
    <t xml:space="preserve">GODREJAGRO</t>
  </si>
  <si>
    <t xml:space="preserve">METROBRAND</t>
  </si>
  <si>
    <t xml:space="preserve">MSUMI</t>
  </si>
  <si>
    <t xml:space="preserve">GRAPHITE</t>
  </si>
  <si>
    <t xml:space="preserve">GAEL</t>
  </si>
  <si>
    <t xml:space="preserve">GMDCLTD</t>
  </si>
  <si>
    <t xml:space="preserve">NAM-INDIA</t>
  </si>
  <si>
    <t xml:space="preserve">GPPL</t>
  </si>
  <si>
    <t xml:space="preserve">GSFC</t>
  </si>
  <si>
    <t xml:space="preserve">HEG</t>
  </si>
  <si>
    <t xml:space="preserve">HBLENGINE</t>
  </si>
  <si>
    <t xml:space="preserve">HAPPSTMNDS</t>
  </si>
  <si>
    <t xml:space="preserve">HSCL</t>
  </si>
  <si>
    <t xml:space="preserve">PATANJALI</t>
  </si>
  <si>
    <t xml:space="preserve">HOMEFIRST</t>
  </si>
  <si>
    <t xml:space="preserve">HONASA</t>
  </si>
  <si>
    <t xml:space="preserve">ISEC</t>
  </si>
  <si>
    <t xml:space="preserve">IFCI</t>
  </si>
  <si>
    <t xml:space="preserve">INOXINDIA</t>
  </si>
  <si>
    <t xml:space="preserve">PGHH</t>
  </si>
  <si>
    <t xml:space="preserve">IRCON</t>
  </si>
  <si>
    <t xml:space="preserve">RVNL</t>
  </si>
  <si>
    <t xml:space="preserve">ITI</t>
  </si>
  <si>
    <t xml:space="preserve">INDGN</t>
  </si>
  <si>
    <t xml:space="preserve">INDIACEM</t>
  </si>
  <si>
    <t xml:space="preserve">SKFINDIA</t>
  </si>
  <si>
    <t xml:space="preserve">SCHAEFFLER</t>
  </si>
  <si>
    <t xml:space="preserve">INOXWIND</t>
  </si>
  <si>
    <t xml:space="preserve">SOLARINDS</t>
  </si>
  <si>
    <t xml:space="preserve">INTELLECT</t>
  </si>
  <si>
    <t xml:space="preserve">JBCHEPHARM</t>
  </si>
  <si>
    <t xml:space="preserve">STARHEALTH</t>
  </si>
  <si>
    <t xml:space="preserve">JBMA</t>
  </si>
  <si>
    <t xml:space="preserve">JKLAKSHMI</t>
  </si>
  <si>
    <t xml:space="preserve">JKTYRE</t>
  </si>
  <si>
    <t xml:space="preserve">JMFINANCIL</t>
  </si>
  <si>
    <t xml:space="preserve">SUNDRMFAST</t>
  </si>
  <si>
    <t xml:space="preserve">JPPOWER</t>
  </si>
  <si>
    <t xml:space="preserve">J&amp;KBANK</t>
  </si>
  <si>
    <t xml:space="preserve">JINDALSAW</t>
  </si>
  <si>
    <t xml:space="preserve">JUBLINGREA</t>
  </si>
  <si>
    <t xml:space="preserve">JUBLPHARMA</t>
  </si>
  <si>
    <t xml:space="preserve">JWL</t>
  </si>
  <si>
    <t xml:space="preserve">JUSTDIAL</t>
  </si>
  <si>
    <t xml:space="preserve">TATAINVEST</t>
  </si>
  <si>
    <t xml:space="preserve">JYOTHYLAB</t>
  </si>
  <si>
    <t xml:space="preserve">TATATECH</t>
  </si>
  <si>
    <t xml:space="preserve">JYOTICNC</t>
  </si>
  <si>
    <t xml:space="preserve">NIACL</t>
  </si>
  <si>
    <t xml:space="preserve">KNRCON</t>
  </si>
  <si>
    <t xml:space="preserve">THERMAX</t>
  </si>
  <si>
    <t xml:space="preserve">KSB</t>
  </si>
  <si>
    <t xml:space="preserve">TIMKEN</t>
  </si>
  <si>
    <t xml:space="preserve">KAJARIACER</t>
  </si>
  <si>
    <t xml:space="preserve">KANSAINER</t>
  </si>
  <si>
    <t xml:space="preserve">UNOMINDA</t>
  </si>
  <si>
    <t xml:space="preserve">KAYNES</t>
  </si>
  <si>
    <t xml:space="preserve">KEC</t>
  </si>
  <si>
    <t xml:space="preserve">KFINTECH</t>
  </si>
  <si>
    <t xml:space="preserve">KIRLOSBROS</t>
  </si>
  <si>
    <t xml:space="preserve">KIRLOSENG</t>
  </si>
  <si>
    <t xml:space="preserve">ZFCVINDIA</t>
  </si>
  <si>
    <t xml:space="preserve">KIMS</t>
  </si>
  <si>
    <t xml:space="preserve">LATENTVIEW</t>
  </si>
  <si>
    <t xml:space="preserve">LEMONTREE</t>
  </si>
  <si>
    <t xml:space="preserve">MMTC</t>
  </si>
  <si>
    <t xml:space="preserve">MAHSEAMLES</t>
  </si>
  <si>
    <t xml:space="preserve">MAHLIFE</t>
  </si>
  <si>
    <t xml:space="preserve">MASTEK</t>
  </si>
  <si>
    <t xml:space="preserve">MINDACORP</t>
  </si>
  <si>
    <t xml:space="preserve">MOTILALOFS</t>
  </si>
  <si>
    <t xml:space="preserve">NSLNISP</t>
  </si>
  <si>
    <t xml:space="preserve">NETWEB</t>
  </si>
  <si>
    <t xml:space="preserve">NETWORK18</t>
  </si>
  <si>
    <t xml:space="preserve">NEWGEN</t>
  </si>
  <si>
    <t xml:space="preserve">NUVAMA</t>
  </si>
  <si>
    <t xml:space="preserve">NUVOCO</t>
  </si>
  <si>
    <t xml:space="preserve">OLECTRA</t>
  </si>
  <si>
    <t xml:space="preserve">PCBL</t>
  </si>
  <si>
    <t xml:space="preserve">PNCINFRA</t>
  </si>
  <si>
    <t xml:space="preserve">PTCIL</t>
  </si>
  <si>
    <t xml:space="preserve">PFIZER</t>
  </si>
  <si>
    <t xml:space="preserve">POLYMED</t>
  </si>
  <si>
    <t xml:space="preserve">PRAJIND</t>
  </si>
  <si>
    <t xml:space="preserve">QUESS</t>
  </si>
  <si>
    <t xml:space="preserve">RRKABEL</t>
  </si>
  <si>
    <t xml:space="preserve">RHIM</t>
  </si>
  <si>
    <t xml:space="preserve">RITES</t>
  </si>
  <si>
    <t xml:space="preserve">RAILTEL</t>
  </si>
  <si>
    <t xml:space="preserve">RAINBOW</t>
  </si>
  <si>
    <t xml:space="preserve">RAJESHEXPO</t>
  </si>
  <si>
    <t xml:space="preserve">RCF</t>
  </si>
  <si>
    <t xml:space="preserve">RATNAMANI</t>
  </si>
  <si>
    <t xml:space="preserve">RTNINDIA</t>
  </si>
  <si>
    <t xml:space="preserve">RAYMOND</t>
  </si>
  <si>
    <t xml:space="preserve">ROUTE</t>
  </si>
  <si>
    <t xml:space="preserve">SBFC</t>
  </si>
  <si>
    <t xml:space="preserve">SAMMAANCAP</t>
  </si>
  <si>
    <t xml:space="preserve">SANOFI</t>
  </si>
  <si>
    <t xml:space="preserve">SAPPHIRE</t>
  </si>
  <si>
    <t xml:space="preserve">SAREGAMA</t>
  </si>
  <si>
    <t xml:space="preserve">SCHNEIDER</t>
  </si>
  <si>
    <t xml:space="preserve">SCI</t>
  </si>
  <si>
    <t xml:space="preserve">RENUKA</t>
  </si>
  <si>
    <t xml:space="preserve">SHYAMMETL</t>
  </si>
  <si>
    <t xml:space="preserve">SIGNATURE</t>
  </si>
  <si>
    <t xml:space="preserve">SOBHA</t>
  </si>
  <si>
    <t xml:space="preserve">SWSOLAR</t>
  </si>
  <si>
    <t xml:space="preserve">SUMICHEM</t>
  </si>
  <si>
    <t xml:space="preserve">SPARC</t>
  </si>
  <si>
    <t xml:space="preserve">SUVENPHAR</t>
  </si>
  <si>
    <t xml:space="preserve">SWANENERGY</t>
  </si>
  <si>
    <t xml:space="preserve">SYRMA</t>
  </si>
  <si>
    <t xml:space="preserve">TBOTEK</t>
  </si>
  <si>
    <t xml:space="preserve">TVSSCS</t>
  </si>
  <si>
    <t xml:space="preserve">TANLA</t>
  </si>
  <si>
    <t xml:space="preserve">TTML</t>
  </si>
  <si>
    <t xml:space="preserve">TECHNOE</t>
  </si>
  <si>
    <t xml:space="preserve">TITAGARH</t>
  </si>
  <si>
    <t xml:space="preserve">TRIDENT</t>
  </si>
  <si>
    <t xml:space="preserve">TRIVENI</t>
  </si>
  <si>
    <t xml:space="preserve">TRITURBINE</t>
  </si>
  <si>
    <t xml:space="preserve">UCOBANK</t>
  </si>
  <si>
    <t xml:space="preserve">UTIAMC</t>
  </si>
  <si>
    <t xml:space="preserve">UJJIVANSFB</t>
  </si>
  <si>
    <t xml:space="preserve">USHAMART</t>
  </si>
  <si>
    <t xml:space="preserve">VGUARD</t>
  </si>
  <si>
    <t xml:space="preserve">VIPIND</t>
  </si>
  <si>
    <t xml:space="preserve">DBREALTY</t>
  </si>
  <si>
    <t xml:space="preserve">VTL</t>
  </si>
  <si>
    <t xml:space="preserve">VARROC</t>
  </si>
  <si>
    <t xml:space="preserve">MANYAVAR</t>
  </si>
  <si>
    <t xml:space="preserve">VIJAYA</t>
  </si>
  <si>
    <t xml:space="preserve">VINATIORGA</t>
  </si>
  <si>
    <t xml:space="preserve">WELCORP</t>
  </si>
  <si>
    <t xml:space="preserve">WELSPUNLIV</t>
  </si>
  <si>
    <t xml:space="preserve">WESTLIFE</t>
  </si>
  <si>
    <t xml:space="preserve">WHIRLPOOL</t>
  </si>
  <si>
    <t xml:space="preserve">ZOMATO</t>
  </si>
  <si>
    <t xml:space="preserve">ECLERX</t>
  </si>
  <si>
    <t xml:space="preserve">Auto</t>
  </si>
  <si>
    <t xml:space="preserve">Bank</t>
  </si>
  <si>
    <t xml:space="preserve">Consumer Durables</t>
  </si>
  <si>
    <t xml:space="preserve">NBFC</t>
  </si>
  <si>
    <t xml:space="preserve">FMCG</t>
  </si>
  <si>
    <t xml:space="preserve">IT</t>
  </si>
  <si>
    <t xml:space="preserve">INSURANCE</t>
  </si>
  <si>
    <t xml:space="preserve">Metal</t>
  </si>
  <si>
    <t xml:space="preserve">Oil &amp; Gas</t>
  </si>
  <si>
    <t xml:space="preserve">Pharma &amp; Healthcare</t>
  </si>
  <si>
    <t xml:space="preserve">Cement</t>
  </si>
  <si>
    <t xml:space="preserve">Private Bank</t>
  </si>
  <si>
    <t xml:space="preserve">PSU Bank</t>
  </si>
  <si>
    <t xml:space="preserve">Realty</t>
  </si>
  <si>
    <t xml:space="preserve">Chemicals</t>
  </si>
  <si>
    <t xml:space="preserve">MIDSMALLFinance</t>
  </si>
  <si>
    <t xml:space="preserve">PSE</t>
  </si>
  <si>
    <t xml:space="preserve">mnc</t>
  </si>
  <si>
    <t xml:space="preserve">energy</t>
  </si>
  <si>
    <t xml:space="preserve">Defence</t>
  </si>
  <si>
    <t xml:space="preserve">Railways</t>
  </si>
  <si>
    <t xml:space="preserve">Capital Markets</t>
  </si>
  <si>
    <t xml:space="preserve">midcp_Select</t>
  </si>
  <si>
    <t xml:space="preserve">STARCEMENT</t>
  </si>
  <si>
    <t xml:space="preserve">PARAS</t>
  </si>
  <si>
    <t xml:space="preserve">ORIENTCEM</t>
  </si>
  <si>
    <t xml:space="preserve">PSB</t>
  </si>
  <si>
    <t xml:space="preserve">TEXRAIL</t>
  </si>
  <si>
    <t xml:space="preserve">KCP</t>
  </si>
  <si>
    <t xml:space="preserve">PGEL</t>
  </si>
  <si>
    <t xml:space="preserve">ACL</t>
  </si>
  <si>
    <t xml:space="preserve">RPOWER</t>
  </si>
  <si>
    <t xml:space="preserve">HYUNDAI</t>
  </si>
  <si>
    <t xml:space="preserve"> Broad Indices </t>
  </si>
  <si>
    <t xml:space="preserve">Positives</t>
  </si>
  <si>
    <t xml:space="preserve">Negatives</t>
  </si>
  <si>
    <t xml:space="preserve">Net Score</t>
  </si>
  <si>
    <t xml:space="preserve">Prev. Net Score</t>
  </si>
  <si>
    <t xml:space="preserve">Intensity of change</t>
  </si>
  <si>
    <t xml:space="preserve">NIfty 50</t>
  </si>
  <si>
    <t xml:space="preserve">Nifty Midcap 50</t>
  </si>
  <si>
    <t xml:space="preserve">Nifty Midcap 150</t>
  </si>
  <si>
    <t xml:space="preserve">Nifty Smallcap 50</t>
  </si>
  <si>
    <t xml:space="preserve">NiftySmallcap 250</t>
  </si>
  <si>
    <t xml:space="preserve">Nifty LargeMidCap 250</t>
  </si>
  <si>
    <t xml:space="preserve">Nifty MidSmallCap 400</t>
  </si>
  <si>
    <t xml:space="preserve">Thematic Indices</t>
  </si>
  <si>
    <t xml:space="preserve">Nifty Commodity</t>
  </si>
  <si>
    <t xml:space="preserve">Nifty CPSE</t>
  </si>
  <si>
    <t xml:space="preserve">Nifty Consumption</t>
  </si>
  <si>
    <t xml:space="preserve">Nifty Infra</t>
  </si>
  <si>
    <t xml:space="preserve">Nifty Service Sector</t>
  </si>
  <si>
    <t xml:space="preserve">Sectoral Indices</t>
  </si>
  <si>
    <t xml:space="preserve">Nifty Auto</t>
  </si>
  <si>
    <t xml:space="preserve">Nifty Bank</t>
  </si>
  <si>
    <t xml:space="preserve">Nifty Consumer Durables</t>
  </si>
  <si>
    <t xml:space="preserve">Nifty NBFC</t>
  </si>
  <si>
    <t xml:space="preserve">Nifty FMCG</t>
  </si>
  <si>
    <t xml:space="preserve">Nifty IT</t>
  </si>
  <si>
    <t xml:space="preserve">Nifty Insurance</t>
  </si>
  <si>
    <t xml:space="preserve">Nifty Metal</t>
  </si>
  <si>
    <t xml:space="preserve">Nifty Oil &amp; Gas</t>
  </si>
  <si>
    <t xml:space="preserve">Nifty Pharma &amp; Healthcare</t>
  </si>
  <si>
    <t xml:space="preserve">Nifty Cement</t>
  </si>
  <si>
    <t xml:space="preserve">Nifty Private Bank</t>
  </si>
  <si>
    <t xml:space="preserve">Nifty PSU Bank</t>
  </si>
  <si>
    <t xml:space="preserve">Nifty Realty</t>
  </si>
  <si>
    <t xml:space="preserve">Nifty Chemicals</t>
  </si>
  <si>
    <t xml:space="preserve">Nifty SmallMidFinance</t>
  </si>
  <si>
    <t xml:space="preserve">Nifty PSE</t>
  </si>
  <si>
    <t xml:space="preserve">Nifty MNC</t>
  </si>
  <si>
    <t xml:space="preserve">Nifty Energy</t>
  </si>
  <si>
    <t xml:space="preserve">z</t>
  </si>
  <si>
    <t xml:space="preserve">Sectoral Breadth</t>
  </si>
  <si>
    <t xml:space="preserve">Insurance</t>
  </si>
  <si>
    <t xml:space="preserve">Pharma&amp;Health</t>
  </si>
  <si>
    <t xml:space="preserve">MidSmallFinancial</t>
  </si>
  <si>
    <t xml:space="preserve">MNC</t>
  </si>
  <si>
    <t xml:space="preserve">Energy</t>
  </si>
  <si>
    <t xml:space="preserve">MIDCP</t>
  </si>
  <si>
    <t xml:space="preserve">TREND</t>
  </si>
  <si>
    <t xml:space="preserve">symbol</t>
  </si>
  <si>
    <t xml:space="preserve">cmp</t>
  </si>
  <si>
    <t xml:space="preserve">high</t>
  </si>
  <si>
    <t xml:space="preserve">low</t>
  </si>
  <si>
    <t xml:space="preserve">% change</t>
  </si>
  <si>
    <t xml:space="preserve">atr</t>
  </si>
  <si>
    <t xml:space="preserve">dc50 high</t>
  </si>
  <si>
    <t xml:space="preserve">dc50 low</t>
  </si>
  <si>
    <t xml:space="preserve">cci(20)</t>
  </si>
  <si>
    <t xml:space="preserve">rsi 7</t>
  </si>
  <si>
    <t xml:space="preserve">volume</t>
  </si>
  <si>
    <t xml:space="preserve">vol - times</t>
  </si>
  <si>
    <t xml:space="preserve">st 10,2</t>
  </si>
  <si>
    <t xml:space="preserve">st 10,1</t>
  </si>
  <si>
    <t xml:space="preserve">yestclose</t>
  </si>
  <si>
    <t xml:space="preserve">prev st 10-2</t>
  </si>
  <si>
    <t xml:space="preserve">prev st 10-1</t>
  </si>
  <si>
    <t xml:space="preserve">open</t>
  </si>
  <si>
    <t xml:space="preserve">gap 52 w h</t>
  </si>
  <si>
    <t xml:space="preserve">gap 52 w l</t>
  </si>
  <si>
    <t xml:space="preserve">52 week high</t>
  </si>
  <si>
    <t xml:space="preserve">52 week low</t>
  </si>
  <si>
    <t xml:space="preserve">cci(100)</t>
  </si>
  <si>
    <t xml:space="preserve">ETERNAL</t>
  </si>
  <si>
    <t xml:space="preserve">cci 2</t>
  </si>
  <si>
    <t xml:space="preserve">cci 4</t>
  </si>
  <si>
    <t xml:space="preserve">cci 10</t>
  </si>
  <si>
    <t xml:space="preserve">cci 30</t>
  </si>
  <si>
    <t xml:space="preserve">cci 60</t>
  </si>
  <si>
    <t xml:space="preserve">cci 90</t>
  </si>
  <si>
    <t xml:space="preserve">cci 120</t>
  </si>
  <si>
    <t xml:space="preserve">cci 150</t>
  </si>
  <si>
    <t xml:space="preserve">Short Breadth</t>
  </si>
  <si>
    <t xml:space="preserve">Long Breadth</t>
  </si>
  <si>
    <t xml:space="preserve">FORCEMOT</t>
  </si>
  <si>
    <t xml:space="preserve">JSWHL</t>
  </si>
  <si>
    <t xml:space="preserve">MAHSCOOTER</t>
  </si>
  <si>
    <t xml:space="preserve">LMW</t>
  </si>
  <si>
    <t xml:space="preserve">NEULANDLAB</t>
  </si>
  <si>
    <t xml:space="preserve">TVSHLTD</t>
  </si>
  <si>
    <t xml:space="preserve">BHARATRAS</t>
  </si>
  <si>
    <t xml:space="preserve">WENDT</t>
  </si>
  <si>
    <t xml:space="preserve">TASTYBITE</t>
  </si>
  <si>
    <t xml:space="preserve">VOLTAMP</t>
  </si>
  <si>
    <t xml:space="preserve">NSIL</t>
  </si>
  <si>
    <t xml:space="preserve">PGHL</t>
  </si>
  <si>
    <t xml:space="preserve">DYNAMATECH</t>
  </si>
  <si>
    <t xml:space="preserve">FOSECOIND</t>
  </si>
  <si>
    <t xml:space="preserve">ICRA</t>
  </si>
  <si>
    <t xml:space="preserve">ESABINDIA</t>
  </si>
  <si>
    <t xml:space="preserve">VSTTILLERS</t>
  </si>
  <si>
    <t xml:space="preserve">SANOFICONR</t>
  </si>
  <si>
    <t xml:space="preserve">PILANIINVS</t>
  </si>
  <si>
    <t xml:space="preserve">ORISSAMINE</t>
  </si>
  <si>
    <t xml:space="preserve">VADILALIND</t>
  </si>
  <si>
    <t xml:space="preserve">KICL</t>
  </si>
  <si>
    <t xml:space="preserve">SMLISUZU</t>
  </si>
  <si>
    <t xml:space="preserve">KINGFA</t>
  </si>
  <si>
    <t xml:space="preserve">NDGL</t>
  </si>
  <si>
    <t xml:space="preserve">SWARAJENG</t>
  </si>
  <si>
    <t xml:space="preserve">KIRLOSIND</t>
  </si>
  <si>
    <t xml:space="preserve">VHL</t>
  </si>
  <si>
    <t xml:space="preserve">LUMAXIND</t>
  </si>
  <si>
    <t xml:space="preserve">INGERRAND</t>
  </si>
  <si>
    <t xml:space="preserve">BANARISUG</t>
  </si>
  <si>
    <t xml:space="preserve">TCPLPACK</t>
  </si>
  <si>
    <t xml:space="preserve">AKZOINDIA</t>
  </si>
  <si>
    <t xml:space="preserve">ENRIN</t>
  </si>
  <si>
    <t xml:space="preserve">POWERMECH</t>
  </si>
  <si>
    <t xml:space="preserve">WAAREEENER</t>
  </si>
  <si>
    <t xml:space="preserve">GRWRHITECH</t>
  </si>
  <si>
    <t xml:space="preserve">AIIL</t>
  </si>
  <si>
    <t xml:space="preserve">TVSSRICHAK</t>
  </si>
  <si>
    <t xml:space="preserve">HONDAPOWER</t>
  </si>
  <si>
    <t xml:space="preserve">PRUDENT</t>
  </si>
  <si>
    <t xml:space="preserve">JUBLCPL</t>
  </si>
  <si>
    <t xml:space="preserve">BBL</t>
  </si>
  <si>
    <t xml:space="preserve">TIIL</t>
  </si>
  <si>
    <t xml:space="preserve">CENTUM</t>
  </si>
  <si>
    <t xml:space="preserve">SHRIPISTON</t>
  </si>
  <si>
    <t xml:space="preserve">STYRENIX</t>
  </si>
  <si>
    <t xml:space="preserve">ETHOSLTD</t>
  </si>
  <si>
    <t xml:space="preserve">NBIFIN</t>
  </si>
  <si>
    <t xml:space="preserve">KDDL</t>
  </si>
  <si>
    <t xml:space="preserve">PRIVISCL</t>
  </si>
  <si>
    <t xml:space="preserve">E2E</t>
  </si>
  <si>
    <t xml:space="preserve">CARTRADE</t>
  </si>
  <si>
    <t xml:space="preserve">NPST</t>
  </si>
  <si>
    <t xml:space="preserve">RPGLIFE</t>
  </si>
  <si>
    <t xml:space="preserve">GRPLTD</t>
  </si>
  <si>
    <t xml:space="preserve">ANUP</t>
  </si>
  <si>
    <t xml:space="preserve">EIMCOELECO</t>
  </si>
  <si>
    <t xml:space="preserve">GALAXYSURF</t>
  </si>
  <si>
    <t xml:space="preserve">MPSLTD</t>
  </si>
  <si>
    <t xml:space="preserve">THANGAMAYL</t>
  </si>
  <si>
    <t xml:space="preserve">SHAILY</t>
  </si>
  <si>
    <t xml:space="preserve">SUMMITSEC</t>
  </si>
  <si>
    <t xml:space="preserve">FIEMIND</t>
  </si>
  <si>
    <t xml:space="preserve">INTERARCH</t>
  </si>
  <si>
    <t xml:space="preserve">SAFARI</t>
  </si>
  <si>
    <t xml:space="preserve">HESTERBIO</t>
  </si>
  <si>
    <t xml:space="preserve">ZYDUSWELL</t>
  </si>
  <si>
    <t xml:space="preserve">KMEW</t>
  </si>
  <si>
    <t xml:space="preserve">THEJO</t>
  </si>
  <si>
    <t xml:space="preserve">BIRLANU</t>
  </si>
  <si>
    <t xml:space="preserve">TEGA</t>
  </si>
  <si>
    <t xml:space="preserve">ONESOURCE</t>
  </si>
  <si>
    <t xml:space="preserve">INDOTECH</t>
  </si>
  <si>
    <t xml:space="preserve">TEAMLEASE</t>
  </si>
  <si>
    <t xml:space="preserve">EPIGRAL</t>
  </si>
  <si>
    <t xml:space="preserve">AUTOAXLES</t>
  </si>
  <si>
    <t xml:space="preserve">GKWLIMITED</t>
  </si>
  <si>
    <t xml:space="preserve">JCHAC</t>
  </si>
  <si>
    <t xml:space="preserve">GRAVITA</t>
  </si>
  <si>
    <t xml:space="preserve">V2RETAIL</t>
  </si>
  <si>
    <t xml:space="preserve">YASHO</t>
  </si>
  <si>
    <t xml:space="preserve">SUNCLAY</t>
  </si>
  <si>
    <t xml:space="preserve">HIRECT</t>
  </si>
  <si>
    <t xml:space="preserve">STYLAMIND</t>
  </si>
  <si>
    <t xml:space="preserve">CIGNITITEC</t>
  </si>
  <si>
    <t xml:space="preserve">VEEDOL</t>
  </si>
  <si>
    <t xml:space="preserve">CARERATING</t>
  </si>
  <si>
    <t xml:space="preserve">NILKAMAL</t>
  </si>
  <si>
    <t xml:space="preserve">AZAD</t>
  </si>
  <si>
    <t xml:space="preserve">DHANUKA</t>
  </si>
  <si>
    <t xml:space="preserve">WABAG</t>
  </si>
  <si>
    <t xml:space="preserve">DPABHUSHAN</t>
  </si>
  <si>
    <t xml:space="preserve">IKS</t>
  </si>
  <si>
    <t xml:space="preserve">MTARTECH</t>
  </si>
  <si>
    <t xml:space="preserve">VINDHYATEL</t>
  </si>
  <si>
    <t xml:space="preserve">VENKEYS</t>
  </si>
  <si>
    <t xml:space="preserve">RANEHOLDIN</t>
  </si>
  <si>
    <t xml:space="preserve">ZENTEC</t>
  </si>
  <si>
    <t xml:space="preserve">AMBIKCO</t>
  </si>
  <si>
    <t xml:space="preserve">WOCKPHARMA</t>
  </si>
  <si>
    <t xml:space="preserve">IFBIND</t>
  </si>
  <si>
    <t xml:space="preserve">ARMANFIN</t>
  </si>
  <si>
    <t xml:space="preserve">SPECTRUM</t>
  </si>
  <si>
    <t xml:space="preserve">SASKEN</t>
  </si>
  <si>
    <t xml:space="preserve">DHUNINV</t>
  </si>
  <si>
    <t xml:space="preserve">SUDARSCHEM</t>
  </si>
  <si>
    <t xml:space="preserve">NESCO</t>
  </si>
  <si>
    <t xml:space="preserve">ACUTAAS</t>
  </si>
  <si>
    <t xml:space="preserve">APOLSINHOT</t>
  </si>
  <si>
    <t xml:space="preserve">NEOGEN</t>
  </si>
  <si>
    <t xml:space="preserve">MANORAMA</t>
  </si>
  <si>
    <t xml:space="preserve">ACCELYA</t>
  </si>
  <si>
    <t xml:space="preserve">NGLFINE</t>
  </si>
  <si>
    <t xml:space="preserve">JLHL</t>
  </si>
  <si>
    <t xml:space="preserve">ROLEXRINGS</t>
  </si>
  <si>
    <t xml:space="preserve">PIXTRANS</t>
  </si>
  <si>
    <t xml:space="preserve">SJS</t>
  </si>
  <si>
    <t xml:space="preserve">BECTORFOOD</t>
  </si>
  <si>
    <t xml:space="preserve">GANECOS</t>
  </si>
  <si>
    <t xml:space="preserve">CPPLUS</t>
  </si>
  <si>
    <t xml:space="preserve">AURIONPRO</t>
  </si>
  <si>
    <t xml:space="preserve">PGIL</t>
  </si>
  <si>
    <t xml:space="preserve">DODLA</t>
  </si>
  <si>
    <t xml:space="preserve">WEBELSOLAR</t>
  </si>
  <si>
    <t xml:space="preserve">LUXIND</t>
  </si>
  <si>
    <t xml:space="preserve">VENUSPIPES</t>
  </si>
  <si>
    <t xml:space="preserve">KIRLPNU</t>
  </si>
  <si>
    <t xml:space="preserve">LGBBROSLTD</t>
  </si>
  <si>
    <t xml:space="preserve">SANSERA</t>
  </si>
  <si>
    <t xml:space="preserve">EXCELINDUS</t>
  </si>
  <si>
    <t xml:space="preserve">THYROCARE</t>
  </si>
  <si>
    <t xml:space="preserve">ZOTA</t>
  </si>
  <si>
    <t xml:space="preserve">DCMSHRIRAM</t>
  </si>
  <si>
    <t xml:space="preserve">SANDESH</t>
  </si>
  <si>
    <t xml:space="preserve">GULFOILLUB</t>
  </si>
  <si>
    <t xml:space="preserve">GLOBUSSPR</t>
  </si>
  <si>
    <t xml:space="preserve">ENTERO</t>
  </si>
  <si>
    <t xml:space="preserve">GMMPFAUDLR</t>
  </si>
  <si>
    <t xml:space="preserve">WEALTH</t>
  </si>
  <si>
    <t xml:space="preserve">TRAVELFOOD</t>
  </si>
  <si>
    <t xml:space="preserve">AXISCADES</t>
  </si>
  <si>
    <t xml:space="preserve">MALLCOM</t>
  </si>
  <si>
    <t xml:space="preserve">NIBE</t>
  </si>
  <si>
    <t xml:space="preserve">CHEVIOT</t>
  </si>
  <si>
    <t xml:space="preserve">PUNJABCHEM</t>
  </si>
  <si>
    <t xml:space="preserve">GABRIEL</t>
  </si>
  <si>
    <t xml:space="preserve">AGIIL</t>
  </si>
  <si>
    <t xml:space="preserve">KSCL</t>
  </si>
  <si>
    <t xml:space="preserve">RAYMONDLSL</t>
  </si>
  <si>
    <t xml:space="preserve">NAZARA</t>
  </si>
  <si>
    <t xml:space="preserve">TCI</t>
  </si>
  <si>
    <t xml:space="preserve">SMSLIFE</t>
  </si>
  <si>
    <t xml:space="preserve">TTKHLTCARE</t>
  </si>
  <si>
    <t xml:space="preserve">LUMAXTECH</t>
  </si>
  <si>
    <t xml:space="preserve">ANURAS</t>
  </si>
  <si>
    <t xml:space="preserve">INDIGOPNTS</t>
  </si>
  <si>
    <t xml:space="preserve">GOODLUCK</t>
  </si>
  <si>
    <t xml:space="preserve">XPROINDIA</t>
  </si>
  <si>
    <t xml:space="preserve">TATVA</t>
  </si>
  <si>
    <t xml:space="preserve">SABTNL</t>
  </si>
  <si>
    <t xml:space="preserve">STEELCAS</t>
  </si>
  <si>
    <t xml:space="preserve">POCL</t>
  </si>
  <si>
    <t xml:space="preserve">MAITHANALL</t>
  </si>
  <si>
    <t xml:space="preserve">UNIMECH</t>
  </si>
  <si>
    <t xml:space="preserve">KERNEX</t>
  </si>
  <si>
    <t xml:space="preserve">WAAREERTL</t>
  </si>
  <si>
    <t xml:space="preserve">SHARDAMOTR</t>
  </si>
  <si>
    <t xml:space="preserve">EXPLEOSOL</t>
  </si>
  <si>
    <t xml:space="preserve">ASALCBR</t>
  </si>
  <si>
    <t xml:space="preserve">DECCANCE</t>
  </si>
  <si>
    <t xml:space="preserve">GROBTEA</t>
  </si>
  <si>
    <t xml:space="preserve">NUCLEUS</t>
  </si>
  <si>
    <t xml:space="preserve">IMPAL</t>
  </si>
  <si>
    <t xml:space="preserve">FISCHER</t>
  </si>
  <si>
    <t xml:space="preserve">SHANKARA</t>
  </si>
  <si>
    <t xml:space="preserve">COSMOFIRST</t>
  </si>
  <si>
    <t xml:space="preserve">ISGEC</t>
  </si>
  <si>
    <t xml:space="preserve">POLYPLEX</t>
  </si>
  <si>
    <t xml:space="preserve">NDRAUTO</t>
  </si>
  <si>
    <t xml:space="preserve">WINDLAS</t>
  </si>
  <si>
    <t xml:space="preserve">YUKEN</t>
  </si>
  <si>
    <t xml:space="preserve">ASTRAMICRO</t>
  </si>
  <si>
    <t xml:space="preserve">PREMIERENE</t>
  </si>
  <si>
    <t xml:space="preserve">LIQGRWBEES</t>
  </si>
  <si>
    <t xml:space="preserve">HGINFRA</t>
  </si>
  <si>
    <t xml:space="preserve">SBILIQETF</t>
  </si>
  <si>
    <t xml:space="preserve">DSSL</t>
  </si>
  <si>
    <t xml:space="preserve">DATAMATICS</t>
  </si>
  <si>
    <t xml:space="preserve">KAUSHALYA</t>
  </si>
  <si>
    <t xml:space="preserve">ALIVUS</t>
  </si>
  <si>
    <t xml:space="preserve">ALLDIGI</t>
  </si>
  <si>
    <t xml:space="preserve">SHARDACROP</t>
  </si>
  <si>
    <t xml:space="preserve">63MOONS</t>
  </si>
  <si>
    <t xml:space="preserve">SYMPHONY</t>
  </si>
  <si>
    <t xml:space="preserve">KRN</t>
  </si>
  <si>
    <t xml:space="preserve">POKARNA</t>
  </si>
  <si>
    <t xml:space="preserve">PITTIENG</t>
  </si>
  <si>
    <t xml:space="preserve">HAPPYFORGE</t>
  </si>
  <si>
    <t xml:space="preserve">AGI</t>
  </si>
  <si>
    <t xml:space="preserve">RACLGEAR</t>
  </si>
  <si>
    <t xml:space="preserve">AHLUCONT</t>
  </si>
  <si>
    <t xml:space="preserve">SAILIFE</t>
  </si>
  <si>
    <t xml:space="preserve">WELINV</t>
  </si>
  <si>
    <t xml:space="preserve">ADOR</t>
  </si>
  <si>
    <t xml:space="preserve">SEAMECLTD</t>
  </si>
  <si>
    <t xml:space="preserve">DIAMONDYD</t>
  </si>
  <si>
    <t xml:space="preserve">RPSGVENT</t>
  </si>
  <si>
    <t xml:space="preserve">INNOVACAP</t>
  </si>
  <si>
    <t xml:space="preserve">INDIASHLTR</t>
  </si>
  <si>
    <t xml:space="preserve">ASTEC</t>
  </si>
  <si>
    <t xml:space="preserve">RIIL</t>
  </si>
  <si>
    <t xml:space="preserve">HATSUN</t>
  </si>
  <si>
    <t xml:space="preserve">CARYSIL</t>
  </si>
  <si>
    <t xml:space="preserve">AJMERA</t>
  </si>
  <si>
    <t xml:space="preserve">GANESHHOUC</t>
  </si>
  <si>
    <t xml:space="preserve">RML</t>
  </si>
  <si>
    <t xml:space="preserve">COHANCE</t>
  </si>
  <si>
    <t xml:space="preserve">DENORA</t>
  </si>
  <si>
    <t xml:space="preserve">OSWALPUMPS</t>
  </si>
  <si>
    <t xml:space="preserve">SUYOG</t>
  </si>
  <si>
    <t xml:space="preserve">SUBROS</t>
  </si>
  <si>
    <t xml:space="preserve">IMFA</t>
  </si>
  <si>
    <t xml:space="preserve">RVTH</t>
  </si>
  <si>
    <t xml:space="preserve">STAR</t>
  </si>
  <si>
    <t xml:space="preserve">AARTIPHARM</t>
  </si>
  <si>
    <t xml:space="preserve">KSL</t>
  </si>
  <si>
    <t xml:space="preserve">SHILPAMED</t>
  </si>
  <si>
    <t xml:space="preserve">AVALON</t>
  </si>
  <si>
    <t xml:space="preserve">PROTEAN</t>
  </si>
  <si>
    <t xml:space="preserve">INDIAGLYCO</t>
  </si>
  <si>
    <t xml:space="preserve">ALICON</t>
  </si>
  <si>
    <t xml:space="preserve">INSECTICID</t>
  </si>
  <si>
    <t xml:space="preserve">SHAKTIPUMP</t>
  </si>
  <si>
    <t xml:space="preserve">JINDALPHOT</t>
  </si>
  <si>
    <t xml:space="preserve">TINNARUBR</t>
  </si>
  <si>
    <t xml:space="preserve">NELCO</t>
  </si>
  <si>
    <t xml:space="preserve">GALAPREC</t>
  </si>
  <si>
    <t xml:space="preserve">SALZERELEC</t>
  </si>
  <si>
    <t xml:space="preserve">SUNDROP</t>
  </si>
  <si>
    <t xml:space="preserve">MACPOWER</t>
  </si>
  <si>
    <t xml:space="preserve">MEDPLUS</t>
  </si>
  <si>
    <t xml:space="preserve">FAIRCHEMOR</t>
  </si>
  <si>
    <t xml:space="preserve">ANTHEM</t>
  </si>
  <si>
    <t xml:space="preserve">BIL</t>
  </si>
  <si>
    <t xml:space="preserve">IFBAGRO</t>
  </si>
  <si>
    <t xml:space="preserve">BFUTILITIE</t>
  </si>
  <si>
    <t xml:space="preserve">GARFIBRES</t>
  </si>
  <si>
    <t xml:space="preserve">KRSNAA</t>
  </si>
  <si>
    <t xml:space="preserve">ALBERTDAVD</t>
  </si>
  <si>
    <t xml:space="preserve">CHOICEIN</t>
  </si>
  <si>
    <t xml:space="preserve">AGARIND</t>
  </si>
  <si>
    <t xml:space="preserve">INDNIPPON</t>
  </si>
  <si>
    <t xml:space="preserve">HEXT</t>
  </si>
  <si>
    <t xml:space="preserve">HDBFS</t>
  </si>
  <si>
    <t xml:space="preserve">MOLDTKPAC</t>
  </si>
  <si>
    <t xml:space="preserve">QPOWER</t>
  </si>
  <si>
    <t xml:space="preserve">SPLPETRO</t>
  </si>
  <si>
    <t xml:space="preserve">SUNDRMBRAK</t>
  </si>
  <si>
    <t xml:space="preserve">ELECTHERM</t>
  </si>
  <si>
    <t xml:space="preserve">TRANSRAILL</t>
  </si>
  <si>
    <t xml:space="preserve">GANDHITUBE</t>
  </si>
  <si>
    <t xml:space="preserve">BLUEJET</t>
  </si>
  <si>
    <t xml:space="preserve">CONTROLPR</t>
  </si>
  <si>
    <t xml:space="preserve">ORCHPHARMA</t>
  </si>
  <si>
    <t xml:space="preserve">AETHER</t>
  </si>
  <si>
    <t xml:space="preserve">SVLL</t>
  </si>
  <si>
    <t xml:space="preserve">ITDCEM</t>
  </si>
  <si>
    <t xml:space="preserve">SWELECTES</t>
  </si>
  <si>
    <t xml:space="preserve">GOKEX</t>
  </si>
  <si>
    <t xml:space="preserve">WHEELS</t>
  </si>
  <si>
    <t xml:space="preserve">VENTIVE</t>
  </si>
  <si>
    <t xml:space="preserve">EMUDHRA</t>
  </si>
  <si>
    <t xml:space="preserve">VMART</t>
  </si>
  <si>
    <t xml:space="preserve">ICEMAKE</t>
  </si>
  <si>
    <t xml:space="preserve">ELDEHSG</t>
  </si>
  <si>
    <t xml:space="preserve">SPAL</t>
  </si>
  <si>
    <t xml:space="preserve">BUTTERFLY</t>
  </si>
  <si>
    <t xml:space="preserve">MANGLMCEM</t>
  </si>
  <si>
    <t xml:space="preserve">SILVERTUC</t>
  </si>
  <si>
    <t xml:space="preserve">SENORES</t>
  </si>
  <si>
    <t xml:space="preserve">JPOLYINVST</t>
  </si>
  <si>
    <t xml:space="preserve">PKTEA</t>
  </si>
  <si>
    <t xml:space="preserve">JSLL</t>
  </si>
  <si>
    <t xml:space="preserve">UNIVCABLES</t>
  </si>
  <si>
    <t xml:space="preserve">YATHARTH</t>
  </si>
  <si>
    <t xml:space="preserve">SFL</t>
  </si>
  <si>
    <t xml:space="preserve">KALYANIFRG</t>
  </si>
  <si>
    <t xml:space="preserve">AMRUTANJAN</t>
  </si>
  <si>
    <t xml:space="preserve">TCIEXP</t>
  </si>
  <si>
    <t xml:space="preserve">GOCOLORS</t>
  </si>
  <si>
    <t xml:space="preserve">CHEMFAB</t>
  </si>
  <si>
    <t xml:space="preserve">SUPRIYA</t>
  </si>
  <si>
    <t xml:space="preserve">RAMRAT</t>
  </si>
  <si>
    <t xml:space="preserve">LGHL</t>
  </si>
  <si>
    <t xml:space="preserve">ROSSTECH</t>
  </si>
  <si>
    <t xml:space="preserve">AJAXENGG</t>
  </si>
  <si>
    <t xml:space="preserve">GMBREW</t>
  </si>
  <si>
    <t xml:space="preserve">INFOBEAN</t>
  </si>
  <si>
    <t xml:space="preserve">HCG</t>
  </si>
  <si>
    <t xml:space="preserve">NAVA</t>
  </si>
  <si>
    <t xml:space="preserve">PSPPROJECT</t>
  </si>
  <si>
    <t xml:space="preserve">GLOSTERLTD</t>
  </si>
  <si>
    <t xml:space="preserve">STOVEKRAFT</t>
  </si>
  <si>
    <t xml:space="preserve">DIVGIITTS</t>
  </si>
  <si>
    <t xml:space="preserve">VIMTALABS</t>
  </si>
  <si>
    <t xml:space="preserve">TTKPRESTIG</t>
  </si>
  <si>
    <t xml:space="preserve">RUSTOMJEE</t>
  </si>
  <si>
    <t xml:space="preserve">JKIL</t>
  </si>
  <si>
    <t xml:space="preserve">MARATHON</t>
  </si>
  <si>
    <t xml:space="preserve">BLACKBUCK</t>
  </si>
  <si>
    <t xml:space="preserve">HITECHGEAR</t>
  </si>
  <si>
    <t xml:space="preserve">WONDERLA</t>
  </si>
  <si>
    <t xml:space="preserve">RAYMONDREL</t>
  </si>
  <si>
    <t xml:space="preserve">CREATIVE</t>
  </si>
  <si>
    <t xml:space="preserve">ROSSARI</t>
  </si>
  <si>
    <t xml:space="preserve">BALUFORGE</t>
  </si>
  <si>
    <t xml:space="preserve">SOLARA</t>
  </si>
  <si>
    <t xml:space="preserve">KRYSTAL</t>
  </si>
  <si>
    <t xml:space="preserve">ARVSMART</t>
  </si>
  <si>
    <t xml:space="preserve">JINDRILL</t>
  </si>
  <si>
    <t xml:space="preserve">EVERESTIND</t>
  </si>
  <si>
    <t xml:space="preserve">SIYSIL</t>
  </si>
  <si>
    <t xml:space="preserve">DREDGECORP</t>
  </si>
  <si>
    <t xml:space="preserve">GALLANTT</t>
  </si>
  <si>
    <t xml:space="preserve">SRHHYPOLTD</t>
  </si>
  <si>
    <t xml:space="preserve">MANORG</t>
  </si>
  <si>
    <t xml:space="preserve">RAMKY</t>
  </si>
  <si>
    <t xml:space="preserve">KRISHANA</t>
  </si>
  <si>
    <t xml:space="preserve">SARDAEN</t>
  </si>
  <si>
    <t xml:space="preserve">GENESYS</t>
  </si>
  <si>
    <t xml:space="preserve">PICCADIL</t>
  </si>
  <si>
    <t xml:space="preserve">RPEL</t>
  </si>
  <si>
    <t xml:space="preserve">DICIND</t>
  </si>
  <si>
    <t xml:space="preserve">AWHCL</t>
  </si>
  <si>
    <t xml:space="preserve">HEUBACHIND</t>
  </si>
  <si>
    <t xml:space="preserve">IZMO</t>
  </si>
  <si>
    <t xml:space="preserve">OPTIEMUS</t>
  </si>
  <si>
    <t xml:space="preserve">BAJAJELEC</t>
  </si>
  <si>
    <t xml:space="preserve">MONTECARLO</t>
  </si>
  <si>
    <t xml:space="preserve">PNGJL</t>
  </si>
  <si>
    <t xml:space="preserve">TIPSMUSIC</t>
  </si>
  <si>
    <t xml:space="preserve">BANCOINDIA</t>
  </si>
  <si>
    <t xml:space="preserve">ARROWGREEN</t>
  </si>
  <si>
    <t xml:space="preserve">AWFIS</t>
  </si>
  <si>
    <t xml:space="preserve">GUJALKALI</t>
  </si>
  <si>
    <t xml:space="preserve">SILINV</t>
  </si>
  <si>
    <t xml:space="preserve">LANDMARK</t>
  </si>
  <si>
    <t xml:space="preserve">GHCL</t>
  </si>
  <si>
    <t xml:space="preserve">SHANTIGEAR</t>
  </si>
  <si>
    <t xml:space="preserve">TEMBO</t>
  </si>
  <si>
    <t xml:space="preserve">BORORENEW</t>
  </si>
  <si>
    <t xml:space="preserve">SGIL</t>
  </si>
  <si>
    <t xml:space="preserve">MEDIASSIST</t>
  </si>
  <si>
    <t xml:space="preserve">SEJALLTD</t>
  </si>
  <si>
    <t xml:space="preserve">MAGADSUGAR</t>
  </si>
  <si>
    <t xml:space="preserve">EMSLIMITED</t>
  </si>
  <si>
    <t xml:space="preserve">ITDC</t>
  </si>
  <si>
    <t xml:space="preserve">DEEPINDS</t>
  </si>
  <si>
    <t xml:space="preserve">EUREKAFORB</t>
  </si>
  <si>
    <t xml:space="preserve">LINCOLN</t>
  </si>
  <si>
    <t xml:space="preserve">SELAN</t>
  </si>
  <si>
    <t xml:space="preserve">CEWATER</t>
  </si>
  <si>
    <t xml:space="preserve">HGS</t>
  </si>
  <si>
    <t xml:space="preserve">UFLEX</t>
  </si>
  <si>
    <t xml:space="preserve">SHOPERSTOP</t>
  </si>
  <si>
    <t xml:space="preserve">JASH</t>
  </si>
  <si>
    <t xml:space="preserve">MAYURUNIQ</t>
  </si>
  <si>
    <t xml:space="preserve">KIRIINDUS</t>
  </si>
  <si>
    <t xml:space="preserve">SKIPPER</t>
  </si>
  <si>
    <t xml:space="preserve">PREMEXPLN</t>
  </si>
  <si>
    <t xml:space="preserve">FMGOETZE</t>
  </si>
  <si>
    <t xml:space="preserve">SBCL</t>
  </si>
  <si>
    <t xml:space="preserve">VESUVIUS</t>
  </si>
  <si>
    <t xml:space="preserve">SEMAC</t>
  </si>
  <si>
    <t xml:space="preserve">HNDFDS</t>
  </si>
  <si>
    <t xml:space="preserve">ELLEN</t>
  </si>
  <si>
    <t xml:space="preserve">JINDALPOLY</t>
  </si>
  <si>
    <t xml:space="preserve">HLEGLAS</t>
  </si>
  <si>
    <t xml:space="preserve">ABDL</t>
  </si>
  <si>
    <t xml:space="preserve">ARVINDFASN</t>
  </si>
  <si>
    <t xml:space="preserve">KPIGREEN</t>
  </si>
  <si>
    <t xml:space="preserve">VISHNU</t>
  </si>
  <si>
    <t xml:space="preserve">TDPOWERSYS</t>
  </si>
  <si>
    <t xml:space="preserve">INNOVANA</t>
  </si>
  <si>
    <t xml:space="preserve">KKCL</t>
  </si>
  <si>
    <t xml:space="preserve">ASKAUTOLTD</t>
  </si>
  <si>
    <t xml:space="preserve">MATRIMONY</t>
  </si>
  <si>
    <t xml:space="preserve">SANATHAN</t>
  </si>
  <si>
    <t xml:space="preserve">UNICHEMLAB</t>
  </si>
  <si>
    <t xml:space="preserve">AVL</t>
  </si>
  <si>
    <t xml:space="preserve">CENTENKA</t>
  </si>
  <si>
    <t xml:space="preserve">SUNDARMHLD</t>
  </si>
  <si>
    <t xml:space="preserve">GUJAPOLLO</t>
  </si>
  <si>
    <t xml:space="preserve">IDEAFORGE</t>
  </si>
  <si>
    <t xml:space="preserve">TARIL</t>
  </si>
  <si>
    <t xml:space="preserve">IGARASHI</t>
  </si>
  <si>
    <t xml:space="preserve">SHIVALIK</t>
  </si>
  <si>
    <t xml:space="preserve">JSFB</t>
  </si>
  <si>
    <t xml:space="preserve">RATEGAIN</t>
  </si>
  <si>
    <t xml:space="preserve">SOMANYCERA</t>
  </si>
  <si>
    <t xml:space="preserve">SRM</t>
  </si>
  <si>
    <t xml:space="preserve">ASAL</t>
  </si>
  <si>
    <t xml:space="preserve">SMARTWORKS</t>
  </si>
  <si>
    <t xml:space="preserve">HPL</t>
  </si>
  <si>
    <t xml:space="preserve">HARIOMPIPE</t>
  </si>
  <si>
    <t xml:space="preserve">JGCHEM</t>
  </si>
  <si>
    <t xml:space="preserve">TI</t>
  </si>
  <si>
    <t xml:space="preserve">URAVIDEF</t>
  </si>
  <si>
    <t xml:space="preserve">ASHAPURMIN</t>
  </si>
  <si>
    <t xml:space="preserve">NIPPOBATRY</t>
  </si>
  <si>
    <t xml:space="preserve">PRECOT</t>
  </si>
  <si>
    <t xml:space="preserve">UNITEDTEA</t>
  </si>
  <si>
    <t xml:space="preserve">DLINKINDIA</t>
  </si>
  <si>
    <t xml:space="preserve">WSTCSTPAPR</t>
  </si>
  <si>
    <t xml:space="preserve">FAZE3Q</t>
  </si>
  <si>
    <t xml:space="preserve">AARTIDRUGS</t>
  </si>
  <si>
    <t xml:space="preserve">REPRO</t>
  </si>
  <si>
    <t xml:space="preserve">ROHLTD</t>
  </si>
  <si>
    <t xml:space="preserve">BBOX</t>
  </si>
  <si>
    <t xml:space="preserve">TIMETECHNO</t>
  </si>
  <si>
    <t xml:space="preserve">RELAXO</t>
  </si>
  <si>
    <t xml:space="preserve">FDC</t>
  </si>
  <si>
    <t xml:space="preserve">KRBL</t>
  </si>
  <si>
    <t xml:space="preserve">BFINVEST</t>
  </si>
  <si>
    <t xml:space="preserve">WELENT</t>
  </si>
  <si>
    <t xml:space="preserve">HERITGFOOD</t>
  </si>
  <si>
    <t xml:space="preserve">AARTISURF</t>
  </si>
  <si>
    <t xml:space="preserve">HINDCOMPOS</t>
  </si>
  <si>
    <t xml:space="preserve">TIPSFILMS</t>
  </si>
  <si>
    <t xml:space="preserve">DBL</t>
  </si>
  <si>
    <t xml:space="preserve">MBEL</t>
  </si>
  <si>
    <t xml:space="preserve">GOACARBON</t>
  </si>
  <si>
    <t xml:space="preserve">IGPL</t>
  </si>
  <si>
    <t xml:space="preserve">INDRAMEDCO</t>
  </si>
  <si>
    <t xml:space="preserve">MAXESTATES</t>
  </si>
  <si>
    <t xml:space="preserve">SIRCA</t>
  </si>
  <si>
    <t xml:space="preserve">SUPRAJIT</t>
  </si>
  <si>
    <t xml:space="preserve">DYCL</t>
  </si>
  <si>
    <t xml:space="preserve">AGARWALEYE</t>
  </si>
  <si>
    <t xml:space="preserve">MSTCLTD</t>
  </si>
  <si>
    <t xml:space="preserve">SANDUMA</t>
  </si>
  <si>
    <t xml:space="preserve">PRICOLLTD</t>
  </si>
  <si>
    <t xml:space="preserve">ATULAUTO</t>
  </si>
  <si>
    <t xml:space="preserve">RSYSTEMS</t>
  </si>
  <si>
    <t xml:space="preserve">CYIENTDLM</t>
  </si>
  <si>
    <t xml:space="preserve">IONEXCHANG</t>
  </si>
  <si>
    <t xml:space="preserve">MBAPL</t>
  </si>
  <si>
    <t xml:space="preserve">BAJAJHCARE</t>
  </si>
  <si>
    <t xml:space="preserve">AVADHSUGAR</t>
  </si>
  <si>
    <t xml:space="preserve">PAVNAIND</t>
  </si>
  <si>
    <t xml:space="preserve">CMSINFO</t>
  </si>
  <si>
    <t xml:space="preserve">TAJGVK</t>
  </si>
  <si>
    <t xml:space="preserve">SANDHAR</t>
  </si>
  <si>
    <t xml:space="preserve">DOLPHIN</t>
  </si>
  <si>
    <t xml:space="preserve">STEL</t>
  </si>
  <si>
    <t xml:space="preserve">NINSYS</t>
  </si>
  <si>
    <t xml:space="preserve">KAYA</t>
  </si>
  <si>
    <t xml:space="preserve">EVEREADY</t>
  </si>
  <si>
    <t xml:space="preserve">RAMCOSYS</t>
  </si>
  <si>
    <t xml:space="preserve">KPEL</t>
  </si>
  <si>
    <t xml:space="preserve">LTFOODS</t>
  </si>
  <si>
    <t xml:space="preserve">BELLACASA</t>
  </si>
  <si>
    <t xml:space="preserve">KIOCL</t>
  </si>
  <si>
    <t xml:space="preserve">AFCONS</t>
  </si>
  <si>
    <t xml:space="preserve">AARON</t>
  </si>
  <si>
    <t xml:space="preserve">RISHABH</t>
  </si>
  <si>
    <t xml:space="preserve">ARIES</t>
  </si>
  <si>
    <t xml:space="preserve">SWIGGY</t>
  </si>
  <si>
    <t xml:space="preserve">TMB</t>
  </si>
  <si>
    <t xml:space="preserve">CARRARO</t>
  </si>
  <si>
    <t xml:space="preserve">DENTA</t>
  </si>
  <si>
    <t xml:space="preserve">UNIPARTS</t>
  </si>
  <si>
    <t xml:space="preserve">THELEELA</t>
  </si>
  <si>
    <t xml:space="preserve">TVSELECT</t>
  </si>
  <si>
    <t xml:space="preserve">ATHERENERG</t>
  </si>
  <si>
    <t xml:space="preserve">KOLTEPATIL</t>
  </si>
  <si>
    <t xml:space="preserve">MAMATA</t>
  </si>
  <si>
    <t xml:space="preserve">ARIHANTSUP</t>
  </si>
  <si>
    <t xml:space="preserve">ZODIAC</t>
  </si>
  <si>
    <t xml:space="preserve">HARSHA</t>
  </si>
  <si>
    <t xml:space="preserve">QUADFUTURE</t>
  </si>
  <si>
    <t xml:space="preserve">KRISHIVAL</t>
  </si>
  <si>
    <t xml:space="preserve">PANACEABIO</t>
  </si>
  <si>
    <t xml:space="preserve">SOTL</t>
  </si>
  <si>
    <t xml:space="preserve">CSBBANK</t>
  </si>
  <si>
    <t xml:space="preserve">APOLLOPIPE</t>
  </si>
  <si>
    <t xml:space="preserve">MANINDS</t>
  </si>
  <si>
    <t xml:space="preserve">ZAGGLE</t>
  </si>
  <si>
    <t xml:space="preserve">EIHAHOTELS</t>
  </si>
  <si>
    <t xml:space="preserve">GUJTHEM</t>
  </si>
  <si>
    <t xml:space="preserve">SIGMA</t>
  </si>
  <si>
    <t xml:space="preserve">GOCLCORP</t>
  </si>
  <si>
    <t xml:space="preserve">AFFORDABLE</t>
  </si>
  <si>
    <t xml:space="preserve">SOFTTECH</t>
  </si>
  <si>
    <t xml:space="preserve">APCOTEXIND</t>
  </si>
  <si>
    <t xml:space="preserve">MIDHANI</t>
  </si>
  <si>
    <t xml:space="preserve">SUNTECK</t>
  </si>
  <si>
    <t xml:space="preserve">DYNPRO</t>
  </si>
  <si>
    <t xml:space="preserve">KALPATARU</t>
  </si>
  <si>
    <t xml:space="preserve">EPACK</t>
  </si>
  <si>
    <t xml:space="preserve">BESTAGRO</t>
  </si>
  <si>
    <t xml:space="preserve">BAJAJINDEF</t>
  </si>
  <si>
    <t xml:space="preserve">FIRSTCRY</t>
  </si>
  <si>
    <t xml:space="preserve">DALMIASUG</t>
  </si>
  <si>
    <t xml:space="preserve">SGFIN</t>
  </si>
  <si>
    <t xml:space="preserve">SENCO</t>
  </si>
  <si>
    <t xml:space="preserve">REFEX</t>
  </si>
  <si>
    <t xml:space="preserve">RALLIS</t>
  </si>
  <si>
    <t xml:space="preserve">INDIANHUME</t>
  </si>
  <si>
    <t xml:space="preserve">ZUARI</t>
  </si>
  <si>
    <t xml:space="preserve">CREST</t>
  </si>
  <si>
    <t xml:space="preserve">GRMOVER</t>
  </si>
  <si>
    <t xml:space="preserve">GEPIL</t>
  </si>
  <si>
    <t xml:space="preserve">THOMASCOTT</t>
  </si>
  <si>
    <t xml:space="preserve">HERANBA</t>
  </si>
  <si>
    <t xml:space="preserve">5PAISA</t>
  </si>
  <si>
    <t xml:space="preserve">BANSALWIRE</t>
  </si>
  <si>
    <t xml:space="preserve">VIDHIING</t>
  </si>
  <si>
    <t xml:space="preserve">DOLLAR</t>
  </si>
  <si>
    <t xml:space="preserve">REPCOHOME</t>
  </si>
  <si>
    <t xml:space="preserve">SANGAMIND</t>
  </si>
  <si>
    <t xml:space="preserve">SIS</t>
  </si>
  <si>
    <t xml:space="preserve">NRAIL</t>
  </si>
  <si>
    <t xml:space="preserve">GOPAL</t>
  </si>
  <si>
    <t xml:space="preserve">GUFICBIO</t>
  </si>
  <si>
    <t xml:space="preserve">MHRIL</t>
  </si>
  <si>
    <t xml:space="preserve">GENUSPOWER</t>
  </si>
  <si>
    <t xml:space="preserve">GOLDIAM</t>
  </si>
  <si>
    <t xml:space="preserve">GEECEE</t>
  </si>
  <si>
    <t xml:space="preserve">DIAMINESQ</t>
  </si>
  <si>
    <t xml:space="preserve">MANGCHEFER</t>
  </si>
  <si>
    <t xml:space="preserve">CRIZAC</t>
  </si>
  <si>
    <t xml:space="preserve">MEDICAMEQ</t>
  </si>
  <si>
    <t xml:space="preserve">DVL</t>
  </si>
  <si>
    <t xml:space="preserve">IGIL</t>
  </si>
  <si>
    <t xml:space="preserve">LAXMIDENTL</t>
  </si>
  <si>
    <t xml:space="preserve">NITINSPIN</t>
  </si>
  <si>
    <t xml:space="preserve">JKPAPER</t>
  </si>
  <si>
    <t xml:space="preserve">MAHASTEEL</t>
  </si>
  <si>
    <t xml:space="preserve">VALIANTORG</t>
  </si>
  <si>
    <t xml:space="preserve">HUBTOWN</t>
  </si>
  <si>
    <t xml:space="preserve">EBGNG</t>
  </si>
  <si>
    <t xml:space="preserve">DIFFNKG</t>
  </si>
  <si>
    <t xml:space="preserve">BOROLTD</t>
  </si>
  <si>
    <t xml:space="preserve">OAL</t>
  </si>
  <si>
    <t xml:space="preserve">PRINCEPIPE</t>
  </si>
  <si>
    <t xml:space="preserve">ASIANHOTNR</t>
  </si>
  <si>
    <t xml:space="preserve">ZUARIIND</t>
  </si>
  <si>
    <t xml:space="preserve">ASIANENE</t>
  </si>
  <si>
    <t xml:space="preserve">SANGHVIMOV</t>
  </si>
  <si>
    <t xml:space="preserve">PANAMAPET</t>
  </si>
  <si>
    <t xml:space="preserve">MONARCH</t>
  </si>
  <si>
    <t xml:space="preserve">SHREEPUSHK</t>
  </si>
  <si>
    <t xml:space="preserve">DMCC</t>
  </si>
  <si>
    <t xml:space="preserve">SAKAR</t>
  </si>
  <si>
    <t xml:space="preserve">SURAJLTD</t>
  </si>
  <si>
    <t xml:space="preserve">IRIS</t>
  </si>
  <si>
    <t xml:space="preserve">MOIL</t>
  </si>
  <si>
    <t xml:space="preserve">KSOLVES</t>
  </si>
  <si>
    <t xml:space="preserve">PPL</t>
  </si>
  <si>
    <t xml:space="preserve">NIITMTS</t>
  </si>
  <si>
    <t xml:space="preserve">LOYALTEX</t>
  </si>
  <si>
    <t xml:space="preserve">GOKULAGRO</t>
  </si>
  <si>
    <t xml:space="preserve">MAHLOG</t>
  </si>
  <si>
    <t xml:space="preserve">TARSONS</t>
  </si>
  <si>
    <t xml:space="preserve">PDSL</t>
  </si>
  <si>
    <t xml:space="preserve">DDEVPLSTIK</t>
  </si>
  <si>
    <t xml:space="preserve">RAJRATAN</t>
  </si>
  <si>
    <t xml:space="preserve">TRF</t>
  </si>
  <si>
    <t xml:space="preserve">IIFLCAPS</t>
  </si>
  <si>
    <t xml:space="preserve">STERTOOLS</t>
  </si>
  <si>
    <t xml:space="preserve">WINDMACHIN</t>
  </si>
  <si>
    <t xml:space="preserve">MMFL</t>
  </si>
  <si>
    <t xml:space="preserve">SURAJEST</t>
  </si>
  <si>
    <t xml:space="preserve">STARTECK</t>
  </si>
  <si>
    <t xml:space="preserve">ALLTIME</t>
  </si>
  <si>
    <t xml:space="preserve">STYLEBAAZA</t>
  </si>
  <si>
    <t xml:space="preserve">LIBERTSHOE</t>
  </si>
  <si>
    <t xml:space="preserve">SRGHFL</t>
  </si>
  <si>
    <t xml:space="preserve">GNA</t>
  </si>
  <si>
    <t xml:space="preserve">SURAKSHA</t>
  </si>
  <si>
    <t xml:space="preserve">MASFIN</t>
  </si>
  <si>
    <t xml:space="preserve">FLAIR</t>
  </si>
  <si>
    <t xml:space="preserve">ORIENTTECH</t>
  </si>
  <si>
    <t xml:space="preserve">ASHIANA</t>
  </si>
  <si>
    <t xml:space="preserve">CSLFINANCE</t>
  </si>
  <si>
    <t xml:space="preserve">TFCILTD</t>
  </si>
  <si>
    <t xml:space="preserve">STANLEY</t>
  </si>
  <si>
    <t xml:space="preserve">GREENPLY</t>
  </si>
  <si>
    <t xml:space="preserve">ASAHISONG</t>
  </si>
  <si>
    <t xml:space="preserve">RAMCOIND</t>
  </si>
  <si>
    <t xml:space="preserve">ADVENZYMES</t>
  </si>
  <si>
    <t xml:space="preserve">SIMPLEXINF</t>
  </si>
  <si>
    <t xml:space="preserve">KAMATHOTEL</t>
  </si>
  <si>
    <t xml:space="preserve">SKYGOLD</t>
  </si>
  <si>
    <t xml:space="preserve">CAPITALSFB</t>
  </si>
  <si>
    <t xml:space="preserve">QUICKHEAL</t>
  </si>
  <si>
    <t xml:space="preserve">WANBURY</t>
  </si>
  <si>
    <t xml:space="preserve">CAPACITE</t>
  </si>
  <si>
    <t xml:space="preserve">JNKINDIA</t>
  </si>
  <si>
    <t xml:space="preserve">NRBBEARING</t>
  </si>
  <si>
    <t xml:space="preserve">HINDWAREAP</t>
  </si>
  <si>
    <t xml:space="preserve">BCONCEPTS</t>
  </si>
  <si>
    <t xml:space="preserve">SURYAROSNI</t>
  </si>
  <si>
    <t xml:space="preserve">JUNIPER</t>
  </si>
  <si>
    <t xml:space="preserve">NAHARCAP</t>
  </si>
  <si>
    <t xml:space="preserve">ARVIND</t>
  </si>
  <si>
    <t xml:space="preserve">JITFINFRA</t>
  </si>
  <si>
    <t xml:space="preserve">PONNIERODE</t>
  </si>
  <si>
    <t xml:space="preserve">RHL</t>
  </si>
  <si>
    <t xml:space="preserve">SUNFLAG</t>
  </si>
  <si>
    <t xml:space="preserve">ECOSMOBLTY</t>
  </si>
  <si>
    <t xml:space="preserve">ACMESOLAR</t>
  </si>
  <si>
    <t xml:space="preserve">RELINFRA</t>
  </si>
  <si>
    <t xml:space="preserve">SAHYADRI</t>
  </si>
  <si>
    <t xml:space="preserve">NAHARPOLY</t>
  </si>
  <si>
    <t xml:space="preserve">PURVA</t>
  </si>
  <si>
    <t xml:space="preserve">MAZDA</t>
  </si>
  <si>
    <t xml:space="preserve">TIL</t>
  </si>
  <si>
    <t xml:space="preserve">MMP</t>
  </si>
  <si>
    <t xml:space="preserve">NACLIND</t>
  </si>
  <si>
    <t xml:space="preserve">SIGNPOST</t>
  </si>
  <si>
    <t xml:space="preserve">PODDARMENT</t>
  </si>
  <si>
    <t xml:space="preserve">RPTECH</t>
  </si>
  <si>
    <t xml:space="preserve">TIRUMALCHM</t>
  </si>
  <si>
    <t xml:space="preserve">CLSEL</t>
  </si>
  <si>
    <t xml:space="preserve">ORIENTBELL</t>
  </si>
  <si>
    <t xml:space="preserve">RITCO</t>
  </si>
  <si>
    <t xml:space="preserve">MUTHOOTCAP</t>
  </si>
  <si>
    <t xml:space="preserve">INDOCO</t>
  </si>
  <si>
    <t xml:space="preserve">BHAGCHEM</t>
  </si>
  <si>
    <t xml:space="preserve">SPMLINFRA</t>
  </si>
  <si>
    <t xml:space="preserve">VRLLOG</t>
  </si>
  <si>
    <t xml:space="preserve">IXIGO</t>
  </si>
  <si>
    <t xml:space="preserve">AKSHARCHEM</t>
  </si>
  <si>
    <t xml:space="preserve">PANSARI</t>
  </si>
  <si>
    <t xml:space="preserve">IRMENERGY</t>
  </si>
  <si>
    <t xml:space="preserve">VSTIND</t>
  </si>
  <si>
    <t xml:space="preserve">UNIVASTU</t>
  </si>
  <si>
    <t xml:space="preserve">NIFTY1</t>
  </si>
  <si>
    <t xml:space="preserve">PLATIND</t>
  </si>
  <si>
    <t xml:space="preserve">VINYLINDIA</t>
  </si>
  <si>
    <t xml:space="preserve">DEEDEV</t>
  </si>
  <si>
    <t xml:space="preserve">INDIANCARD</t>
  </si>
  <si>
    <t xml:space="preserve">SASTASUNDR</t>
  </si>
  <si>
    <t xml:space="preserve">ASPINWALL</t>
  </si>
  <si>
    <t xml:space="preserve">INDOSTAR</t>
  </si>
  <si>
    <t xml:space="preserve">TALBROAUTO</t>
  </si>
  <si>
    <t xml:space="preserve">EIEL</t>
  </si>
  <si>
    <t xml:space="preserve">SULA</t>
  </si>
  <si>
    <t xml:space="preserve">DCXINDIA</t>
  </si>
  <si>
    <t xml:space="preserve">DCAL</t>
  </si>
  <si>
    <t xml:space="preserve">DBCORP</t>
  </si>
  <si>
    <t xml:space="preserve">IFGLEXPOR</t>
  </si>
  <si>
    <t xml:space="preserve">BARBEQUE</t>
  </si>
  <si>
    <t xml:space="preserve">FINOPB</t>
  </si>
  <si>
    <t xml:space="preserve">GREENPANEL</t>
  </si>
  <si>
    <t xml:space="preserve">UTTAMSUGAR</t>
  </si>
  <si>
    <t xml:space="preserve">SESHAPAPER</t>
  </si>
  <si>
    <t xml:space="preserve">PRIMESECU</t>
  </si>
  <si>
    <t xml:space="preserve">NIFTY50ADD</t>
  </si>
  <si>
    <t xml:space="preserve">KEYFINSERV</t>
  </si>
  <si>
    <t xml:space="preserve">INDOBORAX</t>
  </si>
  <si>
    <t xml:space="preserve">GODAVARIB</t>
  </si>
  <si>
    <t xml:space="preserve">PENIND</t>
  </si>
  <si>
    <t xml:space="preserve">CANTABIL</t>
  </si>
  <si>
    <t xml:space="preserve">TRANSWORLD</t>
  </si>
  <si>
    <t xml:space="preserve">PRABHA</t>
  </si>
  <si>
    <t xml:space="preserve">UDS</t>
  </si>
  <si>
    <t xml:space="preserve">FCL</t>
  </si>
  <si>
    <t xml:space="preserve">HIKAL</t>
  </si>
  <si>
    <t xml:space="preserve">SALONA</t>
  </si>
  <si>
    <t xml:space="preserve">VSSL</t>
  </si>
  <si>
    <t xml:space="preserve">LAOPALA</t>
  </si>
  <si>
    <t xml:space="preserve">NORTHARC</t>
  </si>
  <si>
    <t xml:space="preserve">AEGISVOPAK</t>
  </si>
  <si>
    <t xml:space="preserve">CEIGALL</t>
  </si>
  <si>
    <t xml:space="preserve">RELIGARE</t>
  </si>
  <si>
    <t xml:space="preserve">ZENITHEXPO</t>
  </si>
  <si>
    <t xml:space="preserve">UNIVPHOTO</t>
  </si>
  <si>
    <t xml:space="preserve">ICIL</t>
  </si>
  <si>
    <t xml:space="preserve">KABRAEXTRU</t>
  </si>
  <si>
    <t xml:space="preserve">LIKHITHA</t>
  </si>
  <si>
    <t xml:space="preserve">DPWIRES</t>
  </si>
  <si>
    <t xml:space="preserve">SPANDANA</t>
  </si>
  <si>
    <t xml:space="preserve">SCPL</t>
  </si>
  <si>
    <t xml:space="preserve">KAPSTON</t>
  </si>
  <si>
    <t xml:space="preserve">SHANTIGOLD</t>
  </si>
  <si>
    <t xml:space="preserve">NURECA</t>
  </si>
  <si>
    <t xml:space="preserve">ITCHOTELS</t>
  </si>
  <si>
    <t xml:space="preserve">ALPHAGEO</t>
  </si>
  <si>
    <t xml:space="preserve">JAYAGROGN</t>
  </si>
  <si>
    <t xml:space="preserve">SAGCEM</t>
  </si>
  <si>
    <t xml:space="preserve">MEGASTAR</t>
  </si>
  <si>
    <t xml:space="preserve">KHADIM</t>
  </si>
  <si>
    <t xml:space="preserve">ARTEMISMED</t>
  </si>
  <si>
    <t xml:space="preserve">EIFFL</t>
  </si>
  <si>
    <t xml:space="preserve">EPL</t>
  </si>
  <si>
    <t xml:space="preserve">SMSPHARMA</t>
  </si>
  <si>
    <t xml:space="preserve">PARAGMILK</t>
  </si>
  <si>
    <t xml:space="preserve">APOLLO</t>
  </si>
  <si>
    <t xml:space="preserve">JAGSNPHARM</t>
  </si>
  <si>
    <t xml:space="preserve">PPAP</t>
  </si>
  <si>
    <t xml:space="preserve">EUROBOND</t>
  </si>
  <si>
    <t xml:space="preserve">20MICRONS</t>
  </si>
  <si>
    <t xml:space="preserve">DCI</t>
  </si>
  <si>
    <t xml:space="preserve">SREEL</t>
  </si>
  <si>
    <t xml:space="preserve">VLSFINANCE</t>
  </si>
  <si>
    <t xml:space="preserve">RUBYMILLS</t>
  </si>
  <si>
    <t xml:space="preserve">AVG</t>
  </si>
  <si>
    <t xml:space="preserve">GREENLAM</t>
  </si>
  <si>
    <t xml:space="preserve">SUVEN</t>
  </si>
  <si>
    <t xml:space="preserve">ADFFOODS</t>
  </si>
  <si>
    <t xml:space="preserve">MOBIKWIK</t>
  </si>
  <si>
    <t xml:space="preserve">IKIO</t>
  </si>
  <si>
    <t xml:space="preserve">INDIQUBE</t>
  </si>
  <si>
    <t xml:space="preserve">CHEMCON</t>
  </si>
  <si>
    <t xml:space="preserve">BAJAJCON</t>
  </si>
  <si>
    <t xml:space="preserve">AMNPLST</t>
  </si>
  <si>
    <t xml:space="preserve">SHREYANIND</t>
  </si>
  <si>
    <t xml:space="preserve">APEX</t>
  </si>
  <si>
    <t xml:space="preserve">INDOFARM</t>
  </si>
  <si>
    <t xml:space="preserve">IPL</t>
  </si>
  <si>
    <t xml:space="preserve">RACE</t>
  </si>
  <si>
    <t xml:space="preserve">SHK</t>
  </si>
  <si>
    <t xml:space="preserve">BALMLAWRIE</t>
  </si>
  <si>
    <t xml:space="preserve">DAMCAPITAL</t>
  </si>
  <si>
    <t xml:space="preserve">LOKESHMACH</t>
  </si>
  <si>
    <t xml:space="preserve">TAINWALCHM</t>
  </si>
  <si>
    <t xml:space="preserve">VERANDA</t>
  </si>
  <si>
    <t xml:space="preserve">MHLXMIRU</t>
  </si>
  <si>
    <t xml:space="preserve">AFSL</t>
  </si>
  <si>
    <t xml:space="preserve">PARADEEP</t>
  </si>
  <si>
    <t xml:space="preserve">MAXIND</t>
  </si>
  <si>
    <t xml:space="preserve">SAKSOFT</t>
  </si>
  <si>
    <t xml:space="preserve">HARRMALAYA</t>
  </si>
  <si>
    <t xml:space="preserve">CHEMBONDCH</t>
  </si>
  <si>
    <t xml:space="preserve">VAIBHAVGBL</t>
  </si>
  <si>
    <t xml:space="preserve">BORANA</t>
  </si>
  <si>
    <t xml:space="preserve">NCLIND</t>
  </si>
  <si>
    <t xml:space="preserve">NAHARSPING</t>
  </si>
  <si>
    <t xml:space="preserve">HUHTAMAKI</t>
  </si>
  <si>
    <t xml:space="preserve">EMKAY</t>
  </si>
  <si>
    <t xml:space="preserve">ORIENTELEC</t>
  </si>
  <si>
    <t xml:space="preserve">CAMLINFINE</t>
  </si>
  <si>
    <t xml:space="preserve">HEIDELBERG</t>
  </si>
  <si>
    <t xml:space="preserve">GLOBALVECT</t>
  </si>
  <si>
    <t xml:space="preserve">LXCHEM</t>
  </si>
  <si>
    <t xml:space="preserve">KANPRPLA</t>
  </si>
  <si>
    <t xml:space="preserve">SSWL</t>
  </si>
  <si>
    <t xml:space="preserve">TREJHARA</t>
  </si>
  <si>
    <t xml:space="preserve">GREAVESCOT</t>
  </si>
  <si>
    <t xml:space="preserve">BLAL</t>
  </si>
  <si>
    <t xml:space="preserve">SAMHI</t>
  </si>
  <si>
    <t xml:space="preserve">DIGITIDE</t>
  </si>
  <si>
    <t xml:space="preserve">BAJEL</t>
  </si>
  <si>
    <t xml:space="preserve">LFIC</t>
  </si>
  <si>
    <t xml:space="preserve">UNIDT</t>
  </si>
  <si>
    <t xml:space="preserve">MVGJL</t>
  </si>
  <si>
    <t xml:space="preserve">HITECHCORP</t>
  </si>
  <si>
    <t xml:space="preserve">BBTCL</t>
  </si>
  <si>
    <t xml:space="preserve">PROSTARM</t>
  </si>
  <si>
    <t xml:space="preserve">DELPHIFX</t>
  </si>
  <si>
    <t xml:space="preserve">RESPONIND</t>
  </si>
  <si>
    <t xml:space="preserve">DTIL</t>
  </si>
  <si>
    <t xml:space="preserve">MINDTECK</t>
  </si>
  <si>
    <t xml:space="preserve">RUPA</t>
  </si>
  <si>
    <t xml:space="preserve">KITEX</t>
  </si>
  <si>
    <t xml:space="preserve">SHALBY</t>
  </si>
  <si>
    <t xml:space="preserve">NATCAPSUQ</t>
  </si>
  <si>
    <t xml:space="preserve">ORBTEXP</t>
  </si>
  <si>
    <t xml:space="preserve">SCHAND</t>
  </si>
  <si>
    <t xml:space="preserve">LORDSCHLO</t>
  </si>
  <si>
    <t xml:space="preserve">NITIRAJ</t>
  </si>
  <si>
    <t xml:space="preserve">ABINFRA</t>
  </si>
  <si>
    <t xml:space="preserve">AYMSYNTEX</t>
  </si>
  <si>
    <t xml:space="preserve">CONSOFINVT</t>
  </si>
  <si>
    <t xml:space="preserve">CHEMBOND</t>
  </si>
  <si>
    <t xml:space="preserve">GARUDA</t>
  </si>
  <si>
    <t xml:space="preserve">LOTUSDEV</t>
  </si>
  <si>
    <t xml:space="preserve">MOQUALITY</t>
  </si>
  <si>
    <t xml:space="preserve">PLASTIBLEN</t>
  </si>
  <si>
    <t xml:space="preserve">TBZ</t>
  </si>
  <si>
    <t xml:space="preserve">HISARMETAL</t>
  </si>
  <si>
    <t xml:space="preserve">KROSS</t>
  </si>
  <si>
    <t xml:space="preserve">AARVEEDEN</t>
  </si>
  <si>
    <t xml:space="preserve">PTC</t>
  </si>
  <si>
    <t xml:space="preserve">GIPCL</t>
  </si>
  <si>
    <t xml:space="preserve">BHARATWIRE</t>
  </si>
  <si>
    <t xml:space="preserve">KALAMANDIR</t>
  </si>
  <si>
    <t xml:space="preserve">WALCHANNAG</t>
  </si>
  <si>
    <t xml:space="preserve">NOCIL</t>
  </si>
  <si>
    <t xml:space="preserve">ARKADE</t>
  </si>
  <si>
    <t xml:space="preserve">SGLTL</t>
  </si>
  <si>
    <t xml:space="preserve">CORDSCABLE</t>
  </si>
  <si>
    <t xml:space="preserve">SHIVATEX</t>
  </si>
  <si>
    <t xml:space="preserve">ASHOKA</t>
  </si>
  <si>
    <t xml:space="preserve">PRECAM</t>
  </si>
  <si>
    <t xml:space="preserve">AEROFLEX</t>
  </si>
  <si>
    <t xml:space="preserve">ELIN</t>
  </si>
  <si>
    <t xml:space="preserve">BLSE</t>
  </si>
  <si>
    <t xml:space="preserve">MANCREDIT</t>
  </si>
  <si>
    <t xml:space="preserve">HEXATRADEX</t>
  </si>
  <si>
    <t xml:space="preserve">MARKSANS</t>
  </si>
  <si>
    <t xml:space="preserve">BHAGERIA</t>
  </si>
  <si>
    <t xml:space="preserve">BOMDYEING</t>
  </si>
  <si>
    <t xml:space="preserve">AURUM</t>
  </si>
  <si>
    <t xml:space="preserve">PRECWIRE</t>
  </si>
  <si>
    <t xml:space="preserve">GICHSGFIN</t>
  </si>
  <si>
    <t xml:space="preserve">SEQUENT</t>
  </si>
  <si>
    <t xml:space="preserve">NATHBIOGEN</t>
  </si>
  <si>
    <t xml:space="preserve">MAHEPC</t>
  </si>
  <si>
    <t xml:space="preserve">STARPAPER</t>
  </si>
  <si>
    <t xml:space="preserve">BSL</t>
  </si>
  <si>
    <t xml:space="preserve">MOSCHIP</t>
  </si>
  <si>
    <t xml:space="preserve">BGRENERGY</t>
  </si>
  <si>
    <t xml:space="preserve">KTKBANK</t>
  </si>
  <si>
    <t xml:space="preserve">SUKHJITS</t>
  </si>
  <si>
    <t xml:space="preserve">THOMASCOOK</t>
  </si>
  <si>
    <t xml:space="preserve">CUPID</t>
  </si>
  <si>
    <t xml:space="preserve">MARINE</t>
  </si>
  <si>
    <t xml:space="preserve">HDFCSML250</t>
  </si>
  <si>
    <t xml:space="preserve">SCODATUBES</t>
  </si>
  <si>
    <t xml:space="preserve">IITL</t>
  </si>
  <si>
    <t xml:space="preserve">DCMNVL</t>
  </si>
  <si>
    <t xml:space="preserve">BIRLAMONEY</t>
  </si>
  <si>
    <t xml:space="preserve">IVP</t>
  </si>
  <si>
    <t xml:space="preserve">KRONOX</t>
  </si>
  <si>
    <t xml:space="preserve">KOTHARIPET</t>
  </si>
  <si>
    <t xml:space="preserve">HINDOILEXP</t>
  </si>
  <si>
    <t xml:space="preserve">GANGESSECU</t>
  </si>
  <si>
    <t xml:space="preserve">UGROCAP</t>
  </si>
  <si>
    <t xml:space="preserve">RELCHEMQ</t>
  </si>
  <si>
    <t xml:space="preserve">MIDCAP</t>
  </si>
  <si>
    <t xml:space="preserve">FUSION</t>
  </si>
  <si>
    <t xml:space="preserve">GULPOLY</t>
  </si>
  <si>
    <t xml:space="preserve">INDOTHAI</t>
  </si>
  <si>
    <t xml:space="preserve">MANINFRA</t>
  </si>
  <si>
    <t xml:space="preserve">MANOMAY</t>
  </si>
  <si>
    <t xml:space="preserve">NELCAST</t>
  </si>
  <si>
    <t xml:space="preserve">REPL</t>
  </si>
  <si>
    <t xml:space="preserve">HERCULES</t>
  </si>
  <si>
    <t xml:space="preserve">BIRLACABLE</t>
  </si>
  <si>
    <t xml:space="preserve">MODISONLTD</t>
  </si>
  <si>
    <t xml:space="preserve">PRAKASH</t>
  </si>
  <si>
    <t xml:space="preserve">CYBERTECH</t>
  </si>
  <si>
    <t xml:space="preserve">DCMSRIND</t>
  </si>
  <si>
    <t xml:space="preserve">BLISSGVS</t>
  </si>
  <si>
    <t xml:space="preserve">JOCIL</t>
  </si>
  <si>
    <t xml:space="preserve">MASKINVEST</t>
  </si>
  <si>
    <t xml:space="preserve">PYRAMID</t>
  </si>
  <si>
    <t xml:space="preserve">ARVEE</t>
  </si>
  <si>
    <t xml:space="preserve">MOLDTECH</t>
  </si>
  <si>
    <t xml:space="preserve">MUTHOOTMF</t>
  </si>
  <si>
    <t xml:space="preserve">PAKKA</t>
  </si>
  <si>
    <t xml:space="preserve">RKSWAMY</t>
  </si>
  <si>
    <t xml:space="preserve">KOPRAN</t>
  </si>
  <si>
    <t xml:space="preserve">HECPROJECT</t>
  </si>
  <si>
    <t xml:space="preserve">TARC</t>
  </si>
  <si>
    <t xml:space="preserve">VRAJ</t>
  </si>
  <si>
    <t xml:space="preserve">AVROIND</t>
  </si>
  <si>
    <t xml:space="preserve">GPTHEALTH</t>
  </si>
  <si>
    <t xml:space="preserve">ENIL</t>
  </si>
  <si>
    <t xml:space="preserve">NAVNETEDUL</t>
  </si>
  <si>
    <t xml:space="preserve">CROWN</t>
  </si>
  <si>
    <t xml:space="preserve">ADSL</t>
  </si>
  <si>
    <t xml:space="preserve">AHLEAST</t>
  </si>
  <si>
    <t xml:space="preserve">OMAXAUTO</t>
  </si>
  <si>
    <t xml:space="preserve">RSWM</t>
  </si>
  <si>
    <t xml:space="preserve">INDOAMIN</t>
  </si>
  <si>
    <t xml:space="preserve">WIPL</t>
  </si>
  <si>
    <t xml:space="preserve">MAFANG</t>
  </si>
  <si>
    <t xml:space="preserve">UNIENTER</t>
  </si>
  <si>
    <t xml:space="preserve">DREAMFOLKS</t>
  </si>
  <si>
    <t xml:space="preserve">VSTL</t>
  </si>
  <si>
    <t xml:space="preserve">THEINVEST</t>
  </si>
  <si>
    <t xml:space="preserve">TNPL</t>
  </si>
  <si>
    <t xml:space="preserve">VINCOFE</t>
  </si>
  <si>
    <t xml:space="preserve">PARKHOTELS</t>
  </si>
  <si>
    <t xml:space="preserve">JSWCEMENT</t>
  </si>
  <si>
    <t xml:space="preserve">INOXGREEN</t>
  </si>
  <si>
    <t xml:space="preserve">KAKATCEM</t>
  </si>
  <si>
    <t xml:space="preserve">SHAREINDIA</t>
  </si>
  <si>
    <t xml:space="preserve">YATRA</t>
  </si>
  <si>
    <t xml:space="preserve">MANAKCOAT</t>
  </si>
  <si>
    <t xml:space="preserve">SUPERHOUSE</t>
  </si>
  <si>
    <t xml:space="preserve">PFOCUS</t>
  </si>
  <si>
    <t xml:space="preserve">WORTH</t>
  </si>
  <si>
    <t xml:space="preserve">MASTERTR</t>
  </si>
  <si>
    <t xml:space="preserve">HEALTHIETF</t>
  </si>
  <si>
    <t xml:space="preserve">INDOUS</t>
  </si>
  <si>
    <t xml:space="preserve">VMM</t>
  </si>
  <si>
    <t xml:space="preserve">GANDHAR</t>
  </si>
  <si>
    <t xml:space="preserve">NDTV</t>
  </si>
  <si>
    <t xml:space="preserve">TOLINS</t>
  </si>
  <si>
    <t xml:space="preserve">AXISHCETF</t>
  </si>
  <si>
    <t xml:space="preserve">PRSMJOHNSN</t>
  </si>
  <si>
    <t xml:space="preserve">AVANTEL</t>
  </si>
  <si>
    <t xml:space="preserve">HEALTHADD</t>
  </si>
  <si>
    <t xml:space="preserve">VPRPL</t>
  </si>
  <si>
    <t xml:space="preserve">RAIN</t>
  </si>
  <si>
    <t xml:space="preserve">RATNAVEER</t>
  </si>
  <si>
    <t xml:space="preserve">SMARTLINK</t>
  </si>
  <si>
    <t xml:space="preserve">STALLION</t>
  </si>
  <si>
    <t xml:space="preserve">MAKEINDIA</t>
  </si>
  <si>
    <t xml:space="preserve">NV20BEES</t>
  </si>
  <si>
    <t xml:space="preserve">TVTODAY</t>
  </si>
  <si>
    <t xml:space="preserve">NV20</t>
  </si>
  <si>
    <t xml:space="preserve">BELRISE</t>
  </si>
  <si>
    <t xml:space="preserve">DIACABS</t>
  </si>
  <si>
    <t xml:space="preserve">SOMICONVEY</t>
  </si>
  <si>
    <t xml:space="preserve">MOMGF</t>
  </si>
  <si>
    <t xml:space="preserve">RELTD</t>
  </si>
  <si>
    <t xml:space="preserve">EKC</t>
  </si>
  <si>
    <t xml:space="preserve">WEL</t>
  </si>
  <si>
    <t xml:space="preserve">EXICOM</t>
  </si>
  <si>
    <t xml:space="preserve">BROOKS</t>
  </si>
  <si>
    <t xml:space="preserve">AGRITECH</t>
  </si>
  <si>
    <t xml:space="preserve">ARISINFRA</t>
  </si>
  <si>
    <t xml:space="preserve">KRITI</t>
  </si>
  <si>
    <t xml:space="preserve">ABLBL</t>
  </si>
  <si>
    <t xml:space="preserve">APCL</t>
  </si>
  <si>
    <t xml:space="preserve">FEDFINA</t>
  </si>
  <si>
    <t xml:space="preserve">CPCAP</t>
  </si>
  <si>
    <t xml:space="preserve">LAXMIINDIA</t>
  </si>
  <si>
    <t xml:space="preserve">UNIECOM</t>
  </si>
  <si>
    <t xml:space="preserve">SATIN</t>
  </si>
  <si>
    <t xml:space="preserve">RUCHIRA</t>
  </si>
  <si>
    <t xml:space="preserve">SDBL</t>
  </si>
  <si>
    <t xml:space="preserve">MUNJALSHOW</t>
  </si>
  <si>
    <t xml:space="preserve">BOROSCI</t>
  </si>
  <si>
    <t xml:space="preserve">ORIENTHOT</t>
  </si>
  <si>
    <t xml:space="preserve">BEDMUTHA</t>
  </si>
  <si>
    <t xml:space="preserve">MANBA</t>
  </si>
  <si>
    <t xml:space="preserve">COMSYN</t>
  </si>
  <si>
    <t xml:space="preserve">OCCLLTD</t>
  </si>
  <si>
    <t xml:space="preserve">BHARATSE</t>
  </si>
  <si>
    <t xml:space="preserve">HEMIPROP</t>
  </si>
  <si>
    <t xml:space="preserve">SMCGLOBAL</t>
  </si>
  <si>
    <t xml:space="preserve">UCAL</t>
  </si>
  <si>
    <t xml:space="preserve">MUKANDLTD</t>
  </si>
  <si>
    <t xml:space="preserve">BSHSL</t>
  </si>
  <si>
    <t xml:space="preserve">CONSUMBEES</t>
  </si>
  <si>
    <t xml:space="preserve">RBZJEWEL</t>
  </si>
  <si>
    <t xml:space="preserve">SOUTHWEST</t>
  </si>
  <si>
    <t xml:space="preserve">HPIL</t>
  </si>
  <si>
    <t xml:space="preserve">LINC</t>
  </si>
  <si>
    <t xml:space="preserve">MEGASOFT</t>
  </si>
  <si>
    <t xml:space="preserve">PDMJEPAPER</t>
  </si>
  <si>
    <t xml:space="preserve">SDL26BEES</t>
  </si>
  <si>
    <t xml:space="preserve">HDFCVALUE</t>
  </si>
  <si>
    <t xml:space="preserve">DBEIL</t>
  </si>
  <si>
    <t xml:space="preserve">JTEKTINDIA</t>
  </si>
  <si>
    <t xml:space="preserve">EMIL</t>
  </si>
  <si>
    <t xml:space="preserve">SURYODAY</t>
  </si>
  <si>
    <t xml:space="preserve">WCIL</t>
  </si>
  <si>
    <t xml:space="preserve">STLTECH</t>
  </si>
  <si>
    <t xml:space="preserve">DHAMPURSUG</t>
  </si>
  <si>
    <t xml:space="preserve">BANSWRAS</t>
  </si>
  <si>
    <t xml:space="preserve">SECMARK</t>
  </si>
  <si>
    <t xml:space="preserve">SAMBHV</t>
  </si>
  <si>
    <t xml:space="preserve">TOKYOPLAST</t>
  </si>
  <si>
    <t xml:space="preserve">JAICORPLTD</t>
  </si>
  <si>
    <t xml:space="preserve">APTECHT</t>
  </si>
  <si>
    <t xml:space="preserve">LAMBODHARA</t>
  </si>
  <si>
    <t xml:space="preserve">HIMATSEIDE</t>
  </si>
  <si>
    <t xml:space="preserve">MENONBE</t>
  </si>
  <si>
    <t xml:space="preserve">CONSUMIETF</t>
  </si>
  <si>
    <t xml:space="preserve">AXISCETF</t>
  </si>
  <si>
    <t xml:space="preserve">SERVOTECH</t>
  </si>
  <si>
    <t xml:space="preserve">SBIETFCON</t>
  </si>
  <si>
    <t xml:space="preserve">NITCO</t>
  </si>
  <si>
    <t xml:space="preserve">CONS</t>
  </si>
  <si>
    <t xml:space="preserve">SPECIALITY</t>
  </si>
  <si>
    <t xml:space="preserve">REDTAPE</t>
  </si>
  <si>
    <t xml:space="preserve">SINTERCOM</t>
  </si>
  <si>
    <t xml:space="preserve">REMSONSIND</t>
  </si>
  <si>
    <t xml:space="preserve">STCINDIA</t>
  </si>
  <si>
    <t xml:space="preserve">HDFCGROWTH</t>
  </si>
  <si>
    <t xml:space="preserve">DCBBANK</t>
  </si>
  <si>
    <t xml:space="preserve">KECL</t>
  </si>
  <si>
    <t xml:space="preserve">AARVI</t>
  </si>
  <si>
    <t xml:space="preserve">MUFTI</t>
  </si>
  <si>
    <t xml:space="preserve">NAVKARCORP</t>
  </si>
  <si>
    <t xml:space="preserve">EMAMIREAL</t>
  </si>
  <si>
    <t xml:space="preserve">GILLANDERS</t>
  </si>
  <si>
    <t xml:space="preserve">SAURASHCEM</t>
  </si>
  <si>
    <t xml:space="preserve">GMRP&amp;UI</t>
  </si>
  <si>
    <t xml:space="preserve">PALASHSECU</t>
  </si>
  <si>
    <t xml:space="preserve">VHLTD</t>
  </si>
  <si>
    <t xml:space="preserve">GPTINFRA</t>
  </si>
  <si>
    <t xml:space="preserve">MODIRUBBER</t>
  </si>
  <si>
    <t xml:space="preserve">PVSL</t>
  </si>
  <si>
    <t xml:space="preserve">GTPL</t>
  </si>
  <si>
    <t xml:space="preserve">CLEDUCATE</t>
  </si>
  <si>
    <t xml:space="preserve">KOKUYOCMLN</t>
  </si>
  <si>
    <t xml:space="preserve">IGCL</t>
  </si>
  <si>
    <t xml:space="preserve">ESILVER</t>
  </si>
  <si>
    <t xml:space="preserve">SUPREMEINF</t>
  </si>
  <si>
    <t xml:space="preserve">SILVER</t>
  </si>
  <si>
    <t xml:space="preserve">SILVERIETF</t>
  </si>
  <si>
    <t xml:space="preserve">RPPINFRA</t>
  </si>
  <si>
    <t xml:space="preserve">GSLSU</t>
  </si>
  <si>
    <t xml:space="preserve">RGL</t>
  </si>
  <si>
    <t xml:space="preserve">AXISILVER</t>
  </si>
  <si>
    <t xml:space="preserve">VETO</t>
  </si>
  <si>
    <t xml:space="preserve">SHEMAROO</t>
  </si>
  <si>
    <t xml:space="preserve">SILVER360</t>
  </si>
  <si>
    <t xml:space="preserve">GROWWSLVR</t>
  </si>
  <si>
    <t xml:space="preserve">KUANTUM</t>
  </si>
  <si>
    <t xml:space="preserve">BAJAJHFL</t>
  </si>
  <si>
    <t xml:space="preserve">SBISILVER</t>
  </si>
  <si>
    <t xml:space="preserve">NIITLTD</t>
  </si>
  <si>
    <t xml:space="preserve">AIROLAM</t>
  </si>
  <si>
    <t xml:space="preserve">ARIHANTCAP</t>
  </si>
  <si>
    <t xml:space="preserve">TOUCHWOOD</t>
  </si>
  <si>
    <t xml:space="preserve">SILVRETF</t>
  </si>
  <si>
    <t xml:space="preserve">NAHARINDUS</t>
  </si>
  <si>
    <t xml:space="preserve">SARLAPOLY</t>
  </si>
  <si>
    <t xml:space="preserve">SILVER1</t>
  </si>
  <si>
    <t xml:space="preserve">SILVERETF</t>
  </si>
  <si>
    <t xml:space="preserve">SPORTKING</t>
  </si>
  <si>
    <t xml:space="preserve">SILVERADD</t>
  </si>
  <si>
    <t xml:space="preserve">TNPETRO</t>
  </si>
  <si>
    <t xml:space="preserve">SPIC</t>
  </si>
  <si>
    <t xml:space="preserve">HDFCSILVER</t>
  </si>
  <si>
    <t xml:space="preserve">KHAITANLTD</t>
  </si>
  <si>
    <t xml:space="preserve">LIQUIDCASE</t>
  </si>
  <si>
    <t xml:space="preserve">ESTER</t>
  </si>
  <si>
    <t xml:space="preserve">SILVERBEES</t>
  </si>
  <si>
    <t xml:space="preserve">ABGSEC</t>
  </si>
  <si>
    <t xml:space="preserve">WEIZMANIND</t>
  </si>
  <si>
    <t xml:space="preserve">GSEC10ABSL</t>
  </si>
  <si>
    <t xml:space="preserve">OMINFRAL</t>
  </si>
  <si>
    <t xml:space="preserve">KHAICHEM</t>
  </si>
  <si>
    <t xml:space="preserve">BANARBEADS</t>
  </si>
  <si>
    <t xml:space="preserve">AUSOMENT</t>
  </si>
  <si>
    <t xml:space="preserve">SMLT</t>
  </si>
  <si>
    <t xml:space="preserve">BEPL</t>
  </si>
  <si>
    <t xml:space="preserve">ICICIB22</t>
  </si>
  <si>
    <t xml:space="preserve">RAJOOENG</t>
  </si>
  <si>
    <t xml:space="preserve">MAANALU</t>
  </si>
  <si>
    <t xml:space="preserve">ALEMBICLTD</t>
  </si>
  <si>
    <t xml:space="preserve">GROWWLIQID</t>
  </si>
  <si>
    <t xml:space="preserve">STEELCITY</t>
  </si>
  <si>
    <t xml:space="preserve">DJML</t>
  </si>
  <si>
    <t xml:space="preserve">PNBGILTS</t>
  </si>
  <si>
    <t xml:space="preserve">MAHAPEXLTD</t>
  </si>
  <si>
    <t xml:space="preserve">THEMISMED</t>
  </si>
  <si>
    <t xml:space="preserve">NTPCGREEN</t>
  </si>
  <si>
    <t xml:space="preserve">ELECTCAST</t>
  </si>
  <si>
    <t xml:space="preserve">EMMBI</t>
  </si>
  <si>
    <t xml:space="preserve">JAIBALAJI</t>
  </si>
  <si>
    <t xml:space="preserve">JAMNAAUTO</t>
  </si>
  <si>
    <t xml:space="preserve">MOVALUE</t>
  </si>
  <si>
    <t xml:space="preserve">JAYSREETEA</t>
  </si>
  <si>
    <t xml:space="preserve">ISFT</t>
  </si>
  <si>
    <t xml:space="preserve">LYKALABS</t>
  </si>
  <si>
    <t xml:space="preserve">ARCHIDPLY</t>
  </si>
  <si>
    <t xml:space="preserve">DCM</t>
  </si>
  <si>
    <t xml:space="preserve">EGOLD</t>
  </si>
  <si>
    <t xml:space="preserve">INSPIRISYS</t>
  </si>
  <si>
    <t xml:space="preserve">EMBDL</t>
  </si>
  <si>
    <t xml:space="preserve">LOTUSEYE</t>
  </si>
  <si>
    <t xml:space="preserve">RADHIKAJWE</t>
  </si>
  <si>
    <t xml:space="preserve">HILINFRA</t>
  </si>
  <si>
    <t xml:space="preserve">SICALLOG</t>
  </si>
  <si>
    <t xml:space="preserve">KRITINUT</t>
  </si>
  <si>
    <t xml:space="preserve">MOGOLD</t>
  </si>
  <si>
    <t xml:space="preserve">SUMIT</t>
  </si>
  <si>
    <t xml:space="preserve">NFL</t>
  </si>
  <si>
    <t xml:space="preserve">UNIONGOLD</t>
  </si>
  <si>
    <t xml:space="preserve">GOLD360</t>
  </si>
  <si>
    <t xml:space="preserve">INDSWFTLAB</t>
  </si>
  <si>
    <t xml:space="preserve">GROWWGOLD</t>
  </si>
  <si>
    <t xml:space="preserve">ZODIACLOTH</t>
  </si>
  <si>
    <t xml:space="preserve">ALPA</t>
  </si>
  <si>
    <t xml:space="preserve">DONEAR</t>
  </si>
  <si>
    <t xml:space="preserve">GOLDETF</t>
  </si>
  <si>
    <t xml:space="preserve">GOLDETFADD</t>
  </si>
  <si>
    <t xml:space="preserve">BBNPPGOLD</t>
  </si>
  <si>
    <t xml:space="preserve">IOLCP</t>
  </si>
  <si>
    <t xml:space="preserve">TEXINFRA</t>
  </si>
  <si>
    <t xml:space="preserve">SINCLAIR</t>
  </si>
  <si>
    <t xml:space="preserve">EMAMIPAP</t>
  </si>
  <si>
    <t xml:space="preserve">FOCUS</t>
  </si>
  <si>
    <t xml:space="preserve">ADL</t>
  </si>
  <si>
    <t xml:space="preserve">GANESHBE</t>
  </si>
  <si>
    <t xml:space="preserve">TOP10ADD</t>
  </si>
  <si>
    <t xml:space="preserve">MOPSE</t>
  </si>
  <si>
    <t xml:space="preserve">BAFNAPH</t>
  </si>
  <si>
    <t xml:space="preserve">ATAM</t>
  </si>
  <si>
    <t xml:space="preserve">BHARATGEAR</t>
  </si>
  <si>
    <t xml:space="preserve">SHREDIGCEM</t>
  </si>
  <si>
    <t xml:space="preserve">LOVABLE</t>
  </si>
  <si>
    <t xml:space="preserve">RELIABLE</t>
  </si>
  <si>
    <t xml:space="preserve">TNIDETF</t>
  </si>
  <si>
    <t xml:space="preserve">EDELWEISS</t>
  </si>
  <si>
    <t xml:space="preserve">MADRASFERT</t>
  </si>
  <si>
    <t xml:space="preserve">INFRAIETF</t>
  </si>
  <si>
    <t xml:space="preserve">MOTOUR</t>
  </si>
  <si>
    <t xml:space="preserve">ANIKINDS</t>
  </si>
  <si>
    <t xml:space="preserve">SSDL</t>
  </si>
  <si>
    <t xml:space="preserve">RICOAUTO</t>
  </si>
  <si>
    <t xml:space="preserve">HDFCSENSEX</t>
  </si>
  <si>
    <t xml:space="preserve">JMA</t>
  </si>
  <si>
    <t xml:space="preserve">AEROENTER</t>
  </si>
  <si>
    <t xml:space="preserve">CINELINE</t>
  </si>
  <si>
    <t xml:space="preserve">BHAGYANGR</t>
  </si>
  <si>
    <t xml:space="preserve">MOREALTY</t>
  </si>
  <si>
    <t xml:space="preserve">BALAJITELE</t>
  </si>
  <si>
    <t xml:space="preserve">BANKA</t>
  </si>
  <si>
    <t xml:space="preserve">ANUHPHR</t>
  </si>
  <si>
    <t xml:space="preserve">OMAXE</t>
  </si>
  <si>
    <t xml:space="preserve">FOODSIN</t>
  </si>
  <si>
    <t xml:space="preserve">XELPMOC</t>
  </si>
  <si>
    <t xml:space="preserve">UTISXN50</t>
  </si>
  <si>
    <t xml:space="preserve">NDLVENTURE</t>
  </si>
  <si>
    <t xml:space="preserve">SHRIRAMPPS</t>
  </si>
  <si>
    <t xml:space="preserve">CPSEETF</t>
  </si>
  <si>
    <t xml:space="preserve">COMMOIETF</t>
  </si>
  <si>
    <t xml:space="preserve">MAWANASUG</t>
  </si>
  <si>
    <t xml:space="preserve">INTLCONV</t>
  </si>
  <si>
    <t xml:space="preserve">VALIANTLAB</t>
  </si>
  <si>
    <t xml:space="preserve">BALPHARMA</t>
  </si>
  <si>
    <t xml:space="preserve">DBOL</t>
  </si>
  <si>
    <t xml:space="preserve">ALKALI</t>
  </si>
  <si>
    <t xml:space="preserve">MUFIN</t>
  </si>
  <si>
    <t xml:space="preserve">XCHANGING</t>
  </si>
  <si>
    <t xml:space="preserve">HMVL</t>
  </si>
  <si>
    <t xml:space="preserve">BSLGOLDETF</t>
  </si>
  <si>
    <t xml:space="preserve">HITECH</t>
  </si>
  <si>
    <t xml:space="preserve">ORIENTLTD</t>
  </si>
  <si>
    <t xml:space="preserve">MOL</t>
  </si>
  <si>
    <t xml:space="preserve">BRIGHOTEL</t>
  </si>
  <si>
    <t xml:space="preserve">MUNJALAU</t>
  </si>
  <si>
    <t xml:space="preserve">VISAKAIND</t>
  </si>
  <si>
    <t xml:space="preserve">NIVABUPA</t>
  </si>
  <si>
    <t xml:space="preserve">GOLDIETF</t>
  </si>
  <si>
    <t xml:space="preserve">HDFCGOLD</t>
  </si>
  <si>
    <t xml:space="preserve">SETFGOLD</t>
  </si>
  <si>
    <t xml:space="preserve">DELTAMAGNT</t>
  </si>
  <si>
    <t xml:space="preserve">MODEFENCE</t>
  </si>
  <si>
    <t xml:space="preserve">KANORICHEM</t>
  </si>
  <si>
    <t xml:space="preserve">LAGNAM</t>
  </si>
  <si>
    <t xml:space="preserve">ROTO</t>
  </si>
  <si>
    <t xml:space="preserve">JAYBARMARU</t>
  </si>
  <si>
    <t xml:space="preserve">SATIA</t>
  </si>
  <si>
    <t xml:space="preserve">SANSTAR</t>
  </si>
  <si>
    <t xml:space="preserve">AXSENSEX</t>
  </si>
  <si>
    <t xml:space="preserve">MCLOUD</t>
  </si>
  <si>
    <t xml:space="preserve">GOLDSHARE</t>
  </si>
  <si>
    <t xml:space="preserve">OILCOUNTUB</t>
  </si>
  <si>
    <t xml:space="preserve">SENSEXADD</t>
  </si>
  <si>
    <t xml:space="preserve">SENSEXETF</t>
  </si>
  <si>
    <t xml:space="preserve">GOLD1</t>
  </si>
  <si>
    <t xml:space="preserve">AXISGOLD</t>
  </si>
  <si>
    <t xml:space="preserve">INTENTECH</t>
  </si>
  <si>
    <t xml:space="preserve">GOLDBEES</t>
  </si>
  <si>
    <t xml:space="preserve">QGOLDHALF</t>
  </si>
  <si>
    <t xml:space="preserve">BSLSENETFG</t>
  </si>
  <si>
    <t xml:space="preserve">BPL</t>
  </si>
  <si>
    <t xml:space="preserve">DOLATALGO</t>
  </si>
  <si>
    <t xml:space="preserve">MANGALAM</t>
  </si>
  <si>
    <t xml:space="preserve">CUBEXTUB</t>
  </si>
  <si>
    <t xml:space="preserve">AAATECH</t>
  </si>
  <si>
    <t xml:space="preserve">BLUSPRING</t>
  </si>
  <si>
    <t xml:space="preserve">VERTOZ</t>
  </si>
  <si>
    <t xml:space="preserve">TPLPLASTEH</t>
  </si>
  <si>
    <t xml:space="preserve">GLOBECIVIL</t>
  </si>
  <si>
    <t xml:space="preserve">RBA</t>
  </si>
  <si>
    <t xml:space="preserve">MONQ50</t>
  </si>
  <si>
    <t xml:space="preserve">GHCLTEXTIL</t>
  </si>
  <si>
    <t xml:space="preserve">UMIYA-MRO</t>
  </si>
  <si>
    <t xml:space="preserve">KOTHARIPRO</t>
  </si>
  <si>
    <t xml:space="preserve">DCW</t>
  </si>
  <si>
    <t xml:space="preserve">HBSL</t>
  </si>
  <si>
    <t xml:space="preserve">OSWALAGRO</t>
  </si>
  <si>
    <t xml:space="preserve">ANDHRSUGAR</t>
  </si>
  <si>
    <t xml:space="preserve">TRIGYN</t>
  </si>
  <si>
    <t xml:space="preserve">PRITI</t>
  </si>
  <si>
    <t xml:space="preserve">WSI</t>
  </si>
  <si>
    <t xml:space="preserve">PSUBNKBEES</t>
  </si>
  <si>
    <t xml:space="preserve">SRD</t>
  </si>
  <si>
    <t xml:space="preserve">GROWWDEFNC</t>
  </si>
  <si>
    <t xml:space="preserve">DIVOPPBEES</t>
  </si>
  <si>
    <t xml:space="preserve">UFO</t>
  </si>
  <si>
    <t xml:space="preserve">JTLIND</t>
  </si>
  <si>
    <t xml:space="preserve">SILGO</t>
  </si>
  <si>
    <t xml:space="preserve">KREBSBIO</t>
  </si>
  <si>
    <t xml:space="preserve">ZIMLAB</t>
  </si>
  <si>
    <t xml:space="preserve">SUPREME</t>
  </si>
  <si>
    <t xml:space="preserve">ANDHRAPAP</t>
  </si>
  <si>
    <t xml:space="preserve">AUTOIND</t>
  </si>
  <si>
    <t xml:space="preserve">TOTAL</t>
  </si>
  <si>
    <t xml:space="preserve">GEOJITFSL</t>
  </si>
  <si>
    <t xml:space="preserve">BLUECOAST</t>
  </si>
  <si>
    <t xml:space="preserve">AVTNPL</t>
  </si>
  <si>
    <t xml:space="preserve">MUKTAARTS</t>
  </si>
  <si>
    <t xml:space="preserve">SHALPAINTS</t>
  </si>
  <si>
    <t xml:space="preserve">JAGRAN</t>
  </si>
  <si>
    <t xml:space="preserve">UTINEXT50</t>
  </si>
  <si>
    <t xml:space="preserve">TARACHAND</t>
  </si>
  <si>
    <t xml:space="preserve">BLKASHYAP</t>
  </si>
  <si>
    <t xml:space="preserve">RUBFILA</t>
  </si>
  <si>
    <t xml:space="preserve">LLOYDSENT</t>
  </si>
  <si>
    <t xml:space="preserve">PSUBANKADD</t>
  </si>
  <si>
    <t xml:space="preserve">SHIVAMILLS</t>
  </si>
  <si>
    <t xml:space="preserve">BYKE</t>
  </si>
  <si>
    <t xml:space="preserve">SIKKO</t>
  </si>
  <si>
    <t xml:space="preserve">KAVDEFENCE</t>
  </si>
  <si>
    <t xml:space="preserve">MANAKSIA</t>
  </si>
  <si>
    <t xml:space="preserve">NEXT50IETF</t>
  </si>
  <si>
    <t xml:space="preserve">PSUBNKIETF</t>
  </si>
  <si>
    <t xml:space="preserve">HDFCPSUBK</t>
  </si>
  <si>
    <t xml:space="preserve">HOVS</t>
  </si>
  <si>
    <t xml:space="preserve">ABSLNN50ET</t>
  </si>
  <si>
    <t xml:space="preserve">BANKPSU</t>
  </si>
  <si>
    <t xml:space="preserve">GOLDTECH</t>
  </si>
  <si>
    <t xml:space="preserve">MITCON</t>
  </si>
  <si>
    <t xml:space="preserve">LLOYDSENGG</t>
  </si>
  <si>
    <t xml:space="preserve">HDFCNEXT50</t>
  </si>
  <si>
    <t xml:space="preserve">GATEWAY</t>
  </si>
  <si>
    <t xml:space="preserve">NRL</t>
  </si>
  <si>
    <t xml:space="preserve">GEEKAYWIRE</t>
  </si>
  <si>
    <t xml:space="preserve">MONEXT50</t>
  </si>
  <si>
    <t xml:space="preserve">MANALIPETC</t>
  </si>
  <si>
    <t xml:space="preserve">ROSSELLIND</t>
  </si>
  <si>
    <t xml:space="preserve">BODALCHEM</t>
  </si>
  <si>
    <t xml:space="preserve">NKIND</t>
  </si>
  <si>
    <t xml:space="preserve">SURYALAXMI</t>
  </si>
  <si>
    <t xml:space="preserve">SANGHIIND</t>
  </si>
  <si>
    <t xml:space="preserve">DHANI</t>
  </si>
  <si>
    <t xml:space="preserve">GLOBAL</t>
  </si>
  <si>
    <t xml:space="preserve">ISHANCH</t>
  </si>
  <si>
    <t xml:space="preserve">ADVANIHOTR</t>
  </si>
  <si>
    <t xml:space="preserve">SHRADHA</t>
  </si>
  <si>
    <t xml:space="preserve">AAREYDRUGS</t>
  </si>
  <si>
    <t xml:space="preserve">RKEC</t>
  </si>
  <si>
    <t xml:space="preserve">NIF5GETF</t>
  </si>
  <si>
    <t xml:space="preserve">ASIANTILES</t>
  </si>
  <si>
    <t xml:space="preserve">MASPTOP50</t>
  </si>
  <si>
    <t xml:space="preserve">ACLGATI</t>
  </si>
  <si>
    <t xml:space="preserve">MOMIDMTM</t>
  </si>
  <si>
    <t xml:space="preserve">GSEC5IETF</t>
  </si>
  <si>
    <t xml:space="preserve">GILT5YBEES</t>
  </si>
  <si>
    <t xml:space="preserve">MOGSEC</t>
  </si>
  <si>
    <t xml:space="preserve">MOMOMENTUM</t>
  </si>
  <si>
    <t xml:space="preserve">MOM100</t>
  </si>
  <si>
    <t xml:space="preserve">GFLLIMITED</t>
  </si>
  <si>
    <t xml:space="preserve">AARTECH</t>
  </si>
  <si>
    <t xml:space="preserve">JAYNECOIND</t>
  </si>
  <si>
    <t xml:space="preserve">OBCL</t>
  </si>
  <si>
    <t xml:space="preserve">MANAKSTEEL</t>
  </si>
  <si>
    <t xml:space="preserve">FMCGIETF</t>
  </si>
  <si>
    <t xml:space="preserve">TEXMOPIPES</t>
  </si>
  <si>
    <t xml:space="preserve">RADIANTCMS</t>
  </si>
  <si>
    <t xml:space="preserve">MAHESHWARI</t>
  </si>
  <si>
    <t xml:space="preserve">AHLADA</t>
  </si>
  <si>
    <t xml:space="preserve">BIGBLOC</t>
  </si>
  <si>
    <t xml:space="preserve">MOINFRA</t>
  </si>
  <si>
    <t xml:space="preserve">LICNMID100</t>
  </si>
  <si>
    <t xml:space="preserve">SPENCERS</t>
  </si>
  <si>
    <t xml:space="preserve">ELGIRUBCO</t>
  </si>
  <si>
    <t xml:space="preserve">HDFCQUAL</t>
  </si>
  <si>
    <t xml:space="preserve">IMAGICAA</t>
  </si>
  <si>
    <t xml:space="preserve">AMJLAND</t>
  </si>
  <si>
    <t xml:space="preserve">MODTHREAD</t>
  </si>
  <si>
    <t xml:space="preserve">UTIBANKETF</t>
  </si>
  <si>
    <t xml:space="preserve">MARALOVER</t>
  </si>
  <si>
    <t xml:space="preserve">HDFCNIFBAN</t>
  </si>
  <si>
    <t xml:space="preserve">BANKIETF</t>
  </si>
  <si>
    <t xml:space="preserve">ABSLBANETF</t>
  </si>
  <si>
    <t xml:space="preserve">SIGIND</t>
  </si>
  <si>
    <t xml:space="preserve">BANKETFADD</t>
  </si>
  <si>
    <t xml:space="preserve">BANKBETF</t>
  </si>
  <si>
    <t xml:space="preserve">HMT</t>
  </si>
  <si>
    <t xml:space="preserve">SHAHALLOYS</t>
  </si>
  <si>
    <t xml:space="preserve">21STCENMGM</t>
  </si>
  <si>
    <t xml:space="preserve">BBNPNBETF</t>
  </si>
  <si>
    <t xml:space="preserve">EBANKNIFTY</t>
  </si>
  <si>
    <t xml:space="preserve">PLAZACABLE</t>
  </si>
  <si>
    <t xml:space="preserve">TARMAT</t>
  </si>
  <si>
    <t xml:space="preserve">HILTON</t>
  </si>
  <si>
    <t xml:space="preserve">INDORAMA</t>
  </si>
  <si>
    <t xml:space="preserve">DIGJAMLMTD</t>
  </si>
  <si>
    <t xml:space="preserve">SNOWMAN</t>
  </si>
  <si>
    <t xml:space="preserve">FILATEX</t>
  </si>
  <si>
    <t xml:space="preserve">KARMAENG</t>
  </si>
  <si>
    <t xml:space="preserve">ORICONENT</t>
  </si>
  <si>
    <t xml:space="preserve">ONMOBILE</t>
  </si>
  <si>
    <t xml:space="preserve">NOVAAGRI</t>
  </si>
  <si>
    <t xml:space="preserve">MOMENTUM50</t>
  </si>
  <si>
    <t xml:space="preserve">VASCONEQ</t>
  </si>
  <si>
    <t xml:space="preserve">WEWIN</t>
  </si>
  <si>
    <t xml:space="preserve">ICDSLTD</t>
  </si>
  <si>
    <t xml:space="preserve">GINNIFILA</t>
  </si>
  <si>
    <t xml:space="preserve">VASWANI</t>
  </si>
  <si>
    <t xml:space="preserve">BALAJEE</t>
  </si>
  <si>
    <t xml:space="preserve">MOALPHA50</t>
  </si>
  <si>
    <t xml:space="preserve">TRACXN</t>
  </si>
  <si>
    <t xml:space="preserve">AMDIND</t>
  </si>
  <si>
    <t xml:space="preserve">SONAMLTD</t>
  </si>
  <si>
    <t xml:space="preserve">BANG</t>
  </si>
  <si>
    <t xml:space="preserve">MICEL</t>
  </si>
  <si>
    <t xml:space="preserve">CONFIPET</t>
  </si>
  <si>
    <t xml:space="preserve">SELECTIPO</t>
  </si>
  <si>
    <t xml:space="preserve">SCILAL</t>
  </si>
  <si>
    <t xml:space="preserve">JISLJALEQS</t>
  </si>
  <si>
    <t xml:space="preserve">ABAN</t>
  </si>
  <si>
    <t xml:space="preserve">CAPTRUST</t>
  </si>
  <si>
    <t xml:space="preserve">PREMIERPOL</t>
  </si>
  <si>
    <t xml:space="preserve">ARTNIRMAN</t>
  </si>
  <si>
    <t xml:space="preserve">ALPHA</t>
  </si>
  <si>
    <t xml:space="preserve">MOREPENLAB</t>
  </si>
  <si>
    <t xml:space="preserve">3PLAND</t>
  </si>
  <si>
    <t xml:space="preserve">NIRAJ</t>
  </si>
  <si>
    <t xml:space="preserve">MCL</t>
  </si>
  <si>
    <t xml:space="preserve">PARACABLES</t>
  </si>
  <si>
    <t xml:space="preserve">MIDSMALL</t>
  </si>
  <si>
    <t xml:space="preserve">FIBERWEB</t>
  </si>
  <si>
    <t xml:space="preserve">ARSSINFRA</t>
  </si>
  <si>
    <t xml:space="preserve">ARENTERP</t>
  </si>
  <si>
    <t xml:space="preserve">ROML</t>
  </si>
  <si>
    <t xml:space="preserve">OLAELEC</t>
  </si>
  <si>
    <t xml:space="preserve">REGENCERAM</t>
  </si>
  <si>
    <t xml:space="preserve">HPAL</t>
  </si>
  <si>
    <t xml:space="preserve">BALAXI</t>
  </si>
  <si>
    <t xml:space="preserve">MTNL</t>
  </si>
  <si>
    <t xml:space="preserve">SAGILITY</t>
  </si>
  <si>
    <t xml:space="preserve">ONEPOINT</t>
  </si>
  <si>
    <t xml:space="preserve">MADHAV</t>
  </si>
  <si>
    <t xml:space="preserve">VARDHACRLC</t>
  </si>
  <si>
    <t xml:space="preserve">SMALLCAP</t>
  </si>
  <si>
    <t xml:space="preserve">MOHEALTH</t>
  </si>
  <si>
    <t xml:space="preserve">AGROPHOS</t>
  </si>
  <si>
    <t xml:space="preserve">RAJTV</t>
  </si>
  <si>
    <t xml:space="preserve">DEVIT</t>
  </si>
  <si>
    <t xml:space="preserve">MOCAPITAL</t>
  </si>
  <si>
    <t xml:space="preserve">MURUDCERA</t>
  </si>
  <si>
    <t xml:space="preserve">COFFEEDAY</t>
  </si>
  <si>
    <t xml:space="preserve">BIOFILCHEM</t>
  </si>
  <si>
    <t xml:space="preserve">RVHL</t>
  </si>
  <si>
    <t xml:space="preserve">CORALFINAC</t>
  </si>
  <si>
    <t xml:space="preserve">PASUPTAC</t>
  </si>
  <si>
    <t xml:space="preserve">BVCL</t>
  </si>
  <si>
    <t xml:space="preserve">ESG</t>
  </si>
  <si>
    <t xml:space="preserve">MBLINFRA</t>
  </si>
  <si>
    <t xml:space="preserve">OSWALGREEN</t>
  </si>
  <si>
    <t xml:space="preserve">CTE</t>
  </si>
  <si>
    <t xml:space="preserve">GULFPETRO</t>
  </si>
  <si>
    <t xml:space="preserve">SHREERAMA</t>
  </si>
  <si>
    <t xml:space="preserve">UGARSUGAR</t>
  </si>
  <si>
    <t xml:space="preserve">TIRUPATIFL</t>
  </si>
  <si>
    <t xml:space="preserve">BCLIND</t>
  </si>
  <si>
    <t xml:space="preserve">PROZONER</t>
  </si>
  <si>
    <t xml:space="preserve">GOKUL</t>
  </si>
  <si>
    <t xml:space="preserve">EMULTIMQ</t>
  </si>
  <si>
    <t xml:space="preserve">SBIBPB</t>
  </si>
  <si>
    <t xml:space="preserve">DWARKESH</t>
  </si>
  <si>
    <t xml:space="preserve">GENCON</t>
  </si>
  <si>
    <t xml:space="preserve">RETAIL</t>
  </si>
  <si>
    <t xml:space="preserve">PFS</t>
  </si>
  <si>
    <t xml:space="preserve">PTL</t>
  </si>
  <si>
    <t xml:space="preserve">MEDICO</t>
  </si>
  <si>
    <t xml:space="preserve">DGCONTENT</t>
  </si>
  <si>
    <t xml:space="preserve">CENTRUM</t>
  </si>
  <si>
    <t xml:space="preserve">INCREDIBLE</t>
  </si>
  <si>
    <t xml:space="preserve">GUJRAFFIA</t>
  </si>
  <si>
    <t xml:space="preserve">PATELENG</t>
  </si>
  <si>
    <t xml:space="preserve">SNXT30BEES</t>
  </si>
  <si>
    <t xml:space="preserve">SBGLP</t>
  </si>
  <si>
    <t xml:space="preserve">NEXT30ADD</t>
  </si>
  <si>
    <t xml:space="preserve">BSE500IETF</t>
  </si>
  <si>
    <t xml:space="preserve">SPLIL</t>
  </si>
  <si>
    <t xml:space="preserve">ITBEES</t>
  </si>
  <si>
    <t xml:space="preserve">ITIETF</t>
  </si>
  <si>
    <t xml:space="preserve">ORIENTCER</t>
  </si>
  <si>
    <t xml:space="preserve">JAIPURKURT</t>
  </si>
  <si>
    <t xml:space="preserve">RAJSREESUG</t>
  </si>
  <si>
    <t xml:space="preserve">SUTLEJTEX</t>
  </si>
  <si>
    <t xml:space="preserve">PIONEEREMB</t>
  </si>
  <si>
    <t xml:space="preserve">MOLOWVOL</t>
  </si>
  <si>
    <t xml:space="preserve">TECH</t>
  </si>
  <si>
    <t xml:space="preserve">MALUPAPER</t>
  </si>
  <si>
    <t xml:space="preserve">PRUDMOULI</t>
  </si>
  <si>
    <t xml:space="preserve">HDFCNIFIT</t>
  </si>
  <si>
    <t xml:space="preserve">VLEGOV</t>
  </si>
  <si>
    <t xml:space="preserve">MCLEODRUSS</t>
  </si>
  <si>
    <t xml:space="preserve">INDTERRAIN</t>
  </si>
  <si>
    <t xml:space="preserve">PENINLAND</t>
  </si>
  <si>
    <t xml:space="preserve">ITETF</t>
  </si>
  <si>
    <t xml:space="preserve">HDFCBSE500</t>
  </si>
  <si>
    <t xml:space="preserve">VIPCLOTHNG</t>
  </si>
  <si>
    <t xml:space="preserve">ITETFADD</t>
  </si>
  <si>
    <t xml:space="preserve">DEN</t>
  </si>
  <si>
    <t xml:space="preserve">GOLDENTOBC</t>
  </si>
  <si>
    <t xml:space="preserve">UDAICEMENT</t>
  </si>
  <si>
    <t xml:space="preserve">JINDWORLD</t>
  </si>
  <si>
    <t xml:space="preserve">DAMODARIND</t>
  </si>
  <si>
    <t xml:space="preserve">AROGRANITE</t>
  </si>
  <si>
    <t xml:space="preserve">CIFL</t>
  </si>
  <si>
    <t xml:space="preserve">KOHINOOR</t>
  </si>
  <si>
    <t xml:space="preserve">GROWWRAIL</t>
  </si>
  <si>
    <t xml:space="preserve">MOHITIND</t>
  </si>
  <si>
    <t xml:space="preserve">WILLAMAGOR</t>
  </si>
  <si>
    <t xml:space="preserve">USK</t>
  </si>
  <si>
    <t xml:space="preserve">ARFIN</t>
  </si>
  <si>
    <t xml:space="preserve">ALLCARGO</t>
  </si>
  <si>
    <t xml:space="preserve">IL&amp;FSENGG</t>
  </si>
  <si>
    <t xml:space="preserve">COASTCORP</t>
  </si>
  <si>
    <t xml:space="preserve">MIRZAINT</t>
  </si>
  <si>
    <t xml:space="preserve">TREL</t>
  </si>
  <si>
    <t xml:space="preserve">NIFTY100EW</t>
  </si>
  <si>
    <t xml:space="preserve">PEARLPOLY</t>
  </si>
  <si>
    <t xml:space="preserve">KCPSUGIND</t>
  </si>
  <si>
    <t xml:space="preserve">HINDCON</t>
  </si>
  <si>
    <t xml:space="preserve">DIGIDRIVE</t>
  </si>
  <si>
    <t xml:space="preserve">INDBANK</t>
  </si>
  <si>
    <t xml:space="preserve">ATLANTAA</t>
  </si>
  <si>
    <t xml:space="preserve">SELMC</t>
  </si>
  <si>
    <t xml:space="preserve">XTGLOBAL</t>
  </si>
  <si>
    <t xml:space="preserve">IRISDOREME</t>
  </si>
  <si>
    <t xml:space="preserve">SAMPANN</t>
  </si>
  <si>
    <t xml:space="preserve">SBINEQWETF</t>
  </si>
  <si>
    <t xml:space="preserve">MON50EQUAL</t>
  </si>
  <si>
    <t xml:space="preserve">MSPL</t>
  </si>
  <si>
    <t xml:space="preserve">SURANASOL</t>
  </si>
  <si>
    <t xml:space="preserve">HMAAGRO</t>
  </si>
  <si>
    <t xml:space="preserve">SIGACHI</t>
  </si>
  <si>
    <t xml:space="preserve">MOM30IETF</t>
  </si>
  <si>
    <t xml:space="preserve">VISASTEEL</t>
  </si>
  <si>
    <t xml:space="preserve">MOMENTUM</t>
  </si>
  <si>
    <t xml:space="preserve">HDFCMOMENT</t>
  </si>
  <si>
    <t xml:space="preserve">ODIGMA</t>
  </si>
  <si>
    <t xml:space="preserve">PAISALO</t>
  </si>
  <si>
    <t xml:space="preserve">EVINDIA</t>
  </si>
  <si>
    <t xml:space="preserve">EVIETF</t>
  </si>
  <si>
    <t xml:space="preserve">JISLDVREQS</t>
  </si>
  <si>
    <t xml:space="preserve">FINIETF</t>
  </si>
  <si>
    <t xml:space="preserve">GROWWEV</t>
  </si>
  <si>
    <t xml:space="preserve">SOUTHBANK</t>
  </si>
  <si>
    <t xml:space="preserve">VIRINCHI</t>
  </si>
  <si>
    <t xml:space="preserve">KOTARISUG</t>
  </si>
  <si>
    <t xml:space="preserve">BASML</t>
  </si>
  <si>
    <t xml:space="preserve">MSCIINDIA</t>
  </si>
  <si>
    <t xml:space="preserve">MANAKALUCO</t>
  </si>
  <si>
    <t xml:space="preserve">ESAFSFB</t>
  </si>
  <si>
    <t xml:space="preserve">SHIVAMAUTO</t>
  </si>
  <si>
    <t xml:space="preserve">GSEC10YEAR</t>
  </si>
  <si>
    <t xml:space="preserve">BEARDSELL</t>
  </si>
  <si>
    <t xml:space="preserve">GSS</t>
  </si>
  <si>
    <t xml:space="preserve">BSLNIFTY</t>
  </si>
  <si>
    <t xml:space="preserve">BOHRAIND</t>
  </si>
  <si>
    <t xml:space="preserve">SAGARDEEP</t>
  </si>
  <si>
    <t xml:space="preserve">LTGILTBEES</t>
  </si>
  <si>
    <t xml:space="preserve">NIF100IETF</t>
  </si>
  <si>
    <t xml:space="preserve">KMSUGAR</t>
  </si>
  <si>
    <t xml:space="preserve">AXISVALUE</t>
  </si>
  <si>
    <t xml:space="preserve">KAMDHENU</t>
  </si>
  <si>
    <t xml:space="preserve">PNC</t>
  </si>
  <si>
    <t xml:space="preserve">LEXUS</t>
  </si>
  <si>
    <t xml:space="preserve">LICNETFGSC</t>
  </si>
  <si>
    <t xml:space="preserve">RKDL</t>
  </si>
  <si>
    <t xml:space="preserve">ATL</t>
  </si>
  <si>
    <t xml:space="preserve">ORIENTPPR</t>
  </si>
  <si>
    <t xml:space="preserve">NAGREEKEXP</t>
  </si>
  <si>
    <t xml:space="preserve">HDFCPVTBAN</t>
  </si>
  <si>
    <t xml:space="preserve">ALPL30IETF</t>
  </si>
  <si>
    <t xml:space="preserve">NGIL</t>
  </si>
  <si>
    <t xml:space="preserve">MIRCELECTR</t>
  </si>
  <si>
    <t xml:space="preserve">HCC</t>
  </si>
  <si>
    <t xml:space="preserve">BFSI</t>
  </si>
  <si>
    <t xml:space="preserve">DIGISPICE</t>
  </si>
  <si>
    <t xml:space="preserve">AMBICAAGAR</t>
  </si>
  <si>
    <t xml:space="preserve">PVTBANKADD</t>
  </si>
  <si>
    <t xml:space="preserve">PRIMO</t>
  </si>
  <si>
    <t xml:space="preserve">DHANBANK</t>
  </si>
  <si>
    <t xml:space="preserve">MUKKA</t>
  </si>
  <si>
    <t xml:space="preserve">PVTBANIETF</t>
  </si>
  <si>
    <t xml:space="preserve">MOTOGENFIN</t>
  </si>
  <si>
    <t xml:space="preserve">AKASH</t>
  </si>
  <si>
    <t xml:space="preserve">NAGREEKCAP</t>
  </si>
  <si>
    <t xml:space="preserve">LANCORHOL</t>
  </si>
  <si>
    <t xml:space="preserve">HDFCNIF100</t>
  </si>
  <si>
    <t xml:space="preserve">AIRAN</t>
  </si>
  <si>
    <t xml:space="preserve">NIBL</t>
  </si>
  <si>
    <t xml:space="preserve">AUTOIETF</t>
  </si>
  <si>
    <t xml:space="preserve">ASHIMASYN</t>
  </si>
  <si>
    <t xml:space="preserve">NIF10GETF</t>
  </si>
  <si>
    <t xml:space="preserve">LAXMICOT</t>
  </si>
  <si>
    <t xml:space="preserve">KELLTONTEC</t>
  </si>
  <si>
    <t xml:space="preserve">HTMEDIA</t>
  </si>
  <si>
    <t xml:space="preserve">DBSTOCKBRO</t>
  </si>
  <si>
    <t xml:space="preserve">RAJRILTD</t>
  </si>
  <si>
    <t xml:space="preserve">ALPHAETF</t>
  </si>
  <si>
    <t xml:space="preserve">ESSARSHPNG</t>
  </si>
  <si>
    <t xml:space="preserve">MAHKTECH</t>
  </si>
  <si>
    <t xml:space="preserve">KHANDSE</t>
  </si>
  <si>
    <t xml:space="preserve">ACEINTEG</t>
  </si>
  <si>
    <t xml:space="preserve">SINDHUTRAD</t>
  </si>
  <si>
    <t xml:space="preserve">MAGNUM</t>
  </si>
  <si>
    <t xml:space="preserve">TARAPUR</t>
  </si>
  <si>
    <t xml:space="preserve">3IINFOLTD</t>
  </si>
  <si>
    <t xml:space="preserve">ECAPINSURE</t>
  </si>
  <si>
    <t xml:space="preserve">MONIFTY500</t>
  </si>
  <si>
    <t xml:space="preserve">RUSHIL</t>
  </si>
  <si>
    <t xml:space="preserve">HINDMOTORS</t>
  </si>
  <si>
    <t xml:space="preserve">RPPL</t>
  </si>
  <si>
    <t xml:space="preserve">PHARMABEES</t>
  </si>
  <si>
    <t xml:space="preserve">PRAENG</t>
  </si>
  <si>
    <t xml:space="preserve">SECURKLOUD</t>
  </si>
  <si>
    <t xml:space="preserve">MID150</t>
  </si>
  <si>
    <t xml:space="preserve">LOWVOLIETF</t>
  </si>
  <si>
    <t xml:space="preserve">CENTEXT</t>
  </si>
  <si>
    <t xml:space="preserve">SAKHTISUG</t>
  </si>
  <si>
    <t xml:space="preserve">MIDCAPIETF</t>
  </si>
  <si>
    <t xml:space="preserve">NARMADA</t>
  </si>
  <si>
    <t xml:space="preserve">NECCLTD</t>
  </si>
  <si>
    <t xml:space="preserve">MIDCAPETF</t>
  </si>
  <si>
    <t xml:space="preserve">HDFCMID150</t>
  </si>
  <si>
    <t xml:space="preserve">NIFTYQLITY</t>
  </si>
  <si>
    <t xml:space="preserve">UTKARSHBNK</t>
  </si>
  <si>
    <t xml:space="preserve">SHEKHAWATI</t>
  </si>
  <si>
    <t xml:space="preserve">LOWVOL1</t>
  </si>
  <si>
    <t xml:space="preserve">ALMONDZ</t>
  </si>
  <si>
    <t xml:space="preserve">QUAL30IETF</t>
  </si>
  <si>
    <t xml:space="preserve">BAJAJHIND</t>
  </si>
  <si>
    <t xml:space="preserve">FLEXITUFF</t>
  </si>
  <si>
    <t xml:space="preserve">ENERGYDEV</t>
  </si>
  <si>
    <t xml:space="preserve">BALKRISHNA</t>
  </si>
  <si>
    <t xml:space="preserve">BRNL</t>
  </si>
  <si>
    <t xml:space="preserve">PVP</t>
  </si>
  <si>
    <t xml:space="preserve">HDFCLOWVOL</t>
  </si>
  <si>
    <t xml:space="preserve">QUALITY30</t>
  </si>
  <si>
    <t xml:space="preserve">LATTEYS</t>
  </si>
  <si>
    <t xml:space="preserve">AVONMORE</t>
  </si>
  <si>
    <t xml:space="preserve">MOTISONS</t>
  </si>
  <si>
    <t xml:space="preserve">COMPUSOFT</t>
  </si>
  <si>
    <t xml:space="preserve">UNIINFO</t>
  </si>
  <si>
    <t xml:space="preserve">IEL</t>
  </si>
  <si>
    <t xml:space="preserve">ARCHIES</t>
  </si>
  <si>
    <t xml:space="preserve">SIL</t>
  </si>
  <si>
    <t xml:space="preserve">SURANAT&amp;P</t>
  </si>
  <si>
    <t xml:space="preserve">SEYAIND</t>
  </si>
  <si>
    <t xml:space="preserve">SBC</t>
  </si>
  <si>
    <t xml:space="preserve">PRITIKAUTO</t>
  </si>
  <si>
    <t xml:space="preserve">ATALREAL</t>
  </si>
  <si>
    <t xml:space="preserve">OSWALSEEDS</t>
  </si>
  <si>
    <t xml:space="preserve">A2ZINFRA</t>
  </si>
  <si>
    <t xml:space="preserve">GENUSPAPER</t>
  </si>
  <si>
    <t xml:space="preserve">INDOWIND</t>
  </si>
  <si>
    <t xml:space="preserve">EQUIPPP</t>
  </si>
  <si>
    <t xml:space="preserve">CCCL</t>
  </si>
  <si>
    <t xml:space="preserve">SALSTEEL</t>
  </si>
  <si>
    <t xml:space="preserve">CCHHL</t>
  </si>
  <si>
    <t xml:space="preserve">MIDSELIETF</t>
  </si>
  <si>
    <t xml:space="preserve">CINEVISTA</t>
  </si>
  <si>
    <t xml:space="preserve">DRCSYSTEMS</t>
  </si>
  <si>
    <t xml:space="preserve">SYNCOMF</t>
  </si>
  <si>
    <t xml:space="preserve">CALSOFT</t>
  </si>
  <si>
    <t xml:space="preserve">SADBHAV</t>
  </si>
  <si>
    <t xml:space="preserve">ASHOKAMET</t>
  </si>
  <si>
    <t xml:space="preserve">MOSMALL250</t>
  </si>
  <si>
    <t xml:space="preserve">YAARI</t>
  </si>
  <si>
    <t xml:space="preserve">BCG</t>
  </si>
  <si>
    <t xml:space="preserve">TFL</t>
  </si>
  <si>
    <t xml:space="preserve">SILLYMONKS</t>
  </si>
  <si>
    <t xml:space="preserve">MGEL</t>
  </si>
  <si>
    <t xml:space="preserve">MULTICAP</t>
  </si>
  <si>
    <t xml:space="preserve">ANMOL</t>
  </si>
  <si>
    <t xml:space="preserve">HCL-INSYS</t>
  </si>
  <si>
    <t xml:space="preserve">INFIBEAM</t>
  </si>
  <si>
    <t xml:space="preserve">HYBRIDFIN</t>
  </si>
  <si>
    <t xml:space="preserve">NECLIFE</t>
  </si>
  <si>
    <t xml:space="preserve">CYBERMEDIA</t>
  </si>
  <si>
    <t xml:space="preserve">JYOTISTRUC</t>
  </si>
  <si>
    <t xml:space="preserve">BLBLIMITED</t>
  </si>
  <si>
    <t xml:space="preserve">GOLDCASE</t>
  </si>
  <si>
    <t xml:space="preserve">SIMBHALS</t>
  </si>
  <si>
    <t xml:space="preserve">PATINTLOG</t>
  </si>
  <si>
    <t xml:space="preserve">PARSVNATH</t>
  </si>
  <si>
    <t xml:space="preserve">HEALTHY</t>
  </si>
  <si>
    <t xml:space="preserve">UYFINCORP</t>
  </si>
  <si>
    <t xml:space="preserve">SETCO</t>
  </si>
  <si>
    <t xml:space="preserve">EUROTEXIND</t>
  </si>
  <si>
    <t xml:space="preserve">HATHWAY</t>
  </si>
  <si>
    <t xml:space="preserve">INTERNET</t>
  </si>
  <si>
    <t xml:space="preserve">RANASUG</t>
  </si>
  <si>
    <t xml:space="preserve">SHYAMTEL</t>
  </si>
  <si>
    <t xml:space="preserve">NV20IETF</t>
  </si>
  <si>
    <t xml:space="preserve">OSIAHYPER</t>
  </si>
  <si>
    <t xml:space="preserve">PILITA</t>
  </si>
  <si>
    <t xml:space="preserve">ALANKIT</t>
  </si>
  <si>
    <t xml:space="preserve">GREENPOWER</t>
  </si>
  <si>
    <t xml:space="preserve">ASTRON</t>
  </si>
  <si>
    <t xml:space="preserve">GLOBALE</t>
  </si>
  <si>
    <t xml:space="preserve">ORTINGLOBE</t>
  </si>
  <si>
    <t xml:space="preserve">NILASPACES</t>
  </si>
  <si>
    <t xml:space="preserve">HARDWYN</t>
  </si>
  <si>
    <t xml:space="preserve">MOKSH</t>
  </si>
  <si>
    <t xml:space="preserve">TCIFINANCE</t>
  </si>
  <si>
    <t xml:space="preserve">PCJEWELLER</t>
  </si>
  <si>
    <t xml:space="preserve">SGL</t>
  </si>
  <si>
    <t xml:space="preserve">JETFREIGHT</t>
  </si>
  <si>
    <t xml:space="preserve">URJA</t>
  </si>
  <si>
    <t xml:space="preserve">PRAXIS</t>
  </si>
  <si>
    <t xml:space="preserve">SUBEXLTD</t>
  </si>
  <si>
    <t xml:space="preserve">FMNL</t>
  </si>
  <si>
    <t xml:space="preserve">CELEBRITY</t>
  </si>
  <si>
    <t xml:space="preserve">VAL30IETF</t>
  </si>
  <si>
    <t xml:space="preserve">EQUAL200</t>
  </si>
  <si>
    <t xml:space="preserve">AXISBPSETF</t>
  </si>
  <si>
    <t xml:space="preserve">ONELIFECAP</t>
  </si>
  <si>
    <t xml:space="preserve">ZEEMEDIA</t>
  </si>
  <si>
    <t xml:space="preserve">AKG</t>
  </si>
  <si>
    <t xml:space="preserve">ASMS</t>
  </si>
  <si>
    <t xml:space="preserve">LIBAS</t>
  </si>
  <si>
    <t xml:space="preserve">DPSCLTD</t>
  </si>
  <si>
    <t xml:space="preserve">RTNPOWER</t>
  </si>
  <si>
    <t xml:space="preserve">VAISHALI</t>
  </si>
  <si>
    <t xml:space="preserve">HLVLTD</t>
  </si>
  <si>
    <t xml:space="preserve">CONSUMER</t>
  </si>
  <si>
    <t xml:space="preserve">HINDNATGLS</t>
  </si>
  <si>
    <t xml:space="preserve">SEPC</t>
  </si>
  <si>
    <t xml:space="preserve">SILVERCASE</t>
  </si>
  <si>
    <t xml:space="preserve">AONETOTAL</t>
  </si>
  <si>
    <t xml:space="preserve">TGBHOTELS</t>
  </si>
  <si>
    <t xml:space="preserve">BAIDFIN</t>
  </si>
  <si>
    <t xml:space="preserve">TTL</t>
  </si>
  <si>
    <t xml:space="preserve">OILIETF</t>
  </si>
  <si>
    <t xml:space="preserve">TAKE</t>
  </si>
  <si>
    <t xml:space="preserve">GROWWN200</t>
  </si>
  <si>
    <t xml:space="preserve">TATSILV</t>
  </si>
  <si>
    <t xml:space="preserve">NILAINFRA</t>
  </si>
  <si>
    <t xml:space="preserve">JHS</t>
  </si>
  <si>
    <t xml:space="preserve">ADROITINFO</t>
  </si>
  <si>
    <t xml:space="preserve">GROWWNET</t>
  </si>
  <si>
    <t xml:space="preserve">AAKASH</t>
  </si>
  <si>
    <t xml:space="preserve">MID150CASE</t>
  </si>
  <si>
    <t xml:space="preserve">LAL</t>
  </si>
  <si>
    <t xml:space="preserve">TOP100CASE</t>
  </si>
  <si>
    <t xml:space="preserve">TRU</t>
  </si>
  <si>
    <t xml:space="preserve">GROWWMOM50</t>
  </si>
  <si>
    <t xml:space="preserve">RAMASTEEL</t>
  </si>
  <si>
    <t xml:space="preserve">KAMOPAINTS</t>
  </si>
  <si>
    <t xml:space="preserve">TOP15IETF</t>
  </si>
  <si>
    <t xml:space="preserve">HEADSUP</t>
  </si>
  <si>
    <t xml:space="preserve">GROWWLOVOL</t>
  </si>
  <si>
    <t xml:space="preserve">AONENIFTY</t>
  </si>
  <si>
    <t xml:space="preserve">SANGINITA</t>
  </si>
  <si>
    <t xml:space="preserve">GTL</t>
  </si>
  <si>
    <t xml:space="preserve">GROWWNIFTY</t>
  </si>
  <si>
    <t xml:space="preserve">GVPTECH</t>
  </si>
  <si>
    <t xml:space="preserve">SUPERSPIN</t>
  </si>
  <si>
    <t xml:space="preserve">GROWWPOWER</t>
  </si>
  <si>
    <t xml:space="preserve">ORIENTALTL</t>
  </si>
  <si>
    <t xml:space="preserve">ABSLPSE</t>
  </si>
  <si>
    <t xml:space="preserve">VIPULLTD</t>
  </si>
  <si>
    <t xml:space="preserve">TATAGOLD</t>
  </si>
  <si>
    <t xml:space="preserve">STEELXIND</t>
  </si>
  <si>
    <t xml:space="preserve">ZEELEARN</t>
  </si>
  <si>
    <t xml:space="preserve">METAL</t>
  </si>
  <si>
    <t xml:space="preserve">METALIETF</t>
  </si>
  <si>
    <t xml:space="preserve">VARDMNPOLY</t>
  </si>
  <si>
    <t xml:space="preserve">AKI</t>
  </si>
  <si>
    <t xml:space="preserve">LASA</t>
  </si>
  <si>
    <t xml:space="preserve">VAKRANGEE</t>
  </si>
  <si>
    <t xml:space="preserve">KRITIKA</t>
  </si>
  <si>
    <t xml:space="preserve">VISHWARAJ</t>
  </si>
  <si>
    <t xml:space="preserve">MORARJEE</t>
  </si>
  <si>
    <t xml:space="preserve">AXITA</t>
  </si>
  <si>
    <t xml:space="preserve">GAYAPROJ</t>
  </si>
  <si>
    <t xml:space="preserve">RADIOCITY</t>
  </si>
  <si>
    <t xml:space="preserve">IVC</t>
  </si>
  <si>
    <t xml:space="preserve">ZENITHSTL</t>
  </si>
  <si>
    <t xml:space="preserve">EXXARO</t>
  </si>
  <si>
    <t xml:space="preserve">BTML</t>
  </si>
  <si>
    <t xml:space="preserve">LPDC</t>
  </si>
  <si>
    <t xml:space="preserve">SALASAR</t>
  </si>
  <si>
    <t xml:space="preserve">AKSHOPTFBR</t>
  </si>
  <si>
    <t xml:space="preserve">SARVESHWAR</t>
  </si>
  <si>
    <t xml:space="preserve">TREEHOUSE</t>
  </si>
  <si>
    <t xml:space="preserve">TIJARIA</t>
  </si>
  <si>
    <t xml:space="preserve">CEREBRAINT</t>
  </si>
  <si>
    <t xml:space="preserve">RUCHINFRA</t>
  </si>
  <si>
    <t xml:space="preserve">GOYALALUM</t>
  </si>
  <si>
    <t xml:space="preserve">UNITECH</t>
  </si>
  <si>
    <t xml:space="preserve">ltp</t>
  </si>
  <si>
    <t xml:space="preserve">st 10-2-5</t>
  </si>
  <si>
    <t xml:space="preserve">ShortTermRank</t>
  </si>
  <si>
    <t xml:space="preserve">LongTermRank</t>
  </si>
  <si>
    <t xml:space="preserve">Nifty 500:  Strong</t>
  </si>
  <si>
    <t xml:space="preserve">Price above ST</t>
  </si>
  <si>
    <t xml:space="preserve">Price below ST</t>
  </si>
  <si>
    <t xml:space="preserve">CCI &gt;100</t>
  </si>
  <si>
    <t xml:space="preserve">CCI &lt;-100</t>
  </si>
  <si>
    <t xml:space="preserve">CNXNIFTYJUNIOR</t>
  </si>
  <si>
    <t xml:space="preserve">CNXMIDCAP</t>
  </si>
  <si>
    <t xml:space="preserve">NIFTYFMCG</t>
  </si>
  <si>
    <t xml:space="preserve">BANKNIFTY</t>
  </si>
  <si>
    <t xml:space="preserve">NIFTYCONSURDURBL</t>
  </si>
  <si>
    <t xml:space="preserve">CNXIT</t>
  </si>
  <si>
    <t xml:space="preserve">CNXENERGY</t>
  </si>
  <si>
    <t xml:space="preserve">NIFTYFINSEREXBNK</t>
  </si>
  <si>
    <t xml:space="preserve">NIFTYPVTBANK</t>
  </si>
  <si>
    <t xml:space="preserve">NIFTYFINSERVICE</t>
  </si>
  <si>
    <t xml:space="preserve">NIFTY100</t>
  </si>
  <si>
    <t xml:space="preserve">NIFTYAUTO</t>
  </si>
  <si>
    <t xml:space="preserve">NIFTY500</t>
  </si>
  <si>
    <t xml:space="preserve">CNXPHARMA</t>
  </si>
  <si>
    <t xml:space="preserve">NIFTYMSFINSERV</t>
  </si>
  <si>
    <t xml:space="preserve">CNXSMALLCAP</t>
  </si>
  <si>
    <t xml:space="preserve">NIFTYMIDCAP50</t>
  </si>
  <si>
    <t xml:space="preserve">NIFTYHEALTHCARE</t>
  </si>
  <si>
    <t xml:space="preserve">NIFTY200</t>
  </si>
  <si>
    <t xml:space="preserve">NIFTY50VALUE20</t>
  </si>
  <si>
    <t xml:space="preserve">NIFTYCONSUMPTION</t>
  </si>
  <si>
    <t xml:space="preserve">NIFTYGROWSECT15</t>
  </si>
  <si>
    <t xml:space="preserve">NIFTYOILANDGAS</t>
  </si>
  <si>
    <t xml:space="preserve">NIFTYMSITTELCM</t>
  </si>
  <si>
    <t xml:space="preserve">NIFTYMETAL</t>
  </si>
  <si>
    <t xml:space="preserve">CNXINFRA</t>
  </si>
  <si>
    <t xml:space="preserve">NIFTYCOMMODITIES</t>
  </si>
  <si>
    <t xml:space="preserve">NIFTYPSUBANK</t>
  </si>
  <si>
    <t xml:space="preserve">NIFTYCPSE</t>
  </si>
  <si>
    <t xml:space="preserve">NIFTYMEDIA</t>
  </si>
  <si>
    <t xml:space="preserve">CNXREALTY</t>
  </si>
  <si>
    <t xml:space="preserve">industrials</t>
  </si>
  <si>
    <t xml:space="preserve">fmcg</t>
  </si>
  <si>
    <t xml:space="preserve">finance</t>
  </si>
  <si>
    <t xml:space="preserve">cement</t>
  </si>
  <si>
    <t xml:space="preserve">power</t>
  </si>
  <si>
    <t xml:space="preserve">metals</t>
  </si>
  <si>
    <t xml:space="preserve">miscellaneous</t>
  </si>
  <si>
    <t xml:space="preserve">Pharma&amp;Healthcare</t>
  </si>
  <si>
    <t xml:space="preserve">auto</t>
  </si>
  <si>
    <t xml:space="preserve">oil&amp;gas</t>
  </si>
  <si>
    <t xml:space="preserve">bank</t>
  </si>
  <si>
    <t xml:space="preserve">aerospace &amp; defence</t>
  </si>
  <si>
    <t xml:space="preserve">telecom</t>
  </si>
  <si>
    <t xml:space="preserve">i.t</t>
  </si>
  <si>
    <t xml:space="preserve">services</t>
  </si>
  <si>
    <t xml:space="preserve">logistics</t>
  </si>
  <si>
    <t xml:space="preserve">realty</t>
  </si>
  <si>
    <t xml:space="preserve">retail</t>
  </si>
  <si>
    <t xml:space="preserve">infra</t>
  </si>
  <si>
    <t xml:space="preserve">textiles</t>
  </si>
  <si>
    <t xml:space="preserve">insurance</t>
  </si>
  <si>
    <t xml:space="preserve">consumer durables</t>
  </si>
  <si>
    <t xml:space="preserve">railway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</si>
</sst>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%"/>
    <numFmt numFmtId="166" formatCode="dd\ mmm\ yyyy"/>
    <numFmt numFmtId="167" formatCode="0.00"/>
    <numFmt numFmtId="168" formatCode="0"/>
    <numFmt numFmtId="169" formatCode="#,##0.00"/>
    <numFmt numFmtId="170" formatCode="&quot;TRUE&quot;;&quot;TRUE&quot;;&quot;FALSE&quot;"/>
  </numFmts>
  <fonts count="38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Arial"/>
      <family val="2"/>
      <charset val="1"/>
    </font>
    <font>
      <sz val="10"/>
      <color rgb="FF00B050"/>
      <name val="Arial"/>
      <family val="2"/>
      <charset val="1"/>
    </font>
    <font>
      <b val="true"/>
      <sz val="13"/>
      <color theme="1"/>
      <name val="Calibri"/>
      <family val="2"/>
      <charset val="1"/>
    </font>
    <font>
      <b val="true"/>
      <sz val="13"/>
      <color rgb="FFFF0000"/>
      <name val="Calibri"/>
      <family val="2"/>
      <charset val="1"/>
    </font>
    <font>
      <sz val="13"/>
      <color theme="1"/>
      <name val="Calibri"/>
      <family val="2"/>
      <charset val="1"/>
    </font>
    <font>
      <sz val="10"/>
      <color theme="1"/>
      <name val="Arial"/>
      <family val="2"/>
      <charset val="1"/>
    </font>
    <font>
      <b val="true"/>
      <sz val="13"/>
      <color rgb="FF00B050"/>
      <name val="Calibri"/>
      <family val="2"/>
      <charset val="1"/>
    </font>
    <font>
      <sz val="13"/>
      <color rgb="FF00B050"/>
      <name val="Calibri"/>
      <family val="2"/>
      <charset val="1"/>
    </font>
    <font>
      <sz val="14"/>
      <color rgb="FF000000"/>
      <name val="Arial"/>
      <family val="2"/>
      <charset val="1"/>
    </font>
    <font>
      <b val="true"/>
      <sz val="14"/>
      <color rgb="FF000000"/>
      <name val="Calibri"/>
      <family val="2"/>
      <charset val="1"/>
    </font>
    <font>
      <sz val="14"/>
      <color theme="1"/>
      <name val="Calibri"/>
      <family val="2"/>
      <charset val="1"/>
    </font>
    <font>
      <b val="true"/>
      <sz val="14"/>
      <color theme="1"/>
      <name val="Calibri"/>
      <family val="2"/>
      <charset val="1"/>
    </font>
    <font>
      <sz val="14"/>
      <color theme="1"/>
      <name val="Arial"/>
      <family val="2"/>
      <charset val="1"/>
    </font>
    <font>
      <sz val="16"/>
      <color rgb="FF000000"/>
      <name val="Arial"/>
      <family val="2"/>
      <charset val="1"/>
    </font>
    <font>
      <b val="true"/>
      <sz val="16"/>
      <color theme="2"/>
      <name val="Calibri"/>
      <family val="2"/>
      <charset val="1"/>
    </font>
    <font>
      <sz val="16"/>
      <color theme="1"/>
      <name val="Calibri"/>
      <family val="2"/>
      <charset val="1"/>
    </font>
    <font>
      <b val="true"/>
      <sz val="16"/>
      <color theme="1"/>
      <name val="Calibri"/>
      <family val="2"/>
      <charset val="1"/>
    </font>
    <font>
      <sz val="24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1"/>
    </font>
    <font>
      <b val="true"/>
      <sz val="11"/>
      <color theme="1"/>
      <name val="Calibri"/>
      <family val="2"/>
      <charset val="1"/>
    </font>
    <font>
      <sz val="13"/>
      <color rgb="FF0B8043"/>
      <name val="Calibri"/>
      <family val="2"/>
      <charset val="1"/>
    </font>
    <font>
      <sz val="13"/>
      <color rgb="FFFF0000"/>
      <name val="Calibri"/>
      <family val="2"/>
      <charset val="1"/>
    </font>
    <font>
      <b val="true"/>
      <sz val="28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sz val="14"/>
      <color theme="1"/>
      <name val="Arial"/>
      <family val="2"/>
      <charset val="1"/>
    </font>
    <font>
      <sz val="11"/>
      <color rgb="FF000000"/>
      <name val="Arial"/>
      <family val="2"/>
      <charset val="1"/>
    </font>
    <font>
      <b val="true"/>
      <sz val="16"/>
      <color rgb="FF000000"/>
      <name val="Arial"/>
      <family val="2"/>
      <charset val="1"/>
    </font>
    <font>
      <sz val="11"/>
      <color theme="2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10"/>
      <color theme="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theme="1"/>
      <name val="Arial"/>
      <family val="0"/>
      <charset val="1"/>
    </font>
    <font>
      <sz val="10"/>
      <color theme="1"/>
      <name val="Calibri"/>
      <family val="2"/>
      <charset val="1"/>
    </font>
  </fonts>
  <fills count="34">
    <fill>
      <patternFill patternType="none"/>
    </fill>
    <fill>
      <patternFill patternType="gray125"/>
    </fill>
    <fill>
      <patternFill patternType="solid">
        <fgColor theme="4" tint="0.7998"/>
        <bgColor rgb="FFDAF2F4"/>
      </patternFill>
    </fill>
    <fill>
      <patternFill patternType="solid">
        <fgColor theme="5" tint="0.7998"/>
        <bgColor rgb="FFFFE2CC"/>
      </patternFill>
    </fill>
    <fill>
      <patternFill patternType="solid">
        <fgColor theme="6" tint="0.7998"/>
        <bgColor rgb="FFFFFFCC"/>
      </patternFill>
    </fill>
    <fill>
      <patternFill patternType="solid">
        <fgColor theme="7" tint="0.7998"/>
        <bgColor rgb="FFDAF2F4"/>
      </patternFill>
    </fill>
    <fill>
      <patternFill patternType="solid">
        <fgColor theme="8" tint="0.7998"/>
        <bgColor rgb="FFFBD9D7"/>
      </patternFill>
    </fill>
    <fill>
      <patternFill patternType="solid">
        <fgColor theme="9" tint="0.7998"/>
        <bgColor rgb="FFD9E7FD"/>
      </patternFill>
    </fill>
    <fill>
      <patternFill patternType="solid">
        <fgColor theme="4" tint="0.5998"/>
        <bgColor rgb="FFB7DEE8"/>
      </patternFill>
    </fill>
    <fill>
      <patternFill patternType="solid">
        <fgColor theme="5" tint="0.5998"/>
        <bgColor rgb="FFFFC599"/>
      </patternFill>
    </fill>
    <fill>
      <patternFill patternType="solid">
        <fgColor theme="6" tint="0.5998"/>
        <bgColor rgb="FFFFE2CC"/>
      </patternFill>
    </fill>
    <fill>
      <patternFill patternType="solid">
        <fgColor theme="7" tint="0.5998"/>
        <bgColor rgb="FFB7E1CD"/>
      </patternFill>
    </fill>
    <fill>
      <patternFill patternType="solid">
        <fgColor theme="8" tint="0.5998"/>
        <bgColor rgb="FFF4C7C3"/>
      </patternFill>
    </fill>
    <fill>
      <patternFill patternType="solid">
        <fgColor theme="9" tint="0.5998"/>
        <bgColor rgb="FFB7DEE8"/>
      </patternFill>
    </fill>
    <fill>
      <patternFill patternType="solid">
        <fgColor theme="4" tint="0.3998"/>
        <bgColor rgb="FF90D7DD"/>
      </patternFill>
    </fill>
    <fill>
      <patternFill patternType="solid">
        <fgColor theme="5" tint="0.3998"/>
        <bgColor rgb="FFFFA767"/>
      </patternFill>
    </fill>
    <fill>
      <patternFill patternType="solid">
        <fgColor theme="6" tint="0.3998"/>
        <bgColor rgb="FFFDE49B"/>
      </patternFill>
    </fill>
    <fill>
      <patternFill patternType="solid">
        <fgColor theme="7" tint="0.3998"/>
        <bgColor rgb="FF92D050"/>
      </patternFill>
    </fill>
    <fill>
      <patternFill patternType="solid">
        <fgColor theme="8" tint="0.3998"/>
        <bgColor rgb="FFF28E86"/>
      </patternFill>
    </fill>
    <fill>
      <patternFill patternType="solid">
        <fgColor theme="9" tint="0.3998"/>
        <bgColor rgb="FFA6E4B7"/>
      </patternFill>
    </fill>
    <fill>
      <patternFill patternType="solid">
        <fgColor rgb="FFFFFFCC"/>
        <bgColor rgb="FFFEF2CD"/>
      </patternFill>
    </fill>
    <fill>
      <patternFill patternType="solid">
        <fgColor theme="0"/>
        <bgColor rgb="FFF3F3F3"/>
      </patternFill>
    </fill>
    <fill>
      <patternFill patternType="solid">
        <fgColor rgb="FFB7E1CD"/>
        <bgColor rgb="FFB7DEE8"/>
      </patternFill>
    </fill>
    <fill>
      <patternFill patternType="solid">
        <fgColor rgb="FFBDBDBD"/>
        <bgColor rgb="FFBFBFBF"/>
      </patternFill>
    </fill>
    <fill>
      <patternFill patternType="solid">
        <fgColor rgb="FFF3F3F3"/>
        <bgColor rgb="FFFFFFFF"/>
      </patternFill>
    </fill>
    <fill>
      <patternFill patternType="solid">
        <fgColor theme="4" tint="-0.5"/>
        <bgColor rgb="FF333399"/>
      </patternFill>
    </fill>
    <fill>
      <patternFill patternType="solid">
        <fgColor rgb="FF92D050"/>
        <bgColor rgb="FF7AD693"/>
      </patternFill>
    </fill>
    <fill>
      <patternFill patternType="solid">
        <fgColor theme="9"/>
        <bgColor rgb="FF7AD693"/>
      </patternFill>
    </fill>
    <fill>
      <patternFill patternType="solid">
        <fgColor rgb="FFFF0000"/>
        <bgColor rgb="FFC53929"/>
      </patternFill>
    </fill>
    <fill>
      <patternFill patternType="solid">
        <fgColor rgb="FFB7DEE8"/>
        <bgColor rgb="FFB5E5E8"/>
      </patternFill>
    </fill>
    <fill>
      <patternFill patternType="solid">
        <fgColor rgb="FFFFFF00"/>
        <bgColor rgb="FFFDD768"/>
      </patternFill>
    </fill>
    <fill>
      <patternFill patternType="solid">
        <fgColor rgb="FFBFBFBF"/>
        <bgColor rgb="FFBDBDBD"/>
      </patternFill>
    </fill>
    <fill>
      <patternFill patternType="solid">
        <fgColor rgb="FF000000"/>
        <bgColor rgb="FF003300"/>
      </patternFill>
    </fill>
    <fill>
      <patternFill patternType="solid">
        <fgColor rgb="FF0070C0"/>
        <bgColor rgb="FF093C92"/>
      </patternFill>
    </fill>
  </fills>
  <borders count="28">
    <border diagonalUp="false" diagonalDown="false">
      <left/>
      <right/>
      <top/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theme="0" tint="-0.15"/>
      </left>
      <right style="thin">
        <color theme="0" tint="-0.15"/>
      </right>
      <top style="thin">
        <color theme="0" tint="-0.15"/>
      </top>
      <bottom style="thin">
        <color theme="0" tint="-0.15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</borders>
  <cellStyleXfs count="4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8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9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1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8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9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0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0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1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1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6" fillId="21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21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21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1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3" fillId="23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4" fillId="21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5" fillId="21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14" fillId="21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4" fillId="24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6" fontId="1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8" fillId="2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1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9" fillId="21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1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4" fillId="0" borderId="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22" fillId="21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22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4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6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7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28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6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28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2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2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23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21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28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3" fillId="17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3" fillId="17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3" fillId="15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3" fillId="27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1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3" fillId="15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2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22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29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29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3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9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1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5" fillId="21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21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21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21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21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21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8" fillId="24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5" fillId="24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24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24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24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24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24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5" fillId="24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24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24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24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24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21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4" borderId="1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3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1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24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27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29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8" fillId="31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8" fillId="31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8" fillId="31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28" fillId="24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8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28" fillId="24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30" fillId="21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31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3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9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3" fillId="32" borderId="2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3" fillId="32" borderId="2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3" fillId="32" borderId="2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3" fillId="32" borderId="2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3" fillId="32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33" fillId="32" borderId="2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33" fillId="32" borderId="2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33" fillId="32" borderId="2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33" fillId="32" borderId="2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33" fillId="32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2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22" fillId="0" borderId="1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1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1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22" fillId="26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22" fillId="27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22" fillId="27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22" fillId="27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22" fillId="0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2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22" fillId="21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22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22" fillId="0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22" fillId="27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22" fillId="27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22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22" fillId="0" borderId="1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1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34" fillId="3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35" fillId="2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2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2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21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33" fillId="32" borderId="2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33" fillId="32" borderId="2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3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2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2" fillId="0" borderId="2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2" fillId="0" borderId="2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2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Accent1 2" xfId="20"/>
    <cellStyle name="20% - Accent2 2" xfId="21"/>
    <cellStyle name="20% - Accent3 2" xfId="22"/>
    <cellStyle name="20% - Accent4 2" xfId="23"/>
    <cellStyle name="20% - Accent5 2" xfId="24"/>
    <cellStyle name="20% - Accent6 2" xfId="25"/>
    <cellStyle name="40% - Accent1 2" xfId="26"/>
    <cellStyle name="40% - Accent2 2" xfId="27"/>
    <cellStyle name="40% - Accent3 2" xfId="28"/>
    <cellStyle name="40% - Accent4 2" xfId="29"/>
    <cellStyle name="40% - Accent5 2" xfId="30"/>
    <cellStyle name="40% - Accent6 2" xfId="31"/>
    <cellStyle name="60% - Accent1 2" xfId="32"/>
    <cellStyle name="60% - Accent2 2" xfId="33"/>
    <cellStyle name="60% - Accent3 2" xfId="34"/>
    <cellStyle name="60% - Accent4 2" xfId="35"/>
    <cellStyle name="60% - Accent5 2" xfId="36"/>
    <cellStyle name="60% - Accent6 2" xfId="37"/>
    <cellStyle name="Normal 2" xfId="38"/>
    <cellStyle name="Normal 3" xfId="39"/>
    <cellStyle name="Note 2" xfId="40"/>
    <cellStyle name="Note 3" xfId="41"/>
  </cellStyles>
  <dxfs count="49">
    <dxf>
      <fill>
        <patternFill patternType="solid">
          <fgColor rgb="FFBDBDBD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3F3F3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34A853"/>
          <bgColor rgb="FF000000"/>
        </patternFill>
      </fill>
    </dxf>
    <dxf>
      <fill>
        <patternFill patternType="solid">
          <fgColor rgb="FF0B8043"/>
          <bgColor rgb="FF000000"/>
        </patternFill>
      </fill>
    </dxf>
    <dxf>
      <fill>
        <patternFill patternType="solid">
          <fgColor rgb="FFC53929"/>
          <bgColor rgb="FF000000"/>
        </patternFill>
      </fill>
    </dxf>
    <dxf>
      <font>
        <name val="Arial"/>
        <charset val="1"/>
        <family val="0"/>
        <color rgb="FF000000"/>
      </font>
      <fill>
        <patternFill>
          <bgColor rgb="FFFF0000"/>
        </patternFill>
      </fill>
    </dxf>
    <dxf>
      <font>
        <name val="Arial"/>
        <charset val="1"/>
        <family val="0"/>
        <color rgb="FFFFFFFF"/>
      </font>
      <fill>
        <patternFill>
          <bgColor theme="7"/>
        </patternFill>
      </fill>
    </dxf>
    <dxf>
      <font>
        <name val="Arial"/>
        <charset val="1"/>
        <family val="0"/>
        <color rgb="FFFFFFFF"/>
      </font>
      <fill>
        <patternFill>
          <bgColor rgb="FFFF0000"/>
        </patternFill>
      </fill>
    </dxf>
    <dxf>
      <font>
        <name val="Arial"/>
        <charset val="1"/>
        <family val="0"/>
        <color rgb="FF0B8043"/>
      </font>
    </dxf>
    <dxf>
      <font>
        <name val="Arial"/>
        <charset val="1"/>
        <family val="0"/>
        <color rgb="FFC53929"/>
      </font>
    </dxf>
    <dxf>
      <font>
        <name val="Arial"/>
        <charset val="1"/>
        <family val="0"/>
        <color rgb="FFFFFFFF"/>
      </font>
      <fill>
        <patternFill>
          <bgColor rgb="FF34A853"/>
        </patternFill>
      </fill>
    </dxf>
    <dxf>
      <font>
        <name val="Arial"/>
        <charset val="1"/>
        <family val="0"/>
        <color rgb="FF000000"/>
      </font>
      <fill>
        <patternFill>
          <bgColor rgb="FF34A853"/>
        </patternFill>
      </fill>
    </dxf>
    <dxf>
      <font>
        <name val="Arial"/>
        <charset val="1"/>
        <family val="0"/>
        <color rgb="FF000000"/>
      </font>
      <fill>
        <patternFill>
          <bgColor theme="7"/>
        </patternFill>
      </fill>
    </dxf>
    <dxf>
      <fill>
        <patternFill patternType="solid">
          <fgColor rgb="FF093C92"/>
          <bgColor rgb="FF000000"/>
        </patternFill>
      </fill>
    </dxf>
    <dxf>
      <font>
        <name val="Arial"/>
        <charset val="1"/>
        <family val="0"/>
        <color rgb="FF000000"/>
      </font>
      <fill>
        <patternFill>
          <bgColor rgb="FFB7E1CD"/>
        </patternFill>
      </fill>
    </dxf>
    <dxf>
      <fill>
        <patternFill patternType="solid">
          <fgColor rgb="FFF4C7C3"/>
          <bgColor rgb="FF000000"/>
        </patternFill>
      </fill>
    </dxf>
    <dxf>
      <fill>
        <patternFill patternType="solid">
          <fgColor rgb="FFB7E1CD"/>
          <bgColor rgb="FF000000"/>
        </patternFill>
      </fill>
    </dxf>
    <dxf>
      <fill>
        <patternFill patternType="solid">
          <fgColor rgb="FF5A8AC6"/>
          <bgColor rgb="FF000000"/>
        </patternFill>
      </fill>
    </dxf>
    <dxf>
      <fill>
        <patternFill patternType="solid">
          <fgColor rgb="FF79A0D1"/>
          <bgColor rgb="FF000000"/>
        </patternFill>
      </fill>
    </dxf>
    <dxf>
      <fill>
        <patternFill patternType="solid">
          <fgColor rgb="FFA2BDE0"/>
          <bgColor rgb="FF000000"/>
        </patternFill>
      </fill>
    </dxf>
    <dxf>
      <fill>
        <patternFill patternType="solid">
          <fgColor rgb="FFC8D8ED"/>
          <bgColor rgb="FF000000"/>
        </patternFill>
      </fill>
    </dxf>
    <dxf>
      <fill>
        <patternFill patternType="solid">
          <fgColor rgb="FFF5F7FD"/>
          <bgColor rgb="FF000000"/>
        </patternFill>
      </fill>
    </dxf>
    <dxf>
      <fill>
        <patternFill patternType="solid">
          <fgColor rgb="FFF7F9FE"/>
          <bgColor rgb="FF000000"/>
        </patternFill>
      </fill>
    </dxf>
    <dxf>
      <fill>
        <patternFill patternType="solid">
          <fgColor rgb="FFF8696B"/>
          <bgColor rgb="FF000000"/>
        </patternFill>
      </fill>
    </dxf>
    <dxf>
      <fill>
        <patternFill patternType="solid">
          <fgColor rgb="FFF99295"/>
          <bgColor rgb="FF000000"/>
        </patternFill>
      </fill>
    </dxf>
    <dxf>
      <fill>
        <patternFill patternType="solid">
          <fgColor rgb="FFF99699"/>
          <bgColor rgb="FF000000"/>
        </patternFill>
      </fill>
    </dxf>
    <dxf>
      <fill>
        <patternFill patternType="solid">
          <fgColor rgb="FFF9A5A8"/>
          <bgColor rgb="FF000000"/>
        </patternFill>
      </fill>
    </dxf>
    <dxf>
      <fill>
        <patternFill patternType="solid">
          <fgColor rgb="FFF9ADAF"/>
          <bgColor rgb="FF000000"/>
        </patternFill>
      </fill>
    </dxf>
    <dxf>
      <fill>
        <patternFill patternType="solid">
          <fgColor rgb="FFF9ADB0"/>
          <bgColor rgb="FF000000"/>
        </patternFill>
      </fill>
    </dxf>
    <dxf>
      <fill>
        <patternFill patternType="solid">
          <fgColor rgb="FFFAB8BB"/>
          <bgColor rgb="FF000000"/>
        </patternFill>
      </fill>
    </dxf>
    <dxf>
      <fill>
        <patternFill patternType="solid">
          <fgColor rgb="FFFAB9BB"/>
          <bgColor rgb="FF000000"/>
        </patternFill>
      </fill>
    </dxf>
    <dxf>
      <fill>
        <patternFill patternType="solid">
          <fgColor rgb="FFFAC4C6"/>
          <bgColor rgb="FF000000"/>
        </patternFill>
      </fill>
    </dxf>
    <dxf>
      <fill>
        <patternFill patternType="solid">
          <fgColor rgb="FF7EA4D3"/>
          <bgColor rgb="FF000000"/>
        </patternFill>
      </fill>
    </dxf>
    <dxf>
      <fill>
        <patternFill patternType="solid">
          <fgColor rgb="FFA3BDE0"/>
          <bgColor rgb="FF000000"/>
        </patternFill>
      </fill>
    </dxf>
    <dxf>
      <fill>
        <patternFill patternType="solid">
          <fgColor rgb="FFC5D6EC"/>
          <bgColor rgb="FF000000"/>
        </patternFill>
      </fill>
    </dxf>
    <dxf>
      <fill>
        <patternFill patternType="solid">
          <fgColor rgb="FFF9A8AA"/>
          <bgColor rgb="FF000000"/>
        </patternFill>
      </fill>
    </dxf>
    <dxf>
      <fill>
        <patternFill patternType="solid">
          <fgColor rgb="FFF9AAAC"/>
          <bgColor rgb="FF000000"/>
        </patternFill>
      </fill>
    </dxf>
    <dxf>
      <fill>
        <patternFill patternType="solid">
          <fgColor rgb="FFFAB5B7"/>
          <bgColor rgb="FF000000"/>
        </patternFill>
      </fill>
    </dxf>
    <dxf>
      <fill>
        <patternFill patternType="solid">
          <fgColor rgb="FFFAC2C5"/>
          <bgColor rgb="FF000000"/>
        </patternFill>
      </fill>
    </dxf>
    <dxf>
      <fill>
        <patternFill patternType="solid">
          <fgColor rgb="FFFAC5C7"/>
          <bgColor rgb="FF000000"/>
        </patternFill>
      </fill>
    </dxf>
    <dxf>
      <fill>
        <patternFill patternType="solid">
          <fgColor rgb="FFFAC6C9"/>
          <bgColor rgb="FF000000"/>
        </patternFill>
      </fill>
    </dxf>
    <dxf>
      <fill>
        <patternFill patternType="solid">
          <fgColor rgb="FFFACDCF"/>
          <bgColor rgb="FF000000"/>
        </patternFill>
      </fill>
    </dxf>
    <dxf>
      <fill>
        <patternFill patternType="solid">
          <fgColor rgb="FFFBFBFE"/>
          <bgColor rgb="FF000000"/>
        </patternFill>
      </fill>
    </dxf>
    <dxf>
      <fill>
        <patternFill patternType="solid">
          <fgColor rgb="FFFCFCFF"/>
          <bgColor rgb="FF000000"/>
        </patternFill>
      </fill>
    </dxf>
    <dxf>
      <font>
        <name val="Arial"/>
        <charset val="1"/>
        <family val="0"/>
        <color rgb="FF000000"/>
      </font>
      <fill>
        <patternFill>
          <bgColor rgb="FFF4C7C3"/>
        </patternFill>
      </fill>
    </dxf>
  </dxfs>
  <colors>
    <indexedColors>
      <rgbColor rgb="FF000000"/>
      <rgbColor rgb="FFFFFFFF"/>
      <rgbColor rgb="FFFF0000"/>
      <rgbColor rgb="FFF3F3F3"/>
      <rgbColor rgb="FF0000FF"/>
      <rgbColor rgb="FFFFFF00"/>
      <rgbColor rgb="FFFF00FF"/>
      <rgbColor rgb="FFB5E5E8"/>
      <rgbColor rgb="FF800000"/>
      <rgbColor rgb="FF008000"/>
      <rgbColor rgb="FF000080"/>
      <rgbColor rgb="FFB7E1CD"/>
      <rgbColor rgb="FF800080"/>
      <rgbColor rgb="FF0B8043"/>
      <rgbColor rgb="FFBFBFBF"/>
      <rgbColor rgb="FF7AD693"/>
      <rgbColor rgb="FF8EB6F8"/>
      <rgbColor rgb="FFFFE2CC"/>
      <rgbColor rgb="FFFFFFCC"/>
      <rgbColor rgb="FFDAF2F4"/>
      <rgbColor rgb="FF660066"/>
      <rgbColor rgb="FFF28E86"/>
      <rgbColor rgb="FF0070C0"/>
      <rgbColor rgb="FFB3CEFB"/>
      <rgbColor rgb="FF000080"/>
      <rgbColor rgb="FFFF00FF"/>
      <rgbColor rgb="FFFDE49B"/>
      <rgbColor rgb="FFB7DEE8"/>
      <rgbColor rgb="FF800080"/>
      <rgbColor rgb="FF800000"/>
      <rgbColor rgb="FF00B050"/>
      <rgbColor rgb="FF0000FF"/>
      <rgbColor rgb="FFA6E4B7"/>
      <rgbColor rgb="FFD9E7FD"/>
      <rgbColor rgb="FFD3F1DB"/>
      <rgbColor rgb="FFFEF2CD"/>
      <rgbColor rgb="FF90D7DD"/>
      <rgbColor rgb="FFF7B4AE"/>
      <rgbColor rgb="FFBDBDBD"/>
      <rgbColor rgb="FFFFC599"/>
      <rgbColor rgb="FFFBD9D7"/>
      <rgbColor rgb="FF46BDC6"/>
      <rgbColor rgb="FF92D050"/>
      <rgbColor rgb="FFFDD768"/>
      <rgbColor rgb="FFFFA767"/>
      <rgbColor rgb="FFF4C7C3"/>
      <rgbColor rgb="FFD9D9D9"/>
      <rgbColor rgb="FFB2B2B2"/>
      <rgbColor rgb="FF093C92"/>
      <rgbColor rgb="FF34A853"/>
      <rgbColor rgb="FF003300"/>
      <rgbColor rgb="FF333300"/>
      <rgbColor rgb="FFC53929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ables/table1.xml><?xml version="1.0" encoding="utf-8"?>
<table xmlns="http://schemas.openxmlformats.org/spreadsheetml/2006/main" id="1" name="Table_1" displayName="Table_1" ref="A20:K34" headerRowCount="0" totalsRowCount="0" totalsRowShown="0">
  <tableColumns count="11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  <tableColumn id="9" name="Column9"/>
    <tableColumn id="10" name="Column10"/>
    <tableColumn id="11" name="Column11"/>
  </tableColumns>
</table>
</file>

<file path=xl/tables/table2.xml><?xml version="1.0" encoding="utf-8"?>
<table xmlns="http://schemas.openxmlformats.org/spreadsheetml/2006/main" id="2" name="Table_2" displayName="Table_2" ref="A6:O28" headerRowCount="0" totalsRowCount="0" totalsRowShown="0">
  <tableColumns count="15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  <tableColumn id="9" name="Column9"/>
    <tableColumn id="10" name="Column10"/>
    <tableColumn id="11" name="Column11"/>
    <tableColumn id="12" name="Column12"/>
    <tableColumn id="13" name="Column13"/>
    <tableColumn id="14" name="Column14"/>
    <tableColumn id="15" name="Column15"/>
  </tableColumns>
</table>
</file>

<file path=xl/tables/table3.xml><?xml version="1.0" encoding="utf-8"?>
<table xmlns="http://schemas.openxmlformats.org/spreadsheetml/2006/main" id="3" name="Table_3" displayName="Table_3" ref="A32:P54" headerRowCount="0" totalsRowCount="0" totalsRowShown="0">
  <tableColumns count="16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  <tableColumn id="9" name="Column9"/>
    <tableColumn id="10" name="Column10"/>
    <tableColumn id="11" name="Column11"/>
    <tableColumn id="12" name="Column12"/>
    <tableColumn id="13" name="Column13"/>
    <tableColumn id="14" name="Column14"/>
    <tableColumn id="15" name="Column15"/>
    <tableColumn id="16" name="Column16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table" Target="../tables/table3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true"/>
  </sheetPr>
  <dimension ref="A1:Z964"/>
  <sheetViews>
    <sheetView showFormulas="false" showGridLines="true" showRowColHeaders="true" showZeros="true" rightToLeft="false" tabSelected="true" showOutlineSymbols="true" defaultGridColor="true" view="normal" topLeftCell="A1" colorId="64" zoomScale="65" zoomScaleNormal="65" zoomScalePageLayoutView="100" workbookViewId="0">
      <pane xSplit="0" ySplit="1" topLeftCell="A290" activePane="bottomLeft" state="frozen"/>
      <selection pane="topLeft" activeCell="A1" activeCellId="0" sqref="A1"/>
      <selection pane="bottomLeft" activeCell="B306" activeCellId="0" sqref="B306"/>
    </sheetView>
  </sheetViews>
  <sheetFormatPr defaultColWidth="12.66796875" defaultRowHeight="12.75" customHeight="true" zeroHeight="false" outlineLevelRow="0" outlineLevelCol="0"/>
  <cols>
    <col collapsed="false" customWidth="true" hidden="false" outlineLevel="0" max="1" min="1" style="1" width="31.88"/>
    <col collapsed="false" customWidth="true" hidden="false" outlineLevel="0" max="2" min="2" style="2" width="11.33"/>
    <col collapsed="false" customWidth="true" hidden="false" outlineLevel="0" max="3" min="3" style="1" width="11.33"/>
    <col collapsed="false" customWidth="true" hidden="false" outlineLevel="0" max="4" min="4" style="2" width="11.33"/>
    <col collapsed="false" customWidth="true" hidden="false" outlineLevel="0" max="5" min="5" style="1" width="11.33"/>
    <col collapsed="false" customWidth="true" hidden="false" outlineLevel="0" max="6" min="6" style="2" width="21"/>
    <col collapsed="false" customWidth="true" hidden="false" outlineLevel="0" max="7" min="7" style="1" width="18.44"/>
    <col collapsed="false" customWidth="true" hidden="false" outlineLevel="0" max="9" min="8" style="1" width="11.33"/>
    <col collapsed="false" customWidth="true" hidden="false" outlineLevel="0" max="10" min="10" style="1" width="14.88"/>
    <col collapsed="false" customWidth="false" hidden="false" outlineLevel="0" max="11" min="11" style="1" width="12.67"/>
    <col collapsed="false" customWidth="true" hidden="false" outlineLevel="0" max="12" min="12" style="1" width="15"/>
    <col collapsed="false" customWidth="false" hidden="false" outlineLevel="0" max="16384" min="13" style="1" width="12.67"/>
  </cols>
  <sheetData>
    <row r="1" customFormat="false" ht="54" hidden="false" customHeight="true" outlineLevel="0" collapsed="false">
      <c r="A1" s="3" t="s">
        <v>0</v>
      </c>
      <c r="B1" s="4" t="s">
        <v>1</v>
      </c>
      <c r="C1" s="5" t="s">
        <v>2</v>
      </c>
      <c r="D1" s="6" t="s">
        <v>3</v>
      </c>
      <c r="E1" s="7" t="s">
        <v>4</v>
      </c>
      <c r="F1" s="4" t="s">
        <v>5</v>
      </c>
      <c r="G1" s="5" t="s">
        <v>6</v>
      </c>
      <c r="H1" s="6" t="s">
        <v>7</v>
      </c>
      <c r="I1" s="8" t="s">
        <v>8</v>
      </c>
      <c r="J1" s="9" t="s">
        <v>9</v>
      </c>
      <c r="K1" s="9" t="s">
        <v>10</v>
      </c>
      <c r="L1" s="9" t="s">
        <v>11</v>
      </c>
      <c r="M1" s="10"/>
      <c r="N1" s="11" t="n">
        <f aca="false">+'Data 3'!A3</f>
        <v>118</v>
      </c>
      <c r="O1" s="11" t="n">
        <f aca="false">+'Data 3'!B3</f>
        <v>98</v>
      </c>
      <c r="P1" s="11" t="n">
        <f aca="false">+'Data 3'!C3</f>
        <v>2</v>
      </c>
      <c r="Q1" s="11" t="n">
        <f aca="false">+'Data 3'!D3</f>
        <v>2</v>
      </c>
      <c r="R1" s="11" t="n">
        <f aca="false">+'Data 3'!E3</f>
        <v>58</v>
      </c>
      <c r="S1" s="11" t="n">
        <f aca="false">+'Data 3'!F3</f>
        <v>23</v>
      </c>
      <c r="T1" s="11" t="n">
        <f aca="false">+'Data 3'!G3</f>
        <v>55</v>
      </c>
      <c r="U1" s="12" t="n">
        <f aca="false">+'Data 3'!H3</f>
        <v>0.125</v>
      </c>
      <c r="V1" s="10"/>
      <c r="W1" s="10"/>
      <c r="X1" s="10"/>
      <c r="Y1" s="10"/>
      <c r="Z1" s="10"/>
    </row>
    <row r="2" customFormat="false" ht="43.5" hidden="true" customHeight="true" outlineLevel="0" collapsed="false">
      <c r="A2" s="13" t="n">
        <v>45383</v>
      </c>
      <c r="B2" s="14" t="n">
        <v>106</v>
      </c>
      <c r="C2" s="7" t="n">
        <v>76</v>
      </c>
      <c r="D2" s="14" t="n">
        <v>32</v>
      </c>
      <c r="E2" s="7" t="n">
        <v>0</v>
      </c>
      <c r="F2" s="14" t="n">
        <v>61</v>
      </c>
      <c r="G2" s="7" t="n">
        <v>8</v>
      </c>
      <c r="H2" s="6" t="n">
        <v>115</v>
      </c>
      <c r="I2" s="15" t="n">
        <v>0.314207650273224</v>
      </c>
      <c r="J2" s="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customFormat="false" ht="43.5" hidden="true" customHeight="true" outlineLevel="0" collapsed="false">
      <c r="A3" s="13" t="n">
        <v>45384</v>
      </c>
      <c r="B3" s="14" t="n">
        <v>125</v>
      </c>
      <c r="C3" s="7" t="n">
        <v>57</v>
      </c>
      <c r="D3" s="14" t="n">
        <v>19</v>
      </c>
      <c r="E3" s="7" t="n">
        <v>0</v>
      </c>
      <c r="F3" s="14" t="n">
        <v>71</v>
      </c>
      <c r="G3" s="7" t="n">
        <v>6</v>
      </c>
      <c r="H3" s="6" t="n">
        <v>152</v>
      </c>
      <c r="I3" s="15" t="n">
        <v>0.415300546448087</v>
      </c>
      <c r="J3" s="15" t="n">
        <f aca="false">I3-I2</f>
        <v>0.101092896174863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customFormat="false" ht="43.5" hidden="true" customHeight="true" outlineLevel="0" collapsed="false">
      <c r="A4" s="13" t="n">
        <v>45385</v>
      </c>
      <c r="B4" s="14" t="n">
        <v>133</v>
      </c>
      <c r="C4" s="7" t="n">
        <v>49</v>
      </c>
      <c r="D4" s="14" t="n">
        <v>9</v>
      </c>
      <c r="E4" s="7" t="n">
        <v>1</v>
      </c>
      <c r="F4" s="14" t="n">
        <v>74</v>
      </c>
      <c r="G4" s="7" t="n">
        <v>7</v>
      </c>
      <c r="H4" s="6" t="n">
        <v>159</v>
      </c>
      <c r="I4" s="15" t="n">
        <v>0.434426229508197</v>
      </c>
      <c r="J4" s="15" t="n">
        <f aca="false">I4-I3</f>
        <v>0.01912568306011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customFormat="false" ht="43.5" hidden="true" customHeight="true" outlineLevel="0" collapsed="false">
      <c r="A5" s="13" t="n">
        <v>45386</v>
      </c>
      <c r="B5" s="14" t="n">
        <v>137</v>
      </c>
      <c r="C5" s="7" t="n">
        <v>45</v>
      </c>
      <c r="D5" s="14" t="n">
        <v>5</v>
      </c>
      <c r="E5" s="7" t="n">
        <v>1</v>
      </c>
      <c r="F5" s="14" t="n">
        <v>75</v>
      </c>
      <c r="G5" s="7" t="n">
        <v>9</v>
      </c>
      <c r="H5" s="6" t="n">
        <v>162</v>
      </c>
      <c r="I5" s="15" t="n">
        <v>0.442622950819672</v>
      </c>
      <c r="J5" s="15" t="n">
        <f aca="false">I5-I4</f>
        <v>0.00819672131147503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customFormat="false" ht="43.5" hidden="true" customHeight="true" outlineLevel="0" collapsed="false">
      <c r="A6" s="13" t="n">
        <v>45387</v>
      </c>
      <c r="B6" s="14" t="n">
        <v>138</v>
      </c>
      <c r="C6" s="7" t="n">
        <v>44</v>
      </c>
      <c r="D6" s="14" t="n">
        <v>1</v>
      </c>
      <c r="E6" s="7" t="n">
        <v>0</v>
      </c>
      <c r="F6" s="14" t="n">
        <v>70</v>
      </c>
      <c r="G6" s="7" t="n">
        <v>5</v>
      </c>
      <c r="H6" s="6" t="n">
        <v>160</v>
      </c>
      <c r="I6" s="15" t="n">
        <v>0.437158469945355</v>
      </c>
      <c r="J6" s="15" t="n">
        <f aca="false">I6-I5</f>
        <v>-0.005464480874317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customFormat="false" ht="43.5" hidden="true" customHeight="true" outlineLevel="0" collapsed="false">
      <c r="A7" s="13" t="n">
        <v>45390</v>
      </c>
      <c r="B7" s="14" t="n">
        <v>141</v>
      </c>
      <c r="C7" s="7" t="n">
        <v>41</v>
      </c>
      <c r="D7" s="14" t="n">
        <v>4</v>
      </c>
      <c r="E7" s="7" t="n">
        <v>1</v>
      </c>
      <c r="F7" s="14" t="n">
        <v>81</v>
      </c>
      <c r="G7" s="7" t="n">
        <v>7</v>
      </c>
      <c r="H7" s="6" t="n">
        <v>177</v>
      </c>
      <c r="I7" s="15" t="n">
        <v>0.483606557377049</v>
      </c>
      <c r="J7" s="15" t="n">
        <f aca="false">I7-I6</f>
        <v>0.046448087431694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customFormat="false" ht="43.5" hidden="true" customHeight="true" outlineLevel="0" collapsed="false">
      <c r="A8" s="13" t="n">
        <v>45391</v>
      </c>
      <c r="B8" s="14" t="n">
        <v>141</v>
      </c>
      <c r="C8" s="7" t="n">
        <v>41</v>
      </c>
      <c r="D8" s="14" t="n">
        <v>1</v>
      </c>
      <c r="E8" s="7" t="n">
        <v>1</v>
      </c>
      <c r="F8" s="14" t="n">
        <v>79</v>
      </c>
      <c r="G8" s="7" t="n">
        <v>5</v>
      </c>
      <c r="H8" s="6" t="n">
        <v>174</v>
      </c>
      <c r="I8" s="15" t="n">
        <v>0.475409836065574</v>
      </c>
      <c r="J8" s="15" t="n">
        <f aca="false">I8-I7</f>
        <v>-0.00819672131147498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customFormat="false" ht="43.5" hidden="true" customHeight="true" outlineLevel="0" collapsed="false">
      <c r="A9" s="13" t="n">
        <v>45392</v>
      </c>
      <c r="B9" s="14" t="n">
        <v>146</v>
      </c>
      <c r="C9" s="7" t="n">
        <v>36</v>
      </c>
      <c r="D9" s="14" t="n">
        <v>6</v>
      </c>
      <c r="E9" s="7" t="n">
        <v>1</v>
      </c>
      <c r="F9" s="14" t="n">
        <v>83</v>
      </c>
      <c r="G9" s="7" t="n">
        <v>5</v>
      </c>
      <c r="H9" s="6" t="n">
        <v>193</v>
      </c>
      <c r="I9" s="15" t="n">
        <v>0.527322404371585</v>
      </c>
      <c r="J9" s="15" t="n">
        <f aca="false">I9-I8</f>
        <v>0.0519125683060109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customFormat="false" ht="43.5" hidden="true" customHeight="true" outlineLevel="0" collapsed="false">
      <c r="A10" s="13" t="n">
        <v>45394</v>
      </c>
      <c r="B10" s="14" t="n">
        <v>136</v>
      </c>
      <c r="C10" s="7" t="n">
        <v>46</v>
      </c>
      <c r="D10" s="14" t="n">
        <v>0</v>
      </c>
      <c r="E10" s="7" t="n">
        <v>10</v>
      </c>
      <c r="F10" s="14" t="n">
        <v>69</v>
      </c>
      <c r="G10" s="7" t="n">
        <v>7</v>
      </c>
      <c r="H10" s="6" t="n">
        <v>142</v>
      </c>
      <c r="I10" s="15" t="n">
        <v>0.387978142076503</v>
      </c>
      <c r="J10" s="15" t="n">
        <f aca="false">I10-I9</f>
        <v>-0.139344262295082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customFormat="false" ht="43.5" hidden="true" customHeight="true" outlineLevel="0" collapsed="false">
      <c r="A11" s="13" t="n">
        <v>45397</v>
      </c>
      <c r="B11" s="14" t="n">
        <v>123</v>
      </c>
      <c r="C11" s="7" t="n">
        <v>59</v>
      </c>
      <c r="D11" s="14" t="n">
        <v>1</v>
      </c>
      <c r="E11" s="7" t="n">
        <v>14</v>
      </c>
      <c r="F11" s="14" t="n">
        <v>24</v>
      </c>
      <c r="G11" s="7" t="n">
        <v>28</v>
      </c>
      <c r="H11" s="6" t="n">
        <v>47</v>
      </c>
      <c r="I11" s="15" t="n">
        <v>0.128415300546448</v>
      </c>
      <c r="J11" s="15" t="n">
        <f aca="false">I11-I10</f>
        <v>-0.259562841530055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customFormat="false" ht="43.5" hidden="true" customHeight="true" outlineLevel="0" collapsed="false">
      <c r="A12" s="13" t="n">
        <v>45398</v>
      </c>
      <c r="B12" s="14" t="n">
        <v>108</v>
      </c>
      <c r="C12" s="7" t="n">
        <v>74</v>
      </c>
      <c r="D12" s="14" t="n">
        <v>0</v>
      </c>
      <c r="E12" s="7" t="n">
        <v>15</v>
      </c>
      <c r="F12" s="14" t="n">
        <v>21</v>
      </c>
      <c r="G12" s="7" t="n">
        <v>35</v>
      </c>
      <c r="H12" s="6" t="n">
        <v>5</v>
      </c>
      <c r="I12" s="15" t="n">
        <v>0.0136612021857924</v>
      </c>
      <c r="J12" s="15" t="n">
        <f aca="false">I12-I11</f>
        <v>-0.114754098360656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customFormat="false" ht="43.5" hidden="true" customHeight="true" outlineLevel="0" collapsed="false">
      <c r="A13" s="13" t="n">
        <v>45400</v>
      </c>
      <c r="B13" s="14" t="n">
        <v>98</v>
      </c>
      <c r="C13" s="7" t="n">
        <v>84</v>
      </c>
      <c r="D13" s="14" t="n">
        <v>0</v>
      </c>
      <c r="E13" s="7" t="n">
        <v>10</v>
      </c>
      <c r="F13" s="14" t="n">
        <v>26</v>
      </c>
      <c r="G13" s="7" t="n">
        <v>36</v>
      </c>
      <c r="H13" s="6" t="n">
        <v>-6</v>
      </c>
      <c r="I13" s="15" t="n">
        <v>-0.0163934426229508</v>
      </c>
      <c r="J13" s="15" t="n">
        <f aca="false">I13-I12</f>
        <v>-0.0300546448087432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customFormat="false" ht="43.5" hidden="true" customHeight="true" outlineLevel="0" collapsed="false">
      <c r="A14" s="13" t="n">
        <v>45401</v>
      </c>
      <c r="B14" s="14" t="n">
        <v>89</v>
      </c>
      <c r="C14" s="7" t="n">
        <v>93</v>
      </c>
      <c r="D14" s="14" t="n">
        <v>0</v>
      </c>
      <c r="E14" s="7" t="n">
        <v>9</v>
      </c>
      <c r="F14" s="14" t="n">
        <v>10</v>
      </c>
      <c r="G14" s="7" t="n">
        <v>52</v>
      </c>
      <c r="H14" s="6" t="n">
        <v>-55</v>
      </c>
      <c r="I14" s="15" t="n">
        <v>-0.150273224043716</v>
      </c>
      <c r="J14" s="15" t="n">
        <f aca="false">I14-I13</f>
        <v>-0.133879781420765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customFormat="false" ht="43.5" hidden="true" customHeight="true" outlineLevel="0" collapsed="false">
      <c r="A15" s="13" t="n">
        <v>45402</v>
      </c>
      <c r="B15" s="14" t="n">
        <v>90</v>
      </c>
      <c r="C15" s="7" t="n">
        <v>92</v>
      </c>
      <c r="D15" s="14" t="n">
        <v>3</v>
      </c>
      <c r="E15" s="7" t="n">
        <v>2</v>
      </c>
      <c r="F15" s="14" t="n">
        <v>26</v>
      </c>
      <c r="G15" s="7" t="n">
        <v>26</v>
      </c>
      <c r="H15" s="6" t="n">
        <v>-1</v>
      </c>
      <c r="I15" s="15" t="n">
        <v>-0.00273224043715847</v>
      </c>
      <c r="J15" s="15" t="n">
        <f aca="false">I15-I14</f>
        <v>0.147540983606558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customFormat="false" ht="43.5" hidden="true" customHeight="true" outlineLevel="0" collapsed="false">
      <c r="A16" s="13" t="n">
        <v>45405</v>
      </c>
      <c r="B16" s="14" t="n">
        <v>93</v>
      </c>
      <c r="C16" s="7" t="n">
        <v>88</v>
      </c>
      <c r="D16" s="14" t="n">
        <v>3</v>
      </c>
      <c r="E16" s="7" t="n">
        <v>0</v>
      </c>
      <c r="F16" s="14" t="n">
        <v>37</v>
      </c>
      <c r="G16" s="7" t="n">
        <v>26</v>
      </c>
      <c r="H16" s="6" t="n">
        <v>19</v>
      </c>
      <c r="I16" s="15" t="n">
        <v>0.0519125683060109</v>
      </c>
      <c r="J16" s="15" t="n">
        <f aca="false">I16-I15</f>
        <v>0.0546448087431694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customFormat="false" ht="43.5" hidden="true" customHeight="true" outlineLevel="0" collapsed="false">
      <c r="A17" s="13" t="n">
        <v>45406</v>
      </c>
      <c r="B17" s="14" t="n">
        <v>97</v>
      </c>
      <c r="C17" s="7" t="n">
        <v>84</v>
      </c>
      <c r="D17" s="14" t="n">
        <v>5</v>
      </c>
      <c r="E17" s="7" t="n">
        <v>1</v>
      </c>
      <c r="F17" s="14" t="n">
        <v>44</v>
      </c>
      <c r="G17" s="7" t="n">
        <v>25</v>
      </c>
      <c r="H17" s="6" t="n">
        <v>36</v>
      </c>
      <c r="I17" s="15" t="n">
        <v>0.0983606557377049</v>
      </c>
      <c r="J17" s="15" t="n">
        <f aca="false">I17-I16</f>
        <v>0.046448087431694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customFormat="false" ht="43.5" hidden="true" customHeight="true" outlineLevel="0" collapsed="false">
      <c r="A18" s="13" t="n">
        <v>45407</v>
      </c>
      <c r="B18" s="14" t="n">
        <v>107</v>
      </c>
      <c r="C18" s="7" t="n">
        <v>74</v>
      </c>
      <c r="D18" s="14" t="n">
        <v>12</v>
      </c>
      <c r="E18" s="7" t="n">
        <v>2</v>
      </c>
      <c r="F18" s="14" t="n">
        <v>52</v>
      </c>
      <c r="G18" s="7" t="n">
        <v>26</v>
      </c>
      <c r="H18" s="6" t="n">
        <v>69</v>
      </c>
      <c r="I18" s="15" t="n">
        <v>0.188524590163934</v>
      </c>
      <c r="J18" s="15" t="n">
        <f aca="false">I18-I17</f>
        <v>0.0901639344262291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customFormat="false" ht="43.5" hidden="true" customHeight="true" outlineLevel="0" collapsed="false">
      <c r="A19" s="13" t="n">
        <v>45408</v>
      </c>
      <c r="B19" s="14" t="n">
        <v>111</v>
      </c>
      <c r="C19" s="7" t="n">
        <v>70</v>
      </c>
      <c r="D19" s="14" t="n">
        <v>9</v>
      </c>
      <c r="E19" s="7" t="n">
        <v>5</v>
      </c>
      <c r="F19" s="14" t="n">
        <v>67</v>
      </c>
      <c r="G19" s="7" t="n">
        <v>21</v>
      </c>
      <c r="H19" s="6" t="n">
        <v>91</v>
      </c>
      <c r="I19" s="15" t="n">
        <v>0.248633879781421</v>
      </c>
      <c r="J19" s="15" t="n">
        <f aca="false">I19-I18</f>
        <v>0.060109289617487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customFormat="false" ht="43.5" hidden="true" customHeight="true" outlineLevel="0" collapsed="false">
      <c r="A20" s="13" t="n">
        <v>45411</v>
      </c>
      <c r="B20" s="14" t="n">
        <v>112</v>
      </c>
      <c r="C20" s="7" t="n">
        <v>69</v>
      </c>
      <c r="D20" s="14" t="n">
        <v>2</v>
      </c>
      <c r="E20" s="7" t="n">
        <v>1</v>
      </c>
      <c r="F20" s="14" t="n">
        <v>72</v>
      </c>
      <c r="G20" s="7" t="n">
        <v>17</v>
      </c>
      <c r="H20" s="6" t="n">
        <v>99</v>
      </c>
      <c r="I20" s="15" t="n">
        <v>0.270491803278689</v>
      </c>
      <c r="J20" s="15" t="n">
        <f aca="false">I20-I19</f>
        <v>0.021857923497268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customFormat="false" ht="43.5" hidden="true" customHeight="true" outlineLevel="0" collapsed="false">
      <c r="A21" s="13" t="n">
        <v>45412</v>
      </c>
      <c r="B21" s="14" t="n">
        <v>116</v>
      </c>
      <c r="C21" s="7" t="n">
        <v>65</v>
      </c>
      <c r="D21" s="14" t="n">
        <v>6</v>
      </c>
      <c r="E21" s="7" t="n">
        <v>2</v>
      </c>
      <c r="F21" s="14" t="n">
        <v>69</v>
      </c>
      <c r="G21" s="7" t="n">
        <v>17</v>
      </c>
      <c r="H21" s="6" t="n">
        <v>107</v>
      </c>
      <c r="I21" s="15" t="n">
        <v>0.292349726775956</v>
      </c>
      <c r="J21" s="15" t="n">
        <f aca="false">I21-I20</f>
        <v>0.021857923497267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customFormat="false" ht="43.5" hidden="true" customHeight="true" outlineLevel="0" collapsed="false">
      <c r="A22" s="13" t="n">
        <v>45414</v>
      </c>
      <c r="B22" s="14" t="n">
        <v>129</v>
      </c>
      <c r="C22" s="7" t="n">
        <v>53</v>
      </c>
      <c r="D22" s="14" t="n">
        <v>13</v>
      </c>
      <c r="E22" s="7" t="n">
        <v>0</v>
      </c>
      <c r="F22" s="14" t="n">
        <v>72</v>
      </c>
      <c r="G22" s="7" t="n">
        <v>16</v>
      </c>
      <c r="H22" s="6" t="n">
        <v>145</v>
      </c>
      <c r="I22" s="15" t="n">
        <v>0.396174863387978</v>
      </c>
      <c r="J22" s="15" t="n">
        <f aca="false">I22-I21</f>
        <v>0.103825136612022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customFormat="false" ht="43.5" hidden="true" customHeight="true" outlineLevel="0" collapsed="false">
      <c r="A23" s="13" t="n">
        <v>45415</v>
      </c>
      <c r="B23" s="14" t="n">
        <v>125</v>
      </c>
      <c r="C23" s="7" t="n">
        <v>57</v>
      </c>
      <c r="D23" s="14" t="n">
        <v>1</v>
      </c>
      <c r="E23" s="7" t="n">
        <v>5</v>
      </c>
      <c r="F23" s="14" t="n">
        <v>66</v>
      </c>
      <c r="G23" s="7" t="n">
        <v>18</v>
      </c>
      <c r="H23" s="6" t="n">
        <v>112</v>
      </c>
      <c r="I23" s="15" t="n">
        <v>0.306010928961749</v>
      </c>
      <c r="J23" s="15" t="n">
        <f aca="false">I23-I22</f>
        <v>-0.0901639344262291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customFormat="false" ht="43.5" hidden="true" customHeight="true" outlineLevel="0" collapsed="false">
      <c r="A24" s="13" t="n">
        <v>45418</v>
      </c>
      <c r="B24" s="14" t="n">
        <v>116</v>
      </c>
      <c r="C24" s="7" t="n">
        <v>66</v>
      </c>
      <c r="D24" s="14" t="n">
        <v>2</v>
      </c>
      <c r="E24" s="7" t="n">
        <v>11</v>
      </c>
      <c r="F24" s="14" t="n">
        <v>49</v>
      </c>
      <c r="G24" s="7" t="n">
        <v>28</v>
      </c>
      <c r="H24" s="6" t="n">
        <v>62</v>
      </c>
      <c r="I24" s="15" t="n">
        <v>0.169398907103825</v>
      </c>
      <c r="J24" s="15" t="n">
        <f aca="false">I24-I23</f>
        <v>-0.136612021857924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customFormat="false" ht="43.5" hidden="true" customHeight="true" outlineLevel="0" collapsed="false">
      <c r="A25" s="13" t="n">
        <v>45419</v>
      </c>
      <c r="B25" s="14" t="n">
        <v>95</v>
      </c>
      <c r="C25" s="7" t="n">
        <v>87</v>
      </c>
      <c r="D25" s="14" t="n">
        <v>2</v>
      </c>
      <c r="E25" s="7" t="n">
        <v>23</v>
      </c>
      <c r="F25" s="14" t="n">
        <v>30</v>
      </c>
      <c r="G25" s="7" t="n">
        <v>50</v>
      </c>
      <c r="H25" s="6" t="n">
        <v>-33</v>
      </c>
      <c r="I25" s="15" t="n">
        <v>-0.0901639344262295</v>
      </c>
      <c r="J25" s="15" t="n">
        <f aca="false">I25-I24</f>
        <v>-0.259562841530055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customFormat="false" ht="43.5" hidden="true" customHeight="true" outlineLevel="0" collapsed="false">
      <c r="A26" s="13" t="n">
        <v>45420</v>
      </c>
      <c r="B26" s="14" t="n">
        <v>86</v>
      </c>
      <c r="C26" s="7" t="n">
        <v>96</v>
      </c>
      <c r="D26" s="14" t="n">
        <v>2</v>
      </c>
      <c r="E26" s="7" t="n">
        <v>11</v>
      </c>
      <c r="F26" s="14" t="n">
        <v>24</v>
      </c>
      <c r="G26" s="7" t="n">
        <v>51</v>
      </c>
      <c r="H26" s="6" t="n">
        <v>-46</v>
      </c>
      <c r="I26" s="15" t="n">
        <v>-0.12568306010929</v>
      </c>
      <c r="J26" s="15" t="n">
        <f aca="false">I26-I25</f>
        <v>-0.0355191256830605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customFormat="false" ht="43.5" hidden="true" customHeight="true" outlineLevel="0" collapsed="false">
      <c r="A27" s="13" t="n">
        <v>45421</v>
      </c>
      <c r="B27" s="14" t="n">
        <v>59</v>
      </c>
      <c r="C27" s="7" t="n">
        <v>123</v>
      </c>
      <c r="D27" s="14" t="n">
        <v>0</v>
      </c>
      <c r="E27" s="7" t="n">
        <v>27</v>
      </c>
      <c r="F27" s="14" t="n">
        <v>15</v>
      </c>
      <c r="G27" s="7" t="n">
        <v>68</v>
      </c>
      <c r="H27" s="6" t="n">
        <v>-144</v>
      </c>
      <c r="I27" s="15" t="n">
        <v>-0.39344262295082</v>
      </c>
      <c r="J27" s="15" t="n">
        <f aca="false">I27-I26</f>
        <v>-0.26775956284153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customFormat="false" ht="43.5" hidden="true" customHeight="true" outlineLevel="0" collapsed="false">
      <c r="A28" s="13" t="n">
        <v>45422</v>
      </c>
      <c r="B28" s="14" t="n">
        <v>59</v>
      </c>
      <c r="C28" s="7" t="n">
        <v>123</v>
      </c>
      <c r="D28" s="14" t="n">
        <v>1</v>
      </c>
      <c r="E28" s="7" t="n">
        <v>1</v>
      </c>
      <c r="F28" s="14" t="n">
        <v>17</v>
      </c>
      <c r="G28" s="7" t="n">
        <v>67</v>
      </c>
      <c r="H28" s="6" t="n">
        <v>-114</v>
      </c>
      <c r="I28" s="15" t="n">
        <v>-0.311475409836066</v>
      </c>
      <c r="J28" s="15" t="n">
        <f aca="false">I28-I27</f>
        <v>0.081967213114754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customFormat="false" ht="43.5" hidden="true" customHeight="true" outlineLevel="0" collapsed="false">
      <c r="A29" s="13" t="n">
        <v>45425</v>
      </c>
      <c r="B29" s="14" t="n">
        <v>61</v>
      </c>
      <c r="C29" s="7" t="n">
        <v>121</v>
      </c>
      <c r="D29" s="14" t="n">
        <v>3</v>
      </c>
      <c r="E29" s="7" t="n">
        <v>1</v>
      </c>
      <c r="F29" s="14" t="n">
        <v>21</v>
      </c>
      <c r="G29" s="7" t="n">
        <v>55</v>
      </c>
      <c r="H29" s="6" t="n">
        <v>-92</v>
      </c>
      <c r="I29" s="15" t="n">
        <v>-0.251366120218579</v>
      </c>
      <c r="J29" s="15" t="n">
        <f aca="false">I29-I28</f>
        <v>0.060109289617487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customFormat="false" ht="43.5" hidden="true" customHeight="true" outlineLevel="0" collapsed="false">
      <c r="A30" s="13" t="n">
        <v>45426</v>
      </c>
      <c r="B30" s="14" t="n">
        <v>65</v>
      </c>
      <c r="C30" s="7" t="n">
        <v>117</v>
      </c>
      <c r="D30" s="14" t="n">
        <v>5</v>
      </c>
      <c r="E30" s="7" t="n">
        <v>1</v>
      </c>
      <c r="F30" s="14" t="n">
        <v>34</v>
      </c>
      <c r="G30" s="7" t="n">
        <v>16</v>
      </c>
      <c r="H30" s="6" t="n">
        <v>-30</v>
      </c>
      <c r="I30" s="15" t="n">
        <v>-0.0819672131147541</v>
      </c>
      <c r="J30" s="15" t="n">
        <f aca="false">I30-I29</f>
        <v>0.169398907103825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customFormat="false" ht="43.5" hidden="true" customHeight="true" outlineLevel="0" collapsed="false">
      <c r="A31" s="13" t="n">
        <v>45427</v>
      </c>
      <c r="B31" s="14" t="n">
        <v>65</v>
      </c>
      <c r="C31" s="7" t="n">
        <v>117</v>
      </c>
      <c r="D31" s="14" t="n">
        <v>2</v>
      </c>
      <c r="E31" s="7" t="n">
        <v>2</v>
      </c>
      <c r="F31" s="14" t="n">
        <v>35</v>
      </c>
      <c r="G31" s="7" t="n">
        <v>19</v>
      </c>
      <c r="H31" s="6" t="n">
        <v>-36</v>
      </c>
      <c r="I31" s="15" t="n">
        <v>-0.0983606557377049</v>
      </c>
      <c r="J31" s="15" t="n">
        <f aca="false">I31-I30</f>
        <v>-0.0163934426229508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customFormat="false" ht="43.5" hidden="true" customHeight="true" outlineLevel="0" collapsed="false">
      <c r="A32" s="13" t="n">
        <v>45428</v>
      </c>
      <c r="B32" s="14" t="n">
        <v>78</v>
      </c>
      <c r="C32" s="7" t="n">
        <v>104</v>
      </c>
      <c r="D32" s="14" t="n">
        <v>13</v>
      </c>
      <c r="E32" s="7" t="n">
        <v>0</v>
      </c>
      <c r="F32" s="14" t="n">
        <v>34</v>
      </c>
      <c r="G32" s="7" t="n">
        <v>16</v>
      </c>
      <c r="H32" s="6" t="n">
        <v>5</v>
      </c>
      <c r="I32" s="15" t="n">
        <v>0.0136612021857924</v>
      </c>
      <c r="J32" s="15" t="n">
        <f aca="false">I32-I31</f>
        <v>0.112021857923497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customFormat="false" ht="43.5" hidden="true" customHeight="true" outlineLevel="0" collapsed="false">
      <c r="A33" s="13" t="n">
        <v>45429</v>
      </c>
      <c r="B33" s="14" t="n">
        <v>85</v>
      </c>
      <c r="C33" s="7" t="n">
        <v>97</v>
      </c>
      <c r="D33" s="14" t="n">
        <v>7</v>
      </c>
      <c r="E33" s="7" t="n">
        <v>0</v>
      </c>
      <c r="F33" s="14" t="n">
        <v>48</v>
      </c>
      <c r="G33" s="7" t="n">
        <v>5</v>
      </c>
      <c r="H33" s="6" t="n">
        <v>38</v>
      </c>
      <c r="I33" s="15" t="n">
        <v>0.103825136612022</v>
      </c>
      <c r="J33" s="15" t="n">
        <f aca="false">I33-I32</f>
        <v>0.0901639344262296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customFormat="false" ht="43.5" hidden="true" customHeight="true" outlineLevel="0" collapsed="false">
      <c r="A34" s="13" t="n">
        <v>45430</v>
      </c>
      <c r="B34" s="14" t="n">
        <v>91</v>
      </c>
      <c r="C34" s="7" t="n">
        <v>91</v>
      </c>
      <c r="D34" s="14" t="n">
        <v>6</v>
      </c>
      <c r="E34" s="7" t="n">
        <v>0</v>
      </c>
      <c r="F34" s="14" t="n">
        <v>52</v>
      </c>
      <c r="G34" s="7" t="n">
        <v>3</v>
      </c>
      <c r="H34" s="6" t="n">
        <v>55</v>
      </c>
      <c r="I34" s="15" t="n">
        <v>0.150273224043716</v>
      </c>
      <c r="J34" s="15" t="n">
        <f aca="false">I34-I33</f>
        <v>0.046448087431694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customFormat="false" ht="43.5" hidden="true" customHeight="true" outlineLevel="0" collapsed="false">
      <c r="A35" s="13" t="n">
        <v>45433</v>
      </c>
      <c r="B35" s="14" t="n">
        <v>96</v>
      </c>
      <c r="C35" s="7" t="n">
        <v>86</v>
      </c>
      <c r="D35" s="14" t="n">
        <v>6</v>
      </c>
      <c r="E35" s="7" t="n">
        <v>1</v>
      </c>
      <c r="F35" s="14" t="n">
        <v>55</v>
      </c>
      <c r="G35" s="7" t="n">
        <v>4</v>
      </c>
      <c r="H35" s="6" t="n">
        <v>66</v>
      </c>
      <c r="I35" s="15" t="n">
        <v>0.180327868852459</v>
      </c>
      <c r="J35" s="15" t="n">
        <f aca="false">I35-I34</f>
        <v>0.030054644808743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customFormat="false" ht="43.5" hidden="true" customHeight="true" outlineLevel="0" collapsed="false">
      <c r="A36" s="13" t="n">
        <v>45434</v>
      </c>
      <c r="B36" s="14" t="n">
        <v>102</v>
      </c>
      <c r="C36" s="7" t="n">
        <v>80</v>
      </c>
      <c r="D36" s="14" t="n">
        <v>7</v>
      </c>
      <c r="E36" s="7" t="n">
        <v>1</v>
      </c>
      <c r="F36" s="14" t="n">
        <v>54</v>
      </c>
      <c r="G36" s="7" t="n">
        <v>6</v>
      </c>
      <c r="H36" s="6" t="n">
        <v>76</v>
      </c>
      <c r="I36" s="15" t="n">
        <v>0.207650273224044</v>
      </c>
      <c r="J36" s="15" t="n">
        <f aca="false">I36-I35</f>
        <v>0.027322404371585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customFormat="false" ht="43.5" hidden="true" customHeight="true" outlineLevel="0" collapsed="false">
      <c r="A37" s="13" t="n">
        <v>45435</v>
      </c>
      <c r="B37" s="14" t="n">
        <v>105</v>
      </c>
      <c r="C37" s="7" t="n">
        <v>77</v>
      </c>
      <c r="D37" s="14" t="n">
        <v>4</v>
      </c>
      <c r="E37" s="7" t="n">
        <v>1</v>
      </c>
      <c r="F37" s="14" t="n">
        <v>64</v>
      </c>
      <c r="G37" s="7" t="n">
        <v>6</v>
      </c>
      <c r="H37" s="6" t="n">
        <v>89</v>
      </c>
      <c r="I37" s="15" t="n">
        <v>0.243169398907104</v>
      </c>
      <c r="J37" s="15" t="n">
        <f aca="false">I37-I36</f>
        <v>0.03551912568306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customFormat="false" ht="43.5" hidden="true" customHeight="true" outlineLevel="0" collapsed="false">
      <c r="A38" s="13" t="n">
        <v>45436</v>
      </c>
      <c r="B38" s="14" t="n">
        <v>109</v>
      </c>
      <c r="C38" s="7" t="n">
        <v>73</v>
      </c>
      <c r="D38" s="14" t="n">
        <v>3</v>
      </c>
      <c r="E38" s="7" t="n">
        <v>0</v>
      </c>
      <c r="F38" s="14" t="n">
        <v>59</v>
      </c>
      <c r="G38" s="7" t="n">
        <v>5</v>
      </c>
      <c r="H38" s="6" t="n">
        <v>93</v>
      </c>
      <c r="I38" s="15" t="n">
        <v>0.254098360655738</v>
      </c>
      <c r="J38" s="15" t="n">
        <f aca="false">I38-I37</f>
        <v>0.010928961748634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customFormat="false" ht="43.5" hidden="true" customHeight="true" outlineLevel="0" collapsed="false">
      <c r="A39" s="13" t="n">
        <v>45439</v>
      </c>
      <c r="B39" s="14" t="n">
        <v>110</v>
      </c>
      <c r="C39" s="7" t="n">
        <v>70</v>
      </c>
      <c r="D39" s="14" t="n">
        <v>6</v>
      </c>
      <c r="E39" s="7" t="n">
        <v>3</v>
      </c>
      <c r="F39" s="14" t="n">
        <v>59</v>
      </c>
      <c r="G39" s="7" t="n">
        <v>9</v>
      </c>
      <c r="H39" s="6" t="n">
        <v>93</v>
      </c>
      <c r="I39" s="15" t="n">
        <v>0.254098360655738</v>
      </c>
      <c r="J39" s="15" t="n">
        <f aca="false">I39-I38</f>
        <v>0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customFormat="false" ht="43.5" hidden="true" customHeight="true" outlineLevel="0" collapsed="false">
      <c r="A40" s="13" t="n">
        <v>45440</v>
      </c>
      <c r="B40" s="14" t="n">
        <v>113</v>
      </c>
      <c r="C40" s="7" t="n">
        <v>67</v>
      </c>
      <c r="D40" s="14" t="n">
        <v>4</v>
      </c>
      <c r="E40" s="7" t="n">
        <v>1</v>
      </c>
      <c r="F40" s="14" t="n">
        <v>51</v>
      </c>
      <c r="G40" s="7" t="n">
        <v>8</v>
      </c>
      <c r="H40" s="6" t="n">
        <v>92</v>
      </c>
      <c r="I40" s="15" t="n">
        <v>0.251366120218579</v>
      </c>
      <c r="J40" s="15" t="n">
        <f aca="false">I40-I39</f>
        <v>-0.00273224043715897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customFormat="false" ht="43.5" hidden="true" customHeight="true" outlineLevel="0" collapsed="false">
      <c r="A41" s="13" t="n">
        <v>45441</v>
      </c>
      <c r="B41" s="14" t="n">
        <v>108</v>
      </c>
      <c r="C41" s="7" t="n">
        <v>72</v>
      </c>
      <c r="D41" s="14" t="n">
        <v>1</v>
      </c>
      <c r="E41" s="7" t="n">
        <v>6</v>
      </c>
      <c r="F41" s="14" t="n">
        <v>30</v>
      </c>
      <c r="G41" s="7" t="n">
        <v>19</v>
      </c>
      <c r="H41" s="6" t="n">
        <v>42</v>
      </c>
      <c r="I41" s="15" t="n">
        <v>0.114754098360656</v>
      </c>
      <c r="J41" s="15" t="n">
        <f aca="false">I41-I40</f>
        <v>-0.136612021857923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customFormat="false" ht="43.5" hidden="true" customHeight="true" outlineLevel="0" collapsed="false">
      <c r="A42" s="13" t="n">
        <v>45442</v>
      </c>
      <c r="B42" s="14" t="n">
        <v>89</v>
      </c>
      <c r="C42" s="7" t="n">
        <v>91</v>
      </c>
      <c r="D42" s="14" t="n">
        <v>0</v>
      </c>
      <c r="E42" s="7" t="n">
        <v>19</v>
      </c>
      <c r="F42" s="14" t="n">
        <v>17</v>
      </c>
      <c r="G42" s="7" t="n">
        <v>44</v>
      </c>
      <c r="H42" s="6" t="n">
        <v>-48</v>
      </c>
      <c r="I42" s="15" t="n">
        <v>-0.131147540983607</v>
      </c>
      <c r="J42" s="15" t="n">
        <f aca="false">I42-I41</f>
        <v>-0.245901639344263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customFormat="false" ht="43.5" hidden="true" customHeight="true" outlineLevel="0" collapsed="false">
      <c r="A43" s="13" t="n">
        <v>45443</v>
      </c>
      <c r="B43" s="14" t="n">
        <v>83</v>
      </c>
      <c r="C43" s="7" t="n">
        <v>97</v>
      </c>
      <c r="D43" s="14" t="n">
        <v>0</v>
      </c>
      <c r="E43" s="7" t="n">
        <v>6</v>
      </c>
      <c r="F43" s="14" t="n">
        <v>12</v>
      </c>
      <c r="G43" s="7" t="n">
        <v>46</v>
      </c>
      <c r="H43" s="6" t="n">
        <v>-54</v>
      </c>
      <c r="I43" s="15" t="n">
        <v>-0.147540983606557</v>
      </c>
      <c r="J43" s="15" t="n">
        <f aca="false">I43-I42</f>
        <v>-0.01639344262295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customFormat="false" ht="43.5" hidden="true" customHeight="true" outlineLevel="0" collapsed="false">
      <c r="A44" s="13" t="n">
        <v>45446</v>
      </c>
      <c r="B44" s="14" t="n">
        <v>104</v>
      </c>
      <c r="C44" s="7" t="n">
        <v>78</v>
      </c>
      <c r="D44" s="14" t="n">
        <v>20</v>
      </c>
      <c r="E44" s="7" t="n">
        <v>1</v>
      </c>
      <c r="F44" s="14" t="n">
        <v>73</v>
      </c>
      <c r="G44" s="7" t="n">
        <v>18</v>
      </c>
      <c r="H44" s="6" t="n">
        <v>100</v>
      </c>
      <c r="I44" s="15" t="n">
        <v>0.273224043715847</v>
      </c>
      <c r="J44" s="15" t="n">
        <f aca="false">I44-I43</f>
        <v>0.420765027322404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customFormat="false" ht="43.5" hidden="true" customHeight="true" outlineLevel="0" collapsed="false">
      <c r="A45" s="13" t="n">
        <v>45447</v>
      </c>
      <c r="B45" s="14" t="n">
        <v>39</v>
      </c>
      <c r="C45" s="7" t="n">
        <v>143</v>
      </c>
      <c r="D45" s="14" t="n">
        <v>4</v>
      </c>
      <c r="E45" s="7" t="n">
        <v>69</v>
      </c>
      <c r="F45" s="14" t="n">
        <v>7</v>
      </c>
      <c r="G45" s="7" t="n">
        <v>101</v>
      </c>
      <c r="H45" s="6" t="n">
        <v>-263</v>
      </c>
      <c r="I45" s="15" t="n">
        <v>-0.718579234972678</v>
      </c>
      <c r="J45" s="15" t="n">
        <f aca="false">I45-I44</f>
        <v>-0.991803278688525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customFormat="false" ht="43.5" hidden="true" customHeight="true" outlineLevel="0" collapsed="false">
      <c r="A46" s="13" t="n">
        <v>45448</v>
      </c>
      <c r="B46" s="14" t="n">
        <v>46</v>
      </c>
      <c r="C46" s="7" t="n">
        <v>136</v>
      </c>
      <c r="D46" s="14" t="n">
        <v>7</v>
      </c>
      <c r="E46" s="7" t="n">
        <v>0</v>
      </c>
      <c r="F46" s="14" t="n">
        <v>29</v>
      </c>
      <c r="G46" s="7" t="n">
        <v>58</v>
      </c>
      <c r="H46" s="6" t="n">
        <v>-112</v>
      </c>
      <c r="I46" s="15" t="n">
        <v>-0.306010928961749</v>
      </c>
      <c r="J46" s="15" t="n">
        <f aca="false">I46-I45</f>
        <v>0.412568306010929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customFormat="false" ht="43.5" hidden="true" customHeight="true" outlineLevel="0" collapsed="false">
      <c r="A47" s="13" t="n">
        <v>45449</v>
      </c>
      <c r="B47" s="14" t="n">
        <v>69</v>
      </c>
      <c r="C47" s="7" t="n">
        <v>113</v>
      </c>
      <c r="D47" s="14" t="n">
        <v>23</v>
      </c>
      <c r="E47" s="7" t="n">
        <v>0</v>
      </c>
      <c r="F47" s="14" t="n">
        <v>60</v>
      </c>
      <c r="G47" s="7" t="n">
        <v>10</v>
      </c>
      <c r="H47" s="6" t="n">
        <v>29</v>
      </c>
      <c r="I47" s="15" t="n">
        <v>0.0792349726775956</v>
      </c>
      <c r="J47" s="15" t="n">
        <f aca="false">I47-I46</f>
        <v>0.385245901639345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customFormat="false" ht="43.5" hidden="true" customHeight="true" outlineLevel="0" collapsed="false">
      <c r="A48" s="13" t="n">
        <v>45450</v>
      </c>
      <c r="B48" s="14" t="n">
        <v>90</v>
      </c>
      <c r="C48" s="7" t="n">
        <v>92</v>
      </c>
      <c r="D48" s="14" t="n">
        <v>21</v>
      </c>
      <c r="E48" s="7" t="n">
        <v>0</v>
      </c>
      <c r="F48" s="14" t="n">
        <v>78</v>
      </c>
      <c r="G48" s="7" t="n">
        <v>3</v>
      </c>
      <c r="H48" s="6" t="n">
        <v>94</v>
      </c>
      <c r="I48" s="15" t="n">
        <v>0.256830601092896</v>
      </c>
      <c r="J48" s="15" t="n">
        <f aca="false">I48-I47</f>
        <v>0.1775956284153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customFormat="false" ht="43.5" hidden="true" customHeight="true" outlineLevel="0" collapsed="false">
      <c r="A49" s="13" t="n">
        <v>45453</v>
      </c>
      <c r="B49" s="14" t="n">
        <v>111</v>
      </c>
      <c r="C49" s="7" t="n">
        <v>71</v>
      </c>
      <c r="D49" s="14" t="n">
        <v>21</v>
      </c>
      <c r="E49" s="7" t="n">
        <v>0</v>
      </c>
      <c r="F49" s="14" t="n">
        <v>95</v>
      </c>
      <c r="G49" s="7" t="n">
        <v>0</v>
      </c>
      <c r="H49" s="6" t="n">
        <v>156</v>
      </c>
      <c r="I49" s="15" t="n">
        <v>0.426229508196721</v>
      </c>
      <c r="J49" s="15" t="n">
        <f aca="false">I49-I48</f>
        <v>0.169398907103825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customFormat="false" ht="43.5" hidden="true" customHeight="true" outlineLevel="0" collapsed="false">
      <c r="A50" s="13" t="n">
        <v>45454</v>
      </c>
      <c r="B50" s="14" t="n">
        <v>128</v>
      </c>
      <c r="C50" s="7" t="n">
        <v>54</v>
      </c>
      <c r="D50" s="14" t="n">
        <v>17</v>
      </c>
      <c r="E50" s="7" t="n">
        <v>0</v>
      </c>
      <c r="F50" s="14" t="n">
        <v>92</v>
      </c>
      <c r="G50" s="7" t="n">
        <v>0</v>
      </c>
      <c r="H50" s="6" t="n">
        <v>183</v>
      </c>
      <c r="I50" s="15" t="n">
        <v>0.5</v>
      </c>
      <c r="J50" s="15" t="n">
        <f aca="false">I50-I49</f>
        <v>0.073770491803279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customFormat="false" ht="43.5" hidden="true" customHeight="true" outlineLevel="0" collapsed="false">
      <c r="A51" s="13" t="n">
        <v>45455</v>
      </c>
      <c r="B51" s="14" t="n">
        <v>143</v>
      </c>
      <c r="C51" s="7" t="n">
        <v>39</v>
      </c>
      <c r="D51" s="14" t="n">
        <v>15</v>
      </c>
      <c r="E51" s="7" t="n">
        <v>0</v>
      </c>
      <c r="F51" s="14" t="n">
        <v>98</v>
      </c>
      <c r="G51" s="7" t="n">
        <v>0</v>
      </c>
      <c r="H51" s="6" t="n">
        <v>217</v>
      </c>
      <c r="I51" s="15" t="n">
        <v>0.592896174863388</v>
      </c>
      <c r="J51" s="15" t="n">
        <f aca="false">I51-I50</f>
        <v>0.092896174863388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customFormat="false" ht="43.5" hidden="true" customHeight="true" outlineLevel="0" collapsed="false">
      <c r="A52" s="13" t="n">
        <v>45456</v>
      </c>
      <c r="B52" s="14" t="n">
        <v>149</v>
      </c>
      <c r="C52" s="7" t="n">
        <v>33</v>
      </c>
      <c r="D52" s="14" t="n">
        <v>7</v>
      </c>
      <c r="E52" s="7" t="n">
        <v>1</v>
      </c>
      <c r="F52" s="14" t="n">
        <v>99</v>
      </c>
      <c r="G52" s="7" t="n">
        <v>0</v>
      </c>
      <c r="H52" s="6" t="n">
        <v>221</v>
      </c>
      <c r="I52" s="15" t="n">
        <v>0.603825136612022</v>
      </c>
      <c r="J52" s="15" t="n">
        <f aca="false">I52-I51</f>
        <v>0.010928961748634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customFormat="false" ht="43.5" hidden="true" customHeight="true" outlineLevel="0" collapsed="false">
      <c r="A53" s="13" t="n">
        <v>45457</v>
      </c>
      <c r="B53" s="14" t="n">
        <v>152</v>
      </c>
      <c r="C53" s="7" t="n">
        <v>30</v>
      </c>
      <c r="D53" s="14" t="n">
        <v>4</v>
      </c>
      <c r="E53" s="7" t="n">
        <v>1</v>
      </c>
      <c r="F53" s="14" t="n">
        <v>100</v>
      </c>
      <c r="G53" s="7" t="n">
        <v>0</v>
      </c>
      <c r="H53" s="6" t="n">
        <v>225</v>
      </c>
      <c r="I53" s="15" t="n">
        <v>0.614754098360656</v>
      </c>
      <c r="J53" s="15" t="n">
        <f aca="false">I53-I52</f>
        <v>0.010928961748634</v>
      </c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customFormat="false" ht="43.5" hidden="true" customHeight="true" outlineLevel="0" collapsed="false">
      <c r="A54" s="13" t="n">
        <v>45461</v>
      </c>
      <c r="B54" s="14" t="n">
        <v>156</v>
      </c>
      <c r="C54" s="7" t="n">
        <v>26</v>
      </c>
      <c r="D54" s="14" t="n">
        <v>4</v>
      </c>
      <c r="E54" s="7" t="n">
        <v>0</v>
      </c>
      <c r="F54" s="14" t="n">
        <v>90</v>
      </c>
      <c r="G54" s="7" t="n">
        <v>0</v>
      </c>
      <c r="H54" s="6" t="n">
        <v>224</v>
      </c>
      <c r="I54" s="15" t="n">
        <v>0.612021857923497</v>
      </c>
      <c r="J54" s="15" t="n">
        <f aca="false">I54-I53</f>
        <v>-0.00273224043715903</v>
      </c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customFormat="false" ht="43.5" hidden="true" customHeight="true" outlineLevel="0" collapsed="false">
      <c r="A55" s="13" t="n">
        <v>45462</v>
      </c>
      <c r="B55" s="14" t="n">
        <v>156</v>
      </c>
      <c r="C55" s="7" t="n">
        <v>26</v>
      </c>
      <c r="D55" s="14" t="n">
        <v>1</v>
      </c>
      <c r="E55" s="7" t="n">
        <v>1</v>
      </c>
      <c r="F55" s="14" t="n">
        <v>75</v>
      </c>
      <c r="G55" s="7" t="n">
        <v>3</v>
      </c>
      <c r="H55" s="6" t="n">
        <v>202</v>
      </c>
      <c r="I55" s="15" t="n">
        <v>0.551912568306011</v>
      </c>
      <c r="J55" s="15" t="n">
        <f aca="false">I55-I54</f>
        <v>-0.060109289617486</v>
      </c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customFormat="false" ht="43.5" hidden="true" customHeight="true" outlineLevel="0" collapsed="false">
      <c r="A56" s="13" t="n">
        <v>45463</v>
      </c>
      <c r="B56" s="14" t="n">
        <v>160</v>
      </c>
      <c r="C56" s="7" t="n">
        <v>22</v>
      </c>
      <c r="D56" s="14" t="n">
        <v>4</v>
      </c>
      <c r="E56" s="7" t="n">
        <v>0</v>
      </c>
      <c r="F56" s="14" t="n">
        <v>64</v>
      </c>
      <c r="G56" s="7" t="n">
        <v>3</v>
      </c>
      <c r="H56" s="6" t="n">
        <v>203</v>
      </c>
      <c r="I56" s="15" t="n">
        <v>0.554644808743169</v>
      </c>
      <c r="J56" s="15" t="n">
        <f aca="false">I56-I55</f>
        <v>0.00273224043715803</v>
      </c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customFormat="false" ht="43.5" hidden="true" customHeight="true" outlineLevel="0" collapsed="false">
      <c r="A57" s="13" t="n">
        <v>45464</v>
      </c>
      <c r="B57" s="14" t="n">
        <v>160</v>
      </c>
      <c r="C57" s="7" t="n">
        <v>22</v>
      </c>
      <c r="D57" s="14" t="n">
        <v>2</v>
      </c>
      <c r="E57" s="7" t="n">
        <v>2</v>
      </c>
      <c r="F57" s="14" t="n">
        <v>69</v>
      </c>
      <c r="G57" s="7" t="n">
        <v>5</v>
      </c>
      <c r="H57" s="6" t="n">
        <v>202</v>
      </c>
      <c r="I57" s="15" t="n">
        <v>0.551912568306011</v>
      </c>
      <c r="J57" s="15" t="n">
        <f aca="false">I57-I56</f>
        <v>-0.00273224043715803</v>
      </c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customFormat="false" ht="43.5" hidden="true" customHeight="true" outlineLevel="0" collapsed="false">
      <c r="A58" s="13" t="n">
        <v>45467</v>
      </c>
      <c r="B58" s="14" t="n">
        <v>161</v>
      </c>
      <c r="C58" s="7" t="n">
        <v>21</v>
      </c>
      <c r="D58" s="14" t="n">
        <v>2</v>
      </c>
      <c r="E58" s="7" t="n">
        <v>1</v>
      </c>
      <c r="F58" s="14" t="n">
        <v>47</v>
      </c>
      <c r="G58" s="7" t="n">
        <v>4</v>
      </c>
      <c r="H58" s="6" t="n">
        <v>184</v>
      </c>
      <c r="I58" s="15" t="n">
        <v>0.502732240437159</v>
      </c>
      <c r="J58" s="15" t="n">
        <f aca="false">I58-I57</f>
        <v>-0.049180327868852</v>
      </c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customFormat="false" ht="43.5" hidden="true" customHeight="true" outlineLevel="0" collapsed="false">
      <c r="A59" s="13" t="n">
        <v>45468</v>
      </c>
      <c r="B59" s="14" t="n">
        <v>159</v>
      </c>
      <c r="C59" s="7" t="n">
        <v>23</v>
      </c>
      <c r="D59" s="14" t="n">
        <v>0</v>
      </c>
      <c r="E59" s="7" t="n">
        <v>2</v>
      </c>
      <c r="F59" s="14" t="n">
        <v>44</v>
      </c>
      <c r="G59" s="7" t="n">
        <v>6</v>
      </c>
      <c r="H59" s="6" t="n">
        <v>172</v>
      </c>
      <c r="I59" s="15" t="n">
        <v>0.469945355191257</v>
      </c>
      <c r="J59" s="15" t="n">
        <f aca="false">I59-I58</f>
        <v>-0.032786885245902</v>
      </c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customFormat="false" ht="43.5" hidden="true" customHeight="true" outlineLevel="0" collapsed="false">
      <c r="A60" s="13" t="n">
        <v>45469</v>
      </c>
      <c r="B60" s="14" t="n">
        <v>157</v>
      </c>
      <c r="C60" s="7" t="n">
        <v>25</v>
      </c>
      <c r="D60" s="14" t="n">
        <v>1</v>
      </c>
      <c r="E60" s="7" t="n">
        <v>3</v>
      </c>
      <c r="F60" s="14" t="n">
        <v>39</v>
      </c>
      <c r="G60" s="7" t="n">
        <v>6</v>
      </c>
      <c r="H60" s="6" t="n">
        <v>163</v>
      </c>
      <c r="I60" s="15" t="n">
        <v>0.445355191256831</v>
      </c>
      <c r="J60" s="15" t="n">
        <f aca="false">I60-I59</f>
        <v>-0.024590163934426</v>
      </c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customFormat="false" ht="43.5" hidden="true" customHeight="true" outlineLevel="0" collapsed="false">
      <c r="A61" s="13" t="n">
        <v>45470</v>
      </c>
      <c r="B61" s="14" t="n">
        <v>154</v>
      </c>
      <c r="C61" s="7" t="n">
        <v>28</v>
      </c>
      <c r="D61" s="14" t="n">
        <v>1</v>
      </c>
      <c r="E61" s="7" t="n">
        <v>4</v>
      </c>
      <c r="F61" s="14" t="n">
        <v>36</v>
      </c>
      <c r="G61" s="7" t="n">
        <v>9</v>
      </c>
      <c r="H61" s="6" t="n">
        <v>150</v>
      </c>
      <c r="I61" s="15" t="n">
        <v>0.409836065573771</v>
      </c>
      <c r="J61" s="15" t="n">
        <f aca="false">I61-I60</f>
        <v>-0.03551912568306</v>
      </c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customFormat="false" ht="43.5" hidden="true" customHeight="true" outlineLevel="0" collapsed="false">
      <c r="A62" s="13" t="n">
        <v>45471</v>
      </c>
      <c r="B62" s="14" t="n">
        <v>152</v>
      </c>
      <c r="C62" s="7" t="n">
        <v>30</v>
      </c>
      <c r="D62" s="14" t="n">
        <v>1</v>
      </c>
      <c r="E62" s="7" t="n">
        <v>3</v>
      </c>
      <c r="F62" s="14" t="n">
        <v>43</v>
      </c>
      <c r="G62" s="7" t="n">
        <v>5</v>
      </c>
      <c r="H62" s="6" t="n">
        <v>158</v>
      </c>
      <c r="I62" s="15" t="n">
        <v>0.431693989071038</v>
      </c>
      <c r="J62" s="15" t="n">
        <f aca="false">I62-I61</f>
        <v>0.021857923497267</v>
      </c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customFormat="false" ht="43.5" hidden="true" customHeight="true" outlineLevel="0" collapsed="false">
      <c r="A63" s="13" t="n">
        <v>45474</v>
      </c>
      <c r="B63" s="14" t="n">
        <v>150</v>
      </c>
      <c r="C63" s="7" t="n">
        <v>32</v>
      </c>
      <c r="D63" s="14" t="n">
        <v>0</v>
      </c>
      <c r="E63" s="7" t="n">
        <v>2</v>
      </c>
      <c r="F63" s="14" t="n">
        <v>53</v>
      </c>
      <c r="G63" s="7" t="n">
        <v>3</v>
      </c>
      <c r="H63" s="6" t="n">
        <v>166</v>
      </c>
      <c r="I63" s="15" t="n">
        <v>0.453551912568306</v>
      </c>
      <c r="J63" s="15" t="n">
        <f aca="false">I63-I62</f>
        <v>0.021857923497268</v>
      </c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customFormat="false" ht="43.5" hidden="true" customHeight="true" outlineLevel="0" collapsed="false">
      <c r="A64" s="13" t="n">
        <v>45475</v>
      </c>
      <c r="B64" s="14" t="n">
        <v>146</v>
      </c>
      <c r="C64" s="7" t="n">
        <v>35</v>
      </c>
      <c r="D64" s="14" t="n">
        <v>0</v>
      </c>
      <c r="E64" s="7" t="n">
        <v>4</v>
      </c>
      <c r="F64" s="14" t="n">
        <v>51</v>
      </c>
      <c r="G64" s="7" t="n">
        <v>3</v>
      </c>
      <c r="H64" s="6" t="n">
        <v>155</v>
      </c>
      <c r="I64" s="15" t="n">
        <v>0.423497267759563</v>
      </c>
      <c r="J64" s="15" t="n">
        <f aca="false">I64-I63</f>
        <v>-0.030054644808743</v>
      </c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customFormat="false" ht="43.5" hidden="true" customHeight="true" outlineLevel="0" collapsed="false">
      <c r="A65" s="13" t="n">
        <v>45476</v>
      </c>
      <c r="B65" s="14" t="n">
        <v>144</v>
      </c>
      <c r="C65" s="7" t="n">
        <v>37</v>
      </c>
      <c r="D65" s="14" t="n">
        <v>0</v>
      </c>
      <c r="E65" s="7" t="n">
        <v>2</v>
      </c>
      <c r="F65" s="14" t="n">
        <v>60</v>
      </c>
      <c r="G65" s="7" t="n">
        <v>8</v>
      </c>
      <c r="H65" s="6" t="n">
        <v>157</v>
      </c>
      <c r="I65" s="15" t="n">
        <v>0.42896174863388</v>
      </c>
      <c r="J65" s="15" t="n">
        <f aca="false">I65-I64</f>
        <v>0.005464480874317</v>
      </c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customFormat="false" ht="43.5" hidden="true" customHeight="true" outlineLevel="0" collapsed="false">
      <c r="A66" s="13" t="n">
        <v>45477</v>
      </c>
      <c r="B66" s="14" t="n">
        <v>145</v>
      </c>
      <c r="C66" s="7" t="n">
        <v>36</v>
      </c>
      <c r="D66" s="14" t="n">
        <v>2</v>
      </c>
      <c r="E66" s="7" t="n">
        <v>1</v>
      </c>
      <c r="F66" s="14" t="n">
        <v>73</v>
      </c>
      <c r="G66" s="7" t="n">
        <v>9</v>
      </c>
      <c r="H66" s="6" t="n">
        <v>174</v>
      </c>
      <c r="I66" s="15" t="n">
        <v>0.475409836065574</v>
      </c>
      <c r="J66" s="15" t="n">
        <f aca="false">I66-I65</f>
        <v>0.046448087431694</v>
      </c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customFormat="false" ht="43.5" hidden="true" customHeight="true" outlineLevel="0" collapsed="false">
      <c r="A67" s="13" t="n">
        <v>45478</v>
      </c>
      <c r="B67" s="14" t="n">
        <v>145</v>
      </c>
      <c r="C67" s="7" t="n">
        <v>36</v>
      </c>
      <c r="D67" s="14" t="n">
        <v>2</v>
      </c>
      <c r="E67" s="7" t="n">
        <v>2</v>
      </c>
      <c r="F67" s="14" t="n">
        <v>71</v>
      </c>
      <c r="G67" s="7" t="n">
        <v>7</v>
      </c>
      <c r="H67" s="6" t="n">
        <v>173</v>
      </c>
      <c r="I67" s="15" t="n">
        <v>0.472677595628415</v>
      </c>
      <c r="J67" s="15" t="n">
        <f aca="false">I67-I66</f>
        <v>-0.00273224043715903</v>
      </c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customFormat="false" ht="43.5" hidden="true" customHeight="true" outlineLevel="0" collapsed="false">
      <c r="A68" s="13" t="n">
        <v>45481</v>
      </c>
      <c r="B68" s="14" t="n">
        <v>146</v>
      </c>
      <c r="C68" s="7" t="n">
        <v>35</v>
      </c>
      <c r="D68" s="14" t="n">
        <v>4</v>
      </c>
      <c r="E68" s="7" t="n">
        <v>3</v>
      </c>
      <c r="F68" s="14" t="n">
        <v>64</v>
      </c>
      <c r="G68" s="7" t="n">
        <v>14</v>
      </c>
      <c r="H68" s="6" t="n">
        <v>162</v>
      </c>
      <c r="I68" s="15" t="n">
        <v>0.442622950819672</v>
      </c>
      <c r="J68" s="15" t="n">
        <f aca="false">I68-I67</f>
        <v>-0.030054644808743</v>
      </c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customFormat="false" ht="43.5" hidden="true" customHeight="true" outlineLevel="0" collapsed="false">
      <c r="A69" s="13" t="n">
        <v>45482</v>
      </c>
      <c r="B69" s="14" t="n">
        <v>148</v>
      </c>
      <c r="C69" s="7" t="n">
        <v>33</v>
      </c>
      <c r="D69" s="14" t="n">
        <v>3</v>
      </c>
      <c r="E69" s="7" t="n">
        <v>1</v>
      </c>
      <c r="F69" s="14" t="n">
        <v>73</v>
      </c>
      <c r="G69" s="7" t="n">
        <v>16</v>
      </c>
      <c r="H69" s="6" t="n">
        <v>174</v>
      </c>
      <c r="I69" s="15" t="n">
        <v>0.475409836065574</v>
      </c>
      <c r="J69" s="15" t="n">
        <f aca="false">I69-I68</f>
        <v>0.032786885245902</v>
      </c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customFormat="false" ht="43.5" hidden="true" customHeight="true" outlineLevel="0" collapsed="false">
      <c r="A70" s="13" t="n">
        <v>45483</v>
      </c>
      <c r="B70" s="14" t="n">
        <v>145</v>
      </c>
      <c r="C70" s="7" t="n">
        <v>36</v>
      </c>
      <c r="D70" s="14" t="n">
        <v>1</v>
      </c>
      <c r="E70" s="7" t="n">
        <v>4</v>
      </c>
      <c r="F70" s="14" t="n">
        <v>53</v>
      </c>
      <c r="G70" s="7" t="n">
        <v>24</v>
      </c>
      <c r="H70" s="6" t="n">
        <v>135</v>
      </c>
      <c r="I70" s="15" t="n">
        <v>0.368852459016393</v>
      </c>
      <c r="J70" s="15" t="n">
        <f aca="false">I70-I69</f>
        <v>-0.106557377049181</v>
      </c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customFormat="false" ht="43.5" hidden="true" customHeight="true" outlineLevel="0" collapsed="false">
      <c r="A71" s="13" t="n">
        <v>45484</v>
      </c>
      <c r="B71" s="14" t="n">
        <v>144</v>
      </c>
      <c r="C71" s="7" t="n">
        <v>37</v>
      </c>
      <c r="D71" s="14" t="n">
        <v>2</v>
      </c>
      <c r="E71" s="7" t="n">
        <v>3</v>
      </c>
      <c r="F71" s="14" t="n">
        <v>60</v>
      </c>
      <c r="G71" s="7" t="n">
        <v>21</v>
      </c>
      <c r="H71" s="6" t="n">
        <v>145</v>
      </c>
      <c r="I71" s="15" t="n">
        <v>0.396174863387978</v>
      </c>
      <c r="J71" s="15" t="n">
        <f aca="false">I71-I70</f>
        <v>0.027322404371585</v>
      </c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customFormat="false" ht="43.5" hidden="true" customHeight="true" outlineLevel="0" collapsed="false">
      <c r="A72" s="13" t="n">
        <v>45485</v>
      </c>
      <c r="B72" s="14" t="n">
        <v>142</v>
      </c>
      <c r="C72" s="7" t="n">
        <v>39</v>
      </c>
      <c r="D72" s="14" t="n">
        <v>2</v>
      </c>
      <c r="E72" s="7" t="n">
        <v>4</v>
      </c>
      <c r="F72" s="14" t="n">
        <v>61</v>
      </c>
      <c r="G72" s="7" t="n">
        <v>25</v>
      </c>
      <c r="H72" s="6" t="n">
        <v>137</v>
      </c>
      <c r="I72" s="15" t="n">
        <v>0.37431693989071</v>
      </c>
      <c r="J72" s="15" t="n">
        <f aca="false">I72-I71</f>
        <v>-0.021857923497268</v>
      </c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customFormat="false" ht="43.5" hidden="true" customHeight="true" outlineLevel="0" collapsed="false">
      <c r="A73" s="13" t="n">
        <v>45488</v>
      </c>
      <c r="B73" s="14" t="n">
        <v>142</v>
      </c>
      <c r="C73" s="7" t="n">
        <v>39</v>
      </c>
      <c r="D73" s="14" t="n">
        <v>1</v>
      </c>
      <c r="E73" s="7" t="n">
        <v>1</v>
      </c>
      <c r="F73" s="14" t="n">
        <v>66</v>
      </c>
      <c r="G73" s="7" t="n">
        <v>20</v>
      </c>
      <c r="H73" s="6" t="n">
        <v>149</v>
      </c>
      <c r="I73" s="15" t="n">
        <v>0.407103825136612</v>
      </c>
      <c r="J73" s="15" t="n">
        <f aca="false">I73-I72</f>
        <v>0.032786885245902</v>
      </c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customFormat="false" ht="43.5" hidden="true" customHeight="true" outlineLevel="0" collapsed="false">
      <c r="A74" s="13" t="n">
        <v>45489</v>
      </c>
      <c r="B74" s="14" t="n">
        <v>142</v>
      </c>
      <c r="C74" s="7" t="n">
        <v>39</v>
      </c>
      <c r="D74" s="14" t="n">
        <v>1</v>
      </c>
      <c r="E74" s="7" t="n">
        <v>1</v>
      </c>
      <c r="F74" s="14" t="n">
        <v>70</v>
      </c>
      <c r="G74" s="7" t="n">
        <v>16</v>
      </c>
      <c r="H74" s="6" t="n">
        <v>157</v>
      </c>
      <c r="I74" s="15" t="n">
        <v>0.42896174863388</v>
      </c>
      <c r="J74" s="15" t="n">
        <f aca="false">I74-I73</f>
        <v>0.021857923497268</v>
      </c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customFormat="false" ht="43.5" hidden="true" customHeight="true" outlineLevel="0" collapsed="false">
      <c r="A75" s="13" t="n">
        <v>45491</v>
      </c>
      <c r="B75" s="14" t="n">
        <v>131</v>
      </c>
      <c r="C75" s="7" t="n">
        <v>50</v>
      </c>
      <c r="D75" s="14" t="n">
        <v>0</v>
      </c>
      <c r="E75" s="7" t="n">
        <v>11</v>
      </c>
      <c r="F75" s="14" t="n">
        <v>55</v>
      </c>
      <c r="G75" s="7" t="n">
        <v>28</v>
      </c>
      <c r="H75" s="6" t="n">
        <v>97</v>
      </c>
      <c r="I75" s="15" t="n">
        <v>0.265027322404372</v>
      </c>
      <c r="J75" s="15" t="n">
        <f aca="false">I75-I74</f>
        <v>-0.163934426229508</v>
      </c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customFormat="false" ht="43.5" hidden="true" customHeight="true" outlineLevel="0" collapsed="false">
      <c r="A76" s="13" t="n">
        <v>45492</v>
      </c>
      <c r="B76" s="14" t="n">
        <v>107</v>
      </c>
      <c r="C76" s="7" t="n">
        <v>74</v>
      </c>
      <c r="D76" s="14" t="n">
        <v>0</v>
      </c>
      <c r="E76" s="7" t="n">
        <v>24</v>
      </c>
      <c r="F76" s="14" t="n">
        <v>29</v>
      </c>
      <c r="G76" s="7" t="n">
        <v>53</v>
      </c>
      <c r="H76" s="6" t="n">
        <v>-15</v>
      </c>
      <c r="I76" s="15" t="n">
        <v>-0.040983606557377</v>
      </c>
      <c r="J76" s="15" t="n">
        <f aca="false">I76-I75</f>
        <v>-0.306010928961749</v>
      </c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customFormat="false" ht="43.5" hidden="true" customHeight="true" outlineLevel="0" collapsed="false">
      <c r="A77" s="13" t="n">
        <v>45495</v>
      </c>
      <c r="B77" s="14" t="n">
        <v>105</v>
      </c>
      <c r="C77" s="7" t="n">
        <v>76</v>
      </c>
      <c r="D77" s="14" t="n">
        <v>1</v>
      </c>
      <c r="E77" s="7" t="n">
        <v>3</v>
      </c>
      <c r="F77" s="14" t="n">
        <v>23</v>
      </c>
      <c r="G77" s="7" t="n">
        <v>54</v>
      </c>
      <c r="H77" s="6" t="n">
        <v>-4</v>
      </c>
      <c r="I77" s="15" t="n">
        <v>-0.0109289617486339</v>
      </c>
      <c r="J77" s="15" t="n">
        <f aca="false">I77-I76</f>
        <v>0.0300546448087431</v>
      </c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customFormat="false" ht="43.5" hidden="true" customHeight="true" outlineLevel="0" collapsed="false">
      <c r="A78" s="13" t="n">
        <v>45496</v>
      </c>
      <c r="B78" s="14" t="n">
        <v>98</v>
      </c>
      <c r="C78" s="7" t="n">
        <v>83</v>
      </c>
      <c r="D78" s="14" t="n">
        <v>2</v>
      </c>
      <c r="E78" s="7" t="n">
        <v>9</v>
      </c>
      <c r="F78" s="14" t="n">
        <v>24</v>
      </c>
      <c r="G78" s="7" t="n">
        <v>66</v>
      </c>
      <c r="H78" s="6" t="n">
        <v>-34</v>
      </c>
      <c r="I78" s="15" t="n">
        <v>-0.092896174863388</v>
      </c>
      <c r="J78" s="15" t="n">
        <f aca="false">I78-I77</f>
        <v>-0.0819672131147541</v>
      </c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customFormat="false" ht="43.5" hidden="true" customHeight="true" outlineLevel="0" collapsed="false">
      <c r="A79" s="13" t="n">
        <v>45497</v>
      </c>
      <c r="B79" s="14" t="n">
        <v>96</v>
      </c>
      <c r="C79" s="7" t="n">
        <v>85</v>
      </c>
      <c r="D79" s="14" t="n">
        <v>2</v>
      </c>
      <c r="E79" s="7" t="n">
        <v>4</v>
      </c>
      <c r="F79" s="14" t="n">
        <v>42</v>
      </c>
      <c r="G79" s="7" t="n">
        <v>51</v>
      </c>
      <c r="H79" s="6" t="n">
        <v>0</v>
      </c>
      <c r="I79" s="15" t="n">
        <v>0</v>
      </c>
      <c r="J79" s="15" t="n">
        <f aca="false">I79-I78</f>
        <v>0.092896174863388</v>
      </c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customFormat="false" ht="43.5" hidden="true" customHeight="true" outlineLevel="0" collapsed="false">
      <c r="A80" s="13" t="n">
        <v>45498</v>
      </c>
      <c r="B80" s="14" t="n">
        <v>95</v>
      </c>
      <c r="C80" s="7" t="n">
        <v>86</v>
      </c>
      <c r="D80" s="14" t="n">
        <v>3</v>
      </c>
      <c r="E80" s="7" t="n">
        <v>4</v>
      </c>
      <c r="F80" s="14" t="n">
        <v>47</v>
      </c>
      <c r="G80" s="7" t="n">
        <v>57</v>
      </c>
      <c r="H80" s="6" t="n">
        <v>-2</v>
      </c>
      <c r="I80" s="15" t="n">
        <v>-0.00546448087431694</v>
      </c>
      <c r="J80" s="15" t="n">
        <f aca="false">I80-I79</f>
        <v>-0.00546448087431694</v>
      </c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customFormat="false" ht="43.5" hidden="true" customHeight="true" outlineLevel="0" collapsed="false">
      <c r="A81" s="13" t="n">
        <v>45499</v>
      </c>
      <c r="B81" s="14" t="n">
        <v>106</v>
      </c>
      <c r="C81" s="7" t="n">
        <v>75</v>
      </c>
      <c r="D81" s="14" t="n">
        <v>11</v>
      </c>
      <c r="E81" s="7" t="n">
        <v>0</v>
      </c>
      <c r="F81" s="14" t="n">
        <v>68</v>
      </c>
      <c r="G81" s="7" t="n">
        <v>14</v>
      </c>
      <c r="H81" s="6" t="n">
        <v>96</v>
      </c>
      <c r="I81" s="15" t="n">
        <v>0.262295081967213</v>
      </c>
      <c r="J81" s="15" t="n">
        <f aca="false">I81-I80</f>
        <v>0.26775956284153</v>
      </c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customFormat="false" ht="43.5" hidden="true" customHeight="true" outlineLevel="0" collapsed="false">
      <c r="A82" s="13" t="n">
        <v>45502</v>
      </c>
      <c r="B82" s="14" t="n">
        <v>116</v>
      </c>
      <c r="C82" s="7" t="n">
        <v>65</v>
      </c>
      <c r="D82" s="14" t="n">
        <v>13</v>
      </c>
      <c r="E82" s="7" t="n">
        <v>2</v>
      </c>
      <c r="F82" s="14" t="n">
        <v>80</v>
      </c>
      <c r="G82" s="7" t="n">
        <v>7</v>
      </c>
      <c r="H82" s="6" t="n">
        <v>135</v>
      </c>
      <c r="I82" s="15" t="n">
        <v>0.368852459016393</v>
      </c>
      <c r="J82" s="15" t="n">
        <f aca="false">I82-I81</f>
        <v>0.10655737704918</v>
      </c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customFormat="false" ht="43.5" hidden="true" customHeight="true" outlineLevel="0" collapsed="false">
      <c r="A83" s="13" t="n">
        <v>45503</v>
      </c>
      <c r="B83" s="14" t="n">
        <v>122</v>
      </c>
      <c r="C83" s="7" t="n">
        <v>59</v>
      </c>
      <c r="D83" s="14" t="n">
        <v>6</v>
      </c>
      <c r="E83" s="7" t="n">
        <v>0</v>
      </c>
      <c r="F83" s="14" t="n">
        <v>89</v>
      </c>
      <c r="G83" s="7" t="n">
        <v>6</v>
      </c>
      <c r="H83" s="6" t="n">
        <v>152</v>
      </c>
      <c r="I83" s="15" t="n">
        <v>0.415300546448087</v>
      </c>
      <c r="J83" s="15" t="n">
        <f aca="false">I83-I82</f>
        <v>0.046448087431694</v>
      </c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customFormat="false" ht="43.5" hidden="true" customHeight="true" outlineLevel="0" collapsed="false">
      <c r="A84" s="13" t="n">
        <v>45504</v>
      </c>
      <c r="B84" s="14" t="n">
        <v>128</v>
      </c>
      <c r="C84" s="7" t="n">
        <v>53</v>
      </c>
      <c r="D84" s="14" t="n">
        <v>7</v>
      </c>
      <c r="E84" s="7" t="n">
        <v>1</v>
      </c>
      <c r="F84" s="14" t="n">
        <v>93</v>
      </c>
      <c r="G84" s="7" t="n">
        <v>6</v>
      </c>
      <c r="H84" s="6" t="n">
        <v>168</v>
      </c>
      <c r="I84" s="15" t="n">
        <v>0.459016393442623</v>
      </c>
      <c r="J84" s="15" t="n">
        <f aca="false">I84-I83</f>
        <v>0.043715846994536</v>
      </c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customFormat="false" ht="43.5" hidden="true" customHeight="true" outlineLevel="0" collapsed="false">
      <c r="A85" s="13" t="n">
        <v>45505</v>
      </c>
      <c r="B85" s="14" t="n">
        <v>129</v>
      </c>
      <c r="C85" s="7" t="n">
        <v>52</v>
      </c>
      <c r="D85" s="14" t="n">
        <v>3</v>
      </c>
      <c r="E85" s="7" t="n">
        <v>2</v>
      </c>
      <c r="F85" s="14" t="n">
        <v>79</v>
      </c>
      <c r="G85" s="7" t="n">
        <v>10</v>
      </c>
      <c r="H85" s="6" t="n">
        <v>147</v>
      </c>
      <c r="I85" s="15" t="n">
        <v>0.401639344262295</v>
      </c>
      <c r="J85" s="15" t="n">
        <f aca="false">I85-I84</f>
        <v>-0.057377049180328</v>
      </c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customFormat="false" ht="43.5" hidden="true" customHeight="true" outlineLevel="0" collapsed="false">
      <c r="A86" s="13" t="n">
        <v>45506</v>
      </c>
      <c r="B86" s="14" t="n">
        <v>120</v>
      </c>
      <c r="C86" s="7" t="n">
        <v>61</v>
      </c>
      <c r="D86" s="14" t="n">
        <v>0</v>
      </c>
      <c r="E86" s="7" t="n">
        <v>9</v>
      </c>
      <c r="F86" s="14" t="n">
        <v>51</v>
      </c>
      <c r="G86" s="7" t="n">
        <v>28</v>
      </c>
      <c r="H86" s="6" t="n">
        <v>73</v>
      </c>
      <c r="I86" s="15" t="n">
        <v>0.199453551912568</v>
      </c>
      <c r="J86" s="15" t="n">
        <f aca="false">I86-I85</f>
        <v>-0.202185792349727</v>
      </c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customFormat="false" ht="43.5" hidden="true" customHeight="true" outlineLevel="0" collapsed="false">
      <c r="A87" s="13" t="n">
        <v>45509</v>
      </c>
      <c r="B87" s="14" t="n">
        <v>75</v>
      </c>
      <c r="C87" s="7" t="n">
        <v>106</v>
      </c>
      <c r="D87" s="14" t="n">
        <v>0</v>
      </c>
      <c r="E87" s="7" t="n">
        <v>45</v>
      </c>
      <c r="F87" s="14" t="n">
        <v>11</v>
      </c>
      <c r="G87" s="7" t="n">
        <v>76</v>
      </c>
      <c r="H87" s="6" t="n">
        <v>-141</v>
      </c>
      <c r="I87" s="15" t="n">
        <v>-0.385245901639344</v>
      </c>
      <c r="J87" s="15" t="n">
        <f aca="false">I87-I86</f>
        <v>-0.584699453551912</v>
      </c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customFormat="false" ht="43.5" hidden="true" customHeight="true" outlineLevel="0" collapsed="false">
      <c r="A88" s="13" t="n">
        <v>45510</v>
      </c>
      <c r="B88" s="14" t="n">
        <v>63</v>
      </c>
      <c r="C88" s="7" t="n">
        <v>118</v>
      </c>
      <c r="D88" s="14" t="n">
        <v>0</v>
      </c>
      <c r="E88" s="7" t="n">
        <v>11</v>
      </c>
      <c r="F88" s="14" t="n">
        <v>13</v>
      </c>
      <c r="G88" s="7" t="n">
        <v>67</v>
      </c>
      <c r="H88" s="6" t="n">
        <v>-120</v>
      </c>
      <c r="I88" s="15" t="n">
        <v>-0.327868852459016</v>
      </c>
      <c r="J88" s="15" t="n">
        <f aca="false">I88-I87</f>
        <v>0.057377049180328</v>
      </c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customFormat="false" ht="43.5" hidden="true" customHeight="true" outlineLevel="0" collapsed="false">
      <c r="A89" s="13" t="n">
        <v>45511</v>
      </c>
      <c r="B89" s="14" t="n">
        <v>62</v>
      </c>
      <c r="C89" s="7" t="n">
        <v>119</v>
      </c>
      <c r="D89" s="14" t="n">
        <v>1</v>
      </c>
      <c r="E89" s="7" t="n">
        <v>2</v>
      </c>
      <c r="F89" s="14" t="n">
        <v>24</v>
      </c>
      <c r="G89" s="7" t="n">
        <v>45</v>
      </c>
      <c r="H89" s="6" t="n">
        <v>-79</v>
      </c>
      <c r="I89" s="15" t="n">
        <v>-0.215846994535519</v>
      </c>
      <c r="J89" s="15" t="n">
        <f aca="false">I89-I88</f>
        <v>0.112021857923497</v>
      </c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customFormat="false" ht="43.5" hidden="true" customHeight="true" outlineLevel="0" collapsed="false">
      <c r="A90" s="13" t="n">
        <v>45512</v>
      </c>
      <c r="B90" s="14" t="n">
        <v>60</v>
      </c>
      <c r="C90" s="7" t="n">
        <v>121</v>
      </c>
      <c r="D90" s="14" t="n">
        <v>0</v>
      </c>
      <c r="E90" s="7" t="n">
        <v>2</v>
      </c>
      <c r="F90" s="14" t="n">
        <v>24</v>
      </c>
      <c r="G90" s="7" t="n">
        <v>53</v>
      </c>
      <c r="H90" s="6" t="n">
        <v>-92</v>
      </c>
      <c r="I90" s="15" t="n">
        <v>-0.251366120218579</v>
      </c>
      <c r="J90" s="15" t="n">
        <f aca="false">I90-I89</f>
        <v>-0.03551912568306</v>
      </c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customFormat="false" ht="43.5" hidden="true" customHeight="true" outlineLevel="0" collapsed="false">
      <c r="A91" s="13" t="n">
        <v>45513</v>
      </c>
      <c r="B91" s="14" t="n">
        <v>61</v>
      </c>
      <c r="C91" s="7" t="n">
        <v>120</v>
      </c>
      <c r="D91" s="14" t="n">
        <v>2</v>
      </c>
      <c r="E91" s="7" t="n">
        <v>1</v>
      </c>
      <c r="F91" s="14" t="n">
        <v>25</v>
      </c>
      <c r="G91" s="7" t="n">
        <v>41</v>
      </c>
      <c r="H91" s="6" t="n">
        <v>-74</v>
      </c>
      <c r="I91" s="15" t="n">
        <v>-0.202185792349727</v>
      </c>
      <c r="J91" s="15" t="n">
        <f aca="false">I91-I90</f>
        <v>0.049180327868852</v>
      </c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customFormat="false" ht="43.5" hidden="true" customHeight="true" outlineLevel="0" collapsed="false">
      <c r="A92" s="13" t="n">
        <v>45516</v>
      </c>
      <c r="B92" s="14" t="n">
        <v>60</v>
      </c>
      <c r="C92" s="7" t="n">
        <v>121</v>
      </c>
      <c r="D92" s="14" t="n">
        <v>2</v>
      </c>
      <c r="E92" s="7" t="n">
        <v>3</v>
      </c>
      <c r="F92" s="14" t="n">
        <v>22</v>
      </c>
      <c r="G92" s="7" t="n">
        <v>43</v>
      </c>
      <c r="H92" s="6" t="n">
        <v>-83</v>
      </c>
      <c r="I92" s="15" t="n">
        <v>-0.226775956284153</v>
      </c>
      <c r="J92" s="15" t="n">
        <f aca="false">I92-I91</f>
        <v>-0.024590163934426</v>
      </c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customFormat="false" ht="43.5" hidden="true" customHeight="true" outlineLevel="0" collapsed="false">
      <c r="A93" s="13" t="n">
        <v>45517</v>
      </c>
      <c r="B93" s="14" t="n">
        <v>53</v>
      </c>
      <c r="C93" s="7" t="n">
        <v>128</v>
      </c>
      <c r="D93" s="14" t="n">
        <v>0</v>
      </c>
      <c r="E93" s="7" t="n">
        <v>7</v>
      </c>
      <c r="F93" s="14" t="n">
        <v>16</v>
      </c>
      <c r="G93" s="7" t="n">
        <v>46</v>
      </c>
      <c r="H93" s="6" t="n">
        <v>-112</v>
      </c>
      <c r="I93" s="15" t="n">
        <v>-0.306010928961749</v>
      </c>
      <c r="J93" s="15" t="n">
        <f aca="false">I93-I92</f>
        <v>-0.079234972677596</v>
      </c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customFormat="false" ht="43.5" hidden="true" customHeight="true" outlineLevel="0" collapsed="false">
      <c r="A94" s="13" t="n">
        <v>45518</v>
      </c>
      <c r="B94" s="14" t="n">
        <v>48</v>
      </c>
      <c r="C94" s="7" t="n">
        <v>133</v>
      </c>
      <c r="D94" s="14" t="n">
        <v>0</v>
      </c>
      <c r="E94" s="7" t="n">
        <v>5</v>
      </c>
      <c r="F94" s="14" t="n">
        <v>14</v>
      </c>
      <c r="G94" s="7" t="n">
        <v>62</v>
      </c>
      <c r="H94" s="6" t="n">
        <v>-138</v>
      </c>
      <c r="I94" s="15" t="n">
        <v>-0.377049180327869</v>
      </c>
      <c r="J94" s="15" t="n">
        <f aca="false">I94-I93</f>
        <v>-0.07103825136612</v>
      </c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customFormat="false" ht="43.5" hidden="true" customHeight="true" outlineLevel="0" collapsed="false">
      <c r="A95" s="13" t="n">
        <v>45520</v>
      </c>
      <c r="B95" s="14" t="n">
        <v>61</v>
      </c>
      <c r="C95" s="7" t="n">
        <v>120</v>
      </c>
      <c r="D95" s="14" t="n">
        <v>13</v>
      </c>
      <c r="E95" s="7" t="n">
        <v>0</v>
      </c>
      <c r="F95" s="14" t="n">
        <v>23</v>
      </c>
      <c r="G95" s="7" t="n">
        <v>22</v>
      </c>
      <c r="H95" s="6" t="n">
        <v>-45</v>
      </c>
      <c r="I95" s="15" t="n">
        <v>-0.122950819672131</v>
      </c>
      <c r="J95" s="15" t="n">
        <f aca="false">I95-I94</f>
        <v>0.254098360655738</v>
      </c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customFormat="false" ht="43.5" hidden="true" customHeight="true" outlineLevel="0" collapsed="false">
      <c r="A96" s="13" t="n">
        <v>45523</v>
      </c>
      <c r="B96" s="14" t="n">
        <v>65</v>
      </c>
      <c r="C96" s="7" t="n">
        <v>116</v>
      </c>
      <c r="D96" s="14" t="n">
        <v>4</v>
      </c>
      <c r="E96" s="7" t="n">
        <v>0</v>
      </c>
      <c r="F96" s="14" t="n">
        <v>32</v>
      </c>
      <c r="G96" s="7" t="n">
        <v>8</v>
      </c>
      <c r="H96" s="6" t="n">
        <v>-23</v>
      </c>
      <c r="I96" s="15" t="n">
        <v>-0.0628415300546448</v>
      </c>
      <c r="J96" s="15" t="n">
        <f aca="false">I96-I95</f>
        <v>0.0601092896174862</v>
      </c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customFormat="false" ht="43.5" hidden="true" customHeight="true" outlineLevel="0" collapsed="false">
      <c r="A97" s="13" t="n">
        <v>45524</v>
      </c>
      <c r="B97" s="14" t="n">
        <v>75</v>
      </c>
      <c r="C97" s="7" t="n">
        <v>106</v>
      </c>
      <c r="D97" s="14" t="n">
        <v>10</v>
      </c>
      <c r="E97" s="7" t="n">
        <v>0</v>
      </c>
      <c r="F97" s="14" t="n">
        <v>32</v>
      </c>
      <c r="G97" s="7" t="n">
        <v>7</v>
      </c>
      <c r="H97" s="6" t="n">
        <v>4</v>
      </c>
      <c r="I97" s="15" t="n">
        <v>0.0109289617486339</v>
      </c>
      <c r="J97" s="15" t="n">
        <f aca="false">I97-I96</f>
        <v>0.0737704918032787</v>
      </c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customFormat="false" ht="43.5" hidden="true" customHeight="true" outlineLevel="0" collapsed="false">
      <c r="A98" s="13" t="n">
        <v>45525</v>
      </c>
      <c r="B98" s="14" t="n">
        <v>84</v>
      </c>
      <c r="C98" s="7" t="n">
        <v>97</v>
      </c>
      <c r="D98" s="14" t="n">
        <v>9</v>
      </c>
      <c r="E98" s="7" t="n">
        <v>0</v>
      </c>
      <c r="F98" s="14" t="n">
        <v>49</v>
      </c>
      <c r="G98" s="7" t="n">
        <v>4</v>
      </c>
      <c r="H98" s="6" t="n">
        <v>41</v>
      </c>
      <c r="I98" s="15" t="n">
        <v>0.112021857923497</v>
      </c>
      <c r="J98" s="15" t="n">
        <f aca="false">I98-I97</f>
        <v>0.101092896174863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customFormat="false" ht="43.5" hidden="true" customHeight="true" outlineLevel="0" collapsed="false">
      <c r="A99" s="13" t="n">
        <v>45526</v>
      </c>
      <c r="B99" s="14" t="n">
        <v>100</v>
      </c>
      <c r="C99" s="7" t="n">
        <v>81</v>
      </c>
      <c r="D99" s="14" t="n">
        <v>16</v>
      </c>
      <c r="E99" s="7" t="n">
        <v>0</v>
      </c>
      <c r="F99" s="14" t="n">
        <v>56</v>
      </c>
      <c r="G99" s="7" t="n">
        <v>2</v>
      </c>
      <c r="H99" s="6" t="n">
        <v>89</v>
      </c>
      <c r="I99" s="15" t="n">
        <v>0.243169398907104</v>
      </c>
      <c r="J99" s="15" t="n">
        <f aca="false">I99-I98</f>
        <v>0.131147540983607</v>
      </c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customFormat="false" ht="43.5" hidden="true" customHeight="true" outlineLevel="0" collapsed="false">
      <c r="A100" s="13" t="n">
        <v>45527</v>
      </c>
      <c r="B100" s="14" t="n">
        <v>101</v>
      </c>
      <c r="C100" s="7" t="n">
        <v>80</v>
      </c>
      <c r="D100" s="14" t="n">
        <v>2</v>
      </c>
      <c r="E100" s="7" t="n">
        <v>1</v>
      </c>
      <c r="F100" s="14" t="n">
        <v>43</v>
      </c>
      <c r="G100" s="7" t="n">
        <v>6</v>
      </c>
      <c r="H100" s="6" t="n">
        <v>59</v>
      </c>
      <c r="I100" s="15" t="n">
        <v>0.16120218579235</v>
      </c>
      <c r="J100" s="15" t="n">
        <f aca="false">I100-I99</f>
        <v>-0.081967213114754</v>
      </c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customFormat="false" ht="43.5" hidden="true" customHeight="true" outlineLevel="0" collapsed="false">
      <c r="A101" s="13" t="n">
        <v>45530</v>
      </c>
      <c r="B101" s="14" t="n">
        <v>108</v>
      </c>
      <c r="C101" s="7" t="n">
        <v>73</v>
      </c>
      <c r="D101" s="14" t="n">
        <v>7</v>
      </c>
      <c r="E101" s="7" t="n">
        <v>0</v>
      </c>
      <c r="F101" s="14" t="n">
        <v>50</v>
      </c>
      <c r="G101" s="7" t="n">
        <v>4</v>
      </c>
      <c r="H101" s="6" t="n">
        <v>88</v>
      </c>
      <c r="I101" s="15" t="n">
        <v>0.240437158469945</v>
      </c>
      <c r="J101" s="15" t="n">
        <f aca="false">I101-I100</f>
        <v>0.079234972677595</v>
      </c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customFormat="false" ht="43.5" hidden="true" customHeight="true" outlineLevel="0" collapsed="false">
      <c r="A102" s="13" t="n">
        <v>45531</v>
      </c>
      <c r="B102" s="14" t="n">
        <v>113</v>
      </c>
      <c r="C102" s="7" t="n">
        <v>68</v>
      </c>
      <c r="D102" s="14" t="n">
        <v>5</v>
      </c>
      <c r="E102" s="7" t="n">
        <v>0</v>
      </c>
      <c r="F102" s="14" t="n">
        <v>53</v>
      </c>
      <c r="G102" s="7" t="n">
        <v>2</v>
      </c>
      <c r="H102" s="6" t="n">
        <v>101</v>
      </c>
      <c r="I102" s="15" t="n">
        <v>0.275956284153005</v>
      </c>
      <c r="J102" s="15" t="n">
        <f aca="false">I102-I101</f>
        <v>0.03551912568306</v>
      </c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customFormat="false" ht="43.5" hidden="true" customHeight="true" outlineLevel="0" collapsed="false">
      <c r="A103" s="13" t="n">
        <v>45532</v>
      </c>
      <c r="B103" s="14" t="n">
        <v>117</v>
      </c>
      <c r="C103" s="7" t="n">
        <v>64</v>
      </c>
      <c r="D103" s="14" t="n">
        <v>4</v>
      </c>
      <c r="E103" s="7" t="n">
        <v>0</v>
      </c>
      <c r="F103" s="14" t="n">
        <v>64</v>
      </c>
      <c r="G103" s="7" t="n">
        <v>3</v>
      </c>
      <c r="H103" s="6" t="n">
        <v>118</v>
      </c>
      <c r="I103" s="15" t="n">
        <v>0.3224043715847</v>
      </c>
      <c r="J103" s="15" t="n">
        <f aca="false">I103-I102</f>
        <v>0.046448087431695</v>
      </c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customFormat="false" ht="43.5" hidden="true" customHeight="true" outlineLevel="0" collapsed="false">
      <c r="A104" s="13" t="n">
        <v>45533</v>
      </c>
      <c r="B104" s="14" t="n">
        <v>119</v>
      </c>
      <c r="C104" s="7" t="n">
        <v>62</v>
      </c>
      <c r="D104" s="14" t="n">
        <v>3</v>
      </c>
      <c r="E104" s="7" t="n">
        <v>1</v>
      </c>
      <c r="F104" s="14" t="n">
        <v>53</v>
      </c>
      <c r="G104" s="7" t="n">
        <v>10</v>
      </c>
      <c r="H104" s="6" t="n">
        <v>102</v>
      </c>
      <c r="I104" s="15" t="n">
        <v>0.278688524590164</v>
      </c>
      <c r="J104" s="15" t="n">
        <f aca="false">I104-I103</f>
        <v>-0.043715846994536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customFormat="false" ht="43.5" hidden="true" customHeight="true" outlineLevel="0" collapsed="false">
      <c r="A105" s="13" t="n">
        <v>45534</v>
      </c>
      <c r="B105" s="14" t="n">
        <v>118</v>
      </c>
      <c r="C105" s="7" t="n">
        <v>63</v>
      </c>
      <c r="D105" s="14" t="n">
        <v>1</v>
      </c>
      <c r="E105" s="7" t="n">
        <v>2</v>
      </c>
      <c r="F105" s="14" t="n">
        <v>76</v>
      </c>
      <c r="G105" s="7" t="n">
        <v>6</v>
      </c>
      <c r="H105" s="6" t="n">
        <v>124</v>
      </c>
      <c r="I105" s="15" t="n">
        <v>0.33879781420765</v>
      </c>
      <c r="J105" s="15" t="n">
        <f aca="false">I105-I104</f>
        <v>0.060109289617486</v>
      </c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customFormat="false" ht="43.5" hidden="true" customHeight="true" outlineLevel="0" collapsed="false">
      <c r="A106" s="13" t="n">
        <v>45537</v>
      </c>
      <c r="B106" s="14" t="n">
        <v>121</v>
      </c>
      <c r="C106" s="7" t="n">
        <v>60</v>
      </c>
      <c r="D106" s="14" t="n">
        <v>4</v>
      </c>
      <c r="E106" s="7" t="n">
        <v>1</v>
      </c>
      <c r="F106" s="14" t="n">
        <v>69</v>
      </c>
      <c r="G106" s="7" t="n">
        <v>6</v>
      </c>
      <c r="H106" s="6" t="n">
        <v>127</v>
      </c>
      <c r="I106" s="15" t="n">
        <v>0.346994535519126</v>
      </c>
      <c r="J106" s="15" t="n">
        <f aca="false">I106-I105</f>
        <v>0.00819672131147603</v>
      </c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customFormat="false" ht="43.5" hidden="true" customHeight="true" outlineLevel="0" collapsed="false">
      <c r="A107" s="13" t="n">
        <v>45538</v>
      </c>
      <c r="B107" s="14" t="n">
        <v>122</v>
      </c>
      <c r="C107" s="7" t="n">
        <v>59</v>
      </c>
      <c r="D107" s="14" t="n">
        <v>2</v>
      </c>
      <c r="E107" s="7" t="n">
        <v>1</v>
      </c>
      <c r="F107" s="14" t="n">
        <v>71</v>
      </c>
      <c r="G107" s="7" t="n">
        <v>7</v>
      </c>
      <c r="H107" s="6" t="n">
        <v>128</v>
      </c>
      <c r="I107" s="15" t="n">
        <v>0.349726775956284</v>
      </c>
      <c r="J107" s="15" t="n">
        <f aca="false">I107-I106</f>
        <v>0.00273224043715797</v>
      </c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customFormat="false" ht="43.5" hidden="true" customHeight="true" outlineLevel="0" collapsed="false">
      <c r="A108" s="13" t="n">
        <v>45539</v>
      </c>
      <c r="B108" s="14" t="n">
        <v>122</v>
      </c>
      <c r="C108" s="7" t="n">
        <v>59</v>
      </c>
      <c r="D108" s="14" t="n">
        <v>4</v>
      </c>
      <c r="E108" s="7" t="n">
        <v>4</v>
      </c>
      <c r="F108" s="14" t="n">
        <v>54</v>
      </c>
      <c r="G108" s="7" t="n">
        <v>18</v>
      </c>
      <c r="H108" s="6" t="n">
        <v>99</v>
      </c>
      <c r="I108" s="15" t="n">
        <v>0.270491803278689</v>
      </c>
      <c r="J108" s="15" t="n">
        <f aca="false">I108-I107</f>
        <v>-0.079234972677595</v>
      </c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customFormat="false" ht="43.5" hidden="true" customHeight="true" outlineLevel="0" collapsed="false">
      <c r="A109" s="13" t="n">
        <v>45540</v>
      </c>
      <c r="B109" s="14" t="n">
        <v>124</v>
      </c>
      <c r="C109" s="7" t="n">
        <v>57</v>
      </c>
      <c r="D109" s="14" t="n">
        <v>3</v>
      </c>
      <c r="E109" s="7" t="n">
        <v>1</v>
      </c>
      <c r="F109" s="14" t="n">
        <v>68</v>
      </c>
      <c r="G109" s="7" t="n">
        <v>14</v>
      </c>
      <c r="H109" s="6" t="n">
        <v>123</v>
      </c>
      <c r="I109" s="15" t="n">
        <v>0.336065573770492</v>
      </c>
      <c r="J109" s="15" t="n">
        <f aca="false">I109-I108</f>
        <v>0.065573770491803</v>
      </c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customFormat="false" ht="43.5" hidden="true" customHeight="true" outlineLevel="0" collapsed="false">
      <c r="A110" s="13" t="n">
        <v>45541</v>
      </c>
      <c r="B110" s="14" t="n">
        <v>118</v>
      </c>
      <c r="C110" s="7" t="n">
        <v>63</v>
      </c>
      <c r="D110" s="14" t="n">
        <v>1</v>
      </c>
      <c r="E110" s="7" t="n">
        <v>7</v>
      </c>
      <c r="F110" s="14" t="n">
        <v>41</v>
      </c>
      <c r="G110" s="7" t="n">
        <v>33</v>
      </c>
      <c r="H110" s="6" t="n">
        <v>57</v>
      </c>
      <c r="I110" s="15" t="n">
        <v>0.155737704918033</v>
      </c>
      <c r="J110" s="15" t="n">
        <f aca="false">I110-I109</f>
        <v>-0.180327868852459</v>
      </c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customFormat="false" ht="43.5" hidden="true" customHeight="true" outlineLevel="0" collapsed="false">
      <c r="A111" s="13" t="n">
        <v>45544</v>
      </c>
      <c r="B111" s="14" t="n">
        <v>105</v>
      </c>
      <c r="C111" s="7" t="n">
        <v>75</v>
      </c>
      <c r="D111" s="14" t="n">
        <v>1</v>
      </c>
      <c r="E111" s="7" t="n">
        <v>13</v>
      </c>
      <c r="F111" s="14" t="n">
        <v>31</v>
      </c>
      <c r="G111" s="7" t="n">
        <v>43</v>
      </c>
      <c r="H111" s="6" t="n">
        <v>6</v>
      </c>
      <c r="I111" s="15" t="n">
        <v>0.0163934426229508</v>
      </c>
      <c r="J111" s="15" t="n">
        <f aca="false">I111-I110</f>
        <v>-0.139344262295082</v>
      </c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customFormat="false" ht="43.5" hidden="true" customHeight="true" outlineLevel="0" collapsed="false">
      <c r="A112" s="13" t="n">
        <v>45545</v>
      </c>
      <c r="B112" s="14" t="n">
        <v>106</v>
      </c>
      <c r="C112" s="7" t="n">
        <v>74</v>
      </c>
      <c r="D112" s="14" t="n">
        <v>3</v>
      </c>
      <c r="E112" s="7" t="n">
        <v>2</v>
      </c>
      <c r="F112" s="14" t="n">
        <v>48</v>
      </c>
      <c r="G112" s="7" t="n">
        <v>29</v>
      </c>
      <c r="H112" s="6" t="n">
        <v>52</v>
      </c>
      <c r="I112" s="15" t="n">
        <v>0.14207650273224</v>
      </c>
      <c r="J112" s="15" t="n">
        <f aca="false">I112-I111</f>
        <v>0.125683060109289</v>
      </c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customFormat="false" ht="43.5" hidden="true" customHeight="true" outlineLevel="0" collapsed="false">
      <c r="A113" s="13" t="n">
        <v>45546</v>
      </c>
      <c r="B113" s="14" t="n">
        <v>95</v>
      </c>
      <c r="C113" s="7" t="n">
        <v>85</v>
      </c>
      <c r="D113" s="14" t="n">
        <v>0</v>
      </c>
      <c r="E113" s="7" t="n">
        <v>10</v>
      </c>
      <c r="F113" s="14" t="n">
        <v>43</v>
      </c>
      <c r="G113" s="7" t="n">
        <v>38</v>
      </c>
      <c r="H113" s="6" t="n">
        <v>5</v>
      </c>
      <c r="I113" s="15" t="n">
        <v>0.0136612021857924</v>
      </c>
      <c r="J113" s="15" t="n">
        <f aca="false">I113-I112</f>
        <v>-0.128415300546448</v>
      </c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customFormat="false" ht="43.5" hidden="true" customHeight="true" outlineLevel="0" collapsed="false">
      <c r="A114" s="13" t="n">
        <v>45547</v>
      </c>
      <c r="B114" s="14" t="n">
        <v>98</v>
      </c>
      <c r="C114" s="7" t="n">
        <v>82</v>
      </c>
      <c r="D114" s="14" t="n">
        <v>3</v>
      </c>
      <c r="E114" s="7" t="n">
        <v>0</v>
      </c>
      <c r="F114" s="14" t="n">
        <v>64</v>
      </c>
      <c r="G114" s="7" t="n">
        <v>26</v>
      </c>
      <c r="H114" s="6" t="n">
        <v>57</v>
      </c>
      <c r="I114" s="15" t="n">
        <v>0.155737704918033</v>
      </c>
      <c r="J114" s="15" t="n">
        <f aca="false">I114-I113</f>
        <v>0.142076502732241</v>
      </c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customFormat="false" ht="43.5" hidden="true" customHeight="true" outlineLevel="0" collapsed="false">
      <c r="A115" s="13" t="n">
        <v>45548</v>
      </c>
      <c r="B115" s="14" t="n">
        <v>106</v>
      </c>
      <c r="C115" s="7" t="n">
        <v>74</v>
      </c>
      <c r="D115" s="14" t="n">
        <v>8</v>
      </c>
      <c r="E115" s="7" t="n">
        <v>0</v>
      </c>
      <c r="F115" s="14" t="n">
        <v>78</v>
      </c>
      <c r="G115" s="7" t="n">
        <v>14</v>
      </c>
      <c r="H115" s="6" t="n">
        <v>104</v>
      </c>
      <c r="I115" s="15" t="n">
        <v>0.284153005464481</v>
      </c>
      <c r="J115" s="15" t="n">
        <f aca="false">I115-I114</f>
        <v>0.128415300546448</v>
      </c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customFormat="false" ht="43.5" hidden="true" customHeight="true" outlineLevel="0" collapsed="false">
      <c r="A116" s="13" t="n">
        <v>45551</v>
      </c>
      <c r="B116" s="14" t="n">
        <v>110</v>
      </c>
      <c r="C116" s="7" t="n">
        <v>70</v>
      </c>
      <c r="D116" s="14" t="n">
        <v>6</v>
      </c>
      <c r="E116" s="7" t="n">
        <v>2</v>
      </c>
      <c r="F116" s="14" t="n">
        <v>74</v>
      </c>
      <c r="G116" s="7" t="n">
        <v>17</v>
      </c>
      <c r="H116" s="6" t="n">
        <v>101</v>
      </c>
      <c r="I116" s="15" t="n">
        <v>0.275956284153005</v>
      </c>
      <c r="J116" s="15" t="n">
        <f aca="false">I116-I115</f>
        <v>-0.00819672131147603</v>
      </c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customFormat="false" ht="43.5" hidden="true" customHeight="true" outlineLevel="0" collapsed="false">
      <c r="A117" s="13" t="n">
        <v>45552</v>
      </c>
      <c r="B117" s="14" t="n">
        <v>110</v>
      </c>
      <c r="C117" s="7" t="n">
        <v>70</v>
      </c>
      <c r="D117" s="14" t="n">
        <v>2</v>
      </c>
      <c r="E117" s="7" t="n">
        <v>2</v>
      </c>
      <c r="F117" s="14" t="n">
        <v>63</v>
      </c>
      <c r="G117" s="7" t="n">
        <v>21</v>
      </c>
      <c r="H117" s="6" t="n">
        <v>82</v>
      </c>
      <c r="I117" s="15" t="n">
        <v>0.224043715846995</v>
      </c>
      <c r="J117" s="15" t="n">
        <f aca="false">I117-I116</f>
        <v>-0.05191256830601</v>
      </c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customFormat="false" ht="43.5" hidden="true" customHeight="true" outlineLevel="0" collapsed="false">
      <c r="A118" s="13" t="n">
        <v>45553</v>
      </c>
      <c r="B118" s="14" t="n">
        <v>105</v>
      </c>
      <c r="C118" s="7" t="n">
        <v>75</v>
      </c>
      <c r="D118" s="14" t="n">
        <v>3</v>
      </c>
      <c r="E118" s="7" t="n">
        <v>8</v>
      </c>
      <c r="F118" s="14" t="n">
        <v>38</v>
      </c>
      <c r="G118" s="7" t="n">
        <v>29</v>
      </c>
      <c r="H118" s="6" t="n">
        <v>34</v>
      </c>
      <c r="I118" s="15" t="n">
        <v>0.092896174863388</v>
      </c>
      <c r="J118" s="15" t="n">
        <f aca="false">I118-I117</f>
        <v>-0.131147540983607</v>
      </c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customFormat="false" ht="43.5" hidden="true" customHeight="true" outlineLevel="0" collapsed="false">
      <c r="A119" s="13" t="n">
        <v>45554</v>
      </c>
      <c r="B119" s="14" t="n">
        <v>96</v>
      </c>
      <c r="C119" s="7" t="n">
        <v>84</v>
      </c>
      <c r="D119" s="14" t="n">
        <v>2</v>
      </c>
      <c r="E119" s="7" t="n">
        <v>11</v>
      </c>
      <c r="F119" s="14" t="n">
        <v>37</v>
      </c>
      <c r="G119" s="7" t="n">
        <v>49</v>
      </c>
      <c r="H119" s="6" t="n">
        <v>-9</v>
      </c>
      <c r="I119" s="15" t="n">
        <v>-0.0245901639344262</v>
      </c>
      <c r="J119" s="15" t="n">
        <f aca="false">I119-I118</f>
        <v>-0.117486338797814</v>
      </c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customFormat="false" ht="43.5" hidden="true" customHeight="true" outlineLevel="0" collapsed="false">
      <c r="A120" s="13" t="n">
        <v>45555</v>
      </c>
      <c r="B120" s="14" t="n">
        <v>97</v>
      </c>
      <c r="C120" s="7" t="n">
        <v>83</v>
      </c>
      <c r="D120" s="14" t="n">
        <v>4</v>
      </c>
      <c r="E120" s="7" t="n">
        <v>3</v>
      </c>
      <c r="F120" s="14" t="n">
        <v>51</v>
      </c>
      <c r="G120" s="7" t="n">
        <v>41</v>
      </c>
      <c r="H120" s="6" t="n">
        <v>25</v>
      </c>
      <c r="I120" s="15" t="n">
        <v>0.0683060109289618</v>
      </c>
      <c r="J120" s="15" t="n">
        <f aca="false">I120-I119</f>
        <v>0.092896174863388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customFormat="false" ht="43.5" hidden="true" customHeight="true" outlineLevel="0" collapsed="false">
      <c r="A121" s="13" t="n">
        <v>45558</v>
      </c>
      <c r="B121" s="14" t="n">
        <v>100</v>
      </c>
      <c r="C121" s="7" t="n">
        <v>80</v>
      </c>
      <c r="D121" s="14" t="n">
        <v>5</v>
      </c>
      <c r="E121" s="7" t="n">
        <v>2</v>
      </c>
      <c r="F121" s="14" t="n">
        <v>59</v>
      </c>
      <c r="G121" s="7" t="n">
        <v>21</v>
      </c>
      <c r="H121" s="6" t="n">
        <v>61</v>
      </c>
      <c r="I121" s="15" t="n">
        <v>0.166666666666667</v>
      </c>
      <c r="J121" s="15" t="n">
        <f aca="false">I121-I120</f>
        <v>0.0983606557377052</v>
      </c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customFormat="false" ht="43.5" hidden="true" customHeight="true" outlineLevel="0" collapsed="false">
      <c r="A122" s="13" t="n">
        <v>45559</v>
      </c>
      <c r="B122" s="14" t="n">
        <v>106</v>
      </c>
      <c r="C122" s="7" t="n">
        <v>74</v>
      </c>
      <c r="D122" s="14" t="n">
        <v>9</v>
      </c>
      <c r="E122" s="7" t="n">
        <v>3</v>
      </c>
      <c r="F122" s="14" t="n">
        <v>65</v>
      </c>
      <c r="G122" s="7" t="n">
        <v>15</v>
      </c>
      <c r="H122" s="6" t="n">
        <v>88</v>
      </c>
      <c r="I122" s="15" t="n">
        <v>0.240437158469945</v>
      </c>
      <c r="J122" s="15" t="n">
        <f aca="false">I122-I121</f>
        <v>0.073770491803278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customFormat="false" ht="43.5" hidden="true" customHeight="true" outlineLevel="0" collapsed="false">
      <c r="A123" s="13" t="n">
        <v>45560</v>
      </c>
      <c r="B123" s="14" t="n">
        <v>106</v>
      </c>
      <c r="C123" s="7" t="n">
        <v>74</v>
      </c>
      <c r="D123" s="14" t="n">
        <v>4</v>
      </c>
      <c r="E123" s="7" t="n">
        <v>4</v>
      </c>
      <c r="F123" s="14" t="n">
        <v>60</v>
      </c>
      <c r="G123" s="7" t="n">
        <v>20</v>
      </c>
      <c r="H123" s="6" t="n">
        <v>72</v>
      </c>
      <c r="I123" s="15" t="n">
        <v>0.19672131147541</v>
      </c>
      <c r="J123" s="15" t="n">
        <f aca="false">I123-I122</f>
        <v>-0.043715846994535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customFormat="false" ht="43.5" hidden="true" customHeight="true" outlineLevel="0" collapsed="false">
      <c r="A124" s="13" t="n">
        <v>45561</v>
      </c>
      <c r="B124" s="14" t="n">
        <v>110</v>
      </c>
      <c r="C124" s="7" t="n">
        <v>70</v>
      </c>
      <c r="D124" s="14" t="n">
        <v>4</v>
      </c>
      <c r="E124" s="7" t="n">
        <v>0</v>
      </c>
      <c r="F124" s="14" t="n">
        <v>65</v>
      </c>
      <c r="G124" s="7" t="n">
        <v>22</v>
      </c>
      <c r="H124" s="6" t="n">
        <v>87</v>
      </c>
      <c r="I124" s="15" t="n">
        <v>0.237704918032787</v>
      </c>
      <c r="J124" s="15" t="n">
        <f aca="false">I124-I123</f>
        <v>0.040983606557377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customFormat="false" ht="43.5" hidden="true" customHeight="true" outlineLevel="0" collapsed="false">
      <c r="A125" s="13" t="n">
        <v>45562</v>
      </c>
      <c r="B125" s="14" t="n">
        <v>121</v>
      </c>
      <c r="C125" s="7" t="n">
        <v>59</v>
      </c>
      <c r="D125" s="14" t="n">
        <v>11</v>
      </c>
      <c r="E125" s="7" t="n">
        <v>0</v>
      </c>
      <c r="F125" s="14" t="n">
        <v>74</v>
      </c>
      <c r="G125" s="7" t="n">
        <v>11</v>
      </c>
      <c r="H125" s="6" t="n">
        <v>136</v>
      </c>
      <c r="I125" s="15" t="n">
        <v>0.371584699453552</v>
      </c>
      <c r="J125" s="15" t="n">
        <f aca="false">I125-I124</f>
        <v>0.133879781420765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customFormat="false" ht="43.5" hidden="true" customHeight="true" outlineLevel="0" collapsed="false">
      <c r="A126" s="13" t="n">
        <v>45565</v>
      </c>
      <c r="B126" s="14" t="n">
        <v>115</v>
      </c>
      <c r="C126" s="7" t="n">
        <v>65</v>
      </c>
      <c r="D126" s="14" t="n">
        <v>1</v>
      </c>
      <c r="E126" s="7" t="n">
        <v>7</v>
      </c>
      <c r="F126" s="14" t="n">
        <v>61</v>
      </c>
      <c r="G126" s="7" t="n">
        <v>13</v>
      </c>
      <c r="H126" s="6" t="n">
        <v>92</v>
      </c>
      <c r="I126" s="15" t="n">
        <v>0.251366120218579</v>
      </c>
      <c r="J126" s="15" t="n">
        <f aca="false">I126-I125</f>
        <v>-0.120218579234973</v>
      </c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customFormat="false" ht="43.5" hidden="true" customHeight="true" outlineLevel="0" collapsed="false">
      <c r="A127" s="13" t="n">
        <v>45566</v>
      </c>
      <c r="B127" s="14" t="n">
        <v>114</v>
      </c>
      <c r="C127" s="7" t="n">
        <v>66</v>
      </c>
      <c r="D127" s="14" t="n">
        <v>6</v>
      </c>
      <c r="E127" s="7" t="n">
        <v>7</v>
      </c>
      <c r="F127" s="14" t="n">
        <v>62</v>
      </c>
      <c r="G127" s="7" t="n">
        <v>15</v>
      </c>
      <c r="H127" s="6" t="n">
        <v>94</v>
      </c>
      <c r="I127" s="15" t="n">
        <v>0.256830601092896</v>
      </c>
      <c r="J127" s="15" t="n">
        <f aca="false">I127-I126</f>
        <v>0.005464480874317</v>
      </c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customFormat="false" ht="43.5" hidden="true" customHeight="true" outlineLevel="0" collapsed="false">
      <c r="A128" s="13" t="n">
        <v>45568</v>
      </c>
      <c r="B128" s="14" t="n">
        <v>88</v>
      </c>
      <c r="C128" s="7" t="n">
        <v>92</v>
      </c>
      <c r="D128" s="14" t="n">
        <v>0</v>
      </c>
      <c r="E128" s="7" t="n">
        <v>26</v>
      </c>
      <c r="F128" s="14" t="n">
        <v>27</v>
      </c>
      <c r="G128" s="7" t="n">
        <v>42</v>
      </c>
      <c r="H128" s="6" t="n">
        <v>-45</v>
      </c>
      <c r="I128" s="15" t="n">
        <v>-0.122950819672131</v>
      </c>
      <c r="J128" s="15" t="n">
        <f aca="false">I128-I127</f>
        <v>-0.379781420765027</v>
      </c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customFormat="false" ht="43.5" hidden="true" customHeight="true" outlineLevel="0" collapsed="false">
      <c r="A129" s="13" t="n">
        <v>45569</v>
      </c>
      <c r="B129" s="7" t="n">
        <v>62</v>
      </c>
      <c r="C129" s="7" t="n">
        <v>118</v>
      </c>
      <c r="D129" s="7" t="n">
        <v>0</v>
      </c>
      <c r="E129" s="7" t="n">
        <v>26</v>
      </c>
      <c r="F129" s="7" t="n">
        <v>16</v>
      </c>
      <c r="G129" s="7" t="n">
        <v>67</v>
      </c>
      <c r="H129" s="7" t="n">
        <v>-133</v>
      </c>
      <c r="I129" s="15" t="n">
        <v>-0.363387978142077</v>
      </c>
      <c r="J129" s="15" t="n">
        <f aca="false">I129-I128</f>
        <v>-0.240437158469946</v>
      </c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customFormat="false" ht="43.5" hidden="true" customHeight="true" outlineLevel="0" collapsed="false">
      <c r="A130" s="13" t="n">
        <v>45572</v>
      </c>
      <c r="B130" s="7" t="n">
        <v>33</v>
      </c>
      <c r="C130" s="7" t="n">
        <v>147</v>
      </c>
      <c r="D130" s="7" t="n">
        <v>0</v>
      </c>
      <c r="E130" s="7" t="n">
        <v>29</v>
      </c>
      <c r="F130" s="7" t="n">
        <v>4</v>
      </c>
      <c r="G130" s="7" t="n">
        <v>85</v>
      </c>
      <c r="H130" s="7" t="n">
        <v>-224</v>
      </c>
      <c r="I130" s="15" t="n">
        <v>-0.612021857923497</v>
      </c>
      <c r="J130" s="15" t="n">
        <f aca="false">I130-I129</f>
        <v>-0.24863387978142</v>
      </c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customFormat="false" ht="43.5" hidden="true" customHeight="true" outlineLevel="0" collapsed="false">
      <c r="A131" s="13" t="n">
        <v>45573</v>
      </c>
      <c r="B131" s="7" t="n">
        <v>30</v>
      </c>
      <c r="C131" s="7" t="n">
        <v>150</v>
      </c>
      <c r="D131" s="7" t="n">
        <v>2</v>
      </c>
      <c r="E131" s="7" t="n">
        <v>5</v>
      </c>
      <c r="F131" s="7" t="n">
        <v>9</v>
      </c>
      <c r="G131" s="7" t="n">
        <v>80</v>
      </c>
      <c r="H131" s="7" t="n">
        <v>-194</v>
      </c>
      <c r="I131" s="15" t="n">
        <v>-0.530054644808743</v>
      </c>
      <c r="J131" s="15" t="n">
        <f aca="false">I131-I130</f>
        <v>0.081967213114754</v>
      </c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customFormat="false" ht="43.5" hidden="true" customHeight="true" outlineLevel="0" collapsed="false">
      <c r="A132" s="13" t="n">
        <v>45574</v>
      </c>
      <c r="B132" s="7" t="n">
        <v>33</v>
      </c>
      <c r="C132" s="7" t="n">
        <v>147</v>
      </c>
      <c r="D132" s="7" t="n">
        <v>5</v>
      </c>
      <c r="E132" s="7" t="n">
        <v>2</v>
      </c>
      <c r="F132" s="7" t="n">
        <v>23</v>
      </c>
      <c r="G132" s="7" t="n">
        <v>49</v>
      </c>
      <c r="H132" s="7" t="n">
        <v>-137</v>
      </c>
      <c r="I132" s="15" t="n">
        <v>-0.37431693989071</v>
      </c>
      <c r="J132" s="15" t="n">
        <f aca="false">I132-I131</f>
        <v>0.155737704918033</v>
      </c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customFormat="false" ht="43.5" hidden="true" customHeight="true" outlineLevel="0" collapsed="false">
      <c r="A133" s="13" t="n">
        <v>45575</v>
      </c>
      <c r="B133" s="7" t="n">
        <v>37</v>
      </c>
      <c r="C133" s="7" t="n">
        <v>142</v>
      </c>
      <c r="D133" s="7" t="n">
        <v>5</v>
      </c>
      <c r="E133" s="7" t="n">
        <v>1</v>
      </c>
      <c r="F133" s="7" t="n">
        <v>19</v>
      </c>
      <c r="G133" s="7" t="n">
        <v>43</v>
      </c>
      <c r="H133" s="7" t="n">
        <v>-125</v>
      </c>
      <c r="I133" s="15" t="n">
        <v>-0.341530054644809</v>
      </c>
      <c r="J133" s="15" t="n">
        <f aca="false">I133-I132</f>
        <v>0.032786885245901</v>
      </c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customFormat="false" ht="43.5" hidden="true" customHeight="true" outlineLevel="0" collapsed="false">
      <c r="A134" s="13" t="n">
        <v>45576</v>
      </c>
      <c r="B134" s="7" t="n">
        <v>42</v>
      </c>
      <c r="C134" s="7" t="n">
        <v>137</v>
      </c>
      <c r="D134" s="7" t="n">
        <v>6</v>
      </c>
      <c r="E134" s="7" t="n">
        <v>1</v>
      </c>
      <c r="F134" s="7" t="n">
        <v>17</v>
      </c>
      <c r="G134" s="7" t="n">
        <v>45</v>
      </c>
      <c r="H134" s="7" t="n">
        <v>-118</v>
      </c>
      <c r="I134" s="15" t="n">
        <v>-0.3224043715847</v>
      </c>
      <c r="J134" s="15" t="n">
        <f aca="false">I134-I133</f>
        <v>0.019125683060109</v>
      </c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customFormat="false" ht="43.5" hidden="true" customHeight="true" outlineLevel="0" collapsed="false">
      <c r="A135" s="13" t="n">
        <v>45579</v>
      </c>
      <c r="B135" s="7" t="n">
        <v>52</v>
      </c>
      <c r="C135" s="7" t="n">
        <v>127</v>
      </c>
      <c r="D135" s="7" t="n">
        <v>10</v>
      </c>
      <c r="E135" s="7" t="n">
        <v>0</v>
      </c>
      <c r="F135" s="7" t="n">
        <v>24</v>
      </c>
      <c r="G135" s="7" t="n">
        <v>37</v>
      </c>
      <c r="H135" s="7" t="n">
        <v>-78</v>
      </c>
      <c r="I135" s="15" t="n">
        <v>-0.213114754098361</v>
      </c>
      <c r="J135" s="15" t="n">
        <f aca="false">I135-I134</f>
        <v>0.109289617486339</v>
      </c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customFormat="false" ht="43.5" hidden="true" customHeight="true" outlineLevel="0" collapsed="false">
      <c r="A136" s="13" t="n">
        <v>45580</v>
      </c>
      <c r="B136" s="7" t="n">
        <v>56</v>
      </c>
      <c r="C136" s="7" t="n">
        <v>123</v>
      </c>
      <c r="D136" s="7" t="n">
        <v>5</v>
      </c>
      <c r="E136" s="7" t="n">
        <v>1</v>
      </c>
      <c r="F136" s="7" t="n">
        <v>28</v>
      </c>
      <c r="G136" s="7" t="n">
        <v>28</v>
      </c>
      <c r="H136" s="7" t="n">
        <v>-63</v>
      </c>
      <c r="I136" s="15" t="n">
        <v>-0.172131147540984</v>
      </c>
      <c r="J136" s="15" t="n">
        <f aca="false">I136-I135</f>
        <v>0.040983606557377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customFormat="false" ht="43.5" hidden="true" customHeight="true" outlineLevel="0" collapsed="false">
      <c r="A137" s="13" t="n">
        <v>45581</v>
      </c>
      <c r="B137" s="7" t="n">
        <v>61</v>
      </c>
      <c r="C137" s="7" t="n">
        <v>118</v>
      </c>
      <c r="D137" s="7" t="n">
        <v>6</v>
      </c>
      <c r="E137" s="7" t="n">
        <v>1</v>
      </c>
      <c r="F137" s="7" t="n">
        <v>19</v>
      </c>
      <c r="G137" s="7" t="n">
        <v>30</v>
      </c>
      <c r="H137" s="7" t="n">
        <v>-63</v>
      </c>
      <c r="I137" s="15" t="n">
        <v>-0.172131147540984</v>
      </c>
      <c r="J137" s="15" t="n">
        <f aca="false">I137-I136</f>
        <v>0</v>
      </c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customFormat="false" ht="43.5" hidden="true" customHeight="true" outlineLevel="0" collapsed="false">
      <c r="A138" s="13" t="n">
        <v>45582</v>
      </c>
      <c r="B138" s="7" t="n">
        <v>57</v>
      </c>
      <c r="C138" s="7" t="n">
        <v>122</v>
      </c>
      <c r="D138" s="7" t="n">
        <v>3</v>
      </c>
      <c r="E138" s="7" t="n">
        <v>7</v>
      </c>
      <c r="F138" s="7" t="n">
        <v>12</v>
      </c>
      <c r="G138" s="7" t="n">
        <v>54</v>
      </c>
      <c r="H138" s="7" t="n">
        <v>-111</v>
      </c>
      <c r="I138" s="15" t="n">
        <v>-0.30327868852459</v>
      </c>
      <c r="J138" s="15" t="n">
        <f aca="false">I138-I137</f>
        <v>-0.131147540983606</v>
      </c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customFormat="false" ht="43.5" hidden="true" customHeight="true" outlineLevel="0" collapsed="false">
      <c r="A139" s="13" t="n">
        <v>45583</v>
      </c>
      <c r="B139" s="7" t="n">
        <v>57</v>
      </c>
      <c r="C139" s="7" t="n">
        <v>122</v>
      </c>
      <c r="D139" s="7" t="n">
        <v>2</v>
      </c>
      <c r="E139" s="7" t="n">
        <v>2</v>
      </c>
      <c r="F139" s="7" t="n">
        <v>9</v>
      </c>
      <c r="G139" s="7" t="n">
        <v>54</v>
      </c>
      <c r="H139" s="7" t="n">
        <v>-110</v>
      </c>
      <c r="I139" s="15" t="n">
        <v>-0.300546448087432</v>
      </c>
      <c r="J139" s="15" t="n">
        <f aca="false">I139-I138</f>
        <v>0.00273224043715797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customFormat="false" ht="43.5" hidden="true" customHeight="true" outlineLevel="0" collapsed="false">
      <c r="A140" s="13" t="n">
        <v>45586</v>
      </c>
      <c r="B140" s="7" t="n">
        <v>45</v>
      </c>
      <c r="C140" s="7" t="n">
        <v>134</v>
      </c>
      <c r="D140" s="7" t="n">
        <v>1</v>
      </c>
      <c r="E140" s="7" t="n">
        <v>13</v>
      </c>
      <c r="F140" s="7" t="n">
        <v>12</v>
      </c>
      <c r="G140" s="7" t="n">
        <v>64</v>
      </c>
      <c r="H140" s="7" t="n">
        <v>-153</v>
      </c>
      <c r="I140" s="15" t="n">
        <v>-0.418032786885246</v>
      </c>
      <c r="J140" s="15" t="n">
        <f aca="false">I140-I139</f>
        <v>-0.117486338797814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customFormat="false" ht="43.5" hidden="true" customHeight="true" outlineLevel="0" collapsed="false">
      <c r="A141" s="13" t="n">
        <v>45587</v>
      </c>
      <c r="B141" s="7" t="n">
        <v>23</v>
      </c>
      <c r="C141" s="7" t="n">
        <v>156</v>
      </c>
      <c r="D141" s="7" t="n">
        <v>2</v>
      </c>
      <c r="E141" s="7" t="n">
        <v>4</v>
      </c>
      <c r="F141" s="7" t="n">
        <v>7</v>
      </c>
      <c r="G141" s="7" t="n">
        <v>115</v>
      </c>
      <c r="H141" s="7" t="n">
        <v>-243</v>
      </c>
      <c r="I141" s="15" t="n">
        <v>-0.663934426229508</v>
      </c>
      <c r="J141" s="15" t="n">
        <f aca="false">I141-I140</f>
        <v>-0.245901639344262</v>
      </c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customFormat="false" ht="43.5" hidden="true" customHeight="true" outlineLevel="0" collapsed="false">
      <c r="A142" s="13" t="n">
        <v>45588</v>
      </c>
      <c r="B142" s="7" t="n">
        <v>25</v>
      </c>
      <c r="C142" s="7" t="n">
        <v>154</v>
      </c>
      <c r="D142" s="7" t="n">
        <v>2</v>
      </c>
      <c r="E142" s="7" t="n">
        <v>2</v>
      </c>
      <c r="F142" s="7" t="n">
        <v>5</v>
      </c>
      <c r="G142" s="7" t="n">
        <v>119</v>
      </c>
      <c r="H142" s="7" t="n">
        <v>-243</v>
      </c>
      <c r="I142" s="15" t="n">
        <v>-0.663934426229508</v>
      </c>
      <c r="J142" s="15" t="n">
        <f aca="false">I142-I141</f>
        <v>0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customFormat="false" ht="43.5" hidden="true" customHeight="true" outlineLevel="0" collapsed="false">
      <c r="A143" s="13" t="n">
        <v>45589</v>
      </c>
      <c r="B143" s="7" t="n">
        <v>21</v>
      </c>
      <c r="C143" s="7" t="n">
        <v>158</v>
      </c>
      <c r="D143" s="7" t="n">
        <v>0</v>
      </c>
      <c r="E143" s="7" t="n">
        <v>4</v>
      </c>
      <c r="F143" s="7" t="n">
        <v>6</v>
      </c>
      <c r="G143" s="7" t="n">
        <v>121</v>
      </c>
      <c r="H143" s="7" t="n">
        <v>-256</v>
      </c>
      <c r="I143" s="15" t="n">
        <v>-0.699453551912568</v>
      </c>
      <c r="J143" s="15" t="n">
        <f aca="false">I143-I142</f>
        <v>-0.0355191256830599</v>
      </c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customFormat="false" ht="43.5" hidden="true" customHeight="true" outlineLevel="0" collapsed="false">
      <c r="A144" s="13" t="n">
        <v>45590</v>
      </c>
      <c r="B144" s="7" t="n">
        <v>16</v>
      </c>
      <c r="C144" s="7" t="n">
        <v>163</v>
      </c>
      <c r="D144" s="7" t="n">
        <v>0</v>
      </c>
      <c r="E144" s="7" t="n">
        <v>7</v>
      </c>
      <c r="F144" s="7" t="n">
        <v>5</v>
      </c>
      <c r="G144" s="7" t="n">
        <v>128</v>
      </c>
      <c r="H144" s="7" t="n">
        <v>-277</v>
      </c>
      <c r="I144" s="15" t="n">
        <v>-0.756830601092896</v>
      </c>
      <c r="J144" s="15" t="n">
        <f aca="false">I144-I143</f>
        <v>-0.057377049180328</v>
      </c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customFormat="false" ht="43.5" hidden="true" customHeight="true" outlineLevel="0" collapsed="false">
      <c r="A145" s="13" t="n">
        <v>45593</v>
      </c>
      <c r="B145" s="7" t="n">
        <v>20</v>
      </c>
      <c r="C145" s="7" t="n">
        <v>159</v>
      </c>
      <c r="D145" s="7" t="n">
        <v>4</v>
      </c>
      <c r="E145" s="7" t="n">
        <v>0</v>
      </c>
      <c r="F145" s="7" t="n">
        <v>7</v>
      </c>
      <c r="G145" s="7" t="n">
        <v>101</v>
      </c>
      <c r="H145" s="7" t="n">
        <v>-229</v>
      </c>
      <c r="I145" s="15" t="n">
        <v>-0.62568306010929</v>
      </c>
      <c r="J145" s="15" t="n">
        <f aca="false">I145-I144</f>
        <v>0.131147540983606</v>
      </c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customFormat="false" ht="43.5" hidden="true" customHeight="true" outlineLevel="0" collapsed="false">
      <c r="A146" s="13" t="n">
        <v>45594</v>
      </c>
      <c r="B146" s="7" t="n">
        <v>27</v>
      </c>
      <c r="C146" s="7" t="n">
        <v>152</v>
      </c>
      <c r="D146" s="7" t="n">
        <v>8</v>
      </c>
      <c r="E146" s="7" t="n">
        <v>1</v>
      </c>
      <c r="F146" s="7" t="n">
        <v>12</v>
      </c>
      <c r="G146" s="7" t="n">
        <v>86</v>
      </c>
      <c r="H146" s="7" t="n">
        <v>-192</v>
      </c>
      <c r="I146" s="15" t="n">
        <v>-0.524590163934426</v>
      </c>
      <c r="J146" s="15" t="n">
        <f aca="false">I146-I145</f>
        <v>0.101092896174864</v>
      </c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customFormat="false" ht="43.5" hidden="true" customHeight="true" outlineLevel="0" collapsed="false">
      <c r="A147" s="13" t="n">
        <v>45595</v>
      </c>
      <c r="B147" s="7" t="n">
        <v>33</v>
      </c>
      <c r="C147" s="7" t="n">
        <v>146</v>
      </c>
      <c r="D147" s="7" t="n">
        <v>6</v>
      </c>
      <c r="E147" s="7" t="n">
        <v>0</v>
      </c>
      <c r="F147" s="7" t="n">
        <v>13</v>
      </c>
      <c r="G147" s="7" t="n">
        <v>54</v>
      </c>
      <c r="H147" s="7" t="n">
        <v>-148</v>
      </c>
      <c r="I147" s="15" t="n">
        <v>-0.404371584699454</v>
      </c>
      <c r="J147" s="15" t="n">
        <f aca="false">I147-I146</f>
        <v>0.120218579234972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customFormat="false" ht="43.5" hidden="true" customHeight="true" outlineLevel="0" collapsed="false">
      <c r="A148" s="13" t="n">
        <v>45596</v>
      </c>
      <c r="B148" s="7" t="n">
        <v>33</v>
      </c>
      <c r="C148" s="7" t="n">
        <v>146</v>
      </c>
      <c r="D148" s="7" t="n">
        <v>3</v>
      </c>
      <c r="E148" s="7" t="n">
        <v>3</v>
      </c>
      <c r="F148" s="7" t="n">
        <v>11</v>
      </c>
      <c r="G148" s="7" t="n">
        <v>58</v>
      </c>
      <c r="H148" s="7" t="n">
        <v>-160</v>
      </c>
      <c r="I148" s="15" t="n">
        <v>-0.437158469945355</v>
      </c>
      <c r="J148" s="15" t="n">
        <f aca="false">I148-I147</f>
        <v>-0.032786885245901</v>
      </c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customFormat="false" ht="43.5" hidden="true" customHeight="true" outlineLevel="0" collapsed="false">
      <c r="A149" s="13" t="n">
        <v>45600</v>
      </c>
      <c r="B149" s="7" t="n">
        <v>37</v>
      </c>
      <c r="C149" s="7" t="n">
        <v>142</v>
      </c>
      <c r="D149" s="7" t="n">
        <v>1</v>
      </c>
      <c r="E149" s="7" t="n">
        <v>2</v>
      </c>
      <c r="F149" s="7" t="n">
        <v>9</v>
      </c>
      <c r="G149" s="7" t="n">
        <v>59</v>
      </c>
      <c r="H149" s="7" t="n">
        <v>-156</v>
      </c>
      <c r="I149" s="15" t="n">
        <v>-0.426229508196721</v>
      </c>
      <c r="J149" s="15" t="n">
        <f aca="false">I149-I148</f>
        <v>0.010928961748634</v>
      </c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customFormat="false" ht="43.5" hidden="true" customHeight="true" outlineLevel="0" collapsed="false">
      <c r="A150" s="13" t="n">
        <v>45601</v>
      </c>
      <c r="B150" s="7" t="n">
        <v>40</v>
      </c>
      <c r="C150" s="7" t="n">
        <v>139</v>
      </c>
      <c r="D150" s="7" t="n">
        <v>3</v>
      </c>
      <c r="E150" s="7" t="n">
        <v>0</v>
      </c>
      <c r="F150" s="7" t="n">
        <v>7</v>
      </c>
      <c r="G150" s="7" t="n">
        <v>53</v>
      </c>
      <c r="H150" s="7" t="n">
        <v>-142</v>
      </c>
      <c r="I150" s="15" t="n">
        <v>-0.387978142076503</v>
      </c>
      <c r="J150" s="15" t="n">
        <f aca="false">I150-I149</f>
        <v>0.038251366120218</v>
      </c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customFormat="false" ht="43.5" hidden="true" customHeight="true" outlineLevel="0" collapsed="false">
      <c r="A151" s="13" t="n">
        <v>45602</v>
      </c>
      <c r="B151" s="7" t="n">
        <v>58</v>
      </c>
      <c r="C151" s="7" t="n">
        <v>121</v>
      </c>
      <c r="D151" s="7" t="n">
        <v>18</v>
      </c>
      <c r="E151" s="7" t="n">
        <v>0</v>
      </c>
      <c r="F151" s="7" t="n">
        <v>17</v>
      </c>
      <c r="G151" s="7" t="n">
        <v>11</v>
      </c>
      <c r="H151" s="7" t="n">
        <v>-39</v>
      </c>
      <c r="I151" s="15" t="n">
        <v>-0.10655737704918</v>
      </c>
      <c r="J151" s="15" t="n">
        <f aca="false">I151-I150</f>
        <v>0.281420765027323</v>
      </c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customFormat="false" ht="43.5" hidden="true" customHeight="true" outlineLevel="0" collapsed="false">
      <c r="A152" s="13" t="n">
        <v>45603</v>
      </c>
      <c r="B152" s="7" t="n">
        <v>60</v>
      </c>
      <c r="C152" s="7" t="n">
        <v>119</v>
      </c>
      <c r="D152" s="7" t="n">
        <v>4</v>
      </c>
      <c r="E152" s="7" t="n">
        <v>2</v>
      </c>
      <c r="F152" s="7" t="n">
        <v>24</v>
      </c>
      <c r="G152" s="7" t="n">
        <v>23</v>
      </c>
      <c r="H152" s="7" t="n">
        <v>-56</v>
      </c>
      <c r="I152" s="15" t="n">
        <v>-0.153005464480874</v>
      </c>
      <c r="J152" s="15" t="n">
        <f aca="false">I152-I151</f>
        <v>-0.046448087431694</v>
      </c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customFormat="false" ht="43.5" hidden="true" customHeight="true" outlineLevel="0" collapsed="false">
      <c r="A153" s="13" t="n">
        <v>45604</v>
      </c>
      <c r="B153" s="7" t="n">
        <v>63</v>
      </c>
      <c r="C153" s="7" t="n">
        <v>115</v>
      </c>
      <c r="D153" s="7" t="n">
        <v>5</v>
      </c>
      <c r="E153" s="7" t="n">
        <v>2</v>
      </c>
      <c r="F153" s="7" t="n">
        <v>20</v>
      </c>
      <c r="G153" s="7" t="n">
        <v>34</v>
      </c>
      <c r="H153" s="7" t="n">
        <v>-63</v>
      </c>
      <c r="I153" s="15" t="n">
        <v>-0.172131147540984</v>
      </c>
      <c r="J153" s="15" t="n">
        <f aca="false">I153-I152</f>
        <v>-0.01912568306011</v>
      </c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customFormat="false" ht="43.5" hidden="true" customHeight="true" outlineLevel="0" collapsed="false">
      <c r="A154" s="13" t="n">
        <v>45607</v>
      </c>
      <c r="B154" s="7" t="n">
        <v>64</v>
      </c>
      <c r="C154" s="7" t="n">
        <v>114</v>
      </c>
      <c r="D154" s="7" t="n">
        <v>6</v>
      </c>
      <c r="E154" s="7" t="n">
        <v>5</v>
      </c>
      <c r="F154" s="7" t="n">
        <v>14</v>
      </c>
      <c r="G154" s="7" t="n">
        <v>56</v>
      </c>
      <c r="H154" s="7" t="n">
        <v>-91</v>
      </c>
      <c r="I154" s="15" t="n">
        <v>-0.248633879781421</v>
      </c>
      <c r="J154" s="15" t="n">
        <f aca="false">I154-I153</f>
        <v>-0.076502732240437</v>
      </c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customFormat="false" ht="43.5" hidden="true" customHeight="true" outlineLevel="0" collapsed="false">
      <c r="A155" s="13" t="n">
        <v>45608</v>
      </c>
      <c r="B155" s="7" t="n">
        <v>58</v>
      </c>
      <c r="C155" s="7" t="n">
        <v>120</v>
      </c>
      <c r="D155" s="7" t="n">
        <v>1</v>
      </c>
      <c r="E155" s="7" t="n">
        <v>7</v>
      </c>
      <c r="F155" s="7" t="n">
        <v>10</v>
      </c>
      <c r="G155" s="7" t="n">
        <v>65</v>
      </c>
      <c r="H155" s="7" t="n">
        <v>-123</v>
      </c>
      <c r="I155" s="15" t="n">
        <v>-0.336065573770492</v>
      </c>
      <c r="J155" s="15" t="n">
        <f aca="false">I155-I154</f>
        <v>-0.087431693989071</v>
      </c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customFormat="false" ht="43.5" hidden="true" customHeight="true" outlineLevel="0" collapsed="false">
      <c r="A156" s="13" t="n">
        <v>45609</v>
      </c>
      <c r="B156" s="7" t="n">
        <v>39</v>
      </c>
      <c r="C156" s="7" t="n">
        <v>139</v>
      </c>
      <c r="D156" s="7" t="n">
        <v>0</v>
      </c>
      <c r="E156" s="7" t="n">
        <v>19</v>
      </c>
      <c r="F156" s="7" t="n">
        <v>6</v>
      </c>
      <c r="G156" s="7" t="n">
        <v>116</v>
      </c>
      <c r="H156" s="7" t="n">
        <v>-229</v>
      </c>
      <c r="I156" s="15" t="n">
        <v>-0.62568306010929</v>
      </c>
      <c r="J156" s="15" t="n">
        <f aca="false">I156-I155</f>
        <v>-0.289617486338798</v>
      </c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customFormat="false" ht="43.5" hidden="true" customHeight="true" outlineLevel="0" collapsed="false">
      <c r="A157" s="13" t="n">
        <v>45610</v>
      </c>
      <c r="B157" s="7" t="n">
        <v>33</v>
      </c>
      <c r="C157" s="7" t="n">
        <v>145</v>
      </c>
      <c r="D157" s="7" t="n">
        <v>1</v>
      </c>
      <c r="E157" s="7" t="n">
        <v>7</v>
      </c>
      <c r="F157" s="7" t="n">
        <v>4</v>
      </c>
      <c r="G157" s="7" t="n">
        <v>113</v>
      </c>
      <c r="H157" s="7" t="n">
        <v>-227</v>
      </c>
      <c r="I157" s="15" t="n">
        <v>-0.620218579234973</v>
      </c>
      <c r="J157" s="15" t="n">
        <f aca="false">I157-I156</f>
        <v>0.00546448087431695</v>
      </c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customFormat="false" ht="43.5" hidden="true" customHeight="true" outlineLevel="0" collapsed="false">
      <c r="A158" s="13" t="n">
        <v>45614</v>
      </c>
      <c r="B158" s="7" t="n">
        <v>28</v>
      </c>
      <c r="C158" s="7" t="n">
        <v>150</v>
      </c>
      <c r="D158" s="7" t="n">
        <v>1</v>
      </c>
      <c r="E158" s="7" t="n">
        <v>6</v>
      </c>
      <c r="F158" s="7" t="n">
        <v>2</v>
      </c>
      <c r="G158" s="7" t="n">
        <v>111</v>
      </c>
      <c r="H158" s="7" t="n">
        <v>-236</v>
      </c>
      <c r="I158" s="15" t="n">
        <v>-0.644808743169399</v>
      </c>
      <c r="J158" s="15" t="n">
        <f aca="false">I158-I157</f>
        <v>-0.0245901639344259</v>
      </c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customFormat="false" ht="43.5" hidden="true" customHeight="true" outlineLevel="0" collapsed="false">
      <c r="A159" s="13" t="n">
        <v>45615</v>
      </c>
      <c r="B159" s="7" t="n">
        <v>28</v>
      </c>
      <c r="C159" s="7" t="n">
        <v>150</v>
      </c>
      <c r="D159" s="7" t="n">
        <v>0</v>
      </c>
      <c r="E159" s="7" t="n">
        <v>0</v>
      </c>
      <c r="F159" s="7" t="n">
        <v>9</v>
      </c>
      <c r="G159" s="7" t="n">
        <v>82</v>
      </c>
      <c r="H159" s="7" t="n">
        <v>-195</v>
      </c>
      <c r="I159" s="15" t="n">
        <v>-0.532786885245902</v>
      </c>
      <c r="J159" s="15" t="n">
        <f aca="false">I159-I158</f>
        <v>0.112021857923497</v>
      </c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customFormat="false" ht="43.5" hidden="false" customHeight="true" outlineLevel="0" collapsed="false">
      <c r="A160" s="13" t="n">
        <v>45678</v>
      </c>
      <c r="B160" s="7" t="n">
        <v>78</v>
      </c>
      <c r="C160" s="7" t="n">
        <v>145</v>
      </c>
      <c r="D160" s="7" t="n">
        <v>0</v>
      </c>
      <c r="E160" s="7" t="n">
        <v>3</v>
      </c>
      <c r="F160" s="7" t="n">
        <v>20</v>
      </c>
      <c r="G160" s="7" t="n">
        <v>41</v>
      </c>
      <c r="H160" s="7" t="n">
        <v>-91</v>
      </c>
      <c r="I160" s="15" t="n">
        <v>-0.204035874439462</v>
      </c>
      <c r="J160" s="15" t="n">
        <f aca="false">I160-I159</f>
        <v>0.32875101080644</v>
      </c>
      <c r="K160" s="10" t="n">
        <v>23025</v>
      </c>
      <c r="L160" s="6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customFormat="false" ht="43.5" hidden="false" customHeight="true" outlineLevel="0" collapsed="false">
      <c r="A161" s="13" t="n">
        <v>45679</v>
      </c>
      <c r="B161" s="7" t="n">
        <v>78</v>
      </c>
      <c r="C161" s="7" t="n">
        <v>145</v>
      </c>
      <c r="D161" s="7" t="n">
        <v>2</v>
      </c>
      <c r="E161" s="7" t="n">
        <v>2</v>
      </c>
      <c r="F161" s="7" t="n">
        <v>13</v>
      </c>
      <c r="G161" s="7" t="n">
        <v>67</v>
      </c>
      <c r="H161" s="7" t="n">
        <v>-121</v>
      </c>
      <c r="I161" s="15" t="n">
        <v>-0.271300448430493</v>
      </c>
      <c r="J161" s="15" t="n">
        <f aca="false">I161-I160</f>
        <v>-0.067264573991031</v>
      </c>
      <c r="K161" s="10" t="n">
        <v>23155</v>
      </c>
      <c r="L161" s="16" t="n">
        <f aca="false">+K161-K160</f>
        <v>130</v>
      </c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customFormat="false" ht="43.5" hidden="false" customHeight="true" outlineLevel="0" collapsed="false">
      <c r="A162" s="13" t="n">
        <v>45680</v>
      </c>
      <c r="B162" s="7" t="n">
        <v>86</v>
      </c>
      <c r="C162" s="7" t="n">
        <v>137</v>
      </c>
      <c r="D162" s="7" t="n">
        <v>10</v>
      </c>
      <c r="E162" s="7" t="n">
        <v>2</v>
      </c>
      <c r="F162" s="7" t="n">
        <v>19</v>
      </c>
      <c r="G162" s="7" t="n">
        <v>35</v>
      </c>
      <c r="H162" s="7" t="n">
        <v>-59</v>
      </c>
      <c r="I162" s="15" t="n">
        <v>-0.132286995515695</v>
      </c>
      <c r="J162" s="15" t="n">
        <f aca="false">I162-I161</f>
        <v>0.139013452914798</v>
      </c>
      <c r="K162" s="10" t="n">
        <v>23205</v>
      </c>
      <c r="L162" s="16" t="n">
        <f aca="false">+K162-K161</f>
        <v>50</v>
      </c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customFormat="false" ht="43.5" hidden="false" customHeight="true" outlineLevel="0" collapsed="false">
      <c r="A163" s="13" t="n">
        <v>45681</v>
      </c>
      <c r="B163" s="7" t="n">
        <v>86</v>
      </c>
      <c r="C163" s="7" t="n">
        <v>137</v>
      </c>
      <c r="D163" s="7" t="n">
        <v>3</v>
      </c>
      <c r="E163" s="7" t="n">
        <v>3</v>
      </c>
      <c r="F163" s="7" t="n">
        <v>17</v>
      </c>
      <c r="G163" s="7" t="n">
        <v>46</v>
      </c>
      <c r="H163" s="7" t="n">
        <v>-80</v>
      </c>
      <c r="I163" s="15" t="n">
        <v>-0.179372197309417</v>
      </c>
      <c r="J163" s="15" t="n">
        <f aca="false">I163-I162</f>
        <v>-0.047085201793722</v>
      </c>
      <c r="K163" s="10" t="n">
        <v>23092</v>
      </c>
      <c r="L163" s="16" t="n">
        <f aca="false">+K163-K162</f>
        <v>-113</v>
      </c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customFormat="false" ht="43.5" hidden="false" customHeight="true" outlineLevel="0" collapsed="false">
      <c r="A164" s="13" t="n">
        <v>45684</v>
      </c>
      <c r="B164" s="7" t="n">
        <v>58</v>
      </c>
      <c r="C164" s="7" t="n">
        <v>165</v>
      </c>
      <c r="D164" s="7" t="n">
        <v>1</v>
      </c>
      <c r="E164" s="7" t="n">
        <v>29</v>
      </c>
      <c r="F164" s="7" t="n">
        <v>4</v>
      </c>
      <c r="G164" s="7" t="n">
        <v>112</v>
      </c>
      <c r="H164" s="7" t="n">
        <v>-243</v>
      </c>
      <c r="I164" s="15" t="n">
        <v>-0.544843049327354</v>
      </c>
      <c r="J164" s="15" t="n">
        <f aca="false">I164-I163</f>
        <v>-0.365470852017937</v>
      </c>
      <c r="K164" s="10" t="n">
        <v>22829</v>
      </c>
      <c r="L164" s="16" t="n">
        <f aca="false">+K164-K163</f>
        <v>-263</v>
      </c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customFormat="false" ht="43.5" hidden="false" customHeight="true" outlineLevel="0" collapsed="false">
      <c r="A165" s="13" t="n">
        <v>45685</v>
      </c>
      <c r="B165" s="7" t="n">
        <v>50</v>
      </c>
      <c r="C165" s="7" t="n">
        <v>173</v>
      </c>
      <c r="D165" s="7" t="n">
        <v>2</v>
      </c>
      <c r="E165" s="7" t="n">
        <v>10</v>
      </c>
      <c r="F165" s="7" t="n">
        <v>4</v>
      </c>
      <c r="G165" s="7" t="n">
        <v>117</v>
      </c>
      <c r="H165" s="7" t="n">
        <v>-244</v>
      </c>
      <c r="I165" s="15" t="n">
        <v>-0.547085201793722</v>
      </c>
      <c r="J165" s="15" t="n">
        <f aca="false">I165-I164</f>
        <v>-0.00224215246636805</v>
      </c>
      <c r="K165" s="10" t="n">
        <v>22957</v>
      </c>
      <c r="L165" s="16" t="n">
        <f aca="false">+K165-K164</f>
        <v>128</v>
      </c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customFormat="false" ht="43.5" hidden="false" customHeight="true" outlineLevel="0" collapsed="false">
      <c r="A166" s="13" t="n">
        <v>45686</v>
      </c>
      <c r="B166" s="7" t="n">
        <v>52</v>
      </c>
      <c r="C166" s="7" t="n">
        <v>171</v>
      </c>
      <c r="D166" s="7" t="n">
        <v>6</v>
      </c>
      <c r="E166" s="7" t="n">
        <v>4</v>
      </c>
      <c r="F166" s="7" t="n">
        <v>13</v>
      </c>
      <c r="G166" s="7" t="n">
        <v>61</v>
      </c>
      <c r="H166" s="7" t="n">
        <v>-165</v>
      </c>
      <c r="I166" s="15" t="n">
        <v>-0.369955156950673</v>
      </c>
      <c r="J166" s="15" t="n">
        <f aca="false">I166-I165</f>
        <v>0.177130044843049</v>
      </c>
      <c r="K166" s="10" t="n">
        <v>23163</v>
      </c>
      <c r="L166" s="16" t="n">
        <f aca="false">+K166-K165</f>
        <v>206</v>
      </c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customFormat="false" ht="43.5" hidden="false" customHeight="true" outlineLevel="0" collapsed="false">
      <c r="A167" s="13" t="n">
        <v>45687</v>
      </c>
      <c r="B167" s="7" t="n">
        <v>60</v>
      </c>
      <c r="C167" s="7" t="n">
        <v>163</v>
      </c>
      <c r="D167" s="7" t="n">
        <v>9</v>
      </c>
      <c r="E167" s="7" t="n">
        <v>1</v>
      </c>
      <c r="F167" s="7" t="n">
        <v>19</v>
      </c>
      <c r="G167" s="7" t="n">
        <v>39</v>
      </c>
      <c r="H167" s="7" t="n">
        <v>-115</v>
      </c>
      <c r="I167" s="15" t="n">
        <v>-0.257847533632287</v>
      </c>
      <c r="J167" s="15" t="n">
        <f aca="false">I167-I166</f>
        <v>0.112107623318386</v>
      </c>
      <c r="K167" s="10" t="n">
        <v>23250</v>
      </c>
      <c r="L167" s="16" t="n">
        <f aca="false">+K167-K166</f>
        <v>87</v>
      </c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customFormat="false" ht="43.5" hidden="false" customHeight="true" outlineLevel="0" collapsed="false">
      <c r="A168" s="13" t="n">
        <v>45688</v>
      </c>
      <c r="B168" s="7" t="n">
        <v>87</v>
      </c>
      <c r="C168" s="7" t="n">
        <v>136</v>
      </c>
      <c r="D168" s="7" t="n">
        <v>27</v>
      </c>
      <c r="E168" s="7" t="n">
        <v>0</v>
      </c>
      <c r="F168" s="7" t="n">
        <v>40</v>
      </c>
      <c r="G168" s="7" t="n">
        <v>22</v>
      </c>
      <c r="H168" s="7" t="n">
        <v>-4</v>
      </c>
      <c r="I168" s="15" t="n">
        <v>-0.00896860986547085</v>
      </c>
      <c r="J168" s="15" t="n">
        <f aca="false">I168-I167</f>
        <v>0.248878923766816</v>
      </c>
      <c r="K168" s="10" t="n">
        <v>23508</v>
      </c>
      <c r="L168" s="16" t="n">
        <f aca="false">+K168-K167</f>
        <v>258</v>
      </c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customFormat="false" ht="43.5" hidden="false" customHeight="true" outlineLevel="0" collapsed="false">
      <c r="A169" s="13" t="n">
        <v>45689</v>
      </c>
      <c r="B169" s="7" t="n">
        <v>107</v>
      </c>
      <c r="C169" s="7" t="n">
        <v>116</v>
      </c>
      <c r="D169" s="7" t="n">
        <v>20</v>
      </c>
      <c r="E169" s="7" t="n">
        <v>0</v>
      </c>
      <c r="F169" s="7" t="n">
        <v>46</v>
      </c>
      <c r="G169" s="7" t="n">
        <v>26</v>
      </c>
      <c r="H169" s="7" t="n">
        <v>31</v>
      </c>
      <c r="I169" s="15" t="n">
        <v>0.0695067264573991</v>
      </c>
      <c r="J169" s="15" t="n">
        <f aca="false">I169-I168</f>
        <v>0.07847533632287</v>
      </c>
      <c r="K169" s="10" t="n">
        <v>23482</v>
      </c>
      <c r="L169" s="16" t="n">
        <f aca="false">+K169-K168</f>
        <v>-26</v>
      </c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customFormat="false" ht="43.5" hidden="false" customHeight="true" outlineLevel="0" collapsed="false">
      <c r="A170" s="13" t="n">
        <v>45691</v>
      </c>
      <c r="B170" s="7" t="n">
        <v>109</v>
      </c>
      <c r="C170" s="7" t="n">
        <v>114</v>
      </c>
      <c r="D170" s="7" t="n">
        <v>9</v>
      </c>
      <c r="E170" s="7" t="n">
        <v>7</v>
      </c>
      <c r="F170" s="7" t="n">
        <v>36</v>
      </c>
      <c r="G170" s="7" t="n">
        <v>60</v>
      </c>
      <c r="H170" s="7" t="n">
        <v>-27</v>
      </c>
      <c r="I170" s="15" t="n">
        <v>-0.0605381165919283</v>
      </c>
      <c r="J170" s="15" t="n">
        <f aca="false">I170-I169</f>
        <v>-0.130044843049327</v>
      </c>
      <c r="K170" s="10" t="n">
        <v>23361</v>
      </c>
      <c r="L170" s="16" t="n">
        <f aca="false">+K170-K169</f>
        <v>-121</v>
      </c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customFormat="false" ht="43.5" hidden="false" customHeight="true" outlineLevel="0" collapsed="false">
      <c r="A171" s="13" t="n">
        <v>45692</v>
      </c>
      <c r="B171" s="7" t="n">
        <v>117</v>
      </c>
      <c r="C171" s="7" t="n">
        <v>106</v>
      </c>
      <c r="D171" s="7" t="n">
        <v>8</v>
      </c>
      <c r="E171" s="7" t="n">
        <v>0</v>
      </c>
      <c r="F171" s="7" t="n">
        <v>55</v>
      </c>
      <c r="G171" s="7" t="n">
        <v>25</v>
      </c>
      <c r="H171" s="7" t="n">
        <v>49</v>
      </c>
      <c r="I171" s="15" t="n">
        <v>0.109865470852018</v>
      </c>
      <c r="J171" s="15" t="n">
        <f aca="false">I171-I170</f>
        <v>0.170403587443946</v>
      </c>
      <c r="K171" s="10" t="n">
        <v>23739</v>
      </c>
      <c r="L171" s="16" t="n">
        <f aca="false">+K171-K170</f>
        <v>378</v>
      </c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customFormat="false" ht="43.5" hidden="false" customHeight="true" outlineLevel="0" collapsed="false">
      <c r="A172" s="13" t="n">
        <v>45693</v>
      </c>
      <c r="B172" s="7" t="n">
        <v>126</v>
      </c>
      <c r="C172" s="7" t="n">
        <v>97</v>
      </c>
      <c r="D172" s="7" t="n">
        <v>12</v>
      </c>
      <c r="E172" s="7" t="n">
        <v>3</v>
      </c>
      <c r="F172" s="7" t="n">
        <v>66</v>
      </c>
      <c r="G172" s="7" t="n">
        <v>9</v>
      </c>
      <c r="H172" s="7" t="n">
        <v>95</v>
      </c>
      <c r="I172" s="15" t="n">
        <v>0.213004484304933</v>
      </c>
      <c r="J172" s="15" t="n">
        <f aca="false">I172-I171</f>
        <v>0.103139013452915</v>
      </c>
      <c r="K172" s="10" t="n">
        <v>23696</v>
      </c>
      <c r="L172" s="16" t="n">
        <f aca="false">+K172-K171</f>
        <v>-43</v>
      </c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customFormat="false" ht="43.5" hidden="false" customHeight="true" outlineLevel="0" collapsed="false">
      <c r="A173" s="13" t="n">
        <v>45694</v>
      </c>
      <c r="B173" s="7" t="n">
        <v>129</v>
      </c>
      <c r="C173" s="7" t="n">
        <v>94</v>
      </c>
      <c r="D173" s="7" t="n">
        <v>6</v>
      </c>
      <c r="E173" s="7" t="n">
        <v>3</v>
      </c>
      <c r="F173" s="7" t="n">
        <v>52</v>
      </c>
      <c r="G173" s="7" t="n">
        <v>8</v>
      </c>
      <c r="H173" s="7" t="n">
        <v>82</v>
      </c>
      <c r="I173" s="15" t="n">
        <v>0.183856502242152</v>
      </c>
      <c r="J173" s="15" t="n">
        <f aca="false">I173-I172</f>
        <v>-0.029147982062781</v>
      </c>
      <c r="K173" s="10" t="n">
        <v>23603</v>
      </c>
      <c r="L173" s="16" t="n">
        <f aca="false">+K173-K172</f>
        <v>-93</v>
      </c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customFormat="false" ht="43.5" hidden="false" customHeight="true" outlineLevel="0" collapsed="false">
      <c r="A174" s="13" t="n">
        <v>45695</v>
      </c>
      <c r="B174" s="7" t="n">
        <v>130</v>
      </c>
      <c r="C174" s="7" t="n">
        <v>93</v>
      </c>
      <c r="D174" s="7" t="n">
        <v>4</v>
      </c>
      <c r="E174" s="7" t="n">
        <v>4</v>
      </c>
      <c r="F174" s="7" t="n">
        <v>39</v>
      </c>
      <c r="G174" s="7" t="n">
        <v>20</v>
      </c>
      <c r="H174" s="7" t="n">
        <v>56</v>
      </c>
      <c r="I174" s="15" t="n">
        <v>0.125560538116592</v>
      </c>
      <c r="J174" s="15" t="n">
        <f aca="false">I174-I173</f>
        <v>-0.05829596412556</v>
      </c>
      <c r="K174" s="10" t="n">
        <v>23560</v>
      </c>
      <c r="L174" s="16" t="n">
        <f aca="false">+K174-K173</f>
        <v>-43</v>
      </c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customFormat="false" ht="43.5" hidden="false" customHeight="true" outlineLevel="0" collapsed="false">
      <c r="A175" s="13" t="n">
        <v>45698</v>
      </c>
      <c r="B175" s="7" t="n">
        <v>120</v>
      </c>
      <c r="C175" s="7" t="n">
        <v>103</v>
      </c>
      <c r="D175" s="7" t="n">
        <v>0</v>
      </c>
      <c r="E175" s="7" t="n">
        <v>8</v>
      </c>
      <c r="F175" s="7" t="n">
        <v>15</v>
      </c>
      <c r="G175" s="7" t="n">
        <v>35</v>
      </c>
      <c r="H175" s="7" t="n">
        <v>-11</v>
      </c>
      <c r="I175" s="15" t="n">
        <v>-0.0246636771300448</v>
      </c>
      <c r="J175" s="15" t="n">
        <f aca="false">I175-I174</f>
        <v>-0.150224215246637</v>
      </c>
      <c r="K175" s="10" t="n">
        <v>23381</v>
      </c>
      <c r="L175" s="16" t="n">
        <f aca="false">+K175-K174</f>
        <v>-179</v>
      </c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customFormat="false" ht="43.5" hidden="false" customHeight="true" outlineLevel="0" collapsed="false">
      <c r="A176" s="13" t="n">
        <v>45699</v>
      </c>
      <c r="B176" s="7" t="n">
        <v>92</v>
      </c>
      <c r="C176" s="7" t="n">
        <v>131</v>
      </c>
      <c r="D176" s="7" t="n">
        <v>0</v>
      </c>
      <c r="E176" s="7" t="n">
        <v>28</v>
      </c>
      <c r="F176" s="7" t="n">
        <v>4</v>
      </c>
      <c r="G176" s="7" t="n">
        <v>92</v>
      </c>
      <c r="H176" s="7" t="n">
        <v>-155</v>
      </c>
      <c r="I176" s="15" t="n">
        <v>-0.347533632286996</v>
      </c>
      <c r="J176" s="15" t="n">
        <f aca="false">I176-I175</f>
        <v>-0.322869955156951</v>
      </c>
      <c r="K176" s="10" t="n">
        <v>23072</v>
      </c>
      <c r="L176" s="16" t="n">
        <f aca="false">+K176-K175</f>
        <v>-309</v>
      </c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customFormat="false" ht="43.5" hidden="false" customHeight="true" outlineLevel="0" collapsed="false">
      <c r="A177" s="13" t="n">
        <v>45700</v>
      </c>
      <c r="B177" s="7" t="n">
        <v>76</v>
      </c>
      <c r="C177" s="7" t="n">
        <v>146</v>
      </c>
      <c r="D177" s="7" t="n">
        <v>0</v>
      </c>
      <c r="E177" s="7" t="n">
        <v>15</v>
      </c>
      <c r="F177" s="7" t="n">
        <v>3</v>
      </c>
      <c r="G177" s="7" t="n">
        <v>123</v>
      </c>
      <c r="H177" s="7" t="n">
        <v>-205</v>
      </c>
      <c r="I177" s="15" t="n">
        <v>-0.459641255605381</v>
      </c>
      <c r="J177" s="15" t="n">
        <f aca="false">I177-I176</f>
        <v>-0.112107623318385</v>
      </c>
      <c r="K177" s="10" t="n">
        <v>23045</v>
      </c>
      <c r="L177" s="16" t="n">
        <f aca="false">+K177-K176</f>
        <v>-27</v>
      </c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customFormat="false" ht="43.5" hidden="false" customHeight="true" outlineLevel="0" collapsed="false">
      <c r="A178" s="13" t="n">
        <v>45701</v>
      </c>
      <c r="B178" s="7" t="n">
        <v>70</v>
      </c>
      <c r="C178" s="7" t="n">
        <v>153</v>
      </c>
      <c r="D178" s="7" t="n">
        <v>0</v>
      </c>
      <c r="E178" s="7" t="n">
        <v>6</v>
      </c>
      <c r="F178" s="7" t="n">
        <v>12</v>
      </c>
      <c r="G178" s="7" t="n">
        <v>93</v>
      </c>
      <c r="H178" s="7" t="n">
        <v>-170</v>
      </c>
      <c r="I178" s="15" t="n">
        <v>-0.381165919282511</v>
      </c>
      <c r="J178" s="15" t="n">
        <f aca="false">I178-I177</f>
        <v>0.07847533632287</v>
      </c>
      <c r="K178" s="10" t="n">
        <v>23031</v>
      </c>
      <c r="L178" s="16" t="n">
        <f aca="false">+K178-K177</f>
        <v>-14</v>
      </c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customFormat="false" ht="43.5" hidden="false" customHeight="true" outlineLevel="0" collapsed="false">
      <c r="A179" s="13" t="n">
        <v>45702</v>
      </c>
      <c r="B179" s="7" t="n">
        <v>48</v>
      </c>
      <c r="C179" s="7" t="n">
        <v>175</v>
      </c>
      <c r="D179" s="7" t="n">
        <v>0</v>
      </c>
      <c r="E179" s="7" t="n">
        <v>22</v>
      </c>
      <c r="F179" s="7" t="n">
        <v>8</v>
      </c>
      <c r="G179" s="7" t="n">
        <v>137</v>
      </c>
      <c r="H179" s="7" t="n">
        <v>-278</v>
      </c>
      <c r="I179" s="15" t="n">
        <v>-0.623318385650224</v>
      </c>
      <c r="J179" s="15" t="n">
        <f aca="false">I179-I178</f>
        <v>-0.242152466367713</v>
      </c>
      <c r="K179" s="10" t="n">
        <v>22929</v>
      </c>
      <c r="L179" s="16" t="n">
        <f aca="false">+K179-K178</f>
        <v>-102</v>
      </c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customFormat="false" ht="43.5" hidden="false" customHeight="true" outlineLevel="0" collapsed="false">
      <c r="A180" s="13" t="n">
        <v>45705</v>
      </c>
      <c r="B180" s="7" t="n">
        <v>44</v>
      </c>
      <c r="C180" s="7" t="n">
        <v>179</v>
      </c>
      <c r="D180" s="7" t="n">
        <v>0</v>
      </c>
      <c r="E180" s="7" t="n">
        <v>4</v>
      </c>
      <c r="F180" s="7" t="n">
        <v>4</v>
      </c>
      <c r="G180" s="7" t="n">
        <v>146</v>
      </c>
      <c r="H180" s="7" t="n">
        <v>-281</v>
      </c>
      <c r="I180" s="15" t="n">
        <v>-0.630044843049327</v>
      </c>
      <c r="J180" s="15" t="n">
        <f aca="false">I180-I179</f>
        <v>-0.00672645739910294</v>
      </c>
      <c r="K180" s="10" t="n">
        <v>22960</v>
      </c>
      <c r="L180" s="16" t="n">
        <f aca="false">+K180-K179</f>
        <v>31</v>
      </c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customFormat="false" ht="43.5" hidden="false" customHeight="true" outlineLevel="0" collapsed="false">
      <c r="A181" s="13" t="n">
        <v>45706</v>
      </c>
      <c r="B181" s="7" t="n">
        <v>42</v>
      </c>
      <c r="C181" s="7" t="n">
        <v>181</v>
      </c>
      <c r="D181" s="7" t="n">
        <v>0</v>
      </c>
      <c r="E181" s="7" t="n">
        <v>2</v>
      </c>
      <c r="F181" s="7" t="n">
        <v>8</v>
      </c>
      <c r="G181" s="7" t="n">
        <v>132</v>
      </c>
      <c r="H181" s="7" t="n">
        <v>-265</v>
      </c>
      <c r="I181" s="15" t="n">
        <v>-0.594170403587444</v>
      </c>
      <c r="J181" s="15" t="n">
        <f aca="false">I181-I180</f>
        <v>0.035874439461883</v>
      </c>
      <c r="K181" s="10" t="n">
        <v>22945</v>
      </c>
      <c r="L181" s="16" t="n">
        <f aca="false">+K181-K180</f>
        <v>-15</v>
      </c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customFormat="false" ht="43.5" hidden="false" customHeight="true" outlineLevel="0" collapsed="false">
      <c r="A182" s="13" t="n">
        <v>45707</v>
      </c>
      <c r="B182" s="7" t="n">
        <v>39</v>
      </c>
      <c r="C182" s="7" t="n">
        <v>184</v>
      </c>
      <c r="D182" s="7" t="n">
        <v>1</v>
      </c>
      <c r="E182" s="7" t="n">
        <v>4</v>
      </c>
      <c r="F182" s="7" t="n">
        <v>7</v>
      </c>
      <c r="G182" s="7" t="n">
        <v>91</v>
      </c>
      <c r="H182" s="7" t="n">
        <v>-232</v>
      </c>
      <c r="I182" s="15" t="n">
        <v>-0.520179372197309</v>
      </c>
      <c r="J182" s="15" t="n">
        <f aca="false">I182-I181</f>
        <v>0.073991031390135</v>
      </c>
      <c r="K182" s="10" t="n">
        <v>22932</v>
      </c>
      <c r="L182" s="16" t="n">
        <f aca="false">+K182-K181</f>
        <v>-13</v>
      </c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customFormat="false" ht="43.5" hidden="false" customHeight="true" outlineLevel="0" collapsed="false">
      <c r="A183" s="13" t="n">
        <v>45708</v>
      </c>
      <c r="B183" s="7" t="n">
        <v>49</v>
      </c>
      <c r="C183" s="7" t="n">
        <v>174</v>
      </c>
      <c r="D183" s="7" t="n">
        <v>12</v>
      </c>
      <c r="E183" s="7" t="n">
        <v>2</v>
      </c>
      <c r="F183" s="7" t="n">
        <v>15</v>
      </c>
      <c r="G183" s="7" t="n">
        <v>46</v>
      </c>
      <c r="H183" s="7" t="n">
        <v>-146</v>
      </c>
      <c r="I183" s="15" t="n">
        <v>-0.327354260089686</v>
      </c>
      <c r="J183" s="15" t="n">
        <f aca="false">I183-I182</f>
        <v>0.192825112107623</v>
      </c>
      <c r="K183" s="10" t="n">
        <v>22913</v>
      </c>
      <c r="L183" s="16" t="n">
        <f aca="false">+K183-K182</f>
        <v>-19</v>
      </c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customFormat="false" ht="43.5" hidden="false" customHeight="true" outlineLevel="0" collapsed="false">
      <c r="A184" s="13" t="n">
        <v>45709</v>
      </c>
      <c r="B184" s="7" t="n">
        <v>51</v>
      </c>
      <c r="C184" s="7" t="n">
        <v>172</v>
      </c>
      <c r="D184" s="7" t="n">
        <v>4</v>
      </c>
      <c r="E184" s="7" t="n">
        <v>2</v>
      </c>
      <c r="F184" s="7" t="n">
        <v>17</v>
      </c>
      <c r="G184" s="7" t="n">
        <v>45</v>
      </c>
      <c r="H184" s="7" t="n">
        <v>-147</v>
      </c>
      <c r="I184" s="15" t="n">
        <v>-0.329596412556054</v>
      </c>
      <c r="J184" s="15" t="n">
        <f aca="false">I184-I183</f>
        <v>-0.002242152466368</v>
      </c>
      <c r="K184" s="10" t="n">
        <v>22795.9</v>
      </c>
      <c r="L184" s="16" t="n">
        <f aca="false">+K184-K183</f>
        <v>-117.099999999999</v>
      </c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customFormat="false" ht="43.5" hidden="false" customHeight="true" outlineLevel="0" collapsed="false">
      <c r="A185" s="13" t="n">
        <v>45712</v>
      </c>
      <c r="B185" s="7" t="n">
        <v>48</v>
      </c>
      <c r="C185" s="7" t="n">
        <v>175</v>
      </c>
      <c r="D185" s="7" t="n">
        <v>1</v>
      </c>
      <c r="E185" s="7" t="n">
        <v>5</v>
      </c>
      <c r="F185" s="7" t="n">
        <v>7</v>
      </c>
      <c r="G185" s="7" t="n">
        <v>75</v>
      </c>
      <c r="H185" s="7" t="n">
        <v>-199</v>
      </c>
      <c r="I185" s="15" t="n">
        <v>-0.446188340807175</v>
      </c>
      <c r="J185" s="15" t="n">
        <f aca="false">I185-I184</f>
        <v>-0.116591928251121</v>
      </c>
      <c r="K185" s="10" t="n">
        <v>22553</v>
      </c>
      <c r="L185" s="16" t="n">
        <f aca="false">+K185-K184</f>
        <v>-242.900000000001</v>
      </c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customFormat="false" ht="43.5" hidden="false" customHeight="true" outlineLevel="0" collapsed="false">
      <c r="A186" s="13" t="n">
        <v>45713</v>
      </c>
      <c r="B186" s="7" t="n">
        <v>48</v>
      </c>
      <c r="C186" s="7" t="n">
        <v>175</v>
      </c>
      <c r="D186" s="7" t="n">
        <v>2</v>
      </c>
      <c r="E186" s="7" t="n">
        <v>2</v>
      </c>
      <c r="F186" s="7" t="n">
        <v>5</v>
      </c>
      <c r="G186" s="7" t="n">
        <v>71</v>
      </c>
      <c r="H186" s="7" t="n">
        <v>-193</v>
      </c>
      <c r="I186" s="15" t="n">
        <v>-0.432735426008969</v>
      </c>
      <c r="J186" s="15" t="n">
        <f aca="false">I186-I185</f>
        <v>0.013452914798206</v>
      </c>
      <c r="K186" s="10" t="n">
        <v>22547</v>
      </c>
      <c r="L186" s="16" t="n">
        <f aca="false">+K186-K185</f>
        <v>-6</v>
      </c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customFormat="false" ht="43.5" hidden="false" customHeight="true" outlineLevel="0" collapsed="false">
      <c r="A187" s="13" t="n">
        <v>45715</v>
      </c>
      <c r="B187" s="7" t="n">
        <v>41</v>
      </c>
      <c r="C187" s="7" t="n">
        <v>182</v>
      </c>
      <c r="D187" s="7" t="n">
        <v>1</v>
      </c>
      <c r="E187" s="7" t="n">
        <v>8</v>
      </c>
      <c r="F187" s="7" t="n">
        <v>7</v>
      </c>
      <c r="G187" s="7" t="n">
        <v>106</v>
      </c>
      <c r="H187" s="7" t="n">
        <v>-247</v>
      </c>
      <c r="I187" s="15" t="n">
        <v>-0.553811659192825</v>
      </c>
      <c r="J187" s="15" t="n">
        <f aca="false">I187-I186</f>
        <v>-0.121076233183856</v>
      </c>
      <c r="K187" s="10" t="n">
        <v>22545</v>
      </c>
      <c r="L187" s="16" t="n">
        <f aca="false">+K187-K186</f>
        <v>-2</v>
      </c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customFormat="false" ht="43.5" hidden="false" customHeight="true" outlineLevel="0" collapsed="false">
      <c r="A188" s="13" t="n">
        <v>45716</v>
      </c>
      <c r="B188" s="7" t="n">
        <v>36</v>
      </c>
      <c r="C188" s="7" t="n">
        <v>180</v>
      </c>
      <c r="D188" s="7" t="n">
        <v>2</v>
      </c>
      <c r="E188" s="7" t="n">
        <v>6</v>
      </c>
      <c r="F188" s="7" t="n">
        <v>4</v>
      </c>
      <c r="G188" s="7" t="n">
        <v>156</v>
      </c>
      <c r="H188" s="7" t="n">
        <v>-300</v>
      </c>
      <c r="I188" s="15" t="n">
        <v>-0.694444444444444</v>
      </c>
      <c r="J188" s="15" t="n">
        <f aca="false">I188-I187</f>
        <v>-0.140632785251619</v>
      </c>
      <c r="K188" s="10" t="n">
        <v>22124</v>
      </c>
      <c r="L188" s="16" t="n">
        <f aca="false">+K188-K187</f>
        <v>-421</v>
      </c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customFormat="false" ht="43.5" hidden="false" customHeight="true" outlineLevel="0" collapsed="false">
      <c r="A189" s="13" t="n">
        <v>45719</v>
      </c>
      <c r="B189" s="7" t="n">
        <v>32</v>
      </c>
      <c r="C189" s="7" t="n">
        <v>184</v>
      </c>
      <c r="D189" s="7" t="n">
        <v>1</v>
      </c>
      <c r="E189" s="7" t="n">
        <v>5</v>
      </c>
      <c r="F189" s="7" t="n">
        <v>3</v>
      </c>
      <c r="G189" s="7" t="n">
        <v>147</v>
      </c>
      <c r="H189" s="7" t="n">
        <v>-300</v>
      </c>
      <c r="I189" s="15" t="n">
        <v>-0.694444444444444</v>
      </c>
      <c r="J189" s="15" t="n">
        <f aca="false">I189-I188</f>
        <v>0</v>
      </c>
      <c r="K189" s="10" t="n">
        <v>22119</v>
      </c>
      <c r="L189" s="16" t="n">
        <f aca="false">+K189-K188</f>
        <v>-5</v>
      </c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customFormat="false" ht="43.5" hidden="false" customHeight="true" outlineLevel="0" collapsed="false">
      <c r="A190" s="13" t="n">
        <v>45720</v>
      </c>
      <c r="B190" s="7" t="n">
        <v>31</v>
      </c>
      <c r="C190" s="7" t="n">
        <v>185</v>
      </c>
      <c r="D190" s="7" t="n">
        <v>1</v>
      </c>
      <c r="E190" s="7" t="n">
        <v>2</v>
      </c>
      <c r="F190" s="7" t="n">
        <v>6</v>
      </c>
      <c r="G190" s="7" t="n">
        <v>127</v>
      </c>
      <c r="H190" s="7" t="n">
        <v>-276</v>
      </c>
      <c r="I190" s="15" t="n">
        <v>-0.638888888888889</v>
      </c>
      <c r="J190" s="15" t="n">
        <f aca="false">I190-I189</f>
        <v>0.055555555555555</v>
      </c>
      <c r="K190" s="10" t="n">
        <v>22119</v>
      </c>
      <c r="L190" s="16" t="n">
        <f aca="false">+K190-K189</f>
        <v>0</v>
      </c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customFormat="false" ht="43.5" hidden="false" customHeight="true" outlineLevel="0" collapsed="false">
      <c r="A191" s="13" t="n">
        <v>45721</v>
      </c>
      <c r="B191" s="7" t="n">
        <v>44</v>
      </c>
      <c r="C191" s="7" t="n">
        <v>172</v>
      </c>
      <c r="D191" s="7" t="n">
        <v>13</v>
      </c>
      <c r="E191" s="7" t="n">
        <v>0</v>
      </c>
      <c r="F191" s="7" t="n">
        <v>13</v>
      </c>
      <c r="G191" s="7" t="n">
        <v>63</v>
      </c>
      <c r="H191" s="7" t="n">
        <v>-165</v>
      </c>
      <c r="I191" s="15" t="n">
        <v>-0.381944444444444</v>
      </c>
      <c r="J191" s="15" t="n">
        <f aca="false">I191-I190</f>
        <v>0.256944444444445</v>
      </c>
      <c r="K191" s="10" t="n">
        <v>22337.5</v>
      </c>
      <c r="L191" s="16" t="n">
        <f aca="false">+K191-K190</f>
        <v>218.5</v>
      </c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customFormat="false" ht="43.5" hidden="false" customHeight="true" outlineLevel="0" collapsed="false">
      <c r="A192" s="13" t="n">
        <v>45722</v>
      </c>
      <c r="B192" s="7" t="n">
        <v>70</v>
      </c>
      <c r="C192" s="7" t="n">
        <v>146</v>
      </c>
      <c r="D192" s="7" t="n">
        <v>26</v>
      </c>
      <c r="E192" s="7" t="n">
        <v>0</v>
      </c>
      <c r="F192" s="7" t="n">
        <v>26</v>
      </c>
      <c r="G192" s="7" t="n">
        <v>19</v>
      </c>
      <c r="H192" s="7" t="n">
        <v>-43</v>
      </c>
      <c r="I192" s="15" t="n">
        <v>-0.099537037037037</v>
      </c>
      <c r="J192" s="15" t="n">
        <f aca="false">I192-I191</f>
        <v>0.282407407407407</v>
      </c>
      <c r="K192" s="10" t="n">
        <v>22544.7</v>
      </c>
      <c r="L192" s="16" t="n">
        <f aca="false">+K192-K191</f>
        <v>207.200000000001</v>
      </c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customFormat="false" ht="43.5" hidden="false" customHeight="true" outlineLevel="0" collapsed="false">
      <c r="A193" s="13" t="n">
        <v>45723</v>
      </c>
      <c r="B193" s="7" t="n">
        <v>78</v>
      </c>
      <c r="C193" s="7" t="n">
        <v>138</v>
      </c>
      <c r="D193" s="7" t="n">
        <v>8</v>
      </c>
      <c r="E193" s="7" t="n">
        <v>0</v>
      </c>
      <c r="F193" s="7" t="n">
        <v>29</v>
      </c>
      <c r="G193" s="7" t="n">
        <v>23</v>
      </c>
      <c r="H193" s="7" t="n">
        <v>-46</v>
      </c>
      <c r="I193" s="15" t="n">
        <v>-0.106481481481481</v>
      </c>
      <c r="J193" s="15" t="n">
        <f aca="false">I193-I192</f>
        <v>-0.006944444444444</v>
      </c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customFormat="false" ht="43.5" hidden="false" customHeight="true" outlineLevel="0" collapsed="false">
      <c r="A194" s="13" t="n">
        <v>45726</v>
      </c>
      <c r="B194" s="7" t="n">
        <v>79</v>
      </c>
      <c r="C194" s="7" t="n">
        <v>137</v>
      </c>
      <c r="D194" s="7" t="n">
        <v>3</v>
      </c>
      <c r="E194" s="7" t="n">
        <v>2</v>
      </c>
      <c r="F194" s="7" t="n">
        <v>27</v>
      </c>
      <c r="G194" s="7" t="n">
        <v>36</v>
      </c>
      <c r="H194" s="7" t="n">
        <v>-66</v>
      </c>
      <c r="I194" s="15" t="n">
        <v>-0.152777777777778</v>
      </c>
      <c r="J194" s="15" t="n">
        <f aca="false">I194-I193</f>
        <v>-0.046296296296297</v>
      </c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customFormat="false" ht="43.5" hidden="false" customHeight="true" outlineLevel="0" collapsed="false">
      <c r="A195" s="13" t="n">
        <v>45727</v>
      </c>
      <c r="B195" s="7" t="n">
        <v>85</v>
      </c>
      <c r="C195" s="7" t="n">
        <v>131</v>
      </c>
      <c r="D195" s="7" t="n">
        <v>6</v>
      </c>
      <c r="E195" s="7" t="n">
        <v>0</v>
      </c>
      <c r="F195" s="7" t="n">
        <v>22</v>
      </c>
      <c r="G195" s="7" t="n">
        <v>52</v>
      </c>
      <c r="H195" s="7" t="n">
        <v>-70</v>
      </c>
      <c r="I195" s="15" t="n">
        <v>-0.162037037037037</v>
      </c>
      <c r="J195" s="15" t="n">
        <f aca="false">I195-I194</f>
        <v>-0.009259259259259</v>
      </c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customFormat="false" ht="43.5" hidden="false" customHeight="true" outlineLevel="0" collapsed="false">
      <c r="A196" s="13" t="n">
        <v>45728</v>
      </c>
      <c r="B196" s="7" t="n">
        <v>86</v>
      </c>
      <c r="C196" s="7" t="n">
        <v>130</v>
      </c>
      <c r="D196" s="7" t="n">
        <v>3</v>
      </c>
      <c r="E196" s="7" t="n">
        <v>2</v>
      </c>
      <c r="F196" s="7" t="n">
        <v>24</v>
      </c>
      <c r="G196" s="7" t="n">
        <v>44</v>
      </c>
      <c r="H196" s="7" t="n">
        <v>-63</v>
      </c>
      <c r="I196" s="15" t="n">
        <v>-0.145833333333333</v>
      </c>
      <c r="J196" s="15" t="n">
        <f aca="false">I196-I195</f>
        <v>0.016203703703704</v>
      </c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customFormat="false" ht="43.5" hidden="false" customHeight="true" outlineLevel="0" collapsed="false">
      <c r="A197" s="13" t="n">
        <v>45729</v>
      </c>
      <c r="B197" s="7" t="n">
        <v>86</v>
      </c>
      <c r="C197" s="7" t="n">
        <v>130</v>
      </c>
      <c r="D197" s="7" t="n">
        <v>2</v>
      </c>
      <c r="E197" s="7" t="n">
        <v>2</v>
      </c>
      <c r="F197" s="7" t="n">
        <v>21</v>
      </c>
      <c r="G197" s="7" t="n">
        <v>48</v>
      </c>
      <c r="H197" s="7" t="n">
        <v>-71</v>
      </c>
      <c r="I197" s="15" t="n">
        <v>-0.164351851851852</v>
      </c>
      <c r="J197" s="15" t="n">
        <f aca="false">I197-I196</f>
        <v>-0.018518518518519</v>
      </c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customFormat="false" ht="43.5" hidden="false" customHeight="true" outlineLevel="0" collapsed="false">
      <c r="A198" s="13" t="n">
        <v>45733</v>
      </c>
      <c r="B198" s="7" t="n">
        <v>88</v>
      </c>
      <c r="C198" s="7" t="n">
        <v>128</v>
      </c>
      <c r="D198" s="7" t="n">
        <v>3</v>
      </c>
      <c r="E198" s="7" t="n">
        <v>1</v>
      </c>
      <c r="F198" s="7" t="n">
        <v>30</v>
      </c>
      <c r="G198" s="7" t="n">
        <v>36</v>
      </c>
      <c r="H198" s="7" t="n">
        <v>-44</v>
      </c>
      <c r="I198" s="15" t="n">
        <v>-0.101851851851852</v>
      </c>
      <c r="J198" s="15" t="n">
        <f aca="false">I198-I197</f>
        <v>0.0625</v>
      </c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customFormat="false" ht="43.5" hidden="false" customHeight="true" outlineLevel="0" collapsed="false">
      <c r="A199" s="13" t="n">
        <v>45734</v>
      </c>
      <c r="B199" s="7" t="n">
        <v>107</v>
      </c>
      <c r="C199" s="7" t="n">
        <v>109</v>
      </c>
      <c r="D199" s="7" t="n">
        <v>19</v>
      </c>
      <c r="E199" s="7" t="n">
        <v>0</v>
      </c>
      <c r="F199" s="7" t="n">
        <v>63</v>
      </c>
      <c r="G199" s="7" t="n">
        <v>7</v>
      </c>
      <c r="H199" s="7" t="n">
        <v>73</v>
      </c>
      <c r="I199" s="15" t="n">
        <v>0.168981481481481</v>
      </c>
      <c r="J199" s="15" t="n">
        <f aca="false">I199-I198</f>
        <v>0.270833333333333</v>
      </c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customFormat="false" ht="43.5" hidden="false" customHeight="true" outlineLevel="0" collapsed="false">
      <c r="A200" s="13" t="n">
        <v>45735</v>
      </c>
      <c r="B200" s="7" t="n">
        <v>142</v>
      </c>
      <c r="C200" s="7" t="n">
        <v>74</v>
      </c>
      <c r="D200" s="7" t="n">
        <v>35</v>
      </c>
      <c r="E200" s="7" t="n">
        <v>0</v>
      </c>
      <c r="F200" s="7" t="n">
        <v>108</v>
      </c>
      <c r="G200" s="7" t="n">
        <v>5</v>
      </c>
      <c r="H200" s="7" t="n">
        <v>206</v>
      </c>
      <c r="I200" s="15" t="n">
        <v>0.476851851851852</v>
      </c>
      <c r="J200" s="15" t="n">
        <f aca="false">I200-I199</f>
        <v>0.307870370370371</v>
      </c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customFormat="false" ht="43.5" hidden="false" customHeight="true" outlineLevel="0" collapsed="false">
      <c r="A201" s="13" t="n">
        <v>45736</v>
      </c>
      <c r="B201" s="7" t="n">
        <v>155</v>
      </c>
      <c r="C201" s="7" t="n">
        <v>61</v>
      </c>
      <c r="D201" s="7" t="n">
        <v>15</v>
      </c>
      <c r="E201" s="7" t="n">
        <v>0</v>
      </c>
      <c r="F201" s="7" t="n">
        <v>126</v>
      </c>
      <c r="G201" s="7" t="n">
        <v>2</v>
      </c>
      <c r="H201" s="7" t="n">
        <v>233</v>
      </c>
      <c r="I201" s="15" t="n">
        <v>0.539351851851852</v>
      </c>
      <c r="J201" s="15" t="n">
        <f aca="false">I201-I200</f>
        <v>0.0624999999999999</v>
      </c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customFormat="false" ht="43.5" hidden="false" customHeight="true" outlineLevel="0" collapsed="false">
      <c r="A202" s="13" t="n">
        <v>45737</v>
      </c>
      <c r="B202" s="7" t="n">
        <v>177</v>
      </c>
      <c r="C202" s="7" t="n">
        <v>39</v>
      </c>
      <c r="D202" s="7" t="n">
        <v>21</v>
      </c>
      <c r="E202" s="7" t="n">
        <v>0</v>
      </c>
      <c r="F202" s="7" t="n">
        <v>138</v>
      </c>
      <c r="G202" s="7" t="n">
        <v>2</v>
      </c>
      <c r="H202" s="7" t="n">
        <v>295</v>
      </c>
      <c r="I202" s="15" t="n">
        <v>0.68287037037037</v>
      </c>
      <c r="J202" s="15" t="n">
        <f aca="false">I202-I201</f>
        <v>0.143518518518518</v>
      </c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customFormat="false" ht="43.5" hidden="false" customHeight="true" outlineLevel="0" collapsed="false">
      <c r="A203" s="13" t="n">
        <v>45740</v>
      </c>
      <c r="B203" s="7" t="n">
        <v>188</v>
      </c>
      <c r="C203" s="7" t="n">
        <v>28</v>
      </c>
      <c r="D203" s="7" t="n">
        <v>12</v>
      </c>
      <c r="E203" s="7" t="n">
        <v>1</v>
      </c>
      <c r="F203" s="7" t="n">
        <v>156</v>
      </c>
      <c r="G203" s="7" t="n">
        <v>1</v>
      </c>
      <c r="H203" s="7" t="n">
        <v>326</v>
      </c>
      <c r="I203" s="15" t="n">
        <v>0.75462962962963</v>
      </c>
      <c r="J203" s="15" t="n">
        <f aca="false">I203-I202</f>
        <v>0.07175925925926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customFormat="false" ht="43.5" hidden="false" customHeight="true" outlineLevel="0" collapsed="false">
      <c r="A204" s="13" t="n">
        <v>45741</v>
      </c>
      <c r="B204" s="7" t="n">
        <v>191</v>
      </c>
      <c r="C204" s="7" t="n">
        <v>25</v>
      </c>
      <c r="D204" s="7" t="n">
        <v>3</v>
      </c>
      <c r="E204" s="7" t="n">
        <v>0</v>
      </c>
      <c r="F204" s="7" t="n">
        <v>147</v>
      </c>
      <c r="G204" s="7" t="n">
        <v>2</v>
      </c>
      <c r="H204" s="7" t="n">
        <v>314</v>
      </c>
      <c r="I204" s="15" t="n">
        <v>0.726851851851852</v>
      </c>
      <c r="J204" s="15" t="n">
        <f aca="false">I204-I203</f>
        <v>-0.027777777777778</v>
      </c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customFormat="false" ht="43.5" hidden="false" customHeight="true" outlineLevel="0" collapsed="false">
      <c r="A205" s="13" t="n">
        <v>45742</v>
      </c>
      <c r="B205" s="7" t="n">
        <v>190</v>
      </c>
      <c r="C205" s="7" t="n">
        <v>26</v>
      </c>
      <c r="D205" s="7" t="n">
        <v>1</v>
      </c>
      <c r="E205" s="7" t="n">
        <v>2</v>
      </c>
      <c r="F205" s="7" t="n">
        <v>106</v>
      </c>
      <c r="G205" s="7" t="n">
        <v>3</v>
      </c>
      <c r="H205" s="7" t="n">
        <v>266</v>
      </c>
      <c r="I205" s="15" t="n">
        <v>0.615740740740741</v>
      </c>
      <c r="J205" s="15" t="n">
        <f aca="false">I205-I204</f>
        <v>-0.111111111111111</v>
      </c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customFormat="false" ht="43.5" hidden="false" customHeight="true" outlineLevel="0" collapsed="false">
      <c r="A206" s="13" t="n">
        <v>45743</v>
      </c>
      <c r="B206" s="7" t="n">
        <v>191</v>
      </c>
      <c r="C206" s="7" t="n">
        <v>25</v>
      </c>
      <c r="D206" s="7" t="n">
        <v>3</v>
      </c>
      <c r="E206" s="7" t="n">
        <v>2</v>
      </c>
      <c r="F206" s="7" t="n">
        <v>96</v>
      </c>
      <c r="G206" s="7" t="n">
        <v>4</v>
      </c>
      <c r="H206" s="7" t="n">
        <v>259</v>
      </c>
      <c r="I206" s="15" t="n">
        <v>0.599537037037037</v>
      </c>
      <c r="J206" s="15" t="n">
        <f aca="false">I206-I205</f>
        <v>-0.0162037037037041</v>
      </c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customFormat="false" ht="43.5" hidden="false" customHeight="true" outlineLevel="0" collapsed="false">
      <c r="A207" s="13" t="n">
        <v>45744</v>
      </c>
      <c r="B207" s="7" t="n">
        <v>186</v>
      </c>
      <c r="C207" s="7" t="n">
        <v>30</v>
      </c>
      <c r="D207" s="7" t="n">
        <v>1</v>
      </c>
      <c r="E207" s="7" t="n">
        <v>6</v>
      </c>
      <c r="F207" s="7" t="n">
        <v>87</v>
      </c>
      <c r="G207" s="7" t="n">
        <v>4</v>
      </c>
      <c r="H207" s="7" t="n">
        <v>234</v>
      </c>
      <c r="I207" s="15" t="n">
        <v>0.541666666666667</v>
      </c>
      <c r="J207" s="15" t="n">
        <f aca="false">I207-I206</f>
        <v>-0.05787037037037</v>
      </c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customFormat="false" ht="43.5" hidden="false" customHeight="true" outlineLevel="0" collapsed="false">
      <c r="A208" s="13" t="n">
        <v>45748</v>
      </c>
      <c r="B208" s="7" t="n">
        <v>171</v>
      </c>
      <c r="C208" s="7" t="n">
        <v>45</v>
      </c>
      <c r="D208" s="7" t="n">
        <v>0</v>
      </c>
      <c r="E208" s="7" t="n">
        <v>16</v>
      </c>
      <c r="F208" s="7" t="n">
        <v>41</v>
      </c>
      <c r="G208" s="7" t="n">
        <v>10</v>
      </c>
      <c r="H208" s="7" t="n">
        <v>141</v>
      </c>
      <c r="I208" s="15" t="n">
        <v>0.326388888888889</v>
      </c>
      <c r="J208" s="15" t="n">
        <f aca="false">I208-I207</f>
        <v>-0.215277777777778</v>
      </c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customFormat="false" ht="43.5" hidden="false" customHeight="true" outlineLevel="0" collapsed="false">
      <c r="A209" s="13" t="n">
        <v>45749</v>
      </c>
      <c r="B209" s="7" t="n">
        <v>171</v>
      </c>
      <c r="C209" s="7" t="n">
        <v>45</v>
      </c>
      <c r="D209" s="7" t="n">
        <v>0</v>
      </c>
      <c r="E209" s="7" t="n">
        <v>16</v>
      </c>
      <c r="F209" s="7" t="n">
        <v>41</v>
      </c>
      <c r="G209" s="7" t="n">
        <v>10</v>
      </c>
      <c r="H209" s="7" t="n">
        <v>141</v>
      </c>
      <c r="I209" s="15" t="n">
        <v>0.326388888888889</v>
      </c>
      <c r="J209" s="15" t="n">
        <f aca="false">I209-I208</f>
        <v>0</v>
      </c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customFormat="false" ht="43.5" hidden="false" customHeight="true" outlineLevel="0" collapsed="false">
      <c r="A210" s="13" t="n">
        <v>45750</v>
      </c>
      <c r="B210" s="7" t="n">
        <v>161</v>
      </c>
      <c r="C210" s="7" t="n">
        <v>55</v>
      </c>
      <c r="D210" s="7" t="n">
        <v>0</v>
      </c>
      <c r="E210" s="7" t="n">
        <v>11</v>
      </c>
      <c r="F210" s="7" t="n">
        <v>64</v>
      </c>
      <c r="G210" s="7" t="n">
        <v>17</v>
      </c>
      <c r="H210" s="7" t="n">
        <v>142</v>
      </c>
      <c r="I210" s="15" t="n">
        <v>0.328703703703704</v>
      </c>
      <c r="J210" s="15" t="n">
        <f aca="false">I210-I209</f>
        <v>0.00231481481481499</v>
      </c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customFormat="false" ht="43.5" hidden="false" customHeight="true" outlineLevel="0" collapsed="false">
      <c r="A211" s="13" t="n">
        <v>45751</v>
      </c>
      <c r="B211" s="7" t="n">
        <v>130</v>
      </c>
      <c r="C211" s="7" t="n">
        <v>86</v>
      </c>
      <c r="D211" s="7" t="n">
        <v>0</v>
      </c>
      <c r="E211" s="7" t="n">
        <v>31</v>
      </c>
      <c r="F211" s="7" t="n">
        <v>30</v>
      </c>
      <c r="G211" s="7" t="n">
        <v>45</v>
      </c>
      <c r="H211" s="7" t="n">
        <v>-2</v>
      </c>
      <c r="I211" s="15" t="n">
        <v>-0.00462962962962963</v>
      </c>
      <c r="J211" s="15" t="n">
        <f aca="false">I211-I210</f>
        <v>-0.333333333333334</v>
      </c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customFormat="false" ht="43.5" hidden="false" customHeight="true" outlineLevel="0" collapsed="false">
      <c r="A212" s="13" t="n">
        <v>45754</v>
      </c>
      <c r="B212" s="7" t="n">
        <v>74</v>
      </c>
      <c r="C212" s="7" t="n">
        <v>142</v>
      </c>
      <c r="D212" s="7" t="n">
        <v>0</v>
      </c>
      <c r="E212" s="7" t="n">
        <v>56</v>
      </c>
      <c r="F212" s="7" t="n">
        <v>4</v>
      </c>
      <c r="G212" s="7" t="n">
        <v>103</v>
      </c>
      <c r="H212" s="7" t="n">
        <v>-223</v>
      </c>
      <c r="I212" s="15" t="n">
        <v>-0.516203703703704</v>
      </c>
      <c r="J212" s="15" t="n">
        <f aca="false">I212-I211</f>
        <v>-0.511574074074074</v>
      </c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customFormat="false" ht="43.5" hidden="false" customHeight="true" outlineLevel="0" collapsed="false">
      <c r="A213" s="13" t="n">
        <v>45755</v>
      </c>
      <c r="B213" s="7" t="n">
        <v>74</v>
      </c>
      <c r="C213" s="7" t="n">
        <v>142</v>
      </c>
      <c r="D213" s="7" t="n">
        <v>0</v>
      </c>
      <c r="E213" s="7" t="n">
        <v>0</v>
      </c>
      <c r="F213" s="7" t="n">
        <v>15</v>
      </c>
      <c r="G213" s="7" t="n">
        <v>63</v>
      </c>
      <c r="H213" s="7" t="n">
        <v>-116</v>
      </c>
      <c r="I213" s="15" t="n">
        <v>-0.268518518518519</v>
      </c>
      <c r="J213" s="15" t="n">
        <f aca="false">I213-I212</f>
        <v>0.247685185185185</v>
      </c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customFormat="false" ht="43.5" hidden="false" customHeight="true" outlineLevel="0" collapsed="false">
      <c r="A214" s="13" t="n">
        <v>45756</v>
      </c>
      <c r="B214" s="7" t="n">
        <v>72</v>
      </c>
      <c r="C214" s="7" t="n">
        <v>144</v>
      </c>
      <c r="D214" s="7" t="n">
        <v>2</v>
      </c>
      <c r="E214" s="7" t="n">
        <v>4</v>
      </c>
      <c r="F214" s="7" t="n">
        <v>24</v>
      </c>
      <c r="G214" s="7" t="n">
        <v>77</v>
      </c>
      <c r="H214" s="7" t="n">
        <v>-127</v>
      </c>
      <c r="I214" s="15" t="n">
        <v>-0.293981481481481</v>
      </c>
      <c r="J214" s="15" t="n">
        <f aca="false">I214-I213</f>
        <v>-0.025462962962962</v>
      </c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customFormat="false" ht="43.5" hidden="false" customHeight="true" outlineLevel="0" collapsed="false">
      <c r="A215" s="13" t="n">
        <v>45758</v>
      </c>
      <c r="B215" s="7" t="n">
        <v>89</v>
      </c>
      <c r="C215" s="7" t="n">
        <v>127</v>
      </c>
      <c r="D215" s="7" t="n">
        <v>18</v>
      </c>
      <c r="E215" s="7" t="n">
        <v>1</v>
      </c>
      <c r="F215" s="7" t="n">
        <v>38</v>
      </c>
      <c r="G215" s="7" t="n">
        <v>40</v>
      </c>
      <c r="H215" s="7" t="n">
        <v>-23</v>
      </c>
      <c r="I215" s="15" t="n">
        <v>-0.0532407407407407</v>
      </c>
      <c r="J215" s="15" t="n">
        <f aca="false">I215-I214</f>
        <v>0.24074074074074</v>
      </c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customFormat="false" ht="43.5" hidden="false" customHeight="true" outlineLevel="0" collapsed="false">
      <c r="A216" s="13" t="n">
        <v>45762</v>
      </c>
      <c r="B216" s="7" t="n">
        <v>145</v>
      </c>
      <c r="C216" s="7" t="n">
        <v>71</v>
      </c>
      <c r="D216" s="7" t="n">
        <v>56</v>
      </c>
      <c r="E216" s="7" t="n">
        <v>0</v>
      </c>
      <c r="F216" s="7" t="n">
        <v>79</v>
      </c>
      <c r="G216" s="7" t="n">
        <v>10</v>
      </c>
      <c r="H216" s="7" t="n">
        <v>199</v>
      </c>
      <c r="I216" s="15" t="n">
        <v>0.460648148148148</v>
      </c>
      <c r="J216" s="15" t="n">
        <f aca="false">I216-I215</f>
        <v>0.513888888888889</v>
      </c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customFormat="false" ht="43.5" hidden="false" customHeight="true" outlineLevel="0" collapsed="false">
      <c r="A217" s="13" t="n">
        <v>45763</v>
      </c>
      <c r="B217" s="7" t="n">
        <v>159</v>
      </c>
      <c r="C217" s="7" t="n">
        <v>57</v>
      </c>
      <c r="D217" s="7" t="n">
        <v>14</v>
      </c>
      <c r="E217" s="7" t="n">
        <v>0</v>
      </c>
      <c r="F217" s="7" t="n">
        <v>92</v>
      </c>
      <c r="G217" s="7" t="n">
        <v>7</v>
      </c>
      <c r="H217" s="7" t="n">
        <v>201</v>
      </c>
      <c r="I217" s="15" t="n">
        <v>0.465277777777778</v>
      </c>
      <c r="J217" s="15" t="n">
        <f aca="false">I217-I216</f>
        <v>0.00462962962963004</v>
      </c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customFormat="false" ht="43.5" hidden="false" customHeight="true" outlineLevel="0" collapsed="false">
      <c r="A218" s="13" t="n">
        <v>45764</v>
      </c>
      <c r="B218" s="7" t="n">
        <v>167</v>
      </c>
      <c r="C218" s="7" t="n">
        <v>49</v>
      </c>
      <c r="D218" s="7" t="n">
        <v>8</v>
      </c>
      <c r="E218" s="7" t="n">
        <v>0</v>
      </c>
      <c r="F218" s="7" t="n">
        <v>101</v>
      </c>
      <c r="G218" s="7" t="n">
        <v>7</v>
      </c>
      <c r="H218" s="7" t="n">
        <v>220</v>
      </c>
      <c r="I218" s="15" t="n">
        <v>0.509259259259259</v>
      </c>
      <c r="J218" s="15" t="n">
        <f aca="false">I218-I217</f>
        <v>0.043981481481481</v>
      </c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customFormat="false" ht="43.5" hidden="false" customHeight="true" outlineLevel="0" collapsed="false">
      <c r="A219" s="13" t="n">
        <v>45768</v>
      </c>
      <c r="B219" s="7" t="n">
        <v>192</v>
      </c>
      <c r="C219" s="7" t="n">
        <v>24</v>
      </c>
      <c r="D219" s="7" t="n">
        <v>25</v>
      </c>
      <c r="E219" s="7" t="n">
        <v>0</v>
      </c>
      <c r="F219" s="7" t="n">
        <v>123</v>
      </c>
      <c r="G219" s="7" t="n">
        <v>1</v>
      </c>
      <c r="H219" s="7" t="n">
        <v>315</v>
      </c>
      <c r="I219" s="15" t="n">
        <v>0.729166666666667</v>
      </c>
      <c r="J219" s="15" t="n">
        <f aca="false">I219-I218</f>
        <v>0.219907407407408</v>
      </c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customFormat="false" ht="43.5" hidden="false" customHeight="true" outlineLevel="0" collapsed="false">
      <c r="A220" s="13" t="n">
        <v>45769</v>
      </c>
      <c r="B220" s="7" t="n">
        <v>196</v>
      </c>
      <c r="C220" s="7" t="n">
        <v>20</v>
      </c>
      <c r="D220" s="7" t="n">
        <v>4</v>
      </c>
      <c r="E220" s="7" t="n">
        <v>0</v>
      </c>
      <c r="F220" s="7" t="n">
        <v>127</v>
      </c>
      <c r="G220" s="7" t="n">
        <v>0</v>
      </c>
      <c r="H220" s="7" t="n">
        <v>307</v>
      </c>
      <c r="I220" s="15" t="n">
        <v>0.710648148148148</v>
      </c>
      <c r="J220" s="15" t="n">
        <f aca="false">I220-I219</f>
        <v>-0.0185185185185189</v>
      </c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customFormat="false" ht="43.5" hidden="false" customHeight="true" outlineLevel="0" collapsed="false">
      <c r="A221" s="13" t="n">
        <v>45770</v>
      </c>
      <c r="B221" s="7" t="n">
        <v>205</v>
      </c>
      <c r="C221" s="7" t="n">
        <v>11</v>
      </c>
      <c r="D221" s="7" t="n">
        <v>9</v>
      </c>
      <c r="E221" s="7" t="n">
        <v>0</v>
      </c>
      <c r="F221" s="7" t="n">
        <v>134</v>
      </c>
      <c r="G221" s="7" t="n">
        <v>0</v>
      </c>
      <c r="H221" s="7" t="n">
        <v>337</v>
      </c>
      <c r="I221" s="15" t="n">
        <v>0.780092592592593</v>
      </c>
      <c r="J221" s="15" t="n">
        <f aca="false">I221-I220</f>
        <v>0.069444444444445</v>
      </c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customFormat="false" ht="43.5" hidden="false" customHeight="true" outlineLevel="0" collapsed="false">
      <c r="A222" s="13" t="n">
        <v>45771</v>
      </c>
      <c r="B222" s="7" t="n">
        <v>204</v>
      </c>
      <c r="C222" s="7" t="n">
        <v>12</v>
      </c>
      <c r="D222" s="7" t="n">
        <v>0</v>
      </c>
      <c r="E222" s="7" t="n">
        <v>1</v>
      </c>
      <c r="F222" s="7" t="n">
        <v>123</v>
      </c>
      <c r="G222" s="7" t="n">
        <v>1</v>
      </c>
      <c r="H222" s="7" t="n">
        <v>313</v>
      </c>
      <c r="I222" s="15" t="n">
        <v>0.724537037037037</v>
      </c>
      <c r="J222" s="15" t="n">
        <f aca="false">I222-I221</f>
        <v>-0.055555555555556</v>
      </c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customFormat="false" ht="43.5" hidden="false" customHeight="true" outlineLevel="0" collapsed="false">
      <c r="A223" s="13" t="n">
        <v>45772</v>
      </c>
      <c r="B223" s="7" t="n">
        <v>195</v>
      </c>
      <c r="C223" s="7" t="n">
        <v>21</v>
      </c>
      <c r="D223" s="7" t="n">
        <v>0</v>
      </c>
      <c r="E223" s="7" t="n">
        <v>9</v>
      </c>
      <c r="F223" s="7" t="n">
        <v>48</v>
      </c>
      <c r="G223" s="7" t="n">
        <v>4</v>
      </c>
      <c r="H223" s="7" t="n">
        <v>209</v>
      </c>
      <c r="I223" s="15" t="n">
        <v>0.483796296296296</v>
      </c>
      <c r="J223" s="15" t="n">
        <f aca="false">I223-I222</f>
        <v>-0.240740740740741</v>
      </c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customFormat="false" ht="43.5" hidden="false" customHeight="true" outlineLevel="0" collapsed="false">
      <c r="A224" s="13" t="n">
        <v>45775</v>
      </c>
      <c r="B224" s="7" t="n">
        <v>193</v>
      </c>
      <c r="C224" s="7" t="n">
        <v>23</v>
      </c>
      <c r="D224" s="7" t="n">
        <v>0</v>
      </c>
      <c r="E224" s="7" t="n">
        <v>2</v>
      </c>
      <c r="F224" s="7" t="n">
        <v>47</v>
      </c>
      <c r="G224" s="7" t="n">
        <v>4</v>
      </c>
      <c r="H224" s="7" t="n">
        <v>211</v>
      </c>
      <c r="I224" s="15" t="n">
        <v>0.488425925925926</v>
      </c>
      <c r="J224" s="15" t="n">
        <f aca="false">I224-I223</f>
        <v>0.00462962962962998</v>
      </c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customFormat="false" ht="43.5" hidden="false" customHeight="true" outlineLevel="0" collapsed="false">
      <c r="A225" s="13" t="n">
        <v>45776</v>
      </c>
      <c r="B225" s="7" t="n">
        <v>192</v>
      </c>
      <c r="C225" s="7" t="n">
        <v>24</v>
      </c>
      <c r="D225" s="7" t="n">
        <v>1</v>
      </c>
      <c r="E225" s="7" t="n">
        <v>2</v>
      </c>
      <c r="F225" s="7" t="n">
        <v>48</v>
      </c>
      <c r="G225" s="7" t="n">
        <v>4</v>
      </c>
      <c r="H225" s="7" t="n">
        <v>211</v>
      </c>
      <c r="I225" s="15" t="n">
        <v>0.488425925925926</v>
      </c>
      <c r="J225" s="15" t="n">
        <f aca="false">I225-I224</f>
        <v>0</v>
      </c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customFormat="false" ht="43.5" hidden="false" customHeight="true" outlineLevel="0" collapsed="false">
      <c r="A226" s="13" t="n">
        <v>45777</v>
      </c>
      <c r="B226" s="7" t="n">
        <v>184</v>
      </c>
      <c r="C226" s="7" t="n">
        <v>32</v>
      </c>
      <c r="D226" s="7" t="n">
        <v>1</v>
      </c>
      <c r="E226" s="7" t="n">
        <v>9</v>
      </c>
      <c r="F226" s="7" t="n">
        <v>36</v>
      </c>
      <c r="G226" s="7" t="n">
        <v>9</v>
      </c>
      <c r="H226" s="7" t="n">
        <v>171</v>
      </c>
      <c r="I226" s="15" t="n">
        <v>0.395833333333333</v>
      </c>
      <c r="J226" s="15" t="n">
        <f aca="false">I226-I225</f>
        <v>-0.092592592592593</v>
      </c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customFormat="false" ht="43.5" hidden="false" customHeight="true" outlineLevel="0" collapsed="false">
      <c r="A227" s="13" t="n">
        <v>45779</v>
      </c>
      <c r="B227" s="7" t="n">
        <v>173</v>
      </c>
      <c r="C227" s="7" t="n">
        <v>43</v>
      </c>
      <c r="D227" s="7" t="n">
        <v>1</v>
      </c>
      <c r="E227" s="7" t="n">
        <v>12</v>
      </c>
      <c r="F227" s="7" t="n">
        <v>28</v>
      </c>
      <c r="G227" s="7" t="n">
        <v>10</v>
      </c>
      <c r="H227" s="7" t="n">
        <v>137</v>
      </c>
      <c r="I227" s="15" t="n">
        <v>0.31712962962963</v>
      </c>
      <c r="J227" s="15" t="n">
        <f aca="false">I227-I226</f>
        <v>-0.078703703703703</v>
      </c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customFormat="false" ht="43.5" hidden="false" customHeight="true" outlineLevel="0" collapsed="false">
      <c r="A228" s="13" t="n">
        <v>45782</v>
      </c>
      <c r="B228" s="7" t="n">
        <v>172</v>
      </c>
      <c r="C228" s="7" t="n">
        <v>44</v>
      </c>
      <c r="D228" s="7" t="n">
        <v>0</v>
      </c>
      <c r="E228" s="7" t="n">
        <v>1</v>
      </c>
      <c r="F228" s="7" t="n">
        <v>37</v>
      </c>
      <c r="G228" s="7" t="n">
        <v>9</v>
      </c>
      <c r="H228" s="7" t="n">
        <v>155</v>
      </c>
      <c r="I228" s="15" t="n">
        <v>0.358796296296296</v>
      </c>
      <c r="J228" s="15" t="n">
        <f aca="false">I228-I227</f>
        <v>0.041666666666666</v>
      </c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customFormat="false" ht="43.5" hidden="false" customHeight="true" outlineLevel="0" collapsed="false">
      <c r="A229" s="13" t="n">
        <v>45783</v>
      </c>
      <c r="B229" s="7" t="n">
        <v>145</v>
      </c>
      <c r="C229" s="7" t="n">
        <v>71</v>
      </c>
      <c r="D229" s="7" t="n">
        <v>0</v>
      </c>
      <c r="E229" s="7" t="n">
        <v>27</v>
      </c>
      <c r="F229" s="7" t="n">
        <v>27</v>
      </c>
      <c r="G229" s="7" t="n">
        <v>13</v>
      </c>
      <c r="H229" s="7" t="n">
        <v>61</v>
      </c>
      <c r="I229" s="15" t="n">
        <v>0.141203703703704</v>
      </c>
      <c r="J229" s="15" t="n">
        <f aca="false">I229-I228</f>
        <v>-0.217592592592592</v>
      </c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customFormat="false" ht="43.5" hidden="false" customHeight="true" outlineLevel="0" collapsed="false">
      <c r="A230" s="13" t="n">
        <v>45784</v>
      </c>
      <c r="B230" s="7" t="n">
        <v>142</v>
      </c>
      <c r="C230" s="7" t="n">
        <v>74</v>
      </c>
      <c r="D230" s="7" t="n">
        <v>1</v>
      </c>
      <c r="E230" s="7" t="n">
        <v>4</v>
      </c>
      <c r="F230" s="7" t="n">
        <v>25</v>
      </c>
      <c r="G230" s="7" t="n">
        <v>18</v>
      </c>
      <c r="H230" s="7" t="n">
        <v>72</v>
      </c>
      <c r="I230" s="15" t="n">
        <v>0.166666666666667</v>
      </c>
      <c r="J230" s="15" t="n">
        <f aca="false">I230-I229</f>
        <v>0.025462962962963</v>
      </c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customFormat="false" ht="43.5" hidden="false" customHeight="true" outlineLevel="0" collapsed="false">
      <c r="A231" s="13" t="n">
        <v>45785</v>
      </c>
      <c r="B231" s="7" t="n">
        <v>118</v>
      </c>
      <c r="C231" s="7" t="n">
        <v>98</v>
      </c>
      <c r="D231" s="7" t="n">
        <v>0</v>
      </c>
      <c r="E231" s="7" t="n">
        <v>24</v>
      </c>
      <c r="F231" s="7" t="n">
        <v>23</v>
      </c>
      <c r="G231" s="7" t="n">
        <v>19</v>
      </c>
      <c r="H231" s="7" t="n">
        <v>0</v>
      </c>
      <c r="I231" s="15" t="n">
        <v>0</v>
      </c>
      <c r="J231" s="15" t="n">
        <f aca="false">I231-I230</f>
        <v>-0.166666666666667</v>
      </c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customFormat="false" ht="43.5" hidden="false" customHeight="true" outlineLevel="0" collapsed="false">
      <c r="A232" s="13" t="n">
        <v>45786</v>
      </c>
      <c r="B232" s="7" t="n">
        <v>106</v>
      </c>
      <c r="C232" s="7" t="n">
        <v>110</v>
      </c>
      <c r="D232" s="7" t="n">
        <v>1</v>
      </c>
      <c r="E232" s="7" t="n">
        <v>14</v>
      </c>
      <c r="F232" s="7" t="n">
        <v>6</v>
      </c>
      <c r="G232" s="7" t="n">
        <v>60</v>
      </c>
      <c r="H232" s="7" t="n">
        <v>-71</v>
      </c>
      <c r="I232" s="15" t="n">
        <v>-0.164351851851852</v>
      </c>
      <c r="J232" s="15" t="n">
        <f aca="false">I232-I231</f>
        <v>-0.164351851851852</v>
      </c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customFormat="false" ht="43.5" hidden="false" customHeight="true" outlineLevel="0" collapsed="false">
      <c r="A233" s="13" t="n">
        <v>45789</v>
      </c>
      <c r="B233" s="7" t="n">
        <v>127</v>
      </c>
      <c r="C233" s="7" t="n">
        <v>89</v>
      </c>
      <c r="D233" s="7" t="n">
        <v>22</v>
      </c>
      <c r="E233" s="7" t="n">
        <v>1</v>
      </c>
      <c r="F233" s="7" t="n">
        <v>57</v>
      </c>
      <c r="G233" s="7" t="n">
        <v>6</v>
      </c>
      <c r="H233" s="7" t="n">
        <v>110</v>
      </c>
      <c r="I233" s="15" t="n">
        <v>0.25462962962963</v>
      </c>
      <c r="J233" s="15" t="n">
        <f aca="false">I233-I232</f>
        <v>0.418981481481482</v>
      </c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customFormat="false" ht="43.5" hidden="false" customHeight="true" outlineLevel="0" collapsed="false">
      <c r="A234" s="13" t="n">
        <v>45790</v>
      </c>
      <c r="B234" s="7" t="n">
        <v>132</v>
      </c>
      <c r="C234" s="7" t="n">
        <v>84</v>
      </c>
      <c r="D234" s="7" t="n">
        <v>8</v>
      </c>
      <c r="E234" s="7" t="n">
        <v>3</v>
      </c>
      <c r="F234" s="7" t="n">
        <v>65</v>
      </c>
      <c r="G234" s="7" t="n">
        <v>6</v>
      </c>
      <c r="H234" s="7" t="n">
        <v>112</v>
      </c>
      <c r="I234" s="15" t="n">
        <v>0.259259259259259</v>
      </c>
      <c r="J234" s="15" t="n">
        <f aca="false">I234-I233</f>
        <v>0.00462962962962904</v>
      </c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customFormat="false" ht="43.5" hidden="false" customHeight="true" outlineLevel="0" collapsed="false">
      <c r="A235" s="13" t="n">
        <v>45791</v>
      </c>
      <c r="B235" s="7" t="n">
        <v>146</v>
      </c>
      <c r="C235" s="7" t="n">
        <v>70</v>
      </c>
      <c r="D235" s="7" t="n">
        <v>15</v>
      </c>
      <c r="E235" s="7" t="n">
        <v>1</v>
      </c>
      <c r="F235" s="7" t="n">
        <v>85</v>
      </c>
      <c r="G235" s="7" t="n">
        <v>9</v>
      </c>
      <c r="H235" s="7" t="n">
        <v>166</v>
      </c>
      <c r="I235" s="15" t="n">
        <v>0.384259259259259</v>
      </c>
      <c r="J235" s="15" t="n">
        <f aca="false">I235-I234</f>
        <v>0.125</v>
      </c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customFormat="false" ht="43.5" hidden="false" customHeight="true" outlineLevel="0" collapsed="false">
      <c r="A236" s="13" t="n">
        <v>45792</v>
      </c>
      <c r="B236" s="7" t="n">
        <v>157</v>
      </c>
      <c r="C236" s="7" t="n">
        <v>59</v>
      </c>
      <c r="D236" s="7" t="n">
        <v>12</v>
      </c>
      <c r="E236" s="7" t="n">
        <v>1</v>
      </c>
      <c r="F236" s="7" t="n">
        <v>111</v>
      </c>
      <c r="G236" s="7" t="n">
        <v>8</v>
      </c>
      <c r="H236" s="7" t="n">
        <v>212</v>
      </c>
      <c r="I236" s="15" t="n">
        <v>0.490740740740741</v>
      </c>
      <c r="J236" s="15" t="n">
        <f aca="false">I236-I235</f>
        <v>0.106481481481482</v>
      </c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customFormat="false" ht="43.5" hidden="false" customHeight="true" outlineLevel="0" collapsed="false">
      <c r="A237" s="13" t="n">
        <v>45793</v>
      </c>
      <c r="B237" s="7" t="n">
        <v>174</v>
      </c>
      <c r="C237" s="7" t="n">
        <v>42</v>
      </c>
      <c r="D237" s="7" t="n">
        <v>18</v>
      </c>
      <c r="E237" s="7" t="n">
        <v>1</v>
      </c>
      <c r="F237" s="7" t="n">
        <v>128</v>
      </c>
      <c r="G237" s="7" t="n">
        <v>8</v>
      </c>
      <c r="H237" s="7" t="n">
        <v>269</v>
      </c>
      <c r="I237" s="15" t="n">
        <v>0.622685185185185</v>
      </c>
      <c r="J237" s="15" t="n">
        <f aca="false">I237-I236</f>
        <v>0.131944444444444</v>
      </c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customFormat="false" ht="43.5" hidden="false" customHeight="true" outlineLevel="0" collapsed="false">
      <c r="A238" s="13" t="n">
        <v>45796</v>
      </c>
      <c r="B238" s="7" t="n">
        <v>178</v>
      </c>
      <c r="C238" s="7" t="n">
        <v>38</v>
      </c>
      <c r="D238" s="7" t="n">
        <v>5</v>
      </c>
      <c r="E238" s="7" t="n">
        <v>1</v>
      </c>
      <c r="F238" s="7" t="n">
        <v>123</v>
      </c>
      <c r="G238" s="7" t="n">
        <v>6</v>
      </c>
      <c r="H238" s="7" t="n">
        <v>261</v>
      </c>
      <c r="I238" s="15" t="n">
        <v>0.604166666666667</v>
      </c>
      <c r="J238" s="15" t="n">
        <f aca="false">I238-I237</f>
        <v>-0.018518518518518</v>
      </c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customFormat="false" ht="43.5" hidden="false" customHeight="true" outlineLevel="0" collapsed="false">
      <c r="A239" s="13" t="n">
        <v>45797</v>
      </c>
      <c r="B239" s="7" t="n">
        <v>177</v>
      </c>
      <c r="C239" s="7" t="n">
        <v>39</v>
      </c>
      <c r="D239" s="7" t="n">
        <v>0</v>
      </c>
      <c r="E239" s="7" t="n">
        <v>1</v>
      </c>
      <c r="F239" s="7" t="n">
        <v>84</v>
      </c>
      <c r="G239" s="7" t="n">
        <v>9</v>
      </c>
      <c r="H239" s="7" t="n">
        <v>212</v>
      </c>
      <c r="I239" s="15" t="n">
        <v>0.490740740740741</v>
      </c>
      <c r="J239" s="15" t="n">
        <f aca="false">I239-I238</f>
        <v>-0.113425925925926</v>
      </c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customFormat="false" ht="43.5" hidden="false" customHeight="true" outlineLevel="0" collapsed="false">
      <c r="A240" s="13" t="n">
        <v>45798</v>
      </c>
      <c r="B240" s="7" t="n">
        <v>175</v>
      </c>
      <c r="C240" s="7" t="n">
        <v>41</v>
      </c>
      <c r="D240" s="7" t="n">
        <v>0</v>
      </c>
      <c r="E240" s="7" t="n">
        <v>2</v>
      </c>
      <c r="F240" s="7" t="n">
        <v>62</v>
      </c>
      <c r="G240" s="7" t="n">
        <v>12</v>
      </c>
      <c r="H240" s="7" t="n">
        <v>182</v>
      </c>
      <c r="I240" s="15" t="n">
        <v>0.421296296296296</v>
      </c>
      <c r="J240" s="15" t="n">
        <f aca="false">I240-I239</f>
        <v>-0.069444444444445</v>
      </c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customFormat="false" ht="43.5" hidden="false" customHeight="true" outlineLevel="0" collapsed="false">
      <c r="A241" s="13" t="n">
        <v>45799</v>
      </c>
      <c r="B241" s="7" t="n">
        <v>172</v>
      </c>
      <c r="C241" s="7" t="n">
        <v>44</v>
      </c>
      <c r="D241" s="7" t="n">
        <v>0</v>
      </c>
      <c r="E241" s="7" t="n">
        <v>3</v>
      </c>
      <c r="F241" s="7" t="n">
        <v>51</v>
      </c>
      <c r="G241" s="7" t="n">
        <v>19</v>
      </c>
      <c r="H241" s="7" t="n">
        <v>157</v>
      </c>
      <c r="I241" s="15" t="n">
        <v>0.363425925925926</v>
      </c>
      <c r="J241" s="15" t="n">
        <f aca="false">I241-I240</f>
        <v>-0.05787037037037</v>
      </c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customFormat="false" ht="43.5" hidden="false" customHeight="true" outlineLevel="0" collapsed="false">
      <c r="A242" s="13" t="n">
        <v>45800</v>
      </c>
      <c r="B242" s="7" t="n">
        <v>171</v>
      </c>
      <c r="C242" s="7" t="n">
        <v>45</v>
      </c>
      <c r="D242" s="7" t="n">
        <v>0</v>
      </c>
      <c r="E242" s="7" t="n">
        <v>1</v>
      </c>
      <c r="F242" s="7" t="n">
        <v>56</v>
      </c>
      <c r="G242" s="7" t="n">
        <v>14</v>
      </c>
      <c r="H242" s="7" t="n">
        <v>167</v>
      </c>
      <c r="I242" s="15" t="n">
        <v>0.386574074074074</v>
      </c>
      <c r="J242" s="15" t="n">
        <f aca="false">I242-I241</f>
        <v>0.023148148148148</v>
      </c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customFormat="false" ht="43.5" hidden="false" customHeight="true" outlineLevel="0" collapsed="false">
      <c r="A243" s="13" t="n">
        <v>45803</v>
      </c>
      <c r="B243" s="7" t="n">
        <v>176</v>
      </c>
      <c r="C243" s="7" t="n">
        <v>40</v>
      </c>
      <c r="D243" s="7" t="n">
        <v>4</v>
      </c>
      <c r="E243" s="7" t="n">
        <v>1</v>
      </c>
      <c r="F243" s="7" t="n">
        <v>71</v>
      </c>
      <c r="G243" s="7" t="n">
        <v>9</v>
      </c>
      <c r="H243" s="7" t="n">
        <v>201</v>
      </c>
      <c r="I243" s="15" t="n">
        <v>0.465277777777778</v>
      </c>
      <c r="J243" s="15" t="n">
        <f aca="false">I243-I242</f>
        <v>0.078703703703704</v>
      </c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customFormat="false" ht="43.5" hidden="false" customHeight="true" outlineLevel="0" collapsed="false">
      <c r="A244" s="13" t="n">
        <v>45804</v>
      </c>
      <c r="B244" s="7" t="n">
        <v>175</v>
      </c>
      <c r="C244" s="7" t="n">
        <v>41</v>
      </c>
      <c r="D244" s="7" t="n">
        <v>1</v>
      </c>
      <c r="E244" s="7" t="n">
        <v>2</v>
      </c>
      <c r="F244" s="7" t="n">
        <v>56</v>
      </c>
      <c r="G244" s="7" t="n">
        <v>13</v>
      </c>
      <c r="H244" s="7" t="n">
        <v>176</v>
      </c>
      <c r="I244" s="15" t="n">
        <v>0.407407407407407</v>
      </c>
      <c r="J244" s="15" t="n">
        <f aca="false">I244-I243</f>
        <v>-0.057870370370371</v>
      </c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customFormat="false" ht="43.5" hidden="false" customHeight="true" outlineLevel="0" collapsed="false">
      <c r="A245" s="13" t="n">
        <v>45805</v>
      </c>
      <c r="B245" s="7" t="n">
        <v>171</v>
      </c>
      <c r="C245" s="7" t="n">
        <v>45</v>
      </c>
      <c r="D245" s="7" t="n">
        <v>1</v>
      </c>
      <c r="E245" s="7" t="n">
        <v>5</v>
      </c>
      <c r="F245" s="7" t="n">
        <v>51</v>
      </c>
      <c r="G245" s="7" t="n">
        <v>16</v>
      </c>
      <c r="H245" s="7" t="n">
        <v>157</v>
      </c>
      <c r="I245" s="15" t="n">
        <v>0.363425925925926</v>
      </c>
      <c r="J245" s="15" t="n">
        <f aca="false">I245-I244</f>
        <v>-0.043981481481481</v>
      </c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customFormat="false" ht="43.5" hidden="false" customHeight="true" outlineLevel="0" collapsed="false">
      <c r="A246" s="13" t="n">
        <v>45806</v>
      </c>
      <c r="B246" s="7" t="n">
        <v>170</v>
      </c>
      <c r="C246" s="7" t="n">
        <v>46</v>
      </c>
      <c r="D246" s="7" t="n">
        <v>0</v>
      </c>
      <c r="E246" s="7" t="n">
        <v>1</v>
      </c>
      <c r="F246" s="7" t="n">
        <v>48</v>
      </c>
      <c r="G246" s="7" t="n">
        <v>15</v>
      </c>
      <c r="H246" s="7" t="n">
        <v>156</v>
      </c>
      <c r="I246" s="15" t="n">
        <v>0.361111111111111</v>
      </c>
      <c r="J246" s="15" t="n">
        <f aca="false">I246-I245</f>
        <v>-0.00231481481481499</v>
      </c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customFormat="false" ht="43.5" hidden="false" customHeight="true" outlineLevel="0" collapsed="false">
      <c r="A247" s="13" t="n">
        <v>45807</v>
      </c>
      <c r="B247" s="7" t="n">
        <v>169</v>
      </c>
      <c r="C247" s="7" t="n">
        <v>47</v>
      </c>
      <c r="D247" s="7" t="n">
        <v>4</v>
      </c>
      <c r="E247" s="7" t="n">
        <v>7</v>
      </c>
      <c r="F247" s="7" t="n">
        <v>45</v>
      </c>
      <c r="G247" s="7" t="n">
        <v>25</v>
      </c>
      <c r="H247" s="7" t="n">
        <v>139</v>
      </c>
      <c r="I247" s="15" t="n">
        <v>0.321759259259259</v>
      </c>
      <c r="J247" s="15" t="n">
        <f aca="false">I247-I246</f>
        <v>-0.039351851851852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customFormat="false" ht="43.5" hidden="false" customHeight="true" outlineLevel="0" collapsed="false">
      <c r="A248" s="13" t="n">
        <v>45810</v>
      </c>
      <c r="B248" s="7" t="n">
        <v>167</v>
      </c>
      <c r="C248" s="7" t="n">
        <v>49</v>
      </c>
      <c r="D248" s="7" t="n">
        <v>3</v>
      </c>
      <c r="E248" s="7" t="n">
        <v>5</v>
      </c>
      <c r="F248" s="7" t="n">
        <v>42</v>
      </c>
      <c r="G248" s="7" t="n">
        <v>20</v>
      </c>
      <c r="H248" s="7" t="n">
        <v>138</v>
      </c>
      <c r="I248" s="15" t="n">
        <v>0.319444444444444</v>
      </c>
      <c r="J248" s="15" t="n">
        <f aca="false">I248-I247</f>
        <v>-0.00231481481481505</v>
      </c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customFormat="false" ht="43.5" hidden="false" customHeight="true" outlineLevel="0" collapsed="false">
      <c r="A249" s="13" t="n">
        <v>45811</v>
      </c>
      <c r="B249" s="7" t="n">
        <v>161</v>
      </c>
      <c r="C249" s="7" t="n">
        <v>55</v>
      </c>
      <c r="D249" s="7" t="n">
        <v>0</v>
      </c>
      <c r="E249" s="7" t="n">
        <v>7</v>
      </c>
      <c r="F249" s="7" t="n">
        <v>42</v>
      </c>
      <c r="G249" s="7" t="n">
        <v>22</v>
      </c>
      <c r="H249" s="7" t="n">
        <v>119</v>
      </c>
      <c r="I249" s="15" t="n">
        <v>0.275462962962963</v>
      </c>
      <c r="J249" s="15" t="n">
        <f aca="false">I249-I248</f>
        <v>-0.043981481481481</v>
      </c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customFormat="false" ht="43.5" hidden="false" customHeight="true" outlineLevel="0" collapsed="false">
      <c r="A250" s="13" t="n">
        <v>45812</v>
      </c>
      <c r="B250" s="7" t="n">
        <v>159</v>
      </c>
      <c r="C250" s="7" t="n">
        <v>57</v>
      </c>
      <c r="D250" s="7" t="n">
        <v>0</v>
      </c>
      <c r="E250" s="7" t="n">
        <v>2</v>
      </c>
      <c r="F250" s="7" t="n">
        <v>43</v>
      </c>
      <c r="G250" s="7" t="n">
        <v>34</v>
      </c>
      <c r="H250" s="7" t="n">
        <v>109</v>
      </c>
      <c r="I250" s="15" t="n">
        <v>0.252314814814815</v>
      </c>
      <c r="J250" s="15" t="n">
        <f aca="false">I250-I249</f>
        <v>-0.023148148148148</v>
      </c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customFormat="false" ht="43.5" hidden="false" customHeight="true" outlineLevel="0" collapsed="false">
      <c r="A251" s="13" t="n">
        <v>45813</v>
      </c>
      <c r="B251" s="7" t="n">
        <v>157</v>
      </c>
      <c r="C251" s="7" t="n">
        <v>59</v>
      </c>
      <c r="D251" s="7" t="n">
        <v>1</v>
      </c>
      <c r="E251" s="7" t="n">
        <v>3</v>
      </c>
      <c r="F251" s="7" t="n">
        <v>57</v>
      </c>
      <c r="G251" s="7" t="n">
        <v>26</v>
      </c>
      <c r="H251" s="7" t="n">
        <v>127</v>
      </c>
      <c r="I251" s="15" t="n">
        <v>0.293981481481481</v>
      </c>
      <c r="J251" s="15" t="n">
        <f aca="false">I251-I250</f>
        <v>0.041666666666666</v>
      </c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customFormat="false" ht="43.5" hidden="false" customHeight="true" outlineLevel="0" collapsed="false">
      <c r="A252" s="13" t="n">
        <v>45814</v>
      </c>
      <c r="B252" s="7" t="n">
        <v>156</v>
      </c>
      <c r="C252" s="7" t="n">
        <v>60</v>
      </c>
      <c r="D252" s="7" t="n">
        <v>1</v>
      </c>
      <c r="E252" s="7" t="n">
        <v>2</v>
      </c>
      <c r="F252" s="7" t="n">
        <v>80</v>
      </c>
      <c r="G252" s="7" t="n">
        <v>18</v>
      </c>
      <c r="H252" s="7" t="n">
        <v>157</v>
      </c>
      <c r="I252" s="15" t="n">
        <v>0.363425925925926</v>
      </c>
      <c r="J252" s="15" t="n">
        <f aca="false">I252-I251</f>
        <v>0.069444444444445</v>
      </c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customFormat="false" ht="43.5" hidden="false" customHeight="true" outlineLevel="0" collapsed="false">
      <c r="A253" s="13" t="n">
        <v>45817</v>
      </c>
      <c r="B253" s="7" t="n">
        <v>165</v>
      </c>
      <c r="C253" s="7" t="n">
        <v>51</v>
      </c>
      <c r="D253" s="7" t="n">
        <v>8</v>
      </c>
      <c r="E253" s="7" t="n">
        <v>0</v>
      </c>
      <c r="F253" s="7" t="n">
        <v>113</v>
      </c>
      <c r="G253" s="7" t="n">
        <v>8</v>
      </c>
      <c r="H253" s="7" t="n">
        <v>227</v>
      </c>
      <c r="I253" s="15" t="n">
        <v>0.525462962962963</v>
      </c>
      <c r="J253" s="15" t="n">
        <f aca="false">I253-I252</f>
        <v>0.162037037037037</v>
      </c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customFormat="false" ht="43.5" hidden="false" customHeight="true" outlineLevel="0" collapsed="false">
      <c r="A254" s="13" t="n">
        <v>45818</v>
      </c>
      <c r="B254" s="7" t="n">
        <v>171</v>
      </c>
      <c r="C254" s="7" t="n">
        <v>49</v>
      </c>
      <c r="D254" s="7" t="n">
        <v>5</v>
      </c>
      <c r="E254" s="7" t="n">
        <v>1</v>
      </c>
      <c r="F254" s="7" t="n">
        <v>121</v>
      </c>
      <c r="G254" s="7" t="n">
        <v>7</v>
      </c>
      <c r="H254" s="7" t="n">
        <v>240</v>
      </c>
      <c r="I254" s="15" t="n">
        <v>0.545454545454545</v>
      </c>
      <c r="J254" s="15" t="n">
        <f aca="false">I254-I253</f>
        <v>0.019991582491582</v>
      </c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customFormat="false" ht="43.5" hidden="false" customHeight="true" outlineLevel="0" collapsed="false">
      <c r="A255" s="13" t="n">
        <v>45819</v>
      </c>
      <c r="B255" s="7" t="n">
        <v>169</v>
      </c>
      <c r="C255" s="7" t="n">
        <v>51</v>
      </c>
      <c r="D255" s="7" t="n">
        <v>2</v>
      </c>
      <c r="E255" s="7" t="n">
        <v>4</v>
      </c>
      <c r="F255" s="7" t="n">
        <v>105</v>
      </c>
      <c r="G255" s="7" t="n">
        <v>6</v>
      </c>
      <c r="H255" s="7" t="n">
        <v>215</v>
      </c>
      <c r="I255" s="15" t="n">
        <v>0.488636363636364</v>
      </c>
      <c r="J255" s="15" t="n">
        <f aca="false">I255-I254</f>
        <v>-0.056818181818181</v>
      </c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customFormat="false" ht="43.5" hidden="false" customHeight="true" outlineLevel="0" collapsed="false">
      <c r="A256" s="13" t="n">
        <v>45820</v>
      </c>
      <c r="B256" s="7" t="n">
        <v>154</v>
      </c>
      <c r="C256" s="7" t="n">
        <v>66</v>
      </c>
      <c r="D256" s="7" t="n">
        <v>0</v>
      </c>
      <c r="E256" s="7" t="n">
        <v>15</v>
      </c>
      <c r="F256" s="7" t="n">
        <v>53</v>
      </c>
      <c r="G256" s="7" t="n">
        <v>28</v>
      </c>
      <c r="H256" s="7" t="n">
        <v>98</v>
      </c>
      <c r="I256" s="15" t="n">
        <v>0.222727272727273</v>
      </c>
      <c r="J256" s="15" t="n">
        <f aca="false">I256-I255</f>
        <v>-0.265909090909091</v>
      </c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customFormat="false" ht="43.5" hidden="false" customHeight="true" outlineLevel="0" collapsed="false">
      <c r="A257" s="13" t="n">
        <v>45821</v>
      </c>
      <c r="B257" s="7" t="n">
        <v>128</v>
      </c>
      <c r="C257" s="7" t="n">
        <v>92</v>
      </c>
      <c r="D257" s="7" t="n">
        <v>1</v>
      </c>
      <c r="E257" s="7" t="n">
        <v>27</v>
      </c>
      <c r="F257" s="7" t="n">
        <v>20</v>
      </c>
      <c r="G257" s="7" t="n">
        <v>68</v>
      </c>
      <c r="H257" s="7" t="n">
        <v>-38</v>
      </c>
      <c r="I257" s="15" t="n">
        <v>-0.0863636363636364</v>
      </c>
      <c r="J257" s="15" t="n">
        <f aca="false">I257-I256</f>
        <v>-0.309090909090909</v>
      </c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customFormat="false" ht="43.5" hidden="false" customHeight="true" outlineLevel="0" collapsed="false">
      <c r="A258" s="13" t="n">
        <v>45824</v>
      </c>
      <c r="B258" s="7" t="n">
        <v>129</v>
      </c>
      <c r="C258" s="7" t="n">
        <v>91</v>
      </c>
      <c r="D258" s="7" t="n">
        <v>5</v>
      </c>
      <c r="E258" s="7" t="n">
        <v>4</v>
      </c>
      <c r="F258" s="7" t="n">
        <v>35</v>
      </c>
      <c r="G258" s="7" t="n">
        <v>50</v>
      </c>
      <c r="H258" s="7" t="n">
        <v>24</v>
      </c>
      <c r="I258" s="15" t="n">
        <v>0.0545454545454545</v>
      </c>
      <c r="J258" s="15" t="n">
        <f aca="false">I258-I257</f>
        <v>0.140909090909091</v>
      </c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customFormat="false" ht="43.5" hidden="false" customHeight="true" outlineLevel="0" collapsed="false">
      <c r="A259" s="13" t="n">
        <v>45825</v>
      </c>
      <c r="B259" s="7" t="n">
        <v>115</v>
      </c>
      <c r="C259" s="7" t="n">
        <v>105</v>
      </c>
      <c r="D259" s="7" t="n">
        <v>0</v>
      </c>
      <c r="E259" s="7" t="n">
        <v>14</v>
      </c>
      <c r="F259" s="7" t="n">
        <v>36</v>
      </c>
      <c r="G259" s="7" t="n">
        <v>48</v>
      </c>
      <c r="H259" s="7" t="n">
        <v>-16</v>
      </c>
      <c r="I259" s="15" t="n">
        <v>-0.0363636363636364</v>
      </c>
      <c r="J259" s="15" t="n">
        <f aca="false">I259-I258</f>
        <v>-0.0909090909090909</v>
      </c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customFormat="false" ht="43.5" hidden="false" customHeight="true" outlineLevel="0" collapsed="false">
      <c r="A260" s="13" t="n">
        <v>45826</v>
      </c>
      <c r="B260" s="7" t="n">
        <v>115</v>
      </c>
      <c r="C260" s="7" t="n">
        <v>105</v>
      </c>
      <c r="D260" s="7" t="n">
        <v>0</v>
      </c>
      <c r="E260" s="7" t="n">
        <v>14</v>
      </c>
      <c r="F260" s="7" t="n">
        <v>36</v>
      </c>
      <c r="G260" s="7" t="n">
        <v>48</v>
      </c>
      <c r="H260" s="7" t="n">
        <v>-16</v>
      </c>
      <c r="I260" s="15" t="n">
        <v>-0.0363636363636364</v>
      </c>
      <c r="J260" s="15" t="n">
        <f aca="false">I260-I259</f>
        <v>0</v>
      </c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customFormat="false" ht="43.5" hidden="false" customHeight="true" outlineLevel="0" collapsed="false">
      <c r="A261" s="13" t="n">
        <v>45827</v>
      </c>
      <c r="B261" s="7" t="n">
        <v>88</v>
      </c>
      <c r="C261" s="7" t="n">
        <v>132</v>
      </c>
      <c r="D261" s="7" t="n">
        <v>1</v>
      </c>
      <c r="E261" s="7" t="n">
        <v>19</v>
      </c>
      <c r="F261" s="7" t="n">
        <v>15</v>
      </c>
      <c r="G261" s="7" t="n">
        <v>89</v>
      </c>
      <c r="H261" s="7" t="n">
        <v>-136</v>
      </c>
      <c r="I261" s="15" t="n">
        <v>-0.309090909090909</v>
      </c>
      <c r="J261" s="15" t="n">
        <f aca="false">I261-I260</f>
        <v>-0.272727272727273</v>
      </c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customFormat="false" ht="43.5" hidden="false" customHeight="true" outlineLevel="0" collapsed="false">
      <c r="A262" s="13" t="n">
        <v>45828</v>
      </c>
      <c r="B262" s="7" t="n">
        <v>91</v>
      </c>
      <c r="C262" s="7" t="n">
        <v>129</v>
      </c>
      <c r="D262" s="7" t="n">
        <v>4</v>
      </c>
      <c r="E262" s="7" t="n">
        <v>1</v>
      </c>
      <c r="F262" s="7" t="n">
        <v>20</v>
      </c>
      <c r="G262" s="7" t="n">
        <v>75</v>
      </c>
      <c r="H262" s="7" t="n">
        <v>-90</v>
      </c>
      <c r="I262" s="15" t="n">
        <v>-0.204545454545455</v>
      </c>
      <c r="J262" s="15" t="n">
        <f aca="false">I262-I261</f>
        <v>0.104545454545454</v>
      </c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customFormat="false" ht="43.5" hidden="false" customHeight="true" outlineLevel="0" collapsed="false">
      <c r="A263" s="13" t="n">
        <v>45831</v>
      </c>
      <c r="B263" s="7" t="n">
        <v>92</v>
      </c>
      <c r="C263" s="7" t="n">
        <v>128</v>
      </c>
      <c r="D263" s="7" t="n">
        <v>3</v>
      </c>
      <c r="E263" s="7" t="n">
        <v>2</v>
      </c>
      <c r="F263" s="7" t="n">
        <v>19</v>
      </c>
      <c r="G263" s="7" t="n">
        <v>55</v>
      </c>
      <c r="H263" s="7" t="n">
        <v>-71</v>
      </c>
      <c r="I263" s="15" t="n">
        <v>-0.161363636363636</v>
      </c>
      <c r="J263" s="15" t="n">
        <f aca="false">I263-I262</f>
        <v>0.043181818181819</v>
      </c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customFormat="false" ht="43.5" hidden="false" customHeight="true" outlineLevel="0" collapsed="false">
      <c r="A264" s="13" t="n">
        <v>45832</v>
      </c>
      <c r="B264" s="7" t="n">
        <v>94</v>
      </c>
      <c r="C264" s="7" t="n">
        <v>126</v>
      </c>
      <c r="D264" s="7" t="n">
        <v>5</v>
      </c>
      <c r="E264" s="7" t="n">
        <v>3</v>
      </c>
      <c r="F264" s="7" t="n">
        <v>36</v>
      </c>
      <c r="G264" s="7" t="n">
        <v>18</v>
      </c>
      <c r="H264" s="7" t="n">
        <v>-12</v>
      </c>
      <c r="I264" s="15" t="n">
        <v>-0.0272727272727273</v>
      </c>
      <c r="J264" s="15" t="n">
        <f aca="false">I264-I263</f>
        <v>0.134090909090909</v>
      </c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customFormat="false" ht="43.5" hidden="false" customHeight="true" outlineLevel="0" collapsed="false">
      <c r="A265" s="13" t="n">
        <v>45833</v>
      </c>
      <c r="B265" s="7" t="n">
        <v>108</v>
      </c>
      <c r="C265" s="7" t="n">
        <v>112</v>
      </c>
      <c r="D265" s="7" t="n">
        <v>16</v>
      </c>
      <c r="E265" s="7" t="n">
        <v>2</v>
      </c>
      <c r="F265" s="7" t="n">
        <v>51</v>
      </c>
      <c r="G265" s="7" t="n">
        <v>11</v>
      </c>
      <c r="H265" s="7" t="n">
        <v>50</v>
      </c>
      <c r="I265" s="15" t="n">
        <v>0.113636363636364</v>
      </c>
      <c r="J265" s="15" t="n">
        <f aca="false">I265-I264</f>
        <v>0.140909090909091</v>
      </c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customFormat="false" ht="43.5" hidden="false" customHeight="true" outlineLevel="0" collapsed="false">
      <c r="A266" s="13" t="n">
        <v>45834</v>
      </c>
      <c r="B266" s="7" t="n">
        <v>129</v>
      </c>
      <c r="C266" s="7" t="n">
        <v>91</v>
      </c>
      <c r="D266" s="7" t="n">
        <v>21</v>
      </c>
      <c r="E266" s="7" t="n">
        <v>0</v>
      </c>
      <c r="F266" s="7" t="n">
        <v>68</v>
      </c>
      <c r="G266" s="7" t="n">
        <v>12</v>
      </c>
      <c r="H266" s="7" t="n">
        <v>115</v>
      </c>
      <c r="I266" s="15" t="n">
        <v>0.261363636363636</v>
      </c>
      <c r="J266" s="15" t="n">
        <f aca="false">I266-I265</f>
        <v>0.147727272727272</v>
      </c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customFormat="false" ht="43.5" hidden="false" customHeight="true" outlineLevel="0" collapsed="false">
      <c r="A267" s="13" t="n">
        <v>45835</v>
      </c>
      <c r="B267" s="7" t="n">
        <v>136</v>
      </c>
      <c r="C267" s="7" t="n">
        <v>84</v>
      </c>
      <c r="D267" s="7" t="n">
        <v>10</v>
      </c>
      <c r="E267" s="7" t="n">
        <v>3</v>
      </c>
      <c r="F267" s="7" t="n">
        <v>84</v>
      </c>
      <c r="G267" s="7" t="n">
        <v>5</v>
      </c>
      <c r="H267" s="7" t="n">
        <v>138</v>
      </c>
      <c r="I267" s="15" t="n">
        <v>0.313636363636364</v>
      </c>
      <c r="J267" s="15" t="n">
        <f aca="false">I267-I266</f>
        <v>0.052272727272728</v>
      </c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customFormat="false" ht="43.5" hidden="false" customHeight="true" outlineLevel="0" collapsed="false">
      <c r="A268" s="13" t="n">
        <v>45838</v>
      </c>
      <c r="B268" s="7" t="n">
        <v>151</v>
      </c>
      <c r="C268" s="7" t="n">
        <v>69</v>
      </c>
      <c r="D268" s="7" t="n">
        <v>12</v>
      </c>
      <c r="E268" s="7" t="n">
        <v>0</v>
      </c>
      <c r="F268" s="7" t="n">
        <v>90</v>
      </c>
      <c r="G268" s="7" t="n">
        <v>6</v>
      </c>
      <c r="H268" s="7" t="n">
        <v>178</v>
      </c>
      <c r="I268" s="15" t="n">
        <v>0.404545454545455</v>
      </c>
      <c r="J268" s="15" t="n">
        <f aca="false">I268-I267</f>
        <v>0.090909090909091</v>
      </c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customFormat="false" ht="43.5" hidden="false" customHeight="true" outlineLevel="0" collapsed="false">
      <c r="A269" s="13" t="n">
        <v>45839</v>
      </c>
      <c r="B269" s="7" t="n">
        <v>154</v>
      </c>
      <c r="C269" s="7" t="n">
        <v>66</v>
      </c>
      <c r="D269" s="7" t="n">
        <v>7</v>
      </c>
      <c r="E269" s="7" t="n">
        <v>4</v>
      </c>
      <c r="F269" s="7" t="n">
        <v>79</v>
      </c>
      <c r="G269" s="7" t="n">
        <v>15</v>
      </c>
      <c r="H269" s="7" t="n">
        <v>155</v>
      </c>
      <c r="I269" s="15" t="n">
        <v>0.352272727272727</v>
      </c>
      <c r="J269" s="15" t="n">
        <f aca="false">I269-I268</f>
        <v>-0.052272727272728</v>
      </c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customFormat="false" ht="43.5" hidden="false" customHeight="true" outlineLevel="0" collapsed="false">
      <c r="A270" s="13" t="n">
        <v>45840</v>
      </c>
      <c r="B270" s="7" t="n">
        <v>155</v>
      </c>
      <c r="C270" s="7" t="n">
        <v>65</v>
      </c>
      <c r="D270" s="7" t="n">
        <v>4</v>
      </c>
      <c r="E270" s="7" t="n">
        <v>3</v>
      </c>
      <c r="F270" s="7" t="n">
        <v>74</v>
      </c>
      <c r="G270" s="7" t="n">
        <v>21</v>
      </c>
      <c r="H270" s="7" t="n">
        <v>144</v>
      </c>
      <c r="I270" s="15" t="n">
        <v>0.327272727272727</v>
      </c>
      <c r="J270" s="15" t="n">
        <f aca="false">I270-I269</f>
        <v>-0.025</v>
      </c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customFormat="false" ht="43.5" hidden="false" customHeight="true" outlineLevel="0" collapsed="false">
      <c r="A271" s="13" t="n">
        <v>45841</v>
      </c>
      <c r="B271" s="7" t="n">
        <v>151</v>
      </c>
      <c r="C271" s="7" t="n">
        <v>69</v>
      </c>
      <c r="D271" s="7" t="n">
        <v>2</v>
      </c>
      <c r="E271" s="7" t="n">
        <v>6</v>
      </c>
      <c r="F271" s="7" t="n">
        <v>65</v>
      </c>
      <c r="G271" s="7" t="n">
        <v>21</v>
      </c>
      <c r="H271" s="7" t="n">
        <v>122</v>
      </c>
      <c r="I271" s="15" t="n">
        <v>0.277272727272727</v>
      </c>
      <c r="J271" s="15" t="n">
        <f aca="false">I271-I270</f>
        <v>-0.05</v>
      </c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customFormat="false" ht="43.5" hidden="false" customHeight="true" outlineLevel="0" collapsed="false">
      <c r="A272" s="13" t="n">
        <v>45842</v>
      </c>
      <c r="B272" s="7" t="n">
        <v>151</v>
      </c>
      <c r="C272" s="7" t="n">
        <v>69</v>
      </c>
      <c r="D272" s="7" t="n">
        <v>2</v>
      </c>
      <c r="E272" s="7" t="n">
        <v>2</v>
      </c>
      <c r="F272" s="7" t="n">
        <v>60</v>
      </c>
      <c r="G272" s="7" t="n">
        <v>21</v>
      </c>
      <c r="H272" s="7" t="n">
        <v>121</v>
      </c>
      <c r="I272" s="15" t="n">
        <v>0.275</v>
      </c>
      <c r="J272" s="15" t="n">
        <f aca="false">I272-I271</f>
        <v>-0.00227272727272698</v>
      </c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customFormat="false" ht="43.5" hidden="false" customHeight="true" outlineLevel="0" collapsed="false">
      <c r="A273" s="13" t="n">
        <v>45845</v>
      </c>
      <c r="B273" s="7" t="n">
        <v>146</v>
      </c>
      <c r="C273" s="7" t="n">
        <v>74</v>
      </c>
      <c r="D273" s="7" t="n">
        <v>2</v>
      </c>
      <c r="E273" s="7" t="n">
        <v>7</v>
      </c>
      <c r="F273" s="7" t="n">
        <v>52</v>
      </c>
      <c r="G273" s="7" t="n">
        <v>23</v>
      </c>
      <c r="H273" s="7" t="n">
        <v>96</v>
      </c>
      <c r="I273" s="15" t="n">
        <v>0.218181818181818</v>
      </c>
      <c r="J273" s="15" t="n">
        <f aca="false">I273-I272</f>
        <v>-0.056818181818182</v>
      </c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customFormat="false" ht="43.5" hidden="false" customHeight="true" outlineLevel="0" collapsed="false">
      <c r="A274" s="13" t="n">
        <v>45846</v>
      </c>
      <c r="B274" s="7" t="n">
        <v>143</v>
      </c>
      <c r="C274" s="7" t="n">
        <v>77</v>
      </c>
      <c r="D274" s="7" t="n">
        <v>4</v>
      </c>
      <c r="E274" s="7" t="n">
        <v>7</v>
      </c>
      <c r="F274" s="7" t="n">
        <v>41</v>
      </c>
      <c r="G274" s="7" t="n">
        <v>28</v>
      </c>
      <c r="H274" s="7" t="n">
        <v>76</v>
      </c>
      <c r="I274" s="15" t="n">
        <v>0.172727272727273</v>
      </c>
      <c r="J274" s="15" t="n">
        <f aca="false">I274-I273</f>
        <v>-0.045454545454545</v>
      </c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customFormat="false" ht="43.5" hidden="false" customHeight="true" outlineLevel="0" collapsed="false">
      <c r="A275" s="13" t="n">
        <v>45847</v>
      </c>
      <c r="B275" s="7" t="n">
        <v>135</v>
      </c>
      <c r="C275" s="7" t="n">
        <v>85</v>
      </c>
      <c r="D275" s="7" t="n">
        <v>1</v>
      </c>
      <c r="E275" s="7" t="n">
        <v>9</v>
      </c>
      <c r="F275" s="7" t="n">
        <v>40</v>
      </c>
      <c r="G275" s="7" t="n">
        <v>30</v>
      </c>
      <c r="H275" s="7" t="n">
        <v>52</v>
      </c>
      <c r="I275" s="15" t="n">
        <v>0.118181818181818</v>
      </c>
      <c r="J275" s="15" t="n">
        <f aca="false">I275-I274</f>
        <v>-0.054545454545455</v>
      </c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customFormat="false" ht="43.5" hidden="false" customHeight="true" outlineLevel="0" collapsed="false">
      <c r="A276" s="13" t="n">
        <v>45848</v>
      </c>
      <c r="B276" s="7" t="n">
        <v>129</v>
      </c>
      <c r="C276" s="7" t="n">
        <v>91</v>
      </c>
      <c r="D276" s="7" t="n">
        <v>1</v>
      </c>
      <c r="E276" s="7" t="n">
        <v>7</v>
      </c>
      <c r="F276" s="7" t="n">
        <v>33</v>
      </c>
      <c r="G276" s="7" t="n">
        <v>34</v>
      </c>
      <c r="H276" s="7" t="n">
        <v>31</v>
      </c>
      <c r="I276" s="15" t="n">
        <v>0.0704545454545455</v>
      </c>
      <c r="J276" s="15" t="n">
        <f aca="false">I276-I275</f>
        <v>-0.0477272727272725</v>
      </c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customFormat="false" ht="43.5" hidden="false" customHeight="true" outlineLevel="0" collapsed="false">
      <c r="A277" s="13" t="n">
        <v>45849</v>
      </c>
      <c r="B277" s="7" t="n">
        <v>111</v>
      </c>
      <c r="C277" s="7" t="n">
        <v>109</v>
      </c>
      <c r="D277" s="7" t="n">
        <v>1</v>
      </c>
      <c r="E277" s="7" t="n">
        <v>19</v>
      </c>
      <c r="F277" s="7" t="n">
        <v>23</v>
      </c>
      <c r="G277" s="7" t="n">
        <v>58</v>
      </c>
      <c r="H277" s="7" t="n">
        <v>-51</v>
      </c>
      <c r="I277" s="15" t="n">
        <v>-0.115909090909091</v>
      </c>
      <c r="J277" s="15" t="n">
        <f aca="false">I277-I276</f>
        <v>-0.186363636363637</v>
      </c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customFormat="false" ht="43.5" hidden="false" customHeight="true" outlineLevel="0" collapsed="false">
      <c r="A278" s="13" t="n">
        <v>45852</v>
      </c>
      <c r="B278" s="7" t="n">
        <v>105</v>
      </c>
      <c r="C278" s="7" t="n">
        <v>115</v>
      </c>
      <c r="D278" s="7" t="n">
        <v>1</v>
      </c>
      <c r="E278" s="7" t="n">
        <v>7</v>
      </c>
      <c r="F278" s="7" t="n">
        <v>24</v>
      </c>
      <c r="G278" s="7" t="n">
        <v>51</v>
      </c>
      <c r="H278" s="7" t="n">
        <v>-43</v>
      </c>
      <c r="I278" s="15" t="n">
        <v>-0.0977272727272727</v>
      </c>
      <c r="J278" s="15" t="n">
        <f aca="false">I278-I277</f>
        <v>0.0181818181818183</v>
      </c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customFormat="false" ht="43.5" hidden="false" customHeight="true" outlineLevel="0" collapsed="false">
      <c r="A279" s="13" t="n">
        <v>45853</v>
      </c>
      <c r="B279" s="7" t="n">
        <v>115</v>
      </c>
      <c r="C279" s="7" t="n">
        <v>105</v>
      </c>
      <c r="D279" s="7" t="n">
        <v>10</v>
      </c>
      <c r="E279" s="7" t="n">
        <v>0</v>
      </c>
      <c r="F279" s="7" t="n">
        <v>43</v>
      </c>
      <c r="G279" s="7" t="n">
        <v>27</v>
      </c>
      <c r="H279" s="7" t="n">
        <v>36</v>
      </c>
      <c r="I279" s="15" t="n">
        <v>0.0818181818181818</v>
      </c>
      <c r="J279" s="15" t="n">
        <f aca="false">I279-I278</f>
        <v>0.179545454545455</v>
      </c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customFormat="false" ht="43.5" hidden="false" customHeight="true" outlineLevel="0" collapsed="false">
      <c r="A280" s="13" t="n">
        <v>45854</v>
      </c>
      <c r="B280" s="7" t="n">
        <v>118</v>
      </c>
      <c r="C280" s="7" t="n">
        <v>102</v>
      </c>
      <c r="D280" s="7" t="n">
        <v>5</v>
      </c>
      <c r="E280" s="7" t="n">
        <v>2</v>
      </c>
      <c r="F280" s="7" t="n">
        <v>45</v>
      </c>
      <c r="G280" s="7" t="n">
        <v>21</v>
      </c>
      <c r="H280" s="7" t="n">
        <v>43</v>
      </c>
      <c r="I280" s="15" t="n">
        <v>0.0977272727272727</v>
      </c>
      <c r="J280" s="15" t="n">
        <f aca="false">I280-I279</f>
        <v>0.0159090909090909</v>
      </c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customFormat="false" ht="43.5" hidden="false" customHeight="true" outlineLevel="0" collapsed="false">
      <c r="A281" s="13" t="n">
        <v>45855</v>
      </c>
      <c r="B281" s="7" t="n">
        <v>119</v>
      </c>
      <c r="C281" s="7" t="n">
        <v>101</v>
      </c>
      <c r="D281" s="7" t="n">
        <v>4</v>
      </c>
      <c r="E281" s="7" t="n">
        <v>3</v>
      </c>
      <c r="F281" s="7" t="n">
        <v>45</v>
      </c>
      <c r="G281" s="7" t="n">
        <v>30</v>
      </c>
      <c r="H281" s="7" t="n">
        <v>34</v>
      </c>
      <c r="I281" s="15" t="n">
        <v>0.0772727272727273</v>
      </c>
      <c r="J281" s="15" t="n">
        <f aca="false">I281-I280</f>
        <v>-0.0204545454545454</v>
      </c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customFormat="false" ht="43.5" hidden="false" customHeight="true" outlineLevel="0" collapsed="false">
      <c r="A282" s="13" t="n">
        <v>45856</v>
      </c>
      <c r="B282" s="7" t="n">
        <v>114</v>
      </c>
      <c r="C282" s="7" t="n">
        <v>106</v>
      </c>
      <c r="D282" s="7" t="n">
        <v>4</v>
      </c>
      <c r="E282" s="7" t="n">
        <v>9</v>
      </c>
      <c r="F282" s="7" t="n">
        <v>29</v>
      </c>
      <c r="G282" s="7" t="n">
        <v>44</v>
      </c>
      <c r="H282" s="7" t="n">
        <v>-12</v>
      </c>
      <c r="I282" s="15" t="n">
        <v>-0.0272727272727273</v>
      </c>
      <c r="J282" s="15" t="n">
        <f aca="false">I282-I281</f>
        <v>-0.104545454545455</v>
      </c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customFormat="false" ht="43.5" hidden="false" customHeight="true" outlineLevel="0" collapsed="false">
      <c r="A283" s="13" t="n">
        <v>45859</v>
      </c>
      <c r="B283" s="7" t="n">
        <v>108</v>
      </c>
      <c r="C283" s="7" t="n">
        <v>112</v>
      </c>
      <c r="D283" s="7" t="n">
        <v>1</v>
      </c>
      <c r="E283" s="7" t="n">
        <v>9</v>
      </c>
      <c r="F283" s="7" t="n">
        <v>30</v>
      </c>
      <c r="G283" s="7" t="n">
        <v>51</v>
      </c>
      <c r="H283" s="7" t="n">
        <v>-33</v>
      </c>
      <c r="I283" s="15" t="n">
        <v>-0.075</v>
      </c>
      <c r="J283" s="15" t="n">
        <f aca="false">I283-I282</f>
        <v>-0.0477272727272727</v>
      </c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customFormat="false" ht="43.5" hidden="false" customHeight="true" outlineLevel="0" collapsed="false">
      <c r="A284" s="13" t="n">
        <v>45860</v>
      </c>
      <c r="B284" s="7" t="n">
        <v>106</v>
      </c>
      <c r="C284" s="7" t="n">
        <v>114</v>
      </c>
      <c r="D284" s="7" t="n">
        <v>2</v>
      </c>
      <c r="E284" s="7" t="n">
        <v>8</v>
      </c>
      <c r="F284" s="7" t="n">
        <v>31</v>
      </c>
      <c r="G284" s="7" t="n">
        <v>56</v>
      </c>
      <c r="H284" s="7" t="n">
        <v>-39</v>
      </c>
      <c r="I284" s="15" t="n">
        <v>-0.0886363636363636</v>
      </c>
      <c r="J284" s="15" t="n">
        <f aca="false">I284-I283</f>
        <v>-0.0136363636363636</v>
      </c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customFormat="false" ht="43.5" hidden="false" customHeight="true" outlineLevel="0" collapsed="false">
      <c r="A285" s="13" t="n">
        <v>45861</v>
      </c>
      <c r="B285" s="7" t="n">
        <v>104</v>
      </c>
      <c r="C285" s="7" t="n">
        <v>115</v>
      </c>
      <c r="D285" s="7" t="n">
        <v>2</v>
      </c>
      <c r="E285" s="7" t="n">
        <v>0</v>
      </c>
      <c r="F285" s="7" t="n">
        <v>31</v>
      </c>
      <c r="G285" s="7" t="n">
        <v>64</v>
      </c>
      <c r="H285" s="7" t="n">
        <v>-42</v>
      </c>
      <c r="I285" s="15" t="n">
        <v>-0.0954545454545455</v>
      </c>
      <c r="J285" s="15" t="n">
        <f aca="false">I285-I284</f>
        <v>-0.0068181818181819</v>
      </c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customFormat="false" ht="43.5" hidden="false" customHeight="true" outlineLevel="0" collapsed="false">
      <c r="A286" s="13" t="n">
        <v>45862</v>
      </c>
      <c r="B286" s="7" t="n">
        <v>94</v>
      </c>
      <c r="C286" s="7" t="n">
        <v>126</v>
      </c>
      <c r="D286" s="7" t="n">
        <v>3</v>
      </c>
      <c r="E286" s="7" t="n">
        <v>14</v>
      </c>
      <c r="F286" s="7" t="n">
        <v>28</v>
      </c>
      <c r="G286" s="7" t="n">
        <v>61</v>
      </c>
      <c r="H286" s="7" t="n">
        <v>-76</v>
      </c>
      <c r="I286" s="15" t="n">
        <v>-0.172727272727273</v>
      </c>
      <c r="J286" s="15" t="n">
        <f aca="false">I286-I285</f>
        <v>-0.0772727272727275</v>
      </c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customFormat="false" ht="43.5" hidden="false" customHeight="true" outlineLevel="0" collapsed="false">
      <c r="A287" s="13" t="n">
        <v>45863</v>
      </c>
      <c r="B287" s="7" t="n">
        <v>72</v>
      </c>
      <c r="C287" s="7" t="n">
        <v>148</v>
      </c>
      <c r="D287" s="7" t="n">
        <v>2</v>
      </c>
      <c r="E287" s="7" t="n">
        <v>24</v>
      </c>
      <c r="F287" s="7" t="n">
        <v>12</v>
      </c>
      <c r="G287" s="7" t="n">
        <v>103</v>
      </c>
      <c r="H287" s="7" t="n">
        <v>-189</v>
      </c>
      <c r="I287" s="15" t="n">
        <v>-0.429545454545455</v>
      </c>
      <c r="J287" s="15" t="n">
        <f aca="false">I287-I286</f>
        <v>-0.256818181818182</v>
      </c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customFormat="false" ht="43.5" hidden="false" customHeight="true" outlineLevel="0" collapsed="false">
      <c r="A288" s="13" t="n">
        <v>45866</v>
      </c>
      <c r="B288" s="7" t="n">
        <v>64</v>
      </c>
      <c r="C288" s="7" t="n">
        <v>156</v>
      </c>
      <c r="D288" s="7" t="n">
        <v>2</v>
      </c>
      <c r="E288" s="7" t="n">
        <v>12</v>
      </c>
      <c r="F288" s="7" t="n">
        <v>12</v>
      </c>
      <c r="G288" s="7" t="n">
        <v>129</v>
      </c>
      <c r="H288" s="7" t="n">
        <v>-219</v>
      </c>
      <c r="I288" s="15" t="n">
        <v>-0.497727272727273</v>
      </c>
      <c r="J288" s="15" t="n">
        <f aca="false">I288-I287</f>
        <v>-0.068181818181818</v>
      </c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customFormat="false" ht="43.5" hidden="false" customHeight="true" outlineLevel="0" collapsed="false">
      <c r="A289" s="13" t="n">
        <v>45867</v>
      </c>
      <c r="B289" s="7" t="n">
        <v>65</v>
      </c>
      <c r="C289" s="7" t="n">
        <v>155</v>
      </c>
      <c r="D289" s="7" t="n">
        <v>3</v>
      </c>
      <c r="E289" s="7" t="n">
        <v>2</v>
      </c>
      <c r="F289" s="7" t="n">
        <v>18</v>
      </c>
      <c r="G289" s="7" t="n">
        <v>118</v>
      </c>
      <c r="H289" s="7" t="n">
        <v>-189</v>
      </c>
      <c r="I289" s="15" t="n">
        <v>-0.429545454545455</v>
      </c>
      <c r="J289" s="15" t="n">
        <f aca="false">I289-I288</f>
        <v>0.068181818181818</v>
      </c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customFormat="false" ht="43.5" hidden="false" customHeight="true" outlineLevel="0" collapsed="false">
      <c r="A290" s="13" t="n">
        <v>45868</v>
      </c>
      <c r="B290" s="7" t="n">
        <v>65</v>
      </c>
      <c r="C290" s="7" t="n">
        <v>155</v>
      </c>
      <c r="D290" s="7" t="n">
        <v>4</v>
      </c>
      <c r="E290" s="7" t="n">
        <v>4</v>
      </c>
      <c r="F290" s="7" t="n">
        <v>18</v>
      </c>
      <c r="G290" s="7" t="n">
        <v>94</v>
      </c>
      <c r="H290" s="7" t="n">
        <v>-166</v>
      </c>
      <c r="I290" s="15" t="n">
        <v>-0.377272727272727</v>
      </c>
      <c r="J290" s="15" t="n">
        <f aca="false">I290-I289</f>
        <v>0.052272727272728</v>
      </c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customFormat="false" ht="43.5" hidden="false" customHeight="true" outlineLevel="0" collapsed="false">
      <c r="A291" s="13" t="n">
        <v>45869</v>
      </c>
      <c r="B291" s="7" t="n">
        <v>64</v>
      </c>
      <c r="C291" s="7" t="n">
        <v>156</v>
      </c>
      <c r="D291" s="7" t="n">
        <v>7</v>
      </c>
      <c r="E291" s="7" t="n">
        <v>8</v>
      </c>
      <c r="F291" s="7" t="n">
        <v>13</v>
      </c>
      <c r="G291" s="7" t="n">
        <v>113</v>
      </c>
      <c r="H291" s="7" t="n">
        <v>-193</v>
      </c>
      <c r="I291" s="15" t="n">
        <v>-0.438636363636364</v>
      </c>
      <c r="J291" s="15" t="n">
        <f aca="false">I291-I290</f>
        <v>-0.061363636363637</v>
      </c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customFormat="false" ht="43.5" hidden="false" customHeight="true" outlineLevel="0" collapsed="false">
      <c r="A292" s="13" t="n">
        <v>45870</v>
      </c>
      <c r="B292" s="7" t="n">
        <v>50</v>
      </c>
      <c r="C292" s="7" t="n">
        <v>170</v>
      </c>
      <c r="D292" s="7" t="n">
        <v>3</v>
      </c>
      <c r="E292" s="7" t="n">
        <v>17</v>
      </c>
      <c r="F292" s="7" t="n">
        <v>12</v>
      </c>
      <c r="G292" s="7" t="n">
        <v>136</v>
      </c>
      <c r="H292" s="7" t="n">
        <v>-258</v>
      </c>
      <c r="I292" s="15" t="n">
        <v>-0.586363636363636</v>
      </c>
      <c r="J292" s="15" t="n">
        <f aca="false">I292-I291</f>
        <v>-0.147727272727272</v>
      </c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customFormat="false" ht="43.5" hidden="false" customHeight="true" outlineLevel="0" collapsed="false">
      <c r="A293" s="13" t="n">
        <v>45873</v>
      </c>
      <c r="B293" s="7" t="n">
        <v>56</v>
      </c>
      <c r="C293" s="7" t="n">
        <v>164</v>
      </c>
      <c r="D293" s="7" t="n">
        <v>7</v>
      </c>
      <c r="E293" s="7" t="n">
        <v>1</v>
      </c>
      <c r="F293" s="7" t="n">
        <v>13</v>
      </c>
      <c r="G293" s="7" t="n">
        <v>103</v>
      </c>
      <c r="H293" s="7" t="n">
        <v>-192</v>
      </c>
      <c r="I293" s="15" t="n">
        <v>-0.436363636363636</v>
      </c>
      <c r="J293" s="15" t="n">
        <f aca="false">I293-I292</f>
        <v>0.15</v>
      </c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customFormat="false" ht="43.5" hidden="false" customHeight="true" outlineLevel="0" collapsed="false">
      <c r="A294" s="13" t="n">
        <v>45874</v>
      </c>
      <c r="B294" s="7" t="n">
        <v>56</v>
      </c>
      <c r="C294" s="7" t="n">
        <v>160</v>
      </c>
      <c r="D294" s="7" t="n">
        <v>6</v>
      </c>
      <c r="E294" s="7" t="n">
        <v>6</v>
      </c>
      <c r="F294" s="7" t="n">
        <v>17</v>
      </c>
      <c r="G294" s="7" t="n">
        <v>74</v>
      </c>
      <c r="H294" s="7" t="n">
        <v>-161</v>
      </c>
      <c r="I294" s="15" t="n">
        <v>-0.365909090909091</v>
      </c>
      <c r="J294" s="15" t="n">
        <f aca="false">I294-I293</f>
        <v>0.070454545454545</v>
      </c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customFormat="false" ht="43.5" hidden="false" customHeight="true" outlineLevel="0" collapsed="false">
      <c r="A295" s="13" t="n">
        <v>45875</v>
      </c>
      <c r="B295" s="7" t="n">
        <v>50</v>
      </c>
      <c r="C295" s="7" t="n">
        <v>166</v>
      </c>
      <c r="D295" s="7" t="n">
        <v>0</v>
      </c>
      <c r="E295" s="7" t="n">
        <v>6</v>
      </c>
      <c r="F295" s="7" t="n">
        <v>14</v>
      </c>
      <c r="G295" s="7" t="n">
        <v>82</v>
      </c>
      <c r="H295" s="7" t="n">
        <v>-190</v>
      </c>
      <c r="I295" s="15" t="n">
        <v>-0.431818181818182</v>
      </c>
      <c r="J295" s="15" t="n">
        <f aca="false">I295-I294</f>
        <v>-0.065909090909091</v>
      </c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customFormat="false" ht="43.5" hidden="false" customHeight="true" outlineLevel="0" collapsed="false">
      <c r="A296" s="13" t="n">
        <v>45876</v>
      </c>
      <c r="B296" s="7" t="n">
        <v>51</v>
      </c>
      <c r="C296" s="7" t="n">
        <v>165</v>
      </c>
      <c r="D296" s="7" t="n">
        <v>3</v>
      </c>
      <c r="E296" s="7" t="n">
        <v>2</v>
      </c>
      <c r="F296" s="7" t="n">
        <v>12</v>
      </c>
      <c r="G296" s="7" t="n">
        <v>80</v>
      </c>
      <c r="H296" s="7" t="n">
        <v>-181</v>
      </c>
      <c r="I296" s="15" t="n">
        <v>-0.411363636363636</v>
      </c>
      <c r="J296" s="15" t="n">
        <f aca="false">I296-I295</f>
        <v>0.020454545454546</v>
      </c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customFormat="false" ht="43.5" hidden="false" customHeight="true" outlineLevel="0" collapsed="false">
      <c r="A297" s="13" t="n">
        <v>45877</v>
      </c>
      <c r="B297" s="7" t="n">
        <v>42</v>
      </c>
      <c r="C297" s="7" t="n">
        <v>174</v>
      </c>
      <c r="D297" s="7" t="n">
        <v>3</v>
      </c>
      <c r="E297" s="7" t="n">
        <v>12</v>
      </c>
      <c r="F297" s="7" t="n">
        <v>11</v>
      </c>
      <c r="G297" s="7" t="n">
        <v>87</v>
      </c>
      <c r="H297" s="7" t="n">
        <v>-217</v>
      </c>
      <c r="I297" s="15" t="n">
        <v>-0.49</v>
      </c>
      <c r="J297" s="15" t="n">
        <f aca="false">I297-I296</f>
        <v>-0.078636363636364</v>
      </c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customFormat="false" ht="43.5" hidden="false" customHeight="true" outlineLevel="0" collapsed="false">
      <c r="A298" s="13" t="n">
        <v>45880</v>
      </c>
      <c r="B298" s="7" t="n">
        <v>46</v>
      </c>
      <c r="C298" s="7" t="n">
        <v>170</v>
      </c>
      <c r="D298" s="7" t="n">
        <v>4</v>
      </c>
      <c r="E298" s="7" t="n">
        <v>0</v>
      </c>
      <c r="F298" s="7" t="n">
        <v>11</v>
      </c>
      <c r="G298" s="7" t="n">
        <v>75</v>
      </c>
      <c r="H298" s="7" t="n">
        <v>-184</v>
      </c>
      <c r="I298" s="15" t="n">
        <v>-0.42</v>
      </c>
      <c r="J298" s="15" t="n">
        <f aca="false">I298-I297</f>
        <v>0.07</v>
      </c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customFormat="false" ht="43.5" hidden="false" customHeight="true" outlineLevel="0" collapsed="false">
      <c r="A299" s="13" t="n">
        <v>45881</v>
      </c>
      <c r="B299" s="7" t="n">
        <v>50</v>
      </c>
      <c r="C299" s="7" t="n">
        <v>166</v>
      </c>
      <c r="D299" s="7" t="n">
        <v>6</v>
      </c>
      <c r="E299" s="7" t="n">
        <v>2</v>
      </c>
      <c r="F299" s="7" t="n">
        <v>16</v>
      </c>
      <c r="G299" s="7" t="n">
        <v>54</v>
      </c>
      <c r="H299" s="7" t="n">
        <v>-150</v>
      </c>
      <c r="I299" s="15" t="n">
        <v>-0.340909090909091</v>
      </c>
      <c r="J299" s="15" t="n">
        <f aca="false">I299-I298</f>
        <v>0.079090909090909</v>
      </c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customFormat="false" ht="43.5" hidden="false" customHeight="true" outlineLevel="0" collapsed="false">
      <c r="A300" s="13" t="n">
        <v>45882</v>
      </c>
      <c r="B300" s="7" t="n">
        <v>57</v>
      </c>
      <c r="C300" s="7" t="n">
        <v>159</v>
      </c>
      <c r="D300" s="7" t="n">
        <v>9</v>
      </c>
      <c r="E300" s="7" t="n">
        <v>1</v>
      </c>
      <c r="F300" s="7" t="n">
        <v>25</v>
      </c>
      <c r="G300" s="7" t="n">
        <v>44</v>
      </c>
      <c r="H300" s="7" t="n">
        <v>-113</v>
      </c>
      <c r="I300" s="15" t="n">
        <v>-0.256818181818182</v>
      </c>
      <c r="J300" s="15" t="n">
        <f aca="false">I300-I299</f>
        <v>0.084090909090909</v>
      </c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customFormat="false" ht="43.5" hidden="false" customHeight="true" outlineLevel="0" collapsed="false">
      <c r="A301" s="13" t="n">
        <v>45883</v>
      </c>
      <c r="B301" s="7" t="n">
        <v>57</v>
      </c>
      <c r="C301" s="7" t="n">
        <v>159</v>
      </c>
      <c r="D301" s="7" t="n">
        <v>1</v>
      </c>
      <c r="E301" s="7" t="n">
        <v>1</v>
      </c>
      <c r="F301" s="7" t="n">
        <v>29</v>
      </c>
      <c r="G301" s="7" t="n">
        <v>40</v>
      </c>
      <c r="H301" s="7" t="n">
        <v>-113</v>
      </c>
      <c r="I301" s="15" t="n">
        <v>-0.256818181818182</v>
      </c>
      <c r="J301" s="15" t="n">
        <f aca="false">I301-I300</f>
        <v>0</v>
      </c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customFormat="false" ht="43.5" hidden="false" customHeight="true" outlineLevel="0" collapsed="false">
      <c r="A302" s="13" t="n">
        <v>45887</v>
      </c>
      <c r="B302" s="7" t="n">
        <v>75</v>
      </c>
      <c r="C302" s="7" t="n">
        <v>141</v>
      </c>
      <c r="D302" s="7" t="n">
        <v>20</v>
      </c>
      <c r="E302" s="7" t="n">
        <v>2</v>
      </c>
      <c r="F302" s="7" t="n">
        <v>52</v>
      </c>
      <c r="G302" s="7" t="n">
        <v>17</v>
      </c>
      <c r="H302" s="7" t="n">
        <v>-13</v>
      </c>
      <c r="I302" s="15" t="n">
        <v>-0.0295454545454545</v>
      </c>
      <c r="J302" s="15" t="n">
        <f aca="false">I302-I301</f>
        <v>0.227272727272728</v>
      </c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customFormat="false" ht="43.5" hidden="false" customHeight="true" outlineLevel="0" collapsed="false">
      <c r="A303" s="13" t="n">
        <v>45888</v>
      </c>
      <c r="B303" s="7" t="n">
        <v>92</v>
      </c>
      <c r="C303" s="7" t="n">
        <v>124</v>
      </c>
      <c r="D303" s="7" t="n">
        <v>18</v>
      </c>
      <c r="E303" s="7" t="n">
        <v>0</v>
      </c>
      <c r="F303" s="7" t="n">
        <v>53</v>
      </c>
      <c r="G303" s="7" t="n">
        <v>15</v>
      </c>
      <c r="H303" s="7" t="n">
        <v>24</v>
      </c>
      <c r="I303" s="15" t="n">
        <v>0.0545454545454545</v>
      </c>
      <c r="J303" s="15" t="n">
        <f aca="false">I303-I302</f>
        <v>0.084090909090909</v>
      </c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customFormat="false" ht="43.5" hidden="false" customHeight="true" outlineLevel="0" collapsed="false">
      <c r="A304" s="13" t="n">
        <v>45889</v>
      </c>
      <c r="B304" s="7" t="n">
        <v>112</v>
      </c>
      <c r="C304" s="7" t="n">
        <v>104</v>
      </c>
      <c r="D304" s="7" t="n">
        <v>20</v>
      </c>
      <c r="E304" s="7" t="n">
        <v>1</v>
      </c>
      <c r="F304" s="7" t="n">
        <v>59</v>
      </c>
      <c r="G304" s="7" t="n">
        <v>9</v>
      </c>
      <c r="H304" s="7" t="n">
        <v>77</v>
      </c>
      <c r="I304" s="15" t="n">
        <v>0.175</v>
      </c>
      <c r="J304" s="15" t="n">
        <f aca="false">I304-I303</f>
        <v>0.120454545454545</v>
      </c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customFormat="false" ht="43.5" hidden="false" customHeight="true" outlineLevel="0" collapsed="false">
      <c r="A305" s="13" t="n">
        <v>45890</v>
      </c>
      <c r="B305" s="7" t="n">
        <v>119</v>
      </c>
      <c r="C305" s="7" t="n">
        <v>97</v>
      </c>
      <c r="D305" s="7" t="n">
        <v>7</v>
      </c>
      <c r="E305" s="7" t="n">
        <v>0</v>
      </c>
      <c r="F305" s="7" t="n">
        <v>67</v>
      </c>
      <c r="G305" s="7" t="n">
        <v>10</v>
      </c>
      <c r="H305" s="7" t="n">
        <v>86</v>
      </c>
      <c r="I305" s="15" t="n">
        <v>0.195454545454545</v>
      </c>
      <c r="J305" s="15" t="n">
        <f aca="false">I305-I304</f>
        <v>0.020454545454545</v>
      </c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customFormat="false" ht="43.5" hidden="false" customHeight="true" outlineLevel="0" collapsed="false">
      <c r="A306" s="13" t="n">
        <v>45891</v>
      </c>
      <c r="B306" s="7" t="n">
        <v>118</v>
      </c>
      <c r="C306" s="7" t="n">
        <v>98</v>
      </c>
      <c r="D306" s="7" t="n">
        <v>2</v>
      </c>
      <c r="E306" s="7" t="n">
        <v>2</v>
      </c>
      <c r="F306" s="7" t="n">
        <v>58</v>
      </c>
      <c r="G306" s="7" t="n">
        <v>23</v>
      </c>
      <c r="H306" s="7" t="n">
        <v>55</v>
      </c>
      <c r="I306" s="15" t="n">
        <v>0.125</v>
      </c>
      <c r="J306" s="15" t="n">
        <f aca="false">I306-I305</f>
        <v>-0.070454545454545</v>
      </c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customFormat="false" ht="43.5" hidden="false" customHeight="true" outlineLevel="0" collapsed="false">
      <c r="A307" s="17"/>
      <c r="B307" s="18"/>
      <c r="C307" s="10"/>
      <c r="D307" s="18"/>
      <c r="E307" s="10"/>
      <c r="F307" s="18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customFormat="false" ht="43.5" hidden="false" customHeight="true" outlineLevel="0" collapsed="false">
      <c r="A308" s="17"/>
      <c r="B308" s="18"/>
      <c r="C308" s="10"/>
      <c r="D308" s="18"/>
      <c r="E308" s="10"/>
      <c r="F308" s="18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customFormat="false" ht="43.5" hidden="false" customHeight="true" outlineLevel="0" collapsed="false">
      <c r="A309" s="17"/>
      <c r="B309" s="18"/>
      <c r="C309" s="10"/>
      <c r="D309" s="18"/>
      <c r="E309" s="10"/>
      <c r="F309" s="18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customFormat="false" ht="43.5" hidden="false" customHeight="true" outlineLevel="0" collapsed="false">
      <c r="A310" s="17"/>
      <c r="B310" s="18"/>
      <c r="C310" s="10"/>
      <c r="D310" s="18"/>
      <c r="E310" s="10"/>
      <c r="F310" s="18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customFormat="false" ht="43.5" hidden="false" customHeight="true" outlineLevel="0" collapsed="false">
      <c r="A311" s="17"/>
      <c r="B311" s="18"/>
      <c r="C311" s="10"/>
      <c r="D311" s="18"/>
      <c r="E311" s="10"/>
      <c r="F311" s="18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customFormat="false" ht="43.5" hidden="false" customHeight="true" outlineLevel="0" collapsed="false">
      <c r="A312" s="17"/>
      <c r="B312" s="18"/>
      <c r="C312" s="10"/>
      <c r="D312" s="18"/>
      <c r="E312" s="10"/>
      <c r="F312" s="18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customFormat="false" ht="43.5" hidden="false" customHeight="true" outlineLevel="0" collapsed="false">
      <c r="A313" s="17"/>
      <c r="B313" s="18"/>
      <c r="C313" s="10"/>
      <c r="D313" s="18"/>
      <c r="E313" s="10"/>
      <c r="F313" s="18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customFormat="false" ht="43.5" hidden="false" customHeight="true" outlineLevel="0" collapsed="false">
      <c r="A314" s="17"/>
      <c r="B314" s="18"/>
      <c r="C314" s="10"/>
      <c r="D314" s="18"/>
      <c r="E314" s="10"/>
      <c r="F314" s="18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customFormat="false" ht="43.5" hidden="false" customHeight="true" outlineLevel="0" collapsed="false">
      <c r="A315" s="17"/>
      <c r="B315" s="18"/>
      <c r="C315" s="10"/>
      <c r="D315" s="18"/>
      <c r="E315" s="10"/>
      <c r="F315" s="18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customFormat="false" ht="43.5" hidden="false" customHeight="true" outlineLevel="0" collapsed="false">
      <c r="A316" s="17"/>
      <c r="B316" s="18"/>
      <c r="C316" s="10"/>
      <c r="D316" s="18"/>
      <c r="E316" s="10"/>
      <c r="F316" s="18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customFormat="false" ht="43.5" hidden="false" customHeight="true" outlineLevel="0" collapsed="false">
      <c r="A317" s="17"/>
      <c r="B317" s="18"/>
      <c r="C317" s="10"/>
      <c r="D317" s="18"/>
      <c r="E317" s="10"/>
      <c r="F317" s="18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customFormat="false" ht="43.5" hidden="false" customHeight="true" outlineLevel="0" collapsed="false">
      <c r="A318" s="17"/>
      <c r="B318" s="18"/>
      <c r="C318" s="10"/>
      <c r="D318" s="18"/>
      <c r="E318" s="10"/>
      <c r="F318" s="18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customFormat="false" ht="43.5" hidden="false" customHeight="true" outlineLevel="0" collapsed="false">
      <c r="A319" s="17"/>
      <c r="B319" s="18"/>
      <c r="C319" s="10"/>
      <c r="D319" s="18"/>
      <c r="E319" s="10"/>
      <c r="F319" s="18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customFormat="false" ht="43.5" hidden="false" customHeight="true" outlineLevel="0" collapsed="false">
      <c r="A320" s="17"/>
      <c r="B320" s="18"/>
      <c r="C320" s="10"/>
      <c r="D320" s="18"/>
      <c r="E320" s="10"/>
      <c r="F320" s="18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customFormat="false" ht="43.5" hidden="false" customHeight="true" outlineLevel="0" collapsed="false">
      <c r="A321" s="17"/>
      <c r="B321" s="18"/>
      <c r="C321" s="10"/>
      <c r="D321" s="18"/>
      <c r="E321" s="10"/>
      <c r="F321" s="18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customFormat="false" ht="43.5" hidden="false" customHeight="true" outlineLevel="0" collapsed="false">
      <c r="A322" s="17"/>
      <c r="B322" s="18"/>
      <c r="C322" s="10"/>
      <c r="D322" s="18"/>
      <c r="E322" s="10"/>
      <c r="F322" s="18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customFormat="false" ht="43.5" hidden="false" customHeight="true" outlineLevel="0" collapsed="false">
      <c r="A323" s="17"/>
      <c r="B323" s="18"/>
      <c r="C323" s="10"/>
      <c r="D323" s="18"/>
      <c r="E323" s="10"/>
      <c r="F323" s="18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customFormat="false" ht="43.5" hidden="false" customHeight="true" outlineLevel="0" collapsed="false">
      <c r="A324" s="17"/>
      <c r="B324" s="18"/>
      <c r="C324" s="10"/>
      <c r="D324" s="18"/>
      <c r="E324" s="10"/>
      <c r="F324" s="18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customFormat="false" ht="43.5" hidden="false" customHeight="true" outlineLevel="0" collapsed="false">
      <c r="A325" s="17"/>
      <c r="B325" s="18"/>
      <c r="C325" s="10"/>
      <c r="D325" s="18"/>
      <c r="E325" s="10"/>
      <c r="F325" s="18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customFormat="false" ht="43.5" hidden="false" customHeight="true" outlineLevel="0" collapsed="false">
      <c r="A326" s="17"/>
      <c r="B326" s="18"/>
      <c r="C326" s="10"/>
      <c r="D326" s="18"/>
      <c r="E326" s="10"/>
      <c r="F326" s="18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customFormat="false" ht="43.5" hidden="false" customHeight="true" outlineLevel="0" collapsed="false">
      <c r="A327" s="17"/>
      <c r="B327" s="18"/>
      <c r="C327" s="10"/>
      <c r="D327" s="18"/>
      <c r="E327" s="10"/>
      <c r="F327" s="18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customFormat="false" ht="43.5" hidden="false" customHeight="true" outlineLevel="0" collapsed="false">
      <c r="A328" s="17"/>
      <c r="B328" s="18"/>
      <c r="C328" s="10"/>
      <c r="D328" s="18"/>
      <c r="E328" s="10"/>
      <c r="F328" s="18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customFormat="false" ht="43.5" hidden="false" customHeight="true" outlineLevel="0" collapsed="false">
      <c r="A329" s="17"/>
      <c r="B329" s="18"/>
      <c r="C329" s="10"/>
      <c r="D329" s="18"/>
      <c r="E329" s="10"/>
      <c r="F329" s="18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customFormat="false" ht="43.5" hidden="false" customHeight="true" outlineLevel="0" collapsed="false">
      <c r="A330" s="17"/>
      <c r="B330" s="18"/>
      <c r="C330" s="10"/>
      <c r="D330" s="18"/>
      <c r="E330" s="10"/>
      <c r="F330" s="18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customFormat="false" ht="43.5" hidden="false" customHeight="true" outlineLevel="0" collapsed="false">
      <c r="A331" s="17"/>
      <c r="B331" s="18"/>
      <c r="C331" s="10"/>
      <c r="D331" s="18"/>
      <c r="E331" s="10"/>
      <c r="F331" s="18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customFormat="false" ht="43.5" hidden="false" customHeight="true" outlineLevel="0" collapsed="false">
      <c r="A332" s="17"/>
      <c r="B332" s="18"/>
      <c r="C332" s="10"/>
      <c r="D332" s="18"/>
      <c r="E332" s="10"/>
      <c r="F332" s="18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customFormat="false" ht="43.5" hidden="false" customHeight="true" outlineLevel="0" collapsed="false">
      <c r="A333" s="17"/>
      <c r="B333" s="18"/>
      <c r="C333" s="10"/>
      <c r="D333" s="18"/>
      <c r="E333" s="10"/>
      <c r="F333" s="18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customFormat="false" ht="43.5" hidden="false" customHeight="true" outlineLevel="0" collapsed="false">
      <c r="A334" s="17"/>
      <c r="B334" s="18"/>
      <c r="C334" s="10"/>
      <c r="D334" s="18"/>
      <c r="E334" s="10"/>
      <c r="F334" s="18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customFormat="false" ht="43.5" hidden="false" customHeight="true" outlineLevel="0" collapsed="false">
      <c r="A335" s="17"/>
      <c r="B335" s="18"/>
      <c r="C335" s="10"/>
      <c r="D335" s="18"/>
      <c r="E335" s="10"/>
      <c r="F335" s="18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customFormat="false" ht="43.5" hidden="false" customHeight="true" outlineLevel="0" collapsed="false">
      <c r="A336" s="17"/>
      <c r="B336" s="18"/>
      <c r="C336" s="10"/>
      <c r="D336" s="18"/>
      <c r="E336" s="10"/>
      <c r="F336" s="18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customFormat="false" ht="43.5" hidden="false" customHeight="true" outlineLevel="0" collapsed="false">
      <c r="A337" s="17"/>
      <c r="B337" s="18"/>
      <c r="C337" s="10"/>
      <c r="D337" s="18"/>
      <c r="E337" s="10"/>
      <c r="F337" s="18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customFormat="false" ht="43.5" hidden="false" customHeight="true" outlineLevel="0" collapsed="false">
      <c r="A338" s="17"/>
      <c r="B338" s="18"/>
      <c r="C338" s="10"/>
      <c r="D338" s="18"/>
      <c r="E338" s="10"/>
      <c r="F338" s="18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customFormat="false" ht="43.5" hidden="false" customHeight="true" outlineLevel="0" collapsed="false">
      <c r="A339" s="17"/>
      <c r="B339" s="18"/>
      <c r="C339" s="10"/>
      <c r="D339" s="18"/>
      <c r="E339" s="10"/>
      <c r="F339" s="18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customFormat="false" ht="43.5" hidden="false" customHeight="true" outlineLevel="0" collapsed="false">
      <c r="A340" s="17"/>
      <c r="B340" s="18"/>
      <c r="C340" s="10"/>
      <c r="D340" s="18"/>
      <c r="E340" s="10"/>
      <c r="F340" s="18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customFormat="false" ht="43.5" hidden="false" customHeight="true" outlineLevel="0" collapsed="false">
      <c r="A341" s="17"/>
      <c r="B341" s="18"/>
      <c r="C341" s="10"/>
      <c r="D341" s="18"/>
      <c r="E341" s="10"/>
      <c r="F341" s="18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customFormat="false" ht="43.5" hidden="false" customHeight="true" outlineLevel="0" collapsed="false">
      <c r="A342" s="17"/>
      <c r="B342" s="18"/>
      <c r="C342" s="10"/>
      <c r="D342" s="18"/>
      <c r="E342" s="10"/>
      <c r="F342" s="18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customFormat="false" ht="43.5" hidden="false" customHeight="true" outlineLevel="0" collapsed="false">
      <c r="A343" s="17"/>
      <c r="B343" s="18"/>
      <c r="C343" s="10"/>
      <c r="D343" s="18"/>
      <c r="E343" s="10"/>
      <c r="F343" s="18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customFormat="false" ht="43.5" hidden="false" customHeight="true" outlineLevel="0" collapsed="false">
      <c r="A344" s="17"/>
      <c r="B344" s="18"/>
      <c r="C344" s="10"/>
      <c r="D344" s="18"/>
      <c r="E344" s="10"/>
      <c r="F344" s="18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customFormat="false" ht="43.5" hidden="false" customHeight="true" outlineLevel="0" collapsed="false">
      <c r="A345" s="17"/>
      <c r="B345" s="18"/>
      <c r="C345" s="10"/>
      <c r="D345" s="18"/>
      <c r="E345" s="10"/>
      <c r="F345" s="18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customFormat="false" ht="43.5" hidden="false" customHeight="true" outlineLevel="0" collapsed="false">
      <c r="A346" s="17"/>
      <c r="B346" s="18"/>
      <c r="C346" s="10"/>
      <c r="D346" s="18"/>
      <c r="E346" s="10"/>
      <c r="F346" s="18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customFormat="false" ht="43.5" hidden="false" customHeight="true" outlineLevel="0" collapsed="false">
      <c r="A347" s="17"/>
      <c r="B347" s="18"/>
      <c r="C347" s="10"/>
      <c r="D347" s="18"/>
      <c r="E347" s="10"/>
      <c r="F347" s="18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customFormat="false" ht="43.5" hidden="false" customHeight="true" outlineLevel="0" collapsed="false">
      <c r="A348" s="17"/>
      <c r="B348" s="18"/>
      <c r="C348" s="10"/>
      <c r="D348" s="18"/>
      <c r="E348" s="10"/>
      <c r="F348" s="18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customFormat="false" ht="43.5" hidden="false" customHeight="true" outlineLevel="0" collapsed="false">
      <c r="A349" s="17"/>
      <c r="B349" s="18"/>
      <c r="C349" s="10"/>
      <c r="D349" s="18"/>
      <c r="E349" s="10"/>
      <c r="F349" s="18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customFormat="false" ht="43.5" hidden="false" customHeight="true" outlineLevel="0" collapsed="false">
      <c r="A350" s="17"/>
      <c r="B350" s="18"/>
      <c r="C350" s="10"/>
      <c r="D350" s="18"/>
      <c r="E350" s="10"/>
      <c r="F350" s="18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customFormat="false" ht="43.5" hidden="false" customHeight="true" outlineLevel="0" collapsed="false">
      <c r="A351" s="17"/>
      <c r="B351" s="18"/>
      <c r="C351" s="10"/>
      <c r="D351" s="18"/>
      <c r="E351" s="10"/>
      <c r="F351" s="18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customFormat="false" ht="43.5" hidden="false" customHeight="true" outlineLevel="0" collapsed="false">
      <c r="A352" s="17"/>
      <c r="B352" s="18"/>
      <c r="C352" s="10"/>
      <c r="D352" s="18"/>
      <c r="E352" s="10"/>
      <c r="F352" s="18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customFormat="false" ht="43.5" hidden="false" customHeight="true" outlineLevel="0" collapsed="false">
      <c r="A353" s="17"/>
      <c r="B353" s="18"/>
      <c r="C353" s="10"/>
      <c r="D353" s="18"/>
      <c r="E353" s="10"/>
      <c r="F353" s="18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customFormat="false" ht="43.5" hidden="false" customHeight="true" outlineLevel="0" collapsed="false">
      <c r="A354" s="17"/>
      <c r="B354" s="18"/>
      <c r="C354" s="10"/>
      <c r="D354" s="18"/>
      <c r="E354" s="10"/>
      <c r="F354" s="18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customFormat="false" ht="43.5" hidden="false" customHeight="true" outlineLevel="0" collapsed="false">
      <c r="A355" s="17"/>
      <c r="B355" s="18"/>
      <c r="C355" s="10"/>
      <c r="D355" s="18"/>
      <c r="E355" s="10"/>
      <c r="F355" s="18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customFormat="false" ht="43.5" hidden="false" customHeight="true" outlineLevel="0" collapsed="false">
      <c r="A356" s="17"/>
      <c r="B356" s="18"/>
      <c r="C356" s="10"/>
      <c r="D356" s="18"/>
      <c r="E356" s="10"/>
      <c r="F356" s="18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customFormat="false" ht="43.5" hidden="false" customHeight="true" outlineLevel="0" collapsed="false">
      <c r="A357" s="17"/>
      <c r="B357" s="18"/>
      <c r="C357" s="10"/>
      <c r="D357" s="18"/>
      <c r="E357" s="10"/>
      <c r="F357" s="18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customFormat="false" ht="43.5" hidden="false" customHeight="true" outlineLevel="0" collapsed="false">
      <c r="A358" s="17"/>
      <c r="B358" s="18"/>
      <c r="C358" s="10"/>
      <c r="D358" s="18"/>
      <c r="E358" s="10"/>
      <c r="F358" s="18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customFormat="false" ht="43.5" hidden="false" customHeight="true" outlineLevel="0" collapsed="false">
      <c r="A359" s="17"/>
      <c r="B359" s="18"/>
      <c r="C359" s="10"/>
      <c r="D359" s="18"/>
      <c r="E359" s="10"/>
      <c r="F359" s="18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customFormat="false" ht="43.5" hidden="false" customHeight="true" outlineLevel="0" collapsed="false">
      <c r="A360" s="17"/>
      <c r="B360" s="18"/>
      <c r="C360" s="10"/>
      <c r="D360" s="18"/>
      <c r="E360" s="10"/>
      <c r="F360" s="18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customFormat="false" ht="43.5" hidden="false" customHeight="true" outlineLevel="0" collapsed="false">
      <c r="A361" s="17"/>
      <c r="B361" s="18"/>
      <c r="C361" s="10"/>
      <c r="D361" s="18"/>
      <c r="E361" s="10"/>
      <c r="F361" s="18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customFormat="false" ht="43.5" hidden="false" customHeight="true" outlineLevel="0" collapsed="false">
      <c r="A362" s="17"/>
      <c r="B362" s="18"/>
      <c r="C362" s="10"/>
      <c r="D362" s="18"/>
      <c r="E362" s="10"/>
      <c r="F362" s="18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customFormat="false" ht="43.5" hidden="false" customHeight="true" outlineLevel="0" collapsed="false">
      <c r="A363" s="17"/>
      <c r="B363" s="18"/>
      <c r="C363" s="10"/>
      <c r="D363" s="18"/>
      <c r="E363" s="10"/>
      <c r="F363" s="18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customFormat="false" ht="43.5" hidden="false" customHeight="true" outlineLevel="0" collapsed="false">
      <c r="A364" s="17"/>
      <c r="B364" s="18"/>
      <c r="C364" s="10"/>
      <c r="D364" s="18"/>
      <c r="E364" s="10"/>
      <c r="F364" s="18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customFormat="false" ht="43.5" hidden="false" customHeight="true" outlineLevel="0" collapsed="false">
      <c r="A365" s="17"/>
      <c r="B365" s="18"/>
      <c r="C365" s="10"/>
      <c r="D365" s="18"/>
      <c r="E365" s="10"/>
      <c r="F365" s="18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customFormat="false" ht="43.5" hidden="false" customHeight="true" outlineLevel="0" collapsed="false">
      <c r="A366" s="17"/>
      <c r="B366" s="18"/>
      <c r="C366" s="10"/>
      <c r="D366" s="18"/>
      <c r="E366" s="10"/>
      <c r="F366" s="18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customFormat="false" ht="43.5" hidden="false" customHeight="true" outlineLevel="0" collapsed="false">
      <c r="A367" s="17"/>
      <c r="B367" s="18"/>
      <c r="C367" s="10"/>
      <c r="D367" s="18"/>
      <c r="E367" s="10"/>
      <c r="F367" s="18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customFormat="false" ht="43.5" hidden="false" customHeight="true" outlineLevel="0" collapsed="false">
      <c r="A368" s="17"/>
      <c r="B368" s="18"/>
      <c r="C368" s="10"/>
      <c r="D368" s="18"/>
      <c r="E368" s="10"/>
      <c r="F368" s="18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customFormat="false" ht="43.5" hidden="false" customHeight="true" outlineLevel="0" collapsed="false">
      <c r="A369" s="17"/>
      <c r="B369" s="18"/>
      <c r="C369" s="10"/>
      <c r="D369" s="18"/>
      <c r="E369" s="10"/>
      <c r="F369" s="18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customFormat="false" ht="43.5" hidden="false" customHeight="true" outlineLevel="0" collapsed="false">
      <c r="A370" s="17"/>
      <c r="B370" s="18"/>
      <c r="C370" s="10"/>
      <c r="D370" s="18"/>
      <c r="E370" s="10"/>
      <c r="F370" s="18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customFormat="false" ht="43.5" hidden="false" customHeight="true" outlineLevel="0" collapsed="false">
      <c r="A371" s="17"/>
      <c r="B371" s="18"/>
      <c r="C371" s="10"/>
      <c r="D371" s="18"/>
      <c r="E371" s="10"/>
      <c r="F371" s="18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customFormat="false" ht="43.5" hidden="false" customHeight="true" outlineLevel="0" collapsed="false">
      <c r="A372" s="17"/>
      <c r="B372" s="18"/>
      <c r="C372" s="10"/>
      <c r="D372" s="18"/>
      <c r="E372" s="10"/>
      <c r="F372" s="18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customFormat="false" ht="43.5" hidden="false" customHeight="true" outlineLevel="0" collapsed="false">
      <c r="A373" s="17"/>
      <c r="B373" s="18"/>
      <c r="C373" s="10"/>
      <c r="D373" s="18"/>
      <c r="E373" s="10"/>
      <c r="F373" s="18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customFormat="false" ht="43.5" hidden="false" customHeight="true" outlineLevel="0" collapsed="false">
      <c r="A374" s="17"/>
      <c r="B374" s="18"/>
      <c r="C374" s="10"/>
      <c r="D374" s="18"/>
      <c r="E374" s="10"/>
      <c r="F374" s="18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customFormat="false" ht="43.5" hidden="false" customHeight="true" outlineLevel="0" collapsed="false">
      <c r="A375" s="17"/>
      <c r="B375" s="18"/>
      <c r="C375" s="10"/>
      <c r="D375" s="18"/>
      <c r="E375" s="10"/>
      <c r="F375" s="18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customFormat="false" ht="43.5" hidden="false" customHeight="true" outlineLevel="0" collapsed="false">
      <c r="A376" s="17"/>
      <c r="B376" s="18"/>
      <c r="C376" s="10"/>
      <c r="D376" s="18"/>
      <c r="E376" s="10"/>
      <c r="F376" s="18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customFormat="false" ht="43.5" hidden="false" customHeight="true" outlineLevel="0" collapsed="false">
      <c r="A377" s="17"/>
      <c r="B377" s="18"/>
      <c r="C377" s="10"/>
      <c r="D377" s="18"/>
      <c r="E377" s="10"/>
      <c r="F377" s="18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customFormat="false" ht="43.5" hidden="false" customHeight="true" outlineLevel="0" collapsed="false">
      <c r="A378" s="17"/>
      <c r="B378" s="18"/>
      <c r="C378" s="10"/>
      <c r="D378" s="18"/>
      <c r="E378" s="10"/>
      <c r="F378" s="18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customFormat="false" ht="43.5" hidden="false" customHeight="true" outlineLevel="0" collapsed="false">
      <c r="A379" s="17"/>
      <c r="B379" s="18"/>
      <c r="C379" s="10"/>
      <c r="D379" s="18"/>
      <c r="E379" s="10"/>
      <c r="F379" s="18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customFormat="false" ht="43.5" hidden="false" customHeight="true" outlineLevel="0" collapsed="false">
      <c r="A380" s="17"/>
      <c r="B380" s="18"/>
      <c r="C380" s="10"/>
      <c r="D380" s="18"/>
      <c r="E380" s="10"/>
      <c r="F380" s="18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customFormat="false" ht="43.5" hidden="false" customHeight="true" outlineLevel="0" collapsed="false">
      <c r="A381" s="17"/>
      <c r="B381" s="18"/>
      <c r="C381" s="10"/>
      <c r="D381" s="18"/>
      <c r="E381" s="10"/>
      <c r="F381" s="18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customFormat="false" ht="43.5" hidden="false" customHeight="true" outlineLevel="0" collapsed="false">
      <c r="A382" s="17"/>
      <c r="B382" s="18"/>
      <c r="C382" s="10"/>
      <c r="D382" s="18"/>
      <c r="E382" s="10"/>
      <c r="F382" s="18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customFormat="false" ht="43.5" hidden="false" customHeight="true" outlineLevel="0" collapsed="false">
      <c r="A383" s="17"/>
      <c r="B383" s="18"/>
      <c r="C383" s="10"/>
      <c r="D383" s="18"/>
      <c r="E383" s="10"/>
      <c r="F383" s="18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customFormat="false" ht="43.5" hidden="false" customHeight="true" outlineLevel="0" collapsed="false">
      <c r="A384" s="17"/>
      <c r="B384" s="18"/>
      <c r="C384" s="10"/>
      <c r="D384" s="18"/>
      <c r="E384" s="10"/>
      <c r="F384" s="18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customFormat="false" ht="43.5" hidden="false" customHeight="true" outlineLevel="0" collapsed="false">
      <c r="A385" s="17"/>
      <c r="B385" s="18"/>
      <c r="C385" s="10"/>
      <c r="D385" s="18"/>
      <c r="E385" s="10"/>
      <c r="F385" s="18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customFormat="false" ht="43.5" hidden="false" customHeight="true" outlineLevel="0" collapsed="false">
      <c r="A386" s="17"/>
      <c r="B386" s="18"/>
      <c r="C386" s="10"/>
      <c r="D386" s="18"/>
      <c r="E386" s="10"/>
      <c r="F386" s="18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customFormat="false" ht="43.5" hidden="false" customHeight="true" outlineLevel="0" collapsed="false">
      <c r="A387" s="17"/>
      <c r="B387" s="18"/>
      <c r="C387" s="10"/>
      <c r="D387" s="18"/>
      <c r="E387" s="10"/>
      <c r="F387" s="18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customFormat="false" ht="43.5" hidden="false" customHeight="true" outlineLevel="0" collapsed="false">
      <c r="A388" s="17"/>
      <c r="B388" s="18"/>
      <c r="C388" s="10"/>
      <c r="D388" s="18"/>
      <c r="E388" s="10"/>
      <c r="F388" s="18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customFormat="false" ht="43.5" hidden="false" customHeight="true" outlineLevel="0" collapsed="false">
      <c r="A389" s="17"/>
      <c r="B389" s="18"/>
      <c r="C389" s="10"/>
      <c r="D389" s="18"/>
      <c r="E389" s="10"/>
      <c r="F389" s="18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customFormat="false" ht="43.5" hidden="false" customHeight="true" outlineLevel="0" collapsed="false">
      <c r="A390" s="17"/>
      <c r="B390" s="18"/>
      <c r="C390" s="10"/>
      <c r="D390" s="18"/>
      <c r="E390" s="10"/>
      <c r="F390" s="18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customFormat="false" ht="43.5" hidden="false" customHeight="true" outlineLevel="0" collapsed="false">
      <c r="A391" s="17"/>
      <c r="B391" s="18"/>
      <c r="C391" s="10"/>
      <c r="D391" s="18"/>
      <c r="E391" s="10"/>
      <c r="F391" s="18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customFormat="false" ht="43.5" hidden="false" customHeight="true" outlineLevel="0" collapsed="false">
      <c r="A392" s="17"/>
      <c r="B392" s="18"/>
      <c r="C392" s="10"/>
      <c r="D392" s="18"/>
      <c r="E392" s="10"/>
      <c r="F392" s="18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customFormat="false" ht="43.5" hidden="false" customHeight="true" outlineLevel="0" collapsed="false">
      <c r="A393" s="17"/>
      <c r="B393" s="18"/>
      <c r="C393" s="10"/>
      <c r="D393" s="18"/>
      <c r="E393" s="10"/>
      <c r="F393" s="18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customFormat="false" ht="43.5" hidden="false" customHeight="true" outlineLevel="0" collapsed="false">
      <c r="A394" s="17"/>
      <c r="B394" s="18"/>
      <c r="C394" s="10"/>
      <c r="D394" s="18"/>
      <c r="E394" s="10"/>
      <c r="F394" s="18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customFormat="false" ht="43.5" hidden="false" customHeight="true" outlineLevel="0" collapsed="false">
      <c r="A395" s="17"/>
      <c r="B395" s="18"/>
      <c r="C395" s="10"/>
      <c r="D395" s="18"/>
      <c r="E395" s="10"/>
      <c r="F395" s="18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customFormat="false" ht="43.5" hidden="false" customHeight="true" outlineLevel="0" collapsed="false">
      <c r="A396" s="17"/>
      <c r="B396" s="18"/>
      <c r="C396" s="10"/>
      <c r="D396" s="18"/>
      <c r="E396" s="10"/>
      <c r="F396" s="18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customFormat="false" ht="43.5" hidden="false" customHeight="true" outlineLevel="0" collapsed="false">
      <c r="A397" s="17"/>
      <c r="B397" s="18"/>
      <c r="C397" s="10"/>
      <c r="D397" s="18"/>
      <c r="E397" s="10"/>
      <c r="F397" s="18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customFormat="false" ht="43.5" hidden="false" customHeight="true" outlineLevel="0" collapsed="false">
      <c r="A398" s="17"/>
      <c r="B398" s="18"/>
      <c r="C398" s="10"/>
      <c r="D398" s="18"/>
      <c r="E398" s="10"/>
      <c r="F398" s="18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customFormat="false" ht="43.5" hidden="false" customHeight="true" outlineLevel="0" collapsed="false">
      <c r="A399" s="17"/>
      <c r="B399" s="18"/>
      <c r="C399" s="10"/>
      <c r="D399" s="18"/>
      <c r="E399" s="10"/>
      <c r="F399" s="18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customFormat="false" ht="43.5" hidden="false" customHeight="true" outlineLevel="0" collapsed="false">
      <c r="A400" s="17"/>
      <c r="B400" s="18"/>
      <c r="C400" s="10"/>
      <c r="D400" s="18"/>
      <c r="E400" s="10"/>
      <c r="F400" s="18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customFormat="false" ht="43.5" hidden="false" customHeight="true" outlineLevel="0" collapsed="false">
      <c r="A401" s="17"/>
      <c r="B401" s="18"/>
      <c r="C401" s="10"/>
      <c r="D401" s="18"/>
      <c r="E401" s="10"/>
      <c r="F401" s="18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customFormat="false" ht="43.5" hidden="false" customHeight="true" outlineLevel="0" collapsed="false">
      <c r="A402" s="17"/>
      <c r="B402" s="18"/>
      <c r="C402" s="10"/>
      <c r="D402" s="18"/>
      <c r="E402" s="10"/>
      <c r="F402" s="18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customFormat="false" ht="43.5" hidden="false" customHeight="true" outlineLevel="0" collapsed="false">
      <c r="A403" s="17"/>
      <c r="B403" s="18"/>
      <c r="C403" s="10"/>
      <c r="D403" s="18"/>
      <c r="E403" s="10"/>
      <c r="F403" s="18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customFormat="false" ht="43.5" hidden="false" customHeight="true" outlineLevel="0" collapsed="false">
      <c r="A404" s="17"/>
      <c r="B404" s="18"/>
      <c r="C404" s="10"/>
      <c r="D404" s="18"/>
      <c r="E404" s="10"/>
      <c r="F404" s="18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customFormat="false" ht="43.5" hidden="false" customHeight="true" outlineLevel="0" collapsed="false">
      <c r="A405" s="17"/>
      <c r="B405" s="18"/>
      <c r="C405" s="10"/>
      <c r="D405" s="18"/>
      <c r="E405" s="10"/>
      <c r="F405" s="18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customFormat="false" ht="43.5" hidden="false" customHeight="true" outlineLevel="0" collapsed="false">
      <c r="A406" s="17"/>
      <c r="B406" s="18"/>
      <c r="C406" s="10"/>
      <c r="D406" s="18"/>
      <c r="E406" s="10"/>
      <c r="F406" s="18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customFormat="false" ht="43.5" hidden="false" customHeight="true" outlineLevel="0" collapsed="false">
      <c r="A407" s="17"/>
      <c r="B407" s="18"/>
      <c r="C407" s="10"/>
      <c r="D407" s="18"/>
      <c r="E407" s="10"/>
      <c r="F407" s="18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customFormat="false" ht="43.5" hidden="false" customHeight="true" outlineLevel="0" collapsed="false">
      <c r="A408" s="17"/>
      <c r="B408" s="18"/>
      <c r="C408" s="10"/>
      <c r="D408" s="18"/>
      <c r="E408" s="10"/>
      <c r="F408" s="18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customFormat="false" ht="43.5" hidden="false" customHeight="true" outlineLevel="0" collapsed="false">
      <c r="A409" s="17"/>
      <c r="B409" s="18"/>
      <c r="C409" s="10"/>
      <c r="D409" s="18"/>
      <c r="E409" s="10"/>
      <c r="F409" s="18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customFormat="false" ht="43.5" hidden="false" customHeight="true" outlineLevel="0" collapsed="false">
      <c r="A410" s="17"/>
      <c r="B410" s="18"/>
      <c r="C410" s="10"/>
      <c r="D410" s="18"/>
      <c r="E410" s="10"/>
      <c r="F410" s="18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customFormat="false" ht="43.5" hidden="false" customHeight="true" outlineLevel="0" collapsed="false">
      <c r="A411" s="17"/>
      <c r="B411" s="18"/>
      <c r="C411" s="10"/>
      <c r="D411" s="18"/>
      <c r="E411" s="10"/>
      <c r="F411" s="18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customFormat="false" ht="43.5" hidden="false" customHeight="true" outlineLevel="0" collapsed="false">
      <c r="A412" s="17"/>
      <c r="B412" s="18"/>
      <c r="C412" s="10"/>
      <c r="D412" s="18"/>
      <c r="E412" s="10"/>
      <c r="F412" s="18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customFormat="false" ht="43.5" hidden="false" customHeight="true" outlineLevel="0" collapsed="false">
      <c r="A413" s="17"/>
      <c r="B413" s="18"/>
      <c r="C413" s="10"/>
      <c r="D413" s="18"/>
      <c r="E413" s="10"/>
      <c r="F413" s="18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customFormat="false" ht="43.5" hidden="false" customHeight="true" outlineLevel="0" collapsed="false">
      <c r="A414" s="17"/>
      <c r="B414" s="18"/>
      <c r="C414" s="10"/>
      <c r="D414" s="18"/>
      <c r="E414" s="10"/>
      <c r="F414" s="18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customFormat="false" ht="43.5" hidden="false" customHeight="true" outlineLevel="0" collapsed="false">
      <c r="A415" s="17"/>
      <c r="B415" s="18"/>
      <c r="C415" s="10"/>
      <c r="D415" s="18"/>
      <c r="E415" s="10"/>
      <c r="F415" s="18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customFormat="false" ht="43.5" hidden="false" customHeight="true" outlineLevel="0" collapsed="false">
      <c r="A416" s="17"/>
      <c r="B416" s="18"/>
      <c r="C416" s="10"/>
      <c r="D416" s="18"/>
      <c r="E416" s="10"/>
      <c r="F416" s="18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customFormat="false" ht="43.5" hidden="false" customHeight="true" outlineLevel="0" collapsed="false">
      <c r="A417" s="17"/>
      <c r="B417" s="18"/>
      <c r="C417" s="10"/>
      <c r="D417" s="18"/>
      <c r="E417" s="10"/>
      <c r="F417" s="18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customFormat="false" ht="43.5" hidden="false" customHeight="true" outlineLevel="0" collapsed="false">
      <c r="A418" s="17"/>
      <c r="B418" s="18"/>
      <c r="C418" s="10"/>
      <c r="D418" s="18"/>
      <c r="E418" s="10"/>
      <c r="F418" s="18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customFormat="false" ht="43.5" hidden="false" customHeight="true" outlineLevel="0" collapsed="false">
      <c r="A419" s="17"/>
      <c r="B419" s="18"/>
      <c r="C419" s="10"/>
      <c r="D419" s="18"/>
      <c r="E419" s="10"/>
      <c r="F419" s="18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customFormat="false" ht="43.5" hidden="false" customHeight="true" outlineLevel="0" collapsed="false">
      <c r="A420" s="17"/>
      <c r="B420" s="18"/>
      <c r="C420" s="10"/>
      <c r="D420" s="18"/>
      <c r="E420" s="10"/>
      <c r="F420" s="18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customFormat="false" ht="43.5" hidden="false" customHeight="true" outlineLevel="0" collapsed="false">
      <c r="A421" s="17"/>
      <c r="B421" s="18"/>
      <c r="C421" s="10"/>
      <c r="D421" s="18"/>
      <c r="E421" s="10"/>
      <c r="F421" s="18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customFormat="false" ht="43.5" hidden="false" customHeight="true" outlineLevel="0" collapsed="false">
      <c r="A422" s="17"/>
      <c r="B422" s="18"/>
      <c r="C422" s="10"/>
      <c r="D422" s="18"/>
      <c r="E422" s="10"/>
      <c r="F422" s="18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customFormat="false" ht="43.5" hidden="false" customHeight="true" outlineLevel="0" collapsed="false">
      <c r="A423" s="17"/>
      <c r="B423" s="18"/>
      <c r="C423" s="10"/>
      <c r="D423" s="18"/>
      <c r="E423" s="10"/>
      <c r="F423" s="18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customFormat="false" ht="43.5" hidden="false" customHeight="true" outlineLevel="0" collapsed="false">
      <c r="A424" s="17"/>
      <c r="B424" s="18"/>
      <c r="C424" s="10"/>
      <c r="D424" s="18"/>
      <c r="E424" s="10"/>
      <c r="F424" s="18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customFormat="false" ht="43.5" hidden="false" customHeight="true" outlineLevel="0" collapsed="false">
      <c r="A425" s="17"/>
      <c r="B425" s="18"/>
      <c r="C425" s="10"/>
      <c r="D425" s="18"/>
      <c r="E425" s="10"/>
      <c r="F425" s="18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customFormat="false" ht="43.5" hidden="false" customHeight="true" outlineLevel="0" collapsed="false">
      <c r="A426" s="17"/>
      <c r="B426" s="18"/>
      <c r="C426" s="10"/>
      <c r="D426" s="18"/>
      <c r="E426" s="10"/>
      <c r="F426" s="18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customFormat="false" ht="43.5" hidden="false" customHeight="true" outlineLevel="0" collapsed="false">
      <c r="A427" s="17"/>
      <c r="B427" s="18"/>
      <c r="C427" s="10"/>
      <c r="D427" s="18"/>
      <c r="E427" s="10"/>
      <c r="F427" s="18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customFormat="false" ht="43.5" hidden="false" customHeight="true" outlineLevel="0" collapsed="false">
      <c r="A428" s="17"/>
      <c r="B428" s="18"/>
      <c r="C428" s="10"/>
      <c r="D428" s="18"/>
      <c r="E428" s="10"/>
      <c r="F428" s="18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customFormat="false" ht="43.5" hidden="false" customHeight="true" outlineLevel="0" collapsed="false">
      <c r="A429" s="17"/>
      <c r="B429" s="18"/>
      <c r="C429" s="10"/>
      <c r="D429" s="18"/>
      <c r="E429" s="10"/>
      <c r="F429" s="18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customFormat="false" ht="43.5" hidden="false" customHeight="true" outlineLevel="0" collapsed="false">
      <c r="A430" s="17"/>
      <c r="B430" s="18"/>
      <c r="C430" s="10"/>
      <c r="D430" s="18"/>
      <c r="E430" s="10"/>
      <c r="F430" s="18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customFormat="false" ht="43.5" hidden="false" customHeight="true" outlineLevel="0" collapsed="false">
      <c r="A431" s="17"/>
      <c r="B431" s="18"/>
      <c r="C431" s="10"/>
      <c r="D431" s="18"/>
      <c r="E431" s="10"/>
      <c r="F431" s="18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customFormat="false" ht="43.5" hidden="false" customHeight="true" outlineLevel="0" collapsed="false">
      <c r="A432" s="17"/>
      <c r="B432" s="18"/>
      <c r="C432" s="10"/>
      <c r="D432" s="18"/>
      <c r="E432" s="10"/>
      <c r="F432" s="18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customFormat="false" ht="43.5" hidden="false" customHeight="true" outlineLevel="0" collapsed="false">
      <c r="A433" s="17"/>
      <c r="B433" s="18"/>
      <c r="C433" s="10"/>
      <c r="D433" s="18"/>
      <c r="E433" s="10"/>
      <c r="F433" s="18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customFormat="false" ht="43.5" hidden="false" customHeight="true" outlineLevel="0" collapsed="false">
      <c r="A434" s="17"/>
      <c r="B434" s="18"/>
      <c r="C434" s="10"/>
      <c r="D434" s="18"/>
      <c r="E434" s="10"/>
      <c r="F434" s="18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customFormat="false" ht="43.5" hidden="false" customHeight="true" outlineLevel="0" collapsed="false">
      <c r="A435" s="17"/>
      <c r="B435" s="18"/>
      <c r="C435" s="10"/>
      <c r="D435" s="18"/>
      <c r="E435" s="10"/>
      <c r="F435" s="18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customFormat="false" ht="43.5" hidden="false" customHeight="true" outlineLevel="0" collapsed="false">
      <c r="A436" s="17"/>
      <c r="B436" s="18"/>
      <c r="C436" s="10"/>
      <c r="D436" s="18"/>
      <c r="E436" s="10"/>
      <c r="F436" s="18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customFormat="false" ht="43.5" hidden="false" customHeight="true" outlineLevel="0" collapsed="false">
      <c r="A437" s="17"/>
      <c r="B437" s="18"/>
      <c r="C437" s="10"/>
      <c r="D437" s="18"/>
      <c r="E437" s="10"/>
      <c r="F437" s="18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customFormat="false" ht="43.5" hidden="false" customHeight="true" outlineLevel="0" collapsed="false">
      <c r="A438" s="17"/>
      <c r="B438" s="18"/>
      <c r="C438" s="10"/>
      <c r="D438" s="18"/>
      <c r="E438" s="10"/>
      <c r="F438" s="18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customFormat="false" ht="43.5" hidden="false" customHeight="true" outlineLevel="0" collapsed="false">
      <c r="A439" s="17"/>
      <c r="B439" s="18"/>
      <c r="C439" s="10"/>
      <c r="D439" s="18"/>
      <c r="E439" s="10"/>
      <c r="F439" s="18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customFormat="false" ht="43.5" hidden="false" customHeight="true" outlineLevel="0" collapsed="false">
      <c r="A440" s="17"/>
      <c r="B440" s="18"/>
      <c r="C440" s="10"/>
      <c r="D440" s="18"/>
      <c r="E440" s="10"/>
      <c r="F440" s="18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customFormat="false" ht="43.5" hidden="false" customHeight="true" outlineLevel="0" collapsed="false">
      <c r="A441" s="17"/>
      <c r="B441" s="18"/>
      <c r="C441" s="10"/>
      <c r="D441" s="18"/>
      <c r="E441" s="10"/>
      <c r="F441" s="18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customFormat="false" ht="43.5" hidden="false" customHeight="true" outlineLevel="0" collapsed="false">
      <c r="A442" s="17"/>
      <c r="B442" s="18"/>
      <c r="C442" s="10"/>
      <c r="D442" s="18"/>
      <c r="E442" s="10"/>
      <c r="F442" s="18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customFormat="false" ht="43.5" hidden="false" customHeight="true" outlineLevel="0" collapsed="false">
      <c r="A443" s="17"/>
      <c r="B443" s="18"/>
      <c r="C443" s="10"/>
      <c r="D443" s="18"/>
      <c r="E443" s="10"/>
      <c r="F443" s="18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customFormat="false" ht="43.5" hidden="false" customHeight="true" outlineLevel="0" collapsed="false">
      <c r="A444" s="17"/>
      <c r="B444" s="18"/>
      <c r="C444" s="10"/>
      <c r="D444" s="18"/>
      <c r="E444" s="10"/>
      <c r="F444" s="18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customFormat="false" ht="43.5" hidden="false" customHeight="true" outlineLevel="0" collapsed="false">
      <c r="A445" s="17"/>
      <c r="B445" s="18"/>
      <c r="C445" s="10"/>
      <c r="D445" s="18"/>
      <c r="E445" s="10"/>
      <c r="F445" s="18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customFormat="false" ht="43.5" hidden="false" customHeight="true" outlineLevel="0" collapsed="false">
      <c r="A446" s="17"/>
      <c r="B446" s="18"/>
      <c r="C446" s="10"/>
      <c r="D446" s="18"/>
      <c r="E446" s="10"/>
      <c r="F446" s="18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customFormat="false" ht="43.5" hidden="false" customHeight="true" outlineLevel="0" collapsed="false">
      <c r="A447" s="17"/>
      <c r="B447" s="18"/>
      <c r="C447" s="10"/>
      <c r="D447" s="18"/>
      <c r="E447" s="10"/>
      <c r="F447" s="18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customFormat="false" ht="43.5" hidden="false" customHeight="true" outlineLevel="0" collapsed="false">
      <c r="A448" s="17"/>
      <c r="B448" s="18"/>
      <c r="C448" s="10"/>
      <c r="D448" s="18"/>
      <c r="E448" s="10"/>
      <c r="F448" s="18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customFormat="false" ht="43.5" hidden="false" customHeight="true" outlineLevel="0" collapsed="false">
      <c r="A449" s="17"/>
      <c r="B449" s="18"/>
      <c r="C449" s="10"/>
      <c r="D449" s="18"/>
      <c r="E449" s="10"/>
      <c r="F449" s="18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customFormat="false" ht="43.5" hidden="false" customHeight="true" outlineLevel="0" collapsed="false">
      <c r="A450" s="17"/>
      <c r="B450" s="18"/>
      <c r="C450" s="10"/>
      <c r="D450" s="18"/>
      <c r="E450" s="10"/>
      <c r="F450" s="18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customFormat="false" ht="43.5" hidden="false" customHeight="true" outlineLevel="0" collapsed="false">
      <c r="A451" s="17"/>
      <c r="B451" s="18"/>
      <c r="C451" s="10"/>
      <c r="D451" s="18"/>
      <c r="E451" s="10"/>
      <c r="F451" s="18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customFormat="false" ht="43.5" hidden="false" customHeight="true" outlineLevel="0" collapsed="false">
      <c r="A452" s="17"/>
      <c r="B452" s="18"/>
      <c r="C452" s="10"/>
      <c r="D452" s="18"/>
      <c r="E452" s="10"/>
      <c r="F452" s="18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customFormat="false" ht="43.5" hidden="false" customHeight="true" outlineLevel="0" collapsed="false">
      <c r="A453" s="17"/>
      <c r="B453" s="18"/>
      <c r="C453" s="10"/>
      <c r="D453" s="18"/>
      <c r="E453" s="10"/>
      <c r="F453" s="18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customFormat="false" ht="43.5" hidden="false" customHeight="true" outlineLevel="0" collapsed="false">
      <c r="A454" s="17"/>
      <c r="B454" s="18"/>
      <c r="C454" s="10"/>
      <c r="D454" s="18"/>
      <c r="E454" s="10"/>
      <c r="F454" s="18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customFormat="false" ht="43.5" hidden="false" customHeight="true" outlineLevel="0" collapsed="false">
      <c r="A455" s="17"/>
      <c r="B455" s="18"/>
      <c r="C455" s="10"/>
      <c r="D455" s="18"/>
      <c r="E455" s="10"/>
      <c r="F455" s="18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customFormat="false" ht="43.5" hidden="false" customHeight="true" outlineLevel="0" collapsed="false">
      <c r="A456" s="17"/>
      <c r="B456" s="18"/>
      <c r="C456" s="10"/>
      <c r="D456" s="18"/>
      <c r="E456" s="10"/>
      <c r="F456" s="18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customFormat="false" ht="43.5" hidden="false" customHeight="true" outlineLevel="0" collapsed="false">
      <c r="A457" s="17"/>
      <c r="B457" s="18"/>
      <c r="C457" s="10"/>
      <c r="D457" s="18"/>
      <c r="E457" s="10"/>
      <c r="F457" s="18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customFormat="false" ht="43.5" hidden="false" customHeight="true" outlineLevel="0" collapsed="false">
      <c r="A458" s="17"/>
      <c r="B458" s="18"/>
      <c r="C458" s="10"/>
      <c r="D458" s="18"/>
      <c r="E458" s="10"/>
      <c r="F458" s="18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customFormat="false" ht="43.5" hidden="false" customHeight="true" outlineLevel="0" collapsed="false">
      <c r="A459" s="17"/>
      <c r="B459" s="18"/>
      <c r="C459" s="10"/>
      <c r="D459" s="18"/>
      <c r="E459" s="10"/>
      <c r="F459" s="18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customFormat="false" ht="43.5" hidden="false" customHeight="true" outlineLevel="0" collapsed="false">
      <c r="A460" s="17"/>
      <c r="B460" s="18"/>
      <c r="C460" s="10"/>
      <c r="D460" s="18"/>
      <c r="E460" s="10"/>
      <c r="F460" s="18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customFormat="false" ht="43.5" hidden="false" customHeight="true" outlineLevel="0" collapsed="false">
      <c r="A461" s="17"/>
      <c r="B461" s="18"/>
      <c r="C461" s="10"/>
      <c r="D461" s="18"/>
      <c r="E461" s="10"/>
      <c r="F461" s="18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customFormat="false" ht="43.5" hidden="false" customHeight="true" outlineLevel="0" collapsed="false">
      <c r="A462" s="17"/>
      <c r="B462" s="18"/>
      <c r="C462" s="10"/>
      <c r="D462" s="18"/>
      <c r="E462" s="10"/>
      <c r="F462" s="18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customFormat="false" ht="43.5" hidden="false" customHeight="true" outlineLevel="0" collapsed="false">
      <c r="A463" s="17"/>
      <c r="B463" s="18"/>
      <c r="C463" s="10"/>
      <c r="D463" s="18"/>
      <c r="E463" s="10"/>
      <c r="F463" s="18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customFormat="false" ht="43.5" hidden="false" customHeight="true" outlineLevel="0" collapsed="false">
      <c r="A464" s="17"/>
      <c r="B464" s="18"/>
      <c r="C464" s="10"/>
      <c r="D464" s="18"/>
      <c r="E464" s="10"/>
      <c r="F464" s="18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customFormat="false" ht="43.5" hidden="false" customHeight="true" outlineLevel="0" collapsed="false">
      <c r="A465" s="17"/>
      <c r="B465" s="18"/>
      <c r="C465" s="10"/>
      <c r="D465" s="18"/>
      <c r="E465" s="10"/>
      <c r="F465" s="18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customFormat="false" ht="43.5" hidden="false" customHeight="true" outlineLevel="0" collapsed="false">
      <c r="A466" s="17"/>
      <c r="B466" s="18"/>
      <c r="C466" s="10"/>
      <c r="D466" s="18"/>
      <c r="E466" s="10"/>
      <c r="F466" s="18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customFormat="false" ht="43.5" hidden="false" customHeight="true" outlineLevel="0" collapsed="false">
      <c r="A467" s="17"/>
      <c r="B467" s="18"/>
      <c r="C467" s="10"/>
      <c r="D467" s="18"/>
      <c r="E467" s="10"/>
      <c r="F467" s="18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customFormat="false" ht="43.5" hidden="false" customHeight="true" outlineLevel="0" collapsed="false">
      <c r="A468" s="17"/>
      <c r="B468" s="18"/>
      <c r="C468" s="10"/>
      <c r="D468" s="18"/>
      <c r="E468" s="10"/>
      <c r="F468" s="18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customFormat="false" ht="43.5" hidden="false" customHeight="true" outlineLevel="0" collapsed="false">
      <c r="A469" s="17"/>
      <c r="B469" s="18"/>
      <c r="C469" s="10"/>
      <c r="D469" s="18"/>
      <c r="E469" s="10"/>
      <c r="F469" s="18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customFormat="false" ht="43.5" hidden="false" customHeight="true" outlineLevel="0" collapsed="false">
      <c r="A470" s="17"/>
      <c r="B470" s="18"/>
      <c r="C470" s="10"/>
      <c r="D470" s="18"/>
      <c r="E470" s="10"/>
      <c r="F470" s="18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customFormat="false" ht="43.5" hidden="false" customHeight="true" outlineLevel="0" collapsed="false">
      <c r="A471" s="17"/>
      <c r="B471" s="18"/>
      <c r="C471" s="10"/>
      <c r="D471" s="18"/>
      <c r="E471" s="10"/>
      <c r="F471" s="18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customFormat="false" ht="43.5" hidden="false" customHeight="true" outlineLevel="0" collapsed="false">
      <c r="A472" s="17"/>
      <c r="B472" s="18"/>
      <c r="C472" s="10"/>
      <c r="D472" s="18"/>
      <c r="E472" s="10"/>
      <c r="F472" s="18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customFormat="false" ht="43.5" hidden="false" customHeight="true" outlineLevel="0" collapsed="false">
      <c r="A473" s="17"/>
      <c r="B473" s="18"/>
      <c r="C473" s="10"/>
      <c r="D473" s="18"/>
      <c r="E473" s="10"/>
      <c r="F473" s="18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customFormat="false" ht="43.5" hidden="false" customHeight="true" outlineLevel="0" collapsed="false">
      <c r="A474" s="17"/>
      <c r="B474" s="18"/>
      <c r="C474" s="10"/>
      <c r="D474" s="18"/>
      <c r="E474" s="10"/>
      <c r="F474" s="18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customFormat="false" ht="43.5" hidden="false" customHeight="true" outlineLevel="0" collapsed="false">
      <c r="A475" s="17"/>
      <c r="B475" s="18"/>
      <c r="C475" s="10"/>
      <c r="D475" s="18"/>
      <c r="E475" s="10"/>
      <c r="F475" s="18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customFormat="false" ht="43.5" hidden="false" customHeight="true" outlineLevel="0" collapsed="false">
      <c r="A476" s="17"/>
      <c r="B476" s="18"/>
      <c r="C476" s="10"/>
      <c r="D476" s="18"/>
      <c r="E476" s="10"/>
      <c r="F476" s="18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customFormat="false" ht="43.5" hidden="false" customHeight="true" outlineLevel="0" collapsed="false">
      <c r="A477" s="17"/>
      <c r="B477" s="18"/>
      <c r="C477" s="10"/>
      <c r="D477" s="18"/>
      <c r="E477" s="10"/>
      <c r="F477" s="18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customFormat="false" ht="43.5" hidden="false" customHeight="true" outlineLevel="0" collapsed="false">
      <c r="A478" s="17"/>
      <c r="B478" s="18"/>
      <c r="C478" s="10"/>
      <c r="D478" s="18"/>
      <c r="E478" s="10"/>
      <c r="F478" s="18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customFormat="false" ht="43.5" hidden="false" customHeight="true" outlineLevel="0" collapsed="false">
      <c r="A479" s="17"/>
      <c r="B479" s="18"/>
      <c r="C479" s="10"/>
      <c r="D479" s="18"/>
      <c r="E479" s="10"/>
      <c r="F479" s="18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customFormat="false" ht="43.5" hidden="false" customHeight="true" outlineLevel="0" collapsed="false">
      <c r="A480" s="17"/>
      <c r="B480" s="18"/>
      <c r="C480" s="10"/>
      <c r="D480" s="18"/>
      <c r="E480" s="10"/>
      <c r="F480" s="18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customFormat="false" ht="43.5" hidden="false" customHeight="true" outlineLevel="0" collapsed="false">
      <c r="A481" s="17"/>
      <c r="B481" s="18"/>
      <c r="C481" s="10"/>
      <c r="D481" s="18"/>
      <c r="E481" s="10"/>
      <c r="F481" s="18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customFormat="false" ht="43.5" hidden="false" customHeight="true" outlineLevel="0" collapsed="false">
      <c r="A482" s="17"/>
      <c r="B482" s="18"/>
      <c r="C482" s="10"/>
      <c r="D482" s="18"/>
      <c r="E482" s="10"/>
      <c r="F482" s="18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customFormat="false" ht="43.5" hidden="false" customHeight="true" outlineLevel="0" collapsed="false">
      <c r="A483" s="17"/>
      <c r="B483" s="18"/>
      <c r="C483" s="10"/>
      <c r="D483" s="18"/>
      <c r="E483" s="10"/>
      <c r="F483" s="18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customFormat="false" ht="43.5" hidden="false" customHeight="true" outlineLevel="0" collapsed="false">
      <c r="A484" s="17"/>
      <c r="B484" s="18"/>
      <c r="C484" s="10"/>
      <c r="D484" s="18"/>
      <c r="E484" s="10"/>
      <c r="F484" s="18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customFormat="false" ht="43.5" hidden="false" customHeight="true" outlineLevel="0" collapsed="false">
      <c r="A485" s="17"/>
      <c r="B485" s="18"/>
      <c r="C485" s="10"/>
      <c r="D485" s="18"/>
      <c r="E485" s="10"/>
      <c r="F485" s="18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customFormat="false" ht="43.5" hidden="false" customHeight="true" outlineLevel="0" collapsed="false">
      <c r="A486" s="17"/>
      <c r="B486" s="18"/>
      <c r="C486" s="10"/>
      <c r="D486" s="18"/>
      <c r="E486" s="10"/>
      <c r="F486" s="18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customFormat="false" ht="43.5" hidden="false" customHeight="true" outlineLevel="0" collapsed="false">
      <c r="A487" s="17"/>
      <c r="B487" s="18"/>
      <c r="C487" s="10"/>
      <c r="D487" s="18"/>
      <c r="E487" s="10"/>
      <c r="F487" s="18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customFormat="false" ht="43.5" hidden="false" customHeight="true" outlineLevel="0" collapsed="false">
      <c r="A488" s="17"/>
      <c r="B488" s="18"/>
      <c r="C488" s="10"/>
      <c r="D488" s="18"/>
      <c r="E488" s="10"/>
      <c r="F488" s="18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customFormat="false" ht="43.5" hidden="false" customHeight="true" outlineLevel="0" collapsed="false">
      <c r="A489" s="17"/>
      <c r="B489" s="18"/>
      <c r="C489" s="10"/>
      <c r="D489" s="18"/>
      <c r="E489" s="10"/>
      <c r="F489" s="18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customFormat="false" ht="43.5" hidden="false" customHeight="true" outlineLevel="0" collapsed="false">
      <c r="A490" s="17"/>
      <c r="B490" s="18"/>
      <c r="C490" s="10"/>
      <c r="D490" s="18"/>
      <c r="E490" s="10"/>
      <c r="F490" s="18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customFormat="false" ht="43.5" hidden="false" customHeight="true" outlineLevel="0" collapsed="false">
      <c r="A491" s="17"/>
      <c r="B491" s="18"/>
      <c r="C491" s="10"/>
      <c r="D491" s="18"/>
      <c r="E491" s="10"/>
      <c r="F491" s="18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customFormat="false" ht="43.5" hidden="false" customHeight="true" outlineLevel="0" collapsed="false">
      <c r="A492" s="17"/>
      <c r="B492" s="18"/>
      <c r="C492" s="10"/>
      <c r="D492" s="18"/>
      <c r="E492" s="10"/>
      <c r="F492" s="18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customFormat="false" ht="43.5" hidden="false" customHeight="true" outlineLevel="0" collapsed="false">
      <c r="A493" s="17"/>
      <c r="B493" s="18"/>
      <c r="C493" s="10"/>
      <c r="D493" s="18"/>
      <c r="E493" s="10"/>
      <c r="F493" s="18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customFormat="false" ht="43.5" hidden="false" customHeight="true" outlineLevel="0" collapsed="false">
      <c r="A494" s="17"/>
      <c r="B494" s="18"/>
      <c r="C494" s="10"/>
      <c r="D494" s="18"/>
      <c r="E494" s="10"/>
      <c r="F494" s="18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customFormat="false" ht="43.5" hidden="false" customHeight="true" outlineLevel="0" collapsed="false">
      <c r="A495" s="17"/>
      <c r="B495" s="18"/>
      <c r="C495" s="10"/>
      <c r="D495" s="18"/>
      <c r="E495" s="10"/>
      <c r="F495" s="18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customFormat="false" ht="43.5" hidden="false" customHeight="true" outlineLevel="0" collapsed="false">
      <c r="A496" s="17"/>
      <c r="B496" s="18"/>
      <c r="C496" s="10"/>
      <c r="D496" s="18"/>
      <c r="E496" s="10"/>
      <c r="F496" s="18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customFormat="false" ht="43.5" hidden="false" customHeight="true" outlineLevel="0" collapsed="false">
      <c r="A497" s="17"/>
      <c r="B497" s="18"/>
      <c r="C497" s="10"/>
      <c r="D497" s="18"/>
      <c r="E497" s="10"/>
      <c r="F497" s="18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customFormat="false" ht="43.5" hidden="false" customHeight="true" outlineLevel="0" collapsed="false">
      <c r="A498" s="17"/>
      <c r="B498" s="18"/>
      <c r="C498" s="10"/>
      <c r="D498" s="18"/>
      <c r="E498" s="10"/>
      <c r="F498" s="18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customFormat="false" ht="43.5" hidden="false" customHeight="true" outlineLevel="0" collapsed="false">
      <c r="A499" s="17"/>
      <c r="B499" s="18"/>
      <c r="C499" s="10"/>
      <c r="D499" s="18"/>
      <c r="E499" s="10"/>
      <c r="F499" s="18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customFormat="false" ht="43.5" hidden="false" customHeight="true" outlineLevel="0" collapsed="false">
      <c r="A500" s="17"/>
      <c r="B500" s="18"/>
      <c r="C500" s="10"/>
      <c r="D500" s="18"/>
      <c r="E500" s="10"/>
      <c r="F500" s="18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customFormat="false" ht="43.5" hidden="false" customHeight="true" outlineLevel="0" collapsed="false">
      <c r="A501" s="17"/>
      <c r="B501" s="18"/>
      <c r="C501" s="10"/>
      <c r="D501" s="18"/>
      <c r="E501" s="10"/>
      <c r="F501" s="18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customFormat="false" ht="43.5" hidden="false" customHeight="true" outlineLevel="0" collapsed="false">
      <c r="A502" s="17"/>
      <c r="B502" s="18"/>
      <c r="C502" s="10"/>
      <c r="D502" s="18"/>
      <c r="E502" s="10"/>
      <c r="F502" s="18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customFormat="false" ht="43.5" hidden="false" customHeight="true" outlineLevel="0" collapsed="false">
      <c r="A503" s="17"/>
      <c r="B503" s="18"/>
      <c r="C503" s="10"/>
      <c r="D503" s="18"/>
      <c r="E503" s="10"/>
      <c r="F503" s="18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customFormat="false" ht="43.5" hidden="false" customHeight="true" outlineLevel="0" collapsed="false">
      <c r="A504" s="17"/>
      <c r="B504" s="18"/>
      <c r="C504" s="10"/>
      <c r="D504" s="18"/>
      <c r="E504" s="10"/>
      <c r="F504" s="18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customFormat="false" ht="43.5" hidden="false" customHeight="true" outlineLevel="0" collapsed="false">
      <c r="A505" s="17"/>
      <c r="B505" s="18"/>
      <c r="C505" s="10"/>
      <c r="D505" s="18"/>
      <c r="E505" s="10"/>
      <c r="F505" s="18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customFormat="false" ht="43.5" hidden="false" customHeight="true" outlineLevel="0" collapsed="false">
      <c r="A506" s="17"/>
      <c r="B506" s="18"/>
      <c r="C506" s="10"/>
      <c r="D506" s="18"/>
      <c r="E506" s="10"/>
      <c r="F506" s="18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customFormat="false" ht="43.5" hidden="false" customHeight="true" outlineLevel="0" collapsed="false">
      <c r="A507" s="17"/>
      <c r="B507" s="18"/>
      <c r="C507" s="10"/>
      <c r="D507" s="18"/>
      <c r="E507" s="10"/>
      <c r="F507" s="18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customFormat="false" ht="43.5" hidden="false" customHeight="true" outlineLevel="0" collapsed="false">
      <c r="A508" s="17"/>
      <c r="B508" s="18"/>
      <c r="C508" s="10"/>
      <c r="D508" s="18"/>
      <c r="E508" s="10"/>
      <c r="F508" s="18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customFormat="false" ht="43.5" hidden="false" customHeight="true" outlineLevel="0" collapsed="false">
      <c r="A509" s="17"/>
      <c r="B509" s="18"/>
      <c r="C509" s="10"/>
      <c r="D509" s="18"/>
      <c r="E509" s="10"/>
      <c r="F509" s="18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customFormat="false" ht="43.5" hidden="false" customHeight="true" outlineLevel="0" collapsed="false">
      <c r="A510" s="17"/>
      <c r="B510" s="18"/>
      <c r="C510" s="10"/>
      <c r="D510" s="18"/>
      <c r="E510" s="10"/>
      <c r="F510" s="18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customFormat="false" ht="43.5" hidden="false" customHeight="true" outlineLevel="0" collapsed="false">
      <c r="A511" s="17"/>
      <c r="B511" s="18"/>
      <c r="C511" s="10"/>
      <c r="D511" s="18"/>
      <c r="E511" s="10"/>
      <c r="F511" s="18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customFormat="false" ht="43.5" hidden="false" customHeight="true" outlineLevel="0" collapsed="false">
      <c r="A512" s="17"/>
      <c r="B512" s="18"/>
      <c r="C512" s="10"/>
      <c r="D512" s="18"/>
      <c r="E512" s="10"/>
      <c r="F512" s="18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customFormat="false" ht="43.5" hidden="false" customHeight="true" outlineLevel="0" collapsed="false">
      <c r="A513" s="17"/>
      <c r="B513" s="18"/>
      <c r="C513" s="10"/>
      <c r="D513" s="18"/>
      <c r="E513" s="10"/>
      <c r="F513" s="18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customFormat="false" ht="43.5" hidden="false" customHeight="true" outlineLevel="0" collapsed="false">
      <c r="A514" s="17"/>
      <c r="B514" s="18"/>
      <c r="C514" s="10"/>
      <c r="D514" s="18"/>
      <c r="E514" s="10"/>
      <c r="F514" s="18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customFormat="false" ht="43.5" hidden="false" customHeight="true" outlineLevel="0" collapsed="false">
      <c r="A515" s="17"/>
      <c r="B515" s="18"/>
      <c r="C515" s="10"/>
      <c r="D515" s="18"/>
      <c r="E515" s="10"/>
      <c r="F515" s="18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customFormat="false" ht="43.5" hidden="false" customHeight="true" outlineLevel="0" collapsed="false">
      <c r="A516" s="17"/>
      <c r="B516" s="18"/>
      <c r="C516" s="10"/>
      <c r="D516" s="18"/>
      <c r="E516" s="10"/>
      <c r="F516" s="18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customFormat="false" ht="43.5" hidden="false" customHeight="true" outlineLevel="0" collapsed="false">
      <c r="A517" s="17"/>
      <c r="B517" s="18"/>
      <c r="C517" s="10"/>
      <c r="D517" s="18"/>
      <c r="E517" s="10"/>
      <c r="F517" s="18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customFormat="false" ht="43.5" hidden="false" customHeight="true" outlineLevel="0" collapsed="false">
      <c r="A518" s="17"/>
      <c r="B518" s="18"/>
      <c r="C518" s="10"/>
      <c r="D518" s="18"/>
      <c r="E518" s="10"/>
      <c r="F518" s="18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customFormat="false" ht="43.5" hidden="false" customHeight="true" outlineLevel="0" collapsed="false">
      <c r="A519" s="17"/>
      <c r="B519" s="18"/>
      <c r="C519" s="10"/>
      <c r="D519" s="18"/>
      <c r="E519" s="10"/>
      <c r="F519" s="18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customFormat="false" ht="43.5" hidden="false" customHeight="true" outlineLevel="0" collapsed="false">
      <c r="A520" s="17"/>
      <c r="B520" s="18"/>
      <c r="C520" s="10"/>
      <c r="D520" s="18"/>
      <c r="E520" s="10"/>
      <c r="F520" s="18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customFormat="false" ht="43.5" hidden="false" customHeight="true" outlineLevel="0" collapsed="false">
      <c r="A521" s="17"/>
      <c r="B521" s="18"/>
      <c r="C521" s="10"/>
      <c r="D521" s="18"/>
      <c r="E521" s="10"/>
      <c r="F521" s="18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customFormat="false" ht="43.5" hidden="false" customHeight="true" outlineLevel="0" collapsed="false">
      <c r="A522" s="17"/>
      <c r="B522" s="18"/>
      <c r="C522" s="10"/>
      <c r="D522" s="18"/>
      <c r="E522" s="10"/>
      <c r="F522" s="18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customFormat="false" ht="43.5" hidden="false" customHeight="true" outlineLevel="0" collapsed="false">
      <c r="A523" s="17"/>
      <c r="B523" s="18"/>
      <c r="C523" s="10"/>
      <c r="D523" s="18"/>
      <c r="E523" s="10"/>
      <c r="F523" s="18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customFormat="false" ht="43.5" hidden="false" customHeight="true" outlineLevel="0" collapsed="false">
      <c r="A524" s="17"/>
      <c r="B524" s="18"/>
      <c r="C524" s="10"/>
      <c r="D524" s="18"/>
      <c r="E524" s="10"/>
      <c r="F524" s="18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customFormat="false" ht="43.5" hidden="false" customHeight="true" outlineLevel="0" collapsed="false">
      <c r="A525" s="17"/>
      <c r="B525" s="18"/>
      <c r="C525" s="10"/>
      <c r="D525" s="18"/>
      <c r="E525" s="10"/>
      <c r="F525" s="18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customFormat="false" ht="43.5" hidden="false" customHeight="true" outlineLevel="0" collapsed="false">
      <c r="A526" s="17"/>
      <c r="B526" s="18"/>
      <c r="C526" s="10"/>
      <c r="D526" s="18"/>
      <c r="E526" s="10"/>
      <c r="F526" s="18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customFormat="false" ht="43.5" hidden="false" customHeight="true" outlineLevel="0" collapsed="false">
      <c r="A527" s="17"/>
      <c r="B527" s="18"/>
      <c r="C527" s="10"/>
      <c r="D527" s="18"/>
      <c r="E527" s="10"/>
      <c r="F527" s="18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customFormat="false" ht="43.5" hidden="false" customHeight="true" outlineLevel="0" collapsed="false">
      <c r="A528" s="17"/>
      <c r="B528" s="18"/>
      <c r="C528" s="10"/>
      <c r="D528" s="18"/>
      <c r="E528" s="10"/>
      <c r="F528" s="18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customFormat="false" ht="43.5" hidden="false" customHeight="true" outlineLevel="0" collapsed="false">
      <c r="A529" s="17"/>
      <c r="B529" s="18"/>
      <c r="C529" s="10"/>
      <c r="D529" s="18"/>
      <c r="E529" s="10"/>
      <c r="F529" s="18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customFormat="false" ht="43.5" hidden="false" customHeight="true" outlineLevel="0" collapsed="false">
      <c r="A530" s="17"/>
      <c r="B530" s="18"/>
      <c r="C530" s="10"/>
      <c r="D530" s="18"/>
      <c r="E530" s="10"/>
      <c r="F530" s="18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customFormat="false" ht="43.5" hidden="false" customHeight="true" outlineLevel="0" collapsed="false">
      <c r="A531" s="17"/>
      <c r="B531" s="18"/>
      <c r="C531" s="10"/>
      <c r="D531" s="18"/>
      <c r="E531" s="10"/>
      <c r="F531" s="18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customFormat="false" ht="43.5" hidden="false" customHeight="true" outlineLevel="0" collapsed="false">
      <c r="A532" s="17"/>
      <c r="B532" s="18"/>
      <c r="C532" s="10"/>
      <c r="D532" s="18"/>
      <c r="E532" s="10"/>
      <c r="F532" s="18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customFormat="false" ht="43.5" hidden="false" customHeight="true" outlineLevel="0" collapsed="false">
      <c r="A533" s="17"/>
      <c r="B533" s="18"/>
      <c r="C533" s="10"/>
      <c r="D533" s="18"/>
      <c r="E533" s="10"/>
      <c r="F533" s="18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customFormat="false" ht="43.5" hidden="false" customHeight="true" outlineLevel="0" collapsed="false">
      <c r="A534" s="17"/>
      <c r="B534" s="18"/>
      <c r="C534" s="10"/>
      <c r="D534" s="18"/>
      <c r="E534" s="10"/>
      <c r="F534" s="18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customFormat="false" ht="43.5" hidden="false" customHeight="true" outlineLevel="0" collapsed="false">
      <c r="A535" s="17"/>
      <c r="B535" s="18"/>
      <c r="C535" s="10"/>
      <c r="D535" s="18"/>
      <c r="E535" s="10"/>
      <c r="F535" s="18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customFormat="false" ht="43.5" hidden="false" customHeight="true" outlineLevel="0" collapsed="false">
      <c r="A536" s="17"/>
      <c r="B536" s="18"/>
      <c r="C536" s="10"/>
      <c r="D536" s="18"/>
      <c r="E536" s="10"/>
      <c r="F536" s="18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customFormat="false" ht="43.5" hidden="false" customHeight="true" outlineLevel="0" collapsed="false">
      <c r="A537" s="17"/>
      <c r="B537" s="18"/>
      <c r="C537" s="10"/>
      <c r="D537" s="18"/>
      <c r="E537" s="10"/>
      <c r="F537" s="18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customFormat="false" ht="43.5" hidden="false" customHeight="true" outlineLevel="0" collapsed="false">
      <c r="A538" s="17"/>
      <c r="B538" s="18"/>
      <c r="C538" s="10"/>
      <c r="D538" s="18"/>
      <c r="E538" s="10"/>
      <c r="F538" s="18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customFormat="false" ht="43.5" hidden="false" customHeight="true" outlineLevel="0" collapsed="false">
      <c r="A539" s="17"/>
      <c r="B539" s="18"/>
      <c r="C539" s="10"/>
      <c r="D539" s="18"/>
      <c r="E539" s="10"/>
      <c r="F539" s="18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customFormat="false" ht="43.5" hidden="false" customHeight="true" outlineLevel="0" collapsed="false">
      <c r="A540" s="17"/>
      <c r="B540" s="18"/>
      <c r="C540" s="10"/>
      <c r="D540" s="18"/>
      <c r="E540" s="10"/>
      <c r="F540" s="18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customFormat="false" ht="43.5" hidden="false" customHeight="true" outlineLevel="0" collapsed="false">
      <c r="A541" s="17"/>
      <c r="B541" s="18"/>
      <c r="C541" s="10"/>
      <c r="D541" s="18"/>
      <c r="E541" s="10"/>
      <c r="F541" s="18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customFormat="false" ht="43.5" hidden="false" customHeight="true" outlineLevel="0" collapsed="false">
      <c r="A542" s="17"/>
      <c r="B542" s="18"/>
      <c r="C542" s="10"/>
      <c r="D542" s="18"/>
      <c r="E542" s="10"/>
      <c r="F542" s="18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customFormat="false" ht="43.5" hidden="false" customHeight="true" outlineLevel="0" collapsed="false">
      <c r="A543" s="17"/>
      <c r="B543" s="18"/>
      <c r="C543" s="10"/>
      <c r="D543" s="18"/>
      <c r="E543" s="10"/>
      <c r="F543" s="18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customFormat="false" ht="43.5" hidden="false" customHeight="true" outlineLevel="0" collapsed="false">
      <c r="A544" s="17"/>
      <c r="B544" s="18"/>
      <c r="C544" s="10"/>
      <c r="D544" s="18"/>
      <c r="E544" s="10"/>
      <c r="F544" s="18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customFormat="false" ht="43.5" hidden="false" customHeight="true" outlineLevel="0" collapsed="false">
      <c r="A545" s="17"/>
      <c r="B545" s="18"/>
      <c r="C545" s="10"/>
      <c r="D545" s="18"/>
      <c r="E545" s="10"/>
      <c r="F545" s="18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customFormat="false" ht="43.5" hidden="false" customHeight="true" outlineLevel="0" collapsed="false">
      <c r="A546" s="17"/>
      <c r="B546" s="18"/>
      <c r="C546" s="10"/>
      <c r="D546" s="18"/>
      <c r="E546" s="10"/>
      <c r="F546" s="18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customFormat="false" ht="43.5" hidden="false" customHeight="true" outlineLevel="0" collapsed="false">
      <c r="A547" s="17"/>
      <c r="B547" s="18"/>
      <c r="C547" s="10"/>
      <c r="D547" s="18"/>
      <c r="E547" s="10"/>
      <c r="F547" s="18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customFormat="false" ht="43.5" hidden="false" customHeight="true" outlineLevel="0" collapsed="false">
      <c r="A548" s="17"/>
      <c r="B548" s="18"/>
      <c r="C548" s="10"/>
      <c r="D548" s="18"/>
      <c r="E548" s="10"/>
      <c r="F548" s="18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customFormat="false" ht="43.5" hidden="false" customHeight="true" outlineLevel="0" collapsed="false">
      <c r="A549" s="17"/>
      <c r="B549" s="18"/>
      <c r="C549" s="10"/>
      <c r="D549" s="18"/>
      <c r="E549" s="10"/>
      <c r="F549" s="18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customFormat="false" ht="43.5" hidden="false" customHeight="true" outlineLevel="0" collapsed="false">
      <c r="A550" s="17"/>
      <c r="B550" s="18"/>
      <c r="C550" s="10"/>
      <c r="D550" s="18"/>
      <c r="E550" s="10"/>
      <c r="F550" s="18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customFormat="false" ht="43.5" hidden="false" customHeight="true" outlineLevel="0" collapsed="false">
      <c r="A551" s="17"/>
      <c r="B551" s="18"/>
      <c r="C551" s="10"/>
      <c r="D551" s="18"/>
      <c r="E551" s="10"/>
      <c r="F551" s="18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customFormat="false" ht="43.5" hidden="false" customHeight="true" outlineLevel="0" collapsed="false">
      <c r="A552" s="17"/>
      <c r="B552" s="18"/>
      <c r="C552" s="10"/>
      <c r="D552" s="18"/>
      <c r="E552" s="10"/>
      <c r="F552" s="18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customFormat="false" ht="43.5" hidden="false" customHeight="true" outlineLevel="0" collapsed="false">
      <c r="A553" s="17"/>
      <c r="B553" s="18"/>
      <c r="C553" s="10"/>
      <c r="D553" s="18"/>
      <c r="E553" s="10"/>
      <c r="F553" s="18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customFormat="false" ht="43.5" hidden="false" customHeight="true" outlineLevel="0" collapsed="false">
      <c r="A554" s="17"/>
      <c r="B554" s="18"/>
      <c r="C554" s="10"/>
      <c r="D554" s="18"/>
      <c r="E554" s="10"/>
      <c r="F554" s="18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customFormat="false" ht="43.5" hidden="false" customHeight="true" outlineLevel="0" collapsed="false">
      <c r="A555" s="17"/>
      <c r="B555" s="18"/>
      <c r="C555" s="10"/>
      <c r="D555" s="18"/>
      <c r="E555" s="10"/>
      <c r="F555" s="18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customFormat="false" ht="43.5" hidden="false" customHeight="true" outlineLevel="0" collapsed="false">
      <c r="A556" s="17"/>
      <c r="B556" s="18"/>
      <c r="C556" s="10"/>
      <c r="D556" s="18"/>
      <c r="E556" s="10"/>
      <c r="F556" s="18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customFormat="false" ht="43.5" hidden="false" customHeight="true" outlineLevel="0" collapsed="false">
      <c r="A557" s="17"/>
      <c r="B557" s="18"/>
      <c r="C557" s="10"/>
      <c r="D557" s="18"/>
      <c r="E557" s="10"/>
      <c r="F557" s="18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customFormat="false" ht="43.5" hidden="false" customHeight="true" outlineLevel="0" collapsed="false">
      <c r="A558" s="17"/>
      <c r="B558" s="18"/>
      <c r="C558" s="10"/>
      <c r="D558" s="18"/>
      <c r="E558" s="10"/>
      <c r="F558" s="18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customFormat="false" ht="43.5" hidden="false" customHeight="true" outlineLevel="0" collapsed="false">
      <c r="A559" s="17"/>
      <c r="B559" s="18"/>
      <c r="C559" s="10"/>
      <c r="D559" s="18"/>
      <c r="E559" s="10"/>
      <c r="F559" s="18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customFormat="false" ht="43.5" hidden="false" customHeight="true" outlineLevel="0" collapsed="false">
      <c r="A560" s="17"/>
      <c r="B560" s="18"/>
      <c r="C560" s="10"/>
      <c r="D560" s="18"/>
      <c r="E560" s="10"/>
      <c r="F560" s="18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customFormat="false" ht="43.5" hidden="false" customHeight="true" outlineLevel="0" collapsed="false">
      <c r="A561" s="17"/>
      <c r="B561" s="18"/>
      <c r="C561" s="10"/>
      <c r="D561" s="18"/>
      <c r="E561" s="10"/>
      <c r="F561" s="18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customFormat="false" ht="43.5" hidden="false" customHeight="true" outlineLevel="0" collapsed="false">
      <c r="A562" s="17"/>
      <c r="B562" s="18"/>
      <c r="C562" s="10"/>
      <c r="D562" s="18"/>
      <c r="E562" s="10"/>
      <c r="F562" s="18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customFormat="false" ht="43.5" hidden="false" customHeight="true" outlineLevel="0" collapsed="false">
      <c r="A563" s="17"/>
      <c r="B563" s="18"/>
      <c r="C563" s="10"/>
      <c r="D563" s="18"/>
      <c r="E563" s="10"/>
      <c r="F563" s="18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customFormat="false" ht="43.5" hidden="false" customHeight="true" outlineLevel="0" collapsed="false">
      <c r="A564" s="17"/>
      <c r="B564" s="18"/>
      <c r="C564" s="10"/>
      <c r="D564" s="18"/>
      <c r="E564" s="10"/>
      <c r="F564" s="18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customFormat="false" ht="43.5" hidden="false" customHeight="true" outlineLevel="0" collapsed="false">
      <c r="A565" s="17"/>
      <c r="B565" s="18"/>
      <c r="C565" s="10"/>
      <c r="D565" s="18"/>
      <c r="E565" s="10"/>
      <c r="F565" s="18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customFormat="false" ht="43.5" hidden="false" customHeight="true" outlineLevel="0" collapsed="false">
      <c r="A566" s="17"/>
      <c r="B566" s="18"/>
      <c r="C566" s="10"/>
      <c r="D566" s="18"/>
      <c r="E566" s="10"/>
      <c r="F566" s="18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customFormat="false" ht="43.5" hidden="false" customHeight="true" outlineLevel="0" collapsed="false">
      <c r="A567" s="17"/>
      <c r="B567" s="18"/>
      <c r="C567" s="10"/>
      <c r="D567" s="18"/>
      <c r="E567" s="10"/>
      <c r="F567" s="18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customFormat="false" ht="43.5" hidden="false" customHeight="true" outlineLevel="0" collapsed="false">
      <c r="A568" s="17"/>
      <c r="B568" s="18"/>
      <c r="C568" s="10"/>
      <c r="D568" s="18"/>
      <c r="E568" s="10"/>
      <c r="F568" s="18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customFormat="false" ht="43.5" hidden="false" customHeight="true" outlineLevel="0" collapsed="false">
      <c r="A569" s="17"/>
      <c r="B569" s="18"/>
      <c r="C569" s="10"/>
      <c r="D569" s="18"/>
      <c r="E569" s="10"/>
      <c r="F569" s="18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customFormat="false" ht="43.5" hidden="false" customHeight="true" outlineLevel="0" collapsed="false">
      <c r="A570" s="17"/>
      <c r="B570" s="18"/>
      <c r="C570" s="10"/>
      <c r="D570" s="18"/>
      <c r="E570" s="10"/>
      <c r="F570" s="18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customFormat="false" ht="43.5" hidden="false" customHeight="true" outlineLevel="0" collapsed="false">
      <c r="A571" s="17"/>
      <c r="B571" s="18"/>
      <c r="C571" s="10"/>
      <c r="D571" s="18"/>
      <c r="E571" s="10"/>
      <c r="F571" s="18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customFormat="false" ht="43.5" hidden="false" customHeight="true" outlineLevel="0" collapsed="false">
      <c r="A572" s="17"/>
      <c r="B572" s="18"/>
      <c r="C572" s="10"/>
      <c r="D572" s="18"/>
      <c r="E572" s="10"/>
      <c r="F572" s="18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customFormat="false" ht="43.5" hidden="false" customHeight="true" outlineLevel="0" collapsed="false">
      <c r="A573" s="17"/>
      <c r="B573" s="18"/>
      <c r="C573" s="10"/>
      <c r="D573" s="18"/>
      <c r="E573" s="10"/>
      <c r="F573" s="18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customFormat="false" ht="43.5" hidden="false" customHeight="true" outlineLevel="0" collapsed="false">
      <c r="A574" s="17"/>
      <c r="B574" s="18"/>
      <c r="C574" s="10"/>
      <c r="D574" s="18"/>
      <c r="E574" s="10"/>
      <c r="F574" s="18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customFormat="false" ht="43.5" hidden="false" customHeight="true" outlineLevel="0" collapsed="false">
      <c r="A575" s="17"/>
      <c r="B575" s="18"/>
      <c r="C575" s="10"/>
      <c r="D575" s="18"/>
      <c r="E575" s="10"/>
      <c r="F575" s="18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customFormat="false" ht="43.5" hidden="false" customHeight="true" outlineLevel="0" collapsed="false">
      <c r="A576" s="17"/>
      <c r="B576" s="18"/>
      <c r="C576" s="10"/>
      <c r="D576" s="18"/>
      <c r="E576" s="10"/>
      <c r="F576" s="18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customFormat="false" ht="43.5" hidden="false" customHeight="true" outlineLevel="0" collapsed="false">
      <c r="A577" s="17"/>
      <c r="B577" s="18"/>
      <c r="C577" s="10"/>
      <c r="D577" s="18"/>
      <c r="E577" s="10"/>
      <c r="F577" s="18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customFormat="false" ht="43.5" hidden="false" customHeight="true" outlineLevel="0" collapsed="false">
      <c r="A578" s="17"/>
      <c r="B578" s="18"/>
      <c r="C578" s="10"/>
      <c r="D578" s="18"/>
      <c r="E578" s="10"/>
      <c r="F578" s="18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customFormat="false" ht="43.5" hidden="false" customHeight="true" outlineLevel="0" collapsed="false">
      <c r="A579" s="17"/>
      <c r="B579" s="18"/>
      <c r="C579" s="10"/>
      <c r="D579" s="18"/>
      <c r="E579" s="10"/>
      <c r="F579" s="18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customFormat="false" ht="43.5" hidden="false" customHeight="true" outlineLevel="0" collapsed="false">
      <c r="A580" s="17"/>
      <c r="B580" s="18"/>
      <c r="C580" s="10"/>
      <c r="D580" s="18"/>
      <c r="E580" s="10"/>
      <c r="F580" s="18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customFormat="false" ht="43.5" hidden="false" customHeight="true" outlineLevel="0" collapsed="false">
      <c r="A581" s="17"/>
      <c r="B581" s="18"/>
      <c r="C581" s="10"/>
      <c r="D581" s="18"/>
      <c r="E581" s="10"/>
      <c r="F581" s="18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customFormat="false" ht="43.5" hidden="false" customHeight="true" outlineLevel="0" collapsed="false">
      <c r="A582" s="17"/>
      <c r="B582" s="18"/>
      <c r="C582" s="10"/>
      <c r="D582" s="18"/>
      <c r="E582" s="10"/>
      <c r="F582" s="18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customFormat="false" ht="43.5" hidden="false" customHeight="true" outlineLevel="0" collapsed="false">
      <c r="A583" s="17"/>
      <c r="B583" s="18"/>
      <c r="C583" s="10"/>
      <c r="D583" s="18"/>
      <c r="E583" s="10"/>
      <c r="F583" s="18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customFormat="false" ht="43.5" hidden="false" customHeight="true" outlineLevel="0" collapsed="false">
      <c r="A584" s="17"/>
      <c r="B584" s="18"/>
      <c r="C584" s="10"/>
      <c r="D584" s="18"/>
      <c r="E584" s="10"/>
      <c r="F584" s="18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customFormat="false" ht="43.5" hidden="false" customHeight="true" outlineLevel="0" collapsed="false">
      <c r="A585" s="17"/>
      <c r="B585" s="18"/>
      <c r="C585" s="10"/>
      <c r="D585" s="18"/>
      <c r="E585" s="10"/>
      <c r="F585" s="18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customFormat="false" ht="43.5" hidden="false" customHeight="true" outlineLevel="0" collapsed="false">
      <c r="A586" s="17"/>
      <c r="B586" s="18"/>
      <c r="C586" s="10"/>
      <c r="D586" s="18"/>
      <c r="E586" s="10"/>
      <c r="F586" s="18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customFormat="false" ht="43.5" hidden="false" customHeight="true" outlineLevel="0" collapsed="false">
      <c r="A587" s="17"/>
      <c r="B587" s="18"/>
      <c r="C587" s="10"/>
      <c r="D587" s="18"/>
      <c r="E587" s="10"/>
      <c r="F587" s="18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customFormat="false" ht="43.5" hidden="false" customHeight="true" outlineLevel="0" collapsed="false">
      <c r="A588" s="17"/>
      <c r="B588" s="18"/>
      <c r="C588" s="10"/>
      <c r="D588" s="18"/>
      <c r="E588" s="10"/>
      <c r="F588" s="18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customFormat="false" ht="43.5" hidden="false" customHeight="true" outlineLevel="0" collapsed="false">
      <c r="A589" s="17"/>
      <c r="B589" s="18"/>
      <c r="C589" s="10"/>
      <c r="D589" s="18"/>
      <c r="E589" s="10"/>
      <c r="F589" s="18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customFormat="false" ht="43.5" hidden="false" customHeight="true" outlineLevel="0" collapsed="false">
      <c r="A590" s="17"/>
      <c r="B590" s="18"/>
      <c r="C590" s="10"/>
      <c r="D590" s="18"/>
      <c r="E590" s="10"/>
      <c r="F590" s="18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customFormat="false" ht="43.5" hidden="false" customHeight="true" outlineLevel="0" collapsed="false">
      <c r="A591" s="17"/>
      <c r="B591" s="18"/>
      <c r="C591" s="10"/>
      <c r="D591" s="18"/>
      <c r="E591" s="10"/>
      <c r="F591" s="18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customFormat="false" ht="43.5" hidden="false" customHeight="true" outlineLevel="0" collapsed="false">
      <c r="A592" s="17"/>
      <c r="B592" s="18"/>
      <c r="C592" s="10"/>
      <c r="D592" s="18"/>
      <c r="E592" s="10"/>
      <c r="F592" s="18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customFormat="false" ht="43.5" hidden="false" customHeight="true" outlineLevel="0" collapsed="false">
      <c r="A593" s="17"/>
      <c r="B593" s="18"/>
      <c r="C593" s="10"/>
      <c r="D593" s="18"/>
      <c r="E593" s="10"/>
      <c r="F593" s="18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customFormat="false" ht="43.5" hidden="false" customHeight="true" outlineLevel="0" collapsed="false">
      <c r="A594" s="17"/>
      <c r="B594" s="18"/>
      <c r="C594" s="10"/>
      <c r="D594" s="18"/>
      <c r="E594" s="10"/>
      <c r="F594" s="18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customFormat="false" ht="43.5" hidden="false" customHeight="true" outlineLevel="0" collapsed="false">
      <c r="A595" s="17"/>
      <c r="B595" s="18"/>
      <c r="C595" s="10"/>
      <c r="D595" s="18"/>
      <c r="E595" s="10"/>
      <c r="F595" s="18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customFormat="false" ht="43.5" hidden="false" customHeight="true" outlineLevel="0" collapsed="false">
      <c r="A596" s="17"/>
      <c r="B596" s="18"/>
      <c r="C596" s="10"/>
      <c r="D596" s="18"/>
      <c r="E596" s="10"/>
      <c r="F596" s="18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customFormat="false" ht="43.5" hidden="false" customHeight="true" outlineLevel="0" collapsed="false">
      <c r="A597" s="17"/>
      <c r="B597" s="18"/>
      <c r="C597" s="10"/>
      <c r="D597" s="18"/>
      <c r="E597" s="10"/>
      <c r="F597" s="18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customFormat="false" ht="43.5" hidden="false" customHeight="true" outlineLevel="0" collapsed="false">
      <c r="A598" s="17"/>
      <c r="B598" s="18"/>
      <c r="C598" s="10"/>
      <c r="D598" s="18"/>
      <c r="E598" s="10"/>
      <c r="F598" s="18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customFormat="false" ht="43.5" hidden="false" customHeight="true" outlineLevel="0" collapsed="false">
      <c r="A599" s="17"/>
      <c r="B599" s="18"/>
      <c r="C599" s="10"/>
      <c r="D599" s="18"/>
      <c r="E599" s="10"/>
      <c r="F599" s="18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customFormat="false" ht="43.5" hidden="false" customHeight="true" outlineLevel="0" collapsed="false">
      <c r="A600" s="17"/>
      <c r="B600" s="18"/>
      <c r="C600" s="10"/>
      <c r="D600" s="18"/>
      <c r="E600" s="10"/>
      <c r="F600" s="18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customFormat="false" ht="43.5" hidden="false" customHeight="true" outlineLevel="0" collapsed="false">
      <c r="A601" s="17"/>
      <c r="B601" s="18"/>
      <c r="C601" s="10"/>
      <c r="D601" s="18"/>
      <c r="E601" s="10"/>
      <c r="F601" s="18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customFormat="false" ht="43.5" hidden="false" customHeight="true" outlineLevel="0" collapsed="false">
      <c r="A602" s="17"/>
      <c r="B602" s="18"/>
      <c r="C602" s="10"/>
      <c r="D602" s="18"/>
      <c r="E602" s="10"/>
      <c r="F602" s="18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customFormat="false" ht="43.5" hidden="false" customHeight="true" outlineLevel="0" collapsed="false">
      <c r="A603" s="17"/>
      <c r="B603" s="18"/>
      <c r="C603" s="10"/>
      <c r="D603" s="18"/>
      <c r="E603" s="10"/>
      <c r="F603" s="18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customFormat="false" ht="43.5" hidden="false" customHeight="true" outlineLevel="0" collapsed="false">
      <c r="A604" s="17"/>
      <c r="B604" s="18"/>
      <c r="C604" s="10"/>
      <c r="D604" s="18"/>
      <c r="E604" s="10"/>
      <c r="F604" s="18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customFormat="false" ht="43.5" hidden="false" customHeight="true" outlineLevel="0" collapsed="false">
      <c r="A605" s="17"/>
      <c r="B605" s="18"/>
      <c r="C605" s="10"/>
      <c r="D605" s="18"/>
      <c r="E605" s="10"/>
      <c r="F605" s="18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customFormat="false" ht="43.5" hidden="false" customHeight="true" outlineLevel="0" collapsed="false">
      <c r="A606" s="17"/>
      <c r="B606" s="18"/>
      <c r="C606" s="10"/>
      <c r="D606" s="18"/>
      <c r="E606" s="10"/>
      <c r="F606" s="18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customFormat="false" ht="43.5" hidden="false" customHeight="true" outlineLevel="0" collapsed="false">
      <c r="A607" s="17"/>
      <c r="B607" s="18"/>
      <c r="C607" s="10"/>
      <c r="D607" s="18"/>
      <c r="E607" s="10"/>
      <c r="F607" s="18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customFormat="false" ht="43.5" hidden="false" customHeight="true" outlineLevel="0" collapsed="false">
      <c r="A608" s="17"/>
      <c r="B608" s="18"/>
      <c r="C608" s="10"/>
      <c r="D608" s="18"/>
      <c r="E608" s="10"/>
      <c r="F608" s="18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customFormat="false" ht="43.5" hidden="false" customHeight="true" outlineLevel="0" collapsed="false">
      <c r="A609" s="17"/>
      <c r="B609" s="18"/>
      <c r="C609" s="10"/>
      <c r="D609" s="18"/>
      <c r="E609" s="10"/>
      <c r="F609" s="18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customFormat="false" ht="43.5" hidden="false" customHeight="true" outlineLevel="0" collapsed="false">
      <c r="A610" s="17"/>
      <c r="B610" s="18"/>
      <c r="C610" s="10"/>
      <c r="D610" s="18"/>
      <c r="E610" s="10"/>
      <c r="F610" s="18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customFormat="false" ht="43.5" hidden="false" customHeight="true" outlineLevel="0" collapsed="false">
      <c r="A611" s="17"/>
      <c r="B611" s="18"/>
      <c r="C611" s="10"/>
      <c r="D611" s="18"/>
      <c r="E611" s="10"/>
      <c r="F611" s="18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customFormat="false" ht="43.5" hidden="false" customHeight="true" outlineLevel="0" collapsed="false">
      <c r="A612" s="17"/>
      <c r="B612" s="18"/>
      <c r="C612" s="10"/>
      <c r="D612" s="18"/>
      <c r="E612" s="10"/>
      <c r="F612" s="18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customFormat="false" ht="43.5" hidden="false" customHeight="true" outlineLevel="0" collapsed="false">
      <c r="A613" s="17"/>
      <c r="B613" s="18"/>
      <c r="C613" s="10"/>
      <c r="D613" s="18"/>
      <c r="E613" s="10"/>
      <c r="F613" s="18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customFormat="false" ht="43.5" hidden="false" customHeight="true" outlineLevel="0" collapsed="false">
      <c r="A614" s="17"/>
      <c r="B614" s="18"/>
      <c r="C614" s="10"/>
      <c r="D614" s="18"/>
      <c r="E614" s="10"/>
      <c r="F614" s="18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customFormat="false" ht="43.5" hidden="false" customHeight="true" outlineLevel="0" collapsed="false">
      <c r="A615" s="17"/>
      <c r="B615" s="18"/>
      <c r="C615" s="10"/>
      <c r="D615" s="18"/>
      <c r="E615" s="10"/>
      <c r="F615" s="18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customFormat="false" ht="43.5" hidden="false" customHeight="true" outlineLevel="0" collapsed="false">
      <c r="A616" s="17"/>
      <c r="B616" s="18"/>
      <c r="C616" s="10"/>
      <c r="D616" s="18"/>
      <c r="E616" s="10"/>
      <c r="F616" s="18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customFormat="false" ht="43.5" hidden="false" customHeight="true" outlineLevel="0" collapsed="false">
      <c r="A617" s="17"/>
      <c r="B617" s="18"/>
      <c r="C617" s="10"/>
      <c r="D617" s="18"/>
      <c r="E617" s="10"/>
      <c r="F617" s="18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customFormat="false" ht="43.5" hidden="false" customHeight="true" outlineLevel="0" collapsed="false">
      <c r="A618" s="17"/>
      <c r="B618" s="18"/>
      <c r="C618" s="10"/>
      <c r="D618" s="18"/>
      <c r="E618" s="10"/>
      <c r="F618" s="18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customFormat="false" ht="43.5" hidden="false" customHeight="true" outlineLevel="0" collapsed="false">
      <c r="A619" s="17"/>
      <c r="B619" s="18"/>
      <c r="C619" s="10"/>
      <c r="D619" s="18"/>
      <c r="E619" s="10"/>
      <c r="F619" s="18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customFormat="false" ht="43.5" hidden="false" customHeight="true" outlineLevel="0" collapsed="false">
      <c r="A620" s="17"/>
      <c r="B620" s="18"/>
      <c r="C620" s="10"/>
      <c r="D620" s="18"/>
      <c r="E620" s="10"/>
      <c r="F620" s="18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customFormat="false" ht="43.5" hidden="false" customHeight="true" outlineLevel="0" collapsed="false">
      <c r="A621" s="17"/>
      <c r="B621" s="18"/>
      <c r="C621" s="10"/>
      <c r="D621" s="18"/>
      <c r="E621" s="10"/>
      <c r="F621" s="18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customFormat="false" ht="43.5" hidden="false" customHeight="true" outlineLevel="0" collapsed="false">
      <c r="A622" s="17"/>
      <c r="B622" s="18"/>
      <c r="C622" s="10"/>
      <c r="D622" s="18"/>
      <c r="E622" s="10"/>
      <c r="F622" s="18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customFormat="false" ht="43.5" hidden="false" customHeight="true" outlineLevel="0" collapsed="false">
      <c r="A623" s="17"/>
      <c r="B623" s="18"/>
      <c r="C623" s="10"/>
      <c r="D623" s="18"/>
      <c r="E623" s="10"/>
      <c r="F623" s="18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customFormat="false" ht="43.5" hidden="false" customHeight="true" outlineLevel="0" collapsed="false">
      <c r="A624" s="17"/>
      <c r="B624" s="18"/>
      <c r="C624" s="10"/>
      <c r="D624" s="18"/>
      <c r="E624" s="10"/>
      <c r="F624" s="18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customFormat="false" ht="43.5" hidden="false" customHeight="true" outlineLevel="0" collapsed="false">
      <c r="A625" s="17"/>
      <c r="B625" s="18"/>
      <c r="C625" s="10"/>
      <c r="D625" s="18"/>
      <c r="E625" s="10"/>
      <c r="F625" s="18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customFormat="false" ht="43.5" hidden="false" customHeight="true" outlineLevel="0" collapsed="false">
      <c r="A626" s="17"/>
      <c r="B626" s="18"/>
      <c r="C626" s="10"/>
      <c r="D626" s="18"/>
      <c r="E626" s="10"/>
      <c r="F626" s="18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customFormat="false" ht="43.5" hidden="false" customHeight="true" outlineLevel="0" collapsed="false">
      <c r="A627" s="17"/>
      <c r="B627" s="18"/>
      <c r="C627" s="10"/>
      <c r="D627" s="18"/>
      <c r="E627" s="10"/>
      <c r="F627" s="18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customFormat="false" ht="43.5" hidden="false" customHeight="true" outlineLevel="0" collapsed="false">
      <c r="A628" s="17"/>
      <c r="B628" s="18"/>
      <c r="C628" s="10"/>
      <c r="D628" s="18"/>
      <c r="E628" s="10"/>
      <c r="F628" s="18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customFormat="false" ht="43.5" hidden="false" customHeight="true" outlineLevel="0" collapsed="false">
      <c r="A629" s="17"/>
      <c r="B629" s="18"/>
      <c r="C629" s="10"/>
      <c r="D629" s="18"/>
      <c r="E629" s="10"/>
      <c r="F629" s="18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customFormat="false" ht="43.5" hidden="false" customHeight="true" outlineLevel="0" collapsed="false">
      <c r="A630" s="17"/>
      <c r="B630" s="18"/>
      <c r="C630" s="10"/>
      <c r="D630" s="18"/>
      <c r="E630" s="10"/>
      <c r="F630" s="18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customFormat="false" ht="43.5" hidden="false" customHeight="true" outlineLevel="0" collapsed="false">
      <c r="A631" s="17"/>
      <c r="B631" s="18"/>
      <c r="C631" s="10"/>
      <c r="D631" s="18"/>
      <c r="E631" s="10"/>
      <c r="F631" s="18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customFormat="false" ht="43.5" hidden="false" customHeight="true" outlineLevel="0" collapsed="false">
      <c r="A632" s="17"/>
      <c r="B632" s="18"/>
      <c r="C632" s="10"/>
      <c r="D632" s="18"/>
      <c r="E632" s="10"/>
      <c r="F632" s="18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customFormat="false" ht="43.5" hidden="false" customHeight="true" outlineLevel="0" collapsed="false">
      <c r="A633" s="17"/>
      <c r="B633" s="18"/>
      <c r="C633" s="10"/>
      <c r="D633" s="18"/>
      <c r="E633" s="10"/>
      <c r="F633" s="18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customFormat="false" ht="43.5" hidden="false" customHeight="true" outlineLevel="0" collapsed="false">
      <c r="A634" s="17"/>
      <c r="B634" s="18"/>
      <c r="C634" s="10"/>
      <c r="D634" s="18"/>
      <c r="E634" s="10"/>
      <c r="F634" s="18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customFormat="false" ht="43.5" hidden="false" customHeight="true" outlineLevel="0" collapsed="false">
      <c r="A635" s="17"/>
      <c r="B635" s="18"/>
      <c r="C635" s="10"/>
      <c r="D635" s="18"/>
      <c r="E635" s="10"/>
      <c r="F635" s="18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customFormat="false" ht="43.5" hidden="false" customHeight="true" outlineLevel="0" collapsed="false">
      <c r="A636" s="17"/>
      <c r="B636" s="18"/>
      <c r="C636" s="10"/>
      <c r="D636" s="18"/>
      <c r="E636" s="10"/>
      <c r="F636" s="18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customFormat="false" ht="43.5" hidden="false" customHeight="true" outlineLevel="0" collapsed="false">
      <c r="A637" s="17"/>
      <c r="B637" s="18"/>
      <c r="C637" s="10"/>
      <c r="D637" s="18"/>
      <c r="E637" s="10"/>
      <c r="F637" s="18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customFormat="false" ht="43.5" hidden="false" customHeight="true" outlineLevel="0" collapsed="false">
      <c r="A638" s="17"/>
      <c r="B638" s="18"/>
      <c r="C638" s="10"/>
      <c r="D638" s="18"/>
      <c r="E638" s="10"/>
      <c r="F638" s="18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customFormat="false" ht="43.5" hidden="false" customHeight="true" outlineLevel="0" collapsed="false">
      <c r="A639" s="17"/>
      <c r="B639" s="18"/>
      <c r="C639" s="10"/>
      <c r="D639" s="18"/>
      <c r="E639" s="10"/>
      <c r="F639" s="18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customFormat="false" ht="43.5" hidden="false" customHeight="true" outlineLevel="0" collapsed="false">
      <c r="A640" s="17"/>
      <c r="B640" s="18"/>
      <c r="C640" s="10"/>
      <c r="D640" s="18"/>
      <c r="E640" s="10"/>
      <c r="F640" s="18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customFormat="false" ht="43.5" hidden="false" customHeight="true" outlineLevel="0" collapsed="false">
      <c r="A641" s="17"/>
      <c r="B641" s="18"/>
      <c r="C641" s="10"/>
      <c r="D641" s="18"/>
      <c r="E641" s="10"/>
      <c r="F641" s="18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customFormat="false" ht="43.5" hidden="false" customHeight="true" outlineLevel="0" collapsed="false">
      <c r="A642" s="17"/>
      <c r="B642" s="18"/>
      <c r="C642" s="10"/>
      <c r="D642" s="18"/>
      <c r="E642" s="10"/>
      <c r="F642" s="18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customFormat="false" ht="43.5" hidden="false" customHeight="true" outlineLevel="0" collapsed="false">
      <c r="A643" s="17"/>
      <c r="B643" s="18"/>
      <c r="C643" s="10"/>
      <c r="D643" s="18"/>
      <c r="E643" s="10"/>
      <c r="F643" s="18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customFormat="false" ht="43.5" hidden="false" customHeight="true" outlineLevel="0" collapsed="false">
      <c r="A644" s="17"/>
      <c r="B644" s="18"/>
      <c r="C644" s="10"/>
      <c r="D644" s="18"/>
      <c r="E644" s="10"/>
      <c r="F644" s="18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customFormat="false" ht="43.5" hidden="false" customHeight="true" outlineLevel="0" collapsed="false">
      <c r="A645" s="17"/>
      <c r="B645" s="18"/>
      <c r="C645" s="10"/>
      <c r="D645" s="18"/>
      <c r="E645" s="10"/>
      <c r="F645" s="18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customFormat="false" ht="43.5" hidden="false" customHeight="true" outlineLevel="0" collapsed="false">
      <c r="A646" s="17"/>
      <c r="B646" s="18"/>
      <c r="C646" s="10"/>
      <c r="D646" s="18"/>
      <c r="E646" s="10"/>
      <c r="F646" s="18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customFormat="false" ht="43.5" hidden="false" customHeight="true" outlineLevel="0" collapsed="false">
      <c r="A647" s="17"/>
      <c r="B647" s="18"/>
      <c r="C647" s="10"/>
      <c r="D647" s="18"/>
      <c r="E647" s="10"/>
      <c r="F647" s="18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customFormat="false" ht="43.5" hidden="false" customHeight="true" outlineLevel="0" collapsed="false">
      <c r="A648" s="17"/>
      <c r="B648" s="18"/>
      <c r="C648" s="10"/>
      <c r="D648" s="18"/>
      <c r="E648" s="10"/>
      <c r="F648" s="18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customFormat="false" ht="43.5" hidden="false" customHeight="true" outlineLevel="0" collapsed="false">
      <c r="A649" s="17"/>
      <c r="B649" s="18"/>
      <c r="C649" s="10"/>
      <c r="D649" s="18"/>
      <c r="E649" s="10"/>
      <c r="F649" s="18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customFormat="false" ht="43.5" hidden="false" customHeight="true" outlineLevel="0" collapsed="false">
      <c r="A650" s="17"/>
      <c r="B650" s="18"/>
      <c r="C650" s="10"/>
      <c r="D650" s="18"/>
      <c r="E650" s="10"/>
      <c r="F650" s="18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customFormat="false" ht="43.5" hidden="false" customHeight="true" outlineLevel="0" collapsed="false">
      <c r="A651" s="17"/>
      <c r="B651" s="18"/>
      <c r="C651" s="10"/>
      <c r="D651" s="18"/>
      <c r="E651" s="10"/>
      <c r="F651" s="18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customFormat="false" ht="43.5" hidden="false" customHeight="true" outlineLevel="0" collapsed="false">
      <c r="A652" s="17"/>
      <c r="B652" s="18"/>
      <c r="C652" s="10"/>
      <c r="D652" s="18"/>
      <c r="E652" s="10"/>
      <c r="F652" s="18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customFormat="false" ht="43.5" hidden="false" customHeight="true" outlineLevel="0" collapsed="false">
      <c r="A653" s="17"/>
      <c r="B653" s="18"/>
      <c r="C653" s="10"/>
      <c r="D653" s="18"/>
      <c r="E653" s="10"/>
      <c r="F653" s="18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customFormat="false" ht="43.5" hidden="false" customHeight="true" outlineLevel="0" collapsed="false">
      <c r="A654" s="17"/>
      <c r="B654" s="18"/>
      <c r="C654" s="10"/>
      <c r="D654" s="18"/>
      <c r="E654" s="10"/>
      <c r="F654" s="18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customFormat="false" ht="43.5" hidden="false" customHeight="true" outlineLevel="0" collapsed="false">
      <c r="A655" s="17"/>
      <c r="B655" s="18"/>
      <c r="C655" s="10"/>
      <c r="D655" s="18"/>
      <c r="E655" s="10"/>
      <c r="F655" s="18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customFormat="false" ht="43.5" hidden="false" customHeight="true" outlineLevel="0" collapsed="false">
      <c r="A656" s="17"/>
      <c r="B656" s="18"/>
      <c r="C656" s="10"/>
      <c r="D656" s="18"/>
      <c r="E656" s="10"/>
      <c r="F656" s="18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customFormat="false" ht="43.5" hidden="false" customHeight="true" outlineLevel="0" collapsed="false">
      <c r="A657" s="17"/>
      <c r="B657" s="18"/>
      <c r="C657" s="10"/>
      <c r="D657" s="18"/>
      <c r="E657" s="10"/>
      <c r="F657" s="18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customFormat="false" ht="43.5" hidden="false" customHeight="true" outlineLevel="0" collapsed="false">
      <c r="A658" s="17"/>
      <c r="B658" s="18"/>
      <c r="C658" s="10"/>
      <c r="D658" s="18"/>
      <c r="E658" s="10"/>
      <c r="F658" s="18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customFormat="false" ht="43.5" hidden="false" customHeight="true" outlineLevel="0" collapsed="false">
      <c r="A659" s="17"/>
      <c r="B659" s="18"/>
      <c r="C659" s="10"/>
      <c r="D659" s="18"/>
      <c r="E659" s="10"/>
      <c r="F659" s="18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customFormat="false" ht="43.5" hidden="false" customHeight="true" outlineLevel="0" collapsed="false">
      <c r="A660" s="17"/>
      <c r="B660" s="18"/>
      <c r="C660" s="10"/>
      <c r="D660" s="18"/>
      <c r="E660" s="10"/>
      <c r="F660" s="18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customFormat="false" ht="43.5" hidden="false" customHeight="true" outlineLevel="0" collapsed="false">
      <c r="A661" s="17"/>
      <c r="B661" s="18"/>
      <c r="C661" s="10"/>
      <c r="D661" s="18"/>
      <c r="E661" s="10"/>
      <c r="F661" s="18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customFormat="false" ht="43.5" hidden="false" customHeight="true" outlineLevel="0" collapsed="false">
      <c r="A662" s="17"/>
      <c r="B662" s="18"/>
      <c r="C662" s="10"/>
      <c r="D662" s="18"/>
      <c r="E662" s="10"/>
      <c r="F662" s="18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customFormat="false" ht="43.5" hidden="false" customHeight="true" outlineLevel="0" collapsed="false">
      <c r="A663" s="17"/>
      <c r="B663" s="18"/>
      <c r="C663" s="10"/>
      <c r="D663" s="18"/>
      <c r="E663" s="10"/>
      <c r="F663" s="18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customFormat="false" ht="43.5" hidden="false" customHeight="true" outlineLevel="0" collapsed="false">
      <c r="A664" s="17"/>
      <c r="B664" s="18"/>
      <c r="C664" s="10"/>
      <c r="D664" s="18"/>
      <c r="E664" s="10"/>
      <c r="F664" s="18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customFormat="false" ht="43.5" hidden="false" customHeight="true" outlineLevel="0" collapsed="false">
      <c r="A665" s="17"/>
      <c r="B665" s="18"/>
      <c r="C665" s="10"/>
      <c r="D665" s="18"/>
      <c r="E665" s="10"/>
      <c r="F665" s="18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customFormat="false" ht="43.5" hidden="false" customHeight="true" outlineLevel="0" collapsed="false">
      <c r="A666" s="17"/>
      <c r="B666" s="18"/>
      <c r="C666" s="10"/>
      <c r="D666" s="18"/>
      <c r="E666" s="10"/>
      <c r="F666" s="18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customFormat="false" ht="43.5" hidden="false" customHeight="true" outlineLevel="0" collapsed="false">
      <c r="A667" s="17"/>
      <c r="B667" s="18"/>
      <c r="C667" s="10"/>
      <c r="D667" s="18"/>
      <c r="E667" s="10"/>
      <c r="F667" s="18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customFormat="false" ht="43.5" hidden="false" customHeight="true" outlineLevel="0" collapsed="false">
      <c r="A668" s="17"/>
      <c r="B668" s="18"/>
      <c r="C668" s="10"/>
      <c r="D668" s="18"/>
      <c r="E668" s="10"/>
      <c r="F668" s="18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customFormat="false" ht="43.5" hidden="false" customHeight="true" outlineLevel="0" collapsed="false">
      <c r="A669" s="17"/>
      <c r="B669" s="18"/>
      <c r="C669" s="10"/>
      <c r="D669" s="18"/>
      <c r="E669" s="10"/>
      <c r="F669" s="18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customFormat="false" ht="43.5" hidden="false" customHeight="true" outlineLevel="0" collapsed="false">
      <c r="A670" s="17"/>
      <c r="B670" s="18"/>
      <c r="C670" s="10"/>
      <c r="D670" s="18"/>
      <c r="E670" s="10"/>
      <c r="F670" s="18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customFormat="false" ht="43.5" hidden="false" customHeight="true" outlineLevel="0" collapsed="false">
      <c r="A671" s="17"/>
      <c r="B671" s="18"/>
      <c r="C671" s="10"/>
      <c r="D671" s="18"/>
      <c r="E671" s="10"/>
      <c r="F671" s="18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customFormat="false" ht="43.5" hidden="false" customHeight="true" outlineLevel="0" collapsed="false">
      <c r="A672" s="17"/>
      <c r="B672" s="18"/>
      <c r="C672" s="10"/>
      <c r="D672" s="18"/>
      <c r="E672" s="10"/>
      <c r="F672" s="18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customFormat="false" ht="43.5" hidden="false" customHeight="true" outlineLevel="0" collapsed="false">
      <c r="A673" s="17"/>
      <c r="B673" s="18"/>
      <c r="C673" s="10"/>
      <c r="D673" s="18"/>
      <c r="E673" s="10"/>
      <c r="F673" s="18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customFormat="false" ht="43.5" hidden="false" customHeight="true" outlineLevel="0" collapsed="false">
      <c r="A674" s="17"/>
      <c r="B674" s="18"/>
      <c r="C674" s="10"/>
      <c r="D674" s="18"/>
      <c r="E674" s="10"/>
      <c r="F674" s="18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customFormat="false" ht="43.5" hidden="false" customHeight="true" outlineLevel="0" collapsed="false">
      <c r="A675" s="17"/>
      <c r="B675" s="18"/>
      <c r="C675" s="10"/>
      <c r="D675" s="18"/>
      <c r="E675" s="10"/>
      <c r="F675" s="18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customFormat="false" ht="43.5" hidden="false" customHeight="true" outlineLevel="0" collapsed="false">
      <c r="A676" s="17"/>
      <c r="B676" s="18"/>
      <c r="C676" s="10"/>
      <c r="D676" s="18"/>
      <c r="E676" s="10"/>
      <c r="F676" s="18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customFormat="false" ht="43.5" hidden="false" customHeight="true" outlineLevel="0" collapsed="false">
      <c r="A677" s="17"/>
      <c r="B677" s="18"/>
      <c r="C677" s="10"/>
      <c r="D677" s="18"/>
      <c r="E677" s="10"/>
      <c r="F677" s="18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customFormat="false" ht="43.5" hidden="false" customHeight="true" outlineLevel="0" collapsed="false">
      <c r="A678" s="17"/>
      <c r="B678" s="18"/>
      <c r="C678" s="10"/>
      <c r="D678" s="18"/>
      <c r="E678" s="10"/>
      <c r="F678" s="18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customFormat="false" ht="43.5" hidden="false" customHeight="true" outlineLevel="0" collapsed="false">
      <c r="A679" s="17"/>
      <c r="B679" s="18"/>
      <c r="C679" s="10"/>
      <c r="D679" s="18"/>
      <c r="E679" s="10"/>
      <c r="F679" s="18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customFormat="false" ht="43.5" hidden="false" customHeight="true" outlineLevel="0" collapsed="false">
      <c r="A680" s="17"/>
      <c r="B680" s="18"/>
      <c r="C680" s="10"/>
      <c r="D680" s="18"/>
      <c r="E680" s="10"/>
      <c r="F680" s="18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customFormat="false" ht="43.5" hidden="false" customHeight="true" outlineLevel="0" collapsed="false">
      <c r="A681" s="17"/>
      <c r="B681" s="18"/>
      <c r="C681" s="10"/>
      <c r="D681" s="18"/>
      <c r="E681" s="10"/>
      <c r="F681" s="18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customFormat="false" ht="43.5" hidden="false" customHeight="true" outlineLevel="0" collapsed="false">
      <c r="A682" s="17"/>
      <c r="B682" s="18"/>
      <c r="C682" s="10"/>
      <c r="D682" s="18"/>
      <c r="E682" s="10"/>
      <c r="F682" s="18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customFormat="false" ht="43.5" hidden="false" customHeight="true" outlineLevel="0" collapsed="false">
      <c r="A683" s="17"/>
      <c r="B683" s="18"/>
      <c r="C683" s="10"/>
      <c r="D683" s="18"/>
      <c r="E683" s="10"/>
      <c r="F683" s="18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customFormat="false" ht="43.5" hidden="false" customHeight="true" outlineLevel="0" collapsed="false">
      <c r="A684" s="17"/>
      <c r="B684" s="18"/>
      <c r="C684" s="10"/>
      <c r="D684" s="18"/>
      <c r="E684" s="10"/>
      <c r="F684" s="18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customFormat="false" ht="43.5" hidden="false" customHeight="true" outlineLevel="0" collapsed="false">
      <c r="A685" s="17"/>
      <c r="B685" s="18"/>
      <c r="C685" s="10"/>
      <c r="D685" s="18"/>
      <c r="E685" s="10"/>
      <c r="F685" s="18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customFormat="false" ht="43.5" hidden="false" customHeight="true" outlineLevel="0" collapsed="false">
      <c r="A686" s="17"/>
      <c r="B686" s="18"/>
      <c r="C686" s="10"/>
      <c r="D686" s="18"/>
      <c r="E686" s="10"/>
      <c r="F686" s="18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customFormat="false" ht="43.5" hidden="false" customHeight="true" outlineLevel="0" collapsed="false">
      <c r="A687" s="17"/>
      <c r="B687" s="18"/>
      <c r="C687" s="10"/>
      <c r="D687" s="18"/>
      <c r="E687" s="10"/>
      <c r="F687" s="18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customFormat="false" ht="43.5" hidden="false" customHeight="true" outlineLevel="0" collapsed="false">
      <c r="A688" s="17"/>
      <c r="B688" s="18"/>
      <c r="C688" s="10"/>
      <c r="D688" s="18"/>
      <c r="E688" s="10"/>
      <c r="F688" s="18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customFormat="false" ht="43.5" hidden="false" customHeight="true" outlineLevel="0" collapsed="false">
      <c r="A689" s="17"/>
      <c r="B689" s="18"/>
      <c r="C689" s="10"/>
      <c r="D689" s="18"/>
      <c r="E689" s="10"/>
      <c r="F689" s="18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customFormat="false" ht="43.5" hidden="false" customHeight="true" outlineLevel="0" collapsed="false">
      <c r="A690" s="17"/>
      <c r="B690" s="18"/>
      <c r="C690" s="10"/>
      <c r="D690" s="18"/>
      <c r="E690" s="10"/>
      <c r="F690" s="18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customFormat="false" ht="43.5" hidden="false" customHeight="true" outlineLevel="0" collapsed="false">
      <c r="A691" s="17"/>
      <c r="B691" s="18"/>
      <c r="C691" s="10"/>
      <c r="D691" s="18"/>
      <c r="E691" s="10"/>
      <c r="F691" s="18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customFormat="false" ht="43.5" hidden="false" customHeight="true" outlineLevel="0" collapsed="false">
      <c r="A692" s="17"/>
      <c r="B692" s="18"/>
      <c r="C692" s="10"/>
      <c r="D692" s="18"/>
      <c r="E692" s="10"/>
      <c r="F692" s="18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customFormat="false" ht="43.5" hidden="false" customHeight="true" outlineLevel="0" collapsed="false">
      <c r="A693" s="17"/>
      <c r="B693" s="18"/>
      <c r="C693" s="10"/>
      <c r="D693" s="18"/>
      <c r="E693" s="10"/>
      <c r="F693" s="18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customFormat="false" ht="43.5" hidden="false" customHeight="true" outlineLevel="0" collapsed="false">
      <c r="A694" s="17"/>
      <c r="B694" s="18"/>
      <c r="C694" s="10"/>
      <c r="D694" s="18"/>
      <c r="E694" s="10"/>
      <c r="F694" s="18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customFormat="false" ht="43.5" hidden="false" customHeight="true" outlineLevel="0" collapsed="false">
      <c r="A695" s="17"/>
      <c r="B695" s="18"/>
      <c r="C695" s="10"/>
      <c r="D695" s="18"/>
      <c r="E695" s="10"/>
      <c r="F695" s="18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customFormat="false" ht="43.5" hidden="false" customHeight="true" outlineLevel="0" collapsed="false">
      <c r="A696" s="17"/>
      <c r="B696" s="18"/>
      <c r="C696" s="10"/>
      <c r="D696" s="18"/>
      <c r="E696" s="10"/>
      <c r="F696" s="18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customFormat="false" ht="43.5" hidden="false" customHeight="true" outlineLevel="0" collapsed="false">
      <c r="A697" s="17"/>
      <c r="B697" s="18"/>
      <c r="C697" s="10"/>
      <c r="D697" s="18"/>
      <c r="E697" s="10"/>
      <c r="F697" s="18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customFormat="false" ht="43.5" hidden="false" customHeight="true" outlineLevel="0" collapsed="false">
      <c r="A698" s="17"/>
      <c r="B698" s="18"/>
      <c r="C698" s="10"/>
      <c r="D698" s="18"/>
      <c r="E698" s="10"/>
      <c r="F698" s="18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customFormat="false" ht="43.5" hidden="false" customHeight="true" outlineLevel="0" collapsed="false">
      <c r="A699" s="17"/>
      <c r="B699" s="18"/>
      <c r="C699" s="10"/>
      <c r="D699" s="18"/>
      <c r="E699" s="10"/>
      <c r="F699" s="18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customFormat="false" ht="43.5" hidden="false" customHeight="true" outlineLevel="0" collapsed="false">
      <c r="A700" s="17"/>
      <c r="B700" s="18"/>
      <c r="C700" s="10"/>
      <c r="D700" s="18"/>
      <c r="E700" s="10"/>
      <c r="F700" s="18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customFormat="false" ht="43.5" hidden="false" customHeight="true" outlineLevel="0" collapsed="false">
      <c r="A701" s="17"/>
      <c r="B701" s="18"/>
      <c r="C701" s="10"/>
      <c r="D701" s="18"/>
      <c r="E701" s="10"/>
      <c r="F701" s="18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customFormat="false" ht="43.5" hidden="false" customHeight="true" outlineLevel="0" collapsed="false">
      <c r="A702" s="17"/>
      <c r="B702" s="18"/>
      <c r="C702" s="10"/>
      <c r="D702" s="18"/>
      <c r="E702" s="10"/>
      <c r="F702" s="18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customFormat="false" ht="43.5" hidden="false" customHeight="true" outlineLevel="0" collapsed="false">
      <c r="A703" s="17"/>
      <c r="B703" s="18"/>
      <c r="C703" s="10"/>
      <c r="D703" s="18"/>
      <c r="E703" s="10"/>
      <c r="F703" s="18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customFormat="false" ht="43.5" hidden="false" customHeight="true" outlineLevel="0" collapsed="false">
      <c r="A704" s="17"/>
      <c r="B704" s="18"/>
      <c r="C704" s="10"/>
      <c r="D704" s="18"/>
      <c r="E704" s="10"/>
      <c r="F704" s="18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customFormat="false" ht="43.5" hidden="false" customHeight="true" outlineLevel="0" collapsed="false">
      <c r="A705" s="17"/>
      <c r="B705" s="18"/>
      <c r="C705" s="10"/>
      <c r="D705" s="18"/>
      <c r="E705" s="10"/>
      <c r="F705" s="18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customFormat="false" ht="43.5" hidden="false" customHeight="true" outlineLevel="0" collapsed="false">
      <c r="A706" s="17"/>
      <c r="B706" s="18"/>
      <c r="C706" s="10"/>
      <c r="D706" s="18"/>
      <c r="E706" s="10"/>
      <c r="F706" s="18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customFormat="false" ht="43.5" hidden="false" customHeight="true" outlineLevel="0" collapsed="false">
      <c r="A707" s="17"/>
      <c r="B707" s="18"/>
      <c r="C707" s="10"/>
      <c r="D707" s="18"/>
      <c r="E707" s="10"/>
      <c r="F707" s="18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customFormat="false" ht="43.5" hidden="false" customHeight="true" outlineLevel="0" collapsed="false">
      <c r="A708" s="17"/>
      <c r="B708" s="18"/>
      <c r="C708" s="10"/>
      <c r="D708" s="18"/>
      <c r="E708" s="10"/>
      <c r="F708" s="18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customFormat="false" ht="43.5" hidden="false" customHeight="true" outlineLevel="0" collapsed="false">
      <c r="A709" s="17"/>
      <c r="B709" s="18"/>
      <c r="C709" s="10"/>
      <c r="D709" s="18"/>
      <c r="E709" s="10"/>
      <c r="F709" s="18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customFormat="false" ht="43.5" hidden="false" customHeight="true" outlineLevel="0" collapsed="false">
      <c r="A710" s="17"/>
      <c r="B710" s="18"/>
      <c r="C710" s="10"/>
      <c r="D710" s="18"/>
      <c r="E710" s="10"/>
      <c r="F710" s="18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customFormat="false" ht="43.5" hidden="false" customHeight="true" outlineLevel="0" collapsed="false">
      <c r="A711" s="17"/>
      <c r="B711" s="18"/>
      <c r="C711" s="10"/>
      <c r="D711" s="18"/>
      <c r="E711" s="10"/>
      <c r="F711" s="18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customFormat="false" ht="43.5" hidden="false" customHeight="true" outlineLevel="0" collapsed="false">
      <c r="A712" s="17"/>
      <c r="B712" s="18"/>
      <c r="C712" s="10"/>
      <c r="D712" s="18"/>
      <c r="E712" s="10"/>
      <c r="F712" s="18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customFormat="false" ht="43.5" hidden="false" customHeight="true" outlineLevel="0" collapsed="false">
      <c r="A713" s="17"/>
      <c r="B713" s="18"/>
      <c r="C713" s="10"/>
      <c r="D713" s="18"/>
      <c r="E713" s="10"/>
      <c r="F713" s="18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customFormat="false" ht="43.5" hidden="false" customHeight="true" outlineLevel="0" collapsed="false">
      <c r="A714" s="17"/>
      <c r="B714" s="18"/>
      <c r="C714" s="10"/>
      <c r="D714" s="18"/>
      <c r="E714" s="10"/>
      <c r="F714" s="18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customFormat="false" ht="43.5" hidden="false" customHeight="true" outlineLevel="0" collapsed="false">
      <c r="A715" s="17"/>
      <c r="B715" s="18"/>
      <c r="C715" s="10"/>
      <c r="D715" s="18"/>
      <c r="E715" s="10"/>
      <c r="F715" s="18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customFormat="false" ht="43.5" hidden="false" customHeight="true" outlineLevel="0" collapsed="false">
      <c r="A716" s="17"/>
      <c r="B716" s="18"/>
      <c r="C716" s="10"/>
      <c r="D716" s="18"/>
      <c r="E716" s="10"/>
      <c r="F716" s="18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customFormat="false" ht="43.5" hidden="false" customHeight="true" outlineLevel="0" collapsed="false">
      <c r="A717" s="17"/>
      <c r="B717" s="18"/>
      <c r="C717" s="10"/>
      <c r="D717" s="18"/>
      <c r="E717" s="10"/>
      <c r="F717" s="18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customFormat="false" ht="43.5" hidden="false" customHeight="true" outlineLevel="0" collapsed="false">
      <c r="A718" s="17"/>
      <c r="B718" s="18"/>
      <c r="C718" s="10"/>
      <c r="D718" s="18"/>
      <c r="E718" s="10"/>
      <c r="F718" s="18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customFormat="false" ht="43.5" hidden="false" customHeight="true" outlineLevel="0" collapsed="false">
      <c r="A719" s="17"/>
      <c r="B719" s="18"/>
      <c r="C719" s="10"/>
      <c r="D719" s="18"/>
      <c r="E719" s="10"/>
      <c r="F719" s="18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customFormat="false" ht="43.5" hidden="false" customHeight="true" outlineLevel="0" collapsed="false">
      <c r="A720" s="17"/>
      <c r="B720" s="18"/>
      <c r="C720" s="10"/>
      <c r="D720" s="18"/>
      <c r="E720" s="10"/>
      <c r="F720" s="18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customFormat="false" ht="43.5" hidden="false" customHeight="true" outlineLevel="0" collapsed="false">
      <c r="A721" s="17"/>
      <c r="B721" s="18"/>
      <c r="C721" s="10"/>
      <c r="D721" s="18"/>
      <c r="E721" s="10"/>
      <c r="F721" s="18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customFormat="false" ht="43.5" hidden="false" customHeight="true" outlineLevel="0" collapsed="false">
      <c r="A722" s="17"/>
      <c r="B722" s="18"/>
      <c r="C722" s="10"/>
      <c r="D722" s="18"/>
      <c r="E722" s="10"/>
      <c r="F722" s="18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customFormat="false" ht="43.5" hidden="false" customHeight="true" outlineLevel="0" collapsed="false">
      <c r="A723" s="17"/>
      <c r="B723" s="18"/>
      <c r="C723" s="10"/>
      <c r="D723" s="18"/>
      <c r="E723" s="10"/>
      <c r="F723" s="18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customFormat="false" ht="43.5" hidden="false" customHeight="true" outlineLevel="0" collapsed="false">
      <c r="A724" s="17"/>
      <c r="B724" s="18"/>
      <c r="C724" s="10"/>
      <c r="D724" s="18"/>
      <c r="E724" s="10"/>
      <c r="F724" s="18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customFormat="false" ht="43.5" hidden="false" customHeight="true" outlineLevel="0" collapsed="false">
      <c r="A725" s="17"/>
      <c r="B725" s="18"/>
      <c r="C725" s="10"/>
      <c r="D725" s="18"/>
      <c r="E725" s="10"/>
      <c r="F725" s="18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customFormat="false" ht="43.5" hidden="false" customHeight="true" outlineLevel="0" collapsed="false">
      <c r="A726" s="17"/>
      <c r="B726" s="18"/>
      <c r="C726" s="10"/>
      <c r="D726" s="18"/>
      <c r="E726" s="10"/>
      <c r="F726" s="18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customFormat="false" ht="43.5" hidden="false" customHeight="true" outlineLevel="0" collapsed="false">
      <c r="A727" s="17"/>
      <c r="B727" s="18"/>
      <c r="C727" s="10"/>
      <c r="D727" s="18"/>
      <c r="E727" s="10"/>
      <c r="F727" s="18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customFormat="false" ht="43.5" hidden="false" customHeight="true" outlineLevel="0" collapsed="false">
      <c r="A728" s="17"/>
      <c r="B728" s="18"/>
      <c r="C728" s="10"/>
      <c r="D728" s="18"/>
      <c r="E728" s="10"/>
      <c r="F728" s="18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customFormat="false" ht="43.5" hidden="false" customHeight="true" outlineLevel="0" collapsed="false">
      <c r="A729" s="17"/>
      <c r="B729" s="18"/>
      <c r="C729" s="10"/>
      <c r="D729" s="18"/>
      <c r="E729" s="10"/>
      <c r="F729" s="18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customFormat="false" ht="43.5" hidden="false" customHeight="true" outlineLevel="0" collapsed="false">
      <c r="A730" s="17"/>
      <c r="B730" s="18"/>
      <c r="C730" s="10"/>
      <c r="D730" s="18"/>
      <c r="E730" s="10"/>
      <c r="F730" s="18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customFormat="false" ht="43.5" hidden="false" customHeight="true" outlineLevel="0" collapsed="false">
      <c r="A731" s="17"/>
      <c r="B731" s="18"/>
      <c r="C731" s="10"/>
      <c r="D731" s="18"/>
      <c r="E731" s="10"/>
      <c r="F731" s="18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customFormat="false" ht="43.5" hidden="false" customHeight="true" outlineLevel="0" collapsed="false">
      <c r="A732" s="17"/>
      <c r="B732" s="18"/>
      <c r="C732" s="10"/>
      <c r="D732" s="18"/>
      <c r="E732" s="10"/>
      <c r="F732" s="18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customFormat="false" ht="43.5" hidden="false" customHeight="true" outlineLevel="0" collapsed="false">
      <c r="A733" s="17"/>
      <c r="B733" s="18"/>
      <c r="C733" s="10"/>
      <c r="D733" s="18"/>
      <c r="E733" s="10"/>
      <c r="F733" s="18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customFormat="false" ht="43.5" hidden="false" customHeight="true" outlineLevel="0" collapsed="false">
      <c r="A734" s="17"/>
      <c r="B734" s="18"/>
      <c r="C734" s="10"/>
      <c r="D734" s="18"/>
      <c r="E734" s="10"/>
      <c r="F734" s="18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customFormat="false" ht="43.5" hidden="false" customHeight="true" outlineLevel="0" collapsed="false">
      <c r="A735" s="17"/>
      <c r="B735" s="18"/>
      <c r="C735" s="10"/>
      <c r="D735" s="18"/>
      <c r="E735" s="10"/>
      <c r="F735" s="18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customFormat="false" ht="43.5" hidden="false" customHeight="true" outlineLevel="0" collapsed="false">
      <c r="A736" s="17"/>
      <c r="B736" s="18"/>
      <c r="C736" s="10"/>
      <c r="D736" s="18"/>
      <c r="E736" s="10"/>
      <c r="F736" s="18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customFormat="false" ht="43.5" hidden="false" customHeight="true" outlineLevel="0" collapsed="false">
      <c r="A737" s="17"/>
      <c r="B737" s="18"/>
      <c r="C737" s="10"/>
      <c r="D737" s="18"/>
      <c r="E737" s="10"/>
      <c r="F737" s="18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customFormat="false" ht="43.5" hidden="false" customHeight="true" outlineLevel="0" collapsed="false">
      <c r="A738" s="17"/>
      <c r="B738" s="18"/>
      <c r="C738" s="10"/>
      <c r="D738" s="18"/>
      <c r="E738" s="10"/>
      <c r="F738" s="18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customFormat="false" ht="43.5" hidden="false" customHeight="true" outlineLevel="0" collapsed="false">
      <c r="A739" s="17"/>
      <c r="B739" s="18"/>
      <c r="C739" s="10"/>
      <c r="D739" s="18"/>
      <c r="E739" s="10"/>
      <c r="F739" s="18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customFormat="false" ht="43.5" hidden="false" customHeight="true" outlineLevel="0" collapsed="false">
      <c r="A740" s="17"/>
      <c r="B740" s="18"/>
      <c r="C740" s="10"/>
      <c r="D740" s="18"/>
      <c r="E740" s="10"/>
      <c r="F740" s="18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customFormat="false" ht="43.5" hidden="false" customHeight="true" outlineLevel="0" collapsed="false">
      <c r="A741" s="17"/>
      <c r="B741" s="18"/>
      <c r="C741" s="10"/>
      <c r="D741" s="18"/>
      <c r="E741" s="10"/>
      <c r="F741" s="18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customFormat="false" ht="43.5" hidden="false" customHeight="true" outlineLevel="0" collapsed="false">
      <c r="A742" s="17"/>
      <c r="B742" s="18"/>
      <c r="C742" s="10"/>
      <c r="D742" s="18"/>
      <c r="E742" s="10"/>
      <c r="F742" s="18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customFormat="false" ht="43.5" hidden="false" customHeight="true" outlineLevel="0" collapsed="false">
      <c r="A743" s="17"/>
      <c r="B743" s="18"/>
      <c r="C743" s="10"/>
      <c r="D743" s="18"/>
      <c r="E743" s="10"/>
      <c r="F743" s="18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customFormat="false" ht="43.5" hidden="false" customHeight="true" outlineLevel="0" collapsed="false">
      <c r="A744" s="17"/>
      <c r="B744" s="18"/>
      <c r="C744" s="10"/>
      <c r="D744" s="18"/>
      <c r="E744" s="10"/>
      <c r="F744" s="18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customFormat="false" ht="43.5" hidden="false" customHeight="true" outlineLevel="0" collapsed="false">
      <c r="A745" s="17"/>
      <c r="B745" s="18"/>
      <c r="C745" s="10"/>
      <c r="D745" s="18"/>
      <c r="E745" s="10"/>
      <c r="F745" s="18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customFormat="false" ht="43.5" hidden="false" customHeight="true" outlineLevel="0" collapsed="false">
      <c r="A746" s="17"/>
      <c r="B746" s="18"/>
      <c r="C746" s="10"/>
      <c r="D746" s="18"/>
      <c r="E746" s="10"/>
      <c r="F746" s="18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customFormat="false" ht="43.5" hidden="false" customHeight="true" outlineLevel="0" collapsed="false">
      <c r="A747" s="17"/>
      <c r="B747" s="18"/>
      <c r="C747" s="10"/>
      <c r="D747" s="18"/>
      <c r="E747" s="10"/>
      <c r="F747" s="18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customFormat="false" ht="43.5" hidden="false" customHeight="true" outlineLevel="0" collapsed="false">
      <c r="A748" s="17"/>
      <c r="B748" s="18"/>
      <c r="C748" s="10"/>
      <c r="D748" s="18"/>
      <c r="E748" s="10"/>
      <c r="F748" s="18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customFormat="false" ht="43.5" hidden="false" customHeight="true" outlineLevel="0" collapsed="false">
      <c r="A749" s="17"/>
      <c r="B749" s="18"/>
      <c r="C749" s="10"/>
      <c r="D749" s="18"/>
      <c r="E749" s="10"/>
      <c r="F749" s="18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customFormat="false" ht="43.5" hidden="false" customHeight="true" outlineLevel="0" collapsed="false">
      <c r="A750" s="17"/>
      <c r="B750" s="18"/>
      <c r="C750" s="10"/>
      <c r="D750" s="18"/>
      <c r="E750" s="10"/>
      <c r="F750" s="18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customFormat="false" ht="43.5" hidden="false" customHeight="true" outlineLevel="0" collapsed="false">
      <c r="A751" s="17"/>
      <c r="B751" s="18"/>
      <c r="C751" s="10"/>
      <c r="D751" s="18"/>
      <c r="E751" s="10"/>
      <c r="F751" s="18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customFormat="false" ht="43.5" hidden="false" customHeight="true" outlineLevel="0" collapsed="false">
      <c r="A752" s="17"/>
      <c r="B752" s="18"/>
      <c r="C752" s="10"/>
      <c r="D752" s="18"/>
      <c r="E752" s="10"/>
      <c r="F752" s="18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customFormat="false" ht="43.5" hidden="false" customHeight="true" outlineLevel="0" collapsed="false">
      <c r="A753" s="17"/>
      <c r="B753" s="18"/>
      <c r="C753" s="10"/>
      <c r="D753" s="18"/>
      <c r="E753" s="10"/>
      <c r="F753" s="18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customFormat="false" ht="43.5" hidden="false" customHeight="true" outlineLevel="0" collapsed="false">
      <c r="A754" s="17"/>
      <c r="B754" s="18"/>
      <c r="C754" s="10"/>
      <c r="D754" s="18"/>
      <c r="E754" s="10"/>
      <c r="F754" s="18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customFormat="false" ht="43.5" hidden="false" customHeight="true" outlineLevel="0" collapsed="false">
      <c r="A755" s="17"/>
      <c r="B755" s="18"/>
      <c r="C755" s="10"/>
      <c r="D755" s="18"/>
      <c r="E755" s="10"/>
      <c r="F755" s="18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customFormat="false" ht="43.5" hidden="false" customHeight="true" outlineLevel="0" collapsed="false">
      <c r="A756" s="17"/>
      <c r="B756" s="18"/>
      <c r="C756" s="10"/>
      <c r="D756" s="18"/>
      <c r="E756" s="10"/>
      <c r="F756" s="18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customFormat="false" ht="43.5" hidden="false" customHeight="true" outlineLevel="0" collapsed="false">
      <c r="A757" s="17"/>
      <c r="B757" s="18"/>
      <c r="C757" s="10"/>
      <c r="D757" s="18"/>
      <c r="E757" s="10"/>
      <c r="F757" s="18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customFormat="false" ht="43.5" hidden="false" customHeight="true" outlineLevel="0" collapsed="false">
      <c r="A758" s="17"/>
      <c r="B758" s="18"/>
      <c r="C758" s="10"/>
      <c r="D758" s="18"/>
      <c r="E758" s="10"/>
      <c r="F758" s="18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customFormat="false" ht="43.5" hidden="false" customHeight="true" outlineLevel="0" collapsed="false">
      <c r="A759" s="17"/>
      <c r="B759" s="18"/>
      <c r="C759" s="10"/>
      <c r="D759" s="18"/>
      <c r="E759" s="10"/>
      <c r="F759" s="18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customFormat="false" ht="43.5" hidden="false" customHeight="true" outlineLevel="0" collapsed="false">
      <c r="A760" s="17"/>
      <c r="B760" s="18"/>
      <c r="C760" s="10"/>
      <c r="D760" s="18"/>
      <c r="E760" s="10"/>
      <c r="F760" s="18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customFormat="false" ht="43.5" hidden="false" customHeight="true" outlineLevel="0" collapsed="false">
      <c r="A761" s="17"/>
      <c r="B761" s="18"/>
      <c r="C761" s="10"/>
      <c r="D761" s="18"/>
      <c r="E761" s="10"/>
      <c r="F761" s="18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customFormat="false" ht="43.5" hidden="false" customHeight="true" outlineLevel="0" collapsed="false">
      <c r="A762" s="17"/>
      <c r="B762" s="18"/>
      <c r="C762" s="10"/>
      <c r="D762" s="18"/>
      <c r="E762" s="10"/>
      <c r="F762" s="18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customFormat="false" ht="43.5" hidden="false" customHeight="true" outlineLevel="0" collapsed="false">
      <c r="A763" s="17"/>
      <c r="B763" s="18"/>
      <c r="C763" s="10"/>
      <c r="D763" s="18"/>
      <c r="E763" s="10"/>
      <c r="F763" s="18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customFormat="false" ht="43.5" hidden="false" customHeight="true" outlineLevel="0" collapsed="false">
      <c r="A764" s="17"/>
      <c r="B764" s="18"/>
      <c r="C764" s="10"/>
      <c r="D764" s="18"/>
      <c r="E764" s="10"/>
      <c r="F764" s="18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customFormat="false" ht="43.5" hidden="false" customHeight="true" outlineLevel="0" collapsed="false">
      <c r="A765" s="17"/>
      <c r="B765" s="18"/>
      <c r="C765" s="10"/>
      <c r="D765" s="18"/>
      <c r="E765" s="10"/>
      <c r="F765" s="18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customFormat="false" ht="43.5" hidden="false" customHeight="true" outlineLevel="0" collapsed="false">
      <c r="A766" s="17"/>
      <c r="B766" s="18"/>
      <c r="C766" s="10"/>
      <c r="D766" s="18"/>
      <c r="E766" s="10"/>
      <c r="F766" s="18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customFormat="false" ht="43.5" hidden="false" customHeight="true" outlineLevel="0" collapsed="false">
      <c r="A767" s="17"/>
      <c r="B767" s="18"/>
      <c r="C767" s="10"/>
      <c r="D767" s="18"/>
      <c r="E767" s="10"/>
      <c r="F767" s="18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customFormat="false" ht="43.5" hidden="false" customHeight="true" outlineLevel="0" collapsed="false">
      <c r="A768" s="17"/>
      <c r="B768" s="18"/>
      <c r="C768" s="10"/>
      <c r="D768" s="18"/>
      <c r="E768" s="10"/>
      <c r="F768" s="18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customFormat="false" ht="43.5" hidden="false" customHeight="true" outlineLevel="0" collapsed="false">
      <c r="A769" s="17"/>
      <c r="B769" s="18"/>
      <c r="C769" s="10"/>
      <c r="D769" s="18"/>
      <c r="E769" s="10"/>
      <c r="F769" s="18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customFormat="false" ht="43.5" hidden="false" customHeight="true" outlineLevel="0" collapsed="false">
      <c r="A770" s="17"/>
      <c r="B770" s="18"/>
      <c r="C770" s="10"/>
      <c r="D770" s="18"/>
      <c r="E770" s="10"/>
      <c r="F770" s="18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customFormat="false" ht="43.5" hidden="false" customHeight="true" outlineLevel="0" collapsed="false">
      <c r="A771" s="17"/>
      <c r="B771" s="18"/>
      <c r="C771" s="10"/>
      <c r="D771" s="18"/>
      <c r="E771" s="10"/>
      <c r="F771" s="18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customFormat="false" ht="43.5" hidden="false" customHeight="true" outlineLevel="0" collapsed="false">
      <c r="A772" s="17"/>
      <c r="B772" s="18"/>
      <c r="C772" s="10"/>
      <c r="D772" s="18"/>
      <c r="E772" s="10"/>
      <c r="F772" s="18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customFormat="false" ht="43.5" hidden="false" customHeight="true" outlineLevel="0" collapsed="false">
      <c r="A773" s="17"/>
      <c r="B773" s="18"/>
      <c r="C773" s="10"/>
      <c r="D773" s="18"/>
      <c r="E773" s="10"/>
      <c r="F773" s="18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customFormat="false" ht="43.5" hidden="false" customHeight="true" outlineLevel="0" collapsed="false">
      <c r="A774" s="17"/>
      <c r="B774" s="18"/>
      <c r="C774" s="10"/>
      <c r="D774" s="18"/>
      <c r="E774" s="10"/>
      <c r="F774" s="18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customFormat="false" ht="43.5" hidden="false" customHeight="true" outlineLevel="0" collapsed="false">
      <c r="A775" s="17"/>
      <c r="B775" s="18"/>
      <c r="C775" s="10"/>
      <c r="D775" s="18"/>
      <c r="E775" s="10"/>
      <c r="F775" s="18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customFormat="false" ht="43.5" hidden="false" customHeight="true" outlineLevel="0" collapsed="false">
      <c r="A776" s="17"/>
      <c r="B776" s="18"/>
      <c r="C776" s="10"/>
      <c r="D776" s="18"/>
      <c r="E776" s="10"/>
      <c r="F776" s="18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customFormat="false" ht="43.5" hidden="false" customHeight="true" outlineLevel="0" collapsed="false">
      <c r="A777" s="17"/>
      <c r="B777" s="18"/>
      <c r="C777" s="10"/>
      <c r="D777" s="18"/>
      <c r="E777" s="10"/>
      <c r="F777" s="18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customFormat="false" ht="43.5" hidden="false" customHeight="true" outlineLevel="0" collapsed="false">
      <c r="A778" s="17"/>
      <c r="B778" s="18"/>
      <c r="C778" s="10"/>
      <c r="D778" s="18"/>
      <c r="E778" s="10"/>
      <c r="F778" s="18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customFormat="false" ht="43.5" hidden="false" customHeight="true" outlineLevel="0" collapsed="false">
      <c r="A779" s="17"/>
      <c r="B779" s="18"/>
      <c r="C779" s="10"/>
      <c r="D779" s="18"/>
      <c r="E779" s="10"/>
      <c r="F779" s="18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customFormat="false" ht="43.5" hidden="false" customHeight="true" outlineLevel="0" collapsed="false">
      <c r="A780" s="17"/>
      <c r="B780" s="18"/>
      <c r="C780" s="10"/>
      <c r="D780" s="18"/>
      <c r="E780" s="10"/>
      <c r="F780" s="18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customFormat="false" ht="43.5" hidden="false" customHeight="true" outlineLevel="0" collapsed="false">
      <c r="A781" s="17"/>
      <c r="B781" s="18"/>
      <c r="C781" s="10"/>
      <c r="D781" s="18"/>
      <c r="E781" s="10"/>
      <c r="F781" s="18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customFormat="false" ht="43.5" hidden="false" customHeight="true" outlineLevel="0" collapsed="false">
      <c r="A782" s="17"/>
      <c r="B782" s="18"/>
      <c r="C782" s="10"/>
      <c r="D782" s="18"/>
      <c r="E782" s="10"/>
      <c r="F782" s="18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customFormat="false" ht="43.5" hidden="false" customHeight="true" outlineLevel="0" collapsed="false">
      <c r="A783" s="17"/>
      <c r="B783" s="18"/>
      <c r="C783" s="10"/>
      <c r="D783" s="18"/>
      <c r="E783" s="10"/>
      <c r="F783" s="18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customFormat="false" ht="43.5" hidden="false" customHeight="true" outlineLevel="0" collapsed="false">
      <c r="A784" s="17"/>
      <c r="B784" s="18"/>
      <c r="C784" s="10"/>
      <c r="D784" s="18"/>
      <c r="E784" s="10"/>
      <c r="F784" s="18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customFormat="false" ht="43.5" hidden="false" customHeight="true" outlineLevel="0" collapsed="false">
      <c r="A785" s="17"/>
      <c r="B785" s="18"/>
      <c r="C785" s="10"/>
      <c r="D785" s="18"/>
      <c r="E785" s="10"/>
      <c r="F785" s="18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customFormat="false" ht="43.5" hidden="false" customHeight="true" outlineLevel="0" collapsed="false">
      <c r="A786" s="17"/>
      <c r="B786" s="18"/>
      <c r="C786" s="10"/>
      <c r="D786" s="18"/>
      <c r="E786" s="10"/>
      <c r="F786" s="18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customFormat="false" ht="43.5" hidden="false" customHeight="true" outlineLevel="0" collapsed="false">
      <c r="A787" s="17"/>
      <c r="B787" s="18"/>
      <c r="C787" s="10"/>
      <c r="D787" s="18"/>
      <c r="E787" s="10"/>
      <c r="F787" s="18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customFormat="false" ht="43.5" hidden="false" customHeight="true" outlineLevel="0" collapsed="false">
      <c r="A788" s="17"/>
      <c r="B788" s="18"/>
      <c r="C788" s="10"/>
      <c r="D788" s="18"/>
      <c r="E788" s="10"/>
      <c r="F788" s="18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customFormat="false" ht="43.5" hidden="false" customHeight="true" outlineLevel="0" collapsed="false">
      <c r="A789" s="17"/>
      <c r="B789" s="18"/>
      <c r="C789" s="10"/>
      <c r="D789" s="18"/>
      <c r="E789" s="10"/>
      <c r="F789" s="18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customFormat="false" ht="43.5" hidden="false" customHeight="true" outlineLevel="0" collapsed="false">
      <c r="A790" s="17"/>
      <c r="B790" s="18"/>
      <c r="C790" s="10"/>
      <c r="D790" s="18"/>
      <c r="E790" s="10"/>
      <c r="F790" s="18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customFormat="false" ht="43.5" hidden="false" customHeight="true" outlineLevel="0" collapsed="false">
      <c r="A791" s="17"/>
      <c r="B791" s="18"/>
      <c r="C791" s="10"/>
      <c r="D791" s="18"/>
      <c r="E791" s="10"/>
      <c r="F791" s="18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customFormat="false" ht="43.5" hidden="false" customHeight="true" outlineLevel="0" collapsed="false">
      <c r="A792" s="17"/>
      <c r="B792" s="18"/>
      <c r="C792" s="10"/>
      <c r="D792" s="18"/>
      <c r="E792" s="10"/>
      <c r="F792" s="18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customFormat="false" ht="43.5" hidden="false" customHeight="true" outlineLevel="0" collapsed="false">
      <c r="A793" s="17"/>
      <c r="B793" s="18"/>
      <c r="C793" s="10"/>
      <c r="D793" s="18"/>
      <c r="E793" s="10"/>
      <c r="F793" s="18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customFormat="false" ht="43.5" hidden="false" customHeight="true" outlineLevel="0" collapsed="false">
      <c r="A794" s="17"/>
      <c r="B794" s="18"/>
      <c r="C794" s="10"/>
      <c r="D794" s="18"/>
      <c r="E794" s="10"/>
      <c r="F794" s="18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customFormat="false" ht="43.5" hidden="false" customHeight="true" outlineLevel="0" collapsed="false">
      <c r="A795" s="17"/>
      <c r="B795" s="18"/>
      <c r="C795" s="10"/>
      <c r="D795" s="18"/>
      <c r="E795" s="10"/>
      <c r="F795" s="18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customFormat="false" ht="43.5" hidden="false" customHeight="true" outlineLevel="0" collapsed="false">
      <c r="A796" s="17"/>
      <c r="B796" s="18"/>
      <c r="C796" s="10"/>
      <c r="D796" s="18"/>
      <c r="E796" s="10"/>
      <c r="F796" s="18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customFormat="false" ht="43.5" hidden="false" customHeight="true" outlineLevel="0" collapsed="false">
      <c r="A797" s="17"/>
      <c r="B797" s="18"/>
      <c r="C797" s="10"/>
      <c r="D797" s="18"/>
      <c r="E797" s="10"/>
      <c r="F797" s="18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customFormat="false" ht="43.5" hidden="false" customHeight="true" outlineLevel="0" collapsed="false">
      <c r="A798" s="17"/>
      <c r="B798" s="18"/>
      <c r="C798" s="10"/>
      <c r="D798" s="18"/>
      <c r="E798" s="10"/>
      <c r="F798" s="18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customFormat="false" ht="43.5" hidden="false" customHeight="true" outlineLevel="0" collapsed="false">
      <c r="A799" s="17"/>
      <c r="B799" s="18"/>
      <c r="C799" s="10"/>
      <c r="D799" s="18"/>
      <c r="E799" s="10"/>
      <c r="F799" s="18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customFormat="false" ht="43.5" hidden="false" customHeight="true" outlineLevel="0" collapsed="false">
      <c r="A800" s="17"/>
      <c r="B800" s="18"/>
      <c r="C800" s="10"/>
      <c r="D800" s="18"/>
      <c r="E800" s="10"/>
      <c r="F800" s="18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customFormat="false" ht="43.5" hidden="false" customHeight="true" outlineLevel="0" collapsed="false">
      <c r="A801" s="17"/>
      <c r="B801" s="18"/>
      <c r="C801" s="10"/>
      <c r="D801" s="18"/>
      <c r="E801" s="10"/>
      <c r="F801" s="18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customFormat="false" ht="43.5" hidden="false" customHeight="true" outlineLevel="0" collapsed="false">
      <c r="A802" s="17"/>
      <c r="B802" s="18"/>
      <c r="C802" s="10"/>
      <c r="D802" s="18"/>
      <c r="E802" s="10"/>
      <c r="F802" s="18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customFormat="false" ht="43.5" hidden="false" customHeight="true" outlineLevel="0" collapsed="false">
      <c r="A803" s="17"/>
      <c r="B803" s="18"/>
      <c r="C803" s="10"/>
      <c r="D803" s="18"/>
      <c r="E803" s="10"/>
      <c r="F803" s="18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customFormat="false" ht="43.5" hidden="false" customHeight="true" outlineLevel="0" collapsed="false">
      <c r="A804" s="17"/>
      <c r="B804" s="18"/>
      <c r="C804" s="10"/>
      <c r="D804" s="18"/>
      <c r="E804" s="10"/>
      <c r="F804" s="18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customFormat="false" ht="43.5" hidden="false" customHeight="true" outlineLevel="0" collapsed="false">
      <c r="A805" s="17"/>
      <c r="B805" s="18"/>
      <c r="C805" s="10"/>
      <c r="D805" s="18"/>
      <c r="E805" s="10"/>
      <c r="F805" s="18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customFormat="false" ht="43.5" hidden="false" customHeight="true" outlineLevel="0" collapsed="false">
      <c r="A806" s="17"/>
      <c r="B806" s="18"/>
      <c r="C806" s="10"/>
      <c r="D806" s="18"/>
      <c r="E806" s="10"/>
      <c r="F806" s="18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customFormat="false" ht="43.5" hidden="false" customHeight="true" outlineLevel="0" collapsed="false">
      <c r="A807" s="17"/>
      <c r="B807" s="18"/>
      <c r="C807" s="10"/>
      <c r="D807" s="18"/>
      <c r="E807" s="10"/>
      <c r="F807" s="18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customFormat="false" ht="43.5" hidden="false" customHeight="true" outlineLevel="0" collapsed="false">
      <c r="A808" s="17"/>
      <c r="B808" s="18"/>
      <c r="C808" s="10"/>
      <c r="D808" s="18"/>
      <c r="E808" s="10"/>
      <c r="F808" s="18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customFormat="false" ht="43.5" hidden="false" customHeight="true" outlineLevel="0" collapsed="false">
      <c r="A809" s="17"/>
      <c r="B809" s="18"/>
      <c r="C809" s="10"/>
      <c r="D809" s="18"/>
      <c r="E809" s="10"/>
      <c r="F809" s="18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customFormat="false" ht="43.5" hidden="false" customHeight="true" outlineLevel="0" collapsed="false">
      <c r="A810" s="17"/>
      <c r="B810" s="18"/>
      <c r="C810" s="10"/>
      <c r="D810" s="18"/>
      <c r="E810" s="10"/>
      <c r="F810" s="18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customFormat="false" ht="43.5" hidden="false" customHeight="true" outlineLevel="0" collapsed="false">
      <c r="A811" s="17"/>
      <c r="B811" s="18"/>
      <c r="C811" s="10"/>
      <c r="D811" s="18"/>
      <c r="E811" s="10"/>
      <c r="F811" s="18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customFormat="false" ht="43.5" hidden="false" customHeight="true" outlineLevel="0" collapsed="false">
      <c r="A812" s="17"/>
      <c r="B812" s="18"/>
      <c r="C812" s="10"/>
      <c r="D812" s="18"/>
      <c r="E812" s="10"/>
      <c r="F812" s="18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customFormat="false" ht="43.5" hidden="false" customHeight="true" outlineLevel="0" collapsed="false">
      <c r="A813" s="17"/>
      <c r="B813" s="18"/>
      <c r="C813" s="10"/>
      <c r="D813" s="18"/>
      <c r="E813" s="10"/>
      <c r="F813" s="18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customFormat="false" ht="43.5" hidden="false" customHeight="true" outlineLevel="0" collapsed="false">
      <c r="A814" s="17"/>
      <c r="B814" s="18"/>
      <c r="C814" s="10"/>
      <c r="D814" s="18"/>
      <c r="E814" s="10"/>
      <c r="F814" s="18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customFormat="false" ht="43.5" hidden="false" customHeight="true" outlineLevel="0" collapsed="false">
      <c r="A815" s="17"/>
      <c r="B815" s="18"/>
      <c r="C815" s="10"/>
      <c r="D815" s="18"/>
      <c r="E815" s="10"/>
      <c r="F815" s="18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customFormat="false" ht="43.5" hidden="false" customHeight="true" outlineLevel="0" collapsed="false">
      <c r="A816" s="17"/>
      <c r="B816" s="18"/>
      <c r="C816" s="10"/>
      <c r="D816" s="18"/>
      <c r="E816" s="10"/>
      <c r="F816" s="18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customFormat="false" ht="43.5" hidden="false" customHeight="true" outlineLevel="0" collapsed="false">
      <c r="A817" s="17"/>
      <c r="B817" s="18"/>
      <c r="C817" s="10"/>
      <c r="D817" s="18"/>
      <c r="E817" s="10"/>
      <c r="F817" s="18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customFormat="false" ht="43.5" hidden="false" customHeight="true" outlineLevel="0" collapsed="false">
      <c r="A818" s="17"/>
      <c r="B818" s="18"/>
      <c r="C818" s="10"/>
      <c r="D818" s="18"/>
      <c r="E818" s="10"/>
      <c r="F818" s="18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customFormat="false" ht="43.5" hidden="false" customHeight="true" outlineLevel="0" collapsed="false">
      <c r="A819" s="17"/>
      <c r="B819" s="18"/>
      <c r="C819" s="10"/>
      <c r="D819" s="18"/>
      <c r="E819" s="10"/>
      <c r="F819" s="18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customFormat="false" ht="43.5" hidden="false" customHeight="true" outlineLevel="0" collapsed="false">
      <c r="A820" s="17"/>
      <c r="B820" s="18"/>
      <c r="C820" s="10"/>
      <c r="D820" s="18"/>
      <c r="E820" s="10"/>
      <c r="F820" s="18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customFormat="false" ht="43.5" hidden="false" customHeight="true" outlineLevel="0" collapsed="false">
      <c r="A821" s="17"/>
      <c r="B821" s="18"/>
      <c r="C821" s="10"/>
      <c r="D821" s="18"/>
      <c r="E821" s="10"/>
      <c r="F821" s="18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customFormat="false" ht="43.5" hidden="false" customHeight="true" outlineLevel="0" collapsed="false">
      <c r="A822" s="17"/>
      <c r="B822" s="18"/>
      <c r="C822" s="10"/>
      <c r="D822" s="18"/>
      <c r="E822" s="10"/>
      <c r="F822" s="18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customFormat="false" ht="43.5" hidden="false" customHeight="true" outlineLevel="0" collapsed="false">
      <c r="A823" s="17"/>
      <c r="B823" s="18"/>
      <c r="C823" s="10"/>
      <c r="D823" s="18"/>
      <c r="E823" s="10"/>
      <c r="F823" s="18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customFormat="false" ht="43.5" hidden="false" customHeight="true" outlineLevel="0" collapsed="false">
      <c r="A824" s="17"/>
      <c r="B824" s="18"/>
      <c r="C824" s="10"/>
      <c r="D824" s="18"/>
      <c r="E824" s="10"/>
      <c r="F824" s="18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customFormat="false" ht="43.5" hidden="false" customHeight="true" outlineLevel="0" collapsed="false">
      <c r="A825" s="17"/>
      <c r="B825" s="18"/>
      <c r="C825" s="10"/>
      <c r="D825" s="18"/>
      <c r="E825" s="10"/>
      <c r="F825" s="18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customFormat="false" ht="43.5" hidden="false" customHeight="true" outlineLevel="0" collapsed="false">
      <c r="A826" s="17"/>
      <c r="B826" s="18"/>
      <c r="C826" s="10"/>
      <c r="D826" s="18"/>
      <c r="E826" s="10"/>
      <c r="F826" s="18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customFormat="false" ht="43.5" hidden="false" customHeight="true" outlineLevel="0" collapsed="false">
      <c r="A827" s="17"/>
      <c r="B827" s="18"/>
      <c r="C827" s="10"/>
      <c r="D827" s="18"/>
      <c r="E827" s="10"/>
      <c r="F827" s="18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customFormat="false" ht="43.5" hidden="false" customHeight="true" outlineLevel="0" collapsed="false">
      <c r="A828" s="17"/>
      <c r="B828" s="18"/>
      <c r="C828" s="10"/>
      <c r="D828" s="18"/>
      <c r="E828" s="10"/>
      <c r="F828" s="18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customFormat="false" ht="43.5" hidden="false" customHeight="true" outlineLevel="0" collapsed="false">
      <c r="A829" s="17"/>
      <c r="B829" s="18"/>
      <c r="C829" s="10"/>
      <c r="D829" s="18"/>
      <c r="E829" s="10"/>
      <c r="F829" s="18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customFormat="false" ht="43.5" hidden="false" customHeight="true" outlineLevel="0" collapsed="false">
      <c r="A830" s="17"/>
      <c r="B830" s="18"/>
      <c r="C830" s="10"/>
      <c r="D830" s="18"/>
      <c r="E830" s="10"/>
      <c r="F830" s="18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customFormat="false" ht="43.5" hidden="false" customHeight="true" outlineLevel="0" collapsed="false">
      <c r="A831" s="17"/>
      <c r="B831" s="18"/>
      <c r="C831" s="10"/>
      <c r="D831" s="18"/>
      <c r="E831" s="10"/>
      <c r="F831" s="18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customFormat="false" ht="43.5" hidden="false" customHeight="true" outlineLevel="0" collapsed="false">
      <c r="A832" s="17"/>
      <c r="B832" s="18"/>
      <c r="C832" s="10"/>
      <c r="D832" s="18"/>
      <c r="E832" s="10"/>
      <c r="F832" s="18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customFormat="false" ht="43.5" hidden="false" customHeight="true" outlineLevel="0" collapsed="false">
      <c r="A833" s="17"/>
      <c r="B833" s="18"/>
      <c r="C833" s="10"/>
      <c r="D833" s="18"/>
      <c r="E833" s="10"/>
      <c r="F833" s="18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customFormat="false" ht="43.5" hidden="false" customHeight="true" outlineLevel="0" collapsed="false">
      <c r="A834" s="17"/>
      <c r="B834" s="18"/>
      <c r="C834" s="10"/>
      <c r="D834" s="18"/>
      <c r="E834" s="10"/>
      <c r="F834" s="18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customFormat="false" ht="43.5" hidden="false" customHeight="true" outlineLevel="0" collapsed="false">
      <c r="A835" s="17"/>
      <c r="B835" s="18"/>
      <c r="C835" s="10"/>
      <c r="D835" s="18"/>
      <c r="E835" s="10"/>
      <c r="F835" s="18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customFormat="false" ht="43.5" hidden="false" customHeight="true" outlineLevel="0" collapsed="false">
      <c r="A836" s="17"/>
      <c r="B836" s="18"/>
      <c r="C836" s="10"/>
      <c r="D836" s="18"/>
      <c r="E836" s="10"/>
      <c r="F836" s="18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customFormat="false" ht="43.5" hidden="false" customHeight="true" outlineLevel="0" collapsed="false">
      <c r="A837" s="17"/>
      <c r="B837" s="18"/>
      <c r="C837" s="10"/>
      <c r="D837" s="18"/>
      <c r="E837" s="10"/>
      <c r="F837" s="18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customFormat="false" ht="43.5" hidden="false" customHeight="true" outlineLevel="0" collapsed="false">
      <c r="A838" s="17"/>
      <c r="B838" s="18"/>
      <c r="C838" s="10"/>
      <c r="D838" s="18"/>
      <c r="E838" s="10"/>
      <c r="F838" s="18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customFormat="false" ht="43.5" hidden="false" customHeight="true" outlineLevel="0" collapsed="false">
      <c r="A839" s="17"/>
      <c r="B839" s="18"/>
      <c r="C839" s="10"/>
      <c r="D839" s="18"/>
      <c r="E839" s="10"/>
      <c r="F839" s="18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customFormat="false" ht="43.5" hidden="false" customHeight="true" outlineLevel="0" collapsed="false">
      <c r="A840" s="17"/>
      <c r="B840" s="18"/>
      <c r="C840" s="10"/>
      <c r="D840" s="18"/>
      <c r="E840" s="10"/>
      <c r="F840" s="18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customFormat="false" ht="43.5" hidden="false" customHeight="true" outlineLevel="0" collapsed="false">
      <c r="A841" s="17"/>
      <c r="B841" s="18"/>
      <c r="C841" s="10"/>
      <c r="D841" s="18"/>
      <c r="E841" s="10"/>
      <c r="F841" s="18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customFormat="false" ht="43.5" hidden="false" customHeight="true" outlineLevel="0" collapsed="false">
      <c r="A842" s="17"/>
      <c r="B842" s="18"/>
      <c r="C842" s="10"/>
      <c r="D842" s="18"/>
      <c r="E842" s="10"/>
      <c r="F842" s="18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customFormat="false" ht="43.5" hidden="false" customHeight="true" outlineLevel="0" collapsed="false">
      <c r="A843" s="17"/>
      <c r="B843" s="18"/>
      <c r="C843" s="10"/>
      <c r="D843" s="18"/>
      <c r="E843" s="10"/>
      <c r="F843" s="18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customFormat="false" ht="43.5" hidden="false" customHeight="true" outlineLevel="0" collapsed="false">
      <c r="A844" s="17"/>
      <c r="B844" s="18"/>
      <c r="C844" s="10"/>
      <c r="D844" s="18"/>
      <c r="E844" s="10"/>
      <c r="F844" s="18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customFormat="false" ht="43.5" hidden="false" customHeight="true" outlineLevel="0" collapsed="false">
      <c r="A845" s="17"/>
      <c r="B845" s="18"/>
      <c r="C845" s="10"/>
      <c r="D845" s="18"/>
      <c r="E845" s="10"/>
      <c r="F845" s="18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customFormat="false" ht="43.5" hidden="false" customHeight="true" outlineLevel="0" collapsed="false">
      <c r="A846" s="17"/>
      <c r="B846" s="18"/>
      <c r="C846" s="10"/>
      <c r="D846" s="18"/>
      <c r="E846" s="10"/>
      <c r="F846" s="18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customFormat="false" ht="43.5" hidden="false" customHeight="true" outlineLevel="0" collapsed="false">
      <c r="A847" s="17"/>
      <c r="B847" s="18"/>
      <c r="C847" s="10"/>
      <c r="D847" s="18"/>
      <c r="E847" s="10"/>
      <c r="F847" s="18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customFormat="false" ht="43.5" hidden="false" customHeight="true" outlineLevel="0" collapsed="false">
      <c r="A848" s="17"/>
      <c r="B848" s="18"/>
      <c r="C848" s="10"/>
      <c r="D848" s="18"/>
      <c r="E848" s="10"/>
      <c r="F848" s="18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customFormat="false" ht="43.5" hidden="false" customHeight="true" outlineLevel="0" collapsed="false">
      <c r="A849" s="17"/>
      <c r="B849" s="18"/>
      <c r="C849" s="10"/>
      <c r="D849" s="18"/>
      <c r="E849" s="10"/>
      <c r="F849" s="18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customFormat="false" ht="43.5" hidden="false" customHeight="true" outlineLevel="0" collapsed="false">
      <c r="A850" s="17"/>
      <c r="B850" s="18"/>
      <c r="C850" s="10"/>
      <c r="D850" s="18"/>
      <c r="E850" s="10"/>
      <c r="F850" s="18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customFormat="false" ht="43.5" hidden="false" customHeight="true" outlineLevel="0" collapsed="false">
      <c r="A851" s="17"/>
      <c r="B851" s="18"/>
      <c r="C851" s="10"/>
      <c r="D851" s="18"/>
      <c r="E851" s="10"/>
      <c r="F851" s="18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customFormat="false" ht="43.5" hidden="false" customHeight="true" outlineLevel="0" collapsed="false">
      <c r="A852" s="17"/>
      <c r="B852" s="18"/>
      <c r="C852" s="10"/>
      <c r="D852" s="18"/>
      <c r="E852" s="10"/>
      <c r="F852" s="18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customFormat="false" ht="43.5" hidden="false" customHeight="true" outlineLevel="0" collapsed="false">
      <c r="A853" s="17"/>
      <c r="B853" s="18"/>
      <c r="C853" s="10"/>
      <c r="D853" s="18"/>
      <c r="E853" s="10"/>
      <c r="F853" s="18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customFormat="false" ht="43.5" hidden="false" customHeight="true" outlineLevel="0" collapsed="false">
      <c r="A854" s="17"/>
      <c r="B854" s="18"/>
      <c r="C854" s="10"/>
      <c r="D854" s="18"/>
      <c r="E854" s="10"/>
      <c r="F854" s="18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customFormat="false" ht="43.5" hidden="false" customHeight="true" outlineLevel="0" collapsed="false">
      <c r="A855" s="17"/>
      <c r="B855" s="18"/>
      <c r="C855" s="10"/>
      <c r="D855" s="18"/>
      <c r="E855" s="10"/>
      <c r="F855" s="18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customFormat="false" ht="43.5" hidden="false" customHeight="true" outlineLevel="0" collapsed="false">
      <c r="A856" s="17"/>
      <c r="B856" s="18"/>
      <c r="C856" s="10"/>
      <c r="D856" s="18"/>
      <c r="E856" s="10"/>
      <c r="F856" s="18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customFormat="false" ht="43.5" hidden="false" customHeight="true" outlineLevel="0" collapsed="false">
      <c r="A857" s="17"/>
      <c r="B857" s="18"/>
      <c r="C857" s="10"/>
      <c r="D857" s="18"/>
      <c r="E857" s="10"/>
      <c r="F857" s="18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customFormat="false" ht="43.5" hidden="false" customHeight="true" outlineLevel="0" collapsed="false">
      <c r="A858" s="17"/>
      <c r="B858" s="18"/>
      <c r="C858" s="10"/>
      <c r="D858" s="18"/>
      <c r="E858" s="10"/>
      <c r="F858" s="18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customFormat="false" ht="43.5" hidden="false" customHeight="true" outlineLevel="0" collapsed="false">
      <c r="A859" s="17"/>
      <c r="B859" s="18"/>
      <c r="C859" s="10"/>
      <c r="D859" s="18"/>
      <c r="E859" s="10"/>
      <c r="F859" s="18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customFormat="false" ht="43.5" hidden="false" customHeight="true" outlineLevel="0" collapsed="false">
      <c r="A860" s="17"/>
      <c r="B860" s="18"/>
      <c r="C860" s="10"/>
      <c r="D860" s="18"/>
      <c r="E860" s="10"/>
      <c r="F860" s="18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customFormat="false" ht="43.5" hidden="false" customHeight="true" outlineLevel="0" collapsed="false">
      <c r="A861" s="17"/>
      <c r="B861" s="18"/>
      <c r="C861" s="10"/>
      <c r="D861" s="18"/>
      <c r="E861" s="10"/>
      <c r="F861" s="18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customFormat="false" ht="43.5" hidden="false" customHeight="true" outlineLevel="0" collapsed="false">
      <c r="A862" s="17"/>
      <c r="B862" s="18"/>
      <c r="C862" s="10"/>
      <c r="D862" s="18"/>
      <c r="E862" s="10"/>
      <c r="F862" s="18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customFormat="false" ht="43.5" hidden="false" customHeight="true" outlineLevel="0" collapsed="false">
      <c r="A863" s="17"/>
      <c r="B863" s="18"/>
      <c r="C863" s="10"/>
      <c r="D863" s="18"/>
      <c r="E863" s="10"/>
      <c r="F863" s="18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customFormat="false" ht="43.5" hidden="false" customHeight="true" outlineLevel="0" collapsed="false">
      <c r="A864" s="17"/>
      <c r="B864" s="18"/>
      <c r="C864" s="10"/>
      <c r="D864" s="18"/>
      <c r="E864" s="10"/>
      <c r="F864" s="18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customFormat="false" ht="43.5" hidden="false" customHeight="true" outlineLevel="0" collapsed="false">
      <c r="A865" s="17"/>
      <c r="B865" s="18"/>
      <c r="C865" s="10"/>
      <c r="D865" s="18"/>
      <c r="E865" s="10"/>
      <c r="F865" s="18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customFormat="false" ht="43.5" hidden="false" customHeight="true" outlineLevel="0" collapsed="false">
      <c r="A866" s="17"/>
      <c r="B866" s="18"/>
      <c r="C866" s="10"/>
      <c r="D866" s="18"/>
      <c r="E866" s="10"/>
      <c r="F866" s="18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customFormat="false" ht="43.5" hidden="false" customHeight="true" outlineLevel="0" collapsed="false">
      <c r="A867" s="17"/>
      <c r="B867" s="18"/>
      <c r="C867" s="10"/>
      <c r="D867" s="18"/>
      <c r="E867" s="10"/>
      <c r="F867" s="18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customFormat="false" ht="43.5" hidden="false" customHeight="true" outlineLevel="0" collapsed="false">
      <c r="A868" s="17"/>
      <c r="B868" s="18"/>
      <c r="C868" s="10"/>
      <c r="D868" s="18"/>
      <c r="E868" s="10"/>
      <c r="F868" s="18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customFormat="false" ht="43.5" hidden="false" customHeight="true" outlineLevel="0" collapsed="false">
      <c r="A869" s="17"/>
      <c r="B869" s="18"/>
      <c r="C869" s="10"/>
      <c r="D869" s="18"/>
      <c r="E869" s="10"/>
      <c r="F869" s="18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customFormat="false" ht="43.5" hidden="false" customHeight="true" outlineLevel="0" collapsed="false">
      <c r="A870" s="17"/>
      <c r="B870" s="18"/>
      <c r="C870" s="10"/>
      <c r="D870" s="18"/>
      <c r="E870" s="10"/>
      <c r="F870" s="18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customFormat="false" ht="43.5" hidden="false" customHeight="true" outlineLevel="0" collapsed="false">
      <c r="A871" s="17"/>
      <c r="B871" s="18"/>
      <c r="C871" s="10"/>
      <c r="D871" s="18"/>
      <c r="E871" s="10"/>
      <c r="F871" s="18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customFormat="false" ht="43.5" hidden="false" customHeight="true" outlineLevel="0" collapsed="false">
      <c r="A872" s="17"/>
      <c r="B872" s="18"/>
      <c r="C872" s="10"/>
      <c r="D872" s="18"/>
      <c r="E872" s="10"/>
      <c r="F872" s="18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customFormat="false" ht="43.5" hidden="false" customHeight="true" outlineLevel="0" collapsed="false">
      <c r="A873" s="17"/>
      <c r="B873" s="18"/>
      <c r="C873" s="10"/>
      <c r="D873" s="18"/>
      <c r="E873" s="10"/>
      <c r="F873" s="18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customFormat="false" ht="43.5" hidden="false" customHeight="true" outlineLevel="0" collapsed="false">
      <c r="A874" s="17"/>
      <c r="B874" s="18"/>
      <c r="C874" s="10"/>
      <c r="D874" s="18"/>
      <c r="E874" s="10"/>
      <c r="F874" s="18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customFormat="false" ht="43.5" hidden="false" customHeight="true" outlineLevel="0" collapsed="false">
      <c r="A875" s="17"/>
      <c r="B875" s="18"/>
      <c r="C875" s="10"/>
      <c r="D875" s="18"/>
      <c r="E875" s="10"/>
      <c r="F875" s="18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customFormat="false" ht="43.5" hidden="false" customHeight="true" outlineLevel="0" collapsed="false">
      <c r="A876" s="17"/>
      <c r="B876" s="18"/>
      <c r="C876" s="10"/>
      <c r="D876" s="18"/>
      <c r="E876" s="10"/>
      <c r="F876" s="18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customFormat="false" ht="43.5" hidden="false" customHeight="true" outlineLevel="0" collapsed="false">
      <c r="A877" s="17"/>
      <c r="B877" s="18"/>
      <c r="C877" s="10"/>
      <c r="D877" s="18"/>
      <c r="E877" s="10"/>
      <c r="F877" s="18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customFormat="false" ht="43.5" hidden="false" customHeight="true" outlineLevel="0" collapsed="false">
      <c r="A878" s="17"/>
      <c r="B878" s="18"/>
      <c r="C878" s="10"/>
      <c r="D878" s="18"/>
      <c r="E878" s="10"/>
      <c r="F878" s="18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customFormat="false" ht="43.5" hidden="false" customHeight="true" outlineLevel="0" collapsed="false">
      <c r="A879" s="17"/>
      <c r="B879" s="18"/>
      <c r="C879" s="10"/>
      <c r="D879" s="18"/>
      <c r="E879" s="10"/>
      <c r="F879" s="18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customFormat="false" ht="43.5" hidden="false" customHeight="true" outlineLevel="0" collapsed="false">
      <c r="A880" s="17"/>
      <c r="B880" s="18"/>
      <c r="C880" s="10"/>
      <c r="D880" s="18"/>
      <c r="E880" s="10"/>
      <c r="F880" s="18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customFormat="false" ht="43.5" hidden="false" customHeight="true" outlineLevel="0" collapsed="false">
      <c r="A881" s="17"/>
      <c r="B881" s="18"/>
      <c r="C881" s="10"/>
      <c r="D881" s="18"/>
      <c r="E881" s="10"/>
      <c r="F881" s="18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customFormat="false" ht="43.5" hidden="false" customHeight="true" outlineLevel="0" collapsed="false">
      <c r="A882" s="17"/>
      <c r="B882" s="18"/>
      <c r="C882" s="10"/>
      <c r="D882" s="18"/>
      <c r="E882" s="10"/>
      <c r="F882" s="18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customFormat="false" ht="43.5" hidden="false" customHeight="true" outlineLevel="0" collapsed="false">
      <c r="A883" s="17"/>
      <c r="B883" s="18"/>
      <c r="C883" s="10"/>
      <c r="D883" s="18"/>
      <c r="E883" s="10"/>
      <c r="F883" s="18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customFormat="false" ht="43.5" hidden="false" customHeight="true" outlineLevel="0" collapsed="false">
      <c r="A884" s="17"/>
      <c r="B884" s="18"/>
      <c r="C884" s="10"/>
      <c r="D884" s="18"/>
      <c r="E884" s="10"/>
      <c r="F884" s="18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customFormat="false" ht="43.5" hidden="false" customHeight="true" outlineLevel="0" collapsed="false">
      <c r="A885" s="17"/>
      <c r="B885" s="18"/>
      <c r="C885" s="10"/>
      <c r="D885" s="18"/>
      <c r="E885" s="10"/>
      <c r="F885" s="18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customFormat="false" ht="43.5" hidden="false" customHeight="true" outlineLevel="0" collapsed="false">
      <c r="A886" s="17"/>
      <c r="B886" s="18"/>
      <c r="C886" s="10"/>
      <c r="D886" s="18"/>
      <c r="E886" s="10"/>
      <c r="F886" s="18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customFormat="false" ht="43.5" hidden="false" customHeight="true" outlineLevel="0" collapsed="false">
      <c r="A887" s="17"/>
      <c r="B887" s="18"/>
      <c r="C887" s="10"/>
      <c r="D887" s="18"/>
      <c r="E887" s="10"/>
      <c r="F887" s="18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customFormat="false" ht="43.5" hidden="false" customHeight="true" outlineLevel="0" collapsed="false">
      <c r="A888" s="17"/>
      <c r="B888" s="18"/>
      <c r="C888" s="10"/>
      <c r="D888" s="18"/>
      <c r="E888" s="10"/>
      <c r="F888" s="18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customFormat="false" ht="43.5" hidden="false" customHeight="true" outlineLevel="0" collapsed="false">
      <c r="A889" s="17"/>
      <c r="B889" s="18"/>
      <c r="C889" s="10"/>
      <c r="D889" s="18"/>
      <c r="E889" s="10"/>
      <c r="F889" s="18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customFormat="false" ht="43.5" hidden="false" customHeight="true" outlineLevel="0" collapsed="false">
      <c r="A890" s="17"/>
      <c r="B890" s="18"/>
      <c r="C890" s="10"/>
      <c r="D890" s="18"/>
      <c r="E890" s="10"/>
      <c r="F890" s="18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customFormat="false" ht="43.5" hidden="false" customHeight="true" outlineLevel="0" collapsed="false">
      <c r="A891" s="17"/>
      <c r="B891" s="18"/>
      <c r="C891" s="10"/>
      <c r="D891" s="18"/>
      <c r="E891" s="10"/>
      <c r="F891" s="18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customFormat="false" ht="43.5" hidden="false" customHeight="true" outlineLevel="0" collapsed="false">
      <c r="A892" s="17"/>
      <c r="B892" s="18"/>
      <c r="C892" s="10"/>
      <c r="D892" s="18"/>
      <c r="E892" s="10"/>
      <c r="F892" s="18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customFormat="false" ht="43.5" hidden="false" customHeight="true" outlineLevel="0" collapsed="false">
      <c r="A893" s="17"/>
      <c r="B893" s="18"/>
      <c r="C893" s="10"/>
      <c r="D893" s="18"/>
      <c r="E893" s="10"/>
      <c r="F893" s="18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customFormat="false" ht="43.5" hidden="false" customHeight="true" outlineLevel="0" collapsed="false">
      <c r="A894" s="17"/>
      <c r="B894" s="18"/>
      <c r="C894" s="10"/>
      <c r="D894" s="18"/>
      <c r="E894" s="10"/>
      <c r="F894" s="18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customFormat="false" ht="43.5" hidden="false" customHeight="true" outlineLevel="0" collapsed="false">
      <c r="A895" s="17"/>
      <c r="B895" s="18"/>
      <c r="C895" s="10"/>
      <c r="D895" s="18"/>
      <c r="E895" s="10"/>
      <c r="F895" s="18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customFormat="false" ht="43.5" hidden="false" customHeight="true" outlineLevel="0" collapsed="false">
      <c r="A896" s="17"/>
      <c r="B896" s="18"/>
      <c r="C896" s="10"/>
      <c r="D896" s="18"/>
      <c r="E896" s="10"/>
      <c r="F896" s="18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customFormat="false" ht="43.5" hidden="false" customHeight="true" outlineLevel="0" collapsed="false">
      <c r="A897" s="17"/>
      <c r="B897" s="18"/>
      <c r="C897" s="10"/>
      <c r="D897" s="18"/>
      <c r="E897" s="10"/>
      <c r="F897" s="18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customFormat="false" ht="43.5" hidden="false" customHeight="true" outlineLevel="0" collapsed="false">
      <c r="A898" s="17"/>
      <c r="B898" s="18"/>
      <c r="C898" s="10"/>
      <c r="D898" s="18"/>
      <c r="E898" s="10"/>
      <c r="F898" s="18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customFormat="false" ht="43.5" hidden="false" customHeight="true" outlineLevel="0" collapsed="false">
      <c r="A899" s="17"/>
      <c r="B899" s="18"/>
      <c r="C899" s="10"/>
      <c r="D899" s="18"/>
      <c r="E899" s="10"/>
      <c r="F899" s="18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customFormat="false" ht="43.5" hidden="false" customHeight="true" outlineLevel="0" collapsed="false">
      <c r="A900" s="17"/>
      <c r="B900" s="18"/>
      <c r="C900" s="10"/>
      <c r="D900" s="18"/>
      <c r="E900" s="10"/>
      <c r="F900" s="18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customFormat="false" ht="43.5" hidden="false" customHeight="true" outlineLevel="0" collapsed="false">
      <c r="A901" s="17"/>
      <c r="B901" s="18"/>
      <c r="C901" s="10"/>
      <c r="D901" s="18"/>
      <c r="E901" s="10"/>
      <c r="F901" s="18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customFormat="false" ht="43.5" hidden="false" customHeight="true" outlineLevel="0" collapsed="false">
      <c r="A902" s="17"/>
      <c r="B902" s="18"/>
      <c r="C902" s="10"/>
      <c r="D902" s="18"/>
      <c r="E902" s="10"/>
      <c r="F902" s="18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customFormat="false" ht="43.5" hidden="false" customHeight="true" outlineLevel="0" collapsed="false">
      <c r="A903" s="17"/>
      <c r="B903" s="18"/>
      <c r="C903" s="10"/>
      <c r="D903" s="18"/>
      <c r="E903" s="10"/>
      <c r="F903" s="18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customFormat="false" ht="43.5" hidden="false" customHeight="true" outlineLevel="0" collapsed="false">
      <c r="A904" s="17"/>
      <c r="B904" s="18"/>
      <c r="C904" s="10"/>
      <c r="D904" s="18"/>
      <c r="E904" s="10"/>
      <c r="F904" s="18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customFormat="false" ht="43.5" hidden="false" customHeight="true" outlineLevel="0" collapsed="false">
      <c r="A905" s="17"/>
      <c r="B905" s="18"/>
      <c r="C905" s="10"/>
      <c r="D905" s="18"/>
      <c r="E905" s="10"/>
      <c r="F905" s="18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customFormat="false" ht="43.5" hidden="false" customHeight="true" outlineLevel="0" collapsed="false">
      <c r="A906" s="17"/>
      <c r="B906" s="18"/>
      <c r="C906" s="10"/>
      <c r="D906" s="18"/>
      <c r="E906" s="10"/>
      <c r="F906" s="18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customFormat="false" ht="43.5" hidden="false" customHeight="true" outlineLevel="0" collapsed="false">
      <c r="A907" s="17"/>
      <c r="B907" s="18"/>
      <c r="C907" s="10"/>
      <c r="D907" s="18"/>
      <c r="E907" s="10"/>
      <c r="F907" s="18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customFormat="false" ht="43.5" hidden="false" customHeight="true" outlineLevel="0" collapsed="false">
      <c r="A908" s="17"/>
      <c r="B908" s="18"/>
      <c r="C908" s="10"/>
      <c r="D908" s="18"/>
      <c r="E908" s="10"/>
      <c r="F908" s="18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customFormat="false" ht="43.5" hidden="false" customHeight="true" outlineLevel="0" collapsed="false">
      <c r="A909" s="17"/>
      <c r="B909" s="18"/>
      <c r="C909" s="10"/>
      <c r="D909" s="18"/>
      <c r="E909" s="10"/>
      <c r="F909" s="18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customFormat="false" ht="43.5" hidden="false" customHeight="true" outlineLevel="0" collapsed="false">
      <c r="A910" s="17"/>
      <c r="B910" s="18"/>
      <c r="C910" s="10"/>
      <c r="D910" s="18"/>
      <c r="E910" s="10"/>
      <c r="F910" s="18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customFormat="false" ht="43.5" hidden="false" customHeight="true" outlineLevel="0" collapsed="false">
      <c r="A911" s="17"/>
      <c r="B911" s="18"/>
      <c r="C911" s="10"/>
      <c r="D911" s="18"/>
      <c r="E911" s="10"/>
      <c r="F911" s="18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customFormat="false" ht="43.5" hidden="false" customHeight="true" outlineLevel="0" collapsed="false">
      <c r="A912" s="17"/>
      <c r="B912" s="18"/>
      <c r="C912" s="10"/>
      <c r="D912" s="18"/>
      <c r="E912" s="10"/>
      <c r="F912" s="18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customFormat="false" ht="43.5" hidden="false" customHeight="true" outlineLevel="0" collapsed="false">
      <c r="A913" s="17"/>
      <c r="B913" s="18"/>
      <c r="C913" s="10"/>
      <c r="D913" s="18"/>
      <c r="E913" s="10"/>
      <c r="F913" s="18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customFormat="false" ht="43.5" hidden="false" customHeight="true" outlineLevel="0" collapsed="false">
      <c r="A914" s="17"/>
      <c r="B914" s="18"/>
      <c r="C914" s="10"/>
      <c r="D914" s="18"/>
      <c r="E914" s="10"/>
      <c r="F914" s="18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customFormat="false" ht="43.5" hidden="false" customHeight="true" outlineLevel="0" collapsed="false">
      <c r="A915" s="17"/>
      <c r="B915" s="18"/>
      <c r="C915" s="10"/>
      <c r="D915" s="18"/>
      <c r="E915" s="10"/>
      <c r="F915" s="18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customFormat="false" ht="43.5" hidden="false" customHeight="true" outlineLevel="0" collapsed="false">
      <c r="A916" s="17"/>
      <c r="B916" s="18"/>
      <c r="C916" s="10"/>
      <c r="D916" s="18"/>
      <c r="E916" s="10"/>
      <c r="F916" s="18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customFormat="false" ht="43.5" hidden="false" customHeight="true" outlineLevel="0" collapsed="false">
      <c r="A917" s="17"/>
      <c r="B917" s="18"/>
      <c r="C917" s="10"/>
      <c r="D917" s="18"/>
      <c r="E917" s="10"/>
      <c r="F917" s="18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customFormat="false" ht="43.5" hidden="false" customHeight="true" outlineLevel="0" collapsed="false">
      <c r="A918" s="17"/>
      <c r="B918" s="18"/>
      <c r="C918" s="10"/>
      <c r="D918" s="18"/>
      <c r="E918" s="10"/>
      <c r="F918" s="18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customFormat="false" ht="43.5" hidden="false" customHeight="true" outlineLevel="0" collapsed="false">
      <c r="A919" s="17"/>
      <c r="B919" s="18"/>
      <c r="C919" s="10"/>
      <c r="D919" s="18"/>
      <c r="E919" s="10"/>
      <c r="F919" s="18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customFormat="false" ht="43.5" hidden="false" customHeight="true" outlineLevel="0" collapsed="false">
      <c r="A920" s="17"/>
      <c r="B920" s="18"/>
      <c r="C920" s="10"/>
      <c r="D920" s="18"/>
      <c r="E920" s="10"/>
      <c r="F920" s="18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customFormat="false" ht="43.5" hidden="false" customHeight="true" outlineLevel="0" collapsed="false">
      <c r="A921" s="17"/>
      <c r="B921" s="18"/>
      <c r="C921" s="10"/>
      <c r="D921" s="18"/>
      <c r="E921" s="10"/>
      <c r="F921" s="18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customFormat="false" ht="43.5" hidden="false" customHeight="true" outlineLevel="0" collapsed="false">
      <c r="A922" s="17"/>
      <c r="B922" s="18"/>
      <c r="C922" s="10"/>
      <c r="D922" s="18"/>
      <c r="E922" s="10"/>
      <c r="F922" s="18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customFormat="false" ht="43.5" hidden="false" customHeight="true" outlineLevel="0" collapsed="false">
      <c r="A923" s="17"/>
      <c r="B923" s="18"/>
      <c r="C923" s="10"/>
      <c r="D923" s="18"/>
      <c r="E923" s="10"/>
      <c r="F923" s="18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customFormat="false" ht="43.5" hidden="false" customHeight="true" outlineLevel="0" collapsed="false">
      <c r="A924" s="17"/>
      <c r="B924" s="18"/>
      <c r="C924" s="10"/>
      <c r="D924" s="18"/>
      <c r="E924" s="10"/>
      <c r="F924" s="18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customFormat="false" ht="43.5" hidden="false" customHeight="true" outlineLevel="0" collapsed="false">
      <c r="A925" s="17"/>
      <c r="B925" s="18"/>
      <c r="C925" s="10"/>
      <c r="D925" s="18"/>
      <c r="E925" s="10"/>
      <c r="F925" s="18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customFormat="false" ht="43.5" hidden="false" customHeight="true" outlineLevel="0" collapsed="false">
      <c r="A926" s="17"/>
      <c r="B926" s="18"/>
      <c r="C926" s="10"/>
      <c r="D926" s="18"/>
      <c r="E926" s="10"/>
      <c r="F926" s="18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customFormat="false" ht="43.5" hidden="false" customHeight="true" outlineLevel="0" collapsed="false">
      <c r="A927" s="17"/>
      <c r="B927" s="18"/>
      <c r="C927" s="10"/>
      <c r="D927" s="18"/>
      <c r="E927" s="10"/>
      <c r="F927" s="18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customFormat="false" ht="43.5" hidden="false" customHeight="true" outlineLevel="0" collapsed="false">
      <c r="A928" s="17"/>
      <c r="B928" s="18"/>
      <c r="C928" s="10"/>
      <c r="D928" s="18"/>
      <c r="E928" s="10"/>
      <c r="F928" s="18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customFormat="false" ht="43.5" hidden="false" customHeight="true" outlineLevel="0" collapsed="false">
      <c r="A929" s="17"/>
      <c r="B929" s="18"/>
      <c r="C929" s="10"/>
      <c r="D929" s="18"/>
      <c r="E929" s="10"/>
      <c r="F929" s="18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customFormat="false" ht="43.5" hidden="false" customHeight="true" outlineLevel="0" collapsed="false">
      <c r="A930" s="17"/>
      <c r="B930" s="18"/>
      <c r="C930" s="10"/>
      <c r="D930" s="18"/>
      <c r="E930" s="10"/>
      <c r="F930" s="18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customFormat="false" ht="43.5" hidden="false" customHeight="true" outlineLevel="0" collapsed="false">
      <c r="A931" s="17"/>
      <c r="B931" s="18"/>
      <c r="C931" s="10"/>
      <c r="D931" s="18"/>
      <c r="E931" s="10"/>
      <c r="F931" s="18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customFormat="false" ht="43.5" hidden="false" customHeight="true" outlineLevel="0" collapsed="false">
      <c r="A932" s="17"/>
      <c r="B932" s="18"/>
      <c r="C932" s="10"/>
      <c r="D932" s="18"/>
      <c r="E932" s="10"/>
      <c r="F932" s="18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customFormat="false" ht="43.5" hidden="false" customHeight="true" outlineLevel="0" collapsed="false">
      <c r="A933" s="17"/>
      <c r="B933" s="18"/>
      <c r="C933" s="10"/>
      <c r="D933" s="18"/>
      <c r="E933" s="10"/>
      <c r="F933" s="18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customFormat="false" ht="43.5" hidden="false" customHeight="true" outlineLevel="0" collapsed="false">
      <c r="A934" s="17"/>
      <c r="B934" s="18"/>
      <c r="C934" s="10"/>
      <c r="D934" s="18"/>
      <c r="E934" s="10"/>
      <c r="F934" s="18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customFormat="false" ht="43.5" hidden="false" customHeight="true" outlineLevel="0" collapsed="false">
      <c r="A935" s="17"/>
      <c r="B935" s="18"/>
      <c r="C935" s="10"/>
      <c r="D935" s="18"/>
      <c r="E935" s="10"/>
      <c r="F935" s="18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customFormat="false" ht="43.5" hidden="false" customHeight="true" outlineLevel="0" collapsed="false">
      <c r="A936" s="17"/>
      <c r="B936" s="18"/>
      <c r="C936" s="10"/>
      <c r="D936" s="18"/>
      <c r="E936" s="10"/>
      <c r="F936" s="18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customFormat="false" ht="43.5" hidden="false" customHeight="true" outlineLevel="0" collapsed="false">
      <c r="A937" s="17"/>
      <c r="B937" s="18"/>
      <c r="C937" s="10"/>
      <c r="D937" s="18"/>
      <c r="E937" s="10"/>
      <c r="F937" s="18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customFormat="false" ht="43.5" hidden="false" customHeight="true" outlineLevel="0" collapsed="false">
      <c r="A938" s="17"/>
      <c r="B938" s="18"/>
      <c r="C938" s="10"/>
      <c r="D938" s="18"/>
      <c r="E938" s="10"/>
      <c r="F938" s="18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customFormat="false" ht="43.5" hidden="false" customHeight="true" outlineLevel="0" collapsed="false">
      <c r="A939" s="17"/>
      <c r="B939" s="18"/>
      <c r="C939" s="10"/>
      <c r="D939" s="18"/>
      <c r="E939" s="10"/>
      <c r="F939" s="18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customFormat="false" ht="43.5" hidden="false" customHeight="true" outlineLevel="0" collapsed="false">
      <c r="A940" s="17"/>
      <c r="B940" s="18"/>
      <c r="C940" s="10"/>
      <c r="D940" s="18"/>
      <c r="E940" s="10"/>
      <c r="F940" s="18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customFormat="false" ht="43.5" hidden="false" customHeight="true" outlineLevel="0" collapsed="false">
      <c r="A941" s="17"/>
      <c r="B941" s="18"/>
      <c r="C941" s="10"/>
      <c r="D941" s="18"/>
      <c r="E941" s="10"/>
      <c r="F941" s="18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customFormat="false" ht="43.5" hidden="false" customHeight="true" outlineLevel="0" collapsed="false">
      <c r="A942" s="17"/>
      <c r="B942" s="18"/>
      <c r="C942" s="10"/>
      <c r="D942" s="18"/>
      <c r="E942" s="10"/>
      <c r="F942" s="18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customFormat="false" ht="43.5" hidden="false" customHeight="true" outlineLevel="0" collapsed="false">
      <c r="A943" s="17"/>
      <c r="B943" s="18"/>
      <c r="C943" s="10"/>
      <c r="D943" s="18"/>
      <c r="E943" s="10"/>
      <c r="F943" s="18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customFormat="false" ht="43.5" hidden="false" customHeight="true" outlineLevel="0" collapsed="false">
      <c r="A944" s="17"/>
      <c r="B944" s="18"/>
      <c r="C944" s="10"/>
      <c r="D944" s="18"/>
      <c r="E944" s="10"/>
      <c r="F944" s="18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customFormat="false" ht="43.5" hidden="false" customHeight="true" outlineLevel="0" collapsed="false">
      <c r="A945" s="17"/>
      <c r="B945" s="18"/>
      <c r="C945" s="10"/>
      <c r="D945" s="18"/>
      <c r="E945" s="10"/>
      <c r="F945" s="18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customFormat="false" ht="43.5" hidden="false" customHeight="true" outlineLevel="0" collapsed="false">
      <c r="A946" s="17"/>
      <c r="B946" s="18"/>
      <c r="C946" s="10"/>
      <c r="D946" s="18"/>
      <c r="E946" s="10"/>
      <c r="F946" s="18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customFormat="false" ht="43.5" hidden="false" customHeight="true" outlineLevel="0" collapsed="false">
      <c r="A947" s="17"/>
      <c r="B947" s="18"/>
      <c r="C947" s="10"/>
      <c r="D947" s="18"/>
      <c r="E947" s="10"/>
      <c r="F947" s="18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customFormat="false" ht="43.5" hidden="false" customHeight="true" outlineLevel="0" collapsed="false">
      <c r="A948" s="17"/>
      <c r="B948" s="18"/>
      <c r="C948" s="10"/>
      <c r="D948" s="18"/>
      <c r="E948" s="10"/>
      <c r="F948" s="18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customFormat="false" ht="43.5" hidden="false" customHeight="true" outlineLevel="0" collapsed="false">
      <c r="A949" s="17"/>
      <c r="B949" s="18"/>
      <c r="C949" s="10"/>
      <c r="D949" s="18"/>
      <c r="E949" s="10"/>
      <c r="F949" s="18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customFormat="false" ht="43.5" hidden="false" customHeight="true" outlineLevel="0" collapsed="false">
      <c r="A950" s="17"/>
      <c r="B950" s="18"/>
      <c r="C950" s="10"/>
      <c r="D950" s="18"/>
      <c r="E950" s="10"/>
      <c r="F950" s="18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customFormat="false" ht="43.5" hidden="false" customHeight="true" outlineLevel="0" collapsed="false">
      <c r="A951" s="17"/>
      <c r="B951" s="18"/>
      <c r="C951" s="10"/>
      <c r="D951" s="18"/>
      <c r="E951" s="10"/>
      <c r="F951" s="18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customFormat="false" ht="43.5" hidden="false" customHeight="true" outlineLevel="0" collapsed="false">
      <c r="A952" s="17"/>
      <c r="B952" s="18"/>
      <c r="C952" s="10"/>
      <c r="D952" s="18"/>
      <c r="E952" s="10"/>
      <c r="F952" s="18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customFormat="false" ht="43.5" hidden="false" customHeight="true" outlineLevel="0" collapsed="false">
      <c r="A953" s="17"/>
      <c r="B953" s="18"/>
      <c r="C953" s="10"/>
      <c r="D953" s="18"/>
      <c r="E953" s="10"/>
      <c r="F953" s="18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customFormat="false" ht="43.5" hidden="false" customHeight="true" outlineLevel="0" collapsed="false">
      <c r="A954" s="17"/>
      <c r="B954" s="18"/>
      <c r="C954" s="10"/>
      <c r="D954" s="18"/>
      <c r="E954" s="10"/>
      <c r="F954" s="18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customFormat="false" ht="43.5" hidden="false" customHeight="true" outlineLevel="0" collapsed="false">
      <c r="A955" s="17"/>
      <c r="B955" s="18"/>
      <c r="C955" s="10"/>
      <c r="D955" s="18"/>
      <c r="E955" s="10"/>
      <c r="F955" s="18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customFormat="false" ht="43.5" hidden="false" customHeight="true" outlineLevel="0" collapsed="false">
      <c r="A956" s="17"/>
      <c r="B956" s="18"/>
      <c r="C956" s="10"/>
      <c r="D956" s="18"/>
      <c r="E956" s="10"/>
      <c r="F956" s="18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customFormat="false" ht="43.5" hidden="false" customHeight="true" outlineLevel="0" collapsed="false">
      <c r="A957" s="17"/>
      <c r="B957" s="18"/>
      <c r="C957" s="10"/>
      <c r="D957" s="18"/>
      <c r="E957" s="10"/>
      <c r="F957" s="18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customFormat="false" ht="43.5" hidden="false" customHeight="true" outlineLevel="0" collapsed="false">
      <c r="A958" s="17"/>
      <c r="B958" s="18"/>
      <c r="C958" s="10"/>
      <c r="D958" s="18"/>
      <c r="E958" s="10"/>
      <c r="F958" s="18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customFormat="false" ht="43.5" hidden="false" customHeight="true" outlineLevel="0" collapsed="false">
      <c r="A959" s="17"/>
      <c r="B959" s="18"/>
      <c r="C959" s="10"/>
      <c r="D959" s="18"/>
      <c r="E959" s="10"/>
      <c r="F959" s="18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customFormat="false" ht="43.5" hidden="false" customHeight="true" outlineLevel="0" collapsed="false">
      <c r="A960" s="17"/>
      <c r="B960" s="18"/>
      <c r="C960" s="10"/>
      <c r="D960" s="18"/>
      <c r="E960" s="10"/>
      <c r="F960" s="18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customFormat="false" ht="43.5" hidden="false" customHeight="true" outlineLevel="0" collapsed="false">
      <c r="A961" s="17"/>
      <c r="B961" s="18"/>
      <c r="C961" s="10"/>
      <c r="D961" s="18"/>
      <c r="E961" s="10"/>
      <c r="F961" s="18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customFormat="false" ht="43.5" hidden="false" customHeight="true" outlineLevel="0" collapsed="false">
      <c r="A962" s="17"/>
      <c r="B962" s="18"/>
      <c r="C962" s="10"/>
      <c r="D962" s="18"/>
      <c r="E962" s="10"/>
      <c r="F962" s="18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customFormat="false" ht="43.5" hidden="false" customHeight="true" outlineLevel="0" collapsed="false">
      <c r="A963" s="17"/>
      <c r="B963" s="18"/>
      <c r="C963" s="10"/>
      <c r="D963" s="18"/>
      <c r="E963" s="10"/>
      <c r="F963" s="18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customFormat="false" ht="43.5" hidden="false" customHeight="true" outlineLevel="0" collapsed="false">
      <c r="A964" s="17"/>
      <c r="B964" s="18"/>
      <c r="C964" s="10"/>
      <c r="D964" s="18"/>
      <c r="E964" s="10"/>
      <c r="F964" s="18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</sheetData>
  <conditionalFormatting sqref="L160">
    <cfRule type="dataBar" priority="2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{F2CA26B9-4757-4678-B67E-388BEA3BA4D1}</x14:id>
        </ext>
      </extLst>
    </cfRule>
  </conditionalFormatting>
  <conditionalFormatting sqref="L160:L192">
    <cfRule type="dataBar" priority="3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{5F4DC8CC-B8FE-4946-A468-ABADB39BF0ED}</x14:id>
        </ext>
      </extLst>
    </cfRule>
  </conditionalFormatting>
  <conditionalFormatting sqref="H120:H128">
    <cfRule type="colorScale" priority="4">
      <colorScale>
        <cfvo type="formula" val="-400"/>
        <cfvo type="formula" val="0"/>
        <cfvo type="formula" val="400"/>
        <color rgb="FFE67C73"/>
        <color rgb="FFFFD666"/>
        <color rgb="FF57BB8A"/>
      </colorScale>
    </cfRule>
  </conditionalFormatting>
  <conditionalFormatting sqref="H119">
    <cfRule type="colorScale" priority="5">
      <colorScale>
        <cfvo type="formula" val="-400"/>
        <cfvo type="formula" val="0"/>
        <cfvo type="formula" val="400"/>
        <color rgb="FFE67C73"/>
        <color rgb="FFFFD666"/>
        <color rgb="FF57BB8A"/>
      </colorScale>
    </cfRule>
  </conditionalFormatting>
  <conditionalFormatting sqref="I119">
    <cfRule type="colorScale" priority="6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J119 J207:J211">
    <cfRule type="colorScale" priority="7">
      <colorScale>
        <cfvo type="formula" val="-0.6"/>
        <cfvo type="formula" val="0"/>
        <cfvo type="formula" val="0.6"/>
        <color rgb="FFE67C73"/>
        <color rgb="FFFFFFFF"/>
        <color rgb="FF57BB8A"/>
      </colorScale>
    </cfRule>
  </conditionalFormatting>
  <conditionalFormatting sqref="H118">
    <cfRule type="colorScale" priority="8">
      <colorScale>
        <cfvo type="formula" val="-400"/>
        <cfvo type="formula" val="0"/>
        <cfvo type="formula" val="400"/>
        <color rgb="FFE67C73"/>
        <color rgb="FFFFD666"/>
        <color rgb="FF57BB8A"/>
      </colorScale>
    </cfRule>
  </conditionalFormatting>
  <conditionalFormatting sqref="I118">
    <cfRule type="colorScale" priority="9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J118">
    <cfRule type="colorScale" priority="10">
      <colorScale>
        <cfvo type="formula" val="-0.6"/>
        <cfvo type="formula" val="0"/>
        <cfvo type="formula" val="0.6"/>
        <color rgb="FFE67C73"/>
        <color rgb="FFFFFFFF"/>
        <color rgb="FF57BB8A"/>
      </colorScale>
    </cfRule>
  </conditionalFormatting>
  <conditionalFormatting sqref="H117">
    <cfRule type="colorScale" priority="11">
      <colorScale>
        <cfvo type="formula" val="-400"/>
        <cfvo type="formula" val="0"/>
        <cfvo type="formula" val="400"/>
        <color rgb="FFE67C73"/>
        <color rgb="FFFFD666"/>
        <color rgb="FF57BB8A"/>
      </colorScale>
    </cfRule>
  </conditionalFormatting>
  <conditionalFormatting sqref="I117">
    <cfRule type="colorScale" priority="12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J117">
    <cfRule type="colorScale" priority="13">
      <colorScale>
        <cfvo type="formula" val="-0.6"/>
        <cfvo type="formula" val="0"/>
        <cfvo type="formula" val="0.6"/>
        <color rgb="FFE67C73"/>
        <color rgb="FFFFFFFF"/>
        <color rgb="FF57BB8A"/>
      </colorScale>
    </cfRule>
  </conditionalFormatting>
  <conditionalFormatting sqref="H116">
    <cfRule type="colorScale" priority="14">
      <colorScale>
        <cfvo type="formula" val="-400"/>
        <cfvo type="formula" val="0"/>
        <cfvo type="formula" val="400"/>
        <color rgb="FFE67C73"/>
        <color rgb="FFFFD666"/>
        <color rgb="FF57BB8A"/>
      </colorScale>
    </cfRule>
  </conditionalFormatting>
  <conditionalFormatting sqref="I116">
    <cfRule type="colorScale" priority="15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J116">
    <cfRule type="colorScale" priority="16">
      <colorScale>
        <cfvo type="formula" val="-0.6"/>
        <cfvo type="formula" val="0"/>
        <cfvo type="formula" val="0.6"/>
        <color rgb="FFE67C73"/>
        <color rgb="FFFFFFFF"/>
        <color rgb="FF57BB8A"/>
      </colorScale>
    </cfRule>
  </conditionalFormatting>
  <conditionalFormatting sqref="H2:H115">
    <cfRule type="colorScale" priority="17">
      <colorScale>
        <cfvo type="formula" val="-400"/>
        <cfvo type="formula" val="0"/>
        <cfvo type="formula" val="400"/>
        <color rgb="FFE67C73"/>
        <color rgb="FFFFD666"/>
        <color rgb="FF57BB8A"/>
      </colorScale>
    </cfRule>
  </conditionalFormatting>
  <conditionalFormatting sqref="I2:I115 I120:I183">
    <cfRule type="colorScale" priority="18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J2:J115 J120:J206">
    <cfRule type="colorScale" priority="19">
      <colorScale>
        <cfvo type="formula" val="-0.6"/>
        <cfvo type="formula" val="0"/>
        <cfvo type="formula" val="0.6"/>
        <color rgb="FFE67C73"/>
        <color rgb="FFFFFFFF"/>
        <color rgb="FF57BB8A"/>
      </colorScale>
    </cfRule>
  </conditionalFormatting>
  <conditionalFormatting sqref="I184:I190">
    <cfRule type="colorScale" priority="20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I191:I192">
    <cfRule type="colorScale" priority="21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I193:I196">
    <cfRule type="colorScale" priority="22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I197">
    <cfRule type="colorScale" priority="23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I198:I201">
    <cfRule type="colorScale" priority="24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I202:I230">
    <cfRule type="colorScale" priority="25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J212:J221">
    <cfRule type="colorScale" priority="26">
      <colorScale>
        <cfvo type="formula" val="-0.6"/>
        <cfvo type="formula" val="0"/>
        <cfvo type="formula" val="0.6"/>
        <color rgb="FFE67C73"/>
        <color rgb="FFFFFFFF"/>
        <color rgb="FF57BB8A"/>
      </colorScale>
    </cfRule>
  </conditionalFormatting>
  <conditionalFormatting sqref="J222:J230">
    <cfRule type="colorScale" priority="27">
      <colorScale>
        <cfvo type="formula" val="-0.6"/>
        <cfvo type="formula" val="0"/>
        <cfvo type="formula" val="0.6"/>
        <color rgb="FFE67C73"/>
        <color rgb="FFFFFFFF"/>
        <color rgb="FF57BB8A"/>
      </colorScale>
    </cfRule>
  </conditionalFormatting>
  <conditionalFormatting sqref="J231:J243">
    <cfRule type="colorScale" priority="28">
      <colorScale>
        <cfvo type="formula" val="-0.6"/>
        <cfvo type="formula" val="0"/>
        <cfvo type="formula" val="0.6"/>
        <color rgb="FFE67C73"/>
        <color rgb="FFFFFFFF"/>
        <color rgb="FF57BB8A"/>
      </colorScale>
    </cfRule>
  </conditionalFormatting>
  <conditionalFormatting sqref="I231:I243">
    <cfRule type="colorScale" priority="29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J244:J306">
    <cfRule type="colorScale" priority="30">
      <colorScale>
        <cfvo type="formula" val="-0.6"/>
        <cfvo type="formula" val="0"/>
        <cfvo type="formula" val="0.6"/>
        <color rgb="FFE67C73"/>
        <color rgb="FFFFFFFF"/>
        <color rgb="FF57BB8A"/>
      </colorScale>
    </cfRule>
  </conditionalFormatting>
  <conditionalFormatting sqref="I244:I301">
    <cfRule type="colorScale" priority="31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conditionalFormatting sqref="I302:I306">
    <cfRule type="colorScale" priority="32">
      <colorScale>
        <cfvo type="formula" val="-1"/>
        <cfvo type="formula" val="0"/>
        <cfvo type="formula" val="1"/>
        <color rgb="FFE67C73"/>
        <color rgb="FFFFFFFF"/>
        <color rgb="FF57BB8A"/>
      </colorScale>
    </cfRule>
  </conditionalFormatting>
  <printOptions headings="false" gridLines="false" gridLinesSet="true" horizontalCentered="true" verticalCentered="false"/>
  <pageMargins left="0.590277777777778" right="0.590277777777778" top="0.590277777777778" bottom="0.590277777777778" header="0.511811023622047" footer="0.511811023622047"/>
  <pageSetup paperSize="1" scale="100" fitToWidth="1" fitToHeight="0" pageOrder="overThenDown" orientation="landscape" blackAndWhite="false" draft="false" cellComments="none" horizontalDpi="300" verticalDpi="300" copies="1"/>
  <headerFooter differentFirst="false" differentOddEven="false">
    <oddHeader/>
    <oddFooter/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2CA26B9-4757-4678-B67E-388BEA3BA4D1}">
            <x14:dataBar minLength="10" maxLength="90" axisPosition="none" gradient="true">
              <x14:cfvo type="min"/>
              <x14:cfvo type="max"/>
              <x14:negativeFillColor rgb="FF63C384"/>
              <x14:axisColor rgb="FF000000"/>
            </x14:dataBar>
          </x14:cfRule>
          <xm:sqref>L160</xm:sqref>
        </x14:conditionalFormatting>
        <x14:conditionalFormatting xmlns:xm="http://schemas.microsoft.com/office/excel/2006/main">
          <x14:cfRule type="dataBar" id="{5F4DC8CC-B8FE-4946-A468-ABADB39BF0ED}">
            <x14:dataBar minLength="10" maxLength="90" axisPosition="none" gradient="true">
              <x14:cfvo type="min"/>
              <x14:cfvo type="max"/>
              <x14:negativeFillColor rgb="FF63C384"/>
              <x14:axisColor rgb="FF000000"/>
            </x14:dataBar>
          </x14:cfRule>
          <xm:sqref>L160:L192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true"/>
  </sheetPr>
  <dimension ref="A1:Z1048576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1" topLeftCell="A2" activePane="bottomLeft" state="frozen"/>
      <selection pane="topLeft" activeCell="A1" activeCellId="0" sqref="A1"/>
      <selection pane="bottomLeft" activeCell="L193" activeCellId="0" sqref="L193"/>
    </sheetView>
  </sheetViews>
  <sheetFormatPr defaultColWidth="12.66796875" defaultRowHeight="17.25" customHeight="true" zeroHeight="false" outlineLevelRow="0" outlineLevelCol="0"/>
  <cols>
    <col collapsed="false" customWidth="true" hidden="false" outlineLevel="0" max="1" min="1" style="19" width="17.33"/>
    <col collapsed="false" customWidth="true" hidden="false" outlineLevel="0" max="4" min="2" style="19" width="13.44"/>
    <col collapsed="false" customWidth="true" hidden="false" outlineLevel="0" max="5" min="5" style="19" width="14.11"/>
    <col collapsed="false" customWidth="true" hidden="false" outlineLevel="0" max="6" min="6" style="19" width="9.33"/>
    <col collapsed="false" customWidth="true" hidden="false" outlineLevel="0" max="7" min="7" style="19" width="16.67"/>
    <col collapsed="false" customWidth="true" hidden="true" outlineLevel="0" max="8" min="8" style="19" width="16"/>
    <col collapsed="false" customWidth="true" hidden="false" outlineLevel="0" max="9" min="9" style="19" width="14.88"/>
    <col collapsed="false" customWidth="true" hidden="false" outlineLevel="0" max="10" min="10" style="19" width="9.11"/>
    <col collapsed="false" customWidth="true" hidden="false" outlineLevel="0" max="11" min="11" style="19" width="16.33"/>
    <col collapsed="false" customWidth="true" hidden="false" outlineLevel="0" max="12" min="12" style="19" width="10.11"/>
    <col collapsed="false" customWidth="true" hidden="false" outlineLevel="0" max="13" min="13" style="19" width="14.44"/>
    <col collapsed="false" customWidth="true" hidden="false" outlineLevel="0" max="14" min="14" style="19" width="14.88"/>
    <col collapsed="false" customWidth="true" hidden="false" outlineLevel="0" max="15" min="15" style="19" width="15"/>
    <col collapsed="false" customWidth="true" hidden="false" outlineLevel="0" max="17" min="16" style="19" width="13.44"/>
    <col collapsed="false" customWidth="true" hidden="false" outlineLevel="0" max="18" min="18" style="19" width="8"/>
    <col collapsed="false" customWidth="true" hidden="false" outlineLevel="0" max="19" min="19" style="19" width="26.44"/>
    <col collapsed="false" customWidth="false" hidden="false" outlineLevel="0" max="20" min="20" style="19" width="12.67"/>
    <col collapsed="false" customWidth="true" hidden="false" outlineLevel="0" max="21" min="21" style="19" width="29"/>
    <col collapsed="false" customWidth="false" hidden="false" outlineLevel="0" max="16384" min="22" style="19" width="12.67"/>
  </cols>
  <sheetData>
    <row r="1" customFormat="false" ht="15.75" hidden="false" customHeight="true" outlineLevel="0" collapsed="false">
      <c r="A1" s="20" t="s">
        <v>12</v>
      </c>
      <c r="B1" s="20" t="s">
        <v>12</v>
      </c>
      <c r="C1" s="20" t="s">
        <v>12</v>
      </c>
      <c r="D1" s="20" t="s">
        <v>12</v>
      </c>
      <c r="E1" s="20" t="s">
        <v>12</v>
      </c>
      <c r="F1" s="20" t="s">
        <v>12</v>
      </c>
      <c r="G1" s="20" t="s">
        <v>12</v>
      </c>
      <c r="H1" s="20" t="s">
        <v>13</v>
      </c>
      <c r="I1" s="20" t="s">
        <v>12</v>
      </c>
      <c r="J1" s="20" t="s">
        <v>12</v>
      </c>
      <c r="K1" s="20" t="s">
        <v>12</v>
      </c>
      <c r="L1" s="20" t="s">
        <v>12</v>
      </c>
      <c r="M1" s="20" t="s">
        <v>12</v>
      </c>
      <c r="N1" s="20" t="s">
        <v>12</v>
      </c>
      <c r="O1" s="20" t="s">
        <v>12</v>
      </c>
      <c r="P1" s="20" t="n">
        <v>10.2</v>
      </c>
      <c r="Q1" s="20" t="n">
        <v>10.1</v>
      </c>
      <c r="R1" s="20" t="s">
        <v>14</v>
      </c>
      <c r="S1" s="20" t="s">
        <v>15</v>
      </c>
      <c r="T1" s="21"/>
      <c r="U1" s="21" t="s">
        <v>16</v>
      </c>
      <c r="V1" s="21"/>
      <c r="W1" s="21"/>
      <c r="X1" s="21"/>
      <c r="Y1" s="21"/>
      <c r="Z1" s="21"/>
    </row>
    <row r="2" customFormat="false" ht="15.75" hidden="false" customHeight="true" outlineLevel="0" collapsed="false">
      <c r="A2" s="22" t="str">
        <f aca="false">Data!A210</f>
        <v>ABFRL</v>
      </c>
      <c r="B2" s="23" t="n">
        <f aca="false">Data!B210</f>
        <v>81.25</v>
      </c>
      <c r="C2" s="22" t="n">
        <f aca="false">Data!C210</f>
        <v>81.99</v>
      </c>
      <c r="D2" s="22" t="n">
        <f aca="false">Data!D210</f>
        <v>75.6</v>
      </c>
      <c r="E2" s="24" t="n">
        <f aca="false">Data!E210</f>
        <v>7.4</v>
      </c>
      <c r="F2" s="22" t="n">
        <f aca="false">Data!F210</f>
        <v>2.56</v>
      </c>
      <c r="G2" s="22" t="n">
        <f aca="false">Data!S210</f>
        <v>33.26</v>
      </c>
      <c r="H2" s="25" t="n">
        <f aca="false">Data!T119*100</f>
        <v>2.1</v>
      </c>
      <c r="I2" s="22" t="str">
        <f aca="false">IF(AND(C2=Data!G210,E2&gt;0),IF(AND(C2=Data!U210,E2&gt;0),"Buy_ 52W_H","Buy_50D_H"),IF(AND(Data!H210=D2,E2&lt;0),IF(AND(Data!V210=D2,E2&lt;0),"Sell_52W_L ","Sell_50D_L "),""))</f>
        <v>Buy_50D_H</v>
      </c>
      <c r="J2" s="22" t="n">
        <f aca="false">RANK(L2,L:L)</f>
        <v>1</v>
      </c>
      <c r="K2" s="22" t="str">
        <f aca="false">IF(Data!R210&gt;=B2,IF(((C2-B2)/(C2-D2))*100&gt;80,"Down"," "),IF(Data!R210&lt;=B2,IF(((B2-D2)/(C2-D2))*100&gt;80,"Up"," ")))</f>
        <v>Up</v>
      </c>
      <c r="L2" s="22" t="n">
        <f aca="false">Data!I210</f>
        <v>262.14</v>
      </c>
      <c r="M2" s="22" t="str">
        <f aca="false">IF(AND(B2&gt;Data!P210,Data!O210&lt;Data!P210),"Buy",IF(AND(B2&lt;Data!P210,Data!O210&gt;Data!P210),"Sell",""))</f>
        <v/>
      </c>
      <c r="N2" s="22" t="n">
        <f aca="false">Data!K210/1000</f>
        <v>87482.133</v>
      </c>
      <c r="O2" s="22" t="n">
        <f aca="false">Data!L210</f>
        <v>4.01</v>
      </c>
      <c r="P2" s="22" t="n">
        <f aca="false">Data!M210</f>
        <v>73.99</v>
      </c>
      <c r="Q2" s="22" t="n">
        <f aca="false">Data!N210</f>
        <v>76.39</v>
      </c>
      <c r="R2" s="22" t="n">
        <f aca="false">Data!J210</f>
        <v>76.48</v>
      </c>
      <c r="S2" s="22" t="str">
        <f aca="false">INDEX(Sector_div!$B$2:$B$227,MATCH(A2,Sector_div!$A$2:$A$227,0))</f>
        <v>fmcg</v>
      </c>
      <c r="T2" s="26"/>
      <c r="U2" s="27" t="str">
        <f aca="false">CONCATENATE("NSE:",A2,",")</f>
        <v>NSE:ABFRL,</v>
      </c>
      <c r="V2" s="26"/>
      <c r="W2" s="26"/>
      <c r="X2" s="26"/>
      <c r="Y2" s="26"/>
      <c r="Z2" s="26"/>
    </row>
    <row r="3" customFormat="false" ht="15.75" hidden="false" customHeight="true" outlineLevel="0" collapsed="false">
      <c r="A3" s="22" t="str">
        <f aca="false">Data!A182</f>
        <v>LTF</v>
      </c>
      <c r="B3" s="23" t="n">
        <f aca="false">Data!B182</f>
        <v>222.7</v>
      </c>
      <c r="C3" s="22" t="n">
        <f aca="false">Data!C182</f>
        <v>225.48</v>
      </c>
      <c r="D3" s="22" t="n">
        <f aca="false">Data!D182</f>
        <v>221.79</v>
      </c>
      <c r="E3" s="24" t="n">
        <f aca="false">Data!E182</f>
        <v>0.41</v>
      </c>
      <c r="F3" s="22" t="n">
        <f aca="false">Data!F182</f>
        <v>5.86</v>
      </c>
      <c r="G3" s="22" t="n">
        <f aca="false">Data!S182</f>
        <v>1.23</v>
      </c>
      <c r="I3" s="22" t="str">
        <f aca="false">IF(AND(C3=Data!G182,E3&gt;0),IF(AND(C3=Data!U182,E3&gt;0),"Buy_ 52W_H","Buy_50D_H"),IF(AND(Data!H182=D3,E3&lt;0),IF(AND(Data!V182=D3,E3&lt;0),"Sell_52W_L ","Sell_50D_L "),""))</f>
        <v>Buy_ 52W_H</v>
      </c>
      <c r="J3" s="22" t="n">
        <f aca="false">RANK(L3,L:L)</f>
        <v>2</v>
      </c>
      <c r="K3" s="22" t="str">
        <f aca="false">IF(Data!R182&gt;=B3,IF(((C3-B3)/(C3-D3))*100&gt;80,"Down"," "),IF(Data!R182&lt;=B3,IF(((B3-D3)/(C3-D3))*100&gt;80,"Up"," ")))</f>
        <v> </v>
      </c>
      <c r="L3" s="22" t="n">
        <f aca="false">Data!I182</f>
        <v>210.04</v>
      </c>
      <c r="M3" s="22" t="str">
        <f aca="false">IF(AND(B3&gt;Data!P182,Data!O182&lt;Data!P182),"Buy",IF(AND(B3&lt;Data!P182,Data!O182&gt;Data!P182),"Sell",""))</f>
        <v/>
      </c>
      <c r="N3" s="22" t="n">
        <f aca="false">Data!K182/1000</f>
        <v>8534.433</v>
      </c>
      <c r="O3" s="22" t="n">
        <f aca="false">Data!L182</f>
        <v>0.837</v>
      </c>
      <c r="P3" s="22" t="n">
        <f aca="false">Data!M182</f>
        <v>212</v>
      </c>
      <c r="Q3" s="22" t="n">
        <f aca="false">Data!N182</f>
        <v>217.82</v>
      </c>
      <c r="R3" s="22" t="n">
        <f aca="false">Data!J182</f>
        <v>82.92</v>
      </c>
      <c r="S3" s="22" t="str">
        <f aca="false">INDEX(Sector_div!$B$2:$B$227,MATCH(A3,Sector_div!$A$2:$A$227,0))</f>
        <v>finance</v>
      </c>
      <c r="T3" s="26"/>
      <c r="U3" s="27" t="str">
        <f aca="false">CONCATENATE("NSE:",A3,",")</f>
        <v>NSE:LTF,</v>
      </c>
      <c r="V3" s="26"/>
      <c r="W3" s="26"/>
      <c r="X3" s="26"/>
      <c r="Y3" s="26"/>
      <c r="Z3" s="26"/>
    </row>
    <row r="4" customFormat="false" ht="15.75" hidden="false" customHeight="true" outlineLevel="0" collapsed="false">
      <c r="A4" s="22" t="str">
        <f aca="false">Data!A26</f>
        <v>LTIM</v>
      </c>
      <c r="B4" s="23" t="n">
        <f aca="false">Data!B26</f>
        <v>5224.5</v>
      </c>
      <c r="C4" s="22" t="n">
        <f aca="false">Data!C26</f>
        <v>5257.5</v>
      </c>
      <c r="D4" s="22" t="n">
        <f aca="false">Data!D26</f>
        <v>5203</v>
      </c>
      <c r="E4" s="24" t="n">
        <f aca="false">Data!E26</f>
        <v>-0.201</v>
      </c>
      <c r="F4" s="22" t="n">
        <f aca="false">Data!F26</f>
        <v>105.82</v>
      </c>
      <c r="G4" s="22" t="n">
        <f aca="false">Data!S26</f>
        <v>22.81</v>
      </c>
      <c r="H4" s="25" t="n">
        <f aca="false">Data!T3*100</f>
        <v>0.1</v>
      </c>
      <c r="I4" s="22" t="str">
        <f aca="false">IF(AND(C4=Data!G26,E4&gt;0),IF(AND(C4=Data!U26,E4&gt;0),"Buy_ 52W_H","Buy_50D_H"),IF(AND(Data!H26=D4,E4&lt;0),IF(AND(Data!V26=D4,E4&lt;0),"Sell_52W_L ","Sell_50D_L "),""))</f>
        <v/>
      </c>
      <c r="J4" s="22" t="n">
        <f aca="false">RANK(L4,L:L)</f>
        <v>3</v>
      </c>
      <c r="K4" s="22" t="str">
        <f aca="false">IF(Data!R26&gt;=B4,IF(((C4-B4)/(C4-D4))*100&gt;80,"Down"," "),IF(Data!R26&lt;=B4,IF(((B4-D4)/(C4-D4))*100&gt;80,"Up"," ")))</f>
        <v> </v>
      </c>
      <c r="L4" s="22" t="n">
        <f aca="false">Data!I26</f>
        <v>196.82</v>
      </c>
      <c r="M4" s="22" t="str">
        <f aca="false">IF(AND(B4&gt;Data!P26,Data!O26&lt;Data!P26),"Buy",IF(AND(B4&lt;Data!P26,Data!O26&gt;Data!P26),"Sell",""))</f>
        <v/>
      </c>
      <c r="N4" s="22" t="n">
        <f aca="false">Data!K26/1000</f>
        <v>94.919</v>
      </c>
      <c r="O4" s="22" t="n">
        <f aca="false">Data!L26</f>
        <v>0.493</v>
      </c>
      <c r="P4" s="22" t="n">
        <f aca="false">Data!M26</f>
        <v>5239.21</v>
      </c>
      <c r="Q4" s="22" t="n">
        <f aca="false">Data!N26</f>
        <v>5123.54</v>
      </c>
      <c r="R4" s="22" t="n">
        <f aca="false">Data!J26</f>
        <v>68.61</v>
      </c>
      <c r="S4" s="22" t="str">
        <f aca="false">INDEX(Sector_div!$B$2:$B$227,MATCH(A4,Sector_div!$A$2:$A$227,0))</f>
        <v>i.t</v>
      </c>
      <c r="T4" s="26"/>
      <c r="U4" s="27" t="str">
        <f aca="false">CONCATENATE("NSE:",A4,",")</f>
        <v>NSE:LTIM,</v>
      </c>
      <c r="V4" s="26"/>
      <c r="W4" s="26"/>
      <c r="X4" s="26"/>
      <c r="Y4" s="26"/>
      <c r="Z4" s="26"/>
    </row>
    <row r="5" customFormat="false" ht="15.75" hidden="false" customHeight="true" outlineLevel="0" collapsed="false">
      <c r="A5" s="22" t="str">
        <f aca="false">Data!A20</f>
        <v>HDFCAMC</v>
      </c>
      <c r="B5" s="23" t="n">
        <f aca="false">Data!B20</f>
        <v>5828</v>
      </c>
      <c r="C5" s="22" t="n">
        <f aca="false">Data!C20</f>
        <v>5869.5</v>
      </c>
      <c r="D5" s="22" t="n">
        <f aca="false">Data!D20</f>
        <v>5794.5</v>
      </c>
      <c r="E5" s="24" t="n">
        <f aca="false">Data!E20</f>
        <v>0.587</v>
      </c>
      <c r="F5" s="22" t="n">
        <f aca="false">Data!F20</f>
        <v>114.12</v>
      </c>
      <c r="G5" s="22" t="n">
        <f aca="false">Data!S20</f>
        <v>0.707</v>
      </c>
      <c r="H5" s="22" t="n">
        <f aca="false">Data!T74*100</f>
        <v>1.4</v>
      </c>
      <c r="I5" s="22" t="str">
        <f aca="false">IF(AND(C5=Data!G20,E5&gt;0),IF(AND(C5=Data!U20,E5&gt;0),"Buy_ 52W_H","Buy_50D_H"),IF(AND(Data!H20=D5,E5&lt;0),IF(AND(Data!V20=D5,E5&lt;0),"Sell_52W_L ","Sell_50D_L "),""))</f>
        <v>Buy_ 52W_H</v>
      </c>
      <c r="J5" s="22" t="n">
        <f aca="false">RANK(L5,L:L)</f>
        <v>4</v>
      </c>
      <c r="K5" s="22" t="str">
        <f aca="false">IF(Data!R20&gt;=B5,IF(((C5-B5)/(C5-D5))*100&gt;80,"Down"," "),IF(Data!R20&lt;=B5,IF(((B5-D5)/(C5-D5))*100&gt;80,"Up"," ")))</f>
        <v> </v>
      </c>
      <c r="L5" s="22" t="n">
        <f aca="false">Data!I20</f>
        <v>192.87</v>
      </c>
      <c r="M5" s="22" t="str">
        <f aca="false">IF(AND(B5&gt;Data!P20,Data!O20&lt;Data!P20),"Buy",IF(AND(B5&lt;Data!P20,Data!O20&gt;Data!P20),"Sell",""))</f>
        <v/>
      </c>
      <c r="N5" s="22" t="n">
        <f aca="false">Data!K20/1000</f>
        <v>593.439</v>
      </c>
      <c r="O5" s="22" t="n">
        <f aca="false">Data!L20</f>
        <v>1.25</v>
      </c>
      <c r="P5" s="22" t="n">
        <f aca="false">Data!M20</f>
        <v>5602.3</v>
      </c>
      <c r="Q5" s="22" t="n">
        <f aca="false">Data!N20</f>
        <v>5717.15</v>
      </c>
      <c r="R5" s="22" t="n">
        <f aca="false">Data!J20</f>
        <v>77.5</v>
      </c>
      <c r="S5" s="22" t="str">
        <f aca="false">INDEX(Sector_div!$B$2:$B$227,MATCH(A5,Sector_div!$A$2:$A$227,0))</f>
        <v>finance</v>
      </c>
      <c r="T5" s="26"/>
      <c r="U5" s="27" t="str">
        <f aca="false">CONCATENATE("NSE:",A5,",")</f>
        <v>NSE:HDFCAMC,</v>
      </c>
      <c r="V5" s="26"/>
      <c r="W5" s="26"/>
      <c r="X5" s="26"/>
      <c r="Y5" s="26"/>
      <c r="Z5" s="26"/>
    </row>
    <row r="6" customFormat="false" ht="15.75" hidden="false" customHeight="true" outlineLevel="0" collapsed="false">
      <c r="A6" s="22" t="str">
        <f aca="false">Data!A78</f>
        <v>PHOENIXLTD</v>
      </c>
      <c r="B6" s="23" t="n">
        <f aca="false">Data!B78</f>
        <v>1578</v>
      </c>
      <c r="C6" s="22" t="n">
        <f aca="false">Data!C78</f>
        <v>1593.6</v>
      </c>
      <c r="D6" s="22" t="n">
        <f aca="false">Data!D78</f>
        <v>1560.4</v>
      </c>
      <c r="E6" s="24" t="n">
        <f aca="false">Data!E78</f>
        <v>0.159</v>
      </c>
      <c r="F6" s="22" t="n">
        <f aca="false">Data!F78</f>
        <v>41.54</v>
      </c>
      <c r="G6" s="22" t="n">
        <f aca="false">Data!S78</f>
        <v>19.82</v>
      </c>
      <c r="I6" s="22" t="str">
        <f aca="false">IF(AND(C6=Data!G78,E6&gt;0),IF(AND(C6=Data!U78,E6&gt;0),"Buy_ 52W_H","Buy_50D_H"),IF(AND(Data!H78=D6,E6&lt;0),IF(AND(Data!V78=D6,E6&lt;0),"Sell_52W_L ","Sell_50D_L "),""))</f>
        <v/>
      </c>
      <c r="J6" s="22" t="n">
        <f aca="false">RANK(L6,L:L)</f>
        <v>5</v>
      </c>
      <c r="K6" s="22" t="str">
        <f aca="false">IF(Data!R78&gt;=B6,IF(((C6-B6)/(C6-D6))*100&gt;80,"Down"," "),IF(Data!R78&lt;=B6,IF(((B6-D6)/(C6-D6))*100&gt;80,"Up"," ")))</f>
        <v> </v>
      </c>
      <c r="L6" s="22" t="n">
        <f aca="false">Data!I78</f>
        <v>177.45</v>
      </c>
      <c r="M6" s="22" t="str">
        <f aca="false">IF(AND(B6&gt;Data!P78,Data!O78&lt;Data!P78),"Buy",IF(AND(B6&lt;Data!P78,Data!O78&gt;Data!P78),"Sell",""))</f>
        <v/>
      </c>
      <c r="N6" s="22" t="n">
        <f aca="false">Data!K78/1000</f>
        <v>940.23</v>
      </c>
      <c r="O6" s="22" t="n">
        <f aca="false">Data!L78</f>
        <v>1.4</v>
      </c>
      <c r="P6" s="22" t="n">
        <f aca="false">Data!M78</f>
        <v>1494.6</v>
      </c>
      <c r="Q6" s="22" t="n">
        <f aca="false">Data!N78</f>
        <v>1535.8</v>
      </c>
      <c r="R6" s="22" t="n">
        <f aca="false">Data!J78</f>
        <v>79.26</v>
      </c>
      <c r="S6" s="22" t="str">
        <f aca="false">INDEX(Sector_div!$B$2:$B$227,MATCH(A6,Sector_div!$A$2:$A$227,0))</f>
        <v>realty</v>
      </c>
      <c r="T6" s="26"/>
      <c r="U6" s="27" t="str">
        <f aca="false">CONCATENATE("NSE:",A6,",")</f>
        <v>NSE:PHOENIXLTD,</v>
      </c>
      <c r="V6" s="26"/>
      <c r="W6" s="26"/>
      <c r="X6" s="26"/>
      <c r="Y6" s="26"/>
      <c r="Z6" s="26"/>
    </row>
    <row r="7" customFormat="false" ht="15.75" hidden="false" customHeight="true" outlineLevel="0" collapsed="false">
      <c r="A7" s="22" t="str">
        <f aca="false">Data!A30</f>
        <v>SUPREMEIND</v>
      </c>
      <c r="B7" s="23" t="n">
        <f aca="false">Data!B30</f>
        <v>4637.8</v>
      </c>
      <c r="C7" s="22" t="n">
        <f aca="false">Data!C30</f>
        <v>4658.8</v>
      </c>
      <c r="D7" s="22" t="n">
        <f aca="false">Data!D30</f>
        <v>4550.1</v>
      </c>
      <c r="E7" s="24" t="n">
        <f aca="false">Data!E30</f>
        <v>1.34</v>
      </c>
      <c r="F7" s="22" t="n">
        <f aca="false">Data!F30</f>
        <v>122.51</v>
      </c>
      <c r="G7" s="22" t="n">
        <f aca="false">Data!S30</f>
        <v>17.4</v>
      </c>
      <c r="H7" s="22" t="n">
        <f aca="false">Data!T24*100</f>
        <v>0.3</v>
      </c>
      <c r="I7" s="22" t="str">
        <f aca="false">IF(AND(C7=Data!G30,E7&gt;0),IF(AND(C7=Data!U30,E7&gt;0),"Buy_ 52W_H","Buy_50D_H"),IF(AND(Data!H30=D7,E7&lt;0),IF(AND(Data!V30=D7,E7&lt;0),"Sell_52W_L ","Sell_50D_L "),""))</f>
        <v/>
      </c>
      <c r="J7" s="22" t="n">
        <f aca="false">RANK(L7,L:L)</f>
        <v>6</v>
      </c>
      <c r="K7" s="22" t="str">
        <f aca="false">IF(Data!R30&gt;=B7,IF(((C7-B7)/(C7-D7))*100&gt;80,"Down"," "),IF(Data!R30&lt;=B7,IF(((B7-D7)/(C7-D7))*100&gt;80,"Up"," ")))</f>
        <v>Up</v>
      </c>
      <c r="L7" s="22" t="n">
        <f aca="false">Data!I30</f>
        <v>171.06</v>
      </c>
      <c r="M7" s="22" t="str">
        <f aca="false">IF(AND(B7&gt;Data!P30,Data!O30&lt;Data!P30),"Buy",IF(AND(B7&lt;Data!P30,Data!O30&gt;Data!P30),"Sell",""))</f>
        <v/>
      </c>
      <c r="N7" s="22" t="n">
        <f aca="false">Data!K30/1000</f>
        <v>136.02</v>
      </c>
      <c r="O7" s="22" t="n">
        <f aca="false">Data!L30</f>
        <v>0.451</v>
      </c>
      <c r="P7" s="22" t="n">
        <f aca="false">Data!M30</f>
        <v>4360.64</v>
      </c>
      <c r="Q7" s="22" t="n">
        <f aca="false">Data!N30</f>
        <v>4482.54</v>
      </c>
      <c r="R7" s="22" t="n">
        <f aca="false">Data!J30</f>
        <v>73.66</v>
      </c>
      <c r="S7" s="22" t="str">
        <f aca="false">INDEX(Sector_div!$B$2:$B$227,MATCH(A7,Sector_div!$A$2:$A$227,0))</f>
        <v>miscellaneous</v>
      </c>
      <c r="T7" s="26"/>
      <c r="U7" s="27" t="str">
        <f aca="false">CONCATENATE("NSE:",A7,",")</f>
        <v>NSE:SUPREMEIND,</v>
      </c>
      <c r="V7" s="26"/>
      <c r="W7" s="26"/>
      <c r="X7" s="26"/>
      <c r="Y7" s="26"/>
      <c r="Z7" s="26"/>
    </row>
    <row r="8" customFormat="false" ht="15.75" hidden="false" customHeight="true" outlineLevel="0" collapsed="false">
      <c r="A8" s="22" t="str">
        <f aca="false">Data!A25</f>
        <v>PERSISTENT</v>
      </c>
      <c r="B8" s="23" t="n">
        <f aca="false">Data!B25</f>
        <v>5369</v>
      </c>
      <c r="C8" s="22" t="n">
        <f aca="false">Data!C25</f>
        <v>5420</v>
      </c>
      <c r="D8" s="22" t="n">
        <f aca="false">Data!D25</f>
        <v>5330.5</v>
      </c>
      <c r="E8" s="24" t="n">
        <f aca="false">Data!E25</f>
        <v>0.402</v>
      </c>
      <c r="F8" s="22" t="n">
        <f aca="false">Data!F25</f>
        <v>117.92</v>
      </c>
      <c r="G8" s="22" t="n">
        <f aca="false">Data!S25</f>
        <v>20.91</v>
      </c>
      <c r="H8" s="22" t="n">
        <f aca="false">Data!T140*100</f>
        <v>3.3</v>
      </c>
      <c r="I8" s="22" t="str">
        <f aca="false">IF(AND(C8=Data!G25,E8&gt;0),IF(AND(C8=Data!U25,E8&gt;0),"Buy_ 52W_H","Buy_50D_H"),IF(AND(Data!H25=D8,E8&lt;0),IF(AND(Data!V25=D8,E8&lt;0),"Sell_52W_L ","Sell_50D_L "),""))</f>
        <v/>
      </c>
      <c r="J8" s="22" t="n">
        <f aca="false">RANK(L8,L:L)</f>
        <v>7</v>
      </c>
      <c r="K8" s="22" t="str">
        <f aca="false">IF(Data!R25&gt;=B8,IF(((C8-B8)/(C8-D8))*100&gt;80,"Down"," "),IF(Data!R25&lt;=B8,IF(((B8-D8)/(C8-D8))*100&gt;80,"Up"," ")))</f>
        <v> </v>
      </c>
      <c r="L8" s="22" t="n">
        <f aca="false">Data!I25</f>
        <v>169.91</v>
      </c>
      <c r="M8" s="22" t="str">
        <f aca="false">IF(AND(B8&gt;Data!P25,Data!O25&lt;Data!P25),"Buy",IF(AND(B8&lt;Data!P25,Data!O25&gt;Data!P25),"Sell",""))</f>
        <v/>
      </c>
      <c r="N8" s="22" t="n">
        <f aca="false">Data!K25/1000</f>
        <v>477.64</v>
      </c>
      <c r="O8" s="22" t="n">
        <f aca="false">Data!L25</f>
        <v>1.56</v>
      </c>
      <c r="P8" s="22" t="n">
        <f aca="false">Data!M25</f>
        <v>5409.97</v>
      </c>
      <c r="Q8" s="22" t="n">
        <f aca="false">Data!N25</f>
        <v>5251.88</v>
      </c>
      <c r="R8" s="22" t="n">
        <f aca="false">Data!J25</f>
        <v>65.06</v>
      </c>
      <c r="S8" s="22" t="str">
        <f aca="false">INDEX(Sector_div!$B$2:$B$227,MATCH(A8,Sector_div!$A$2:$A$227,0))</f>
        <v>i.t</v>
      </c>
      <c r="T8" s="26"/>
      <c r="U8" s="27" t="str">
        <f aca="false">CONCATENATE("NSE:",A8,",")</f>
        <v>NSE:PERSISTENT,</v>
      </c>
      <c r="V8" s="26"/>
      <c r="W8" s="26"/>
      <c r="X8" s="26"/>
      <c r="Y8" s="26"/>
      <c r="Z8" s="26"/>
    </row>
    <row r="9" customFormat="false" ht="15.75" hidden="false" customHeight="true" outlineLevel="0" collapsed="false">
      <c r="A9" s="22" t="str">
        <f aca="false">Data!A46</f>
        <v>MPHASIS</v>
      </c>
      <c r="B9" s="23" t="n">
        <f aca="false">Data!B46</f>
        <v>2848.6</v>
      </c>
      <c r="C9" s="22" t="n">
        <f aca="false">Data!C46</f>
        <v>2878</v>
      </c>
      <c r="D9" s="22" t="n">
        <f aca="false">Data!D46</f>
        <v>2824</v>
      </c>
      <c r="E9" s="24" t="n">
        <f aca="false">Data!E46</f>
        <v>-0.203</v>
      </c>
      <c r="F9" s="22" t="n">
        <f aca="false">Data!F46</f>
        <v>73.98</v>
      </c>
      <c r="G9" s="22" t="n">
        <f aca="false">Data!S46</f>
        <v>12.02</v>
      </c>
      <c r="I9" s="22" t="str">
        <f aca="false">IF(AND(C9=Data!G46,E9&gt;0),IF(AND(C9=Data!U46,E9&gt;0),"Buy_ 52W_H","Buy_50D_H"),IF(AND(Data!H46=D9,E9&lt;0),IF(AND(Data!V46=D9,E9&lt;0),"Sell_52W_L ","Sell_50D_L "),""))</f>
        <v/>
      </c>
      <c r="J9" s="22" t="n">
        <f aca="false">RANK(L9,L:L)</f>
        <v>8</v>
      </c>
      <c r="K9" s="22" t="str">
        <f aca="false">IF(Data!R46&gt;=B9,IF(((C9-B9)/(C9-D9))*100&gt;80,"Down"," "),IF(Data!R46&lt;=B9,IF(((B9-D9)/(C9-D9))*100&gt;80,"Up"," ")))</f>
        <v> </v>
      </c>
      <c r="L9" s="22" t="n">
        <f aca="false">Data!I46</f>
        <v>166.91</v>
      </c>
      <c r="M9" s="22" t="str">
        <f aca="false">IF(AND(B9&gt;Data!P46,Data!O46&lt;Data!P46),"Buy",IF(AND(B9&lt;Data!P46,Data!O46&gt;Data!P46),"Sell",""))</f>
        <v/>
      </c>
      <c r="N9" s="22" t="n">
        <f aca="false">Data!K46/1000</f>
        <v>283.753</v>
      </c>
      <c r="O9" s="22" t="n">
        <f aca="false">Data!L46</f>
        <v>0.622</v>
      </c>
      <c r="P9" s="22" t="n">
        <f aca="false">Data!M46</f>
        <v>2702.2</v>
      </c>
      <c r="Q9" s="22" t="n">
        <f aca="false">Data!N46</f>
        <v>2776.6</v>
      </c>
      <c r="R9" s="22" t="n">
        <f aca="false">Data!J46</f>
        <v>70.46</v>
      </c>
      <c r="S9" s="22" t="str">
        <f aca="false">INDEX(Sector_div!$B$2:$B$227,MATCH(A9,Sector_div!$A$2:$A$227,0))</f>
        <v>i.t</v>
      </c>
      <c r="T9" s="26"/>
      <c r="U9" s="27" t="str">
        <f aca="false">CONCATENATE("NSE:",A9,",")</f>
        <v>NSE:MPHASIS,</v>
      </c>
      <c r="V9" s="26"/>
      <c r="W9" s="26"/>
      <c r="X9" s="26"/>
      <c r="Y9" s="26"/>
      <c r="Z9" s="26"/>
    </row>
    <row r="10" customFormat="false" ht="15.75" hidden="false" customHeight="true" outlineLevel="0" collapsed="false">
      <c r="A10" s="22" t="str">
        <f aca="false">Data!A206</f>
        <v>SJVN</v>
      </c>
      <c r="B10" s="23" t="n">
        <f aca="false">Data!B206</f>
        <v>99.54</v>
      </c>
      <c r="C10" s="22" t="n">
        <f aca="false">Data!C206</f>
        <v>100.5</v>
      </c>
      <c r="D10" s="22" t="n">
        <f aca="false">Data!D206</f>
        <v>97.36</v>
      </c>
      <c r="E10" s="24" t="n">
        <f aca="false">Data!E206</f>
        <v>2.25</v>
      </c>
      <c r="F10" s="22" t="n">
        <f aca="false">Data!F206</f>
        <v>3.04</v>
      </c>
      <c r="G10" s="22" t="n">
        <f aca="false">Data!S206</f>
        <v>28.9</v>
      </c>
      <c r="H10" s="25" t="n">
        <f aca="false">Data!T157*100</f>
        <v>0.5</v>
      </c>
      <c r="I10" s="22" t="str">
        <f aca="false">IF(AND(C10=Data!G206,E10&gt;0),IF(AND(C10=Data!U206,E10&gt;0),"Buy_ 52W_H","Buy_50D_H"),IF(AND(Data!H206=D10,E10&lt;0),IF(AND(Data!V206=D10,E10&lt;0),"Sell_52W_L ","Sell_50D_L "),""))</f>
        <v/>
      </c>
      <c r="J10" s="22" t="n">
        <f aca="false">RANK(L10,L:L)</f>
        <v>9</v>
      </c>
      <c r="K10" s="22" t="str">
        <f aca="false">IF(Data!R206&gt;=B10,IF(((C10-B10)/(C10-D10))*100&gt;80,"Down"," "),IF(Data!R206&lt;=B10,IF(((B10-D10)/(C10-D10))*100&gt;80,"Up"," ")))</f>
        <v> </v>
      </c>
      <c r="L10" s="22" t="n">
        <f aca="false">Data!I206</f>
        <v>163.98</v>
      </c>
      <c r="M10" s="22" t="str">
        <f aca="false">IF(AND(B10&gt;Data!P206,Data!O206&lt;Data!P206),"Buy",IF(AND(B10&lt;Data!P206,Data!O206&gt;Data!P206),"Sell",""))</f>
        <v/>
      </c>
      <c r="N10" s="22" t="n">
        <f aca="false">Data!K206/1000</f>
        <v>13565.711</v>
      </c>
      <c r="O10" s="22" t="n">
        <f aca="false">Data!L206</f>
        <v>1.65</v>
      </c>
      <c r="P10" s="22" t="n">
        <f aca="false">Data!M206</f>
        <v>93.02</v>
      </c>
      <c r="Q10" s="22" t="n">
        <f aca="false">Data!N206</f>
        <v>95.97</v>
      </c>
      <c r="R10" s="22" t="n">
        <f aca="false">Data!J206</f>
        <v>68.33</v>
      </c>
      <c r="S10" s="22" t="str">
        <f aca="false">INDEX(Sector_div!$B$2:$B$227,MATCH(A10,Sector_div!$A$2:$A$227,0))</f>
        <v>power</v>
      </c>
      <c r="T10" s="26"/>
      <c r="U10" s="27" t="str">
        <f aca="false">CONCATENATE("NSE:",A10,",")</f>
        <v>NSE:SJVN,</v>
      </c>
      <c r="V10" s="26"/>
      <c r="W10" s="26"/>
      <c r="X10" s="26"/>
      <c r="Y10" s="26"/>
      <c r="Z10" s="26"/>
    </row>
    <row r="11" customFormat="false" ht="15.75" hidden="false" customHeight="true" outlineLevel="0" collapsed="false">
      <c r="A11" s="22" t="str">
        <f aca="false">Data!A95</f>
        <v>PAYTM</v>
      </c>
      <c r="B11" s="23" t="n">
        <f aca="false">Data!B95</f>
        <v>1264.6</v>
      </c>
      <c r="C11" s="22" t="n">
        <f aca="false">Data!C95</f>
        <v>1277.8</v>
      </c>
      <c r="D11" s="22" t="n">
        <f aca="false">Data!D95</f>
        <v>1242.6</v>
      </c>
      <c r="E11" s="24" t="n">
        <f aca="false">Data!E95</f>
        <v>1.53</v>
      </c>
      <c r="F11" s="22" t="n">
        <f aca="false">Data!F95</f>
        <v>39.24</v>
      </c>
      <c r="G11" s="22" t="n">
        <f aca="false">Data!S95</f>
        <v>1.03</v>
      </c>
      <c r="H11" s="22" t="n">
        <f aca="false">Data!T94*100</f>
        <v>1.5</v>
      </c>
      <c r="I11" s="22" t="str">
        <f aca="false">IF(AND(C11=Data!G95,E11&gt;0),IF(AND(C11=Data!U95,E11&gt;0),"Buy_ 52W_H","Buy_50D_H"),IF(AND(Data!H95=D11,E11&lt;0),IF(AND(Data!V95=D11,E11&lt;0),"Sell_52W_L ","Sell_50D_L "),""))</f>
        <v>Buy_ 52W_H</v>
      </c>
      <c r="J11" s="22" t="n">
        <f aca="false">RANK(L11,L:L)</f>
        <v>10</v>
      </c>
      <c r="K11" s="22" t="str">
        <f aca="false">IF(Data!R95&gt;=B11,IF(((C11-B11)/(C11-D11))*100&gt;80,"Down"," "),IF(Data!R95&lt;=B11,IF(((B11-D11)/(C11-D11))*100&gt;80,"Up"," ")))</f>
        <v> </v>
      </c>
      <c r="L11" s="22" t="n">
        <f aca="false">Data!I95</f>
        <v>161.74</v>
      </c>
      <c r="M11" s="22" t="str">
        <f aca="false">IF(AND(B11&gt;Data!P95,Data!O95&lt;Data!P95),"Buy",IF(AND(B11&lt;Data!P95,Data!O95&gt;Data!P95),"Sell",""))</f>
        <v/>
      </c>
      <c r="N11" s="22" t="n">
        <f aca="false">Data!K95/1000</f>
        <v>6068.36</v>
      </c>
      <c r="O11" s="22" t="n">
        <f aca="false">Data!L95</f>
        <v>1.53</v>
      </c>
      <c r="P11" s="22" t="n">
        <f aca="false">Data!M95</f>
        <v>1182.3</v>
      </c>
      <c r="Q11" s="22" t="n">
        <f aca="false">Data!N95</f>
        <v>1221.25</v>
      </c>
      <c r="R11" s="22" t="n">
        <f aca="false">Data!J95</f>
        <v>89.15</v>
      </c>
      <c r="S11" s="22" t="str">
        <f aca="false">INDEX(Sector_div!$B$2:$B$227,MATCH(A11,Sector_div!$A$2:$A$227,0))</f>
        <v>i.t</v>
      </c>
      <c r="T11" s="26"/>
      <c r="U11" s="27" t="str">
        <f aca="false">CONCATENATE("NSE:",A11,",")</f>
        <v>NSE:PAYTM,</v>
      </c>
      <c r="V11" s="26"/>
      <c r="W11" s="26"/>
      <c r="X11" s="26"/>
      <c r="Y11" s="26"/>
      <c r="Z11" s="26"/>
    </row>
    <row r="12" customFormat="false" ht="15.75" hidden="false" customHeight="true" outlineLevel="0" collapsed="false">
      <c r="A12" s="22" t="str">
        <f aca="false">Data!A74</f>
        <v>APLAPOLLO</v>
      </c>
      <c r="B12" s="23" t="n">
        <f aca="false">Data!B74</f>
        <v>1649.5</v>
      </c>
      <c r="C12" s="22" t="n">
        <f aca="false">Data!C74</f>
        <v>1663.9</v>
      </c>
      <c r="D12" s="22" t="n">
        <f aca="false">Data!D74</f>
        <v>1633.4</v>
      </c>
      <c r="E12" s="24" t="n">
        <f aca="false">Data!E74</f>
        <v>-0.224</v>
      </c>
      <c r="F12" s="22" t="n">
        <f aca="false">Data!F74</f>
        <v>36.68</v>
      </c>
      <c r="G12" s="22" t="n">
        <f aca="false">Data!S74</f>
        <v>14.8</v>
      </c>
      <c r="H12" s="22" t="n">
        <f aca="false">Data!T70*100</f>
        <v>1.9</v>
      </c>
      <c r="I12" s="22" t="str">
        <f aca="false">IF(AND(C12=Data!G74,E12&gt;0),IF(AND(C12=Data!U74,E12&gt;0),"Buy_ 52W_H","Buy_50D_H"),IF(AND(Data!H74=D12,E12&lt;0),IF(AND(Data!V74=D12,E12&lt;0),"Sell_52W_L ","Sell_50D_L "),""))</f>
        <v/>
      </c>
      <c r="J12" s="22" t="n">
        <f aca="false">RANK(L12,L:L)</f>
        <v>11</v>
      </c>
      <c r="K12" s="22" t="str">
        <f aca="false">IF(Data!R74&gt;=B12,IF(((C12-B12)/(C12-D12))*100&gt;80,"Down"," "),IF(Data!R74&lt;=B12,IF(((B12-D12)/(C12-D12))*100&gt;80,"Up"," ")))</f>
        <v> </v>
      </c>
      <c r="L12" s="22" t="n">
        <f aca="false">Data!I74</f>
        <v>160</v>
      </c>
      <c r="M12" s="22" t="str">
        <f aca="false">IF(AND(B12&gt;Data!P74,Data!O74&lt;Data!P74),"Buy",IF(AND(B12&lt;Data!P74,Data!O74&gt;Data!P74),"Sell",""))</f>
        <v/>
      </c>
      <c r="N12" s="22" t="n">
        <f aca="false">Data!K74/1000</f>
        <v>221.056</v>
      </c>
      <c r="O12" s="22" t="n">
        <f aca="false">Data!L74</f>
        <v>0.371</v>
      </c>
      <c r="P12" s="22" t="n">
        <f aca="false">Data!M74</f>
        <v>1572.38</v>
      </c>
      <c r="Q12" s="22" t="n">
        <f aca="false">Data!N74</f>
        <v>1610.51</v>
      </c>
      <c r="R12" s="22" t="n">
        <f aca="false">Data!J74</f>
        <v>68.61</v>
      </c>
      <c r="S12" s="22" t="str">
        <f aca="false">INDEX(Sector_div!$B$2:$B$227,MATCH(A12,Sector_div!$A$2:$A$227,0))</f>
        <v>metals</v>
      </c>
      <c r="T12" s="26"/>
      <c r="U12" s="27" t="str">
        <f aca="false">CONCATENATE("NSE:",A12,",")</f>
        <v>NSE:APLAPOLLO,</v>
      </c>
      <c r="V12" s="26"/>
      <c r="W12" s="26"/>
      <c r="X12" s="26"/>
      <c r="Y12" s="26"/>
      <c r="Z12" s="26"/>
    </row>
    <row r="13" customFormat="false" ht="15.75" hidden="false" customHeight="true" outlineLevel="0" collapsed="false">
      <c r="A13" s="22" t="str">
        <f aca="false">Data!A56</f>
        <v>COLPAL</v>
      </c>
      <c r="B13" s="23" t="n">
        <f aca="false">Data!B56</f>
        <v>2299.3</v>
      </c>
      <c r="C13" s="22" t="n">
        <f aca="false">Data!C56</f>
        <v>2359.8</v>
      </c>
      <c r="D13" s="22" t="n">
        <f aca="false">Data!D56</f>
        <v>2294</v>
      </c>
      <c r="E13" s="24" t="n">
        <f aca="false">Data!E56</f>
        <v>-2.18</v>
      </c>
      <c r="F13" s="22" t="n">
        <f aca="false">Data!F56</f>
        <v>53.99</v>
      </c>
      <c r="G13" s="22" t="n">
        <f aca="false">Data!S56</f>
        <v>40.89</v>
      </c>
      <c r="H13" s="25" t="n">
        <f aca="false">Data!T143*100</f>
        <v>3.4</v>
      </c>
      <c r="I13" s="22" t="str">
        <f aca="false">IF(AND(C13=Data!G56,E13&gt;0),IF(AND(C13=Data!U56,E13&gt;0),"Buy_ 52W_H","Buy_50D_H"),IF(AND(Data!H56=D13,E13&lt;0),IF(AND(Data!V56=D13,E13&lt;0),"Sell_52W_L ","Sell_50D_L "),""))</f>
        <v/>
      </c>
      <c r="J13" s="22" t="n">
        <f aca="false">RANK(L13,L:L)</f>
        <v>12</v>
      </c>
      <c r="K13" s="22" t="str">
        <f aca="false">IF(Data!R56&gt;=B13,IF(((C13-B13)/(C13-D13))*100&gt;80,"Down"," "),IF(Data!R56&lt;=B13,IF(((B13-D13)/(C13-D13))*100&gt;80,"Up"," ")))</f>
        <v>Down</v>
      </c>
      <c r="L13" s="22" t="n">
        <f aca="false">Data!I56</f>
        <v>158.89</v>
      </c>
      <c r="M13" s="22" t="str">
        <f aca="false">IF(AND(B13&gt;Data!P56,Data!O56&lt;Data!P56),"Buy",IF(AND(B13&lt;Data!P56,Data!O56&gt;Data!P56),"Sell",""))</f>
        <v/>
      </c>
      <c r="N13" s="22" t="n">
        <f aca="false">Data!K56/1000</f>
        <v>621.239</v>
      </c>
      <c r="O13" s="22" t="n">
        <f aca="false">Data!L56</f>
        <v>0.891</v>
      </c>
      <c r="P13" s="22" t="n">
        <f aca="false">Data!M56</f>
        <v>2250.73</v>
      </c>
      <c r="Q13" s="22" t="n">
        <f aca="false">Data!N56</f>
        <v>2378.4</v>
      </c>
      <c r="R13" s="22" t="n">
        <f aca="false">Data!J56</f>
        <v>57.6</v>
      </c>
      <c r="S13" s="22" t="str">
        <f aca="false">INDEX(Sector_div!$B$2:$B$227,MATCH(A13,Sector_div!$A$2:$A$227,0))</f>
        <v>fmcg</v>
      </c>
      <c r="T13" s="26"/>
      <c r="U13" s="27" t="str">
        <f aca="false">CONCATENATE("NSE:",A13,",")</f>
        <v>NSE:COLPAL,</v>
      </c>
      <c r="V13" s="26"/>
      <c r="W13" s="26"/>
      <c r="X13" s="26"/>
      <c r="Y13" s="26"/>
      <c r="Z13" s="26"/>
    </row>
    <row r="14" customFormat="false" ht="15.75" hidden="false" customHeight="true" outlineLevel="0" collapsed="false">
      <c r="A14" s="22" t="str">
        <f aca="false">Data!A186</f>
        <v>IGL</v>
      </c>
      <c r="B14" s="23" t="n">
        <f aca="false">Data!B186</f>
        <v>207.21</v>
      </c>
      <c r="C14" s="22" t="n">
        <f aca="false">Data!C186</f>
        <v>208.6</v>
      </c>
      <c r="D14" s="22" t="n">
        <f aca="false">Data!D186</f>
        <v>205.3</v>
      </c>
      <c r="E14" s="24" t="n">
        <f aca="false">Data!E186</f>
        <v>0.237</v>
      </c>
      <c r="F14" s="22" t="n">
        <f aca="false">Data!F186</f>
        <v>4.18</v>
      </c>
      <c r="G14" s="22" t="n">
        <f aca="false">Data!S186</f>
        <v>27.34</v>
      </c>
      <c r="H14" s="25" t="n">
        <f aca="false">Data!T59*100</f>
        <v>0.8</v>
      </c>
      <c r="I14" s="22" t="str">
        <f aca="false">IF(AND(C14=Data!G186,E14&gt;0),IF(AND(C14=Data!U186,E14&gt;0),"Buy_ 52W_H","Buy_50D_H"),IF(AND(Data!H186=D14,E14&lt;0),IF(AND(Data!V186=D14,E14&lt;0),"Sell_52W_L ","Sell_50D_L "),""))</f>
        <v/>
      </c>
      <c r="J14" s="22" t="n">
        <f aca="false">RANK(L14,L:L)</f>
        <v>13</v>
      </c>
      <c r="K14" s="22" t="str">
        <f aca="false">IF(Data!R186&gt;=B14,IF(((C14-B14)/(C14-D14))*100&gt;80,"Down"," "),IF(Data!R186&lt;=B14,IF(((B14-D14)/(C14-D14))*100&gt;80,"Up"," ")))</f>
        <v> </v>
      </c>
      <c r="L14" s="22" t="n">
        <f aca="false">Data!I186</f>
        <v>155.99</v>
      </c>
      <c r="M14" s="22" t="str">
        <f aca="false">IF(AND(B14&gt;Data!P186,Data!O186&lt;Data!P186),"Buy",IF(AND(B14&lt;Data!P186,Data!O186&gt;Data!P186),"Sell",""))</f>
        <v/>
      </c>
      <c r="N14" s="22" t="n">
        <f aca="false">Data!K186/1000</f>
        <v>1464.162</v>
      </c>
      <c r="O14" s="22" t="n">
        <f aca="false">Data!L186</f>
        <v>0.602</v>
      </c>
      <c r="P14" s="22" t="n">
        <f aca="false">Data!M186</f>
        <v>212.92</v>
      </c>
      <c r="Q14" s="22" t="n">
        <f aca="false">Data!N186</f>
        <v>207.43</v>
      </c>
      <c r="R14" s="22" t="n">
        <f aca="false">Data!J186</f>
        <v>58.36</v>
      </c>
      <c r="S14" s="22" t="str">
        <f aca="false">INDEX(Sector_div!$B$2:$B$227,MATCH(A14,Sector_div!$A$2:$A$227,0))</f>
        <v>oil&amp;gas</v>
      </c>
      <c r="T14" s="26"/>
      <c r="U14" s="27" t="str">
        <f aca="false">CONCATENATE("NSE:",A14,",")</f>
        <v>NSE:IGL,</v>
      </c>
      <c r="V14" s="26"/>
      <c r="W14" s="26"/>
      <c r="X14" s="26"/>
      <c r="Y14" s="26"/>
      <c r="Z14" s="26"/>
    </row>
    <row r="15" customFormat="false" ht="15.75" hidden="false" customHeight="true" outlineLevel="0" collapsed="false">
      <c r="A15" s="22" t="str">
        <f aca="false">Data!A99</f>
        <v>UNOMINDA</v>
      </c>
      <c r="B15" s="23" t="n">
        <f aca="false">Data!B99</f>
        <v>1265.8</v>
      </c>
      <c r="C15" s="22" t="n">
        <f aca="false">Data!C99</f>
        <v>1272.6</v>
      </c>
      <c r="D15" s="22" t="n">
        <f aca="false">Data!D99</f>
        <v>1224.2</v>
      </c>
      <c r="E15" s="24" t="n">
        <f aca="false">Data!E99</f>
        <v>2.86</v>
      </c>
      <c r="F15" s="22" t="n">
        <f aca="false">Data!F99</f>
        <v>37.46</v>
      </c>
      <c r="G15" s="22" t="n">
        <f aca="false">Data!S99</f>
        <v>0.534</v>
      </c>
      <c r="H15" s="22" t="n">
        <f aca="false">Data!T30*100</f>
        <v>0.8</v>
      </c>
      <c r="I15" s="22" t="str">
        <f aca="false">IF(AND(C15=Data!G99,E15&gt;0),IF(AND(C15=Data!U99,E15&gt;0),"Buy_ 52W_H","Buy_50D_H"),IF(AND(Data!H99=D15,E15&lt;0),IF(AND(Data!V99=D15,E15&lt;0),"Sell_52W_L ","Sell_50D_L "),""))</f>
        <v>Buy_ 52W_H</v>
      </c>
      <c r="J15" s="22" t="n">
        <f aca="false">RANK(L15,L:L)</f>
        <v>14</v>
      </c>
      <c r="K15" s="22" t="str">
        <f aca="false">IF(Data!R99&gt;=B15,IF(((C15-B15)/(C15-D15))*100&gt;80,"Down"," "),IF(Data!R99&lt;=B15,IF(((B15-D15)/(C15-D15))*100&gt;80,"Up"," ")))</f>
        <v>Up</v>
      </c>
      <c r="L15" s="22" t="n">
        <f aca="false">Data!I99</f>
        <v>155.65</v>
      </c>
      <c r="M15" s="22" t="str">
        <f aca="false">IF(AND(B15&gt;Data!P99,Data!O99&lt;Data!P99),"Buy",IF(AND(B15&lt;Data!P99,Data!O99&gt;Data!P99),"Sell",""))</f>
        <v/>
      </c>
      <c r="N15" s="22" t="n">
        <f aca="false">Data!K99/1000</f>
        <v>1589.277</v>
      </c>
      <c r="O15" s="22" t="n">
        <f aca="false">Data!L99</f>
        <v>1.7</v>
      </c>
      <c r="P15" s="22" t="n">
        <f aca="false">Data!M99</f>
        <v>1175.22</v>
      </c>
      <c r="Q15" s="22" t="n">
        <f aca="false">Data!N99</f>
        <v>1211.81</v>
      </c>
      <c r="R15" s="22" t="n">
        <f aca="false">Data!J99</f>
        <v>84.8</v>
      </c>
      <c r="S15" s="22" t="e">
        <f aca="false">INDEX(Sector_div!$B$2:$B$227,MATCH(A15,Sector_div!$A$2:$A$227,0))</f>
        <v>#N/A</v>
      </c>
      <c r="T15" s="26"/>
      <c r="U15" s="27" t="str">
        <f aca="false">CONCATENATE("NSE:",A15,",")</f>
        <v>NSE:UNOMINDA,</v>
      </c>
      <c r="V15" s="26"/>
      <c r="W15" s="26"/>
      <c r="X15" s="26"/>
      <c r="Y15" s="26"/>
      <c r="Z15" s="26"/>
    </row>
    <row r="16" customFormat="false" ht="15.75" hidden="false" customHeight="true" outlineLevel="0" collapsed="false">
      <c r="A16" s="22" t="str">
        <f aca="false">Data!A37</f>
        <v>TITAN</v>
      </c>
      <c r="B16" s="23" t="n">
        <f aca="false">Data!B37</f>
        <v>3621</v>
      </c>
      <c r="C16" s="22" t="n">
        <f aca="false">Data!C37</f>
        <v>3641.4</v>
      </c>
      <c r="D16" s="22" t="n">
        <f aca="false">Data!D37</f>
        <v>3607.7</v>
      </c>
      <c r="E16" s="24" t="n">
        <f aca="false">Data!E37</f>
        <v>0.13</v>
      </c>
      <c r="F16" s="22" t="n">
        <f aca="false">Data!F37</f>
        <v>51.97</v>
      </c>
      <c r="G16" s="22" t="n">
        <f aca="false">Data!S37</f>
        <v>6.36</v>
      </c>
      <c r="H16" s="22" t="n">
        <f aca="false">Data!T168*100</f>
        <v>1.8</v>
      </c>
      <c r="I16" s="22" t="str">
        <f aca="false">IF(AND(C16=Data!G37,E16&gt;0),IF(AND(C16=Data!U37,E16&gt;0),"Buy_ 52W_H","Buy_50D_H"),IF(AND(Data!H37=D16,E16&lt;0),IF(AND(Data!V37=D16,E16&lt;0),"Sell_52W_L ","Sell_50D_L "),""))</f>
        <v/>
      </c>
      <c r="J16" s="22" t="n">
        <f aca="false">RANK(L16,L:L)</f>
        <v>15</v>
      </c>
      <c r="K16" s="22" t="str">
        <f aca="false">IF(Data!R37&gt;=B16,IF(((C16-B16)/(C16-D16))*100&gt;80,"Down"," "),IF(Data!R37&lt;=B16,IF(((B16-D16)/(C16-D16))*100&gt;80,"Up"," ")))</f>
        <v> </v>
      </c>
      <c r="L16" s="22" t="n">
        <f aca="false">Data!I37</f>
        <v>153.37</v>
      </c>
      <c r="M16" s="22" t="str">
        <f aca="false">IF(AND(B16&gt;Data!P37,Data!O37&lt;Data!P37),"Buy",IF(AND(B16&lt;Data!P37,Data!O37&gt;Data!P37),"Sell",""))</f>
        <v/>
      </c>
      <c r="N16" s="22" t="n">
        <f aca="false">Data!K37/1000</f>
        <v>691.836</v>
      </c>
      <c r="O16" s="22" t="n">
        <f aca="false">Data!L37</f>
        <v>1.03</v>
      </c>
      <c r="P16" s="22" t="n">
        <f aca="false">Data!M37</f>
        <v>3517.21</v>
      </c>
      <c r="Q16" s="22" t="n">
        <f aca="false">Data!N37</f>
        <v>3570.88</v>
      </c>
      <c r="R16" s="22" t="n">
        <f aca="false">Data!J37</f>
        <v>84.28</v>
      </c>
      <c r="S16" s="22" t="str">
        <f aca="false">INDEX(Sector_div!$B$2:$B$227,MATCH(A16,Sector_div!$A$2:$A$227,0))</f>
        <v>consumer durables</v>
      </c>
      <c r="T16" s="26"/>
      <c r="U16" s="27" t="str">
        <f aca="false">CONCATENATE("NSE:",A16,",")</f>
        <v>NSE:TITAN,</v>
      </c>
      <c r="V16" s="26"/>
      <c r="W16" s="26"/>
      <c r="X16" s="26"/>
      <c r="Y16" s="26"/>
      <c r="Z16" s="26"/>
    </row>
    <row r="17" customFormat="false" ht="15.75" hidden="false" customHeight="true" outlineLevel="0" collapsed="false">
      <c r="A17" s="22" t="str">
        <f aca="false">Data!A40</f>
        <v>TVSMOTOR</v>
      </c>
      <c r="B17" s="23" t="n">
        <f aca="false">Data!B40</f>
        <v>3294.6</v>
      </c>
      <c r="C17" s="22" t="n">
        <f aca="false">Data!C40</f>
        <v>3305</v>
      </c>
      <c r="D17" s="22" t="n">
        <f aca="false">Data!D40</f>
        <v>3273.5</v>
      </c>
      <c r="E17" s="24" t="n">
        <f aca="false">Data!E40</f>
        <v>0.418</v>
      </c>
      <c r="F17" s="22" t="n">
        <f aca="false">Data!F40</f>
        <v>72.36</v>
      </c>
      <c r="G17" s="22" t="n">
        <f aca="false">Data!S40</f>
        <v>0.405</v>
      </c>
      <c r="H17" s="25" t="n">
        <f aca="false">Data!T123*100</f>
        <v>3.3</v>
      </c>
      <c r="I17" s="22" t="str">
        <f aca="false">IF(AND(C17=Data!G40,E17&gt;0),IF(AND(C17=Data!U40,E17&gt;0),"Buy_ 52W_H","Buy_50D_H"),IF(AND(Data!H40=D17,E17&lt;0),IF(AND(Data!V40=D17,E17&lt;0),"Sell_52W_L ","Sell_50D_L "),""))</f>
        <v/>
      </c>
      <c r="J17" s="22" t="n">
        <f aca="false">RANK(L17,L:L)</f>
        <v>16</v>
      </c>
      <c r="K17" s="22" t="str">
        <f aca="false">IF(Data!R40&gt;=B17,IF(((C17-B17)/(C17-D17))*100&gt;80,"Down"," "),IF(Data!R40&lt;=B17,IF(((B17-D17)/(C17-D17))*100&gt;80,"Up"," ")))</f>
        <v> </v>
      </c>
      <c r="L17" s="22" t="n">
        <f aca="false">Data!I40</f>
        <v>150.45</v>
      </c>
      <c r="M17" s="22" t="str">
        <f aca="false">IF(AND(B17&gt;Data!P40,Data!O40&lt;Data!P40),"Buy",IF(AND(B17&lt;Data!P40,Data!O40&gt;Data!P40),"Sell",""))</f>
        <v/>
      </c>
      <c r="N17" s="22" t="n">
        <f aca="false">Data!K40/1000</f>
        <v>1323.992</v>
      </c>
      <c r="O17" s="22" t="n">
        <f aca="false">Data!L40</f>
        <v>0.927</v>
      </c>
      <c r="P17" s="22" t="n">
        <f aca="false">Data!M40</f>
        <v>3145.46</v>
      </c>
      <c r="Q17" s="22" t="n">
        <f aca="false">Data!N40</f>
        <v>3217.35</v>
      </c>
      <c r="R17" s="22" t="n">
        <f aca="false">Data!J40</f>
        <v>84.81</v>
      </c>
      <c r="S17" s="22" t="str">
        <f aca="false">INDEX(Sector_div!$B$2:$B$227,MATCH(A17,Sector_div!$A$2:$A$227,0))</f>
        <v>auto</v>
      </c>
      <c r="T17" s="26"/>
      <c r="U17" s="27" t="str">
        <f aca="false">CONCATENATE("NSE:",A17,",")</f>
        <v>NSE:TVSMOTOR,</v>
      </c>
      <c r="V17" s="26"/>
      <c r="W17" s="26"/>
      <c r="X17" s="26"/>
      <c r="Y17" s="26"/>
      <c r="Z17" s="26"/>
    </row>
    <row r="18" customFormat="false" ht="15.75" hidden="false" customHeight="true" outlineLevel="0" collapsed="false">
      <c r="A18" s="22" t="str">
        <f aca="false">Data!A181</f>
        <v>NYKAA</v>
      </c>
      <c r="B18" s="23" t="n">
        <f aca="false">Data!B181</f>
        <v>224.94</v>
      </c>
      <c r="C18" s="22" t="n">
        <f aca="false">Data!C181</f>
        <v>227.88</v>
      </c>
      <c r="D18" s="22" t="n">
        <f aca="false">Data!D181</f>
        <v>224.39</v>
      </c>
      <c r="E18" s="24" t="n">
        <f aca="false">Data!E181</f>
        <v>-0.004</v>
      </c>
      <c r="F18" s="22" t="n">
        <f aca="false">Data!F181</f>
        <v>6.23</v>
      </c>
      <c r="G18" s="22" t="n">
        <f aca="false">Data!S181</f>
        <v>1.84</v>
      </c>
      <c r="H18" s="25" t="n">
        <f aca="false">Data!T55*100</f>
        <v>1.3</v>
      </c>
      <c r="I18" s="22" t="str">
        <f aca="false">IF(AND(C18=Data!G181,E18&gt;0),IF(AND(C18=Data!U181,E18&gt;0),"Buy_ 52W_H","Buy_50D_H"),IF(AND(Data!H181=D18,E18&lt;0),IF(AND(Data!V181=D18,E18&lt;0),"Sell_52W_L ","Sell_50D_L "),""))</f>
        <v/>
      </c>
      <c r="J18" s="22" t="n">
        <f aca="false">RANK(L18,L:L)</f>
        <v>17</v>
      </c>
      <c r="K18" s="22" t="str">
        <f aca="false">IF(Data!R181&gt;=B18,IF(((C18-B18)/(C18-D18))*100&gt;80,"Down"," "),IF(Data!R181&lt;=B18,IF(((B18-D18)/(C18-D18))*100&gt;80,"Up"," ")))</f>
        <v>Down</v>
      </c>
      <c r="L18" s="22" t="n">
        <f aca="false">Data!I181</f>
        <v>148.85</v>
      </c>
      <c r="M18" s="22" t="str">
        <f aca="false">IF(AND(B18&gt;Data!P181,Data!O181&lt;Data!P181),"Buy",IF(AND(B18&lt;Data!P181,Data!O181&gt;Data!P181),"Sell",""))</f>
        <v/>
      </c>
      <c r="N18" s="22" t="n">
        <f aca="false">Data!K181/1000</f>
        <v>4074.331</v>
      </c>
      <c r="O18" s="22" t="n">
        <f aca="false">Data!L181</f>
        <v>0.723</v>
      </c>
      <c r="P18" s="22" t="n">
        <f aca="false">Data!M181</f>
        <v>213.76</v>
      </c>
      <c r="Q18" s="22" t="n">
        <f aca="false">Data!N181</f>
        <v>219.95</v>
      </c>
      <c r="R18" s="22" t="n">
        <f aca="false">Data!J181</f>
        <v>71.63</v>
      </c>
      <c r="S18" s="22" t="str">
        <f aca="false">INDEX(Sector_div!$B$2:$B$227,MATCH(A18,Sector_div!$A$2:$A$227,0))</f>
        <v>miscellaneous</v>
      </c>
      <c r="T18" s="26"/>
      <c r="U18" s="27" t="str">
        <f aca="false">CONCATENATE("NSE:",A18,",")</f>
        <v>NSE:NYKAA,</v>
      </c>
      <c r="V18" s="26"/>
      <c r="W18" s="26"/>
      <c r="X18" s="26"/>
      <c r="Y18" s="26"/>
      <c r="Z18" s="26"/>
    </row>
    <row r="19" customFormat="false" ht="15.75" hidden="false" customHeight="true" outlineLevel="0" collapsed="false">
      <c r="A19" s="22" t="str">
        <f aca="false">Data!A7</f>
        <v>MARUTI</v>
      </c>
      <c r="B19" s="23" t="n">
        <f aca="false">Data!B7</f>
        <v>14349</v>
      </c>
      <c r="C19" s="22" t="n">
        <f aca="false">Data!C7</f>
        <v>14370</v>
      </c>
      <c r="D19" s="22" t="n">
        <f aca="false">Data!D7</f>
        <v>14230</v>
      </c>
      <c r="E19" s="24" t="n">
        <f aca="false">Data!E7</f>
        <v>0.483</v>
      </c>
      <c r="F19" s="22" t="n">
        <f aca="false">Data!F7</f>
        <v>284.48</v>
      </c>
      <c r="G19" s="22" t="n">
        <f aca="false">Data!S7</f>
        <v>0.361</v>
      </c>
      <c r="H19" s="25" t="n">
        <f aca="false">Data!T17*100</f>
        <v>0.4</v>
      </c>
      <c r="I19" s="22" t="str">
        <f aca="false">IF(AND(C19=Data!G7,E19&gt;0),IF(AND(C19=Data!U7,E19&gt;0),"Buy_ 52W_H","Buy_50D_H"),IF(AND(Data!H7=D19,E19&lt;0),IF(AND(Data!V7=D19,E19&lt;0),"Sell_52W_L ","Sell_50D_L "),""))</f>
        <v/>
      </c>
      <c r="J19" s="22" t="n">
        <f aca="false">RANK(L19,L:L)</f>
        <v>18</v>
      </c>
      <c r="K19" s="22" t="str">
        <f aca="false">IF(Data!R7&gt;=B19,IF(((C19-B19)/(C19-D19))*100&gt;80,"Down"," "),IF(Data!R7&lt;=B19,IF(((B19-D19)/(C19-D19))*100&gt;80,"Up"," ")))</f>
        <v> </v>
      </c>
      <c r="L19" s="22" t="n">
        <f aca="false">Data!I7</f>
        <v>146.63</v>
      </c>
      <c r="M19" s="22" t="str">
        <f aca="false">IF(AND(B19&gt;Data!P7,Data!O7&lt;Data!P7),"Buy",IF(AND(B19&lt;Data!P7,Data!O7&gt;Data!P7),"Sell",""))</f>
        <v/>
      </c>
      <c r="N19" s="22" t="n">
        <f aca="false">Data!K7/1000</f>
        <v>458.935</v>
      </c>
      <c r="O19" s="22" t="n">
        <f aca="false">Data!L7</f>
        <v>0.894</v>
      </c>
      <c r="P19" s="22" t="n">
        <f aca="false">Data!M7</f>
        <v>13746.24</v>
      </c>
      <c r="Q19" s="22" t="n">
        <f aca="false">Data!N7</f>
        <v>14023.12</v>
      </c>
      <c r="R19" s="22" t="n">
        <f aca="false">Data!J7</f>
        <v>91.69</v>
      </c>
      <c r="S19" s="22" t="str">
        <f aca="false">INDEX(Sector_div!$B$2:$B$227,MATCH(A19,Sector_div!$A$2:$A$227,0))</f>
        <v>auto</v>
      </c>
      <c r="T19" s="26"/>
      <c r="U19" s="27" t="str">
        <f aca="false">CONCATENATE("NSE:",A19,",")</f>
        <v>NSE:MARUTI,</v>
      </c>
      <c r="V19" s="26"/>
      <c r="W19" s="26"/>
      <c r="X19" s="26"/>
      <c r="Y19" s="26"/>
      <c r="Z19" s="26"/>
    </row>
    <row r="20" customFormat="false" ht="15.75" hidden="false" customHeight="true" outlineLevel="0" collapsed="false">
      <c r="A20" s="22" t="str">
        <f aca="false">Data!A159</f>
        <v>EXIDEIND</v>
      </c>
      <c r="B20" s="23" t="n">
        <f aca="false">Data!B159</f>
        <v>396.05</v>
      </c>
      <c r="C20" s="22" t="n">
        <f aca="false">Data!C159</f>
        <v>400.45</v>
      </c>
      <c r="D20" s="22" t="n">
        <f aca="false">Data!D159</f>
        <v>394</v>
      </c>
      <c r="E20" s="24" t="n">
        <f aca="false">Data!E159</f>
        <v>-1.1</v>
      </c>
      <c r="F20" s="22" t="n">
        <f aca="false">Data!F159</f>
        <v>8.52</v>
      </c>
      <c r="G20" s="22" t="n">
        <f aca="false">Data!S159</f>
        <v>25.89</v>
      </c>
      <c r="H20" s="25" t="n">
        <f aca="false">Data!T19*100</f>
        <v>0.4</v>
      </c>
      <c r="I20" s="22" t="str">
        <f aca="false">IF(AND(C20=Data!G159,E20&gt;0),IF(AND(C20=Data!U159,E20&gt;0),"Buy_ 52W_H","Buy_50D_H"),IF(AND(Data!H159=D20,E20&lt;0),IF(AND(Data!V159=D20,E20&lt;0),"Sell_52W_L ","Sell_50D_L "),""))</f>
        <v/>
      </c>
      <c r="J20" s="22" t="n">
        <f aca="false">RANK(L20,L:L)</f>
        <v>19</v>
      </c>
      <c r="K20" s="22" t="str">
        <f aca="false">IF(Data!R159&gt;=B20,IF(((C20-B20)/(C20-D20))*100&gt;80,"Down"," "),IF(Data!R159&lt;=B20,IF(((B20-D20)/(C20-D20))*100&gt;80,"Up"," ")))</f>
        <v> </v>
      </c>
      <c r="L20" s="22" t="n">
        <f aca="false">Data!I159</f>
        <v>144.49</v>
      </c>
      <c r="M20" s="22" t="str">
        <f aca="false">IF(AND(B20&gt;Data!P159,Data!O159&lt;Data!P159),"Buy",IF(AND(B20&lt;Data!P159,Data!O159&gt;Data!P159),"Sell",""))</f>
        <v/>
      </c>
      <c r="N20" s="22" t="n">
        <f aca="false">Data!K159/1000</f>
        <v>1862.977</v>
      </c>
      <c r="O20" s="22" t="n">
        <f aca="false">Data!L159</f>
        <v>0.454</v>
      </c>
      <c r="P20" s="22" t="n">
        <f aca="false">Data!M159</f>
        <v>380.79</v>
      </c>
      <c r="Q20" s="22" t="n">
        <f aca="false">Data!N159</f>
        <v>389.56</v>
      </c>
      <c r="R20" s="22" t="n">
        <f aca="false">Data!J159</f>
        <v>65.9</v>
      </c>
      <c r="S20" s="22" t="str">
        <f aca="false">INDEX(Sector_div!$B$2:$B$227,MATCH(A20,Sector_div!$A$2:$A$227,0))</f>
        <v>auto</v>
      </c>
      <c r="T20" s="26"/>
      <c r="U20" s="27" t="str">
        <f aca="false">CONCATENATE("NSE:",A20,",")</f>
        <v>NSE:EXIDEIND,</v>
      </c>
      <c r="V20" s="26"/>
      <c r="W20" s="26"/>
      <c r="X20" s="26"/>
      <c r="Y20" s="26"/>
      <c r="Z20" s="26"/>
    </row>
    <row r="21" customFormat="false" ht="15.75" hidden="false" customHeight="true" outlineLevel="0" collapsed="false">
      <c r="A21" s="22" t="str">
        <f aca="false">Data!A29</f>
        <v>DMART</v>
      </c>
      <c r="B21" s="23" t="n">
        <f aca="false">Data!B29</f>
        <v>4698.8</v>
      </c>
      <c r="C21" s="22" t="n">
        <f aca="false">Data!C29</f>
        <v>4730</v>
      </c>
      <c r="D21" s="22" t="n">
        <f aca="false">Data!D29</f>
        <v>4636.8</v>
      </c>
      <c r="E21" s="24" t="n">
        <f aca="false">Data!E29</f>
        <v>0.147</v>
      </c>
      <c r="F21" s="22" t="n">
        <f aca="false">Data!F29</f>
        <v>105.7</v>
      </c>
      <c r="G21" s="22" t="n">
        <f aca="false">Data!S29</f>
        <v>14.33</v>
      </c>
      <c r="H21" s="22" t="n">
        <f aca="false">Data!T106*100</f>
        <v>1.2</v>
      </c>
      <c r="I21" s="22" t="str">
        <f aca="false">IF(AND(C21=Data!G29,E21&gt;0),IF(AND(C21=Data!U29,E21&gt;0),"Buy_ 52W_H","Buy_50D_H"),IF(AND(Data!H29=D21,E21&lt;0),IF(AND(Data!V29=D21,E21&lt;0),"Sell_52W_L ","Sell_50D_L "),""))</f>
        <v/>
      </c>
      <c r="J21" s="22" t="n">
        <f aca="false">RANK(L21,L:L)</f>
        <v>20</v>
      </c>
      <c r="K21" s="22" t="str">
        <f aca="false">IF(Data!R29&gt;=B21,IF(((C21-B21)/(C21-D21))*100&gt;80,"Down"," "),IF(Data!R29&lt;=B21,IF(((B21-D21)/(C21-D21))*100&gt;80,"Up"," ")))</f>
        <v> </v>
      </c>
      <c r="L21" s="22" t="n">
        <f aca="false">Data!I29</f>
        <v>144.01</v>
      </c>
      <c r="M21" s="22" t="str">
        <f aca="false">IF(AND(B21&gt;Data!P29,Data!O29&lt;Data!P29),"Buy",IF(AND(B21&lt;Data!P29,Data!O29&gt;Data!P29),"Sell",""))</f>
        <v/>
      </c>
      <c r="N21" s="22" t="n">
        <f aca="false">Data!K29/1000</f>
        <v>449.638</v>
      </c>
      <c r="O21" s="22" t="n">
        <f aca="false">Data!L29</f>
        <v>0.515</v>
      </c>
      <c r="P21" s="22" t="n">
        <f aca="false">Data!M29</f>
        <v>4499.33</v>
      </c>
      <c r="Q21" s="22" t="n">
        <f aca="false">Data!N29</f>
        <v>4605.31</v>
      </c>
      <c r="R21" s="22" t="n">
        <f aca="false">Data!J29</f>
        <v>80.41</v>
      </c>
      <c r="S21" s="22" t="str">
        <f aca="false">INDEX(Sector_div!$B$2:$B$227,MATCH(A21,Sector_div!$A$2:$A$227,0))</f>
        <v>retail</v>
      </c>
      <c r="T21" s="26"/>
      <c r="U21" s="27" t="str">
        <f aca="false">CONCATENATE("NSE:",A21,",")</f>
        <v>NSE:DMART,</v>
      </c>
      <c r="V21" s="26"/>
      <c r="W21" s="26"/>
      <c r="X21" s="26"/>
      <c r="Y21" s="26"/>
      <c r="Z21" s="26"/>
    </row>
    <row r="22" customFormat="false" ht="15.75" hidden="false" customHeight="true" outlineLevel="0" collapsed="false">
      <c r="A22" s="22" t="str">
        <f aca="false">Data!A39</f>
        <v>M&amp;M</v>
      </c>
      <c r="B22" s="23" t="n">
        <f aca="false">Data!B39</f>
        <v>3403</v>
      </c>
      <c r="C22" s="22" t="n">
        <f aca="false">Data!C39</f>
        <v>3420</v>
      </c>
      <c r="D22" s="22" t="n">
        <f aca="false">Data!D39</f>
        <v>3375.4</v>
      </c>
      <c r="E22" s="24" t="n">
        <f aca="false">Data!E39</f>
        <v>0.827</v>
      </c>
      <c r="F22" s="22" t="n">
        <f aca="false">Data!F39</f>
        <v>69.26</v>
      </c>
      <c r="G22" s="22" t="n">
        <f aca="false">Data!S39</f>
        <v>0.845</v>
      </c>
      <c r="H22" s="22" t="n">
        <f aca="false">Data!T180*100</f>
        <v>5.6</v>
      </c>
      <c r="I22" s="22" t="str">
        <f aca="false">IF(AND(C22=Data!G39,E22&gt;0),IF(AND(C22=Data!U39,E22&gt;0),"Buy_ 52W_H","Buy_50D_H"),IF(AND(Data!H39=D22,E22&lt;0),IF(AND(Data!V39=D22,E22&lt;0),"Sell_52W_L ","Sell_50D_L "),""))</f>
        <v/>
      </c>
      <c r="J22" s="22" t="n">
        <f aca="false">RANK(L22,L:L)</f>
        <v>21</v>
      </c>
      <c r="K22" s="22" t="str">
        <f aca="false">IF(Data!R39&gt;=B22,IF(((C22-B22)/(C22-D22))*100&gt;80,"Down"," "),IF(Data!R39&lt;=B22,IF(((B22-D22)/(C22-D22))*100&gt;80,"Up"," ")))</f>
        <v> </v>
      </c>
      <c r="L22" s="22" t="n">
        <f aca="false">Data!I39</f>
        <v>140.79</v>
      </c>
      <c r="M22" s="22" t="str">
        <f aca="false">IF(AND(B22&gt;Data!P39,Data!O39&lt;Data!P39),"Buy",IF(AND(B22&lt;Data!P39,Data!O39&gt;Data!P39),"Sell",""))</f>
        <v/>
      </c>
      <c r="N22" s="22" t="n">
        <f aca="false">Data!K39/1000</f>
        <v>2509.867</v>
      </c>
      <c r="O22" s="22" t="n">
        <f aca="false">Data!L39</f>
        <v>1.28</v>
      </c>
      <c r="P22" s="22" t="n">
        <f aca="false">Data!M39</f>
        <v>3258.05</v>
      </c>
      <c r="Q22" s="22" t="n">
        <f aca="false">Data!N39</f>
        <v>3327.88</v>
      </c>
      <c r="R22" s="22" t="n">
        <f aca="false">Data!J39</f>
        <v>71.11</v>
      </c>
      <c r="S22" s="22" t="str">
        <f aca="false">INDEX(Sector_div!$B$2:$B$227,MATCH(A22,Sector_div!$A$2:$A$227,0))</f>
        <v>auto</v>
      </c>
      <c r="T22" s="26"/>
      <c r="U22" s="27" t="str">
        <f aca="false">CONCATENATE("NSE:",A22,",")</f>
        <v>NSE:M&amp;M,</v>
      </c>
      <c r="V22" s="26"/>
      <c r="W22" s="26"/>
      <c r="X22" s="26"/>
      <c r="Y22" s="26"/>
      <c r="Z22" s="26"/>
    </row>
    <row r="23" customFormat="false" ht="15.75" hidden="false" customHeight="true" outlineLevel="0" collapsed="false">
      <c r="A23" s="22" t="str">
        <f aca="false">Data!A124</f>
        <v>JSL</v>
      </c>
      <c r="B23" s="23" t="n">
        <f aca="false">Data!B124</f>
        <v>777.55</v>
      </c>
      <c r="C23" s="22" t="n">
        <f aca="false">Data!C124</f>
        <v>784.25</v>
      </c>
      <c r="D23" s="22" t="n">
        <f aca="false">Data!D124</f>
        <v>769</v>
      </c>
      <c r="E23" s="24" t="n">
        <f aca="false">Data!E124</f>
        <v>0.42</v>
      </c>
      <c r="F23" s="22" t="n">
        <f aca="false">Data!F124</f>
        <v>23.93</v>
      </c>
      <c r="G23" s="22" t="n">
        <f aca="false">Data!S124</f>
        <v>3.17</v>
      </c>
      <c r="H23" s="22" t="n">
        <f aca="false">Data!T6*100</f>
        <v>0.3</v>
      </c>
      <c r="I23" s="22" t="str">
        <f aca="false">IF(AND(C23=Data!G124,E23&gt;0),IF(AND(C23=Data!U124,E23&gt;0),"Buy_ 52W_H","Buy_50D_H"),IF(AND(Data!H124=D23,E23&lt;0),IF(AND(Data!V124=D23,E23&lt;0),"Sell_52W_L ","Sell_50D_L "),""))</f>
        <v/>
      </c>
      <c r="J23" s="22" t="n">
        <f aca="false">RANK(L23,L:L)</f>
        <v>22</v>
      </c>
      <c r="K23" s="22" t="str">
        <f aca="false">IF(Data!R124&gt;=B23,IF(((C23-B23)/(C23-D23))*100&gt;80,"Down"," "),IF(Data!R124&lt;=B23,IF(((B23-D23)/(C23-D23))*100&gt;80,"Up"," ")))</f>
        <v> </v>
      </c>
      <c r="L23" s="22" t="n">
        <f aca="false">Data!I124</f>
        <v>139.16</v>
      </c>
      <c r="M23" s="22" t="str">
        <f aca="false">IF(AND(B23&gt;Data!P124,Data!O124&lt;Data!P124),"Buy",IF(AND(B23&lt;Data!P124,Data!O124&gt;Data!P124),"Sell",""))</f>
        <v/>
      </c>
      <c r="N23" s="22" t="n">
        <f aca="false">Data!K124/1000</f>
        <v>883.973</v>
      </c>
      <c r="O23" s="22" t="n">
        <f aca="false">Data!L124</f>
        <v>0.429</v>
      </c>
      <c r="P23" s="22" t="n">
        <f aca="false">Data!M124</f>
        <v>732.05</v>
      </c>
      <c r="Q23" s="22" t="n">
        <f aca="false">Data!N124</f>
        <v>757.06</v>
      </c>
      <c r="R23" s="22" t="n">
        <f aca="false">Data!J124</f>
        <v>78.81</v>
      </c>
      <c r="S23" s="22" t="str">
        <f aca="false">INDEX(Sector_div!$B$2:$B$227,MATCH(A23,Sector_div!$A$2:$A$227,0))</f>
        <v>metals</v>
      </c>
      <c r="T23" s="26"/>
      <c r="U23" s="27" t="str">
        <f aca="false">CONCATENATE("NSE:",A23,",")</f>
        <v>NSE:JSL,</v>
      </c>
      <c r="V23" s="26"/>
      <c r="W23" s="26"/>
      <c r="X23" s="26"/>
      <c r="Y23" s="26"/>
      <c r="Z23" s="26"/>
    </row>
    <row r="24" customFormat="false" ht="15.75" hidden="false" customHeight="true" outlineLevel="0" collapsed="false">
      <c r="A24" s="22" t="str">
        <f aca="false">Data!A122</f>
        <v>INDHOTEL</v>
      </c>
      <c r="B24" s="23" t="n">
        <f aca="false">Data!B122</f>
        <v>788.85</v>
      </c>
      <c r="C24" s="22" t="n">
        <f aca="false">Data!C122</f>
        <v>800.65</v>
      </c>
      <c r="D24" s="22" t="n">
        <f aca="false">Data!D122</f>
        <v>787.55</v>
      </c>
      <c r="E24" s="24" t="n">
        <f aca="false">Data!E122</f>
        <v>-0.855</v>
      </c>
      <c r="F24" s="22" t="n">
        <f aca="false">Data!F122</f>
        <v>16.87</v>
      </c>
      <c r="G24" s="22" t="n">
        <f aca="false">Data!S122</f>
        <v>11.85</v>
      </c>
      <c r="H24" s="22" t="n">
        <f aca="false">Data!T78*100</f>
        <v>1.1</v>
      </c>
      <c r="I24" s="22" t="str">
        <f aca="false">IF(AND(C24=Data!G122,E24&gt;0),IF(AND(C24=Data!U122,E24&gt;0),"Buy_ 52W_H","Buy_50D_H"),IF(AND(Data!H122=D24,E24&lt;0),IF(AND(Data!V122=D24,E24&lt;0),"Sell_52W_L ","Sell_50D_L "),""))</f>
        <v/>
      </c>
      <c r="J24" s="22" t="n">
        <f aca="false">RANK(L24,L:L)</f>
        <v>23</v>
      </c>
      <c r="K24" s="22" t="str">
        <f aca="false">IF(Data!R122&gt;=B24,IF(((C24-B24)/(C24-D24))*100&gt;80,"Down"," "),IF(Data!R122&lt;=B24,IF(((B24-D24)/(C24-D24))*100&gt;80,"Up"," ")))</f>
        <v>Down</v>
      </c>
      <c r="L24" s="22" t="n">
        <f aca="false">Data!I122</f>
        <v>134.79</v>
      </c>
      <c r="M24" s="22" t="str">
        <f aca="false">IF(AND(B24&gt;Data!P122,Data!O122&lt;Data!P122),"Buy",IF(AND(B24&lt;Data!P122,Data!O122&gt;Data!P122),"Sell",""))</f>
        <v/>
      </c>
      <c r="N24" s="22" t="n">
        <f aca="false">Data!K122/1000</f>
        <v>1780.524</v>
      </c>
      <c r="O24" s="22" t="n">
        <f aca="false">Data!L122</f>
        <v>0.579</v>
      </c>
      <c r="P24" s="22" t="n">
        <f aca="false">Data!M122</f>
        <v>768.26</v>
      </c>
      <c r="Q24" s="22" t="n">
        <f aca="false">Data!N122</f>
        <v>784.92</v>
      </c>
      <c r="R24" s="22" t="n">
        <f aca="false">Data!J122</f>
        <v>64.87</v>
      </c>
      <c r="S24" s="22" t="str">
        <f aca="false">INDEX(Sector_div!$B$2:$B$227,MATCH(A24,Sector_div!$A$2:$A$227,0))</f>
        <v>services</v>
      </c>
      <c r="T24" s="26"/>
      <c r="U24" s="27" t="str">
        <f aca="false">CONCATENATE("NSE:",A24,",")</f>
        <v>NSE:INDHOTEL,</v>
      </c>
      <c r="V24" s="26"/>
      <c r="W24" s="26"/>
      <c r="X24" s="26"/>
      <c r="Y24" s="26"/>
      <c r="Z24" s="26"/>
    </row>
    <row r="25" customFormat="false" ht="15.75" hidden="false" customHeight="true" outlineLevel="0" collapsed="false">
      <c r="A25" s="22" t="str">
        <f aca="false">Data!A32</f>
        <v>KEI</v>
      </c>
      <c r="B25" s="23" t="n">
        <f aca="false">Data!B32</f>
        <v>3954.8</v>
      </c>
      <c r="C25" s="22" t="n">
        <f aca="false">Data!C32</f>
        <v>4015</v>
      </c>
      <c r="D25" s="22" t="n">
        <f aca="false">Data!D32</f>
        <v>3938</v>
      </c>
      <c r="E25" s="24" t="n">
        <f aca="false">Data!E32</f>
        <v>0.038</v>
      </c>
      <c r="F25" s="22" t="n">
        <f aca="false">Data!F32</f>
        <v>100.04</v>
      </c>
      <c r="G25" s="22" t="n">
        <f aca="false">Data!S32</f>
        <v>16.3</v>
      </c>
      <c r="I25" s="22" t="str">
        <f aca="false">IF(AND(C25=Data!G32,E25&gt;0),IF(AND(C25=Data!U32,E25&gt;0),"Buy_ 52W_H","Buy_50D_H"),IF(AND(Data!H32=D25,E25&lt;0),IF(AND(Data!V32=D25,E25&lt;0),"Sell_52W_L ","Sell_50D_L "),""))</f>
        <v/>
      </c>
      <c r="J25" s="22" t="n">
        <f aca="false">RANK(L25,L:L)</f>
        <v>24</v>
      </c>
      <c r="K25" s="22" t="str">
        <f aca="false">IF(Data!R32&gt;=B25,IF(((C25-B25)/(C25-D25))*100&gt;80,"Down"," "),IF(Data!R32&lt;=B25,IF(((B25-D25)/(C25-D25))*100&gt;80,"Up"," ")))</f>
        <v> </v>
      </c>
      <c r="L25" s="22" t="n">
        <f aca="false">Data!I32</f>
        <v>132.38</v>
      </c>
      <c r="M25" s="22" t="str">
        <f aca="false">IF(AND(B25&gt;Data!P32,Data!O32&lt;Data!P32),"Buy",IF(AND(B25&lt;Data!P32,Data!O32&gt;Data!P32),"Sell",""))</f>
        <v/>
      </c>
      <c r="N25" s="22" t="n">
        <f aca="false">Data!K32/1000</f>
        <v>195.265</v>
      </c>
      <c r="O25" s="22" t="n">
        <f aca="false">Data!L32</f>
        <v>1.2</v>
      </c>
      <c r="P25" s="22" t="n">
        <f aca="false">Data!M32</f>
        <v>3784.36</v>
      </c>
      <c r="Q25" s="22" t="n">
        <f aca="false">Data!N32</f>
        <v>3887.98</v>
      </c>
      <c r="R25" s="22" t="n">
        <f aca="false">Data!J32</f>
        <v>64.77</v>
      </c>
      <c r="S25" s="22" t="str">
        <f aca="false">INDEX(Sector_div!$B$2:$B$227,MATCH(A25,Sector_div!$A$2:$A$227,0))</f>
        <v>industrials</v>
      </c>
      <c r="T25" s="26"/>
      <c r="U25" s="27" t="str">
        <f aca="false">CONCATENATE("NSE:",A25,",")</f>
        <v>NSE:KEI,</v>
      </c>
      <c r="V25" s="26"/>
      <c r="W25" s="26"/>
      <c r="X25" s="26"/>
      <c r="Y25" s="26"/>
      <c r="Z25" s="26"/>
    </row>
    <row r="26" customFormat="false" ht="15.75" hidden="false" customHeight="true" outlineLevel="0" collapsed="false">
      <c r="A26" s="22" t="str">
        <f aca="false">Data!A66</f>
        <v>BLUESTARCO</v>
      </c>
      <c r="B26" s="23" t="n">
        <f aca="false">Data!B66</f>
        <v>1917.4</v>
      </c>
      <c r="C26" s="22" t="n">
        <f aca="false">Data!C66</f>
        <v>1937</v>
      </c>
      <c r="D26" s="22" t="n">
        <f aca="false">Data!D66</f>
        <v>1894.9</v>
      </c>
      <c r="E26" s="24" t="n">
        <f aca="false">Data!E66</f>
        <v>0.847</v>
      </c>
      <c r="F26" s="22" t="n">
        <f aca="false">Data!F66</f>
        <v>59.52</v>
      </c>
      <c r="G26" s="22" t="n">
        <f aca="false">Data!S66</f>
        <v>20.67</v>
      </c>
      <c r="I26" s="22" t="str">
        <f aca="false">IF(AND(C26=Data!G66,E26&gt;0),IF(AND(C26=Data!U66,E26&gt;0),"Buy_ 52W_H","Buy_50D_H"),IF(AND(Data!H66=D26,E26&lt;0),IF(AND(Data!V66=D26,E26&lt;0),"Sell_52W_L ","Sell_50D_L "),""))</f>
        <v/>
      </c>
      <c r="J26" s="22" t="n">
        <f aca="false">RANK(L26,L:L)</f>
        <v>25</v>
      </c>
      <c r="K26" s="22" t="str">
        <f aca="false">IF(Data!R66&gt;=B26,IF(((C26-B26)/(C26-D26))*100&gt;80,"Down"," "),IF(Data!R66&lt;=B26,IF(((B26-D26)/(C26-D26))*100&gt;80,"Up"," ")))</f>
        <v> </v>
      </c>
      <c r="L26" s="22" t="n">
        <f aca="false">Data!I66</f>
        <v>130.12</v>
      </c>
      <c r="M26" s="22" t="str">
        <f aca="false">IF(AND(B26&gt;Data!P66,Data!O66&lt;Data!P66),"Buy",IF(AND(B26&lt;Data!P66,Data!O66&gt;Data!P66),"Sell",""))</f>
        <v/>
      </c>
      <c r="N26" s="22" t="n">
        <f aca="false">Data!K66/1000</f>
        <v>259.21</v>
      </c>
      <c r="O26" s="22" t="n">
        <f aca="false">Data!L66</f>
        <v>0.946</v>
      </c>
      <c r="P26" s="22" t="n">
        <f aca="false">Data!M66</f>
        <v>1828.89</v>
      </c>
      <c r="Q26" s="22" t="n">
        <f aca="false">Data!N66</f>
        <v>1890.87</v>
      </c>
      <c r="R26" s="22" t="n">
        <f aca="false">Data!J66</f>
        <v>70.15</v>
      </c>
      <c r="S26" s="22" t="e">
        <f aca="false">INDEX(Sector_div!$B$2:$B$227,MATCH(A26,Sector_div!$A$2:$A$227,0))</f>
        <v>#N/A</v>
      </c>
      <c r="T26" s="26"/>
      <c r="U26" s="27" t="str">
        <f aca="false">CONCATENATE("NSE:",A26,",")</f>
        <v>NSE:BLUESTARCO,</v>
      </c>
      <c r="V26" s="26"/>
      <c r="W26" s="26"/>
      <c r="X26" s="26"/>
      <c r="Y26" s="26"/>
      <c r="Z26" s="26"/>
    </row>
    <row r="27" customFormat="false" ht="15.75" hidden="false" customHeight="true" outlineLevel="0" collapsed="false">
      <c r="A27" s="22" t="str">
        <f aca="false">Data!A76</f>
        <v>CIPLA</v>
      </c>
      <c r="B27" s="23" t="n">
        <f aca="false">Data!B76</f>
        <v>1592.8</v>
      </c>
      <c r="C27" s="22" t="n">
        <f aca="false">Data!C76</f>
        <v>1602</v>
      </c>
      <c r="D27" s="22" t="n">
        <f aca="false">Data!D76</f>
        <v>1585</v>
      </c>
      <c r="E27" s="24" t="n">
        <f aca="false">Data!E76</f>
        <v>0</v>
      </c>
      <c r="F27" s="22" t="n">
        <f aca="false">Data!F76</f>
        <v>29.05</v>
      </c>
      <c r="G27" s="22" t="n">
        <f aca="false">Data!S76</f>
        <v>6.42</v>
      </c>
      <c r="H27" s="22" t="n">
        <f aca="false">Data!T126*100</f>
        <v>2.7</v>
      </c>
      <c r="I27" s="22" t="str">
        <f aca="false">IF(AND(C27=Data!G76,E27&gt;0),IF(AND(C27=Data!U76,E27&gt;0),"Buy_ 52W_H","Buy_50D_H"),IF(AND(Data!H76=D27,E27&lt;0),IF(AND(Data!V76=D27,E27&lt;0),"Sell_52W_L ","Sell_50D_L "),""))</f>
        <v/>
      </c>
      <c r="J27" s="22" t="n">
        <f aca="false">RANK(L27,L:L)</f>
        <v>26</v>
      </c>
      <c r="K27" s="22" t="str">
        <f aca="false">IF(Data!R76&gt;=B27,IF(((C27-B27)/(C27-D27))*100&gt;80,"Down"," "),IF(Data!R76&lt;=B27,IF(((B27-D27)/(C27-D27))*100&gt;80,"Up"," ")))</f>
        <v> </v>
      </c>
      <c r="L27" s="22" t="n">
        <f aca="false">Data!I76</f>
        <v>128.79</v>
      </c>
      <c r="M27" s="22" t="str">
        <f aca="false">IF(AND(B27&gt;Data!P76,Data!O76&lt;Data!P76),"Buy",IF(AND(B27&lt;Data!P76,Data!O76&gt;Data!P76),"Sell",""))</f>
        <v/>
      </c>
      <c r="N27" s="22" t="n">
        <f aca="false">Data!K76/1000</f>
        <v>1574.526</v>
      </c>
      <c r="O27" s="22" t="n">
        <f aca="false">Data!L76</f>
        <v>0.927</v>
      </c>
      <c r="P27" s="22" t="n">
        <f aca="false">Data!M76</f>
        <v>1535.7</v>
      </c>
      <c r="Q27" s="22" t="n">
        <f aca="false">Data!N76</f>
        <v>1564.6</v>
      </c>
      <c r="R27" s="22" t="n">
        <f aca="false">Data!J76</f>
        <v>74</v>
      </c>
      <c r="S27" s="22" t="str">
        <f aca="false">INDEX(Sector_div!$B$2:$B$227,MATCH(A27,Sector_div!$A$2:$A$227,0))</f>
        <v>Pharma&amp;Healthcare</v>
      </c>
      <c r="T27" s="26"/>
      <c r="U27" s="27" t="str">
        <f aca="false">CONCATENATE("NSE:",A27,",")</f>
        <v>NSE:CIPLA,</v>
      </c>
      <c r="V27" s="26"/>
      <c r="W27" s="26"/>
      <c r="X27" s="26"/>
      <c r="Y27" s="26"/>
      <c r="Z27" s="26"/>
    </row>
    <row r="28" customFormat="false" ht="15.75" hidden="false" customHeight="true" outlineLevel="0" collapsed="false">
      <c r="A28" s="22" t="str">
        <f aca="false">Data!A96</f>
        <v>GODREJCP</v>
      </c>
      <c r="B28" s="23" t="n">
        <f aca="false">Data!B96</f>
        <v>1257.2</v>
      </c>
      <c r="C28" s="22" t="n">
        <f aca="false">Data!C96</f>
        <v>1265.4</v>
      </c>
      <c r="D28" s="22" t="n">
        <f aca="false">Data!D96</f>
        <v>1242.4</v>
      </c>
      <c r="E28" s="24" t="n">
        <f aca="false">Data!E96</f>
        <v>0.786</v>
      </c>
      <c r="F28" s="22" t="n">
        <f aca="false">Data!F96</f>
        <v>31</v>
      </c>
      <c r="G28" s="22" t="n">
        <f aca="false">Data!S96</f>
        <v>18.46</v>
      </c>
      <c r="I28" s="22" t="str">
        <f aca="false">IF(AND(C28=Data!G96,E28&gt;0),IF(AND(C28=Data!U96,E28&gt;0),"Buy_ 52W_H","Buy_50D_H"),IF(AND(Data!H96=D28,E28&lt;0),IF(AND(Data!V96=D28,E28&lt;0),"Sell_52W_L ","Sell_50D_L "),""))</f>
        <v/>
      </c>
      <c r="J28" s="22" t="n">
        <f aca="false">RANK(L28,L:L)</f>
        <v>27</v>
      </c>
      <c r="K28" s="22" t="str">
        <f aca="false">IF(Data!R96&gt;=B28,IF(((C28-B28)/(C28-D28))*100&gt;80,"Down"," "),IF(Data!R96&lt;=B28,IF(((B28-D28)/(C28-D28))*100&gt;80,"Up"," ")))</f>
        <v> </v>
      </c>
      <c r="L28" s="22" t="n">
        <f aca="false">Data!I96</f>
        <v>126.89</v>
      </c>
      <c r="M28" s="22" t="str">
        <f aca="false">IF(AND(B28&gt;Data!P96,Data!O96&lt;Data!P96),"Buy",IF(AND(B28&lt;Data!P96,Data!O96&gt;Data!P96),"Sell",""))</f>
        <v>Buy</v>
      </c>
      <c r="N28" s="22" t="n">
        <f aca="false">Data!K96/1000</f>
        <v>1481.34</v>
      </c>
      <c r="O28" s="22" t="n">
        <f aca="false">Data!L96</f>
        <v>0.796</v>
      </c>
      <c r="P28" s="22" t="n">
        <f aca="false">Data!M96</f>
        <v>1192.23</v>
      </c>
      <c r="Q28" s="22" t="n">
        <f aca="false">Data!N96</f>
        <v>1223.06</v>
      </c>
      <c r="R28" s="22" t="n">
        <f aca="false">Data!J96</f>
        <v>69.21</v>
      </c>
      <c r="S28" s="22" t="str">
        <f aca="false">INDEX(Sector_div!$B$2:$B$227,MATCH(A28,Sector_div!$A$2:$A$227,0))</f>
        <v>fmcg</v>
      </c>
      <c r="T28" s="26"/>
      <c r="U28" s="27" t="str">
        <f aca="false">CONCATENATE("NSE:",A28,",")</f>
        <v>NSE:GODREJCP,</v>
      </c>
      <c r="V28" s="26"/>
      <c r="W28" s="26"/>
      <c r="X28" s="26"/>
      <c r="Y28" s="26"/>
      <c r="Z28" s="26"/>
    </row>
    <row r="29" customFormat="false" ht="15.75" hidden="false" customHeight="true" outlineLevel="0" collapsed="false">
      <c r="A29" s="22" t="str">
        <f aca="false">Data!A195</f>
        <v>IEX</v>
      </c>
      <c r="B29" s="23" t="n">
        <f aca="false">Data!B195</f>
        <v>143.92</v>
      </c>
      <c r="C29" s="22" t="n">
        <f aca="false">Data!C195</f>
        <v>146.07</v>
      </c>
      <c r="D29" s="22" t="n">
        <f aca="false">Data!D195</f>
        <v>143.43</v>
      </c>
      <c r="E29" s="24" t="n">
        <f aca="false">Data!E195</f>
        <v>-0.484</v>
      </c>
      <c r="F29" s="22" t="n">
        <f aca="false">Data!F195</f>
        <v>4.31</v>
      </c>
      <c r="G29" s="22" t="n">
        <f aca="false">Data!S195</f>
        <v>41.11</v>
      </c>
      <c r="H29" s="25" t="n">
        <f aca="false">Data!T141*100</f>
        <v>3.7</v>
      </c>
      <c r="I29" s="22" t="str">
        <f aca="false">IF(AND(C29=Data!G195,E29&gt;0),IF(AND(C29=Data!U195,E29&gt;0),"Buy_ 52W_H","Buy_50D_H"),IF(AND(Data!H195=D29,E29&lt;0),IF(AND(Data!V195=D29,E29&lt;0),"Sell_52W_L ","Sell_50D_L "),""))</f>
        <v/>
      </c>
      <c r="J29" s="22" t="n">
        <f aca="false">RANK(L29,L:L)</f>
        <v>28</v>
      </c>
      <c r="K29" s="22" t="str">
        <f aca="false">IF(Data!R195&gt;=B29,IF(((C29-B29)/(C29-D29))*100&gt;80,"Down"," "),IF(Data!R195&lt;=B29,IF(((B29-D29)/(C29-D29))*100&gt;80,"Up"," ")))</f>
        <v>Down</v>
      </c>
      <c r="L29" s="22" t="n">
        <f aca="false">Data!I195</f>
        <v>126.15</v>
      </c>
      <c r="M29" s="22" t="str">
        <f aca="false">IF(AND(B29&gt;Data!P195,Data!O195&lt;Data!P195),"Buy",IF(AND(B29&lt;Data!P195,Data!O195&gt;Data!P195),"Sell",""))</f>
        <v/>
      </c>
      <c r="N29" s="22" t="n">
        <f aca="false">Data!K195/1000</f>
        <v>6706.453</v>
      </c>
      <c r="O29" s="22" t="n">
        <f aca="false">Data!L195</f>
        <v>0.763</v>
      </c>
      <c r="P29" s="22" t="n">
        <f aca="false">Data!M195</f>
        <v>147.33</v>
      </c>
      <c r="Q29" s="22" t="n">
        <f aca="false">Data!N195</f>
        <v>139.85</v>
      </c>
      <c r="R29" s="22" t="n">
        <f aca="false">Data!J195</f>
        <v>54.9</v>
      </c>
      <c r="S29" s="22" t="str">
        <f aca="false">INDEX(Sector_div!$B$2:$B$227,MATCH(A29,Sector_div!$A$2:$A$227,0))</f>
        <v>power</v>
      </c>
      <c r="T29" s="26"/>
      <c r="U29" s="27" t="str">
        <f aca="false">CONCATENATE("NSE:",A29,",")</f>
        <v>NSE:IEX,</v>
      </c>
      <c r="V29" s="26"/>
      <c r="W29" s="26"/>
      <c r="X29" s="26"/>
      <c r="Y29" s="26"/>
      <c r="Z29" s="26"/>
    </row>
    <row r="30" customFormat="false" ht="15.75" hidden="false" customHeight="true" outlineLevel="0" collapsed="false">
      <c r="A30" s="22" t="str">
        <f aca="false">Data!A50</f>
        <v>HINDUNILVR</v>
      </c>
      <c r="B30" s="23" t="n">
        <f aca="false">Data!B50</f>
        <v>2629.9</v>
      </c>
      <c r="C30" s="22" t="n">
        <f aca="false">Data!C50</f>
        <v>2658.5</v>
      </c>
      <c r="D30" s="22" t="n">
        <f aca="false">Data!D50</f>
        <v>2619</v>
      </c>
      <c r="E30" s="24" t="n">
        <f aca="false">Data!E50</f>
        <v>-0.683</v>
      </c>
      <c r="F30" s="22" t="n">
        <f aca="false">Data!F50</f>
        <v>57.32</v>
      </c>
      <c r="G30" s="22" t="n">
        <f aca="false">Data!S50</f>
        <v>13.35</v>
      </c>
      <c r="H30" s="22" t="n">
        <f aca="false">Data!T32*100</f>
        <v>1</v>
      </c>
      <c r="I30" s="22" t="str">
        <f aca="false">IF(AND(C30=Data!G50,E30&gt;0),IF(AND(C30=Data!U50,E30&gt;0),"Buy_ 52W_H","Buy_50D_H"),IF(AND(Data!H50=D30,E30&lt;0),IF(AND(Data!V50=D30,E30&lt;0),"Sell_52W_L ","Sell_50D_L "),""))</f>
        <v/>
      </c>
      <c r="J30" s="22" t="n">
        <f aca="false">RANK(L30,L:L)</f>
        <v>29</v>
      </c>
      <c r="K30" s="22" t="str">
        <f aca="false">IF(Data!R50&gt;=B30,IF(((C30-B30)/(C30-D30))*100&gt;80,"Down"," "),IF(Data!R50&lt;=B30,IF(((B30-D30)/(C30-D30))*100&gt;80,"Up"," ")))</f>
        <v> </v>
      </c>
      <c r="L30" s="22" t="n">
        <f aca="false">Data!I50</f>
        <v>126.03</v>
      </c>
      <c r="M30" s="22" t="str">
        <f aca="false">IF(AND(B30&gt;Data!P50,Data!O50&lt;Data!P50),"Buy",IF(AND(B30&lt;Data!P50,Data!O50&gt;Data!P50),"Sell",""))</f>
        <v/>
      </c>
      <c r="N30" s="22" t="n">
        <f aca="false">Data!K50/1000</f>
        <v>1223.45</v>
      </c>
      <c r="O30" s="22" t="n">
        <f aca="false">Data!L50</f>
        <v>0.547</v>
      </c>
      <c r="P30" s="22" t="n">
        <f aca="false">Data!M50</f>
        <v>2530.44</v>
      </c>
      <c r="Q30" s="22" t="n">
        <f aca="false">Data!N50</f>
        <v>2588.82</v>
      </c>
      <c r="R30" s="22" t="n">
        <f aca="false">Data!J50</f>
        <v>66.69</v>
      </c>
      <c r="S30" s="22" t="str">
        <f aca="false">INDEX(Sector_div!$B$2:$B$227,MATCH(A30,Sector_div!$A$2:$A$227,0))</f>
        <v>fmcg</v>
      </c>
      <c r="T30" s="26"/>
      <c r="U30" s="27" t="str">
        <f aca="false">CONCATENATE("NSE:",A30,",")</f>
        <v>NSE:HINDUNILVR,</v>
      </c>
      <c r="V30" s="26"/>
      <c r="W30" s="26"/>
      <c r="X30" s="26"/>
      <c r="Y30" s="26"/>
      <c r="Z30" s="26"/>
    </row>
    <row r="31" customFormat="false" ht="15.75" hidden="false" customHeight="true" outlineLevel="0" collapsed="false">
      <c r="A31" s="22" t="str">
        <f aca="false">Data!A199</f>
        <v>ASHOKLEY</v>
      </c>
      <c r="B31" s="23" t="n">
        <f aca="false">Data!B199</f>
        <v>131.2</v>
      </c>
      <c r="C31" s="22" t="n">
        <f aca="false">Data!C199</f>
        <v>132.1</v>
      </c>
      <c r="D31" s="22" t="n">
        <f aca="false">Data!D199</f>
        <v>129.63</v>
      </c>
      <c r="E31" s="24" t="n">
        <f aca="false">Data!E199</f>
        <v>0.145</v>
      </c>
      <c r="F31" s="22" t="n">
        <f aca="false">Data!F199</f>
        <v>3.78</v>
      </c>
      <c r="G31" s="22" t="n">
        <f aca="false">Data!S199</f>
        <v>2.32</v>
      </c>
      <c r="H31" s="25" t="n">
        <f aca="false">Data!T85*100</f>
        <v>1.2</v>
      </c>
      <c r="I31" s="22" t="str">
        <f aca="false">IF(AND(C31=Data!G199,E31&gt;0),IF(AND(C31=Data!U199,E31&gt;0),"Buy_ 52W_H","Buy_50D_H"),IF(AND(Data!H199=D31,E31&lt;0),IF(AND(Data!V199=D31,E31&lt;0),"Sell_52W_L ","Sell_50D_L "),""))</f>
        <v/>
      </c>
      <c r="J31" s="22" t="n">
        <f aca="false">RANK(L31,L:L)</f>
        <v>30</v>
      </c>
      <c r="K31" s="22" t="str">
        <f aca="false">IF(Data!R199&gt;=B31,IF(((C31-B31)/(C31-D31))*100&gt;80,"Down"," "),IF(Data!R199&lt;=B31,IF(((B31-D31)/(C31-D31))*100&gt;80,"Up"," ")))</f>
        <v> </v>
      </c>
      <c r="L31" s="22" t="n">
        <f aca="false">Data!I199</f>
        <v>125.32</v>
      </c>
      <c r="M31" s="22" t="str">
        <f aca="false">IF(AND(B31&gt;Data!P199,Data!O199&lt;Data!P199),"Buy",IF(AND(B31&lt;Data!P199,Data!O199&gt;Data!P199),"Sell",""))</f>
        <v/>
      </c>
      <c r="N31" s="22" t="n">
        <f aca="false">Data!K199/1000</f>
        <v>11093.416</v>
      </c>
      <c r="O31" s="22" t="n">
        <f aca="false">Data!L199</f>
        <v>0.664</v>
      </c>
      <c r="P31" s="22" t="n">
        <f aca="false">Data!M199</f>
        <v>125.58</v>
      </c>
      <c r="Q31" s="22" t="n">
        <f aca="false">Data!N199</f>
        <v>129.42</v>
      </c>
      <c r="R31" s="22" t="n">
        <f aca="false">Data!J199</f>
        <v>68.64</v>
      </c>
      <c r="S31" s="22" t="str">
        <f aca="false">INDEX(Sector_div!$B$2:$B$227,MATCH(A31,Sector_div!$A$2:$A$227,0))</f>
        <v>auto</v>
      </c>
      <c r="T31" s="26"/>
      <c r="U31" s="27" t="str">
        <f aca="false">CONCATENATE("NSE:",A31,",")</f>
        <v>NSE:ASHOKLEY,</v>
      </c>
      <c r="V31" s="26"/>
      <c r="W31" s="26"/>
      <c r="X31" s="26"/>
      <c r="Y31" s="26"/>
      <c r="Z31" s="26"/>
    </row>
    <row r="32" customFormat="false" ht="15.75" hidden="false" customHeight="true" outlineLevel="0" collapsed="false">
      <c r="A32" s="22" t="str">
        <f aca="false">Data!A41</f>
        <v>SIEMENS</v>
      </c>
      <c r="B32" s="23" t="n">
        <f aca="false">Data!B41</f>
        <v>3173.2</v>
      </c>
      <c r="C32" s="22" t="n">
        <f aca="false">Data!C41</f>
        <v>3234.3</v>
      </c>
      <c r="D32" s="22" t="n">
        <f aca="false">Data!D41</f>
        <v>3158</v>
      </c>
      <c r="E32" s="24" t="n">
        <f aca="false">Data!E41</f>
        <v>-0.751</v>
      </c>
      <c r="F32" s="22" t="n">
        <f aca="false">Data!F41</f>
        <v>81.16</v>
      </c>
      <c r="G32" s="22" t="n">
        <f aca="false">Data!S41</f>
        <v>33.51</v>
      </c>
      <c r="H32" s="25" t="n">
        <f aca="false">Data!T135*100</f>
        <v>4.4</v>
      </c>
      <c r="I32" s="22" t="str">
        <f aca="false">IF(AND(C32=Data!G41,E32&gt;0),IF(AND(C32=Data!U41,E32&gt;0),"Buy_ 52W_H","Buy_50D_H"),IF(AND(Data!H41=D32,E32&lt;0),IF(AND(Data!V41=D32,E32&lt;0),"Sell_52W_L ","Sell_50D_L "),""))</f>
        <v/>
      </c>
      <c r="J32" s="22" t="n">
        <f aca="false">RANK(L32,L:L)</f>
        <v>31</v>
      </c>
      <c r="K32" s="22" t="str">
        <f aca="false">IF(Data!R41&gt;=B32,IF(((C32-B32)/(C32-D32))*100&gt;80,"Down"," "),IF(Data!R41&lt;=B32,IF(((B32-D32)/(C32-D32))*100&gt;80,"Up"," ")))</f>
        <v>Down</v>
      </c>
      <c r="L32" s="22" t="n">
        <f aca="false">Data!I41</f>
        <v>123.94</v>
      </c>
      <c r="M32" s="22" t="str">
        <f aca="false">IF(AND(B32&gt;Data!P41,Data!O41&lt;Data!P41),"Buy",IF(AND(B32&lt;Data!P41,Data!O41&gt;Data!P41),"Sell",""))</f>
        <v/>
      </c>
      <c r="N32" s="22" t="n">
        <f aca="false">Data!K41/1000</f>
        <v>290.165</v>
      </c>
      <c r="O32" s="22" t="n">
        <f aca="false">Data!L41</f>
        <v>0.409</v>
      </c>
      <c r="P32" s="22" t="n">
        <f aca="false">Data!M41</f>
        <v>3033.12</v>
      </c>
      <c r="Q32" s="22" t="n">
        <f aca="false">Data!N41</f>
        <v>3114.64</v>
      </c>
      <c r="R32" s="22" t="n">
        <f aca="false">Data!J41</f>
        <v>59.51</v>
      </c>
      <c r="S32" s="22" t="str">
        <f aca="false">INDEX(Sector_div!$B$2:$B$227,MATCH(A32,Sector_div!$A$2:$A$227,0))</f>
        <v>fmcg</v>
      </c>
      <c r="T32" s="26"/>
      <c r="U32" s="27" t="str">
        <f aca="false">CONCATENATE("NSE:",A32,",")</f>
        <v>NSE:SIEMENS,</v>
      </c>
      <c r="V32" s="26"/>
      <c r="W32" s="26"/>
      <c r="X32" s="26"/>
      <c r="Y32" s="26"/>
      <c r="Z32" s="26"/>
    </row>
    <row r="33" customFormat="false" ht="15.75" hidden="false" customHeight="true" outlineLevel="0" collapsed="false">
      <c r="A33" s="22" t="str">
        <f aca="false">Data!A34</f>
        <v>CUMMINSIND</v>
      </c>
      <c r="B33" s="23" t="n">
        <f aca="false">Data!B34</f>
        <v>3916</v>
      </c>
      <c r="C33" s="22" t="n">
        <f aca="false">Data!C34</f>
        <v>3932</v>
      </c>
      <c r="D33" s="22" t="n">
        <f aca="false">Data!D34</f>
        <v>3875</v>
      </c>
      <c r="E33" s="24" t="n">
        <f aca="false">Data!E34</f>
        <v>0.764</v>
      </c>
      <c r="F33" s="22" t="n">
        <f aca="false">Data!F34</f>
        <v>82.19</v>
      </c>
      <c r="G33" s="22" t="n">
        <f aca="false">Data!S34</f>
        <v>0.407</v>
      </c>
      <c r="I33" s="22" t="str">
        <f aca="false">IF(AND(C33=Data!G34,E33&gt;0),IF(AND(C33=Data!U34,E33&gt;0),"Buy_ 52W_H","Buy_50D_H"),IF(AND(Data!H34=D33,E33&lt;0),IF(AND(Data!V34=D33,E33&lt;0),"Sell_52W_L ","Sell_50D_L "),""))</f>
        <v>Buy_50D_H</v>
      </c>
      <c r="J33" s="22" t="n">
        <f aca="false">RANK(L33,L:L)</f>
        <v>32</v>
      </c>
      <c r="K33" s="22" t="str">
        <f aca="false">IF(Data!R34&gt;=B33,IF(((C33-B33)/(C33-D33))*100&gt;80,"Down"," "),IF(Data!R34&lt;=B33,IF(((B33-D33)/(C33-D33))*100&gt;80,"Up"," ")))</f>
        <v> </v>
      </c>
      <c r="L33" s="22" t="n">
        <f aca="false">Data!I34</f>
        <v>123.11</v>
      </c>
      <c r="M33" s="22" t="str">
        <f aca="false">IF(AND(B33&gt;Data!P34,Data!O34&lt;Data!P34),"Buy",IF(AND(B33&lt;Data!P34,Data!O34&gt;Data!P34),"Sell",""))</f>
        <v/>
      </c>
      <c r="N33" s="22" t="n">
        <f aca="false">Data!K34/1000</f>
        <v>558.597</v>
      </c>
      <c r="O33" s="22" t="n">
        <f aca="false">Data!L34</f>
        <v>0.795</v>
      </c>
      <c r="P33" s="22" t="n">
        <f aca="false">Data!M34</f>
        <v>3737.12</v>
      </c>
      <c r="Q33" s="22" t="n">
        <f aca="false">Data!N34</f>
        <v>3820.31</v>
      </c>
      <c r="R33" s="22" t="n">
        <f aca="false">Data!J34</f>
        <v>81.32</v>
      </c>
      <c r="S33" s="22" t="str">
        <f aca="false">INDEX(Sector_div!$B$2:$B$227,MATCH(A33,Sector_div!$A$2:$A$227,0))</f>
        <v>fmcg</v>
      </c>
      <c r="T33" s="26"/>
      <c r="U33" s="27" t="str">
        <f aca="false">CONCATENATE("NSE:",A33,",")</f>
        <v>NSE:CUMMINSIND,</v>
      </c>
      <c r="V33" s="26"/>
      <c r="W33" s="26"/>
      <c r="X33" s="26"/>
      <c r="Y33" s="26"/>
      <c r="Z33" s="26"/>
    </row>
    <row r="34" customFormat="false" ht="15.75" hidden="false" customHeight="true" outlineLevel="0" collapsed="false">
      <c r="A34" s="22" t="str">
        <f aca="false">Data!A19</f>
        <v>EICHERMOT</v>
      </c>
      <c r="B34" s="23" t="n">
        <f aca="false">Data!B19</f>
        <v>5924.5</v>
      </c>
      <c r="C34" s="22" t="n">
        <f aca="false">Data!C19</f>
        <v>5973</v>
      </c>
      <c r="D34" s="22" t="n">
        <f aca="false">Data!D19</f>
        <v>5913.5</v>
      </c>
      <c r="E34" s="24" t="n">
        <f aca="false">Data!E19</f>
        <v>-0.845</v>
      </c>
      <c r="F34" s="22" t="n">
        <f aca="false">Data!F19</f>
        <v>98.02</v>
      </c>
      <c r="G34" s="22" t="n">
        <f aca="false">Data!S19</f>
        <v>1.66</v>
      </c>
      <c r="H34" s="22" t="n">
        <f aca="false">Data!T60*100</f>
        <v>1.1</v>
      </c>
      <c r="I34" s="22" t="str">
        <f aca="false">IF(AND(C34=Data!G19,E34&gt;0),IF(AND(C34=Data!U19,E34&gt;0),"Buy_ 52W_H","Buy_50D_H"),IF(AND(Data!H19=D34,E34&lt;0),IF(AND(Data!V19=D34,E34&lt;0),"Sell_52W_L ","Sell_50D_L "),""))</f>
        <v/>
      </c>
      <c r="J34" s="22" t="n">
        <f aca="false">RANK(L34,L:L)</f>
        <v>33</v>
      </c>
      <c r="K34" s="22" t="str">
        <f aca="false">IF(Data!R19&gt;=B34,IF(((C34-B34)/(C34-D34))*100&gt;80,"Down"," "),IF(Data!R19&lt;=B34,IF(((B34-D34)/(C34-D34))*100&gt;80,"Up"," ")))</f>
        <v>Down</v>
      </c>
      <c r="L34" s="22" t="n">
        <f aca="false">Data!I19</f>
        <v>122.41</v>
      </c>
      <c r="M34" s="22" t="str">
        <f aca="false">IF(AND(B34&gt;Data!P19,Data!O19&lt;Data!P19),"Buy",IF(AND(B34&lt;Data!P19,Data!O19&gt;Data!P19),"Sell",""))</f>
        <v/>
      </c>
      <c r="N34" s="22" t="n">
        <f aca="false">Data!K19/1000</f>
        <v>273.431</v>
      </c>
      <c r="O34" s="22" t="n">
        <f aca="false">Data!L19</f>
        <v>0.548</v>
      </c>
      <c r="P34" s="22" t="n">
        <f aca="false">Data!M19</f>
        <v>5746.41</v>
      </c>
      <c r="Q34" s="22" t="n">
        <f aca="false">Data!N19</f>
        <v>5844.83</v>
      </c>
      <c r="R34" s="22" t="n">
        <f aca="false">Data!J19</f>
        <v>73.81</v>
      </c>
      <c r="S34" s="22" t="str">
        <f aca="false">INDEX(Sector_div!$B$2:$B$227,MATCH(A34,Sector_div!$A$2:$A$227,0))</f>
        <v>auto</v>
      </c>
      <c r="T34" s="26"/>
      <c r="U34" s="27" t="str">
        <f aca="false">CONCATENATE("NSE:",A34,",")</f>
        <v>NSE:EICHERMOT,</v>
      </c>
      <c r="V34" s="26"/>
      <c r="W34" s="26"/>
      <c r="X34" s="26"/>
      <c r="Y34" s="26"/>
      <c r="Z34" s="26"/>
    </row>
    <row r="35" customFormat="false" ht="15.75" hidden="false" customHeight="true" outlineLevel="0" collapsed="false">
      <c r="A35" s="22" t="str">
        <f aca="false">Data!A67</f>
        <v>POLICYBZR</v>
      </c>
      <c r="B35" s="23" t="n">
        <f aca="false">Data!B67</f>
        <v>1911.2</v>
      </c>
      <c r="C35" s="22" t="n">
        <f aca="false">Data!C67</f>
        <v>1928.9</v>
      </c>
      <c r="D35" s="22" t="n">
        <f aca="false">Data!D67</f>
        <v>1894</v>
      </c>
      <c r="E35" s="24" t="n">
        <f aca="false">Data!E67</f>
        <v>0.173</v>
      </c>
      <c r="F35" s="22" t="n">
        <f aca="false">Data!F67</f>
        <v>52.01</v>
      </c>
      <c r="G35" s="22" t="n">
        <f aca="false">Data!S67</f>
        <v>14.94</v>
      </c>
      <c r="H35" s="22" t="n">
        <f aca="false">Data!T4*100</f>
        <v>0.1</v>
      </c>
      <c r="I35" s="22" t="str">
        <f aca="false">IF(AND(C35=Data!G67,E35&gt;0),IF(AND(C35=Data!U67,E35&gt;0),"Buy_ 52W_H","Buy_50D_H"),IF(AND(Data!H67=D35,E35&lt;0),IF(AND(Data!V67=D35,E35&lt;0),"Sell_52W_L ","Sell_50D_L "),""))</f>
        <v/>
      </c>
      <c r="J35" s="22" t="n">
        <f aca="false">RANK(L35,L:L)</f>
        <v>34</v>
      </c>
      <c r="K35" s="22" t="str">
        <f aca="false">IF(Data!R67&gt;=B35,IF(((C35-B35)/(C35-D35))*100&gt;80,"Down"," "),IF(Data!R67&lt;=B35,IF(((B35-D35)/(C35-D35))*100&gt;80,"Up"," ")))</f>
        <v> </v>
      </c>
      <c r="L35" s="22" t="n">
        <f aca="false">Data!I67</f>
        <v>120.84</v>
      </c>
      <c r="M35" s="22" t="str">
        <f aca="false">IF(AND(B35&gt;Data!P67,Data!O67&lt;Data!P67),"Buy",IF(AND(B35&lt;Data!P67,Data!O67&gt;Data!P67),"Sell",""))</f>
        <v/>
      </c>
      <c r="N35" s="22" t="n">
        <f aca="false">Data!K67/1000</f>
        <v>865.773</v>
      </c>
      <c r="O35" s="22" t="n">
        <f aca="false">Data!L67</f>
        <v>1.32</v>
      </c>
      <c r="P35" s="22" t="n">
        <f aca="false">Data!M67</f>
        <v>1808.01</v>
      </c>
      <c r="Q35" s="22" t="n">
        <f aca="false">Data!N67</f>
        <v>1862.8</v>
      </c>
      <c r="R35" s="22" t="n">
        <f aca="false">Data!J67</f>
        <v>68.48</v>
      </c>
      <c r="S35" s="22" t="str">
        <f aca="false">INDEX(Sector_div!$B$2:$B$227,MATCH(A35,Sector_div!$A$2:$A$227,0))</f>
        <v>Insurance</v>
      </c>
      <c r="T35" s="26"/>
      <c r="U35" s="27" t="str">
        <f aca="false">CONCATENATE("NSE:",A35,",")</f>
        <v>NSE:POLICYBZR,</v>
      </c>
      <c r="V35" s="26"/>
      <c r="W35" s="26"/>
      <c r="X35" s="26"/>
      <c r="Y35" s="26"/>
      <c r="Z35" s="26"/>
    </row>
    <row r="36" customFormat="false" ht="15.75" hidden="false" customHeight="true" outlineLevel="0" collapsed="false">
      <c r="A36" s="22" t="str">
        <f aca="false">Data!A14</f>
        <v>POLYCAB</v>
      </c>
      <c r="B36" s="23" t="n">
        <f aca="false">Data!B14</f>
        <v>7116</v>
      </c>
      <c r="C36" s="22" t="n">
        <f aca="false">Data!C14</f>
        <v>7164</v>
      </c>
      <c r="D36" s="22" t="n">
        <f aca="false">Data!D14</f>
        <v>7059.5</v>
      </c>
      <c r="E36" s="24" t="n">
        <f aca="false">Data!E14</f>
        <v>0.445</v>
      </c>
      <c r="F36" s="22" t="n">
        <f aca="false">Data!F14</f>
        <v>140.31</v>
      </c>
      <c r="G36" s="22" t="n">
        <f aca="false">Data!S14</f>
        <v>6.43</v>
      </c>
      <c r="H36" s="22" t="n">
        <f aca="false">Data!T156*100</f>
        <v>5.2</v>
      </c>
      <c r="I36" s="22" t="str">
        <f aca="false">IF(AND(C36=Data!G14,E36&gt;0),IF(AND(C36=Data!U14,E36&gt;0),"Buy_ 52W_H","Buy_50D_H"),IF(AND(Data!H14=D36,E36&lt;0),IF(AND(Data!V14=D36,E36&lt;0),"Sell_52W_L ","Sell_50D_L "),""))</f>
        <v/>
      </c>
      <c r="J36" s="22" t="n">
        <f aca="false">RANK(L36,L:L)</f>
        <v>35</v>
      </c>
      <c r="K36" s="22" t="str">
        <f aca="false">IF(Data!R14&gt;=B36,IF(((C36-B36)/(C36-D36))*100&gt;80,"Down"," "),IF(Data!R14&lt;=B36,IF(((B36-D36)/(C36-D36))*100&gt;80,"Up"," ")))</f>
        <v> </v>
      </c>
      <c r="L36" s="22" t="n">
        <f aca="false">Data!I14</f>
        <v>120.45</v>
      </c>
      <c r="M36" s="22" t="str">
        <f aca="false">IF(AND(B36&gt;Data!P14,Data!O14&lt;Data!P14),"Buy",IF(AND(B36&lt;Data!P14,Data!O14&gt;Data!P14),"Sell",""))</f>
        <v/>
      </c>
      <c r="N36" s="22" t="n">
        <f aca="false">Data!K14/1000</f>
        <v>172.152</v>
      </c>
      <c r="O36" s="22" t="n">
        <f aca="false">Data!L14</f>
        <v>1.23</v>
      </c>
      <c r="P36" s="22" t="n">
        <f aca="false">Data!M14</f>
        <v>6855.16</v>
      </c>
      <c r="Q36" s="22" t="n">
        <f aca="false">Data!N14</f>
        <v>7009.58</v>
      </c>
      <c r="R36" s="22" t="n">
        <f aca="false">Data!J14</f>
        <v>65.07</v>
      </c>
      <c r="S36" s="22" t="str">
        <f aca="false">INDEX(Sector_div!$B$2:$B$227,MATCH(A36,Sector_div!$A$2:$A$227,0))</f>
        <v>industrials</v>
      </c>
      <c r="T36" s="26"/>
      <c r="U36" s="27" t="str">
        <f aca="false">CONCATENATE("NSE:",A36,",")</f>
        <v>NSE:POLYCAB,</v>
      </c>
      <c r="V36" s="26"/>
      <c r="W36" s="26"/>
      <c r="X36" s="26"/>
      <c r="Y36" s="26"/>
      <c r="Z36" s="26"/>
    </row>
    <row r="37" customFormat="false" ht="15.75" hidden="false" customHeight="true" outlineLevel="0" collapsed="false">
      <c r="A37" s="22" t="str">
        <f aca="false">Data!A10</f>
        <v>BAJAJ-AUTO</v>
      </c>
      <c r="B37" s="23" t="n">
        <f aca="false">Data!B10</f>
        <v>8679.5</v>
      </c>
      <c r="C37" s="22" t="n">
        <f aca="false">Data!C10</f>
        <v>8715</v>
      </c>
      <c r="D37" s="22" t="n">
        <f aca="false">Data!D10</f>
        <v>8581</v>
      </c>
      <c r="E37" s="24" t="n">
        <f aca="false">Data!E10</f>
        <v>-0.058</v>
      </c>
      <c r="F37" s="22" t="n">
        <f aca="false">Data!F10</f>
        <v>181.59</v>
      </c>
      <c r="G37" s="22" t="n">
        <f aca="false">Data!S10</f>
        <v>32.05</v>
      </c>
      <c r="I37" s="22" t="str">
        <f aca="false">IF(AND(C37=Data!G10,E37&gt;0),IF(AND(C37=Data!U10,E37&gt;0),"Buy_ 52W_H","Buy_50D_H"),IF(AND(Data!H10=D37,E37&lt;0),IF(AND(Data!V10=D37,E37&lt;0),"Sell_52W_L ","Sell_50D_L "),""))</f>
        <v/>
      </c>
      <c r="J37" s="22" t="n">
        <f aca="false">RANK(L37,L:L)</f>
        <v>36</v>
      </c>
      <c r="K37" s="22" t="str">
        <f aca="false">IF(Data!R10&gt;=B37,IF(((C37-B37)/(C37-D37))*100&gt;80,"Down"," "),IF(Data!R10&lt;=B37,IF(((B37-D37)/(C37-D37))*100&gt;80,"Up"," ")))</f>
        <v> </v>
      </c>
      <c r="L37" s="22" t="n">
        <f aca="false">Data!I10</f>
        <v>120.31</v>
      </c>
      <c r="M37" s="22" t="str">
        <f aca="false">IF(AND(B37&gt;Data!P10,Data!O10&lt;Data!P10),"Buy",IF(AND(B37&lt;Data!P10,Data!O10&gt;Data!P10),"Sell",""))</f>
        <v/>
      </c>
      <c r="N37" s="22" t="n">
        <f aca="false">Data!K10/1000</f>
        <v>369.872</v>
      </c>
      <c r="O37" s="22" t="n">
        <f aca="false">Data!L10</f>
        <v>0.724</v>
      </c>
      <c r="P37" s="22" t="n">
        <f aca="false">Data!M10</f>
        <v>8468.98</v>
      </c>
      <c r="Q37" s="22" t="n">
        <f aca="false">Data!N10</f>
        <v>8643.49</v>
      </c>
      <c r="R37" s="22" t="n">
        <f aca="false">Data!J10</f>
        <v>67.31</v>
      </c>
      <c r="S37" s="22" t="str">
        <f aca="false">INDEX(Sector_div!$B$2:$B$227,MATCH(A37,Sector_div!$A$2:$A$227,0))</f>
        <v>auto</v>
      </c>
      <c r="T37" s="26"/>
      <c r="U37" s="27" t="str">
        <f aca="false">CONCATENATE("NSE:",A37,",")</f>
        <v>NSE:BAJAJ-AUTO,</v>
      </c>
      <c r="V37" s="26"/>
      <c r="W37" s="26"/>
      <c r="X37" s="26"/>
      <c r="Y37" s="26"/>
      <c r="Z37" s="26"/>
    </row>
    <row r="38" customFormat="false" ht="15.75" hidden="false" customHeight="true" outlineLevel="0" collapsed="false">
      <c r="A38" s="22" t="str">
        <f aca="false">Data!A153</f>
        <v>VEDL</v>
      </c>
      <c r="B38" s="23" t="n">
        <f aca="false">Data!B153</f>
        <v>444.25</v>
      </c>
      <c r="C38" s="22" t="n">
        <f aca="false">Data!C153</f>
        <v>452</v>
      </c>
      <c r="D38" s="22" t="n">
        <f aca="false">Data!D153</f>
        <v>443.7</v>
      </c>
      <c r="E38" s="24" t="n">
        <f aca="false">Data!E153</f>
        <v>-0.593</v>
      </c>
      <c r="F38" s="22" t="n">
        <f aca="false">Data!F153</f>
        <v>9.78</v>
      </c>
      <c r="G38" s="22" t="n">
        <f aca="false">Data!S153</f>
        <v>15.69</v>
      </c>
      <c r="H38" s="22" t="n">
        <f aca="false">Data!T64*100</f>
        <v>1.2</v>
      </c>
      <c r="I38" s="22" t="str">
        <f aca="false">IF(AND(C38=Data!G153,E38&gt;0),IF(AND(C38=Data!U153,E38&gt;0),"Buy_ 52W_H","Buy_50D_H"),IF(AND(Data!H153=D38,E38&lt;0),IF(AND(Data!V153=D38,E38&lt;0),"Sell_52W_L ","Sell_50D_L "),""))</f>
        <v/>
      </c>
      <c r="J38" s="22" t="n">
        <f aca="false">RANK(L38,L:L)</f>
        <v>37</v>
      </c>
      <c r="K38" s="22" t="str">
        <f aca="false">IF(Data!R153&gt;=B38,IF(((C38-B38)/(C38-D38))*100&gt;80,"Down"," "),IF(Data!R153&lt;=B38,IF(((B38-D38)/(C38-D38))*100&gt;80,"Up"," ")))</f>
        <v>Down</v>
      </c>
      <c r="L38" s="22" t="n">
        <f aca="false">Data!I153</f>
        <v>119.41</v>
      </c>
      <c r="M38" s="22" t="str">
        <f aca="false">IF(AND(B38&gt;Data!P153,Data!O153&lt;Data!P153),"Buy",IF(AND(B38&lt;Data!P153,Data!O153&gt;Data!P153),"Sell",""))</f>
        <v/>
      </c>
      <c r="N38" s="22" t="n">
        <f aca="false">Data!K153/1000</f>
        <v>16717.247</v>
      </c>
      <c r="O38" s="22" t="n">
        <f aca="false">Data!L153</f>
        <v>2.06</v>
      </c>
      <c r="P38" s="22" t="n">
        <f aca="false">Data!M153</f>
        <v>428.36</v>
      </c>
      <c r="Q38" s="22" t="n">
        <f aca="false">Data!N153</f>
        <v>438.1</v>
      </c>
      <c r="R38" s="22" t="n">
        <f aca="false">Data!J153</f>
        <v>55.81</v>
      </c>
      <c r="S38" s="22" t="str">
        <f aca="false">INDEX(Sector_div!$B$2:$B$227,MATCH(A38,Sector_div!$A$2:$A$227,0))</f>
        <v>metals</v>
      </c>
      <c r="T38" s="26"/>
      <c r="U38" s="27" t="str">
        <f aca="false">CONCATENATE("NSE:",A38,",")</f>
        <v>NSE:VEDL,</v>
      </c>
      <c r="V38" s="26"/>
      <c r="W38" s="26"/>
      <c r="X38" s="26"/>
      <c r="Y38" s="26"/>
      <c r="Z38" s="26"/>
    </row>
    <row r="39" customFormat="false" ht="15.75" hidden="false" customHeight="true" outlineLevel="0" collapsed="false">
      <c r="A39" s="22" t="str">
        <f aca="false">Data!A12</f>
        <v>APOLLOHOSP</v>
      </c>
      <c r="B39" s="23" t="n">
        <f aca="false">Data!B12</f>
        <v>7930</v>
      </c>
      <c r="C39" s="22" t="n">
        <f aca="false">Data!C12</f>
        <v>7980</v>
      </c>
      <c r="D39" s="22" t="n">
        <f aca="false">Data!D12</f>
        <v>7852</v>
      </c>
      <c r="E39" s="24" t="n">
        <f aca="false">Data!E12</f>
        <v>0.044</v>
      </c>
      <c r="F39" s="22" t="n">
        <f aca="false">Data!F12</f>
        <v>146.56</v>
      </c>
      <c r="G39" s="22" t="n">
        <f aca="false">Data!S12</f>
        <v>0.627</v>
      </c>
      <c r="I39" s="22" t="str">
        <f aca="false">IF(AND(C39=Data!G12,E39&gt;0),IF(AND(C39=Data!U12,E39&gt;0),"Buy_ 52W_H","Buy_50D_H"),IF(AND(Data!H12=D39,E39&lt;0),IF(AND(Data!V12=D39,E39&lt;0),"Sell_52W_L ","Sell_50D_L "),""))</f>
        <v>Buy_ 52W_H</v>
      </c>
      <c r="J39" s="22" t="n">
        <f aca="false">RANK(L39,L:L)</f>
        <v>38</v>
      </c>
      <c r="K39" s="22" t="str">
        <f aca="false">IF(Data!R12&gt;=B39,IF(((C39-B39)/(C39-D39))*100&gt;80,"Down"," "),IF(Data!R12&lt;=B39,IF(((B39-D39)/(C39-D39))*100&gt;80,"Up"," ")))</f>
        <v> </v>
      </c>
      <c r="L39" s="22" t="n">
        <f aca="false">Data!I12</f>
        <v>118.23</v>
      </c>
      <c r="M39" s="22" t="str">
        <f aca="false">IF(AND(B39&gt;Data!P12,Data!O12&lt;Data!P12),"Buy",IF(AND(B39&lt;Data!P12,Data!O12&gt;Data!P12),"Sell",""))</f>
        <v/>
      </c>
      <c r="N39" s="22" t="n">
        <f aca="false">Data!K12/1000</f>
        <v>843.635</v>
      </c>
      <c r="O39" s="22" t="n">
        <f aca="false">Data!L12</f>
        <v>1.75</v>
      </c>
      <c r="P39" s="22" t="n">
        <f aca="false">Data!M12</f>
        <v>7620.73</v>
      </c>
      <c r="Q39" s="22" t="n">
        <f aca="false">Data!N12</f>
        <v>7768.37</v>
      </c>
      <c r="R39" s="22" t="n">
        <f aca="false">Data!J12</f>
        <v>81.09</v>
      </c>
      <c r="S39" s="22" t="str">
        <f aca="false">INDEX(Sector_div!$B$2:$B$227,MATCH(A39,Sector_div!$A$2:$A$227,0))</f>
        <v>Pharma&amp;Healthcare</v>
      </c>
      <c r="T39" s="26"/>
      <c r="U39" s="27" t="str">
        <f aca="false">CONCATENATE("NSE:",A39,",")</f>
        <v>NSE:APOLLOHOSP,</v>
      </c>
      <c r="V39" s="26"/>
      <c r="W39" s="26"/>
      <c r="X39" s="26"/>
      <c r="Y39" s="26"/>
      <c r="Z39" s="26"/>
    </row>
    <row r="40" customFormat="false" ht="15.75" hidden="false" customHeight="true" outlineLevel="0" collapsed="false">
      <c r="A40" s="22" t="str">
        <f aca="false">Data!A18</f>
        <v>INDIGO</v>
      </c>
      <c r="B40" s="23" t="n">
        <f aca="false">Data!B18</f>
        <v>6086.5</v>
      </c>
      <c r="C40" s="22" t="n">
        <f aca="false">Data!C18</f>
        <v>6145</v>
      </c>
      <c r="D40" s="22" t="n">
        <f aca="false">Data!D18</f>
        <v>6072.5</v>
      </c>
      <c r="E40" s="24" t="n">
        <f aca="false">Data!E18</f>
        <v>-0.205</v>
      </c>
      <c r="F40" s="22" t="n">
        <f aca="false">Data!F18</f>
        <v>127.67</v>
      </c>
      <c r="G40" s="22" t="n">
        <f aca="false">Data!S18</f>
        <v>2.34</v>
      </c>
      <c r="I40" s="22" t="str">
        <f aca="false">IF(AND(C40=Data!G18,E40&gt;0),IF(AND(C40=Data!U18,E40&gt;0),"Buy_ 52W_H","Buy_50D_H"),IF(AND(Data!H18=D40,E40&lt;0),IF(AND(Data!V18=D40,E40&lt;0),"Sell_52W_L ","Sell_50D_L "),""))</f>
        <v/>
      </c>
      <c r="J40" s="22" t="n">
        <f aca="false">RANK(L40,L:L)</f>
        <v>39</v>
      </c>
      <c r="K40" s="22" t="str">
        <f aca="false">IF(Data!R18&gt;=B40,IF(((C40-B40)/(C40-D40))*100&gt;80,"Down"," "),IF(Data!R18&lt;=B40,IF(((B40-D40)/(C40-D40))*100&gt;80,"Up"," ")))</f>
        <v>Down</v>
      </c>
      <c r="L40" s="22" t="n">
        <f aca="false">Data!I18</f>
        <v>117.72</v>
      </c>
      <c r="M40" s="22" t="str">
        <f aca="false">IF(AND(B40&gt;Data!P18,Data!O18&lt;Data!P18),"Buy",IF(AND(B40&lt;Data!P18,Data!O18&gt;Data!P18),"Sell",""))</f>
        <v/>
      </c>
      <c r="N40" s="22" t="n">
        <f aca="false">Data!K18/1000</f>
        <v>596.2</v>
      </c>
      <c r="O40" s="22" t="n">
        <f aca="false">Data!L18</f>
        <v>0.865</v>
      </c>
      <c r="P40" s="22" t="n">
        <f aca="false">Data!M18</f>
        <v>5854.85</v>
      </c>
      <c r="Q40" s="22" t="n">
        <f aca="false">Data!N18</f>
        <v>5987.8</v>
      </c>
      <c r="R40" s="22" t="n">
        <f aca="false">Data!J18</f>
        <v>62.94</v>
      </c>
      <c r="S40" s="22" t="str">
        <f aca="false">INDEX(Sector_div!$B$2:$B$227,MATCH(A40,Sector_div!$A$2:$A$227,0))</f>
        <v>services</v>
      </c>
      <c r="T40" s="26"/>
      <c r="U40" s="27" t="str">
        <f aca="false">CONCATENATE("NSE:",A40,",")</f>
        <v>NSE:INDIGO,</v>
      </c>
      <c r="V40" s="26"/>
      <c r="W40" s="26"/>
      <c r="X40" s="26"/>
      <c r="Y40" s="26"/>
      <c r="Z40" s="26"/>
    </row>
    <row r="41" customFormat="false" ht="15.75" hidden="false" customHeight="true" outlineLevel="0" collapsed="false">
      <c r="A41" s="22" t="str">
        <f aca="false">Data!A80</f>
        <v>CHOLAFIN</v>
      </c>
      <c r="B41" s="23" t="n">
        <f aca="false">Data!B80</f>
        <v>1524.1</v>
      </c>
      <c r="C41" s="22" t="n">
        <f aca="false">Data!C80</f>
        <v>1527</v>
      </c>
      <c r="D41" s="22" t="n">
        <f aca="false">Data!D80</f>
        <v>1511.3</v>
      </c>
      <c r="E41" s="24" t="n">
        <f aca="false">Data!E80</f>
        <v>0.382</v>
      </c>
      <c r="F41" s="22" t="n">
        <f aca="false">Data!F80</f>
        <v>33.42</v>
      </c>
      <c r="G41" s="22" t="n">
        <f aca="false">Data!S80</f>
        <v>9.52</v>
      </c>
      <c r="H41" s="22" t="n">
        <f aca="false">Data!T46*100</f>
        <v>1.1</v>
      </c>
      <c r="I41" s="22" t="str">
        <f aca="false">IF(AND(C41=Data!G80,E41&gt;0),IF(AND(C41=Data!U80,E41&gt;0),"Buy_ 52W_H","Buy_50D_H"),IF(AND(Data!H80=D41,E41&lt;0),IF(AND(Data!V80=D41,E41&lt;0),"Sell_52W_L ","Sell_50D_L "),""))</f>
        <v/>
      </c>
      <c r="J41" s="22" t="n">
        <f aca="false">RANK(L41,L:L)</f>
        <v>40</v>
      </c>
      <c r="K41" s="22" t="str">
        <f aca="false">IF(Data!R80&gt;=B41,IF(((C41-B41)/(C41-D41))*100&gt;80,"Down"," "),IF(Data!R80&lt;=B41,IF(((B41-D41)/(C41-D41))*100&gt;80,"Up"," ")))</f>
        <v>Up</v>
      </c>
      <c r="L41" s="22" t="n">
        <f aca="false">Data!I80</f>
        <v>116.23</v>
      </c>
      <c r="M41" s="22" t="str">
        <f aca="false">IF(AND(B41&gt;Data!P80,Data!O80&lt;Data!P80),"Buy",IF(AND(B41&lt;Data!P80,Data!O80&gt;Data!P80),"Sell",""))</f>
        <v/>
      </c>
      <c r="N41" s="22" t="n">
        <f aca="false">Data!K80/1000</f>
        <v>559.119</v>
      </c>
      <c r="O41" s="22" t="n">
        <f aca="false">Data!L80</f>
        <v>0.767</v>
      </c>
      <c r="P41" s="22" t="n">
        <f aca="false">Data!M80</f>
        <v>1448.47</v>
      </c>
      <c r="Q41" s="22" t="n">
        <f aca="false">Data!N80</f>
        <v>1483.81</v>
      </c>
      <c r="R41" s="22" t="n">
        <f aca="false">Data!J80</f>
        <v>62.23</v>
      </c>
      <c r="S41" s="22" t="str">
        <f aca="false">INDEX(Sector_div!$B$2:$B$227,MATCH(A41,Sector_div!$A$2:$A$227,0))</f>
        <v>finance</v>
      </c>
      <c r="T41" s="26"/>
      <c r="U41" s="27" t="str">
        <f aca="false">CONCATENATE("NSE:",A41,",")</f>
        <v>NSE:CHOLAFIN,</v>
      </c>
      <c r="V41" s="26"/>
      <c r="W41" s="26"/>
      <c r="X41" s="26"/>
      <c r="Y41" s="26"/>
      <c r="Z41" s="26"/>
    </row>
    <row r="42" customFormat="false" ht="15.75" hidden="false" customHeight="true" outlineLevel="0" collapsed="false">
      <c r="A42" s="22" t="str">
        <f aca="false">Data!A23</f>
        <v>ALKEM</v>
      </c>
      <c r="B42" s="23" t="n">
        <f aca="false">Data!B23</f>
        <v>5426</v>
      </c>
      <c r="C42" s="22" t="n">
        <f aca="false">Data!C23</f>
        <v>5479</v>
      </c>
      <c r="D42" s="22" t="n">
        <f aca="false">Data!D23</f>
        <v>5420</v>
      </c>
      <c r="E42" s="24" t="n">
        <f aca="false">Data!E23</f>
        <v>0.074</v>
      </c>
      <c r="F42" s="22" t="n">
        <f aca="false">Data!F23</f>
        <v>116.36</v>
      </c>
      <c r="G42" s="22" t="n">
        <f aca="false">Data!S23</f>
        <v>15.74</v>
      </c>
      <c r="H42" s="22" t="n">
        <f aca="false">Data!T170*100</f>
        <v>12.5</v>
      </c>
      <c r="I42" s="22" t="str">
        <f aca="false">IF(AND(C42=Data!G23,E42&gt;0),IF(AND(C42=Data!U23,E42&gt;0),"Buy_ 52W_H","Buy_50D_H"),IF(AND(Data!H23=D42,E42&lt;0),IF(AND(Data!V23=D42,E42&lt;0),"Sell_52W_L ","Sell_50D_L "),""))</f>
        <v>Buy_50D_H</v>
      </c>
      <c r="J42" s="22" t="n">
        <f aca="false">RANK(L42,L:L)</f>
        <v>41</v>
      </c>
      <c r="K42" s="22" t="str">
        <f aca="false">IF(Data!R23&gt;=B42,IF(((C42-B42)/(C42-D42))*100&gt;80,"Down"," "),IF(Data!R23&lt;=B42,IF(((B42-D42)/(C42-D42))*100&gt;80,"Up"," ")))</f>
        <v>Down</v>
      </c>
      <c r="L42" s="22" t="n">
        <f aca="false">Data!I23</f>
        <v>114.66</v>
      </c>
      <c r="M42" s="22" t="str">
        <f aca="false">IF(AND(B42&gt;Data!P23,Data!O23&lt;Data!P23),"Buy",IF(AND(B42&lt;Data!P23,Data!O23&gt;Data!P23),"Sell",""))</f>
        <v/>
      </c>
      <c r="N42" s="22" t="n">
        <f aca="false">Data!K23/1000</f>
        <v>99.592</v>
      </c>
      <c r="O42" s="22" t="n">
        <f aca="false">Data!L23</f>
        <v>0.724</v>
      </c>
      <c r="P42" s="22" t="n">
        <f aca="false">Data!M23</f>
        <v>5216.55</v>
      </c>
      <c r="Q42" s="22" t="n">
        <f aca="false">Data!N23</f>
        <v>5333.03</v>
      </c>
      <c r="R42" s="22" t="n">
        <f aca="false">Data!J23</f>
        <v>78.51</v>
      </c>
      <c r="S42" s="22" t="str">
        <f aca="false">INDEX(Sector_div!$B$2:$B$227,MATCH(A42,Sector_div!$A$2:$A$227,0))</f>
        <v>Pharma&amp;Healthcare</v>
      </c>
      <c r="T42" s="26"/>
      <c r="U42" s="27" t="str">
        <f aca="false">CONCATENATE("NSE:",A42,",")</f>
        <v>NSE:ALKEM,</v>
      </c>
      <c r="V42" s="26"/>
      <c r="W42" s="26"/>
      <c r="X42" s="26"/>
      <c r="Y42" s="26"/>
      <c r="Z42" s="26"/>
    </row>
    <row r="43" customFormat="false" ht="15.75" hidden="false" customHeight="true" outlineLevel="0" collapsed="false">
      <c r="A43" s="22" t="str">
        <f aca="false">Data!A128</f>
        <v>MARICO</v>
      </c>
      <c r="B43" s="23" t="n">
        <f aca="false">Data!B128</f>
        <v>730.7</v>
      </c>
      <c r="C43" s="22" t="n">
        <f aca="false">Data!C128</f>
        <v>742.1</v>
      </c>
      <c r="D43" s="22" t="n">
        <f aca="false">Data!D128</f>
        <v>724.65</v>
      </c>
      <c r="E43" s="24" t="n">
        <f aca="false">Data!E128</f>
        <v>-1.21</v>
      </c>
      <c r="F43" s="22" t="n">
        <f aca="false">Data!F128</f>
        <v>18.2</v>
      </c>
      <c r="G43" s="22" t="n">
        <f aca="false">Data!S128</f>
        <v>3.73</v>
      </c>
      <c r="H43" s="22" t="n">
        <f aca="false">Data!T162*100</f>
        <v>1.3</v>
      </c>
      <c r="I43" s="22" t="str">
        <f aca="false">IF(AND(C43=Data!G128,E43&gt;0),IF(AND(C43=Data!U128,E43&gt;0),"Buy_ 52W_H","Buy_50D_H"),IF(AND(Data!H128=D43,E43&lt;0),IF(AND(Data!V128=D43,E43&lt;0),"Sell_52W_L ","Sell_50D_L "),""))</f>
        <v/>
      </c>
      <c r="J43" s="22" t="n">
        <f aca="false">RANK(L43,L:L)</f>
        <v>42</v>
      </c>
      <c r="K43" s="22" t="str">
        <f aca="false">IF(Data!R128&gt;=B43,IF(((C43-B43)/(C43-D43))*100&gt;80,"Down"," "),IF(Data!R128&lt;=B43,IF(((B43-D43)/(C43-D43))*100&gt;80,"Up"," ")))</f>
        <v> </v>
      </c>
      <c r="L43" s="22" t="n">
        <f aca="false">Data!I128</f>
        <v>114.13</v>
      </c>
      <c r="M43" s="22" t="str">
        <f aca="false">IF(AND(B43&gt;Data!P128,Data!O128&lt;Data!P128),"Buy",IF(AND(B43&lt;Data!P128,Data!O128&gt;Data!P128),"Sell",""))</f>
        <v/>
      </c>
      <c r="N43" s="22" t="n">
        <f aca="false">Data!K128/1000</f>
        <v>1579.25</v>
      </c>
      <c r="O43" s="22" t="n">
        <f aca="false">Data!L128</f>
        <v>0.509</v>
      </c>
      <c r="P43" s="22" t="n">
        <f aca="false">Data!M128</f>
        <v>713.17</v>
      </c>
      <c r="Q43" s="22" t="n">
        <f aca="false">Data!N128</f>
        <v>730.7</v>
      </c>
      <c r="R43" s="22" t="n">
        <f aca="false">Data!J128</f>
        <v>56.49</v>
      </c>
      <c r="S43" s="22" t="str">
        <f aca="false">INDEX(Sector_div!$B$2:$B$227,MATCH(A43,Sector_div!$A$2:$A$227,0))</f>
        <v>fmcg</v>
      </c>
      <c r="T43" s="26"/>
      <c r="U43" s="27" t="str">
        <f aca="false">CONCATENATE("NSE:",A43,",")</f>
        <v>NSE:MARICO,</v>
      </c>
      <c r="V43" s="26"/>
      <c r="W43" s="26"/>
      <c r="X43" s="26"/>
      <c r="Y43" s="26"/>
      <c r="Z43" s="26"/>
    </row>
    <row r="44" customFormat="false" ht="15.75" hidden="false" customHeight="true" outlineLevel="0" collapsed="false">
      <c r="A44" s="22" t="str">
        <f aca="false">Data!A55</f>
        <v>DALBHARAT</v>
      </c>
      <c r="B44" s="23" t="n">
        <f aca="false">Data!B55</f>
        <v>2319.2</v>
      </c>
      <c r="C44" s="22" t="n">
        <f aca="false">Data!C55</f>
        <v>2354</v>
      </c>
      <c r="D44" s="22" t="n">
        <f aca="false">Data!D55</f>
        <v>2314.6</v>
      </c>
      <c r="E44" s="24" t="n">
        <f aca="false">Data!E55</f>
        <v>-1.26</v>
      </c>
      <c r="F44" s="22" t="n">
        <f aca="false">Data!F55</f>
        <v>47.86</v>
      </c>
      <c r="G44" s="22" t="n">
        <f aca="false">Data!S55</f>
        <v>3.13</v>
      </c>
      <c r="I44" s="22" t="str">
        <f aca="false">IF(AND(C44=Data!G55,E44&gt;0),IF(AND(C44=Data!U55,E44&gt;0),"Buy_ 52W_H","Buy_50D_H"),IF(AND(Data!H55=D44,E44&lt;0),IF(AND(Data!V55=D44,E44&lt;0),"Sell_52W_L ","Sell_50D_L "),""))</f>
        <v/>
      </c>
      <c r="J44" s="22" t="n">
        <f aca="false">RANK(L44,L:L)</f>
        <v>43</v>
      </c>
      <c r="K44" s="22" t="str">
        <f aca="false">IF(Data!R55&gt;=B44,IF(((C44-B44)/(C44-D44))*100&gt;80,"Down"," "),IF(Data!R55&lt;=B44,IF(((B44-D44)/(C44-D44))*100&gt;80,"Up"," ")))</f>
        <v>Down</v>
      </c>
      <c r="L44" s="22" t="n">
        <f aca="false">Data!I55</f>
        <v>112.48</v>
      </c>
      <c r="M44" s="22" t="str">
        <f aca="false">IF(AND(B44&gt;Data!P55,Data!O55&lt;Data!P55),"Buy",IF(AND(B44&lt;Data!P55,Data!O55&gt;Data!P55),"Sell",""))</f>
        <v/>
      </c>
      <c r="N44" s="22" t="n">
        <f aca="false">Data!K55/1000</f>
        <v>374.359</v>
      </c>
      <c r="O44" s="22" t="n">
        <f aca="false">Data!L55</f>
        <v>4.17</v>
      </c>
      <c r="P44" s="22" t="n">
        <f aca="false">Data!M55</f>
        <v>2243.03</v>
      </c>
      <c r="Q44" s="22" t="n">
        <f aca="false">Data!N55</f>
        <v>2295.04</v>
      </c>
      <c r="R44" s="22" t="n">
        <f aca="false">Data!J55</f>
        <v>60.39</v>
      </c>
      <c r="S44" s="22" t="str">
        <f aca="false">INDEX(Sector_div!$B$2:$B$227,MATCH(A44,Sector_div!$A$2:$A$227,0))</f>
        <v>cement</v>
      </c>
      <c r="T44" s="26"/>
      <c r="U44" s="27" t="str">
        <f aca="false">CONCATENATE("NSE:",A44,",")</f>
        <v>NSE:DALBHARAT,</v>
      </c>
      <c r="V44" s="26"/>
      <c r="W44" s="26"/>
      <c r="X44" s="26"/>
      <c r="Y44" s="26"/>
      <c r="Z44" s="26"/>
    </row>
    <row r="45" customFormat="false" ht="15.75" hidden="false" customHeight="true" outlineLevel="0" collapsed="false">
      <c r="A45" s="22" t="str">
        <f aca="false">Data!A173</f>
        <v>ABCAPITAL</v>
      </c>
      <c r="B45" s="23" t="n">
        <f aca="false">Data!B173</f>
        <v>286.35</v>
      </c>
      <c r="C45" s="22" t="n">
        <f aca="false">Data!C173</f>
        <v>292.4</v>
      </c>
      <c r="D45" s="22" t="n">
        <f aca="false">Data!D173</f>
        <v>284.75</v>
      </c>
      <c r="E45" s="24" t="n">
        <f aca="false">Data!E173</f>
        <v>-1.7</v>
      </c>
      <c r="F45" s="22" t="n">
        <f aca="false">Data!F173</f>
        <v>8.55</v>
      </c>
      <c r="G45" s="22" t="n">
        <f aca="false">Data!S173</f>
        <v>2.07</v>
      </c>
      <c r="H45" s="22" t="n">
        <f aca="false">Data!T178*100</f>
        <v>3.4</v>
      </c>
      <c r="I45" s="22" t="str">
        <f aca="false">IF(AND(C45=Data!G173,E45&gt;0),IF(AND(C45=Data!U173,E45&gt;0),"Buy_ 52W_H","Buy_50D_H"),IF(AND(Data!H173=D45,E45&lt;0),IF(AND(Data!V173=D45,E45&lt;0),"Sell_52W_L ","Sell_50D_L "),""))</f>
        <v/>
      </c>
      <c r="J45" s="22" t="n">
        <f aca="false">RANK(L45,L:L)</f>
        <v>44</v>
      </c>
      <c r="K45" s="22" t="str">
        <f aca="false">IF(Data!R173&gt;=B45,IF(((C45-B45)/(C45-D45))*100&gt;80,"Down"," "),IF(Data!R173&lt;=B45,IF(((B45-D45)/(C45-D45))*100&gt;80,"Up"," ")))</f>
        <v> </v>
      </c>
      <c r="L45" s="22" t="n">
        <f aca="false">Data!I173</f>
        <v>111.52</v>
      </c>
      <c r="M45" s="22" t="str">
        <f aca="false">IF(AND(B45&gt;Data!P173,Data!O173&lt;Data!P173),"Buy",IF(AND(B45&lt;Data!P173,Data!O173&gt;Data!P173),"Sell",""))</f>
        <v/>
      </c>
      <c r="N45" s="22" t="n">
        <f aca="false">Data!K173/1000</f>
        <v>4034.078</v>
      </c>
      <c r="O45" s="22" t="n">
        <f aca="false">Data!L173</f>
        <v>0.561</v>
      </c>
      <c r="P45" s="22" t="n">
        <f aca="false">Data!M173</f>
        <v>271.46</v>
      </c>
      <c r="Q45" s="22" t="n">
        <f aca="false">Data!N173</f>
        <v>280.02</v>
      </c>
      <c r="R45" s="22" t="n">
        <f aca="false">Data!J173</f>
        <v>62</v>
      </c>
      <c r="S45" s="22" t="str">
        <f aca="false">INDEX(Sector_div!$B$2:$B$227,MATCH(A45,Sector_div!$A$2:$A$227,0))</f>
        <v>finance</v>
      </c>
      <c r="T45" s="26"/>
      <c r="U45" s="27" t="str">
        <f aca="false">CONCATENATE("NSE:",A45,",")</f>
        <v>NSE:ABCAPITAL,</v>
      </c>
      <c r="V45" s="26"/>
      <c r="W45" s="26"/>
      <c r="X45" s="26"/>
      <c r="Y45" s="26"/>
      <c r="Z45" s="26"/>
    </row>
    <row r="46" customFormat="false" ht="15.75" hidden="false" customHeight="true" outlineLevel="0" collapsed="false">
      <c r="A46" s="22" t="str">
        <f aca="false">Data!A28</f>
        <v>HEROMOTOCO</v>
      </c>
      <c r="B46" s="23" t="n">
        <f aca="false">Data!B28</f>
        <v>4997.9</v>
      </c>
      <c r="C46" s="22" t="n">
        <f aca="false">Data!C28</f>
        <v>5123.3</v>
      </c>
      <c r="D46" s="22" t="n">
        <f aca="false">Data!D28</f>
        <v>4982</v>
      </c>
      <c r="E46" s="24" t="n">
        <f aca="false">Data!E28</f>
        <v>-1.95</v>
      </c>
      <c r="F46" s="22" t="n">
        <f aca="false">Data!F28</f>
        <v>139.06</v>
      </c>
      <c r="G46" s="22" t="n">
        <f aca="false">Data!S28</f>
        <v>19.99</v>
      </c>
      <c r="H46" s="25" t="n">
        <f aca="false">Data!T79*100</f>
        <v>0.7</v>
      </c>
      <c r="I46" s="22" t="str">
        <f aca="false">IF(AND(C46=Data!G28,E46&gt;0),IF(AND(C46=Data!U28,E46&gt;0),"Buy_ 52W_H","Buy_50D_H"),IF(AND(Data!H28=D46,E46&lt;0),IF(AND(Data!V28=D46,E46&lt;0),"Sell_52W_L ","Sell_50D_L "),""))</f>
        <v/>
      </c>
      <c r="J46" s="22" t="n">
        <f aca="false">RANK(L46,L:L)</f>
        <v>45</v>
      </c>
      <c r="K46" s="22" t="str">
        <f aca="false">IF(Data!R28&gt;=B46,IF(((C46-B46)/(C46-D46))*100&gt;80,"Down"," "),IF(Data!R28&lt;=B46,IF(((B46-D46)/(C46-D46))*100&gt;80,"Up"," ")))</f>
        <v>Down</v>
      </c>
      <c r="L46" s="22" t="n">
        <f aca="false">Data!I28</f>
        <v>110.55</v>
      </c>
      <c r="M46" s="22" t="str">
        <f aca="false">IF(AND(B46&gt;Data!P28,Data!O28&lt;Data!P28),"Buy",IF(AND(B46&lt;Data!P28,Data!O28&gt;Data!P28),"Sell",""))</f>
        <v/>
      </c>
      <c r="N46" s="22" t="n">
        <f aca="false">Data!K28/1000</f>
        <v>1357.451</v>
      </c>
      <c r="O46" s="22" t="n">
        <f aca="false">Data!L28</f>
        <v>1.66</v>
      </c>
      <c r="P46" s="22" t="n">
        <f aca="false">Data!M28</f>
        <v>4867.25</v>
      </c>
      <c r="Q46" s="22" t="n">
        <f aca="false">Data!N28</f>
        <v>5187.15</v>
      </c>
      <c r="R46" s="22" t="n">
        <f aca="false">Data!J28</f>
        <v>65.46</v>
      </c>
      <c r="S46" s="22" t="str">
        <f aca="false">INDEX(Sector_div!$B$2:$B$227,MATCH(A46,Sector_div!$A$2:$A$227,0))</f>
        <v>auto</v>
      </c>
      <c r="T46" s="26"/>
      <c r="U46" s="27" t="str">
        <f aca="false">CONCATENATE("NSE:",A46,",")</f>
        <v>NSE:HEROMOTOCO,</v>
      </c>
      <c r="V46" s="26"/>
      <c r="W46" s="26"/>
      <c r="X46" s="26"/>
      <c r="Y46" s="26"/>
      <c r="Z46" s="26"/>
    </row>
    <row r="47" customFormat="false" ht="15.75" hidden="false" customHeight="true" outlineLevel="0" collapsed="false">
      <c r="A47" s="22" t="str">
        <f aca="false">Data!A73</f>
        <v>MFSL</v>
      </c>
      <c r="B47" s="23" t="n">
        <f aca="false">Data!B73</f>
        <v>1638</v>
      </c>
      <c r="C47" s="22" t="n">
        <f aca="false">Data!C73</f>
        <v>1659.2</v>
      </c>
      <c r="D47" s="22" t="n">
        <f aca="false">Data!D73</f>
        <v>1633.5</v>
      </c>
      <c r="E47" s="24" t="n">
        <f aca="false">Data!E73</f>
        <v>-1.28</v>
      </c>
      <c r="F47" s="22" t="n">
        <f aca="false">Data!F73</f>
        <v>36.34</v>
      </c>
      <c r="G47" s="22" t="n">
        <f aca="false">Data!S73</f>
        <v>2.2</v>
      </c>
      <c r="I47" s="22" t="str">
        <f aca="false">IF(AND(C47=Data!G73,E47&gt;0),IF(AND(C47=Data!U73,E47&gt;0),"Buy_ 52W_H","Buy_50D_H"),IF(AND(Data!H73=D47,E47&lt;0),IF(AND(Data!V73=D47,E47&lt;0),"Sell_52W_L ","Sell_50D_L "),""))</f>
        <v/>
      </c>
      <c r="J47" s="22" t="n">
        <f aca="false">RANK(L47,L:L)</f>
        <v>46</v>
      </c>
      <c r="K47" s="22" t="str">
        <f aca="false">IF(Data!R73&gt;=B47,IF(((C47-B47)/(C47-D47))*100&gt;80,"Down"," "),IF(Data!R73&lt;=B47,IF(((B47-D47)/(C47-D47))*100&gt;80,"Up"," ")))</f>
        <v>Down</v>
      </c>
      <c r="L47" s="22" t="n">
        <f aca="false">Data!I73</f>
        <v>110.37</v>
      </c>
      <c r="M47" s="22" t="str">
        <f aca="false">IF(AND(B47&gt;Data!P73,Data!O73&lt;Data!P73),"Buy",IF(AND(B47&lt;Data!P73,Data!O73&gt;Data!P73),"Sell",""))</f>
        <v/>
      </c>
      <c r="N47" s="22" t="n">
        <f aca="false">Data!K73/1000</f>
        <v>401.269</v>
      </c>
      <c r="O47" s="22" t="n">
        <f aca="false">Data!L73</f>
        <v>0.481</v>
      </c>
      <c r="P47" s="22" t="n">
        <f aca="false">Data!M73</f>
        <v>1587.81</v>
      </c>
      <c r="Q47" s="22" t="n">
        <f aca="false">Data!N73</f>
        <v>1625.21</v>
      </c>
      <c r="R47" s="22" t="n">
        <f aca="false">Data!J73</f>
        <v>70.31</v>
      </c>
      <c r="S47" s="22" t="str">
        <f aca="false">INDEX(Sector_div!$B$2:$B$227,MATCH(A47,Sector_div!$A$2:$A$227,0))</f>
        <v>finance</v>
      </c>
      <c r="T47" s="26"/>
      <c r="U47" s="27" t="str">
        <f aca="false">CONCATENATE("NSE:",A47,",")</f>
        <v>NSE:MFSL,</v>
      </c>
      <c r="V47" s="26"/>
      <c r="W47" s="26"/>
      <c r="X47" s="26"/>
      <c r="Y47" s="26"/>
      <c r="Z47" s="26"/>
    </row>
    <row r="48" customFormat="false" ht="15.75" hidden="false" customHeight="true" outlineLevel="0" collapsed="false">
      <c r="A48" s="22" t="str">
        <f aca="false">Data!A170</f>
        <v>ETERNAL</v>
      </c>
      <c r="B48" s="23" t="n">
        <f aca="false">Data!B170</f>
        <v>319.1</v>
      </c>
      <c r="C48" s="22" t="n">
        <f aca="false">Data!C170</f>
        <v>324</v>
      </c>
      <c r="D48" s="22" t="n">
        <f aca="false">Data!D170</f>
        <v>318.25</v>
      </c>
      <c r="E48" s="24" t="n">
        <f aca="false">Data!E170</f>
        <v>-0.839</v>
      </c>
      <c r="F48" s="22" t="n">
        <f aca="false">Data!F170</f>
        <v>8.32</v>
      </c>
      <c r="G48" s="22" t="n">
        <f aca="false">Data!S170</f>
        <v>3.7</v>
      </c>
      <c r="H48" s="25" t="n">
        <f aca="false">Data!T81*100</f>
        <v>2.8</v>
      </c>
      <c r="I48" s="22" t="str">
        <f aca="false">IF(AND(C48=Data!G170,E48&gt;0),IF(AND(C48=Data!U170,E48&gt;0),"Buy_ 52W_H","Buy_50D_H"),IF(AND(Data!H170=D48,E48&lt;0),IF(AND(Data!V170=D48,E48&lt;0),"Sell_52W_L ","Sell_50D_L "),""))</f>
        <v/>
      </c>
      <c r="J48" s="22" t="n">
        <f aca="false">RANK(L48,L:L)</f>
        <v>47</v>
      </c>
      <c r="K48" s="22" t="str">
        <f aca="false">IF(Data!R170&gt;=B48,IF(((C48-B48)/(C48-D48))*100&gt;80,"Down"," "),IF(Data!R170&lt;=B48,IF(((B48-D48)/(C48-D48))*100&gt;80,"Up"," ")))</f>
        <v>Down</v>
      </c>
      <c r="L48" s="22" t="n">
        <f aca="false">Data!I170</f>
        <v>110.04</v>
      </c>
      <c r="M48" s="22" t="str">
        <f aca="false">IF(AND(B48&gt;Data!P170,Data!O170&lt;Data!P170),"Buy",IF(AND(B48&lt;Data!P170,Data!O170&gt;Data!P170),"Sell",""))</f>
        <v/>
      </c>
      <c r="N48" s="22" t="n">
        <f aca="false">Data!K170/1000</f>
        <v>22868.269</v>
      </c>
      <c r="O48" s="22" t="n">
        <f aca="false">Data!L170</f>
        <v>1.04</v>
      </c>
      <c r="P48" s="22" t="n">
        <f aca="false">Data!M170</f>
        <v>307.71</v>
      </c>
      <c r="Q48" s="22" t="n">
        <f aca="false">Data!N170</f>
        <v>316.78</v>
      </c>
      <c r="R48" s="22" t="n">
        <f aca="false">Data!J170</f>
        <v>60.32</v>
      </c>
      <c r="S48" s="22" t="e">
        <f aca="false">INDEX(Sector_div!$B$2:$B$227,MATCH(A48,Sector_div!$A$2:$A$227,0))</f>
        <v>#N/A</v>
      </c>
      <c r="T48" s="26"/>
      <c r="U48" s="27" t="str">
        <f aca="false">CONCATENATE("NSE:",A48,",")</f>
        <v>NSE:ETERNAL,</v>
      </c>
      <c r="V48" s="26"/>
      <c r="W48" s="26"/>
      <c r="X48" s="26"/>
      <c r="Y48" s="26"/>
      <c r="Z48" s="26"/>
    </row>
    <row r="49" customFormat="false" ht="15.75" hidden="false" customHeight="true" outlineLevel="0" collapsed="false">
      <c r="A49" s="22" t="str">
        <f aca="false">Data!A134</f>
        <v>CGPOWER</v>
      </c>
      <c r="B49" s="23" t="n">
        <f aca="false">Data!B134</f>
        <v>679.85</v>
      </c>
      <c r="C49" s="22" t="n">
        <f aca="false">Data!C134</f>
        <v>687.6</v>
      </c>
      <c r="D49" s="22" t="n">
        <f aca="false">Data!D134</f>
        <v>673.4</v>
      </c>
      <c r="E49" s="24" t="n">
        <f aca="false">Data!E134</f>
        <v>0.34</v>
      </c>
      <c r="F49" s="22" t="n">
        <f aca="false">Data!F134</f>
        <v>12.6</v>
      </c>
      <c r="G49" s="22" t="n">
        <f aca="false">Data!S134</f>
        <v>22.28</v>
      </c>
      <c r="H49" s="25" t="n">
        <f aca="false">Data!T91*100</f>
        <v>0.3</v>
      </c>
      <c r="I49" s="22" t="str">
        <f aca="false">IF(AND(C49=Data!G134,E49&gt;0),IF(AND(C49=Data!U134,E49&gt;0),"Buy_ 52W_H","Buy_50D_H"),IF(AND(Data!H134=D49,E49&lt;0),IF(AND(Data!V134=D49,E49&lt;0),"Sell_52W_L ","Sell_50D_L "),""))</f>
        <v/>
      </c>
      <c r="J49" s="22" t="n">
        <f aca="false">RANK(L49,L:L)</f>
        <v>48</v>
      </c>
      <c r="K49" s="22" t="str">
        <f aca="false">IF(Data!R134&gt;=B49,IF(((C49-B49)/(C49-D49))*100&gt;80,"Down"," "),IF(Data!R134&lt;=B49,IF(((B49-D49)/(C49-D49))*100&gt;80,"Up"," ")))</f>
        <v> </v>
      </c>
      <c r="L49" s="22" t="n">
        <f aca="false">Data!I134</f>
        <v>109.5</v>
      </c>
      <c r="M49" s="22" t="str">
        <f aca="false">IF(AND(B49&gt;Data!P134,Data!O134&lt;Data!P134),"Buy",IF(AND(B49&lt;Data!P134,Data!O134&gt;Data!P134),"Sell",""))</f>
        <v/>
      </c>
      <c r="N49" s="22" t="n">
        <f aca="false">Data!K134/1000</f>
        <v>3733.272</v>
      </c>
      <c r="O49" s="22" t="n">
        <f aca="false">Data!L134</f>
        <v>3.97</v>
      </c>
      <c r="P49" s="22" t="n">
        <f aca="false">Data!M134</f>
        <v>689.49</v>
      </c>
      <c r="Q49" s="22" t="n">
        <f aca="false">Data!N134</f>
        <v>667.14</v>
      </c>
      <c r="R49" s="22" t="n">
        <f aca="false">Data!J134</f>
        <v>61.91</v>
      </c>
      <c r="S49" s="22" t="str">
        <f aca="false">INDEX(Sector_div!$B$2:$B$227,MATCH(A49,Sector_div!$A$2:$A$227,0))</f>
        <v>miscellaneous</v>
      </c>
      <c r="T49" s="26"/>
      <c r="U49" s="27" t="str">
        <f aca="false">CONCATENATE("NSE:",A49,",")</f>
        <v>NSE:CGPOWER,</v>
      </c>
      <c r="V49" s="26"/>
      <c r="W49" s="26"/>
      <c r="X49" s="26"/>
      <c r="Y49" s="26"/>
      <c r="Z49" s="26"/>
    </row>
    <row r="50" customFormat="false" ht="15.75" hidden="false" customHeight="true" outlineLevel="0" collapsed="false">
      <c r="A50" s="22" t="str">
        <f aca="false">Data!A202</f>
        <v>BANKINDIA</v>
      </c>
      <c r="B50" s="23" t="n">
        <f aca="false">Data!B202</f>
        <v>115.46</v>
      </c>
      <c r="C50" s="22" t="n">
        <f aca="false">Data!C202</f>
        <v>116.84</v>
      </c>
      <c r="D50" s="22" t="n">
        <f aca="false">Data!D202</f>
        <v>115.2</v>
      </c>
      <c r="E50" s="24" t="n">
        <f aca="false">Data!E202</f>
        <v>-0.423</v>
      </c>
      <c r="F50" s="22" t="n">
        <f aca="false">Data!F202</f>
        <v>1.94</v>
      </c>
      <c r="G50" s="22" t="n">
        <f aca="false">Data!S202</f>
        <v>11.35</v>
      </c>
      <c r="H50" s="22" t="n">
        <f aca="false">Data!T22*100</f>
        <v>0.4</v>
      </c>
      <c r="I50" s="22" t="str">
        <f aca="false">IF(AND(C50=Data!G202,E50&gt;0),IF(AND(C50=Data!U202,E50&gt;0),"Buy_ 52W_H","Buy_50D_H"),IF(AND(Data!H202=D50,E50&lt;0),IF(AND(Data!V202=D50,E50&lt;0),"Sell_52W_L ","Sell_50D_L "),""))</f>
        <v/>
      </c>
      <c r="J50" s="22" t="n">
        <f aca="false">RANK(L50,L:L)</f>
        <v>49</v>
      </c>
      <c r="K50" s="22" t="str">
        <f aca="false">IF(Data!R202&gt;=B50,IF(((C50-B50)/(C50-D50))*100&gt;80,"Down"," "),IF(Data!R202&lt;=B50,IF(((B50-D50)/(C50-D50))*100&gt;80,"Up"," ")))</f>
        <v>Down</v>
      </c>
      <c r="L50" s="22" t="n">
        <f aca="false">Data!I202</f>
        <v>108.25</v>
      </c>
      <c r="M50" s="22" t="str">
        <f aca="false">IF(AND(B50&gt;Data!P202,Data!O202&lt;Data!P202),"Buy",IF(AND(B50&lt;Data!P202,Data!O202&gt;Data!P202),"Sell",""))</f>
        <v/>
      </c>
      <c r="N50" s="22" t="n">
        <f aca="false">Data!K202/1000</f>
        <v>4478.971</v>
      </c>
      <c r="O50" s="22" t="n">
        <f aca="false">Data!L202</f>
        <v>2.01</v>
      </c>
      <c r="P50" s="22" t="n">
        <f aca="false">Data!M202</f>
        <v>112.2</v>
      </c>
      <c r="Q50" s="22" t="n">
        <f aca="false">Data!N202</f>
        <v>114.4</v>
      </c>
      <c r="R50" s="22" t="n">
        <f aca="false">Data!J202</f>
        <v>60.17</v>
      </c>
      <c r="S50" s="22" t="str">
        <f aca="false">INDEX(Sector_div!$B$2:$B$227,MATCH(A50,Sector_div!$A$2:$A$227,0))</f>
        <v>bank</v>
      </c>
      <c r="T50" s="26"/>
      <c r="U50" s="27" t="str">
        <f aca="false">CONCATENATE("NSE:",A50,",")</f>
        <v>NSE:BANKINDIA,</v>
      </c>
      <c r="V50" s="26"/>
      <c r="W50" s="26"/>
      <c r="X50" s="26"/>
      <c r="Y50" s="26"/>
      <c r="Z50" s="26"/>
    </row>
    <row r="51" customFormat="false" ht="15.75" hidden="false" customHeight="true" outlineLevel="0" collapsed="false">
      <c r="A51" s="22" t="str">
        <f aca="false">Data!A131</f>
        <v>HINDALCO</v>
      </c>
      <c r="B51" s="23" t="n">
        <f aca="false">Data!B131</f>
        <v>704.2</v>
      </c>
      <c r="C51" s="22" t="n">
        <f aca="false">Data!C131</f>
        <v>709.6</v>
      </c>
      <c r="D51" s="22" t="n">
        <f aca="false">Data!D131</f>
        <v>701.55</v>
      </c>
      <c r="E51" s="24" t="n">
        <f aca="false">Data!E131</f>
        <v>-0.438</v>
      </c>
      <c r="F51" s="22" t="n">
        <f aca="false">Data!F131</f>
        <v>13.91</v>
      </c>
      <c r="G51" s="22" t="n">
        <f aca="false">Data!S131</f>
        <v>8.86</v>
      </c>
      <c r="I51" s="22" t="str">
        <f aca="false">IF(AND(C51=Data!G131,E51&gt;0),IF(AND(C51=Data!U131,E51&gt;0),"Buy_ 52W_H","Buy_50D_H"),IF(AND(Data!H131=D51,E51&lt;0),IF(AND(Data!V131=D51,E51&lt;0),"Sell_52W_L ","Sell_50D_L "),""))</f>
        <v/>
      </c>
      <c r="J51" s="22" t="n">
        <f aca="false">RANK(L51,L:L)</f>
        <v>50</v>
      </c>
      <c r="K51" s="22" t="str">
        <f aca="false">IF(Data!R131&gt;=B51,IF(((C51-B51)/(C51-D51))*100&gt;80,"Down"," "),IF(Data!R131&lt;=B51,IF(((B51-D51)/(C51-D51))*100&gt;80,"Up"," ")))</f>
        <v> </v>
      </c>
      <c r="L51" s="22" t="n">
        <f aca="false">Data!I131</f>
        <v>107.62</v>
      </c>
      <c r="M51" s="22" t="str">
        <f aca="false">IF(AND(B51&gt;Data!P131,Data!O131&lt;Data!P131),"Buy",IF(AND(B51&lt;Data!P131,Data!O131&gt;Data!P131),"Sell",""))</f>
        <v/>
      </c>
      <c r="N51" s="22" t="n">
        <f aca="false">Data!K131/1000</f>
        <v>5622.445</v>
      </c>
      <c r="O51" s="22" t="n">
        <f aca="false">Data!L131</f>
        <v>1.74</v>
      </c>
      <c r="P51" s="22" t="n">
        <f aca="false">Data!M131</f>
        <v>678.04</v>
      </c>
      <c r="Q51" s="22" t="n">
        <f aca="false">Data!N131</f>
        <v>694.2</v>
      </c>
      <c r="R51" s="22" t="n">
        <f aca="false">Data!J131</f>
        <v>58.37</v>
      </c>
      <c r="S51" s="22" t="str">
        <f aca="false">INDEX(Sector_div!$B$2:$B$227,MATCH(A51,Sector_div!$A$2:$A$227,0))</f>
        <v>metals</v>
      </c>
      <c r="T51" s="26"/>
      <c r="U51" s="27" t="str">
        <f aca="false">CONCATENATE("NSE:",A51,",")</f>
        <v>NSE:HINDALCO,</v>
      </c>
      <c r="V51" s="26"/>
      <c r="W51" s="26"/>
      <c r="X51" s="26"/>
      <c r="Y51" s="26"/>
      <c r="Z51" s="26"/>
    </row>
    <row r="52" customFormat="false" ht="15.75" hidden="false" customHeight="true" outlineLevel="0" collapsed="false">
      <c r="A52" s="22" t="str">
        <f aca="false">Data!A104</f>
        <v>TATACONSUM</v>
      </c>
      <c r="B52" s="23" t="n">
        <f aca="false">Data!B104</f>
        <v>1084.1</v>
      </c>
      <c r="C52" s="22" t="n">
        <f aca="false">Data!C104</f>
        <v>1091.7</v>
      </c>
      <c r="D52" s="22" t="n">
        <f aca="false">Data!D104</f>
        <v>1080</v>
      </c>
      <c r="E52" s="24" t="n">
        <f aca="false">Data!E104</f>
        <v>-0.368</v>
      </c>
      <c r="F52" s="22" t="n">
        <f aca="false">Data!F104</f>
        <v>21</v>
      </c>
      <c r="G52" s="22" t="n">
        <f aca="false">Data!S104</f>
        <v>12.17</v>
      </c>
      <c r="H52" s="25" t="n">
        <f aca="false">Data!T61*100</f>
        <v>0.5</v>
      </c>
      <c r="I52" s="22" t="str">
        <f aca="false">IF(AND(C52=Data!G104,E52&gt;0),IF(AND(C52=Data!U104,E52&gt;0),"Buy_ 52W_H","Buy_50D_H"),IF(AND(Data!H104=D52,E52&lt;0),IF(AND(Data!V104=D52,E52&lt;0),"Sell_52W_L ","Sell_50D_L "),""))</f>
        <v/>
      </c>
      <c r="J52" s="22" t="n">
        <f aca="false">RANK(L52,L:L)</f>
        <v>51</v>
      </c>
      <c r="K52" s="22" t="str">
        <f aca="false">IF(Data!R104&gt;=B52,IF(((C52-B52)/(C52-D52))*100&gt;80,"Down"," "),IF(Data!R104&lt;=B52,IF(((B52-D52)/(C52-D52))*100&gt;80,"Up"," ")))</f>
        <v> </v>
      </c>
      <c r="L52" s="22" t="n">
        <f aca="false">Data!I104</f>
        <v>106.73</v>
      </c>
      <c r="M52" s="22" t="str">
        <f aca="false">IF(AND(B52&gt;Data!P104,Data!O104&lt;Data!P104),"Buy",IF(AND(B52&lt;Data!P104,Data!O104&gt;Data!P104),"Sell",""))</f>
        <v/>
      </c>
      <c r="N52" s="22" t="n">
        <f aca="false">Data!K104/1000</f>
        <v>394.813</v>
      </c>
      <c r="O52" s="22" t="n">
        <f aca="false">Data!L104</f>
        <v>0.643</v>
      </c>
      <c r="P52" s="22" t="n">
        <f aca="false">Data!M104</f>
        <v>1050.62</v>
      </c>
      <c r="Q52" s="22" t="n">
        <f aca="false">Data!N104</f>
        <v>1072.93</v>
      </c>
      <c r="R52" s="22" t="n">
        <f aca="false">Data!J104</f>
        <v>57.31</v>
      </c>
      <c r="S52" s="22" t="str">
        <f aca="false">INDEX(Sector_div!$B$2:$B$227,MATCH(A52,Sector_div!$A$2:$A$227,0))</f>
        <v>fmcg</v>
      </c>
      <c r="T52" s="26"/>
      <c r="U52" s="27" t="str">
        <f aca="false">CONCATENATE("NSE:",A52,",")</f>
        <v>NSE:TATACONSUM,</v>
      </c>
      <c r="V52" s="26"/>
      <c r="W52" s="26"/>
      <c r="X52" s="26"/>
      <c r="Y52" s="26"/>
      <c r="Z52" s="26"/>
    </row>
    <row r="53" customFormat="false" ht="15.75" hidden="false" customHeight="true" outlineLevel="0" collapsed="false">
      <c r="A53" s="22" t="str">
        <f aca="false">Data!A79</f>
        <v>HAVELLS</v>
      </c>
      <c r="B53" s="23" t="n">
        <f aca="false">Data!B79</f>
        <v>1556</v>
      </c>
      <c r="C53" s="22" t="n">
        <f aca="false">Data!C79</f>
        <v>1561.8</v>
      </c>
      <c r="D53" s="22" t="n">
        <f aca="false">Data!D79</f>
        <v>1546</v>
      </c>
      <c r="E53" s="24" t="n">
        <f aca="false">Data!E79</f>
        <v>0.154</v>
      </c>
      <c r="F53" s="22" t="n">
        <f aca="false">Data!F79</f>
        <v>31.09</v>
      </c>
      <c r="G53" s="22" t="n">
        <f aca="false">Data!S79</f>
        <v>26.12</v>
      </c>
      <c r="I53" s="22" t="str">
        <f aca="false">IF(AND(C53=Data!G79,E53&gt;0),IF(AND(C53=Data!U79,E53&gt;0),"Buy_ 52W_H","Buy_50D_H"),IF(AND(Data!H79=D53,E53&lt;0),IF(AND(Data!V79=D53,E53&lt;0),"Sell_52W_L ","Sell_50D_L "),""))</f>
        <v/>
      </c>
      <c r="J53" s="22" t="n">
        <f aca="false">RANK(L53,L:L)</f>
        <v>52</v>
      </c>
      <c r="K53" s="22" t="str">
        <f aca="false">IF(Data!R79&gt;=B53,IF(((C53-B53)/(C53-D53))*100&gt;80,"Down"," "),IF(Data!R79&lt;=B53,IF(((B53-D53)/(C53-D53))*100&gt;80,"Up"," ")))</f>
        <v> </v>
      </c>
      <c r="L53" s="22" t="n">
        <f aca="false">Data!I79</f>
        <v>106.4</v>
      </c>
      <c r="M53" s="22" t="str">
        <f aca="false">IF(AND(B53&gt;Data!P79,Data!O79&lt;Data!P79),"Buy",IF(AND(B53&lt;Data!P79,Data!O79&gt;Data!P79),"Sell",""))</f>
        <v/>
      </c>
      <c r="N53" s="22" t="n">
        <f aca="false">Data!K79/1000</f>
        <v>457.314</v>
      </c>
      <c r="O53" s="22" t="n">
        <f aca="false">Data!L79</f>
        <v>1.03</v>
      </c>
      <c r="P53" s="22" t="n">
        <f aca="false">Data!M79</f>
        <v>1498.58</v>
      </c>
      <c r="Q53" s="22" t="n">
        <f aca="false">Data!N79</f>
        <v>1533.02</v>
      </c>
      <c r="R53" s="22" t="n">
        <f aca="false">Data!J79</f>
        <v>65.65</v>
      </c>
      <c r="S53" s="22" t="str">
        <f aca="false">INDEX(Sector_div!$B$2:$B$227,MATCH(A53,Sector_div!$A$2:$A$227,0))</f>
        <v>fmcg</v>
      </c>
      <c r="T53" s="26"/>
      <c r="U53" s="27" t="str">
        <f aca="false">CONCATENATE("NSE:",A53,",")</f>
        <v>NSE:HAVELLS,</v>
      </c>
      <c r="V53" s="26"/>
      <c r="W53" s="26"/>
      <c r="X53" s="26"/>
      <c r="Y53" s="26"/>
      <c r="Z53" s="26"/>
    </row>
    <row r="54" customFormat="false" ht="15.75" hidden="false" customHeight="true" outlineLevel="0" collapsed="false">
      <c r="A54" s="22" t="str">
        <f aca="false">Data!A82</f>
        <v>TECHM</v>
      </c>
      <c r="B54" s="23" t="n">
        <f aca="false">Data!B82</f>
        <v>1505</v>
      </c>
      <c r="C54" s="22" t="n">
        <f aca="false">Data!C82</f>
        <v>1529.6</v>
      </c>
      <c r="D54" s="22" t="n">
        <f aca="false">Data!D82</f>
        <v>1499</v>
      </c>
      <c r="E54" s="24" t="n">
        <f aca="false">Data!E82</f>
        <v>-1.07</v>
      </c>
      <c r="F54" s="22" t="n">
        <f aca="false">Data!F82</f>
        <v>33.51</v>
      </c>
      <c r="G54" s="22" t="n">
        <f aca="false">Data!S82</f>
        <v>16.75</v>
      </c>
      <c r="H54" s="22" t="n">
        <f aca="false">Data!T152*100</f>
        <v>9.5</v>
      </c>
      <c r="I54" s="22" t="str">
        <f aca="false">IF(AND(C54=Data!G82,E54&gt;0),IF(AND(C54=Data!U82,E54&gt;0),"Buy_ 52W_H","Buy_50D_H"),IF(AND(Data!H82=D54,E54&lt;0),IF(AND(Data!V82=D54,E54&lt;0),"Sell_52W_L ","Sell_50D_L "),""))</f>
        <v/>
      </c>
      <c r="J54" s="22" t="n">
        <f aca="false">RANK(L54,L:L)</f>
        <v>53</v>
      </c>
      <c r="K54" s="22" t="str">
        <f aca="false">IF(Data!R82&gt;=B54,IF(((C54-B54)/(C54-D54))*100&gt;80,"Down"," "),IF(Data!R82&lt;=B54,IF(((B54-D54)/(C54-D54))*100&gt;80,"Up"," ")))</f>
        <v>Down</v>
      </c>
      <c r="L54" s="22" t="n">
        <f aca="false">Data!I82</f>
        <v>105.5</v>
      </c>
      <c r="M54" s="22" t="str">
        <f aca="false">IF(AND(B54&gt;Data!P82,Data!O82&lt;Data!P82),"Buy",IF(AND(B54&lt;Data!P82,Data!O82&gt;Data!P82),"Sell",""))</f>
        <v/>
      </c>
      <c r="N54" s="22" t="n">
        <f aca="false">Data!K82/1000</f>
        <v>969.58</v>
      </c>
      <c r="O54" s="22" t="n">
        <f aca="false">Data!L82</f>
        <v>0.775</v>
      </c>
      <c r="P54" s="22" t="n">
        <f aca="false">Data!M82</f>
        <v>1452.74</v>
      </c>
      <c r="Q54" s="22" t="n">
        <f aca="false">Data!N82</f>
        <v>1486.57</v>
      </c>
      <c r="R54" s="22" t="n">
        <f aca="false">Data!J82</f>
        <v>52.92</v>
      </c>
      <c r="S54" s="22" t="str">
        <f aca="false">INDEX(Sector_div!$B$2:$B$227,MATCH(A54,Sector_div!$A$2:$A$227,0))</f>
        <v>i.t</v>
      </c>
      <c r="T54" s="26"/>
      <c r="U54" s="27" t="str">
        <f aca="false">CONCATENATE("NSE:",A54,",")</f>
        <v>NSE:TECHM,</v>
      </c>
      <c r="V54" s="26"/>
      <c r="W54" s="26"/>
      <c r="X54" s="26"/>
      <c r="Y54" s="26"/>
      <c r="Z54" s="26"/>
    </row>
    <row r="55" customFormat="false" ht="15.75" hidden="false" customHeight="true" outlineLevel="0" collapsed="false">
      <c r="A55" s="22" t="str">
        <f aca="false">Data!A94</f>
        <v>LODHA</v>
      </c>
      <c r="B55" s="23" t="n">
        <f aca="false">Data!B94</f>
        <v>1261</v>
      </c>
      <c r="C55" s="22" t="n">
        <f aca="false">Data!C94</f>
        <v>1301</v>
      </c>
      <c r="D55" s="22" t="n">
        <f aca="false">Data!D94</f>
        <v>1260</v>
      </c>
      <c r="E55" s="24" t="n">
        <f aca="false">Data!E94</f>
        <v>-2.52</v>
      </c>
      <c r="F55" s="22" t="n">
        <f aca="false">Data!F94</f>
        <v>35.45</v>
      </c>
      <c r="G55" s="22" t="n">
        <f aca="false">Data!S94</f>
        <v>17.64</v>
      </c>
      <c r="H55" s="25" t="n">
        <f aca="false">Data!T151*100</f>
        <v>8.6</v>
      </c>
      <c r="I55" s="22" t="str">
        <f aca="false">IF(AND(C55=Data!G94,E55&gt;0),IF(AND(C55=Data!U94,E55&gt;0),"Buy_ 52W_H","Buy_50D_H"),IF(AND(Data!H94=D55,E55&lt;0),IF(AND(Data!V94=D55,E55&lt;0),"Sell_52W_L ","Sell_50D_L "),""))</f>
        <v/>
      </c>
      <c r="J55" s="22" t="n">
        <f aca="false">RANK(L55,L:L)</f>
        <v>54</v>
      </c>
      <c r="K55" s="22" t="str">
        <f aca="false">IF(Data!R94&gt;=B55,IF(((C55-B55)/(C55-D55))*100&gt;80,"Down"," "),IF(Data!R94&lt;=B55,IF(((B55-D55)/(C55-D55))*100&gt;80,"Up"," ")))</f>
        <v>Down</v>
      </c>
      <c r="L55" s="22" t="n">
        <f aca="false">Data!I94</f>
        <v>105.17</v>
      </c>
      <c r="M55" s="22" t="str">
        <f aca="false">IF(AND(B55&gt;Data!P94,Data!O94&lt;Data!P94),"Buy",IF(AND(B55&lt;Data!P94,Data!O94&gt;Data!P94),"Sell",""))</f>
        <v/>
      </c>
      <c r="N55" s="22" t="n">
        <f aca="false">Data!K94/1000</f>
        <v>789.131</v>
      </c>
      <c r="O55" s="22" t="n">
        <f aca="false">Data!L94</f>
        <v>0.514</v>
      </c>
      <c r="P55" s="22" t="n">
        <f aca="false">Data!M94</f>
        <v>1238.81</v>
      </c>
      <c r="Q55" s="22" t="n">
        <f aca="false">Data!N94</f>
        <v>1313.1</v>
      </c>
      <c r="R55" s="22" t="n">
        <f aca="false">Data!J94</f>
        <v>50.74</v>
      </c>
      <c r="S55" s="22" t="str">
        <f aca="false">INDEX(Sector_div!$B$2:$B$227,MATCH(A55,Sector_div!$A$2:$A$227,0))</f>
        <v>realty</v>
      </c>
      <c r="T55" s="26"/>
      <c r="U55" s="27" t="str">
        <f aca="false">CONCATENATE("NSE:",A55,",")</f>
        <v>NSE:LODHA,</v>
      </c>
      <c r="V55" s="26"/>
      <c r="W55" s="26"/>
      <c r="X55" s="26"/>
      <c r="Y55" s="26"/>
      <c r="Z55" s="26"/>
    </row>
    <row r="56" customFormat="false" ht="15.75" hidden="false" customHeight="true" outlineLevel="0" collapsed="false">
      <c r="A56" s="22" t="str">
        <f aca="false">Data!A70</f>
        <v>COFORGE</v>
      </c>
      <c r="B56" s="23" t="n">
        <f aca="false">Data!B70</f>
        <v>1747.7</v>
      </c>
      <c r="C56" s="22" t="n">
        <f aca="false">Data!C70</f>
        <v>1756</v>
      </c>
      <c r="D56" s="22" t="n">
        <f aca="false">Data!D70</f>
        <v>1721.2</v>
      </c>
      <c r="E56" s="24" t="n">
        <f aca="false">Data!E70</f>
        <v>1.13</v>
      </c>
      <c r="F56" s="22" t="n">
        <f aca="false">Data!F70</f>
        <v>49.28</v>
      </c>
      <c r="G56" s="22" t="n">
        <f aca="false">Data!S70</f>
        <v>12.85</v>
      </c>
      <c r="H56" s="25" t="n">
        <f aca="false">Data!T181*100</f>
        <v>14.4</v>
      </c>
      <c r="I56" s="22" t="str">
        <f aca="false">IF(AND(C56=Data!G70,E56&gt;0),IF(AND(C56=Data!U70,E56&gt;0),"Buy_ 52W_H","Buy_50D_H"),IF(AND(Data!H70=D56,E56&lt;0),IF(AND(Data!V70=D56,E56&lt;0),"Sell_52W_L ","Sell_50D_L "),""))</f>
        <v/>
      </c>
      <c r="J56" s="22" t="n">
        <f aca="false">RANK(L56,L:L)</f>
        <v>55</v>
      </c>
      <c r="K56" s="22" t="str">
        <f aca="false">IF(Data!R70&gt;=B56,IF(((C56-B56)/(C56-D56))*100&gt;80,"Down"," "),IF(Data!R70&lt;=B56,IF(((B56-D56)/(C56-D56))*100&gt;80,"Up"," ")))</f>
        <v> </v>
      </c>
      <c r="L56" s="22" t="n">
        <f aca="false">Data!I70</f>
        <v>104.16</v>
      </c>
      <c r="M56" s="22" t="str">
        <f aca="false">IF(AND(B56&gt;Data!P70,Data!O70&lt;Data!P70),"Buy",IF(AND(B56&lt;Data!P70,Data!O70&gt;Data!P70),"Sell",""))</f>
        <v/>
      </c>
      <c r="N56" s="22" t="n">
        <f aca="false">Data!K70/1000</f>
        <v>2262.594</v>
      </c>
      <c r="O56" s="22" t="n">
        <f aca="false">Data!L70</f>
        <v>0.981</v>
      </c>
      <c r="P56" s="22" t="n">
        <f aca="false">Data!M70</f>
        <v>1638.15</v>
      </c>
      <c r="Q56" s="22" t="n">
        <f aca="false">Data!N70</f>
        <v>1688.38</v>
      </c>
      <c r="R56" s="22" t="n">
        <f aca="false">Data!J70</f>
        <v>67.03</v>
      </c>
      <c r="S56" s="22" t="str">
        <f aca="false">INDEX(Sector_div!$B$2:$B$227,MATCH(A56,Sector_div!$A$2:$A$227,0))</f>
        <v>i.t</v>
      </c>
      <c r="T56" s="26"/>
      <c r="U56" s="27" t="str">
        <f aca="false">CONCATENATE("NSE:",A56,",")</f>
        <v>NSE:COFORGE,</v>
      </c>
      <c r="V56" s="26"/>
      <c r="W56" s="26"/>
      <c r="X56" s="26"/>
      <c r="Y56" s="26"/>
      <c r="Z56" s="26"/>
    </row>
    <row r="57" customFormat="false" ht="15.75" hidden="false" customHeight="true" outlineLevel="0" collapsed="false">
      <c r="A57" s="22" t="str">
        <f aca="false">Data!A89</f>
        <v>VOLTAS</v>
      </c>
      <c r="B57" s="23" t="n">
        <f aca="false">Data!B89</f>
        <v>1353.2</v>
      </c>
      <c r="C57" s="22" t="n">
        <f aca="false">Data!C89</f>
        <v>1386.2</v>
      </c>
      <c r="D57" s="22" t="n">
        <f aca="false">Data!D89</f>
        <v>1350</v>
      </c>
      <c r="E57" s="24" t="n">
        <f aca="false">Data!E89</f>
        <v>-0.697</v>
      </c>
      <c r="F57" s="22" t="n">
        <f aca="false">Data!F89</f>
        <v>41.53</v>
      </c>
      <c r="G57" s="22" t="n">
        <f aca="false">Data!S89</f>
        <v>30.42</v>
      </c>
      <c r="I57" s="22" t="str">
        <f aca="false">IF(AND(C57=Data!G89,E57&gt;0),IF(AND(C57=Data!U89,E57&gt;0),"Buy_ 52W_H","Buy_50D_H"),IF(AND(Data!H89=D57,E57&lt;0),IF(AND(Data!V89=D57,E57&lt;0),"Sell_52W_L ","Sell_50D_L "),""))</f>
        <v/>
      </c>
      <c r="J57" s="22" t="n">
        <f aca="false">RANK(L57,L:L)</f>
        <v>56</v>
      </c>
      <c r="K57" s="22" t="str">
        <f aca="false">IF(Data!R89&gt;=B57,IF(((C57-B57)/(C57-D57))*100&gt;80,"Down"," "),IF(Data!R89&lt;=B57,IF(((B57-D57)/(C57-D57))*100&gt;80,"Up"," ")))</f>
        <v>Down</v>
      </c>
      <c r="L57" s="22" t="n">
        <f aca="false">Data!I89</f>
        <v>103.58</v>
      </c>
      <c r="M57" s="22" t="str">
        <f aca="false">IF(AND(B57&gt;Data!P89,Data!O89&lt;Data!P89),"Buy",IF(AND(B57&lt;Data!P89,Data!O89&gt;Data!P89),"Sell",""))</f>
        <v/>
      </c>
      <c r="N57" s="22" t="n">
        <f aca="false">Data!K89/1000</f>
        <v>616.314</v>
      </c>
      <c r="O57" s="22" t="n">
        <f aca="false">Data!L89</f>
        <v>0.485</v>
      </c>
      <c r="P57" s="22" t="n">
        <f aca="false">Data!M89</f>
        <v>1291.8</v>
      </c>
      <c r="Q57" s="22" t="n">
        <f aca="false">Data!N89</f>
        <v>1334.03</v>
      </c>
      <c r="R57" s="22" t="n">
        <f aca="false">Data!J89</f>
        <v>59.34</v>
      </c>
      <c r="S57" s="22" t="str">
        <f aca="false">INDEX(Sector_div!$B$2:$B$227,MATCH(A57,Sector_div!$A$2:$A$227,0))</f>
        <v>fmcg</v>
      </c>
      <c r="T57" s="26"/>
      <c r="U57" s="27" t="str">
        <f aca="false">CONCATENATE("NSE:",A57,",")</f>
        <v>NSE:VOLTAS,</v>
      </c>
      <c r="V57" s="26"/>
      <c r="W57" s="26"/>
      <c r="X57" s="26"/>
      <c r="Y57" s="26"/>
      <c r="Z57" s="26"/>
    </row>
    <row r="58" customFormat="false" ht="15.75" hidden="false" customHeight="true" outlineLevel="0" collapsed="false">
      <c r="A58" s="22" t="str">
        <f aca="false">Data!A47</f>
        <v>GRASIM</v>
      </c>
      <c r="B58" s="23" t="n">
        <f aca="false">Data!B47</f>
        <v>2813.8</v>
      </c>
      <c r="C58" s="22" t="n">
        <f aca="false">Data!C47</f>
        <v>2881.1</v>
      </c>
      <c r="D58" s="22" t="n">
        <f aca="false">Data!D47</f>
        <v>2801.4</v>
      </c>
      <c r="E58" s="24" t="n">
        <f aca="false">Data!E47</f>
        <v>-2.34</v>
      </c>
      <c r="F58" s="22" t="n">
        <f aca="false">Data!F47</f>
        <v>61.99</v>
      </c>
      <c r="G58" s="22" t="n">
        <f aca="false">Data!S47</f>
        <v>2.92</v>
      </c>
      <c r="H58" s="22" t="n">
        <f aca="false">Data!T82*100</f>
        <v>1.3</v>
      </c>
      <c r="I58" s="22" t="str">
        <f aca="false">IF(AND(C58=Data!G47,E58&gt;0),IF(AND(C58=Data!U47,E58&gt;0),"Buy_ 52W_H","Buy_50D_H"),IF(AND(Data!H47=D58,E58&lt;0),IF(AND(Data!V47=D58,E58&lt;0),"Sell_52W_L ","Sell_50D_L "),""))</f>
        <v/>
      </c>
      <c r="J58" s="22" t="n">
        <f aca="false">RANK(L58,L:L)</f>
        <v>57</v>
      </c>
      <c r="K58" s="22" t="str">
        <f aca="false">IF(Data!R47&gt;=B58,IF(((C58-B58)/(C58-D58))*100&gt;80,"Down"," "),IF(Data!R47&lt;=B58,IF(((B58-D58)/(C58-D58))*100&gt;80,"Up"," ")))</f>
        <v>Down</v>
      </c>
      <c r="L58" s="22" t="n">
        <f aca="false">Data!I47</f>
        <v>101.89</v>
      </c>
      <c r="M58" s="22" t="str">
        <f aca="false">IF(AND(B58&gt;Data!P47,Data!O47&lt;Data!P47),"Buy",IF(AND(B58&lt;Data!P47,Data!O47&gt;Data!P47),"Sell",""))</f>
        <v/>
      </c>
      <c r="N58" s="22" t="n">
        <f aca="false">Data!K47/1000</f>
        <v>671.885</v>
      </c>
      <c r="O58" s="22" t="n">
        <f aca="false">Data!L47</f>
        <v>0.59</v>
      </c>
      <c r="P58" s="22" t="n">
        <f aca="false">Data!M47</f>
        <v>2760.57</v>
      </c>
      <c r="Q58" s="22" t="n">
        <f aca="false">Data!N47</f>
        <v>2901.49</v>
      </c>
      <c r="R58" s="22" t="n">
        <f aca="false">Data!J47</f>
        <v>52.92</v>
      </c>
      <c r="S58" s="22" t="str">
        <f aca="false">INDEX(Sector_div!$B$2:$B$227,MATCH(A58,Sector_div!$A$2:$A$227,0))</f>
        <v>textiles</v>
      </c>
      <c r="T58" s="26"/>
      <c r="U58" s="27" t="str">
        <f aca="false">CONCATENATE("NSE:",A58,",")</f>
        <v>NSE:GRASIM,</v>
      </c>
      <c r="V58" s="26"/>
      <c r="W58" s="26"/>
      <c r="X58" s="26"/>
      <c r="Y58" s="26"/>
      <c r="Z58" s="26"/>
    </row>
    <row r="59" customFormat="false" ht="15.75" hidden="false" customHeight="true" outlineLevel="0" collapsed="false">
      <c r="A59" s="22" t="str">
        <f aca="false">Data!A51</f>
        <v>MANKIND</v>
      </c>
      <c r="B59" s="23" t="n">
        <f aca="false">Data!B51</f>
        <v>2606.8</v>
      </c>
      <c r="C59" s="22" t="n">
        <f aca="false">Data!C51</f>
        <v>2651.5</v>
      </c>
      <c r="D59" s="22" t="n">
        <f aca="false">Data!D51</f>
        <v>2587.9</v>
      </c>
      <c r="E59" s="24" t="n">
        <f aca="false">Data!E51</f>
        <v>0.258</v>
      </c>
      <c r="F59" s="22" t="n">
        <f aca="false">Data!F51</f>
        <v>70.91</v>
      </c>
      <c r="G59" s="22" t="n">
        <f aca="false">Data!S51</f>
        <v>14.67</v>
      </c>
      <c r="H59" s="22" t="n">
        <f aca="false">Data!T108*100</f>
        <v>0.4</v>
      </c>
      <c r="I59" s="22" t="str">
        <f aca="false">IF(AND(C59=Data!G51,E59&gt;0),IF(AND(C59=Data!U51,E59&gt;0),"Buy_ 52W_H","Buy_50D_H"),IF(AND(Data!H51=D59,E59&lt;0),IF(AND(Data!V51=D59,E59&lt;0),"Sell_52W_L ","Sell_50D_L "),""))</f>
        <v/>
      </c>
      <c r="J59" s="22" t="n">
        <f aca="false">RANK(L59,L:L)</f>
        <v>58</v>
      </c>
      <c r="K59" s="22" t="str">
        <f aca="false">IF(Data!R51&gt;=B59,IF(((C59-B59)/(C59-D59))*100&gt;80,"Down"," "),IF(Data!R51&lt;=B59,IF(((B59-D59)/(C59-D59))*100&gt;80,"Up"," ")))</f>
        <v> </v>
      </c>
      <c r="L59" s="22" t="n">
        <f aca="false">Data!I51</f>
        <v>101.04</v>
      </c>
      <c r="M59" s="22" t="str">
        <f aca="false">IF(AND(B59&gt;Data!P51,Data!O51&lt;Data!P51),"Buy",IF(AND(B59&lt;Data!P51,Data!O51&gt;Data!P51),"Sell",""))</f>
        <v/>
      </c>
      <c r="N59" s="22" t="n">
        <f aca="false">Data!K51/1000</f>
        <v>731.362</v>
      </c>
      <c r="O59" s="22" t="n">
        <f aca="false">Data!L51</f>
        <v>0.609</v>
      </c>
      <c r="P59" s="22" t="n">
        <f aca="false">Data!M51</f>
        <v>2477.61</v>
      </c>
      <c r="Q59" s="22" t="n">
        <f aca="false">Data!N51</f>
        <v>2548.65</v>
      </c>
      <c r="R59" s="22" t="n">
        <f aca="false">Data!J51</f>
        <v>72.17</v>
      </c>
      <c r="S59" s="22" t="e">
        <f aca="false">INDEX(Sector_div!$B$2:$B$227,MATCH(A59,Sector_div!$A$2:$A$227,0))</f>
        <v>#N/A</v>
      </c>
      <c r="T59" s="26"/>
      <c r="U59" s="27" t="str">
        <f aca="false">CONCATENATE("NSE:",A59,",")</f>
        <v>NSE:MANKIND,</v>
      </c>
      <c r="V59" s="26"/>
      <c r="W59" s="26"/>
      <c r="X59" s="26"/>
      <c r="Y59" s="26"/>
      <c r="Z59" s="26"/>
    </row>
    <row r="60" customFormat="false" ht="15.75" hidden="false" customHeight="true" outlineLevel="0" collapsed="false">
      <c r="A60" s="22" t="str">
        <f aca="false">Data!A87</f>
        <v>RELIANCE</v>
      </c>
      <c r="B60" s="23" t="n">
        <f aca="false">Data!B87</f>
        <v>1409.2</v>
      </c>
      <c r="C60" s="22" t="n">
        <f aca="false">Data!C87</f>
        <v>1423.4</v>
      </c>
      <c r="D60" s="22" t="n">
        <f aca="false">Data!D87</f>
        <v>1407.9</v>
      </c>
      <c r="E60" s="24" t="n">
        <f aca="false">Data!E87</f>
        <v>-1.09</v>
      </c>
      <c r="F60" s="22" t="n">
        <f aca="false">Data!F87</f>
        <v>21.77</v>
      </c>
      <c r="G60" s="22" t="n">
        <f aca="false">Data!S87</f>
        <v>9.14</v>
      </c>
      <c r="H60" s="25" t="n">
        <f aca="false">Data!T149*100</f>
        <v>10.9</v>
      </c>
      <c r="I60" s="22" t="str">
        <f aca="false">IF(AND(C60=Data!G87,E60&gt;0),IF(AND(C60=Data!U87,E60&gt;0),"Buy_ 52W_H","Buy_50D_H"),IF(AND(Data!H87=D60,E60&lt;0),IF(AND(Data!V87=D60,E60&lt;0),"Sell_52W_L ","Sell_50D_L "),""))</f>
        <v/>
      </c>
      <c r="J60" s="22" t="n">
        <f aca="false">RANK(L60,L:L)</f>
        <v>59</v>
      </c>
      <c r="K60" s="22" t="str">
        <f aca="false">IF(Data!R87&gt;=B60,IF(((C60-B60)/(C60-D60))*100&gt;80,"Down"," "),IF(Data!R87&lt;=B60,IF(((B60-D60)/(C60-D60))*100&gt;80,"Up"," ")))</f>
        <v>Down</v>
      </c>
      <c r="L60" s="22" t="n">
        <f aca="false">Data!I87</f>
        <v>97.97</v>
      </c>
      <c r="M60" s="22" t="str">
        <f aca="false">IF(AND(B60&gt;Data!P87,Data!O87&lt;Data!P87),"Buy",IF(AND(B60&lt;Data!P87,Data!O87&gt;Data!P87),"Sell",""))</f>
        <v/>
      </c>
      <c r="N60" s="22" t="n">
        <f aca="false">Data!K87/1000</f>
        <v>5818.839</v>
      </c>
      <c r="O60" s="22" t="n">
        <f aca="false">Data!L87</f>
        <v>0.528</v>
      </c>
      <c r="P60" s="22" t="n">
        <f aca="false">Data!M87</f>
        <v>1380.5</v>
      </c>
      <c r="Q60" s="22" t="n">
        <f aca="false">Data!N87</f>
        <v>1403.3</v>
      </c>
      <c r="R60" s="22" t="n">
        <f aca="false">Data!J87</f>
        <v>54</v>
      </c>
      <c r="S60" s="22" t="str">
        <f aca="false">INDEX(Sector_div!$B$2:$B$227,MATCH(A60,Sector_div!$A$2:$A$227,0))</f>
        <v>oil&amp;gas</v>
      </c>
      <c r="T60" s="26"/>
      <c r="U60" s="27" t="str">
        <f aca="false">CONCATENATE("NSE:",A60,",")</f>
        <v>NSE:RELIANCE,</v>
      </c>
      <c r="V60" s="26"/>
      <c r="W60" s="26"/>
      <c r="X60" s="26"/>
      <c r="Y60" s="26"/>
      <c r="Z60" s="26"/>
    </row>
    <row r="61" customFormat="false" ht="15.75" hidden="false" customHeight="true" outlineLevel="0" collapsed="false">
      <c r="A61" s="22" t="str">
        <f aca="false">Data!A43</f>
        <v>TIINDIA</v>
      </c>
      <c r="B61" s="23" t="n">
        <f aca="false">Data!B43</f>
        <v>3072.1</v>
      </c>
      <c r="C61" s="22" t="n">
        <f aca="false">Data!C43</f>
        <v>3189.1</v>
      </c>
      <c r="D61" s="22" t="n">
        <f aca="false">Data!D43</f>
        <v>3063.5</v>
      </c>
      <c r="E61" s="24" t="n">
        <f aca="false">Data!E43</f>
        <v>-0.817</v>
      </c>
      <c r="F61" s="22" t="n">
        <f aca="false">Data!F43</f>
        <v>96.02</v>
      </c>
      <c r="G61" s="22" t="n">
        <f aca="false">Data!S43</f>
        <v>36.14</v>
      </c>
      <c r="H61" s="25" t="n">
        <f aca="false">Data!T35*100</f>
        <v>0.6</v>
      </c>
      <c r="I61" s="22" t="str">
        <f aca="false">IF(AND(C61=Data!G43,E61&gt;0),IF(AND(C61=Data!U43,E61&gt;0),"Buy_ 52W_H","Buy_50D_H"),IF(AND(Data!H43=D61,E61&lt;0),IF(AND(Data!V43=D61,E61&lt;0),"Sell_52W_L ","Sell_50D_L "),""))</f>
        <v/>
      </c>
      <c r="J61" s="22" t="n">
        <f aca="false">RANK(L61,L:L)</f>
        <v>60</v>
      </c>
      <c r="K61" s="22" t="str">
        <f aca="false">IF(Data!R43&gt;=B61,IF(((C61-B61)/(C61-D61))*100&gt;80,"Down"," "),IF(Data!R43&lt;=B61,IF(((B61-D61)/(C61-D61))*100&gt;80,"Up"," ")))</f>
        <v>Down</v>
      </c>
      <c r="L61" s="22" t="n">
        <f aca="false">Data!I43</f>
        <v>93.33</v>
      </c>
      <c r="M61" s="22" t="str">
        <f aca="false">IF(AND(B61&gt;Data!P43,Data!O43&lt;Data!P43),"Buy",IF(AND(B61&lt;Data!P43,Data!O43&gt;Data!P43),"Sell",""))</f>
        <v/>
      </c>
      <c r="N61" s="22" t="n">
        <f aca="false">Data!K43/1000</f>
        <v>376.9</v>
      </c>
      <c r="O61" s="22" t="n">
        <f aca="false">Data!L43</f>
        <v>2.26</v>
      </c>
      <c r="P61" s="22" t="n">
        <f aca="false">Data!M43</f>
        <v>3018.24</v>
      </c>
      <c r="Q61" s="22" t="n">
        <f aca="false">Data!N43</f>
        <v>3219.75</v>
      </c>
      <c r="R61" s="22" t="n">
        <f aca="false">Data!J43</f>
        <v>55.58</v>
      </c>
      <c r="S61" s="22" t="str">
        <f aca="false">INDEX(Sector_div!$B$2:$B$227,MATCH(A61,Sector_div!$A$2:$A$227,0))</f>
        <v>auto</v>
      </c>
      <c r="T61" s="26"/>
      <c r="U61" s="27" t="str">
        <f aca="false">CONCATENATE("NSE:",A61,",")</f>
        <v>NSE:TIINDIA,</v>
      </c>
      <c r="V61" s="26"/>
      <c r="W61" s="26"/>
      <c r="X61" s="26"/>
      <c r="Y61" s="26"/>
      <c r="Z61" s="26"/>
    </row>
    <row r="62" customFormat="false" ht="15.75" hidden="false" customHeight="true" outlineLevel="0" collapsed="false">
      <c r="A62" s="22" t="str">
        <f aca="false">Data!A176</f>
        <v>MANAPPURAM</v>
      </c>
      <c r="B62" s="23" t="n">
        <f aca="false">Data!B176</f>
        <v>266.75</v>
      </c>
      <c r="C62" s="22" t="n">
        <f aca="false">Data!C176</f>
        <v>268.75</v>
      </c>
      <c r="D62" s="22" t="n">
        <f aca="false">Data!D176</f>
        <v>264</v>
      </c>
      <c r="E62" s="24" t="n">
        <f aca="false">Data!E176</f>
        <v>0.528</v>
      </c>
      <c r="F62" s="22" t="n">
        <f aca="false">Data!F176</f>
        <v>6.67</v>
      </c>
      <c r="G62" s="22" t="n">
        <f aca="false">Data!S176</f>
        <v>6.37</v>
      </c>
      <c r="H62" s="22" t="n">
        <f aca="false">Data!T138*100</f>
        <v>1.6</v>
      </c>
      <c r="I62" s="22" t="str">
        <f aca="false">IF(AND(C62=Data!G176,E62&gt;0),IF(AND(C62=Data!U176,E62&gt;0),"Buy_ 52W_H","Buy_50D_H"),IF(AND(Data!H176=D62,E62&lt;0),IF(AND(Data!V176=D62,E62&lt;0),"Sell_52W_L ","Sell_50D_L "),""))</f>
        <v/>
      </c>
      <c r="J62" s="22" t="n">
        <f aca="false">RANK(L62,L:L)</f>
        <v>61</v>
      </c>
      <c r="K62" s="22" t="str">
        <f aca="false">IF(Data!R176&gt;=B62,IF(((C62-B62)/(C62-D62))*100&gt;80,"Down"," "),IF(Data!R176&lt;=B62,IF(((B62-D62)/(C62-D62))*100&gt;80,"Up"," ")))</f>
        <v> </v>
      </c>
      <c r="L62" s="22" t="n">
        <f aca="false">Data!I176</f>
        <v>93.25</v>
      </c>
      <c r="M62" s="22" t="str">
        <f aca="false">IF(AND(B62&gt;Data!P176,Data!O176&lt;Data!P176),"Buy",IF(AND(B62&lt;Data!P176,Data!O176&gt;Data!P176),"Sell",""))</f>
        <v/>
      </c>
      <c r="N62" s="22" t="n">
        <f aca="false">Data!K176/1000</f>
        <v>1650.986</v>
      </c>
      <c r="O62" s="22" t="n">
        <f aca="false">Data!L176</f>
        <v>0.995</v>
      </c>
      <c r="P62" s="22" t="n">
        <f aca="false">Data!M176</f>
        <v>252.54</v>
      </c>
      <c r="Q62" s="22" t="n">
        <f aca="false">Data!N176</f>
        <v>259.83</v>
      </c>
      <c r="R62" s="22" t="n">
        <f aca="false">Data!J176</f>
        <v>58.99</v>
      </c>
      <c r="S62" s="22" t="str">
        <f aca="false">INDEX(Sector_div!$B$2:$B$227,MATCH(A62,Sector_div!$A$2:$A$227,0))</f>
        <v>finance</v>
      </c>
      <c r="T62" s="26"/>
      <c r="U62" s="27" t="str">
        <f aca="false">CONCATENATE("NSE:",A62,",")</f>
        <v>NSE:MANAPPURAM,</v>
      </c>
      <c r="V62" s="26"/>
      <c r="W62" s="26"/>
      <c r="X62" s="26"/>
      <c r="Y62" s="26"/>
      <c r="Z62" s="26"/>
    </row>
    <row r="63" customFormat="false" ht="15.75" hidden="false" customHeight="true" outlineLevel="0" collapsed="false">
      <c r="A63" s="22" t="str">
        <f aca="false">Data!A123</f>
        <v>HDFCLIFE</v>
      </c>
      <c r="B63" s="23" t="n">
        <f aca="false">Data!B123</f>
        <v>788.75</v>
      </c>
      <c r="C63" s="22" t="n">
        <f aca="false">Data!C123</f>
        <v>795</v>
      </c>
      <c r="D63" s="22" t="n">
        <f aca="false">Data!D123</f>
        <v>786.6</v>
      </c>
      <c r="E63" s="24" t="n">
        <f aca="false">Data!E123</f>
        <v>-0.842</v>
      </c>
      <c r="F63" s="22" t="n">
        <f aca="false">Data!F123</f>
        <v>13.91</v>
      </c>
      <c r="G63" s="22" t="n">
        <f aca="false">Data!S123</f>
        <v>3.9</v>
      </c>
      <c r="H63" s="25" t="n">
        <f aca="false">Data!T167*100</f>
        <v>3.9</v>
      </c>
      <c r="I63" s="22" t="str">
        <f aca="false">IF(AND(C63=Data!G123,E63&gt;0),IF(AND(C63=Data!U123,E63&gt;0),"Buy_ 52W_H","Buy_50D_H"),IF(AND(Data!H123=D63,E63&lt;0),IF(AND(Data!V123=D63,E63&lt;0),"Sell_52W_L ","Sell_50D_L "),""))</f>
        <v/>
      </c>
      <c r="J63" s="22" t="n">
        <f aca="false">RANK(L63,L:L)</f>
        <v>62</v>
      </c>
      <c r="K63" s="22" t="str">
        <f aca="false">IF(Data!R123&gt;=B63,IF(((C63-B63)/(C63-D63))*100&gt;80,"Down"," "),IF(Data!R123&lt;=B63,IF(((B63-D63)/(C63-D63))*100&gt;80,"Up"," ")))</f>
        <v> </v>
      </c>
      <c r="L63" s="22" t="n">
        <f aca="false">Data!I123</f>
        <v>92.52</v>
      </c>
      <c r="M63" s="22" t="str">
        <f aca="false">IF(AND(B63&gt;Data!P123,Data!O123&lt;Data!P123),"Buy",IF(AND(B63&lt;Data!P123,Data!O123&gt;Data!P123),"Sell",""))</f>
        <v/>
      </c>
      <c r="N63" s="22" t="n">
        <f aca="false">Data!K123/1000</f>
        <v>1331.809</v>
      </c>
      <c r="O63" s="22" t="n">
        <f aca="false">Data!L123</f>
        <v>0.622</v>
      </c>
      <c r="P63" s="22" t="n">
        <f aca="false">Data!M123</f>
        <v>770.59</v>
      </c>
      <c r="Q63" s="22" t="n">
        <f aca="false">Data!N123</f>
        <v>786.32</v>
      </c>
      <c r="R63" s="22" t="n">
        <f aca="false">Data!J123</f>
        <v>65.71</v>
      </c>
      <c r="S63" s="22" t="str">
        <f aca="false">INDEX(Sector_div!$B$2:$B$227,MATCH(A63,Sector_div!$A$2:$A$227,0))</f>
        <v>insurance</v>
      </c>
      <c r="T63" s="26"/>
      <c r="U63" s="27" t="str">
        <f aca="false">CONCATENATE("NSE:",A63,",")</f>
        <v>NSE:HDFCLIFE,</v>
      </c>
      <c r="V63" s="26"/>
      <c r="W63" s="26"/>
      <c r="X63" s="26"/>
      <c r="Y63" s="26"/>
      <c r="Z63" s="26"/>
    </row>
    <row r="64" customFormat="false" ht="15.75" hidden="false" customHeight="true" outlineLevel="0" collapsed="false">
      <c r="A64" s="22" t="str">
        <f aca="false">Data!A152</f>
        <v>POONAWALLA</v>
      </c>
      <c r="B64" s="23" t="n">
        <f aca="false">Data!B152</f>
        <v>465.5</v>
      </c>
      <c r="C64" s="22" t="n">
        <f aca="false">Data!C152</f>
        <v>467</v>
      </c>
      <c r="D64" s="22" t="n">
        <f aca="false">Data!D152</f>
        <v>449.55</v>
      </c>
      <c r="E64" s="24" t="n">
        <f aca="false">Data!E152</f>
        <v>3.27</v>
      </c>
      <c r="F64" s="22" t="n">
        <f aca="false">Data!F152</f>
        <v>13.48</v>
      </c>
      <c r="G64" s="22" t="n">
        <f aca="false">Data!S152</f>
        <v>3.7</v>
      </c>
      <c r="H64" s="25" t="n">
        <f aca="false">Data!T21*100</f>
        <v>0.3</v>
      </c>
      <c r="I64" s="22" t="str">
        <f aca="false">IF(AND(C64=Data!G152,E64&gt;0),IF(AND(C64=Data!U152,E64&gt;0),"Buy_ 52W_H","Buy_50D_H"),IF(AND(Data!H152=D64,E64&lt;0),IF(AND(Data!V152=D64,E64&lt;0),"Sell_52W_L ","Sell_50D_L "),""))</f>
        <v/>
      </c>
      <c r="J64" s="22" t="n">
        <f aca="false">RANK(L64,L:L)</f>
        <v>63</v>
      </c>
      <c r="K64" s="22" t="str">
        <f aca="false">IF(Data!R152&gt;=B64,IF(((C64-B64)/(C64-D64))*100&gt;80,"Down"," "),IF(Data!R152&lt;=B64,IF(((B64-D64)/(C64-D64))*100&gt;80,"Up"," ")))</f>
        <v>Up</v>
      </c>
      <c r="L64" s="22" t="n">
        <f aca="false">Data!I152</f>
        <v>90.9</v>
      </c>
      <c r="M64" s="22" t="str">
        <f aca="false">IF(AND(B64&gt;Data!P152,Data!O152&lt;Data!P152),"Buy",IF(AND(B64&lt;Data!P152,Data!O152&gt;Data!P152),"Sell",""))</f>
        <v/>
      </c>
      <c r="N64" s="22" t="n">
        <f aca="false">Data!K152/1000</f>
        <v>1707.001</v>
      </c>
      <c r="O64" s="22" t="n">
        <f aca="false">Data!L152</f>
        <v>2.26</v>
      </c>
      <c r="P64" s="22" t="n">
        <f aca="false">Data!M152</f>
        <v>440.05</v>
      </c>
      <c r="Q64" s="22" t="n">
        <f aca="false">Data!N152</f>
        <v>471</v>
      </c>
      <c r="R64" s="22" t="n">
        <f aca="false">Data!J152</f>
        <v>62.74</v>
      </c>
      <c r="S64" s="22" t="str">
        <f aca="false">INDEX(Sector_div!$B$2:$B$227,MATCH(A64,Sector_div!$A$2:$A$227,0))</f>
        <v>finance</v>
      </c>
      <c r="T64" s="26"/>
      <c r="U64" s="27" t="str">
        <f aca="false">CONCATENATE("NSE:",A64,",")</f>
        <v>NSE:POONAWALLA,</v>
      </c>
      <c r="V64" s="26"/>
      <c r="W64" s="26"/>
      <c r="X64" s="26"/>
      <c r="Y64" s="26"/>
      <c r="Z64" s="26"/>
    </row>
    <row r="65" customFormat="false" ht="15.75" hidden="false" customHeight="true" outlineLevel="0" collapsed="false">
      <c r="A65" s="22" t="str">
        <f aca="false">Data!A8</f>
        <v>ULTRACEMCO</v>
      </c>
      <c r="B65" s="23" t="n">
        <f aca="false">Data!B8</f>
        <v>12589</v>
      </c>
      <c r="C65" s="22" t="n">
        <f aca="false">Data!C8</f>
        <v>12864</v>
      </c>
      <c r="D65" s="22" t="n">
        <f aca="false">Data!D8</f>
        <v>12563</v>
      </c>
      <c r="E65" s="24" t="n">
        <f aca="false">Data!E8</f>
        <v>-2.18</v>
      </c>
      <c r="F65" s="22" t="n">
        <f aca="false">Data!F8</f>
        <v>224.58</v>
      </c>
      <c r="G65" s="22" t="n">
        <f aca="false">Data!S8</f>
        <v>2.64</v>
      </c>
      <c r="H65" s="25" t="n">
        <f aca="false">Data!T51*100</f>
        <v>0.8</v>
      </c>
      <c r="I65" s="22" t="str">
        <f aca="false">IF(AND(C65=Data!G8,E65&gt;0),IF(AND(C65=Data!U8,E65&gt;0),"Buy_ 52W_H","Buy_50D_H"),IF(AND(Data!H8=D65,E65&lt;0),IF(AND(Data!V8=D65,E65&lt;0),"Sell_52W_L ","Sell_50D_L "),""))</f>
        <v/>
      </c>
      <c r="J65" s="22" t="n">
        <f aca="false">RANK(L65,L:L)</f>
        <v>64</v>
      </c>
      <c r="K65" s="22" t="str">
        <f aca="false">IF(Data!R8&gt;=B65,IF(((C65-B65)/(C65-D65))*100&gt;80,"Down"," "),IF(Data!R8&lt;=B65,IF(((B65-D65)/(C65-D65))*100&gt;80,"Up"," ")))</f>
        <v>Down</v>
      </c>
      <c r="L65" s="22" t="n">
        <f aca="false">Data!I8</f>
        <v>90.09</v>
      </c>
      <c r="M65" s="22" t="str">
        <f aca="false">IF(AND(B65&gt;Data!P8,Data!O8&lt;Data!P8),"Buy",IF(AND(B65&lt;Data!P8,Data!O8&gt;Data!P8),"Sell",""))</f>
        <v/>
      </c>
      <c r="N65" s="22" t="n">
        <f aca="false">Data!K8/1000</f>
        <v>226.948</v>
      </c>
      <c r="O65" s="22" t="n">
        <f aca="false">Data!L8</f>
        <v>1.46</v>
      </c>
      <c r="P65" s="22" t="n">
        <f aca="false">Data!M8</f>
        <v>12430.46</v>
      </c>
      <c r="Q65" s="22" t="n">
        <f aca="false">Data!N8</f>
        <v>12932.09</v>
      </c>
      <c r="R65" s="22" t="n">
        <f aca="false">Data!J8</f>
        <v>51.54</v>
      </c>
      <c r="S65" s="22" t="str">
        <f aca="false">INDEX(Sector_div!$B$2:$B$227,MATCH(A65,Sector_div!$A$2:$A$227,0))</f>
        <v>cement</v>
      </c>
      <c r="T65" s="26"/>
      <c r="U65" s="27" t="str">
        <f aca="false">CONCATENATE("NSE:",A65,",")</f>
        <v>NSE:ULTRACEMCO,</v>
      </c>
      <c r="V65" s="26"/>
      <c r="W65" s="26"/>
      <c r="X65" s="26"/>
      <c r="Y65" s="26"/>
      <c r="Z65" s="26"/>
    </row>
    <row r="66" customFormat="false" ht="15.75" hidden="false" customHeight="true" outlineLevel="0" collapsed="false">
      <c r="A66" s="22" t="str">
        <f aca="false">Data!A91</f>
        <v>UNITDSPR</v>
      </c>
      <c r="B66" s="23" t="n">
        <f aca="false">Data!B91</f>
        <v>1329.9</v>
      </c>
      <c r="C66" s="22" t="n">
        <f aca="false">Data!C91</f>
        <v>1338.1</v>
      </c>
      <c r="D66" s="22" t="n">
        <f aca="false">Data!D91</f>
        <v>1327.1</v>
      </c>
      <c r="E66" s="24" t="n">
        <f aca="false">Data!E91</f>
        <v>-0.531</v>
      </c>
      <c r="F66" s="22" t="n">
        <f aca="false">Data!F91</f>
        <v>21.36</v>
      </c>
      <c r="G66" s="22" t="n">
        <f aca="false">Data!S91</f>
        <v>21.77</v>
      </c>
      <c r="H66" s="25" t="n">
        <f aca="false">Data!T33*100</f>
        <v>0.6</v>
      </c>
      <c r="I66" s="22" t="str">
        <f aca="false">IF(AND(C66=Data!G91,E66&gt;0),IF(AND(C66=Data!U91,E66&gt;0),"Buy_ 52W_H","Buy_50D_H"),IF(AND(Data!H91=D66,E66&lt;0),IF(AND(Data!V91=D66,E66&lt;0),"Sell_52W_L ","Sell_50D_L "),""))</f>
        <v/>
      </c>
      <c r="J66" s="22" t="n">
        <f aca="false">RANK(L66,L:L)</f>
        <v>65</v>
      </c>
      <c r="K66" s="22" t="str">
        <f aca="false">IF(Data!R91&gt;=B66,IF(((C66-B66)/(C66-D66))*100&gt;80,"Down"," "),IF(Data!R91&lt;=B66,IF(((B66-D66)/(C66-D66))*100&gt;80,"Up"," ")))</f>
        <v> </v>
      </c>
      <c r="L66" s="22" t="n">
        <f aca="false">Data!I91</f>
        <v>87.78</v>
      </c>
      <c r="M66" s="22" t="str">
        <f aca="false">IF(AND(B66&gt;Data!P91,Data!O91&lt;Data!P91),"Buy",IF(AND(B66&lt;Data!P91,Data!O91&gt;Data!P91),"Sell",""))</f>
        <v/>
      </c>
      <c r="N66" s="22" t="n">
        <f aca="false">Data!K91/1000</f>
        <v>545.032</v>
      </c>
      <c r="O66" s="22" t="n">
        <f aca="false">Data!L91</f>
        <v>0.509</v>
      </c>
      <c r="P66" s="22" t="n">
        <f aca="false">Data!M91</f>
        <v>1345.71</v>
      </c>
      <c r="Q66" s="22" t="n">
        <f aca="false">Data!N91</f>
        <v>1310.4</v>
      </c>
      <c r="R66" s="22" t="n">
        <f aca="false">Data!J91</f>
        <v>55.91</v>
      </c>
      <c r="S66" s="22" t="str">
        <f aca="false">INDEX(Sector_div!$B$2:$B$227,MATCH(A66,Sector_div!$A$2:$A$227,0))</f>
        <v>miscellaneous</v>
      </c>
      <c r="T66" s="26"/>
      <c r="U66" s="27" t="str">
        <f aca="false">CONCATENATE("NSE:",A66,",")</f>
        <v>NSE:UNITDSPR,</v>
      </c>
      <c r="V66" s="26"/>
      <c r="W66" s="26"/>
      <c r="X66" s="26"/>
      <c r="Y66" s="26"/>
      <c r="Z66" s="26"/>
    </row>
    <row r="67" customFormat="false" ht="15.75" hidden="false" customHeight="true" outlineLevel="0" collapsed="false">
      <c r="A67" s="22" t="str">
        <f aca="false">Data!A110</f>
        <v>ZYDUSLIFE</v>
      </c>
      <c r="B67" s="23" t="n">
        <f aca="false">Data!B110</f>
        <v>988.8</v>
      </c>
      <c r="C67" s="22" t="n">
        <f aca="false">Data!C110</f>
        <v>999.9</v>
      </c>
      <c r="D67" s="22" t="n">
        <f aca="false">Data!D110</f>
        <v>986.45</v>
      </c>
      <c r="E67" s="24" t="n">
        <f aca="false">Data!E110</f>
        <v>0.304</v>
      </c>
      <c r="F67" s="22" t="n">
        <f aca="false">Data!F110</f>
        <v>20.3</v>
      </c>
      <c r="G67" s="22" t="n">
        <f aca="false">Data!S110</f>
        <v>14.71</v>
      </c>
      <c r="H67" s="25" t="n">
        <f aca="false">Data!T71*100</f>
        <v>0.3</v>
      </c>
      <c r="I67" s="22" t="str">
        <f aca="false">IF(AND(C67=Data!G110,E67&gt;0),IF(AND(C67=Data!U110,E67&gt;0),"Buy_ 52W_H","Buy_50D_H"),IF(AND(Data!H110=D67,E67&lt;0),IF(AND(Data!V110=D67,E67&lt;0),"Sell_52W_L ","Sell_50D_L "),""))</f>
        <v/>
      </c>
      <c r="J67" s="22" t="n">
        <f aca="false">RANK(L67,L:L)</f>
        <v>66</v>
      </c>
      <c r="K67" s="22" t="str">
        <f aca="false">IF(Data!R110&gt;=B67,IF(((C67-B67)/(C67-D67))*100&gt;80,"Down"," "),IF(Data!R110&lt;=B67,IF(((B67-D67)/(C67-D67))*100&gt;80,"Up"," ")))</f>
        <v>Down</v>
      </c>
      <c r="L67" s="22" t="n">
        <f aca="false">Data!I110</f>
        <v>82.2</v>
      </c>
      <c r="M67" s="22" t="str">
        <f aca="false">IF(AND(B67&gt;Data!P110,Data!O110&lt;Data!P110),"Buy",IF(AND(B67&lt;Data!P110,Data!O110&gt;Data!P110),"Sell",""))</f>
        <v/>
      </c>
      <c r="N67" s="22" t="n">
        <f aca="false">Data!K110/1000</f>
        <v>307.428</v>
      </c>
      <c r="O67" s="22" t="n">
        <f aca="false">Data!L110</f>
        <v>0.429</v>
      </c>
      <c r="P67" s="22" t="n">
        <f aca="false">Data!M110</f>
        <v>952.24</v>
      </c>
      <c r="Q67" s="22" t="n">
        <f aca="false">Data!N110</f>
        <v>972.71</v>
      </c>
      <c r="R67" s="22" t="n">
        <f aca="false">Data!J110</f>
        <v>63.23</v>
      </c>
      <c r="S67" s="22" t="str">
        <f aca="false">INDEX(Sector_div!$B$2:$B$227,MATCH(A67,Sector_div!$A$2:$A$227,0))</f>
        <v>Pharma&amp;Healthcare</v>
      </c>
      <c r="T67" s="26"/>
      <c r="U67" s="27" t="str">
        <f aca="false">CONCATENATE("NSE:",A67,",")</f>
        <v>NSE:ZYDUSLIFE,</v>
      </c>
      <c r="V67" s="26"/>
      <c r="W67" s="26"/>
      <c r="X67" s="26"/>
      <c r="Y67" s="26"/>
      <c r="Z67" s="26"/>
    </row>
    <row r="68" customFormat="false" ht="15.75" hidden="false" customHeight="true" outlineLevel="0" collapsed="false">
      <c r="A68" s="22" t="str">
        <f aca="false">Data!A114</f>
        <v>BAJFINANCE</v>
      </c>
      <c r="B68" s="23" t="n">
        <f aca="false">Data!B114</f>
        <v>894.5</v>
      </c>
      <c r="C68" s="22" t="n">
        <f aca="false">Data!C114</f>
        <v>903.9</v>
      </c>
      <c r="D68" s="22" t="n">
        <f aca="false">Data!D114</f>
        <v>892</v>
      </c>
      <c r="E68" s="24" t="n">
        <f aca="false">Data!E114</f>
        <v>-0.123</v>
      </c>
      <c r="F68" s="22" t="n">
        <f aca="false">Data!F114</f>
        <v>20.28</v>
      </c>
      <c r="G68" s="22" t="n">
        <f aca="false">Data!S114</f>
        <v>8.61</v>
      </c>
      <c r="H68" s="22" t="n">
        <f aca="false">Data!T44*100</f>
        <v>0.1</v>
      </c>
      <c r="I68" s="22" t="str">
        <f aca="false">IF(AND(C68=Data!G114,E68&gt;0),IF(AND(C68=Data!U114,E68&gt;0),"Buy_ 52W_H","Buy_50D_H"),IF(AND(Data!H114=D68,E68&lt;0),IF(AND(Data!V114=D68,E68&lt;0),"Sell_52W_L ","Sell_50D_L "),""))</f>
        <v/>
      </c>
      <c r="J68" s="22" t="n">
        <f aca="false">RANK(L68,L:L)</f>
        <v>67</v>
      </c>
      <c r="K68" s="22" t="str">
        <f aca="false">IF(Data!R114&gt;=B68,IF(((C68-B68)/(C68-D68))*100&gt;80,"Down"," "),IF(Data!R114&lt;=B68,IF(((B68-D68)/(C68-D68))*100&gt;80,"Up"," ")))</f>
        <v> </v>
      </c>
      <c r="L68" s="22" t="n">
        <f aca="false">Data!I114</f>
        <v>81.9</v>
      </c>
      <c r="M68" s="22" t="str">
        <f aca="false">IF(AND(B68&gt;Data!P114,Data!O114&lt;Data!P114),"Buy",IF(AND(B68&lt;Data!P114,Data!O114&gt;Data!P114),"Sell",""))</f>
        <v/>
      </c>
      <c r="N68" s="22" t="n">
        <f aca="false">Data!K114/1000</f>
        <v>6423.775</v>
      </c>
      <c r="O68" s="22" t="n">
        <f aca="false">Data!L114</f>
        <v>0.959</v>
      </c>
      <c r="P68" s="22" t="n">
        <f aca="false">Data!M114</f>
        <v>857.08</v>
      </c>
      <c r="Q68" s="22" t="n">
        <f aca="false">Data!N114</f>
        <v>877.74</v>
      </c>
      <c r="R68" s="22" t="n">
        <f aca="false">Data!J114</f>
        <v>55.04</v>
      </c>
      <c r="S68" s="22" t="str">
        <f aca="false">INDEX(Sector_div!$B$2:$B$227,MATCH(A68,Sector_div!$A$2:$A$227,0))</f>
        <v>finance</v>
      </c>
      <c r="T68" s="26"/>
      <c r="U68" s="27" t="str">
        <f aca="false">CONCATENATE("NSE:",A68,",")</f>
        <v>NSE:BAJFINANCE,</v>
      </c>
      <c r="V68" s="26"/>
      <c r="W68" s="26"/>
      <c r="X68" s="26"/>
      <c r="Y68" s="26"/>
      <c r="Z68" s="26"/>
    </row>
    <row r="69" customFormat="false" ht="15.75" hidden="false" customHeight="true" outlineLevel="0" collapsed="false">
      <c r="A69" s="22" t="str">
        <f aca="false">Data!A98</f>
        <v>CYIENT</v>
      </c>
      <c r="B69" s="23" t="n">
        <f aca="false">Data!B98</f>
        <v>1230.1</v>
      </c>
      <c r="C69" s="22" t="n">
        <f aca="false">Data!C98</f>
        <v>1237.4</v>
      </c>
      <c r="D69" s="22" t="n">
        <f aca="false">Data!D98</f>
        <v>1224.8</v>
      </c>
      <c r="E69" s="24" t="n">
        <f aca="false">Data!E98</f>
        <v>-0.316</v>
      </c>
      <c r="F69" s="22" t="n">
        <f aca="false">Data!F98</f>
        <v>23.2</v>
      </c>
      <c r="G69" s="22" t="n">
        <f aca="false">Data!S98</f>
        <v>42.98</v>
      </c>
      <c r="H69" s="25" t="n">
        <f aca="false">Data!T127*100</f>
        <v>4.8</v>
      </c>
      <c r="I69" s="22" t="str">
        <f aca="false">IF(AND(C69=Data!G98,E69&gt;0),IF(AND(C69=Data!U98,E69&gt;0),"Buy_ 52W_H","Buy_50D_H"),IF(AND(Data!H98=D69,E69&lt;0),IF(AND(Data!V98=D69,E69&lt;0),"Sell_52W_L ","Sell_50D_L "),""))</f>
        <v/>
      </c>
      <c r="J69" s="22" t="n">
        <f aca="false">RANK(L69,L:L)</f>
        <v>68</v>
      </c>
      <c r="K69" s="22" t="str">
        <f aca="false">IF(Data!R98&gt;=B69,IF(((C69-B69)/(C69-D69))*100&gt;80,"Down"," "),IF(Data!R98&lt;=B69,IF(((B69-D69)/(C69-D69))*100&gt;80,"Up"," ")))</f>
        <v> </v>
      </c>
      <c r="L69" s="22" t="n">
        <f aca="false">Data!I98</f>
        <v>81.66</v>
      </c>
      <c r="M69" s="22" t="str">
        <f aca="false">IF(AND(B69&gt;Data!P98,Data!O98&lt;Data!P98),"Buy",IF(AND(B69&lt;Data!P98,Data!O98&gt;Data!P98),"Sell",""))</f>
        <v/>
      </c>
      <c r="N69" s="22" t="n">
        <f aca="false">Data!K98/1000</f>
        <v>154.556</v>
      </c>
      <c r="O69" s="22" t="n">
        <f aca="false">Data!L98</f>
        <v>0.462</v>
      </c>
      <c r="P69" s="22" t="n">
        <f aca="false">Data!M98</f>
        <v>1182.02</v>
      </c>
      <c r="Q69" s="22" t="n">
        <f aca="false">Data!N98</f>
        <v>1206.56</v>
      </c>
      <c r="R69" s="22" t="n">
        <f aca="false">Data!J98</f>
        <v>67.23</v>
      </c>
      <c r="S69" s="22" t="str">
        <f aca="false">INDEX(Sector_div!$B$2:$B$227,MATCH(A69,Sector_div!$A$2:$A$227,0))</f>
        <v>i.t</v>
      </c>
      <c r="T69" s="26"/>
      <c r="U69" s="27" t="str">
        <f aca="false">CONCATENATE("NSE:",A69,",")</f>
        <v>NSE:CYIENT,</v>
      </c>
      <c r="V69" s="26"/>
      <c r="W69" s="26"/>
      <c r="X69" s="26"/>
      <c r="Y69" s="26"/>
      <c r="Z69" s="26"/>
    </row>
    <row r="70" customFormat="false" ht="15.75" hidden="false" customHeight="true" outlineLevel="0" collapsed="false">
      <c r="A70" s="22" t="str">
        <f aca="false">Data!A191</f>
        <v>BANDHANBNK</v>
      </c>
      <c r="B70" s="23" t="n">
        <f aca="false">Data!B191</f>
        <v>173.23</v>
      </c>
      <c r="C70" s="22" t="n">
        <f aca="false">Data!C191</f>
        <v>176.69</v>
      </c>
      <c r="D70" s="22" t="n">
        <f aca="false">Data!D191</f>
        <v>172.85</v>
      </c>
      <c r="E70" s="24" t="n">
        <f aca="false">Data!E191</f>
        <v>-2.03</v>
      </c>
      <c r="F70" s="22" t="n">
        <f aca="false">Data!F191</f>
        <v>4.37</v>
      </c>
      <c r="G70" s="22" t="n">
        <f aca="false">Data!S191</f>
        <v>19.59</v>
      </c>
      <c r="I70" s="22" t="str">
        <f aca="false">IF(AND(C70=Data!G191,E70&gt;0),IF(AND(C70=Data!U191,E70&gt;0),"Buy_ 52W_H","Buy_50D_H"),IF(AND(Data!H191=D70,E70&lt;0),IF(AND(Data!V191=D70,E70&lt;0),"Sell_52W_L ","Sell_50D_L "),""))</f>
        <v/>
      </c>
      <c r="J70" s="22" t="n">
        <f aca="false">RANK(L70,L:L)</f>
        <v>69</v>
      </c>
      <c r="K70" s="22" t="str">
        <f aca="false">IF(Data!R191&gt;=B70,IF(((C70-B70)/(C70-D70))*100&gt;80,"Down"," "),IF(Data!R191&lt;=B70,IF(((B70-D70)/(C70-D70))*100&gt;80,"Up"," ")))</f>
        <v>Down</v>
      </c>
      <c r="L70" s="22" t="n">
        <f aca="false">Data!I191</f>
        <v>80.05</v>
      </c>
      <c r="M70" s="22" t="str">
        <f aca="false">IF(AND(B70&gt;Data!P191,Data!O191&lt;Data!P191),"Buy",IF(AND(B70&lt;Data!P191,Data!O191&gt;Data!P191),"Sell",""))</f>
        <v/>
      </c>
      <c r="N70" s="22" t="n">
        <f aca="false">Data!K191/1000</f>
        <v>2286.727</v>
      </c>
      <c r="O70" s="22" t="n">
        <f aca="false">Data!L191</f>
        <v>0.455</v>
      </c>
      <c r="P70" s="22" t="n">
        <f aca="false">Data!M191</f>
        <v>166.71</v>
      </c>
      <c r="Q70" s="22" t="n">
        <f aca="false">Data!N191</f>
        <v>171.15</v>
      </c>
      <c r="R70" s="22" t="n">
        <f aca="false">Data!J191</f>
        <v>57.55</v>
      </c>
      <c r="S70" s="22" t="str">
        <f aca="false">INDEX(Sector_div!$B$2:$B$227,MATCH(A70,Sector_div!$A$2:$A$227,0))</f>
        <v>bank</v>
      </c>
      <c r="T70" s="26"/>
      <c r="U70" s="27" t="str">
        <f aca="false">CONCATENATE("NSE:",A70,",")</f>
        <v>NSE:BANDHANBNK,</v>
      </c>
      <c r="V70" s="26"/>
      <c r="W70" s="26"/>
      <c r="X70" s="26"/>
      <c r="Y70" s="26"/>
      <c r="Z70" s="26"/>
    </row>
    <row r="71" customFormat="false" ht="15.75" hidden="false" customHeight="true" outlineLevel="0" collapsed="false">
      <c r="A71" s="22" t="str">
        <f aca="false">Data!A116</f>
        <v>LAURUSLABS</v>
      </c>
      <c r="B71" s="23" t="n">
        <f aca="false">Data!B116</f>
        <v>879.1</v>
      </c>
      <c r="C71" s="22" t="n">
        <f aca="false">Data!C116</f>
        <v>895.05</v>
      </c>
      <c r="D71" s="22" t="n">
        <f aca="false">Data!D116</f>
        <v>875.1</v>
      </c>
      <c r="E71" s="24" t="n">
        <f aca="false">Data!E116</f>
        <v>-1.21</v>
      </c>
      <c r="F71" s="22" t="n">
        <f aca="false">Data!F116</f>
        <v>23.28</v>
      </c>
      <c r="G71" s="22" t="n">
        <f aca="false">Data!S116</f>
        <v>4.7</v>
      </c>
      <c r="H71" s="22" t="n">
        <f aca="false">Data!T142*100</f>
        <v>2.5</v>
      </c>
      <c r="I71" s="22" t="str">
        <f aca="false">IF(AND(C71=Data!G116,E71&gt;0),IF(AND(C71=Data!U116,E71&gt;0),"Buy_ 52W_H","Buy_50D_H"),IF(AND(Data!H116=D71,E71&lt;0),IF(AND(Data!V116=D71,E71&lt;0),"Sell_52W_L ","Sell_50D_L "),""))</f>
        <v/>
      </c>
      <c r="J71" s="22" t="n">
        <f aca="false">RANK(L71,L:L)</f>
        <v>70</v>
      </c>
      <c r="K71" s="22" t="str">
        <f aca="false">IF(Data!R116&gt;=B71,IF(((C71-B71)/(C71-D71))*100&gt;80,"Down"," "),IF(Data!R116&lt;=B71,IF(((B71-D71)/(C71-D71))*100&gt;80,"Up"," ")))</f>
        <v> </v>
      </c>
      <c r="L71" s="22" t="n">
        <f aca="false">Data!I116</f>
        <v>79.34</v>
      </c>
      <c r="M71" s="22" t="str">
        <f aca="false">IF(AND(B71&gt;Data!P116,Data!O116&lt;Data!P116),"Buy",IF(AND(B71&lt;Data!P116,Data!O116&gt;Data!P116),"Sell",""))</f>
        <v/>
      </c>
      <c r="N71" s="22" t="n">
        <f aca="false">Data!K116/1000</f>
        <v>1548.015</v>
      </c>
      <c r="O71" s="22" t="n">
        <f aca="false">Data!L116</f>
        <v>1.01</v>
      </c>
      <c r="P71" s="22" t="n">
        <f aca="false">Data!M116</f>
        <v>838.15</v>
      </c>
      <c r="Q71" s="22" t="n">
        <f aca="false">Data!N116</f>
        <v>861.61</v>
      </c>
      <c r="R71" s="22" t="n">
        <f aca="false">Data!J116</f>
        <v>60.4</v>
      </c>
      <c r="S71" s="22" t="str">
        <f aca="false">INDEX(Sector_div!$B$2:$B$227,MATCH(A71,Sector_div!$A$2:$A$227,0))</f>
        <v>Pharma&amp;Healthcare</v>
      </c>
      <c r="T71" s="26"/>
      <c r="U71" s="27" t="str">
        <f aca="false">CONCATENATE("NSE:",A71,",")</f>
        <v>NSE:LAURUSLABS,</v>
      </c>
      <c r="V71" s="26"/>
      <c r="W71" s="26"/>
      <c r="X71" s="26"/>
      <c r="Y71" s="26"/>
      <c r="Z71" s="26"/>
    </row>
    <row r="72" customFormat="false" ht="15.75" hidden="false" customHeight="true" outlineLevel="0" collapsed="false">
      <c r="A72" s="22" t="str">
        <f aca="false">Data!A64</f>
        <v>BHARTIARTL</v>
      </c>
      <c r="B72" s="23" t="n">
        <f aca="false">Data!B64</f>
        <v>1933.3</v>
      </c>
      <c r="C72" s="22" t="n">
        <f aca="false">Data!C64</f>
        <v>1947.7</v>
      </c>
      <c r="D72" s="22" t="n">
        <f aca="false">Data!D64</f>
        <v>1917.4</v>
      </c>
      <c r="E72" s="24" t="n">
        <f aca="false">Data!E64</f>
        <v>0.176</v>
      </c>
      <c r="F72" s="22" t="n">
        <f aca="false">Data!F64</f>
        <v>31.1</v>
      </c>
      <c r="G72" s="22" t="n">
        <f aca="false">Data!S64</f>
        <v>5.5</v>
      </c>
      <c r="H72" s="22" t="n">
        <f aca="false">Data!T58*100</f>
        <v>0.4</v>
      </c>
      <c r="I72" s="22" t="str">
        <f aca="false">IF(AND(C72=Data!G64,E72&gt;0),IF(AND(C72=Data!U64,E72&gt;0),"Buy_ 52W_H","Buy_50D_H"),IF(AND(Data!H64=D72,E72&lt;0),IF(AND(Data!V64=D72,E72&lt;0),"Sell_52W_L ","Sell_50D_L "),""))</f>
        <v/>
      </c>
      <c r="J72" s="22" t="n">
        <f aca="false">RANK(L72,L:L)</f>
        <v>71</v>
      </c>
      <c r="K72" s="22" t="str">
        <f aca="false">IF(Data!R64&gt;=B72,IF(((C72-B72)/(C72-D72))*100&gt;80,"Down"," "),IF(Data!R64&lt;=B72,IF(((B72-D72)/(C72-D72))*100&gt;80,"Up"," ")))</f>
        <v> </v>
      </c>
      <c r="L72" s="22" t="n">
        <f aca="false">Data!I64</f>
        <v>78.37</v>
      </c>
      <c r="M72" s="22" t="str">
        <f aca="false">IF(AND(B72&gt;Data!P64,Data!O64&lt;Data!P64),"Buy",IF(AND(B72&lt;Data!P64,Data!O64&gt;Data!P64),"Sell",""))</f>
        <v/>
      </c>
      <c r="N72" s="22" t="n">
        <f aca="false">Data!K64/1000</f>
        <v>3271.902</v>
      </c>
      <c r="O72" s="22" t="n">
        <f aca="false">Data!L64</f>
        <v>0.969</v>
      </c>
      <c r="P72" s="22" t="n">
        <f aca="false">Data!M64</f>
        <v>1871.25</v>
      </c>
      <c r="Q72" s="22" t="n">
        <f aca="false">Data!N64</f>
        <v>1905.12</v>
      </c>
      <c r="R72" s="22" t="n">
        <f aca="false">Data!J64</f>
        <v>66.2</v>
      </c>
      <c r="S72" s="22" t="str">
        <f aca="false">INDEX(Sector_div!$B$2:$B$227,MATCH(A72,Sector_div!$A$2:$A$227,0))</f>
        <v>telecom</v>
      </c>
      <c r="T72" s="26"/>
      <c r="U72" s="27" t="str">
        <f aca="false">CONCATENATE("NSE:",A72,",")</f>
        <v>NSE:BHARTIARTL,</v>
      </c>
      <c r="V72" s="26"/>
      <c r="W72" s="26"/>
      <c r="X72" s="26"/>
      <c r="Y72" s="26"/>
      <c r="Z72" s="26"/>
    </row>
    <row r="73" customFormat="false" ht="15.75" hidden="false" customHeight="true" outlineLevel="0" collapsed="false">
      <c r="A73" s="22" t="str">
        <f aca="false">Data!A68</f>
        <v>SBILIFE</v>
      </c>
      <c r="B73" s="23" t="n">
        <f aca="false">Data!B68</f>
        <v>1859</v>
      </c>
      <c r="C73" s="22" t="n">
        <f aca="false">Data!C68</f>
        <v>1870</v>
      </c>
      <c r="D73" s="22" t="n">
        <f aca="false">Data!D68</f>
        <v>1849.4</v>
      </c>
      <c r="E73" s="24" t="n">
        <f aca="false">Data!E68</f>
        <v>-0.975</v>
      </c>
      <c r="F73" s="22" t="n">
        <f aca="false">Data!F68</f>
        <v>33.32</v>
      </c>
      <c r="G73" s="22" t="n">
        <f aca="false">Data!S68</f>
        <v>3.98</v>
      </c>
      <c r="H73" s="25" t="n">
        <f aca="false">Data!T69*100</f>
        <v>0.7</v>
      </c>
      <c r="I73" s="22" t="str">
        <f aca="false">IF(AND(C73=Data!G68,E73&gt;0),IF(AND(C73=Data!U68,E73&gt;0),"Buy_ 52W_H","Buy_50D_H"),IF(AND(Data!H68=D73,E73&lt;0),IF(AND(Data!V68=D73,E73&lt;0),"Sell_52W_L ","Sell_50D_L "),""))</f>
        <v/>
      </c>
      <c r="J73" s="22" t="n">
        <f aca="false">RANK(L73,L:L)</f>
        <v>72</v>
      </c>
      <c r="K73" s="22" t="str">
        <f aca="false">IF(Data!R68&gt;=B73,IF(((C73-B73)/(C73-D73))*100&gt;80,"Down"," "),IF(Data!R68&lt;=B73,IF(((B73-D73)/(C73-D73))*100&gt;80,"Up"," ")))</f>
        <v> </v>
      </c>
      <c r="L73" s="22" t="n">
        <f aca="false">Data!I68</f>
        <v>78.35</v>
      </c>
      <c r="M73" s="22" t="str">
        <f aca="false">IF(AND(B73&gt;Data!P68,Data!O68&lt;Data!P68),"Buy",IF(AND(B73&lt;Data!P68,Data!O68&gt;Data!P68),"Sell",""))</f>
        <v/>
      </c>
      <c r="N73" s="22" t="n">
        <f aca="false">Data!K68/1000</f>
        <v>605.936</v>
      </c>
      <c r="O73" s="22" t="n">
        <f aca="false">Data!L68</f>
        <v>0.46</v>
      </c>
      <c r="P73" s="22" t="n">
        <f aca="false">Data!M68</f>
        <v>1812.88</v>
      </c>
      <c r="Q73" s="22" t="n">
        <f aca="false">Data!N68</f>
        <v>1847.07</v>
      </c>
      <c r="R73" s="22" t="n">
        <f aca="false">Data!J68</f>
        <v>54.41</v>
      </c>
      <c r="S73" s="22" t="str">
        <f aca="false">INDEX(Sector_div!$B$2:$B$227,MATCH(A73,Sector_div!$A$2:$A$227,0))</f>
        <v>insurance</v>
      </c>
      <c r="T73" s="26"/>
      <c r="U73" s="27" t="str">
        <f aca="false">CONCATENATE("NSE:",A73,",")</f>
        <v>NSE:SBILIFE,</v>
      </c>
      <c r="V73" s="26"/>
      <c r="W73" s="26"/>
      <c r="X73" s="26"/>
      <c r="Y73" s="26"/>
      <c r="Z73" s="26"/>
    </row>
    <row r="74" customFormat="false" ht="15.75" hidden="false" customHeight="true" outlineLevel="0" collapsed="false">
      <c r="A74" s="22" t="str">
        <f aca="false">Data!A149</f>
        <v>DELHIVERY</v>
      </c>
      <c r="B74" s="23" t="n">
        <f aca="false">Data!B149</f>
        <v>473.6</v>
      </c>
      <c r="C74" s="22" t="n">
        <f aca="false">Data!C149</f>
        <v>475.9</v>
      </c>
      <c r="D74" s="22" t="n">
        <f aca="false">Data!D149</f>
        <v>468.5</v>
      </c>
      <c r="E74" s="24" t="n">
        <f aca="false">Data!E149</f>
        <v>0.35</v>
      </c>
      <c r="F74" s="22" t="n">
        <f aca="false">Data!F149</f>
        <v>10.7</v>
      </c>
      <c r="G74" s="22" t="n">
        <f aca="false">Data!S149</f>
        <v>0.869</v>
      </c>
      <c r="H74" s="22" t="n">
        <f aca="false">Data!T98*100</f>
        <v>1</v>
      </c>
      <c r="I74" s="22" t="str">
        <f aca="false">IF(AND(C74=Data!G149,E74&gt;0),IF(AND(C74=Data!U149,E74&gt;0),"Buy_ 52W_H","Buy_50D_H"),IF(AND(Data!H149=D74,E74&lt;0),IF(AND(Data!V149=D74,E74&lt;0),"Sell_52W_L ","Sell_50D_L "),""))</f>
        <v/>
      </c>
      <c r="J74" s="22" t="n">
        <f aca="false">RANK(L74,L:L)</f>
        <v>73</v>
      </c>
      <c r="K74" s="22" t="str">
        <f aca="false">IF(Data!R149&gt;=B74,IF(((C74-B74)/(C74-D74))*100&gt;80,"Down"," "),IF(Data!R149&lt;=B74,IF(((B74-D74)/(C74-D74))*100&gt;80,"Up"," ")))</f>
        <v> </v>
      </c>
      <c r="L74" s="22" t="n">
        <f aca="false">Data!I149</f>
        <v>77.06</v>
      </c>
      <c r="M74" s="22" t="str">
        <f aca="false">IF(AND(B74&gt;Data!P149,Data!O149&lt;Data!P149),"Buy",IF(AND(B74&lt;Data!P149,Data!O149&gt;Data!P149),"Sell",""))</f>
        <v/>
      </c>
      <c r="N74" s="22" t="n">
        <f aca="false">Data!K149/1000</f>
        <v>1833.853</v>
      </c>
      <c r="O74" s="22" t="n">
        <f aca="false">Data!L149</f>
        <v>0.538</v>
      </c>
      <c r="P74" s="22" t="n">
        <f aca="false">Data!M149</f>
        <v>450.45</v>
      </c>
      <c r="Q74" s="22" t="n">
        <f aca="false">Data!N149</f>
        <v>462.16</v>
      </c>
      <c r="R74" s="22" t="n">
        <f aca="false">Data!J149</f>
        <v>72.43</v>
      </c>
      <c r="S74" s="22" t="str">
        <f aca="false">INDEX(Sector_div!$B$2:$B$227,MATCH(A74,Sector_div!$A$2:$A$227,0))</f>
        <v>logistics</v>
      </c>
      <c r="T74" s="26"/>
      <c r="U74" s="27" t="str">
        <f aca="false">CONCATENATE("NSE:",A74,",")</f>
        <v>NSE:DELHIVERY,</v>
      </c>
      <c r="V74" s="26"/>
      <c r="W74" s="26"/>
      <c r="X74" s="26"/>
      <c r="Y74" s="26"/>
      <c r="Z74" s="26"/>
    </row>
    <row r="75" customFormat="false" ht="15.75" hidden="false" customHeight="true" outlineLevel="0" collapsed="false">
      <c r="A75" s="22" t="str">
        <f aca="false">Data!A105</f>
        <v>360ONE</v>
      </c>
      <c r="B75" s="23" t="n">
        <f aca="false">Data!B105</f>
        <v>1077.6</v>
      </c>
      <c r="C75" s="22" t="n">
        <f aca="false">Data!C105</f>
        <v>1088.4</v>
      </c>
      <c r="D75" s="22" t="n">
        <f aca="false">Data!D105</f>
        <v>1070.2</v>
      </c>
      <c r="E75" s="24" t="n">
        <f aca="false">Data!E105</f>
        <v>-0.37</v>
      </c>
      <c r="F75" s="22" t="n">
        <f aca="false">Data!F105</f>
        <v>27.68</v>
      </c>
      <c r="G75" s="22" t="n">
        <f aca="false">Data!S105</f>
        <v>18.24</v>
      </c>
      <c r="H75" s="25" t="n">
        <f aca="false">Data!T83*100</f>
        <v>0.9</v>
      </c>
      <c r="I75" s="22" t="str">
        <f aca="false">IF(AND(C75=Data!G105,E75&gt;0),IF(AND(C75=Data!U105,E75&gt;0),"Buy_ 52W_H","Buy_50D_H"),IF(AND(Data!H105=D75,E75&lt;0),IF(AND(Data!V105=D75,E75&lt;0),"Sell_52W_L ","Sell_50D_L "),""))</f>
        <v/>
      </c>
      <c r="J75" s="22" t="n">
        <f aca="false">RANK(L75,L:L)</f>
        <v>74</v>
      </c>
      <c r="K75" s="22" t="str">
        <f aca="false">IF(Data!R105&gt;=B75,IF(((C75-B75)/(C75-D75))*100&gt;80,"Down"," "),IF(Data!R105&lt;=B75,IF(((B75-D75)/(C75-D75))*100&gt;80,"Up"," ")))</f>
        <v> </v>
      </c>
      <c r="L75" s="22" t="n">
        <f aca="false">Data!I105</f>
        <v>76.94</v>
      </c>
      <c r="M75" s="22" t="str">
        <f aca="false">IF(AND(B75&gt;Data!P105,Data!O105&lt;Data!P105),"Buy",IF(AND(B75&lt;Data!P105,Data!O105&gt;Data!P105),"Sell",""))</f>
        <v/>
      </c>
      <c r="N75" s="22" t="n">
        <f aca="false">Data!K105/1000</f>
        <v>742.717</v>
      </c>
      <c r="O75" s="22" t="n">
        <f aca="false">Data!L105</f>
        <v>1.39</v>
      </c>
      <c r="P75" s="22" t="n">
        <f aca="false">Data!M105</f>
        <v>1030.15</v>
      </c>
      <c r="Q75" s="22" t="n">
        <f aca="false">Data!N105</f>
        <v>1059.65</v>
      </c>
      <c r="R75" s="22" t="n">
        <f aca="false">Data!J105</f>
        <v>54.03</v>
      </c>
      <c r="S75" s="22" t="e">
        <f aca="false">INDEX(Sector_div!$B$2:$B$227,MATCH(A75,Sector_div!$A$2:$A$227,0))</f>
        <v>#N/A</v>
      </c>
      <c r="T75" s="26"/>
      <c r="U75" s="27" t="str">
        <f aca="false">CONCATENATE("NSE:",A75,",")</f>
        <v>NSE:360ONE,</v>
      </c>
      <c r="V75" s="26"/>
      <c r="W75" s="26"/>
      <c r="X75" s="26"/>
      <c r="Y75" s="26"/>
      <c r="Z75" s="26"/>
    </row>
    <row r="76" customFormat="false" ht="15.75" hidden="false" customHeight="true" outlineLevel="0" collapsed="false">
      <c r="A76" s="22" t="str">
        <f aca="false">Data!A93</f>
        <v>DRREDDY</v>
      </c>
      <c r="B76" s="23" t="n">
        <f aca="false">Data!B93</f>
        <v>1277.6</v>
      </c>
      <c r="C76" s="22" t="n">
        <f aca="false">Data!C93</f>
        <v>1284.1</v>
      </c>
      <c r="D76" s="22" t="n">
        <f aca="false">Data!D93</f>
        <v>1265.6</v>
      </c>
      <c r="E76" s="24" t="n">
        <f aca="false">Data!E93</f>
        <v>0.078</v>
      </c>
      <c r="F76" s="22" t="n">
        <f aca="false">Data!F93</f>
        <v>25.24</v>
      </c>
      <c r="G76" s="22" t="n">
        <f aca="false">Data!S93</f>
        <v>9.71</v>
      </c>
      <c r="H76" s="22" t="n">
        <f aca="false">Data!T16*100</f>
        <v>0.6</v>
      </c>
      <c r="I76" s="22" t="str">
        <f aca="false">IF(AND(C76=Data!G93,E76&gt;0),IF(AND(C76=Data!U93,E76&gt;0),"Buy_ 52W_H","Buy_50D_H"),IF(AND(Data!H93=D76,E76&lt;0),IF(AND(Data!V93=D76,E76&lt;0),"Sell_52W_L ","Sell_50D_L "),""))</f>
        <v/>
      </c>
      <c r="J76" s="22" t="n">
        <f aca="false">RANK(L76,L:L)</f>
        <v>75</v>
      </c>
      <c r="K76" s="22" t="str">
        <f aca="false">IF(Data!R93&gt;=B76,IF(((C76-B76)/(C76-D76))*100&gt;80,"Down"," "),IF(Data!R93&lt;=B76,IF(((B76-D76)/(C76-D76))*100&gt;80,"Up"," ")))</f>
        <v> </v>
      </c>
      <c r="L76" s="22" t="n">
        <f aca="false">Data!I93</f>
        <v>75.68</v>
      </c>
      <c r="M76" s="22" t="str">
        <f aca="false">IF(AND(B76&gt;Data!P93,Data!O93&lt;Data!P93),"Buy",IF(AND(B76&lt;Data!P93,Data!O93&gt;Data!P93),"Sell",""))</f>
        <v/>
      </c>
      <c r="N76" s="22" t="n">
        <f aca="false">Data!K93/1000</f>
        <v>1229.919</v>
      </c>
      <c r="O76" s="22" t="n">
        <f aca="false">Data!L93</f>
        <v>0.612</v>
      </c>
      <c r="P76" s="22" t="n">
        <f aca="false">Data!M93</f>
        <v>1224.24</v>
      </c>
      <c r="Q76" s="22" t="n">
        <f aca="false">Data!N93</f>
        <v>1249.54</v>
      </c>
      <c r="R76" s="22" t="n">
        <f aca="false">Data!J93</f>
        <v>68.04</v>
      </c>
      <c r="S76" s="22" t="str">
        <f aca="false">INDEX(Sector_div!$B$2:$B$227,MATCH(A76,Sector_div!$A$2:$A$227,0))</f>
        <v>Pharma&amp;Healthcare</v>
      </c>
      <c r="T76" s="26"/>
      <c r="U76" s="27" t="str">
        <f aca="false">CONCATENATE("NSE:",A76,",")</f>
        <v>NSE:DRREDDY,</v>
      </c>
      <c r="V76" s="26"/>
      <c r="W76" s="26"/>
      <c r="X76" s="26"/>
      <c r="Y76" s="26"/>
      <c r="Z76" s="26"/>
    </row>
    <row r="77" customFormat="false" ht="15.75" hidden="false" customHeight="true" outlineLevel="0" collapsed="false">
      <c r="A77" s="22" t="str">
        <f aca="false">Data!A61</f>
        <v>LUPIN</v>
      </c>
      <c r="B77" s="23" t="n">
        <f aca="false">Data!B61</f>
        <v>1974.7</v>
      </c>
      <c r="C77" s="22" t="n">
        <f aca="false">Data!C61</f>
        <v>1978.8</v>
      </c>
      <c r="D77" s="22" t="n">
        <f aca="false">Data!D61</f>
        <v>1962.5</v>
      </c>
      <c r="E77" s="24" t="n">
        <f aca="false">Data!E61</f>
        <v>0.622</v>
      </c>
      <c r="F77" s="22" t="n">
        <f aca="false">Data!F61</f>
        <v>39.39</v>
      </c>
      <c r="G77" s="22" t="n">
        <f aca="false">Data!S61</f>
        <v>17.82</v>
      </c>
      <c r="H77" s="22" t="n">
        <f aca="false">Data!T18*100</f>
        <v>0.6</v>
      </c>
      <c r="I77" s="22" t="str">
        <f aca="false">IF(AND(C77=Data!G61,E77&gt;0),IF(AND(C77=Data!U61,E77&gt;0),"Buy_ 52W_H","Buy_50D_H"),IF(AND(Data!H61=D77,E77&lt;0),IF(AND(Data!V61=D77,E77&lt;0),"Sell_52W_L ","Sell_50D_L "),""))</f>
        <v/>
      </c>
      <c r="J77" s="22" t="n">
        <f aca="false">RANK(L77,L:L)</f>
        <v>76</v>
      </c>
      <c r="K77" s="22" t="str">
        <f aca="false">IF(Data!R61&gt;=B77,IF(((C77-B77)/(C77-D77))*100&gt;80,"Down"," "),IF(Data!R61&lt;=B77,IF(((B77-D77)/(C77-D77))*100&gt;80,"Up"," ")))</f>
        <v> </v>
      </c>
      <c r="L77" s="22" t="n">
        <f aca="false">Data!I61</f>
        <v>72.38</v>
      </c>
      <c r="M77" s="22" t="str">
        <f aca="false">IF(AND(B77&gt;Data!P61,Data!O61&lt;Data!P61),"Buy",IF(AND(B77&lt;Data!P61,Data!O61&gt;Data!P61),"Sell",""))</f>
        <v/>
      </c>
      <c r="N77" s="22" t="n">
        <f aca="false">Data!K61/1000</f>
        <v>380.574</v>
      </c>
      <c r="O77" s="22" t="n">
        <f aca="false">Data!L61</f>
        <v>0.337</v>
      </c>
      <c r="P77" s="22" t="n">
        <f aca="false">Data!M61</f>
        <v>1888.79</v>
      </c>
      <c r="Q77" s="22" t="n">
        <f aca="false">Data!N61</f>
        <v>1934.74</v>
      </c>
      <c r="R77" s="22" t="n">
        <f aca="false">Data!J61</f>
        <v>59.26</v>
      </c>
      <c r="S77" s="22" t="str">
        <f aca="false">INDEX(Sector_div!$B$2:$B$227,MATCH(A77,Sector_div!$A$2:$A$227,0))</f>
        <v>Pharma&amp;Healthcare</v>
      </c>
      <c r="T77" s="26"/>
      <c r="U77" s="27" t="str">
        <f aca="false">CONCATENATE("NSE:",A77,",")</f>
        <v>NSE:LUPIN,</v>
      </c>
      <c r="V77" s="26"/>
      <c r="W77" s="26"/>
      <c r="X77" s="26"/>
      <c r="Y77" s="26"/>
      <c r="Z77" s="26"/>
    </row>
    <row r="78" customFormat="false" ht="15.75" hidden="false" customHeight="true" outlineLevel="0" collapsed="false">
      <c r="A78" s="22" t="str">
        <f aca="false">Data!A113</f>
        <v>FORTIS</v>
      </c>
      <c r="B78" s="23" t="n">
        <f aca="false">Data!B113</f>
        <v>934.4</v>
      </c>
      <c r="C78" s="22" t="n">
        <f aca="false">Data!C113</f>
        <v>947</v>
      </c>
      <c r="D78" s="22" t="n">
        <f aca="false">Data!D113</f>
        <v>932.1</v>
      </c>
      <c r="E78" s="24" t="n">
        <f aca="false">Data!E113</f>
        <v>-1.39</v>
      </c>
      <c r="F78" s="22" t="n">
        <f aca="false">Data!F113</f>
        <v>20.69</v>
      </c>
      <c r="G78" s="22" t="n">
        <f aca="false">Data!S113</f>
        <v>3.77</v>
      </c>
      <c r="H78" s="25" t="n">
        <f aca="false">Data!T87*100</f>
        <v>1.5</v>
      </c>
      <c r="I78" s="22" t="str">
        <f aca="false">IF(AND(C78=Data!G113,E78&gt;0),IF(AND(C78=Data!U113,E78&gt;0),"Buy_ 52W_H","Buy_50D_H"),IF(AND(Data!H113=D78,E78&lt;0),IF(AND(Data!V113=D78,E78&lt;0),"Sell_52W_L ","Sell_50D_L "),""))</f>
        <v/>
      </c>
      <c r="J78" s="22" t="n">
        <f aca="false">RANK(L78,L:L)</f>
        <v>77</v>
      </c>
      <c r="K78" s="22" t="str">
        <f aca="false">IF(Data!R113&gt;=B78,IF(((C78-B78)/(C78-D78))*100&gt;80,"Down"," "),IF(Data!R113&lt;=B78,IF(((B78-D78)/(C78-D78))*100&gt;80,"Up"," ")))</f>
        <v>Down</v>
      </c>
      <c r="L78" s="22" t="n">
        <f aca="false">Data!I113</f>
        <v>71.41</v>
      </c>
      <c r="M78" s="22" t="str">
        <f aca="false">IF(AND(B78&gt;Data!P113,Data!O113&lt;Data!P113),"Buy",IF(AND(B78&lt;Data!P113,Data!O113&gt;Data!P113),"Sell",""))</f>
        <v/>
      </c>
      <c r="N78" s="22" t="n">
        <f aca="false">Data!K113/1000</f>
        <v>1777.906</v>
      </c>
      <c r="O78" s="22" t="n">
        <f aca="false">Data!L113</f>
        <v>0.873</v>
      </c>
      <c r="P78" s="22" t="n">
        <f aca="false">Data!M113</f>
        <v>915.28</v>
      </c>
      <c r="Q78" s="22" t="n">
        <f aca="false">Data!N113</f>
        <v>960.35</v>
      </c>
      <c r="R78" s="22" t="n">
        <f aca="false">Data!J113</f>
        <v>58.7</v>
      </c>
      <c r="S78" s="22" t="e">
        <f aca="false">INDEX(Sector_div!$B$2:$B$227,MATCH(A78,Sector_div!$A$2:$A$227,0))</f>
        <v>#N/A</v>
      </c>
      <c r="T78" s="26"/>
      <c r="U78" s="27" t="str">
        <f aca="false">CONCATENATE("NSE:",A78,",")</f>
        <v>NSE:FORTIS,</v>
      </c>
      <c r="V78" s="26"/>
      <c r="W78" s="26"/>
      <c r="X78" s="26"/>
      <c r="Y78" s="26"/>
      <c r="Z78" s="26"/>
    </row>
    <row r="79" customFormat="false" ht="15.75" hidden="false" customHeight="true" outlineLevel="0" collapsed="false">
      <c r="A79" s="22" t="str">
        <f aca="false">Data!A135</f>
        <v>INDIANB</v>
      </c>
      <c r="B79" s="23" t="n">
        <f aca="false">Data!B135</f>
        <v>670.25</v>
      </c>
      <c r="C79" s="22" t="n">
        <f aca="false">Data!C135</f>
        <v>674.4</v>
      </c>
      <c r="D79" s="22" t="n">
        <f aca="false">Data!D135</f>
        <v>666.2</v>
      </c>
      <c r="E79" s="24" t="n">
        <f aca="false">Data!E135</f>
        <v>-0.089</v>
      </c>
      <c r="F79" s="22" t="n">
        <f aca="false">Data!F135</f>
        <v>11.64</v>
      </c>
      <c r="G79" s="22" t="n">
        <f aca="false">Data!S135</f>
        <v>1.88</v>
      </c>
      <c r="H79" s="22" t="n">
        <f aca="false">Data!T50*100</f>
        <v>0.7</v>
      </c>
      <c r="I79" s="22" t="str">
        <f aca="false">IF(AND(C79=Data!G135,E79&gt;0),IF(AND(C79=Data!U135,E79&gt;0),"Buy_ 52W_H","Buy_50D_H"),IF(AND(Data!H135=D79,E79&lt;0),IF(AND(Data!V135=D79,E79&lt;0),"Sell_52W_L ","Sell_50D_L "),""))</f>
        <v/>
      </c>
      <c r="J79" s="22" t="n">
        <f aca="false">RANK(L79,L:L)</f>
        <v>78</v>
      </c>
      <c r="K79" s="22" t="str">
        <f aca="false">IF(Data!R135&gt;=B79,IF(((C79-B79)/(C79-D79))*100&gt;80,"Down"," "),IF(Data!R135&lt;=B79,IF(((B79-D79)/(C79-D79))*100&gt;80,"Up"," ")))</f>
        <v> </v>
      </c>
      <c r="L79" s="22" t="n">
        <f aca="false">Data!I135</f>
        <v>70.93</v>
      </c>
      <c r="M79" s="22" t="str">
        <f aca="false">IF(AND(B79&gt;Data!P135,Data!O135&lt;Data!P135),"Buy",IF(AND(B79&lt;Data!P135,Data!O135&gt;Data!P135),"Sell",""))</f>
        <v/>
      </c>
      <c r="N79" s="22" t="n">
        <f aca="false">Data!K135/1000</f>
        <v>805.749</v>
      </c>
      <c r="O79" s="22" t="n">
        <f aca="false">Data!L135</f>
        <v>1.44</v>
      </c>
      <c r="P79" s="22" t="n">
        <f aca="false">Data!M135</f>
        <v>647.15</v>
      </c>
      <c r="Q79" s="22" t="n">
        <f aca="false">Data!N135</f>
        <v>661.35</v>
      </c>
      <c r="R79" s="22" t="n">
        <f aca="false">Data!J135</f>
        <v>64.26</v>
      </c>
      <c r="S79" s="22" t="str">
        <f aca="false">INDEX(Sector_div!$B$2:$B$227,MATCH(A79,Sector_div!$A$2:$A$227,0))</f>
        <v>bank</v>
      </c>
      <c r="T79" s="26"/>
      <c r="U79" s="27" t="str">
        <f aca="false">CONCATENATE("NSE:",A79,",")</f>
        <v>NSE:INDIANB,</v>
      </c>
      <c r="V79" s="26"/>
      <c r="W79" s="26"/>
      <c r="X79" s="26"/>
      <c r="Y79" s="26"/>
      <c r="Z79" s="26"/>
    </row>
    <row r="80" customFormat="false" ht="15.75" hidden="false" customHeight="true" outlineLevel="0" collapsed="false">
      <c r="A80" s="22" t="str">
        <f aca="false">Data!A109</f>
        <v>JINDALSTEL</v>
      </c>
      <c r="B80" s="23" t="n">
        <f aca="false">Data!B109</f>
        <v>997.25</v>
      </c>
      <c r="C80" s="22" t="n">
        <f aca="false">Data!C109</f>
        <v>1010.75</v>
      </c>
      <c r="D80" s="22" t="n">
        <f aca="false">Data!D109</f>
        <v>993.8</v>
      </c>
      <c r="E80" s="24" t="n">
        <f aca="false">Data!E109</f>
        <v>-1.28</v>
      </c>
      <c r="F80" s="22" t="n">
        <f aca="false">Data!F109</f>
        <v>22.31</v>
      </c>
      <c r="G80" s="22" t="n">
        <f aca="false">Data!S109</f>
        <v>7.12</v>
      </c>
      <c r="H80" s="25" t="n">
        <f aca="false">Data!T163*100</f>
        <v>1.8</v>
      </c>
      <c r="I80" s="22" t="str">
        <f aca="false">IF(AND(C80=Data!G109,E80&gt;0),IF(AND(C80=Data!U109,E80&gt;0),"Buy_ 52W_H","Buy_50D_H"),IF(AND(Data!H109=D80,E80&lt;0),IF(AND(Data!V109=D80,E80&lt;0),"Sell_52W_L ","Sell_50D_L "),""))</f>
        <v/>
      </c>
      <c r="J80" s="22" t="n">
        <f aca="false">RANK(L80,L:L)</f>
        <v>79</v>
      </c>
      <c r="K80" s="22" t="str">
        <f aca="false">IF(Data!R109&gt;=B80,IF(((C80-B80)/(C80-D80))*100&gt;80,"Down"," "),IF(Data!R109&lt;=B80,IF(((B80-D80)/(C80-D80))*100&gt;80,"Up"," ")))</f>
        <v> </v>
      </c>
      <c r="L80" s="22" t="n">
        <f aca="false">Data!I109</f>
        <v>70.31</v>
      </c>
      <c r="M80" s="22" t="str">
        <f aca="false">IF(AND(B80&gt;Data!P109,Data!O109&lt;Data!P109),"Buy",IF(AND(B80&lt;Data!P109,Data!O109&gt;Data!P109),"Sell",""))</f>
        <v/>
      </c>
      <c r="N80" s="22" t="n">
        <f aca="false">Data!K109/1000</f>
        <v>1818.097</v>
      </c>
      <c r="O80" s="22" t="n">
        <f aca="false">Data!L109</f>
        <v>0.597</v>
      </c>
      <c r="P80" s="22" t="n">
        <f aca="false">Data!M109</f>
        <v>966.41</v>
      </c>
      <c r="Q80" s="22" t="n">
        <f aca="false">Data!N109</f>
        <v>989.59</v>
      </c>
      <c r="R80" s="22" t="n">
        <f aca="false">Data!J109</f>
        <v>51.64</v>
      </c>
      <c r="S80" s="22" t="str">
        <f aca="false">INDEX(Sector_div!$B$2:$B$227,MATCH(A80,Sector_div!$A$2:$A$227,0))</f>
        <v>metals</v>
      </c>
      <c r="T80" s="26"/>
      <c r="U80" s="27" t="str">
        <f aca="false">CONCATENATE("NSE:",A80,",")</f>
        <v>NSE:JINDALSTEL,</v>
      </c>
      <c r="V80" s="26"/>
      <c r="W80" s="26"/>
      <c r="X80" s="26"/>
      <c r="Y80" s="26"/>
      <c r="Z80" s="26"/>
    </row>
    <row r="81" customFormat="false" ht="15.75" hidden="false" customHeight="true" outlineLevel="0" collapsed="false">
      <c r="A81" s="22" t="str">
        <f aca="false">Data!A9</f>
        <v>OFSS</v>
      </c>
      <c r="B81" s="23" t="n">
        <f aca="false">Data!B9</f>
        <v>8624</v>
      </c>
      <c r="C81" s="22" t="n">
        <f aca="false">Data!C9</f>
        <v>8744</v>
      </c>
      <c r="D81" s="22" t="n">
        <f aca="false">Data!D9</f>
        <v>8610</v>
      </c>
      <c r="E81" s="24" t="n">
        <f aca="false">Data!E9</f>
        <v>-0.862</v>
      </c>
      <c r="F81" s="22" t="n">
        <f aca="false">Data!F9</f>
        <v>179.35</v>
      </c>
      <c r="G81" s="22" t="n">
        <f aca="false">Data!S9</f>
        <v>34.77</v>
      </c>
      <c r="H81" s="25" t="n">
        <f aca="false">Data!T89*100</f>
        <v>1.2</v>
      </c>
      <c r="I81" s="22" t="str">
        <f aca="false">IF(AND(C81=Data!G9,E81&gt;0),IF(AND(C81=Data!U9,E81&gt;0),"Buy_ 52W_H","Buy_50D_H"),IF(AND(Data!H9=D81,E81&lt;0),IF(AND(Data!V9=D81,E81&lt;0),"Sell_52W_L ","Sell_50D_L "),""))</f>
        <v/>
      </c>
      <c r="J81" s="22" t="n">
        <f aca="false">RANK(L81,L:L)</f>
        <v>80</v>
      </c>
      <c r="K81" s="22" t="str">
        <f aca="false">IF(Data!R9&gt;=B81,IF(((C81-B81)/(C81-D81))*100&gt;80,"Down"," "),IF(Data!R9&lt;=B81,IF(((B81-D81)/(C81-D81))*100&gt;80,"Up"," ")))</f>
        <v>Down</v>
      </c>
      <c r="L81" s="22" t="n">
        <f aca="false">Data!I9</f>
        <v>69.7</v>
      </c>
      <c r="M81" s="22" t="str">
        <f aca="false">IF(AND(B81&gt;Data!P9,Data!O9&lt;Data!P9),"Buy",IF(AND(B81&lt;Data!P9,Data!O9&gt;Data!P9),"Sell",""))</f>
        <v/>
      </c>
      <c r="N81" s="22" t="n">
        <f aca="false">Data!K9/1000</f>
        <v>34.763</v>
      </c>
      <c r="O81" s="22" t="n">
        <f aca="false">Data!L9</f>
        <v>0.345</v>
      </c>
      <c r="P81" s="22" t="n">
        <f aca="false">Data!M9</f>
        <v>8782.37</v>
      </c>
      <c r="Q81" s="22" t="n">
        <f aca="false">Data!N9</f>
        <v>8583.19</v>
      </c>
      <c r="R81" s="22" t="n">
        <f aca="false">Data!J9</f>
        <v>51.37</v>
      </c>
      <c r="S81" s="22" t="str">
        <f aca="false">INDEX(Sector_div!$B$2:$B$227,MATCH(A81,Sector_div!$A$2:$A$227,0))</f>
        <v>i.t</v>
      </c>
      <c r="T81" s="26"/>
      <c r="U81" s="27" t="str">
        <f aca="false">CONCATENATE("NSE:",A81,",")</f>
        <v>NSE:OFSS,</v>
      </c>
      <c r="V81" s="26"/>
      <c r="W81" s="26"/>
      <c r="X81" s="26"/>
      <c r="Y81" s="26"/>
      <c r="Z81" s="26"/>
    </row>
    <row r="82" customFormat="false" ht="15.75" hidden="false" customHeight="true" outlineLevel="0" collapsed="false">
      <c r="A82" s="22" t="str">
        <f aca="false">Data!A117</f>
        <v>TITAGARH</v>
      </c>
      <c r="B82" s="23" t="n">
        <f aca="false">Data!B117</f>
        <v>858.85</v>
      </c>
      <c r="C82" s="22" t="n">
        <f aca="false">Data!C117</f>
        <v>885.5</v>
      </c>
      <c r="D82" s="22" t="n">
        <f aca="false">Data!D117</f>
        <v>843.15</v>
      </c>
      <c r="E82" s="24" t="n">
        <f aca="false">Data!E117</f>
        <v>0.439</v>
      </c>
      <c r="F82" s="22" t="n">
        <f aca="false">Data!F117</f>
        <v>28.49</v>
      </c>
      <c r="G82" s="22" t="n">
        <f aca="false">Data!S117</f>
        <v>43.12</v>
      </c>
      <c r="H82" s="25" t="n">
        <f aca="false">Data!T111*100</f>
        <v>2.2</v>
      </c>
      <c r="I82" s="22" t="str">
        <f aca="false">IF(AND(C82=Data!G117,E82&gt;0),IF(AND(C82=Data!U117,E82&gt;0),"Buy_ 52W_H","Buy_50D_H"),IF(AND(Data!H117=D82,E82&lt;0),IF(AND(Data!V117=D82,E82&lt;0),"Sell_52W_L ","Sell_50D_L "),""))</f>
        <v/>
      </c>
      <c r="J82" s="22" t="n">
        <f aca="false">RANK(L82,L:L)</f>
        <v>81</v>
      </c>
      <c r="K82" s="22" t="str">
        <f aca="false">IF(Data!R117&gt;=B82,IF(((C82-B82)/(C82-D82))*100&gt;80,"Down"," "),IF(Data!R117&lt;=B82,IF(((B82-D82)/(C82-D82))*100&gt;80,"Up"," ")))</f>
        <v> </v>
      </c>
      <c r="L82" s="22" t="n">
        <f aca="false">Data!I117</f>
        <v>69.52</v>
      </c>
      <c r="M82" s="22" t="str">
        <f aca="false">IF(AND(B82&gt;Data!P117,Data!O117&lt;Data!P117),"Buy",IF(AND(B82&lt;Data!P117,Data!O117&gt;Data!P117),"Sell",""))</f>
        <v/>
      </c>
      <c r="N82" s="22" t="n">
        <f aca="false">Data!K117/1000</f>
        <v>5859.451</v>
      </c>
      <c r="O82" s="22" t="n">
        <f aca="false">Data!L117</f>
        <v>2.92</v>
      </c>
      <c r="P82" s="22" t="n">
        <f aca="false">Data!M117</f>
        <v>807.11</v>
      </c>
      <c r="Q82" s="22" t="n">
        <f aca="false">Data!N117</f>
        <v>835.72</v>
      </c>
      <c r="R82" s="22" t="n">
        <f aca="false">Data!J117</f>
        <v>62.81</v>
      </c>
      <c r="S82" s="22" t="str">
        <f aca="false">INDEX(Sector_div!$B$2:$B$227,MATCH(A82,Sector_div!$A$2:$A$227,0))</f>
        <v>railway</v>
      </c>
      <c r="T82" s="26"/>
      <c r="U82" s="27" t="str">
        <f aca="false">CONCATENATE("NSE:",A82,",")</f>
        <v>NSE:TITAGARH,</v>
      </c>
      <c r="V82" s="26"/>
      <c r="W82" s="26"/>
      <c r="X82" s="26"/>
      <c r="Y82" s="26"/>
      <c r="Z82" s="26"/>
    </row>
    <row r="83" customFormat="false" ht="15.75" hidden="false" customHeight="true" outlineLevel="0" collapsed="false">
      <c r="A83" s="22" t="str">
        <f aca="false">Data!A148</f>
        <v>VBL</v>
      </c>
      <c r="B83" s="23" t="n">
        <f aca="false">Data!B148</f>
        <v>516.6</v>
      </c>
      <c r="C83" s="22" t="n">
        <f aca="false">Data!C148</f>
        <v>523.2</v>
      </c>
      <c r="D83" s="22" t="n">
        <f aca="false">Data!D148</f>
        <v>506.1</v>
      </c>
      <c r="E83" s="24" t="n">
        <f aca="false">Data!E148</f>
        <v>-0.126</v>
      </c>
      <c r="F83" s="22" t="n">
        <f aca="false">Data!F148</f>
        <v>13.45</v>
      </c>
      <c r="G83" s="22" t="n">
        <f aca="false">Data!S148</f>
        <v>22.66</v>
      </c>
      <c r="H83" s="25" t="n">
        <f aca="false">Data!T11*100</f>
        <v>0.6</v>
      </c>
      <c r="I83" s="22" t="str">
        <f aca="false">IF(AND(C83=Data!G148,E83&gt;0),IF(AND(C83=Data!U148,E83&gt;0),"Buy_ 52W_H","Buy_50D_H"),IF(AND(Data!H148=D83,E83&lt;0),IF(AND(Data!V148=D83,E83&lt;0),"Sell_52W_L ","Sell_50D_L "),""))</f>
        <v/>
      </c>
      <c r="J83" s="22" t="n">
        <f aca="false">RANK(L83,L:L)</f>
        <v>82</v>
      </c>
      <c r="K83" s="22" t="str">
        <f aca="false">IF(Data!R148&gt;=B83,IF(((C83-B83)/(C83-D83))*100&gt;80,"Down"," "),IF(Data!R148&lt;=B83,IF(((B83-D83)/(C83-D83))*100&gt;80,"Up"," ")))</f>
        <v> </v>
      </c>
      <c r="L83" s="22" t="n">
        <f aca="false">Data!I148</f>
        <v>67.79</v>
      </c>
      <c r="M83" s="22" t="str">
        <f aca="false">IF(AND(B83&gt;Data!P148,Data!O148&lt;Data!P148),"Buy",IF(AND(B83&lt;Data!P148,Data!O148&gt;Data!P148),"Sell",""))</f>
        <v/>
      </c>
      <c r="N83" s="22" t="n">
        <f aca="false">Data!K148/1000</f>
        <v>5460.238</v>
      </c>
      <c r="O83" s="22" t="n">
        <f aca="false">Data!L148</f>
        <v>1.67</v>
      </c>
      <c r="P83" s="22" t="n">
        <f aca="false">Data!M148</f>
        <v>522.96</v>
      </c>
      <c r="Q83" s="22" t="n">
        <f aca="false">Data!N148</f>
        <v>505.98</v>
      </c>
      <c r="R83" s="22" t="n">
        <f aca="false">Data!J148</f>
        <v>62.69</v>
      </c>
      <c r="S83" s="22" t="str">
        <f aca="false">INDEX(Sector_div!$B$2:$B$227,MATCH(A83,Sector_div!$A$2:$A$227,0))</f>
        <v>fmcg</v>
      </c>
      <c r="T83" s="26"/>
      <c r="U83" s="27" t="str">
        <f aca="false">CONCATENATE("NSE:",A83,",")</f>
        <v>NSE:VBL,</v>
      </c>
      <c r="V83" s="26"/>
      <c r="W83" s="26"/>
      <c r="X83" s="26"/>
      <c r="Y83" s="26"/>
      <c r="Z83" s="26"/>
    </row>
    <row r="84" customFormat="false" ht="15.75" hidden="false" customHeight="true" outlineLevel="0" collapsed="false">
      <c r="A84" s="22" t="str">
        <f aca="false">Data!A217</f>
        <v>IDEA</v>
      </c>
      <c r="B84" s="23" t="n">
        <f aca="false">Data!B217</f>
        <v>7.07</v>
      </c>
      <c r="C84" s="22" t="n">
        <f aca="false">Data!C217</f>
        <v>7.31</v>
      </c>
      <c r="D84" s="22" t="n">
        <f aca="false">Data!D217</f>
        <v>6.58</v>
      </c>
      <c r="E84" s="24" t="n">
        <f aca="false">Data!E217</f>
        <v>7.94</v>
      </c>
      <c r="F84" s="22" t="n">
        <f aca="false">Data!F217</f>
        <v>0.337</v>
      </c>
      <c r="G84" s="22" t="n">
        <f aca="false">Data!S217</f>
        <v>57.28</v>
      </c>
      <c r="I84" s="22" t="str">
        <f aca="false">IF(AND(C84=Data!G217,E84&gt;0),IF(AND(C84=Data!U217,E84&gt;0),"Buy_ 52W_H","Buy_50D_H"),IF(AND(Data!H217=D84,E84&lt;0),IF(AND(Data!V217=D84,E84&lt;0),"Sell_52W_L ","Sell_50D_L "),""))</f>
        <v/>
      </c>
      <c r="J84" s="22" t="n">
        <f aca="false">RANK(L84,L:L)</f>
        <v>83</v>
      </c>
      <c r="K84" s="22" t="str">
        <f aca="false">IF(Data!R217&gt;=B84,IF(((C84-B84)/(C84-D84))*100&gt;80,"Down"," "),IF(Data!R217&lt;=B84,IF(((B84-D84)/(C84-D84))*100&gt;80,"Up"," ")))</f>
        <v> </v>
      </c>
      <c r="L84" s="22" t="n">
        <f aca="false">Data!I217</f>
        <v>64.82</v>
      </c>
      <c r="M84" s="22" t="str">
        <f aca="false">IF(AND(B84&gt;Data!P217,Data!O217&lt;Data!P217),"Buy",IF(AND(B84&lt;Data!P217,Data!O217&gt;Data!P217),"Sell",""))</f>
        <v/>
      </c>
      <c r="N84" s="22" t="n">
        <f aca="false">Data!K217/1000</f>
        <v>1659819.36</v>
      </c>
      <c r="O84" s="22" t="n">
        <f aca="false">Data!L217</f>
        <v>4.71</v>
      </c>
      <c r="P84" s="22" t="n">
        <f aca="false">Data!M217</f>
        <v>6.32</v>
      </c>
      <c r="Q84" s="22" t="n">
        <f aca="false">Data!N217</f>
        <v>6.63</v>
      </c>
      <c r="R84" s="22" t="n">
        <f aca="false">Data!J217</f>
        <v>63.58</v>
      </c>
      <c r="S84" s="22" t="str">
        <f aca="false">INDEX(Sector_div!$B$2:$B$227,MATCH(A84,Sector_div!$A$2:$A$227,0))</f>
        <v>telecom</v>
      </c>
      <c r="T84" s="26"/>
      <c r="U84" s="27" t="str">
        <f aca="false">CONCATENATE("NSE:",A84,",")</f>
        <v>NSE:IDEA,</v>
      </c>
      <c r="V84" s="26"/>
      <c r="W84" s="26"/>
      <c r="X84" s="26"/>
      <c r="Y84" s="26"/>
      <c r="Z84" s="26"/>
    </row>
    <row r="85" customFormat="false" ht="15.75" hidden="false" customHeight="true" outlineLevel="0" collapsed="false">
      <c r="A85" s="22" t="str">
        <f aca="false">Data!A216</f>
        <v>YESBANK</v>
      </c>
      <c r="B85" s="23" t="n">
        <f aca="false">Data!B216</f>
        <v>19.28</v>
      </c>
      <c r="C85" s="22" t="n">
        <f aca="false">Data!C216</f>
        <v>19.46</v>
      </c>
      <c r="D85" s="22" t="n">
        <f aca="false">Data!D216</f>
        <v>19.25</v>
      </c>
      <c r="E85" s="24" t="n">
        <f aca="false">Data!E216</f>
        <v>-0.772</v>
      </c>
      <c r="F85" s="22" t="n">
        <f aca="false">Data!F216</f>
        <v>0.296</v>
      </c>
      <c r="G85" s="22" t="n">
        <f aca="false">Data!S216</f>
        <v>21.4</v>
      </c>
      <c r="H85" s="25" t="n">
        <f aca="false">Data!T27*100</f>
        <v>0.2</v>
      </c>
      <c r="I85" s="22" t="str">
        <f aca="false">IF(AND(C85=Data!G216,E85&gt;0),IF(AND(C85=Data!U216,E85&gt;0),"Buy_ 52W_H","Buy_50D_H"),IF(AND(Data!H216=D85,E85&lt;0),IF(AND(Data!V216=D85,E85&lt;0),"Sell_52W_L ","Sell_50D_L "),""))</f>
        <v/>
      </c>
      <c r="J85" s="22" t="n">
        <f aca="false">RANK(L85,L:L)</f>
        <v>84</v>
      </c>
      <c r="K85" s="22" t="str">
        <f aca="false">IF(Data!R216&gt;=B85,IF(((C85-B85)/(C85-D85))*100&gt;80,"Down"," "),IF(Data!R216&lt;=B85,IF(((B85-D85)/(C85-D85))*100&gt;80,"Up"," ")))</f>
        <v>Down</v>
      </c>
      <c r="L85" s="22" t="n">
        <f aca="false">Data!I216</f>
        <v>63.54</v>
      </c>
      <c r="M85" s="22" t="str">
        <f aca="false">IF(AND(B85&gt;Data!P216,Data!O216&lt;Data!P216),"Buy",IF(AND(B85&lt;Data!P216,Data!O216&gt;Data!P216),"Sell",""))</f>
        <v/>
      </c>
      <c r="N85" s="22" t="n">
        <f aca="false">Data!K216/1000</f>
        <v>38047.474</v>
      </c>
      <c r="O85" s="22" t="n">
        <f aca="false">Data!L216</f>
        <v>0.77</v>
      </c>
      <c r="P85" s="22" t="n">
        <f aca="false">Data!M216</f>
        <v>18.87</v>
      </c>
      <c r="Q85" s="22" t="n">
        <f aca="false">Data!N216</f>
        <v>19.19</v>
      </c>
      <c r="R85" s="22" t="n">
        <f aca="false">Data!J216</f>
        <v>58.1</v>
      </c>
      <c r="S85" s="22" t="str">
        <f aca="false">INDEX(Sector_div!$B$2:$B$227,MATCH(A85,Sector_div!$A$2:$A$227,0))</f>
        <v>bank</v>
      </c>
      <c r="T85" s="26"/>
      <c r="U85" s="27" t="str">
        <f aca="false">CONCATENATE("NSE:",A85,",")</f>
        <v>NSE:YESBANK,</v>
      </c>
      <c r="V85" s="26"/>
      <c r="W85" s="26"/>
      <c r="X85" s="26"/>
      <c r="Y85" s="26"/>
      <c r="Z85" s="26"/>
    </row>
    <row r="86" customFormat="false" ht="15.75" hidden="false" customHeight="true" outlineLevel="0" collapsed="false">
      <c r="A86" s="22" t="str">
        <f aca="false">Data!A24</f>
        <v>TRENT</v>
      </c>
      <c r="B86" s="23" t="n">
        <f aca="false">Data!B24</f>
        <v>5418</v>
      </c>
      <c r="C86" s="22" t="n">
        <f aca="false">Data!C24</f>
        <v>5484.5</v>
      </c>
      <c r="D86" s="22" t="n">
        <f aca="false">Data!D24</f>
        <v>5404</v>
      </c>
      <c r="E86" s="24" t="n">
        <f aca="false">Data!E24</f>
        <v>-0.633</v>
      </c>
      <c r="F86" s="22" t="n">
        <f aca="false">Data!F24</f>
        <v>120.28</v>
      </c>
      <c r="G86" s="22" t="n">
        <f aca="false">Data!S24</f>
        <v>35.07</v>
      </c>
      <c r="H86" s="25" t="n">
        <f aca="false">Data!T43*100</f>
        <v>0.7</v>
      </c>
      <c r="I86" s="22" t="str">
        <f aca="false">IF(AND(C86=Data!G24,E86&gt;0),IF(AND(C86=Data!U24,E86&gt;0),"Buy_ 52W_H","Buy_50D_H"),IF(AND(Data!H24=D86,E86&lt;0),IF(AND(Data!V24=D86,E86&lt;0),"Sell_52W_L ","Sell_50D_L "),""))</f>
        <v/>
      </c>
      <c r="J86" s="22" t="n">
        <f aca="false">RANK(L86,L:L)</f>
        <v>85</v>
      </c>
      <c r="K86" s="22" t="str">
        <f aca="false">IF(Data!R24&gt;=B86,IF(((C86-B86)/(C86-D86))*100&gt;80,"Down"," "),IF(Data!R24&lt;=B86,IF(((B86-D86)/(C86-D86))*100&gt;80,"Up"," ")))</f>
        <v>Down</v>
      </c>
      <c r="L86" s="22" t="n">
        <f aca="false">Data!I24</f>
        <v>62.98</v>
      </c>
      <c r="M86" s="22" t="str">
        <f aca="false">IF(AND(B86&gt;Data!P24,Data!O24&lt;Data!P24),"Buy",IF(AND(B86&lt;Data!P24,Data!O24&gt;Data!P24),"Sell",""))</f>
        <v/>
      </c>
      <c r="N86" s="22" t="n">
        <f aca="false">Data!K24/1000</f>
        <v>443.698</v>
      </c>
      <c r="O86" s="22" t="n">
        <f aca="false">Data!L24</f>
        <v>0.731</v>
      </c>
      <c r="P86" s="22" t="n">
        <f aca="false">Data!M24</f>
        <v>5273.57</v>
      </c>
      <c r="Q86" s="22" t="n">
        <f aca="false">Data!N24</f>
        <v>5417.78</v>
      </c>
      <c r="R86" s="22" t="n">
        <f aca="false">Data!J24</f>
        <v>53.77</v>
      </c>
      <c r="S86" s="22" t="str">
        <f aca="false">INDEX(Sector_div!$B$2:$B$227,MATCH(A86,Sector_div!$A$2:$A$227,0))</f>
        <v>fmcg</v>
      </c>
      <c r="T86" s="26"/>
      <c r="U86" s="27" t="str">
        <f aca="false">CONCATENATE("NSE:",A86,",")</f>
        <v>NSE:TRENT,</v>
      </c>
      <c r="V86" s="26"/>
      <c r="W86" s="26"/>
      <c r="X86" s="26"/>
      <c r="Y86" s="26"/>
      <c r="Z86" s="26"/>
    </row>
    <row r="87" customFormat="false" ht="15.75" hidden="false" customHeight="true" outlineLevel="0" collapsed="false">
      <c r="A87" s="22" t="str">
        <f aca="false">Data!A5</f>
        <v>DIXON</v>
      </c>
      <c r="B87" s="23" t="n">
        <f aca="false">Data!B5</f>
        <v>16893</v>
      </c>
      <c r="C87" s="22" t="n">
        <f aca="false">Data!C5</f>
        <v>17036</v>
      </c>
      <c r="D87" s="22" t="n">
        <f aca="false">Data!D5</f>
        <v>16680</v>
      </c>
      <c r="E87" s="24" t="n">
        <f aca="false">Data!E5</f>
        <v>1</v>
      </c>
      <c r="F87" s="22" t="n">
        <f aca="false">Data!F5</f>
        <v>383.99</v>
      </c>
      <c r="G87" s="22" t="n">
        <f aca="false">Data!S5</f>
        <v>11.78</v>
      </c>
      <c r="H87" s="25" t="n">
        <f aca="false">Data!T117*100</f>
        <v>2.9</v>
      </c>
      <c r="I87" s="22" t="str">
        <f aca="false">IF(AND(C87=Data!G5,E87&gt;0),IF(AND(C87=Data!U5,E87&gt;0),"Buy_ 52W_H","Buy_50D_H"),IF(AND(Data!H5=D87,E87&lt;0),IF(AND(Data!V5=D87,E87&lt;0),"Sell_52W_L ","Sell_50D_L "),""))</f>
        <v/>
      </c>
      <c r="J87" s="22" t="n">
        <f aca="false">RANK(L87,L:L)</f>
        <v>86</v>
      </c>
      <c r="K87" s="22" t="str">
        <f aca="false">IF(Data!R5&gt;=B87,IF(((C87-B87)/(C87-D87))*100&gt;80,"Down"," "),IF(Data!R5&lt;=B87,IF(((B87-D87)/(C87-D87))*100&gt;80,"Up"," ")))</f>
        <v> </v>
      </c>
      <c r="L87" s="22" t="n">
        <f aca="false">Data!I5</f>
        <v>62.89</v>
      </c>
      <c r="M87" s="22" t="str">
        <f aca="false">IF(AND(B87&gt;Data!P5,Data!O5&lt;Data!P5),"Buy",IF(AND(B87&lt;Data!P5,Data!O5&gt;Data!P5),"Sell",""))</f>
        <v/>
      </c>
      <c r="N87" s="22" t="n">
        <f aca="false">Data!K5/1000</f>
        <v>304.647</v>
      </c>
      <c r="O87" s="22" t="n">
        <f aca="false">Data!L5</f>
        <v>1.84</v>
      </c>
      <c r="P87" s="22" t="n">
        <f aca="false">Data!M5</f>
        <v>16150.52</v>
      </c>
      <c r="Q87" s="22" t="n">
        <f aca="false">Data!N5</f>
        <v>16560.26</v>
      </c>
      <c r="R87" s="22" t="n">
        <f aca="false">Data!J5</f>
        <v>62.67</v>
      </c>
      <c r="S87" s="22" t="str">
        <f aca="false">INDEX(Sector_div!$B$2:$B$227,MATCH(A87,Sector_div!$A$2:$A$227,0))</f>
        <v>fmcg</v>
      </c>
      <c r="T87" s="26"/>
      <c r="U87" s="27" t="str">
        <f aca="false">CONCATENATE("NSE:",A87,",")</f>
        <v>NSE:DIXON,</v>
      </c>
      <c r="V87" s="26"/>
      <c r="W87" s="26"/>
      <c r="X87" s="26"/>
      <c r="Y87" s="26"/>
      <c r="Z87" s="26"/>
    </row>
    <row r="88" customFormat="false" ht="15.75" hidden="false" customHeight="true" outlineLevel="0" collapsed="false">
      <c r="A88" s="22" t="str">
        <f aca="false">Data!A86</f>
        <v>ASTRAL</v>
      </c>
      <c r="B88" s="23" t="n">
        <f aca="false">Data!B86</f>
        <v>1425.1</v>
      </c>
      <c r="C88" s="22" t="n">
        <f aca="false">Data!C86</f>
        <v>1435</v>
      </c>
      <c r="D88" s="22" t="n">
        <f aca="false">Data!D86</f>
        <v>1415.5</v>
      </c>
      <c r="E88" s="24" t="n">
        <f aca="false">Data!E86</f>
        <v>0.26</v>
      </c>
      <c r="F88" s="22" t="n">
        <f aca="false">Data!F86</f>
        <v>42.92</v>
      </c>
      <c r="G88" s="22" t="n">
        <f aca="false">Data!S86</f>
        <v>30.07</v>
      </c>
      <c r="I88" s="22" t="str">
        <f aca="false">IF(AND(C88=Data!G86,E88&gt;0),IF(AND(C88=Data!U86,E88&gt;0),"Buy_ 52W_H","Buy_50D_H"),IF(AND(Data!H86=D88,E88&lt;0),IF(AND(Data!V86=D88,E88&lt;0),"Sell_52W_L ","Sell_50D_L "),""))</f>
        <v/>
      </c>
      <c r="J88" s="22" t="n">
        <f aca="false">RANK(L88,L:L)</f>
        <v>87</v>
      </c>
      <c r="K88" s="22" t="str">
        <f aca="false">IF(Data!R86&gt;=B88,IF(((C88-B88)/(C88-D88))*100&gt;80,"Down"," "),IF(Data!R86&lt;=B88,IF(((B88-D88)/(C88-D88))*100&gt;80,"Up"," ")))</f>
        <v> </v>
      </c>
      <c r="L88" s="22" t="n">
        <f aca="false">Data!I86</f>
        <v>62.74</v>
      </c>
      <c r="M88" s="22" t="str">
        <f aca="false">IF(AND(B88&gt;Data!P86,Data!O86&lt;Data!P86),"Buy",IF(AND(B88&lt;Data!P86,Data!O86&gt;Data!P86),"Sell",""))</f>
        <v/>
      </c>
      <c r="N88" s="22" t="n">
        <f aca="false">Data!K86/1000</f>
        <v>811.032</v>
      </c>
      <c r="O88" s="22" t="n">
        <f aca="false">Data!L86</f>
        <v>0.363</v>
      </c>
      <c r="P88" s="22" t="n">
        <f aca="false">Data!M86</f>
        <v>1341.62</v>
      </c>
      <c r="Q88" s="22" t="n">
        <f aca="false">Data!N86</f>
        <v>1383.44</v>
      </c>
      <c r="R88" s="22" t="n">
        <f aca="false">Data!J86</f>
        <v>64.12</v>
      </c>
      <c r="S88" s="22" t="str">
        <f aca="false">INDEX(Sector_div!$B$2:$B$227,MATCH(A88,Sector_div!$A$2:$A$227,0))</f>
        <v>fmcg</v>
      </c>
      <c r="T88" s="26"/>
      <c r="U88" s="27" t="str">
        <f aca="false">CONCATENATE("NSE:",A88,",")</f>
        <v>NSE:ASTRAL,</v>
      </c>
      <c r="V88" s="26"/>
      <c r="W88" s="26"/>
      <c r="X88" s="26"/>
      <c r="Y88" s="26"/>
      <c r="Z88" s="26"/>
    </row>
    <row r="89" customFormat="false" ht="15.75" hidden="false" customHeight="true" outlineLevel="0" collapsed="false">
      <c r="A89" s="22" t="str">
        <f aca="false">Data!A42</f>
        <v>PIDILITIND</v>
      </c>
      <c r="B89" s="23" t="n">
        <f aca="false">Data!B42</f>
        <v>3087.2</v>
      </c>
      <c r="C89" s="22" t="n">
        <f aca="false">Data!C42</f>
        <v>3106.8</v>
      </c>
      <c r="D89" s="22" t="n">
        <f aca="false">Data!D42</f>
        <v>3067.3</v>
      </c>
      <c r="E89" s="24" t="n">
        <f aca="false">Data!E42</f>
        <v>0.266</v>
      </c>
      <c r="F89" s="22" t="n">
        <f aca="false">Data!F42</f>
        <v>44.78</v>
      </c>
      <c r="G89" s="22" t="n">
        <f aca="false">Data!S42</f>
        <v>9.6</v>
      </c>
      <c r="H89" s="22" t="n">
        <f aca="false">Data!T174*100</f>
        <v>4.5</v>
      </c>
      <c r="I89" s="22" t="str">
        <f aca="false">IF(AND(C89=Data!G42,E89&gt;0),IF(AND(C89=Data!U42,E89&gt;0),"Buy_ 52W_H","Buy_50D_H"),IF(AND(Data!H42=D89,E89&lt;0),IF(AND(Data!V42=D89,E89&lt;0),"Sell_52W_L ","Sell_50D_L "),""))</f>
        <v/>
      </c>
      <c r="J89" s="22" t="n">
        <f aca="false">RANK(L89,L:L)</f>
        <v>88</v>
      </c>
      <c r="K89" s="22" t="str">
        <f aca="false">IF(Data!R42&gt;=B89,IF(((C89-B89)/(C89-D89))*100&gt;80,"Down"," "),IF(Data!R42&lt;=B89,IF(((B89-D89)/(C89-D89))*100&gt;80,"Up"," ")))</f>
        <v> </v>
      </c>
      <c r="L89" s="22" t="n">
        <f aca="false">Data!I42</f>
        <v>62.11</v>
      </c>
      <c r="M89" s="22" t="str">
        <f aca="false">IF(AND(B89&gt;Data!P42,Data!O42&lt;Data!P42),"Buy",IF(AND(B89&lt;Data!P42,Data!O42&gt;Data!P42),"Sell",""))</f>
        <v/>
      </c>
      <c r="N89" s="22" t="n">
        <f aca="false">Data!K42/1000</f>
        <v>357.791</v>
      </c>
      <c r="O89" s="22" t="n">
        <f aca="false">Data!L42</f>
        <v>3.02</v>
      </c>
      <c r="P89" s="22" t="n">
        <f aca="false">Data!M42</f>
        <v>2996.1</v>
      </c>
      <c r="Q89" s="22" t="n">
        <f aca="false">Data!N42</f>
        <v>3045.05</v>
      </c>
      <c r="R89" s="22" t="n">
        <f aca="false">Data!J42</f>
        <v>64.17</v>
      </c>
      <c r="S89" s="22" t="str">
        <f aca="false">INDEX(Sector_div!$B$2:$B$227,MATCH(A89,Sector_div!$A$2:$A$227,0))</f>
        <v>industrials</v>
      </c>
      <c r="T89" s="26"/>
      <c r="U89" s="27" t="str">
        <f aca="false">CONCATENATE("NSE:",A89,",")</f>
        <v>NSE:PIDILITIND,</v>
      </c>
      <c r="V89" s="26"/>
      <c r="W89" s="26"/>
      <c r="X89" s="26"/>
      <c r="Y89" s="26"/>
      <c r="Z89" s="26"/>
    </row>
    <row r="90" customFormat="false" ht="15.75" hidden="false" customHeight="true" outlineLevel="0" collapsed="false">
      <c r="A90" s="22" t="str">
        <f aca="false">Data!A33</f>
        <v>CAMS</v>
      </c>
      <c r="B90" s="23" t="n">
        <f aca="false">Data!B33</f>
        <v>3905</v>
      </c>
      <c r="C90" s="22" t="n">
        <f aca="false">Data!C33</f>
        <v>3917</v>
      </c>
      <c r="D90" s="22" t="n">
        <f aca="false">Data!D33</f>
        <v>3882</v>
      </c>
      <c r="E90" s="24" t="n">
        <f aca="false">Data!E33</f>
        <v>0.246</v>
      </c>
      <c r="F90" s="22" t="n">
        <f aca="false">Data!F33</f>
        <v>79.15</v>
      </c>
      <c r="G90" s="22" t="n">
        <f aca="false">Data!S33</f>
        <v>27.25</v>
      </c>
      <c r="H90" s="22" t="n">
        <f aca="false">Data!T100*100</f>
        <v>1.2</v>
      </c>
      <c r="I90" s="22" t="str">
        <f aca="false">IF(AND(C90=Data!G33,E90&gt;0),IF(AND(C90=Data!U33,E90&gt;0),"Buy_ 52W_H","Buy_50D_H"),IF(AND(Data!H33=D90,E90&lt;0),IF(AND(Data!V33=D90,E90&lt;0),"Sell_52W_L ","Sell_50D_L "),""))</f>
        <v/>
      </c>
      <c r="J90" s="22" t="n">
        <f aca="false">RANK(L90,L:L)</f>
        <v>89</v>
      </c>
      <c r="K90" s="22" t="str">
        <f aca="false">IF(Data!R33&gt;=B90,IF(((C90-B90)/(C90-D90))*100&gt;80,"Down"," "),IF(Data!R33&lt;=B90,IF(((B90-D90)/(C90-D90))*100&gt;80,"Up"," ")))</f>
        <v> </v>
      </c>
      <c r="L90" s="22" t="n">
        <f aca="false">Data!I33</f>
        <v>61.73</v>
      </c>
      <c r="M90" s="22" t="str">
        <f aca="false">IF(AND(B90&gt;Data!P33,Data!O33&lt;Data!P33),"Buy",IF(AND(B90&lt;Data!P33,Data!O33&gt;Data!P33),"Sell",""))</f>
        <v/>
      </c>
      <c r="N90" s="22" t="n">
        <f aca="false">Data!K33/1000</f>
        <v>250.669</v>
      </c>
      <c r="O90" s="22" t="n">
        <f aca="false">Data!L33</f>
        <v>0.475</v>
      </c>
      <c r="P90" s="22" t="n">
        <f aca="false">Data!M33</f>
        <v>3907.3</v>
      </c>
      <c r="Q90" s="22" t="n">
        <f aca="false">Data!N33</f>
        <v>3815.22</v>
      </c>
      <c r="R90" s="22" t="n">
        <f aca="false">Data!J33</f>
        <v>58.17</v>
      </c>
      <c r="S90" s="22" t="str">
        <f aca="false">INDEX(Sector_div!$B$2:$B$227,MATCH(A90,Sector_div!$A$2:$A$227,0))</f>
        <v>finance</v>
      </c>
      <c r="T90" s="26"/>
      <c r="U90" s="27" t="str">
        <f aca="false">CONCATENATE("NSE:",A90,",")</f>
        <v>NSE:CAMS,</v>
      </c>
      <c r="V90" s="26"/>
      <c r="W90" s="26"/>
      <c r="X90" s="26"/>
      <c r="Y90" s="26"/>
      <c r="Z90" s="26"/>
    </row>
    <row r="91" customFormat="false" ht="15.75" hidden="false" customHeight="true" outlineLevel="0" collapsed="false">
      <c r="A91" s="22" t="str">
        <f aca="false">Data!A133</f>
        <v>TATAMOTORS</v>
      </c>
      <c r="B91" s="23" t="n">
        <f aca="false">Data!B133</f>
        <v>680.3</v>
      </c>
      <c r="C91" s="22" t="n">
        <f aca="false">Data!C133</f>
        <v>691.5</v>
      </c>
      <c r="D91" s="22" t="n">
        <f aca="false">Data!D133</f>
        <v>678.6</v>
      </c>
      <c r="E91" s="24" t="n">
        <f aca="false">Data!E133</f>
        <v>-0.744</v>
      </c>
      <c r="F91" s="22" t="n">
        <f aca="false">Data!F133</f>
        <v>15.58</v>
      </c>
      <c r="G91" s="22" t="n">
        <f aca="false">Data!S133</f>
        <v>40.43</v>
      </c>
      <c r="H91" s="25" t="n">
        <f aca="false">Data!T113*100</f>
        <v>4.6</v>
      </c>
      <c r="I91" s="22" t="str">
        <f aca="false">IF(AND(C91=Data!G133,E91&gt;0),IF(AND(C91=Data!U133,E91&gt;0),"Buy_ 52W_H","Buy_50D_H"),IF(AND(Data!H133=D91,E91&lt;0),IF(AND(Data!V133=D91,E91&lt;0),"Sell_52W_L ","Sell_50D_L "),""))</f>
        <v/>
      </c>
      <c r="J91" s="22" t="n">
        <f aca="false">RANK(L91,L:L)</f>
        <v>90</v>
      </c>
      <c r="K91" s="22" t="str">
        <f aca="false">IF(Data!R133&gt;=B91,IF(((C91-B91)/(C91-D91))*100&gt;80,"Down"," "),IF(Data!R133&lt;=B91,IF(((B91-D91)/(C91-D91))*100&gt;80,"Up"," ")))</f>
        <v>Down</v>
      </c>
      <c r="L91" s="22" t="n">
        <f aca="false">Data!I133</f>
        <v>61.66</v>
      </c>
      <c r="M91" s="22" t="str">
        <f aca="false">IF(AND(B91&gt;Data!P133,Data!O133&lt;Data!P133),"Buy",IF(AND(B91&lt;Data!P133,Data!O133&gt;Data!P133),"Sell",""))</f>
        <v/>
      </c>
      <c r="N91" s="22" t="n">
        <f aca="false">Data!K133/1000</f>
        <v>6429.661</v>
      </c>
      <c r="O91" s="22" t="n">
        <f aca="false">Data!L133</f>
        <v>0.762</v>
      </c>
      <c r="P91" s="22" t="n">
        <f aca="false">Data!M133</f>
        <v>661.82</v>
      </c>
      <c r="Q91" s="22" t="n">
        <f aca="false">Data!N133</f>
        <v>678.36</v>
      </c>
      <c r="R91" s="22" t="n">
        <f aca="false">Data!J133</f>
        <v>55.79</v>
      </c>
      <c r="S91" s="22" t="str">
        <f aca="false">INDEX(Sector_div!$B$2:$B$227,MATCH(A91,Sector_div!$A$2:$A$227,0))</f>
        <v>auto</v>
      </c>
      <c r="T91" s="26"/>
      <c r="U91" s="27" t="str">
        <f aca="false">CONCATENATE("NSE:",A91,",")</f>
        <v>NSE:TATAMOTORS,</v>
      </c>
      <c r="V91" s="26"/>
      <c r="W91" s="26"/>
      <c r="X91" s="26"/>
      <c r="Y91" s="26"/>
      <c r="Z91" s="26"/>
    </row>
    <row r="92" customFormat="false" ht="15.75" hidden="false" customHeight="true" outlineLevel="0" collapsed="false">
      <c r="A92" s="22" t="str">
        <f aca="false">Data!A137</f>
        <v>ICICIPRULI</v>
      </c>
      <c r="B92" s="23" t="n">
        <f aca="false">Data!B137</f>
        <v>626.05</v>
      </c>
      <c r="C92" s="22" t="n">
        <f aca="false">Data!C137</f>
        <v>632.45</v>
      </c>
      <c r="D92" s="22" t="n">
        <f aca="false">Data!D137</f>
        <v>622.25</v>
      </c>
      <c r="E92" s="24" t="n">
        <f aca="false">Data!E137</f>
        <v>-0.501</v>
      </c>
      <c r="F92" s="22" t="n">
        <f aca="false">Data!F137</f>
        <v>13.14</v>
      </c>
      <c r="G92" s="22" t="n">
        <f aca="false">Data!S137</f>
        <v>21.43</v>
      </c>
      <c r="H92" s="25" t="n">
        <f aca="false">Data!T129*100</f>
        <v>1.3</v>
      </c>
      <c r="I92" s="22" t="str">
        <f aca="false">IF(AND(C92=Data!G137,E92&gt;0),IF(AND(C92=Data!U137,E92&gt;0),"Buy_ 52W_H","Buy_50D_H"),IF(AND(Data!H137=D92,E92&lt;0),IF(AND(Data!V137=D92,E92&lt;0),"Sell_52W_L ","Sell_50D_L "),""))</f>
        <v/>
      </c>
      <c r="J92" s="22" t="n">
        <f aca="false">RANK(L92,L:L)</f>
        <v>91</v>
      </c>
      <c r="K92" s="22" t="str">
        <f aca="false">IF(Data!R137&gt;=B92,IF(((C92-B92)/(C92-D92))*100&gt;80,"Down"," "),IF(Data!R137&lt;=B92,IF(((B92-D92)/(C92-D92))*100&gt;80,"Up"," ")))</f>
        <v> </v>
      </c>
      <c r="L92" s="22" t="n">
        <f aca="false">Data!I137</f>
        <v>61.09</v>
      </c>
      <c r="M92" s="22" t="str">
        <f aca="false">IF(AND(B92&gt;Data!P137,Data!O137&lt;Data!P137),"Buy",IF(AND(B92&lt;Data!P137,Data!O137&gt;Data!P137),"Sell",""))</f>
        <v/>
      </c>
      <c r="N92" s="22" t="n">
        <f aca="false">Data!K137/1000</f>
        <v>390.505</v>
      </c>
      <c r="O92" s="22" t="n">
        <f aca="false">Data!L137</f>
        <v>0.304</v>
      </c>
      <c r="P92" s="22" t="n">
        <f aca="false">Data!M137</f>
        <v>614.71</v>
      </c>
      <c r="Q92" s="22" t="n">
        <f aca="false">Data!N137</f>
        <v>638.72</v>
      </c>
      <c r="R92" s="22" t="n">
        <f aca="false">Data!J137</f>
        <v>51.06</v>
      </c>
      <c r="S92" s="22" t="str">
        <f aca="false">INDEX(Sector_div!$B$2:$B$227,MATCH(A92,Sector_div!$A$2:$A$227,0))</f>
        <v>insurance</v>
      </c>
      <c r="T92" s="26"/>
      <c r="U92" s="27" t="str">
        <f aca="false">CONCATENATE("NSE:",A92,",")</f>
        <v>NSE:ICICIPRULI,</v>
      </c>
      <c r="V92" s="26"/>
      <c r="W92" s="26"/>
      <c r="X92" s="26"/>
      <c r="Y92" s="26"/>
      <c r="Z92" s="26"/>
    </row>
    <row r="93" customFormat="false" ht="15.75" hidden="false" customHeight="true" outlineLevel="0" collapsed="false">
      <c r="A93" s="22" t="str">
        <f aca="false">Data!A72</f>
        <v>OBEROIRLTY</v>
      </c>
      <c r="B93" s="23" t="n">
        <f aca="false">Data!B72</f>
        <v>1657.4</v>
      </c>
      <c r="C93" s="22" t="n">
        <f aca="false">Data!C72</f>
        <v>1669.4</v>
      </c>
      <c r="D93" s="22" t="n">
        <f aca="false">Data!D72</f>
        <v>1635</v>
      </c>
      <c r="E93" s="24" t="n">
        <f aca="false">Data!E72</f>
        <v>-0.139</v>
      </c>
      <c r="F93" s="22" t="n">
        <f aca="false">Data!F72</f>
        <v>34.63</v>
      </c>
      <c r="G93" s="22" t="n">
        <f aca="false">Data!S72</f>
        <v>29.28</v>
      </c>
      <c r="H93" s="22" t="n">
        <f aca="false">Data!T128*100</f>
        <v>2.9</v>
      </c>
      <c r="I93" s="22" t="str">
        <f aca="false">IF(AND(C93=Data!G72,E93&gt;0),IF(AND(C93=Data!U72,E93&gt;0),"Buy_ 52W_H","Buy_50D_H"),IF(AND(Data!H72=D93,E93&lt;0),IF(AND(Data!V72=D93,E93&lt;0),"Sell_52W_L ","Sell_50D_L "),""))</f>
        <v/>
      </c>
      <c r="J93" s="22" t="n">
        <f aca="false">RANK(L93,L:L)</f>
        <v>92</v>
      </c>
      <c r="K93" s="22" t="str">
        <f aca="false">IF(Data!R72&gt;=B93,IF(((C93-B93)/(C93-D93))*100&gt;80,"Down"," "),IF(Data!R72&lt;=B93,IF(((B93-D93)/(C93-D93))*100&gt;80,"Up"," ")))</f>
        <v> </v>
      </c>
      <c r="L93" s="22" t="n">
        <f aca="false">Data!I72</f>
        <v>61.03</v>
      </c>
      <c r="M93" s="22" t="str">
        <f aca="false">IF(AND(B93&gt;Data!P72,Data!O72&lt;Data!P72),"Buy",IF(AND(B93&lt;Data!P72,Data!O72&gt;Data!P72),"Sell",""))</f>
        <v/>
      </c>
      <c r="N93" s="22" t="n">
        <f aca="false">Data!K72/1000</f>
        <v>585.933</v>
      </c>
      <c r="O93" s="22" t="n">
        <f aca="false">Data!L72</f>
        <v>1.86</v>
      </c>
      <c r="P93" s="22" t="n">
        <f aca="false">Data!M72</f>
        <v>1677.53</v>
      </c>
      <c r="Q93" s="22" t="n">
        <f aca="false">Data!N72</f>
        <v>1631.32</v>
      </c>
      <c r="R93" s="22" t="n">
        <f aca="false">Data!J72</f>
        <v>57.85</v>
      </c>
      <c r="S93" s="22" t="str">
        <f aca="false">INDEX(Sector_div!$B$2:$B$227,MATCH(A93,Sector_div!$A$2:$A$227,0))</f>
        <v>realty</v>
      </c>
      <c r="T93" s="26"/>
      <c r="U93" s="27" t="str">
        <f aca="false">CONCATENATE("NSE:",A93,",")</f>
        <v>NSE:OBEROIRLTY,</v>
      </c>
      <c r="V93" s="26"/>
      <c r="W93" s="26"/>
      <c r="X93" s="26"/>
      <c r="Y93" s="26"/>
      <c r="Z93" s="26"/>
    </row>
    <row r="94" customFormat="false" ht="15.75" hidden="false" customHeight="true" outlineLevel="0" collapsed="false">
      <c r="A94" s="22" t="str">
        <f aca="false">Data!A53</f>
        <v>ASIANPAINT</v>
      </c>
      <c r="B94" s="23" t="n">
        <f aca="false">Data!B53</f>
        <v>2504.5</v>
      </c>
      <c r="C94" s="22" t="n">
        <f aca="false">Data!C53</f>
        <v>2569.3</v>
      </c>
      <c r="D94" s="22" t="n">
        <f aca="false">Data!D53</f>
        <v>2501.1</v>
      </c>
      <c r="E94" s="24" t="n">
        <f aca="false">Data!E53</f>
        <v>-2.42</v>
      </c>
      <c r="F94" s="22" t="n">
        <f aca="false">Data!F53</f>
        <v>43.41</v>
      </c>
      <c r="G94" s="22" t="n">
        <f aca="false">Data!S53</f>
        <v>26.23</v>
      </c>
      <c r="H94" s="25" t="n">
        <f aca="false">Data!T5*100</f>
        <v>0.2</v>
      </c>
      <c r="I94" s="22" t="str">
        <f aca="false">IF(AND(C94=Data!G53,E94&gt;0),IF(AND(C94=Data!U53,E94&gt;0),"Buy_ 52W_H","Buy_50D_H"),IF(AND(Data!H53=D94,E94&lt;0),IF(AND(Data!V53=D94,E94&lt;0),"Sell_52W_L ","Sell_50D_L "),""))</f>
        <v/>
      </c>
      <c r="J94" s="22" t="n">
        <f aca="false">RANK(L94,L:L)</f>
        <v>93</v>
      </c>
      <c r="K94" s="22" t="str">
        <f aca="false">IF(Data!R53&gt;=B94,IF(((C94-B94)/(C94-D94))*100&gt;80,"Down"," "),IF(Data!R53&lt;=B94,IF(((B94-D94)/(C94-D94))*100&gt;80,"Up"," ")))</f>
        <v>Down</v>
      </c>
      <c r="L94" s="22" t="n">
        <f aca="false">Data!I53</f>
        <v>60.32</v>
      </c>
      <c r="M94" s="22" t="str">
        <f aca="false">IF(AND(B94&gt;Data!P53,Data!O53&lt;Data!P53),"Buy",IF(AND(B94&lt;Data!P53,Data!O53&gt;Data!P53),"Sell",""))</f>
        <v/>
      </c>
      <c r="N94" s="22" t="n">
        <f aca="false">Data!K53/1000</f>
        <v>523.75</v>
      </c>
      <c r="O94" s="22" t="n">
        <f aca="false">Data!L53</f>
        <v>0.67</v>
      </c>
      <c r="P94" s="22" t="n">
        <f aca="false">Data!M53</f>
        <v>2484.28</v>
      </c>
      <c r="Q94" s="22" t="n">
        <f aca="false">Data!N53</f>
        <v>2579.53</v>
      </c>
      <c r="R94" s="22" t="n">
        <f aca="false">Data!J53</f>
        <v>46.71</v>
      </c>
      <c r="S94" s="22" t="str">
        <f aca="false">INDEX(Sector_div!$B$2:$B$227,MATCH(A94,Sector_div!$A$2:$A$227,0))</f>
        <v>industrials</v>
      </c>
      <c r="T94" s="26"/>
      <c r="U94" s="27" t="str">
        <f aca="false">CONCATENATE("NSE:",A94,",")</f>
        <v>NSE:ASIANPAINT,</v>
      </c>
      <c r="V94" s="26"/>
      <c r="W94" s="26"/>
      <c r="X94" s="26"/>
      <c r="Y94" s="26"/>
      <c r="Z94" s="26"/>
    </row>
    <row r="95" customFormat="false" ht="15.75" hidden="false" customHeight="true" outlineLevel="0" collapsed="false">
      <c r="A95" s="22" t="str">
        <f aca="false">Data!A198</f>
        <v>UNIONBANK</v>
      </c>
      <c r="B95" s="23" t="n">
        <f aca="false">Data!B198</f>
        <v>134.76</v>
      </c>
      <c r="C95" s="22" t="n">
        <f aca="false">Data!C198</f>
        <v>138.22</v>
      </c>
      <c r="D95" s="22" t="n">
        <f aca="false">Data!D198</f>
        <v>134.6</v>
      </c>
      <c r="E95" s="24" t="n">
        <f aca="false">Data!E198</f>
        <v>-1.3</v>
      </c>
      <c r="F95" s="22" t="n">
        <f aca="false">Data!F198</f>
        <v>2.97</v>
      </c>
      <c r="G95" s="22" t="n">
        <f aca="false">Data!S198</f>
        <v>15.06</v>
      </c>
      <c r="H95" s="22" t="n">
        <f aca="false">Data!T146*100</f>
        <v>3.7</v>
      </c>
      <c r="I95" s="22" t="str">
        <f aca="false">IF(AND(C95=Data!G198,E95&gt;0),IF(AND(C95=Data!U198,E95&gt;0),"Buy_ 52W_H","Buy_50D_H"),IF(AND(Data!H198=D95,E95&lt;0),IF(AND(Data!V198=D95,E95&lt;0),"Sell_52W_L ","Sell_50D_L "),""))</f>
        <v/>
      </c>
      <c r="J95" s="22" t="n">
        <f aca="false">RANK(L95,L:L)</f>
        <v>94</v>
      </c>
      <c r="K95" s="22" t="str">
        <f aca="false">IF(Data!R198&gt;=B95,IF(((C95-B95)/(C95-D95))*100&gt;80,"Down"," "),IF(Data!R198&lt;=B95,IF(((B95-D95)/(C95-D95))*100&gt;80,"Up"," ")))</f>
        <v>Down</v>
      </c>
      <c r="L95" s="22" t="n">
        <f aca="false">Data!I198</f>
        <v>58.24</v>
      </c>
      <c r="M95" s="22" t="str">
        <f aca="false">IF(AND(B95&gt;Data!P198,Data!O198&lt;Data!P198),"Buy",IF(AND(B95&lt;Data!P198,Data!O198&gt;Data!P198),"Sell",""))</f>
        <v/>
      </c>
      <c r="N95" s="22" t="n">
        <f aca="false">Data!K198/1000</f>
        <v>7284.099</v>
      </c>
      <c r="O95" s="22" t="n">
        <f aca="false">Data!L198</f>
        <v>1.05</v>
      </c>
      <c r="P95" s="22" t="n">
        <f aca="false">Data!M198</f>
        <v>131.38</v>
      </c>
      <c r="Q95" s="22" t="n">
        <f aca="false">Data!N198</f>
        <v>134.4</v>
      </c>
      <c r="R95" s="22" t="n">
        <f aca="false">Data!J198</f>
        <v>46.41</v>
      </c>
      <c r="S95" s="22" t="str">
        <f aca="false">INDEX(Sector_div!$B$2:$B$227,MATCH(A95,Sector_div!$A$2:$A$227,0))</f>
        <v>bank</v>
      </c>
      <c r="T95" s="26"/>
      <c r="U95" s="27" t="str">
        <f aca="false">CONCATENATE("NSE:",A95,",")</f>
        <v>NSE:UNIONBANK,</v>
      </c>
      <c r="V95" s="26"/>
      <c r="W95" s="26"/>
      <c r="X95" s="26"/>
      <c r="Y95" s="26"/>
      <c r="Z95" s="26"/>
    </row>
    <row r="96" customFormat="false" ht="15.75" hidden="false" customHeight="true" outlineLevel="0" collapsed="false">
      <c r="A96" s="22" t="str">
        <f aca="false">Data!A77</f>
        <v>CDSL</v>
      </c>
      <c r="B96" s="23" t="n">
        <f aca="false">Data!B77</f>
        <v>1574.4</v>
      </c>
      <c r="C96" s="22" t="n">
        <f aca="false">Data!C77</f>
        <v>1589.5</v>
      </c>
      <c r="D96" s="22" t="n">
        <f aca="false">Data!D77</f>
        <v>1565</v>
      </c>
      <c r="E96" s="24" t="n">
        <f aca="false">Data!E77</f>
        <v>0.312</v>
      </c>
      <c r="F96" s="22" t="n">
        <f aca="false">Data!F77</f>
        <v>36.81</v>
      </c>
      <c r="G96" s="22" t="n">
        <f aca="false">Data!S77</f>
        <v>20.88</v>
      </c>
      <c r="H96" s="22" t="n">
        <f aca="false">Data!T2*100</f>
        <v>0</v>
      </c>
      <c r="I96" s="22" t="str">
        <f aca="false">IF(AND(C96=Data!G77,E96&gt;0),IF(AND(C96=Data!U77,E96&gt;0),"Buy_ 52W_H","Buy_50D_H"),IF(AND(Data!H77=D96,E96&lt;0),IF(AND(Data!V77=D96,E96&lt;0),"Sell_52W_L ","Sell_50D_L "),""))</f>
        <v/>
      </c>
      <c r="J96" s="22" t="n">
        <f aca="false">RANK(L96,L:L)</f>
        <v>95</v>
      </c>
      <c r="K96" s="22" t="str">
        <f aca="false">IF(Data!R77&gt;=B96,IF(((C96-B96)/(C96-D96))*100&gt;80,"Down"," "),IF(Data!R77&lt;=B96,IF(((B96-D96)/(C96-D96))*100&gt;80,"Up"," ")))</f>
        <v> </v>
      </c>
      <c r="L96" s="22" t="n">
        <f aca="false">Data!I77</f>
        <v>57.8</v>
      </c>
      <c r="M96" s="22" t="str">
        <f aca="false">IF(AND(B96&gt;Data!P77,Data!O77&lt;Data!P77),"Buy",IF(AND(B96&lt;Data!P77,Data!O77&gt;Data!P77),"Sell",""))</f>
        <v/>
      </c>
      <c r="N96" s="22" t="n">
        <f aca="false">Data!K77/1000</f>
        <v>1575.904</v>
      </c>
      <c r="O96" s="22" t="n">
        <f aca="false">Data!L77</f>
        <v>0.454</v>
      </c>
      <c r="P96" s="22" t="n">
        <f aca="false">Data!M77</f>
        <v>1502.98</v>
      </c>
      <c r="Q96" s="22" t="n">
        <f aca="false">Data!N77</f>
        <v>1543.39</v>
      </c>
      <c r="R96" s="22" t="n">
        <f aca="false">Data!J77</f>
        <v>51.07</v>
      </c>
      <c r="S96" s="22" t="str">
        <f aca="false">INDEX(Sector_div!$B$2:$B$227,MATCH(A96,Sector_div!$A$2:$A$227,0))</f>
        <v>finance</v>
      </c>
      <c r="T96" s="26"/>
      <c r="U96" s="27" t="str">
        <f aca="false">CONCATENATE("NSE:",A96,",")</f>
        <v>NSE:CDSL,</v>
      </c>
      <c r="V96" s="26"/>
      <c r="W96" s="26"/>
      <c r="X96" s="26"/>
      <c r="Y96" s="26"/>
      <c r="Z96" s="26"/>
    </row>
    <row r="97" customFormat="false" ht="15.75" hidden="false" customHeight="true" outlineLevel="0" collapsed="false">
      <c r="A97" s="22" t="str">
        <f aca="false">Data!A178</f>
        <v>WIPRO</v>
      </c>
      <c r="B97" s="23" t="n">
        <f aca="false">Data!B178</f>
        <v>248.64</v>
      </c>
      <c r="C97" s="22" t="n">
        <f aca="false">Data!C178</f>
        <v>253</v>
      </c>
      <c r="D97" s="22" t="n">
        <f aca="false">Data!D178</f>
        <v>247.61</v>
      </c>
      <c r="E97" s="24" t="n">
        <f aca="false">Data!E178</f>
        <v>-0.508</v>
      </c>
      <c r="F97" s="22" t="n">
        <f aca="false">Data!F178</f>
        <v>4.94</v>
      </c>
      <c r="G97" s="22" t="n">
        <f aca="false">Data!S178</f>
        <v>23.4</v>
      </c>
      <c r="H97" s="22" t="n">
        <f aca="false">Data!T72*100</f>
        <v>0.8</v>
      </c>
      <c r="I97" s="22" t="str">
        <f aca="false">IF(AND(C97=Data!G178,E97&gt;0),IF(AND(C97=Data!U178,E97&gt;0),"Buy_ 52W_H","Buy_50D_H"),IF(AND(Data!H178=D97,E97&lt;0),IF(AND(Data!V178=D97,E97&lt;0),"Sell_52W_L ","Sell_50D_L "),""))</f>
        <v/>
      </c>
      <c r="J97" s="22" t="n">
        <f aca="false">RANK(L97,L:L)</f>
        <v>96</v>
      </c>
      <c r="K97" s="22" t="str">
        <f aca="false">IF(Data!R178&gt;=B97,IF(((C97-B97)/(C97-D97))*100&gt;80,"Down"," "),IF(Data!R178&lt;=B97,IF(((B97-D97)/(C97-D97))*100&gt;80,"Up"," ")))</f>
        <v>Down</v>
      </c>
      <c r="L97" s="22" t="n">
        <f aca="false">Data!I178</f>
        <v>56.89</v>
      </c>
      <c r="M97" s="22" t="str">
        <f aca="false">IF(AND(B97&gt;Data!P178,Data!O178&lt;Data!P178),"Buy",IF(AND(B97&lt;Data!P178,Data!O178&gt;Data!P178),"Sell",""))</f>
        <v/>
      </c>
      <c r="N97" s="22" t="n">
        <f aca="false">Data!K178/1000</f>
        <v>13569.516</v>
      </c>
      <c r="O97" s="22" t="n">
        <f aca="false">Data!L178</f>
        <v>1.78</v>
      </c>
      <c r="P97" s="22" t="n">
        <f aca="false">Data!M178</f>
        <v>251.39</v>
      </c>
      <c r="Q97" s="22" t="n">
        <f aca="false">Data!N178</f>
        <v>246.2</v>
      </c>
      <c r="R97" s="22" t="n">
        <f aca="false">Data!J178</f>
        <v>55.17</v>
      </c>
      <c r="S97" s="22" t="str">
        <f aca="false">INDEX(Sector_div!$B$2:$B$227,MATCH(A97,Sector_div!$A$2:$A$227,0))</f>
        <v>i.t</v>
      </c>
      <c r="T97" s="26"/>
      <c r="U97" s="27" t="str">
        <f aca="false">CONCATENATE("NSE:",A97,",")</f>
        <v>NSE:WIPRO,</v>
      </c>
      <c r="V97" s="26"/>
      <c r="W97" s="26"/>
      <c r="X97" s="26"/>
      <c r="Y97" s="26"/>
      <c r="Z97" s="26"/>
    </row>
    <row r="98" customFormat="false" ht="15.75" hidden="false" customHeight="true" outlineLevel="0" collapsed="false">
      <c r="A98" s="22" t="str">
        <f aca="false">Data!A65</f>
        <v>ICICIGI</v>
      </c>
      <c r="B98" s="23" t="n">
        <f aca="false">Data!B65</f>
        <v>1910.7</v>
      </c>
      <c r="C98" s="22" t="n">
        <f aca="false">Data!C65</f>
        <v>1976.9</v>
      </c>
      <c r="D98" s="22" t="n">
        <f aca="false">Data!D65</f>
        <v>1908</v>
      </c>
      <c r="E98" s="24" t="n">
        <f aca="false">Data!E65</f>
        <v>-2.87</v>
      </c>
      <c r="F98" s="22" t="n">
        <f aca="false">Data!F65</f>
        <v>45.06</v>
      </c>
      <c r="G98" s="22" t="n">
        <f aca="false">Data!S65</f>
        <v>16.99</v>
      </c>
      <c r="H98" s="25" t="n">
        <f aca="false">Data!T171*100</f>
        <v>1.6</v>
      </c>
      <c r="I98" s="22" t="str">
        <f aca="false">IF(AND(C98=Data!G65,E98&gt;0),IF(AND(C98=Data!U65,E98&gt;0),"Buy_ 52W_H","Buy_50D_H"),IF(AND(Data!H65=D98,E98&lt;0),IF(AND(Data!V65=D98,E98&lt;0),"Sell_52W_L ","Sell_50D_L "),""))</f>
        <v/>
      </c>
      <c r="J98" s="22" t="n">
        <f aca="false">RANK(L98,L:L)</f>
        <v>97</v>
      </c>
      <c r="K98" s="22" t="str">
        <f aca="false">IF(Data!R65&gt;=B98,IF(((C98-B98)/(C98-D98))*100&gt;80,"Down"," "),IF(Data!R65&lt;=B98,IF(((B98-D98)/(C98-D98))*100&gt;80,"Up"," ")))</f>
        <v>Down</v>
      </c>
      <c r="L98" s="22" t="n">
        <f aca="false">Data!I65</f>
        <v>56.64</v>
      </c>
      <c r="M98" s="22" t="str">
        <f aca="false">IF(AND(B98&gt;Data!P65,Data!O65&lt;Data!P65),"Buy",IF(AND(B98&lt;Data!P65,Data!O65&gt;Data!P65),"Sell",""))</f>
        <v/>
      </c>
      <c r="N98" s="22" t="n">
        <f aca="false">Data!K65/1000</f>
        <v>383.275</v>
      </c>
      <c r="O98" s="22" t="n">
        <f aca="false">Data!L65</f>
        <v>0.548</v>
      </c>
      <c r="P98" s="22" t="n">
        <f aca="false">Data!M65</f>
        <v>1897.72</v>
      </c>
      <c r="Q98" s="22" t="n">
        <f aca="false">Data!N65</f>
        <v>1984.15</v>
      </c>
      <c r="R98" s="22" t="n">
        <f aca="false">Data!J65</f>
        <v>42.66</v>
      </c>
      <c r="S98" s="22" t="str">
        <f aca="false">INDEX(Sector_div!$B$2:$B$227,MATCH(A98,Sector_div!$A$2:$A$227,0))</f>
        <v>insurance</v>
      </c>
      <c r="T98" s="26"/>
      <c r="U98" s="27" t="str">
        <f aca="false">CONCATENATE("NSE:",A98,",")</f>
        <v>NSE:ICICIGI,</v>
      </c>
      <c r="V98" s="26"/>
      <c r="W98" s="26"/>
      <c r="X98" s="26"/>
      <c r="Y98" s="26"/>
      <c r="Z98" s="26"/>
    </row>
    <row r="99" customFormat="false" ht="15.75" hidden="false" customHeight="true" outlineLevel="0" collapsed="false">
      <c r="A99" s="22" t="str">
        <f aca="false">Data!A60</f>
        <v>BAJAJFINSV</v>
      </c>
      <c r="B99" s="23" t="n">
        <f aca="false">Data!B60</f>
        <v>1965.9</v>
      </c>
      <c r="C99" s="22" t="n">
        <f aca="false">Data!C60</f>
        <v>1977.3</v>
      </c>
      <c r="D99" s="22" t="n">
        <f aca="false">Data!D60</f>
        <v>1963.5</v>
      </c>
      <c r="E99" s="24" t="n">
        <f aca="false">Data!E60</f>
        <v>-0.712</v>
      </c>
      <c r="F99" s="22" t="n">
        <f aca="false">Data!F60</f>
        <v>36.01</v>
      </c>
      <c r="G99" s="22" t="n">
        <f aca="false">Data!S60</f>
        <v>7.92</v>
      </c>
      <c r="I99" s="22" t="str">
        <f aca="false">IF(AND(C99=Data!G60,E99&gt;0),IF(AND(C99=Data!U60,E99&gt;0),"Buy_ 52W_H","Buy_50D_H"),IF(AND(Data!H60=D99,E99&lt;0),IF(AND(Data!V60=D99,E99&lt;0),"Sell_52W_L ","Sell_50D_L "),""))</f>
        <v/>
      </c>
      <c r="J99" s="22" t="n">
        <f aca="false">RANK(L99,L:L)</f>
        <v>98</v>
      </c>
      <c r="K99" s="22" t="str">
        <f aca="false">IF(Data!R60&gt;=B99,IF(((C99-B99)/(C99-D99))*100&gt;80,"Down"," "),IF(Data!R60&lt;=B99,IF(((B99-D99)/(C99-D99))*100&gt;80,"Up"," ")))</f>
        <v>Down</v>
      </c>
      <c r="L99" s="22" t="n">
        <f aca="false">Data!I60</f>
        <v>56.4</v>
      </c>
      <c r="M99" s="22" t="str">
        <f aca="false">IF(AND(B99&gt;Data!P60,Data!O60&lt;Data!P60),"Buy",IF(AND(B99&lt;Data!P60,Data!O60&gt;Data!P60),"Sell",""))</f>
        <v/>
      </c>
      <c r="N99" s="22" t="n">
        <f aca="false">Data!K60/1000</f>
        <v>709.436</v>
      </c>
      <c r="O99" s="22" t="n">
        <f aca="false">Data!L60</f>
        <v>0.302</v>
      </c>
      <c r="P99" s="22" t="n">
        <f aca="false">Data!M60</f>
        <v>1908.18</v>
      </c>
      <c r="Q99" s="22" t="n">
        <f aca="false">Data!N60</f>
        <v>1947.21</v>
      </c>
      <c r="R99" s="22" t="n">
        <f aca="false">Data!J60</f>
        <v>54.4</v>
      </c>
      <c r="S99" s="22" t="str">
        <f aca="false">INDEX(Sector_div!$B$2:$B$227,MATCH(A99,Sector_div!$A$2:$A$227,0))</f>
        <v>finance</v>
      </c>
      <c r="T99" s="26"/>
      <c r="U99" s="27" t="str">
        <f aca="false">CONCATENATE("NSE:",A99,",")</f>
        <v>NSE:BAJAJFINSV,</v>
      </c>
      <c r="V99" s="26"/>
      <c r="W99" s="26"/>
      <c r="X99" s="26"/>
      <c r="Y99" s="26"/>
      <c r="Z99" s="26"/>
    </row>
    <row r="100" customFormat="false" ht="15.75" hidden="false" customHeight="true" outlineLevel="0" collapsed="false">
      <c r="A100" s="22" t="str">
        <f aca="false">Data!A203</f>
        <v>CANBK</v>
      </c>
      <c r="B100" s="23" t="n">
        <f aca="false">Data!B203</f>
        <v>109.93</v>
      </c>
      <c r="C100" s="22" t="n">
        <f aca="false">Data!C203</f>
        <v>111.78</v>
      </c>
      <c r="D100" s="22" t="n">
        <f aca="false">Data!D203</f>
        <v>109.8</v>
      </c>
      <c r="E100" s="24" t="n">
        <f aca="false">Data!E203</f>
        <v>-1.03</v>
      </c>
      <c r="F100" s="22" t="n">
        <f aca="false">Data!F203</f>
        <v>2.02</v>
      </c>
      <c r="G100" s="22" t="n">
        <f aca="false">Data!S203</f>
        <v>7.85</v>
      </c>
      <c r="H100" s="22" t="n">
        <f aca="false">Data!T118*100</f>
        <v>2.5</v>
      </c>
      <c r="I100" s="22" t="str">
        <f aca="false">IF(AND(C100=Data!G203,E100&gt;0),IF(AND(C100=Data!U203,E100&gt;0),"Buy_ 52W_H","Buy_50D_H"),IF(AND(Data!H203=D100,E100&lt;0),IF(AND(Data!V203=D100,E100&lt;0),"Sell_52W_L ","Sell_50D_L "),""))</f>
        <v/>
      </c>
      <c r="J100" s="22" t="n">
        <f aca="false">RANK(L100,L:L)</f>
        <v>99</v>
      </c>
      <c r="K100" s="22" t="str">
        <f aca="false">IF(Data!R203&gt;=B100,IF(((C100-B100)/(C100-D100))*100&gt;80,"Down"," "),IF(Data!R203&lt;=B100,IF(((B100-D100)/(C100-D100))*100&gt;80,"Up"," ")))</f>
        <v>Down</v>
      </c>
      <c r="L100" s="22" t="n">
        <f aca="false">Data!I203</f>
        <v>54.47</v>
      </c>
      <c r="M100" s="22" t="str">
        <f aca="false">IF(AND(B100&gt;Data!P203,Data!O203&lt;Data!P203),"Buy",IF(AND(B100&lt;Data!P203,Data!O203&gt;Data!P203),"Sell",""))</f>
        <v/>
      </c>
      <c r="N100" s="22" t="n">
        <f aca="false">Data!K203/1000</f>
        <v>12841.848</v>
      </c>
      <c r="O100" s="22" t="n">
        <f aca="false">Data!L203</f>
        <v>0.976</v>
      </c>
      <c r="P100" s="22" t="n">
        <f aca="false">Data!M203</f>
        <v>107.9</v>
      </c>
      <c r="Q100" s="22" t="n">
        <f aca="false">Data!N203</f>
        <v>112.92</v>
      </c>
      <c r="R100" s="22" t="n">
        <f aca="false">Data!J203</f>
        <v>48.93</v>
      </c>
      <c r="S100" s="22" t="str">
        <f aca="false">INDEX(Sector_div!$B$2:$B$227,MATCH(A100,Sector_div!$A$2:$A$227,0))</f>
        <v>bank</v>
      </c>
      <c r="T100" s="26"/>
      <c r="U100" s="27" t="str">
        <f aca="false">CONCATENATE("NSE:",A100,",")</f>
        <v>NSE:CANBK,</v>
      </c>
      <c r="V100" s="26"/>
      <c r="W100" s="26"/>
      <c r="X100" s="26"/>
      <c r="Y100" s="26"/>
      <c r="Z100" s="26"/>
    </row>
    <row r="101" customFormat="false" ht="15.75" hidden="false" customHeight="true" outlineLevel="0" collapsed="false">
      <c r="A101" s="22" t="str">
        <f aca="false">Data!A88</f>
        <v>NAUKRI</v>
      </c>
      <c r="B101" s="23" t="n">
        <f aca="false">Data!B88</f>
        <v>1380.6</v>
      </c>
      <c r="C101" s="22" t="n">
        <f aca="false">Data!C88</f>
        <v>1418</v>
      </c>
      <c r="D101" s="22" t="n">
        <f aca="false">Data!D88</f>
        <v>1375.2</v>
      </c>
      <c r="E101" s="24" t="n">
        <f aca="false">Data!E88</f>
        <v>-2.28</v>
      </c>
      <c r="F101" s="22" t="n">
        <f aca="false">Data!F88</f>
        <v>43.18</v>
      </c>
      <c r="G101" s="22" t="n">
        <f aca="false">Data!S88</f>
        <v>24.38</v>
      </c>
      <c r="H101" s="22" t="n">
        <f aca="false">Data!T54*100</f>
        <v>0.6</v>
      </c>
      <c r="I101" s="22" t="str">
        <f aca="false">IF(AND(C101=Data!G88,E101&gt;0),IF(AND(C101=Data!U88,E101&gt;0),"Buy_ 52W_H","Buy_50D_H"),IF(AND(Data!H88=D101,E101&lt;0),IF(AND(Data!V88=D101,E101&lt;0),"Sell_52W_L ","Sell_50D_L "),""))</f>
        <v/>
      </c>
      <c r="J101" s="22" t="n">
        <f aca="false">RANK(L101,L:L)</f>
        <v>99</v>
      </c>
      <c r="K101" s="22" t="str">
        <f aca="false">IF(Data!R88&gt;=B101,IF(((C101-B101)/(C101-D101))*100&gt;80,"Down"," "),IF(Data!R88&lt;=B101,IF(((B101-D101)/(C101-D101))*100&gt;80,"Up"," ")))</f>
        <v>Down</v>
      </c>
      <c r="L101" s="22" t="n">
        <f aca="false">Data!I88</f>
        <v>54.47</v>
      </c>
      <c r="M101" s="22" t="str">
        <f aca="false">IF(AND(B101&gt;Data!P88,Data!O88&lt;Data!P88),"Buy",IF(AND(B101&lt;Data!P88,Data!O88&gt;Data!P88),"Sell",""))</f>
        <v/>
      </c>
      <c r="N101" s="22" t="n">
        <f aca="false">Data!K88/1000</f>
        <v>1083.516</v>
      </c>
      <c r="O101" s="22" t="n">
        <f aca="false">Data!L88</f>
        <v>0.446</v>
      </c>
      <c r="P101" s="22" t="n">
        <f aca="false">Data!M88</f>
        <v>1327.14</v>
      </c>
      <c r="Q101" s="22" t="n">
        <f aca="false">Data!N88</f>
        <v>1369.79</v>
      </c>
      <c r="R101" s="22" t="n">
        <f aca="false">Data!J88</f>
        <v>53.04</v>
      </c>
      <c r="S101" s="22" t="str">
        <f aca="false">INDEX(Sector_div!$B$2:$B$227,MATCH(A101,Sector_div!$A$2:$A$227,0))</f>
        <v>i.t</v>
      </c>
      <c r="T101" s="26"/>
      <c r="U101" s="27" t="str">
        <f aca="false">CONCATENATE("NSE:",A101,",")</f>
        <v>NSE:NAUKRI,</v>
      </c>
      <c r="V101" s="26"/>
      <c r="W101" s="26"/>
      <c r="X101" s="26"/>
      <c r="Y101" s="26"/>
      <c r="Z101" s="26"/>
    </row>
    <row r="102" customFormat="false" ht="15.75" hidden="false" customHeight="true" outlineLevel="0" collapsed="false">
      <c r="A102" s="22" t="str">
        <f aca="false">Data!A130</f>
        <v>UPL</v>
      </c>
      <c r="B102" s="23" t="n">
        <f aca="false">Data!B130</f>
        <v>716.45</v>
      </c>
      <c r="C102" s="22" t="n">
        <f aca="false">Data!C130</f>
        <v>722.9</v>
      </c>
      <c r="D102" s="22" t="n">
        <f aca="false">Data!D130</f>
        <v>707.95</v>
      </c>
      <c r="E102" s="24" t="n">
        <f aca="false">Data!E130</f>
        <v>0.561</v>
      </c>
      <c r="F102" s="22" t="n">
        <f aca="false">Data!F130</f>
        <v>17.91</v>
      </c>
      <c r="G102" s="22" t="n">
        <f aca="false">Data!S130</f>
        <v>2.64</v>
      </c>
      <c r="H102" s="25" t="n">
        <f aca="false">Data!T93*100</f>
        <v>1.6</v>
      </c>
      <c r="I102" s="22" t="str">
        <f aca="false">IF(AND(C102=Data!G130,E102&gt;0),IF(AND(C102=Data!U130,E102&gt;0),"Buy_ 52W_H","Buy_50D_H"),IF(AND(Data!H130=D102,E102&lt;0),IF(AND(Data!V130=D102,E102&lt;0),"Sell_52W_L ","Sell_50D_L "),""))</f>
        <v/>
      </c>
      <c r="J102" s="22" t="n">
        <f aca="false">RANK(L102,L:L)</f>
        <v>101</v>
      </c>
      <c r="K102" s="22" t="str">
        <f aca="false">IF(Data!R130&gt;=B102,IF(((C102-B102)/(C102-D102))*100&gt;80,"Down"," "),IF(Data!R130&lt;=B102,IF(((B102-D102)/(C102-D102))*100&gt;80,"Up"," ")))</f>
        <v> </v>
      </c>
      <c r="L102" s="22" t="n">
        <f aca="false">Data!I130</f>
        <v>54.27</v>
      </c>
      <c r="M102" s="22" t="str">
        <f aca="false">IF(AND(B102&gt;Data!P130,Data!O130&lt;Data!P130),"Buy",IF(AND(B102&lt;Data!P130,Data!O130&gt;Data!P130),"Sell",""))</f>
        <v/>
      </c>
      <c r="N102" s="22" t="n">
        <f aca="false">Data!K130/1000</f>
        <v>1635.654</v>
      </c>
      <c r="O102" s="22" t="n">
        <f aca="false">Data!L130</f>
        <v>0.801</v>
      </c>
      <c r="P102" s="22" t="n">
        <f aca="false">Data!M130</f>
        <v>725.44</v>
      </c>
      <c r="Q102" s="22" t="n">
        <f aca="false">Data!N130</f>
        <v>697.13</v>
      </c>
      <c r="R102" s="22" t="n">
        <f aca="false">Data!J130</f>
        <v>64.15</v>
      </c>
      <c r="S102" s="22" t="str">
        <f aca="false">INDEX(Sector_div!$B$2:$B$227,MATCH(A102,Sector_div!$A$2:$A$227,0))</f>
        <v>industrials</v>
      </c>
      <c r="T102" s="26"/>
      <c r="U102" s="27" t="str">
        <f aca="false">CONCATENATE("NSE:",A102,",")</f>
        <v>NSE:UPL,</v>
      </c>
      <c r="V102" s="26"/>
      <c r="W102" s="26"/>
      <c r="X102" s="26"/>
      <c r="Y102" s="26"/>
      <c r="Z102" s="26"/>
    </row>
    <row r="103" customFormat="false" ht="15.75" hidden="false" customHeight="true" outlineLevel="0" collapsed="false">
      <c r="A103" s="22" t="str">
        <f aca="false">Data!A83</f>
        <v>INFY</v>
      </c>
      <c r="B103" s="23" t="n">
        <f aca="false">Data!B83</f>
        <v>1487.5</v>
      </c>
      <c r="C103" s="22" t="n">
        <f aca="false">Data!C83</f>
        <v>1504.3</v>
      </c>
      <c r="D103" s="22" t="n">
        <f aca="false">Data!D83</f>
        <v>1486.1</v>
      </c>
      <c r="E103" s="24" t="n">
        <f aca="false">Data!E83</f>
        <v>-0.595</v>
      </c>
      <c r="F103" s="22" t="n">
        <f aca="false">Data!F83</f>
        <v>28.37</v>
      </c>
      <c r="G103" s="22" t="n">
        <f aca="false">Data!S83</f>
        <v>25.86</v>
      </c>
      <c r="H103" s="22" t="n">
        <f aca="false">Data!T92*100</f>
        <v>0.5</v>
      </c>
      <c r="I103" s="22" t="str">
        <f aca="false">IF(AND(C103=Data!G83,E103&gt;0),IF(AND(C103=Data!U83,E103&gt;0),"Buy_ 52W_H","Buy_50D_H"),IF(AND(Data!H83=D103,E103&lt;0),IF(AND(Data!V83=D103,E103&lt;0),"Sell_52W_L ","Sell_50D_L "),""))</f>
        <v/>
      </c>
      <c r="J103" s="22" t="n">
        <f aca="false">RANK(L103,L:L)</f>
        <v>102</v>
      </c>
      <c r="K103" s="22" t="str">
        <f aca="false">IF(Data!R83&gt;=B103,IF(((C103-B103)/(C103-D103))*100&gt;80,"Down"," "),IF(Data!R83&lt;=B103,IF(((B103-D103)/(C103-D103))*100&gt;80,"Up"," ")))</f>
        <v>Down</v>
      </c>
      <c r="L103" s="22" t="n">
        <f aca="false">Data!I83</f>
        <v>54.07</v>
      </c>
      <c r="M103" s="22" t="str">
        <f aca="false">IF(AND(B103&gt;Data!P83,Data!O83&lt;Data!P83),"Buy",IF(AND(B103&lt;Data!P83,Data!O83&gt;Data!P83),"Sell",""))</f>
        <v/>
      </c>
      <c r="N103" s="22" t="n">
        <f aca="false">Data!K83/1000</f>
        <v>5543.297</v>
      </c>
      <c r="O103" s="22" t="n">
        <f aca="false">Data!L83</f>
        <v>0.844</v>
      </c>
      <c r="P103" s="22" t="n">
        <f aca="false">Data!M83</f>
        <v>1438.21</v>
      </c>
      <c r="Q103" s="22" t="n">
        <f aca="false">Data!N83</f>
        <v>1466.7</v>
      </c>
      <c r="R103" s="22" t="n">
        <f aca="false">Data!J83</f>
        <v>60.82</v>
      </c>
      <c r="S103" s="22" t="str">
        <f aca="false">INDEX(Sector_div!$B$2:$B$227,MATCH(A103,Sector_div!$A$2:$A$227,0))</f>
        <v>i.t</v>
      </c>
      <c r="T103" s="26"/>
      <c r="U103" s="27" t="str">
        <f aca="false">CONCATENATE("NSE:",A103,",")</f>
        <v>NSE:INFY,</v>
      </c>
      <c r="V103" s="26"/>
      <c r="W103" s="26"/>
      <c r="X103" s="26"/>
      <c r="Y103" s="26"/>
      <c r="Z103" s="26"/>
    </row>
    <row r="104" customFormat="false" ht="15.75" hidden="false" customHeight="true" outlineLevel="0" collapsed="false">
      <c r="A104" s="22" t="str">
        <f aca="false">Data!A36</f>
        <v>TORNTPHARM</v>
      </c>
      <c r="B104" s="23" t="n">
        <f aca="false">Data!B36</f>
        <v>3685.3</v>
      </c>
      <c r="C104" s="22" t="n">
        <f aca="false">Data!C36</f>
        <v>3698</v>
      </c>
      <c r="D104" s="22" t="n">
        <f aca="false">Data!D36</f>
        <v>3635</v>
      </c>
      <c r="E104" s="24" t="n">
        <f aca="false">Data!E36</f>
        <v>1.04</v>
      </c>
      <c r="F104" s="22" t="n">
        <f aca="false">Data!F36</f>
        <v>60.75</v>
      </c>
      <c r="G104" s="22" t="n">
        <f aca="false">Data!S36</f>
        <v>2.71</v>
      </c>
      <c r="H104" s="25" t="n">
        <f aca="false">Data!T37*100</f>
        <v>0.5</v>
      </c>
      <c r="I104" s="22" t="str">
        <f aca="false">IF(AND(C104=Data!G36,E104&gt;0),IF(AND(C104=Data!U36,E104&gt;0),"Buy_ 52W_H","Buy_50D_H"),IF(AND(Data!H36=D104,E104&lt;0),IF(AND(Data!V36=D104,E104&lt;0),"Sell_52W_L ","Sell_50D_L "),""))</f>
        <v/>
      </c>
      <c r="J104" s="22" t="n">
        <f aca="false">RANK(L104,L:L)</f>
        <v>103</v>
      </c>
      <c r="K104" s="22" t="str">
        <f aca="false">IF(Data!R36&gt;=B104,IF(((C104-B104)/(C104-D104))*100&gt;80,"Down"," "),IF(Data!R36&lt;=B104,IF(((B104-D104)/(C104-D104))*100&gt;80,"Up"," ")))</f>
        <v> </v>
      </c>
      <c r="L104" s="22" t="n">
        <f aca="false">Data!I36</f>
        <v>53.93</v>
      </c>
      <c r="M104" s="22" t="str">
        <f aca="false">IF(AND(B104&gt;Data!P36,Data!O36&lt;Data!P36),"Buy",IF(AND(B104&lt;Data!P36,Data!O36&gt;Data!P36),"Sell",""))</f>
        <v/>
      </c>
      <c r="N104" s="22" t="n">
        <f aca="false">Data!K36/1000</f>
        <v>279.866</v>
      </c>
      <c r="O104" s="22" t="n">
        <f aca="false">Data!L36</f>
        <v>1.8</v>
      </c>
      <c r="P104" s="22" t="n">
        <f aca="false">Data!M36</f>
        <v>3702.11</v>
      </c>
      <c r="Q104" s="22" t="n">
        <f aca="false">Data!N36</f>
        <v>3603.26</v>
      </c>
      <c r="R104" s="22" t="n">
        <f aca="false">Data!J36</f>
        <v>66.1</v>
      </c>
      <c r="S104" s="22" t="str">
        <f aca="false">INDEX(Sector_div!$B$2:$B$227,MATCH(A104,Sector_div!$A$2:$A$227,0))</f>
        <v>Pharma&amp;Healthcare</v>
      </c>
      <c r="T104" s="26"/>
      <c r="U104" s="27" t="str">
        <f aca="false">CONCATENATE("NSE:",A104,",")</f>
        <v>NSE:TORNTPHARM,</v>
      </c>
      <c r="V104" s="26"/>
      <c r="W104" s="26"/>
      <c r="X104" s="26"/>
      <c r="Y104" s="26"/>
      <c r="Z104" s="26"/>
    </row>
    <row r="105" customFormat="false" ht="15.75" hidden="false" customHeight="true" outlineLevel="0" collapsed="false">
      <c r="A105" s="22" t="str">
        <f aca="false">Data!A75</f>
        <v>PRESTIGE</v>
      </c>
      <c r="B105" s="23" t="n">
        <f aca="false">Data!B75</f>
        <v>1635.6</v>
      </c>
      <c r="C105" s="22" t="n">
        <f aca="false">Data!C75</f>
        <v>1645</v>
      </c>
      <c r="D105" s="22" t="n">
        <f aca="false">Data!D75</f>
        <v>1627.8</v>
      </c>
      <c r="E105" s="24" t="n">
        <f aca="false">Data!E75</f>
        <v>0.307</v>
      </c>
      <c r="F105" s="22" t="n">
        <f aca="false">Data!F75</f>
        <v>42.98</v>
      </c>
      <c r="G105" s="22" t="n">
        <f aca="false">Data!S75</f>
        <v>17.06</v>
      </c>
      <c r="H105" s="22" t="n">
        <f aca="false">Data!T86*100</f>
        <v>1.1</v>
      </c>
      <c r="I105" s="22" t="str">
        <f aca="false">IF(AND(C105=Data!G75,E105&gt;0),IF(AND(C105=Data!U75,E105&gt;0),"Buy_ 52W_H","Buy_50D_H"),IF(AND(Data!H75=D105,E105&lt;0),IF(AND(Data!V75=D105,E105&lt;0),"Sell_52W_L ","Sell_50D_L "),""))</f>
        <v/>
      </c>
      <c r="J105" s="22" t="n">
        <f aca="false">RANK(L105,L:L)</f>
        <v>104</v>
      </c>
      <c r="K105" s="22" t="str">
        <f aca="false">IF(Data!R75&gt;=B105,IF(((C105-B105)/(C105-D105))*100&gt;80,"Down"," "),IF(Data!R75&lt;=B105,IF(((B105-D105)/(C105-D105))*100&gt;80,"Up"," ")))</f>
        <v> </v>
      </c>
      <c r="L105" s="22" t="n">
        <f aca="false">Data!I75</f>
        <v>53.67</v>
      </c>
      <c r="M105" s="22" t="str">
        <f aca="false">IF(AND(B105&gt;Data!P75,Data!O75&lt;Data!P75),"Buy",IF(AND(B105&lt;Data!P75,Data!O75&gt;Data!P75),"Sell",""))</f>
        <v/>
      </c>
      <c r="N105" s="22" t="n">
        <f aca="false">Data!K75/1000</f>
        <v>231.605</v>
      </c>
      <c r="O105" s="22" t="n">
        <f aca="false">Data!L75</f>
        <v>0.193</v>
      </c>
      <c r="P105" s="22" t="n">
        <f aca="false">Data!M75</f>
        <v>1693.54</v>
      </c>
      <c r="Q105" s="22" t="n">
        <f aca="false">Data!N75</f>
        <v>1608.4</v>
      </c>
      <c r="R105" s="22" t="n">
        <f aca="false">Data!J75</f>
        <v>51.93</v>
      </c>
      <c r="S105" s="22" t="str">
        <f aca="false">INDEX(Sector_div!$B$2:$B$227,MATCH(A105,Sector_div!$A$2:$A$227,0))</f>
        <v>realty</v>
      </c>
      <c r="T105" s="26"/>
      <c r="U105" s="27" t="str">
        <f aca="false">CONCATENATE("NSE:",A105,",")</f>
        <v>NSE:PRESTIGE,</v>
      </c>
      <c r="V105" s="26"/>
      <c r="W105" s="26"/>
      <c r="X105" s="26"/>
      <c r="Y105" s="26"/>
      <c r="Z105" s="26"/>
    </row>
    <row r="106" customFormat="false" ht="15.75" hidden="false" customHeight="true" outlineLevel="0" collapsed="false">
      <c r="A106" s="22" t="str">
        <f aca="false">Data!A6</f>
        <v>SOLARINDS</v>
      </c>
      <c r="B106" s="23" t="n">
        <f aca="false">Data!B6</f>
        <v>14845</v>
      </c>
      <c r="C106" s="22" t="n">
        <f aca="false">Data!C6</f>
        <v>15039</v>
      </c>
      <c r="D106" s="22" t="n">
        <f aca="false">Data!D6</f>
        <v>14574</v>
      </c>
      <c r="E106" s="24" t="n">
        <f aca="false">Data!E6</f>
        <v>1.81</v>
      </c>
      <c r="F106" s="22" t="n">
        <f aca="false">Data!F6</f>
        <v>437.67</v>
      </c>
      <c r="G106" s="22" t="n">
        <f aca="false">Data!S6</f>
        <v>16.69</v>
      </c>
      <c r="I106" s="22" t="str">
        <f aca="false">IF(AND(C106=Data!G6,E106&gt;0),IF(AND(C106=Data!U6,E106&gt;0),"Buy_ 52W_H","Buy_50D_H"),IF(AND(Data!H6=D106,E106&lt;0),IF(AND(Data!V6=D106,E106&lt;0),"Sell_52W_L ","Sell_50D_L "),""))</f>
        <v/>
      </c>
      <c r="J106" s="22" t="n">
        <f aca="false">RANK(L106,L:L)</f>
        <v>105</v>
      </c>
      <c r="K106" s="22" t="str">
        <f aca="false">IF(Data!R6&gt;=B106,IF(((C106-B106)/(C106-D106))*100&gt;80,"Down"," "),IF(Data!R6&lt;=B106,IF(((B106-D106)/(C106-D106))*100&gt;80,"Up"," ")))</f>
        <v> </v>
      </c>
      <c r="L106" s="22" t="n">
        <f aca="false">Data!I6</f>
        <v>51.29</v>
      </c>
      <c r="M106" s="22" t="str">
        <f aca="false">IF(AND(B106&gt;Data!P6,Data!O6&lt;Data!P6),"Buy",IF(AND(B106&lt;Data!P6,Data!O6&gt;Data!P6),"Sell",""))</f>
        <v/>
      </c>
      <c r="N106" s="22" t="n">
        <f aca="false">Data!K6/1000</f>
        <v>140.765</v>
      </c>
      <c r="O106" s="22" t="n">
        <f aca="false">Data!L6</f>
        <v>1.37</v>
      </c>
      <c r="P106" s="22" t="n">
        <f aca="false">Data!M6</f>
        <v>14297.07</v>
      </c>
      <c r="Q106" s="22" t="n">
        <f aca="false">Data!N6</f>
        <v>14983.61</v>
      </c>
      <c r="R106" s="22" t="n">
        <f aca="false">Data!J6</f>
        <v>53.23</v>
      </c>
      <c r="S106" s="22" t="str">
        <f aca="false">INDEX(Sector_div!$B$2:$B$227,MATCH(A106,Sector_div!$A$2:$A$227,0))</f>
        <v>power</v>
      </c>
      <c r="T106" s="26"/>
      <c r="U106" s="27" t="str">
        <f aca="false">CONCATENATE("NSE:",A106,",")</f>
        <v>NSE:SOLARINDS,</v>
      </c>
      <c r="V106" s="26"/>
      <c r="W106" s="26"/>
      <c r="X106" s="26"/>
      <c r="Y106" s="26"/>
      <c r="Z106" s="26"/>
    </row>
    <row r="107" customFormat="false" ht="15.75" hidden="false" customHeight="true" outlineLevel="0" collapsed="false">
      <c r="A107" s="22" t="str">
        <f aca="false">Data!A49</f>
        <v>MUTHOOTFIN</v>
      </c>
      <c r="B107" s="23" t="n">
        <f aca="false">Data!B49</f>
        <v>2680.6</v>
      </c>
      <c r="C107" s="22" t="n">
        <f aca="false">Data!C49</f>
        <v>2695</v>
      </c>
      <c r="D107" s="22" t="n">
        <f aca="false">Data!D49</f>
        <v>2670</v>
      </c>
      <c r="E107" s="24" t="n">
        <f aca="false">Data!E49</f>
        <v>0.179</v>
      </c>
      <c r="F107" s="22" t="n">
        <f aca="false">Data!F49</f>
        <v>75.4</v>
      </c>
      <c r="G107" s="22" t="n">
        <f aca="false">Data!S49</f>
        <v>4.5</v>
      </c>
      <c r="H107" s="25" t="n">
        <f aca="false">Data!T155*100</f>
        <v>2.6</v>
      </c>
      <c r="I107" s="22" t="str">
        <f aca="false">IF(AND(C107=Data!G49,E107&gt;0),IF(AND(C107=Data!U49,E107&gt;0),"Buy_ 52W_H","Buy_50D_H"),IF(AND(Data!H49=D107,E107&lt;0),IF(AND(Data!V49=D107,E107&lt;0),"Sell_52W_L ","Sell_50D_L "),""))</f>
        <v/>
      </c>
      <c r="J107" s="22" t="n">
        <f aca="false">RANK(L107,L:L)</f>
        <v>106</v>
      </c>
      <c r="K107" s="22" t="str">
        <f aca="false">IF(Data!R49&gt;=B107,IF(((C107-B107)/(C107-D107))*100&gt;80,"Down"," "),IF(Data!R49&lt;=B107,IF(((B107-D107)/(C107-D107))*100&gt;80,"Up"," ")))</f>
        <v> </v>
      </c>
      <c r="L107" s="22" t="n">
        <f aca="false">Data!I49</f>
        <v>49.8</v>
      </c>
      <c r="M107" s="22" t="str">
        <f aca="false">IF(AND(B107&gt;Data!P49,Data!O49&lt;Data!P49),"Buy",IF(AND(B107&lt;Data!P49,Data!O49&gt;Data!P49),"Sell",""))</f>
        <v/>
      </c>
      <c r="N107" s="22" t="n">
        <f aca="false">Data!K49/1000</f>
        <v>294.043</v>
      </c>
      <c r="O107" s="22" t="n">
        <f aca="false">Data!L49</f>
        <v>0.67</v>
      </c>
      <c r="P107" s="22" t="n">
        <f aca="false">Data!M49</f>
        <v>2615.44</v>
      </c>
      <c r="Q107" s="22" t="n">
        <f aca="false">Data!N49</f>
        <v>2755.06</v>
      </c>
      <c r="R107" s="22" t="n">
        <f aca="false">Data!J49</f>
        <v>53.18</v>
      </c>
      <c r="S107" s="22" t="str">
        <f aca="false">INDEX(Sector_div!$B$2:$B$227,MATCH(A107,Sector_div!$A$2:$A$227,0))</f>
        <v>finance</v>
      </c>
      <c r="T107" s="26"/>
      <c r="U107" s="27" t="str">
        <f aca="false">CONCATENATE("NSE:",A107,",")</f>
        <v>NSE:MUTHOOTFIN,</v>
      </c>
      <c r="V107" s="26"/>
      <c r="W107" s="26"/>
      <c r="X107" s="26"/>
      <c r="Y107" s="26"/>
      <c r="Z107" s="26"/>
    </row>
    <row r="108" customFormat="false" ht="15.75" hidden="false" customHeight="true" outlineLevel="0" collapsed="false">
      <c r="A108" s="22" t="str">
        <f aca="false">Data!A103</f>
        <v>KFINTECH</v>
      </c>
      <c r="B108" s="23" t="n">
        <f aca="false">Data!B103</f>
        <v>1126.2</v>
      </c>
      <c r="C108" s="22" t="n">
        <f aca="false">Data!C103</f>
        <v>1139.7</v>
      </c>
      <c r="D108" s="22" t="n">
        <f aca="false">Data!D103</f>
        <v>1115.5</v>
      </c>
      <c r="E108" s="24" t="n">
        <f aca="false">Data!E103</f>
        <v>-0.133</v>
      </c>
      <c r="F108" s="22" t="n">
        <f aca="false">Data!F103</f>
        <v>30.29</v>
      </c>
      <c r="G108" s="22" t="n">
        <f aca="false">Data!S103</f>
        <v>31.39</v>
      </c>
      <c r="H108" s="22" t="n">
        <f aca="false">Data!T84*100</f>
        <v>0.8</v>
      </c>
      <c r="I108" s="22" t="str">
        <f aca="false">IF(AND(C108=Data!G103,E108&gt;0),IF(AND(C108=Data!U103,E108&gt;0),"Buy_ 52W_H","Buy_50D_H"),IF(AND(Data!H103=D108,E108&lt;0),IF(AND(Data!V103=D108,E108&lt;0),"Sell_52W_L ","Sell_50D_L "),""))</f>
        <v/>
      </c>
      <c r="J108" s="22" t="n">
        <f aca="false">RANK(L108,L:L)</f>
        <v>107</v>
      </c>
      <c r="K108" s="22" t="str">
        <f aca="false">IF(Data!R103&gt;=B108,IF(((C108-B108)/(C108-D108))*100&gt;80,"Down"," "),IF(Data!R103&lt;=B108,IF(((B108-D108)/(C108-D108))*100&gt;80,"Up"," ")))</f>
        <v> </v>
      </c>
      <c r="L108" s="22" t="n">
        <f aca="false">Data!I103</f>
        <v>49.2</v>
      </c>
      <c r="M108" s="22" t="str">
        <f aca="false">IF(AND(B108&gt;Data!P103,Data!O103&lt;Data!P103),"Buy",IF(AND(B108&lt;Data!P103,Data!O103&gt;Data!P103),"Sell",""))</f>
        <v/>
      </c>
      <c r="N108" s="22" t="n">
        <f aca="false">Data!K103/1000</f>
        <v>843.26</v>
      </c>
      <c r="O108" s="22" t="n">
        <f aca="false">Data!L103</f>
        <v>0.749</v>
      </c>
      <c r="P108" s="22" t="n">
        <f aca="false">Data!M103</f>
        <v>1144.42</v>
      </c>
      <c r="Q108" s="22" t="n">
        <f aca="false">Data!N103</f>
        <v>1095.79</v>
      </c>
      <c r="R108" s="22" t="n">
        <f aca="false">Data!J103</f>
        <v>52.17</v>
      </c>
      <c r="S108" s="22" t="e">
        <f aca="false">INDEX(Sector_div!$B$2:$B$227,MATCH(A108,Sector_div!$A$2:$A$227,0))</f>
        <v>#N/A</v>
      </c>
      <c r="T108" s="26"/>
      <c r="U108" s="27" t="str">
        <f aca="false">CONCATENATE("NSE:",A108,",")</f>
        <v>NSE:KFINTECH,</v>
      </c>
      <c r="V108" s="26"/>
      <c r="W108" s="26"/>
      <c r="X108" s="26"/>
      <c r="Y108" s="26"/>
      <c r="Z108" s="26"/>
    </row>
    <row r="109" customFormat="false" ht="15.75" hidden="false" customHeight="true" outlineLevel="0" collapsed="false">
      <c r="A109" s="22" t="str">
        <f aca="false">Data!A16</f>
        <v>KAYNES</v>
      </c>
      <c r="B109" s="23" t="n">
        <f aca="false">Data!B16</f>
        <v>6209</v>
      </c>
      <c r="C109" s="22" t="n">
        <f aca="false">Data!C16</f>
        <v>6246.5</v>
      </c>
      <c r="D109" s="22" t="n">
        <f aca="false">Data!D16</f>
        <v>6090</v>
      </c>
      <c r="E109" s="24" t="n">
        <f aca="false">Data!E16</f>
        <v>1.03</v>
      </c>
      <c r="F109" s="22" t="n">
        <f aca="false">Data!F16</f>
        <v>192.66</v>
      </c>
      <c r="G109" s="22" t="n">
        <f aca="false">Data!S16</f>
        <v>20.62</v>
      </c>
      <c r="H109" s="25" t="n">
        <f aca="false">Data!T63*100</f>
        <v>1.8</v>
      </c>
      <c r="I109" s="22" t="str">
        <f aca="false">IF(AND(C109=Data!G16,E109&gt;0),IF(AND(C109=Data!U16,E109&gt;0),"Buy_ 52W_H","Buy_50D_H"),IF(AND(Data!H16=D109,E109&lt;0),IF(AND(Data!V16=D109,E109&lt;0),"Sell_52W_L ","Sell_50D_L "),""))</f>
        <v/>
      </c>
      <c r="J109" s="22" t="n">
        <f aca="false">RANK(L109,L:L)</f>
        <v>108</v>
      </c>
      <c r="K109" s="22" t="str">
        <f aca="false">IF(Data!R16&gt;=B109,IF(((C109-B109)/(C109-D109))*100&gt;80,"Down"," "),IF(Data!R16&lt;=B109,IF(((B109-D109)/(C109-D109))*100&gt;80,"Up"," ")))</f>
        <v> </v>
      </c>
      <c r="L109" s="22" t="n">
        <f aca="false">Data!I16</f>
        <v>47.81</v>
      </c>
      <c r="M109" s="22" t="str">
        <f aca="false">IF(AND(B109&gt;Data!P16,Data!O16&lt;Data!P16),"Buy",IF(AND(B109&lt;Data!P16,Data!O16&gt;Data!P16),"Sell",""))</f>
        <v/>
      </c>
      <c r="N109" s="22" t="n">
        <f aca="false">Data!K16/1000</f>
        <v>280.06</v>
      </c>
      <c r="O109" s="22" t="n">
        <f aca="false">Data!L16</f>
        <v>1.42</v>
      </c>
      <c r="P109" s="22" t="n">
        <f aca="false">Data!M16</f>
        <v>6299.28</v>
      </c>
      <c r="Q109" s="22" t="n">
        <f aca="false">Data!N16</f>
        <v>6053.98</v>
      </c>
      <c r="R109" s="22" t="n">
        <f aca="false">Data!J16</f>
        <v>58.74</v>
      </c>
      <c r="S109" s="22" t="e">
        <f aca="false">INDEX(Sector_div!$B$2:$B$227,MATCH(A109,Sector_div!$A$2:$A$227,0))</f>
        <v>#N/A</v>
      </c>
      <c r="T109" s="26"/>
      <c r="U109" s="27" t="str">
        <f aca="false">CONCATENATE("NSE:",A109,",")</f>
        <v>NSE:KAYNES,</v>
      </c>
      <c r="V109" s="26"/>
      <c r="W109" s="26"/>
      <c r="X109" s="26"/>
      <c r="Y109" s="26"/>
      <c r="Z109" s="26"/>
    </row>
    <row r="110" customFormat="false" ht="15.75" hidden="false" customHeight="true" outlineLevel="0" collapsed="false">
      <c r="A110" s="22" t="str">
        <f aca="false">Data!A189</f>
        <v>NATIONALUM</v>
      </c>
      <c r="B110" s="23" t="n">
        <f aca="false">Data!B189</f>
        <v>188.87</v>
      </c>
      <c r="C110" s="22" t="n">
        <f aca="false">Data!C189</f>
        <v>192.17</v>
      </c>
      <c r="D110" s="22" t="n">
        <f aca="false">Data!D189</f>
        <v>188.5</v>
      </c>
      <c r="E110" s="24" t="n">
        <f aca="false">Data!E189</f>
        <v>-1.36</v>
      </c>
      <c r="F110" s="22" t="n">
        <f aca="false">Data!F189</f>
        <v>3.83</v>
      </c>
      <c r="G110" s="22" t="n">
        <f aca="false">Data!S189</f>
        <v>28.18</v>
      </c>
      <c r="H110" s="25" t="n">
        <f aca="false">Data!T115*100</f>
        <v>2.2</v>
      </c>
      <c r="I110" s="22" t="str">
        <f aca="false">IF(AND(C110=Data!G189,E110&gt;0),IF(AND(C110=Data!U189,E110&gt;0),"Buy_ 52W_H","Buy_50D_H"),IF(AND(Data!H189=D110,E110&lt;0),IF(AND(Data!V189=D110,E110&lt;0),"Sell_52W_L ","Sell_50D_L "),""))</f>
        <v/>
      </c>
      <c r="J110" s="22" t="n">
        <f aca="false">RANK(L110,L:L)</f>
        <v>109</v>
      </c>
      <c r="K110" s="22" t="str">
        <f aca="false">IF(Data!R189&gt;=B110,IF(((C110-B110)/(C110-D110))*100&gt;80,"Down"," "),IF(Data!R189&lt;=B110,IF(((B110-D110)/(C110-D110))*100&gt;80,"Up"," ")))</f>
        <v>Down</v>
      </c>
      <c r="L110" s="22" t="n">
        <f aca="false">Data!I189</f>
        <v>47.48</v>
      </c>
      <c r="M110" s="22" t="str">
        <f aca="false">IF(AND(B110&gt;Data!P189,Data!O189&lt;Data!P189),"Buy",IF(AND(B110&lt;Data!P189,Data!O189&gt;Data!P189),"Sell",""))</f>
        <v/>
      </c>
      <c r="N110" s="22" t="n">
        <f aca="false">Data!K189/1000</f>
        <v>2386.564</v>
      </c>
      <c r="O110" s="22" t="n">
        <f aca="false">Data!L189</f>
        <v>0.844</v>
      </c>
      <c r="P110" s="22" t="n">
        <f aca="false">Data!M189</f>
        <v>184.17</v>
      </c>
      <c r="Q110" s="22" t="n">
        <f aca="false">Data!N189</f>
        <v>188.16</v>
      </c>
      <c r="R110" s="22" t="n">
        <f aca="false">Data!J189</f>
        <v>47.61</v>
      </c>
      <c r="S110" s="22" t="str">
        <f aca="false">INDEX(Sector_div!$B$2:$B$227,MATCH(A110,Sector_div!$A$2:$A$227,0))</f>
        <v>metals</v>
      </c>
      <c r="T110" s="26"/>
      <c r="U110" s="27" t="str">
        <f aca="false">CONCATENATE("NSE:",A110,",")</f>
        <v>NSE:NATIONALUM,</v>
      </c>
      <c r="V110" s="26"/>
      <c r="W110" s="26"/>
      <c r="X110" s="26"/>
      <c r="Y110" s="26"/>
      <c r="Z110" s="26"/>
    </row>
    <row r="111" customFormat="false" ht="15.75" hidden="false" customHeight="true" outlineLevel="0" collapsed="false">
      <c r="A111" s="22" t="str">
        <f aca="false">Data!A118</f>
        <v>SBICARD</v>
      </c>
      <c r="B111" s="23" t="n">
        <f aca="false">Data!B118</f>
        <v>821</v>
      </c>
      <c r="C111" s="22" t="n">
        <f aca="false">Data!C118</f>
        <v>829.8</v>
      </c>
      <c r="D111" s="22" t="n">
        <f aca="false">Data!D118</f>
        <v>818</v>
      </c>
      <c r="E111" s="24" t="n">
        <f aca="false">Data!E118</f>
        <v>-0.509</v>
      </c>
      <c r="F111" s="22" t="n">
        <f aca="false">Data!F118</f>
        <v>15.1</v>
      </c>
      <c r="G111" s="22" t="n">
        <f aca="false">Data!S118</f>
        <v>20.08</v>
      </c>
      <c r="I111" s="22" t="str">
        <f aca="false">IF(AND(C111=Data!G118,E111&gt;0),IF(AND(C111=Data!U118,E111&gt;0),"Buy_ 52W_H","Buy_50D_H"),IF(AND(Data!H118=D111,E111&lt;0),IF(AND(Data!V118=D111,E111&lt;0),"Sell_52W_L ","Sell_50D_L "),""))</f>
        <v/>
      </c>
      <c r="J111" s="22" t="n">
        <f aca="false">RANK(L111,L:L)</f>
        <v>110</v>
      </c>
      <c r="K111" s="22" t="str">
        <f aca="false">IF(Data!R118&gt;=B111,IF(((C111-B111)/(C111-D111))*100&gt;80,"Down"," "),IF(Data!R118&lt;=B111,IF(((B111-D111)/(C111-D111))*100&gt;80,"Up"," ")))</f>
        <v> </v>
      </c>
      <c r="L111" s="22" t="n">
        <f aca="false">Data!I118</f>
        <v>47.01</v>
      </c>
      <c r="M111" s="22" t="str">
        <f aca="false">IF(AND(B111&gt;Data!P118,Data!O118&lt;Data!P118),"Buy",IF(AND(B111&lt;Data!P118,Data!O118&gt;Data!P118),"Sell",""))</f>
        <v/>
      </c>
      <c r="N111" s="22" t="n">
        <f aca="false">Data!K118/1000</f>
        <v>302.561</v>
      </c>
      <c r="O111" s="22" t="n">
        <f aca="false">Data!L118</f>
        <v>0.503</v>
      </c>
      <c r="P111" s="22" t="n">
        <f aca="false">Data!M118</f>
        <v>791.77</v>
      </c>
      <c r="Q111" s="22" t="n">
        <f aca="false">Data!N118</f>
        <v>807.83</v>
      </c>
      <c r="R111" s="22" t="n">
        <f aca="false">Data!J118</f>
        <v>57.44</v>
      </c>
      <c r="S111" s="22" t="str">
        <f aca="false">INDEX(Sector_div!$B$2:$B$227,MATCH(A111,Sector_div!$A$2:$A$227,0))</f>
        <v>finance</v>
      </c>
      <c r="T111" s="26"/>
      <c r="U111" s="27" t="str">
        <f aca="false">CONCATENATE("NSE:",A111,",")</f>
        <v>NSE:SBICARD,</v>
      </c>
      <c r="V111" s="26"/>
      <c r="W111" s="26"/>
      <c r="X111" s="26"/>
      <c r="Y111" s="26"/>
      <c r="Z111" s="26"/>
    </row>
    <row r="112" customFormat="false" ht="15.75" hidden="false" customHeight="true" outlineLevel="0" collapsed="false">
      <c r="A112" s="22" t="str">
        <f aca="false">Data!A119</f>
        <v>SBIN</v>
      </c>
      <c r="B112" s="23" t="n">
        <f aca="false">Data!B119</f>
        <v>816.25</v>
      </c>
      <c r="C112" s="22" t="n">
        <f aca="false">Data!C119</f>
        <v>826</v>
      </c>
      <c r="D112" s="22" t="n">
        <f aca="false">Data!D119</f>
        <v>815.7</v>
      </c>
      <c r="E112" s="24" t="n">
        <f aca="false">Data!E119</f>
        <v>-1.14</v>
      </c>
      <c r="F112" s="22" t="n">
        <f aca="false">Data!F119</f>
        <v>9.53</v>
      </c>
      <c r="G112" s="22" t="n">
        <f aca="false">Data!S119</f>
        <v>6.76</v>
      </c>
      <c r="H112" s="25" t="n">
        <f aca="false">Data!T97*100</f>
        <v>2.7</v>
      </c>
      <c r="I112" s="22" t="str">
        <f aca="false">IF(AND(C112=Data!G119,E112&gt;0),IF(AND(C112=Data!U119,E112&gt;0),"Buy_ 52W_H","Buy_50D_H"),IF(AND(Data!H119=D112,E112&lt;0),IF(AND(Data!V119=D112,E112&lt;0),"Sell_52W_L ","Sell_50D_L "),""))</f>
        <v/>
      </c>
      <c r="J112" s="22" t="n">
        <f aca="false">RANK(L112,L:L)</f>
        <v>111</v>
      </c>
      <c r="K112" s="22" t="str">
        <f aca="false">IF(Data!R119&gt;=B112,IF(((C112-B112)/(C112-D112))*100&gt;80,"Down"," "),IF(Data!R119&lt;=B112,IF(((B112-D112)/(C112-D112))*100&gt;80,"Up"," ")))</f>
        <v>Down</v>
      </c>
      <c r="L112" s="22" t="n">
        <f aca="false">Data!I119</f>
        <v>43.77</v>
      </c>
      <c r="M112" s="22" t="str">
        <f aca="false">IF(AND(B112&gt;Data!P119,Data!O119&lt;Data!P119),"Buy",IF(AND(B112&lt;Data!P119,Data!O119&gt;Data!P119),"Sell",""))</f>
        <v/>
      </c>
      <c r="N112" s="22" t="n">
        <f aca="false">Data!K119/1000</f>
        <v>5096.987</v>
      </c>
      <c r="O112" s="22" t="n">
        <f aca="false">Data!L119</f>
        <v>1.16</v>
      </c>
      <c r="P112" s="22" t="n">
        <f aca="false">Data!M119</f>
        <v>809.91</v>
      </c>
      <c r="Q112" s="22" t="n">
        <f aca="false">Data!N119</f>
        <v>830.7</v>
      </c>
      <c r="R112" s="22" t="n">
        <f aca="false">Data!J119</f>
        <v>44.05</v>
      </c>
      <c r="S112" s="22" t="str">
        <f aca="false">INDEX(Sector_div!$B$2:$B$227,MATCH(A112,Sector_div!$A$2:$A$227,0))</f>
        <v>bank</v>
      </c>
      <c r="T112" s="26"/>
      <c r="U112" s="27" t="str">
        <f aca="false">CONCATENATE("NSE:",A112,",")</f>
        <v>NSE:SBIN,</v>
      </c>
      <c r="V112" s="26"/>
      <c r="W112" s="26"/>
      <c r="X112" s="26"/>
      <c r="Y112" s="26"/>
      <c r="Z112" s="26"/>
    </row>
    <row r="113" customFormat="false" ht="15.75" hidden="false" customHeight="true" outlineLevel="0" collapsed="false">
      <c r="A113" s="22" t="str">
        <f aca="false">Data!A44</f>
        <v>TCS</v>
      </c>
      <c r="B113" s="23" t="n">
        <f aca="false">Data!B44</f>
        <v>3054</v>
      </c>
      <c r="C113" s="22" t="n">
        <f aca="false">Data!C44</f>
        <v>3095.7</v>
      </c>
      <c r="D113" s="22" t="n">
        <f aca="false">Data!D44</f>
        <v>3050</v>
      </c>
      <c r="E113" s="24" t="n">
        <f aca="false">Data!E44</f>
        <v>-1.57</v>
      </c>
      <c r="F113" s="22" t="n">
        <f aca="false">Data!F44</f>
        <v>46.1</v>
      </c>
      <c r="G113" s="22" t="n">
        <f aca="false">Data!S44</f>
        <v>33.5</v>
      </c>
      <c r="H113" s="25" t="n">
        <f aca="false">Data!T75*100</f>
        <v>2.2</v>
      </c>
      <c r="I113" s="22" t="str">
        <f aca="false">IF(AND(C113=Data!G44,E113&gt;0),IF(AND(C113=Data!U44,E113&gt;0),"Buy_ 52W_H","Buy_50D_H"),IF(AND(Data!H44=D113,E113&lt;0),IF(AND(Data!V44=D113,E113&lt;0),"Sell_52W_L ","Sell_50D_L "),""))</f>
        <v/>
      </c>
      <c r="J113" s="22" t="n">
        <f aca="false">RANK(L113,L:L)</f>
        <v>112</v>
      </c>
      <c r="K113" s="22" t="str">
        <f aca="false">IF(Data!R44&gt;=B113,IF(((C113-B113)/(C113-D113))*100&gt;80,"Down"," "),IF(Data!R44&lt;=B113,IF(((B113-D113)/(C113-D113))*100&gt;80,"Up"," ")))</f>
        <v>Down</v>
      </c>
      <c r="L113" s="22" t="n">
        <f aca="false">Data!I44</f>
        <v>40.63</v>
      </c>
      <c r="M113" s="22" t="str">
        <f aca="false">IF(AND(B113&gt;Data!P44,Data!O44&lt;Data!P44),"Buy",IF(AND(B113&lt;Data!P44,Data!O44&gt;Data!P44),"Sell",""))</f>
        <v/>
      </c>
      <c r="N113" s="22" t="n">
        <f aca="false">Data!K44/1000</f>
        <v>1593.633</v>
      </c>
      <c r="O113" s="22" t="n">
        <f aca="false">Data!L44</f>
        <v>0.493</v>
      </c>
      <c r="P113" s="22" t="n">
        <f aca="false">Data!M44</f>
        <v>3017.23</v>
      </c>
      <c r="Q113" s="22" t="n">
        <f aca="false">Data!N44</f>
        <v>3118.3</v>
      </c>
      <c r="R113" s="22" t="n">
        <f aca="false">Data!J44</f>
        <v>47.77</v>
      </c>
      <c r="S113" s="22" t="str">
        <f aca="false">INDEX(Sector_div!$B$2:$B$227,MATCH(A113,Sector_div!$A$2:$A$227,0))</f>
        <v>i.t</v>
      </c>
      <c r="T113" s="26"/>
      <c r="U113" s="27" t="str">
        <f aca="false">CONCATENATE("NSE:",A113,",")</f>
        <v>NSE:TCS,</v>
      </c>
      <c r="V113" s="26"/>
      <c r="W113" s="26"/>
      <c r="X113" s="26"/>
      <c r="Y113" s="26"/>
      <c r="Z113" s="26"/>
    </row>
    <row r="114" customFormat="false" ht="15.75" hidden="false" customHeight="true" outlineLevel="0" collapsed="false">
      <c r="A114" s="22" t="str">
        <f aca="false">Data!A107</f>
        <v>JSWSTEEL</v>
      </c>
      <c r="B114" s="23" t="n">
        <f aca="false">Data!B107</f>
        <v>1054.6</v>
      </c>
      <c r="C114" s="22" t="n">
        <f aca="false">Data!C107</f>
        <v>1071.4</v>
      </c>
      <c r="D114" s="22" t="n">
        <f aca="false">Data!D107</f>
        <v>1051.3</v>
      </c>
      <c r="E114" s="24" t="n">
        <f aca="false">Data!E107</f>
        <v>-1.6</v>
      </c>
      <c r="F114" s="22" t="n">
        <f aca="false">Data!F107</f>
        <v>21.27</v>
      </c>
      <c r="G114" s="22" t="n">
        <f aca="false">Data!S107</f>
        <v>3.18</v>
      </c>
      <c r="H114" s="22" t="n">
        <f aca="false">Data!T110*100</f>
        <v>2</v>
      </c>
      <c r="I114" s="22" t="str">
        <f aca="false">IF(AND(C114=Data!G107,E114&gt;0),IF(AND(C114=Data!U107,E114&gt;0),"Buy_ 52W_H","Buy_50D_H"),IF(AND(Data!H107=D114,E114&lt;0),IF(AND(Data!V107=D114,E114&lt;0),"Sell_52W_L ","Sell_50D_L "),""))</f>
        <v/>
      </c>
      <c r="J114" s="22" t="n">
        <f aca="false">RANK(L114,L:L)</f>
        <v>113</v>
      </c>
      <c r="K114" s="22" t="str">
        <f aca="false">IF(Data!R107&gt;=B114,IF(((C114-B114)/(C114-D114))*100&gt;80,"Down"," "),IF(Data!R107&lt;=B114,IF(((B114-D114)/(C114-D114))*100&gt;80,"Up"," ")))</f>
        <v>Down</v>
      </c>
      <c r="L114" s="22" t="n">
        <f aca="false">Data!I107</f>
        <v>36.79</v>
      </c>
      <c r="M114" s="22" t="str">
        <f aca="false">IF(AND(B114&gt;Data!P107,Data!O107&lt;Data!P107),"Buy",IF(AND(B114&lt;Data!P107,Data!O107&gt;Data!P107),"Sell",""))</f>
        <v/>
      </c>
      <c r="N114" s="22" t="n">
        <f aca="false">Data!K107/1000</f>
        <v>1950.37</v>
      </c>
      <c r="O114" s="22" t="n">
        <f aca="false">Data!L107</f>
        <v>0.943</v>
      </c>
      <c r="P114" s="22" t="n">
        <f aca="false">Data!M107</f>
        <v>1035.36</v>
      </c>
      <c r="Q114" s="22" t="n">
        <f aca="false">Data!N107</f>
        <v>1082.72</v>
      </c>
      <c r="R114" s="22" t="n">
        <f aca="false">Data!J107</f>
        <v>46.13</v>
      </c>
      <c r="S114" s="22" t="str">
        <f aca="false">INDEX(Sector_div!$B$2:$B$227,MATCH(A114,Sector_div!$A$2:$A$227,0))</f>
        <v>metals</v>
      </c>
      <c r="T114" s="26"/>
      <c r="U114" s="27" t="str">
        <f aca="false">CONCATENATE("NSE:",A114,",")</f>
        <v>NSE:JSWSTEEL,</v>
      </c>
      <c r="V114" s="26"/>
      <c r="W114" s="26"/>
      <c r="X114" s="26"/>
      <c r="Y114" s="26"/>
      <c r="Z114" s="26"/>
    </row>
    <row r="115" customFormat="false" ht="15.75" hidden="false" customHeight="true" outlineLevel="0" collapsed="false">
      <c r="A115" s="22" t="str">
        <f aca="false">Data!A167</f>
        <v>NTPC</v>
      </c>
      <c r="B115" s="23" t="n">
        <f aca="false">Data!B167</f>
        <v>337</v>
      </c>
      <c r="C115" s="22" t="n">
        <f aca="false">Data!C167</f>
        <v>338.9</v>
      </c>
      <c r="D115" s="22" t="n">
        <f aca="false">Data!D167</f>
        <v>335.5</v>
      </c>
      <c r="E115" s="24" t="n">
        <f aca="false">Data!E167</f>
        <v>-0.531</v>
      </c>
      <c r="F115" s="22" t="n">
        <f aca="false">Data!F167</f>
        <v>5.68</v>
      </c>
      <c r="G115" s="22" t="n">
        <f aca="false">Data!S167</f>
        <v>24.85</v>
      </c>
      <c r="H115" s="25" t="n">
        <f aca="false">Data!T165*100</f>
        <v>5.4</v>
      </c>
      <c r="I115" s="22" t="str">
        <f aca="false">IF(AND(C115=Data!G167,E115&gt;0),IF(AND(C115=Data!U167,E115&gt;0),"Buy_ 52W_H","Buy_50D_H"),IF(AND(Data!H167=D115,E115&lt;0),IF(AND(Data!V167=D115,E115&lt;0),"Sell_52W_L ","Sell_50D_L "),""))</f>
        <v/>
      </c>
      <c r="J115" s="22" t="n">
        <f aca="false">RANK(L115,L:L)</f>
        <v>114</v>
      </c>
      <c r="K115" s="22" t="str">
        <f aca="false">IF(Data!R167&gt;=B115,IF(((C115-B115)/(C115-D115))*100&gt;80,"Down"," "),IF(Data!R167&lt;=B115,IF(((B115-D115)/(C115-D115))*100&gt;80,"Up"," ")))</f>
        <v> </v>
      </c>
      <c r="L115" s="22" t="n">
        <f aca="false">Data!I167</f>
        <v>33.2</v>
      </c>
      <c r="M115" s="22" t="str">
        <f aca="false">IF(AND(B115&gt;Data!P167,Data!O167&lt;Data!P167),"Buy",IF(AND(B115&lt;Data!P167,Data!O167&gt;Data!P167),"Sell",""))</f>
        <v/>
      </c>
      <c r="N115" s="22" t="n">
        <f aca="false">Data!K167/1000</f>
        <v>8534.844</v>
      </c>
      <c r="O115" s="22" t="n">
        <f aca="false">Data!L167</f>
        <v>0.766</v>
      </c>
      <c r="P115" s="22" t="n">
        <f aca="false">Data!M167</f>
        <v>330.61</v>
      </c>
      <c r="Q115" s="22" t="n">
        <f aca="false">Data!N167</f>
        <v>342.77</v>
      </c>
      <c r="R115" s="22" t="n">
        <f aca="false">Data!J167</f>
        <v>49.1</v>
      </c>
      <c r="S115" s="22" t="str">
        <f aca="false">INDEX(Sector_div!$B$2:$B$227,MATCH(A115,Sector_div!$A$2:$A$227,0))</f>
        <v>power</v>
      </c>
      <c r="T115" s="26"/>
      <c r="U115" s="27" t="str">
        <f aca="false">CONCATENATE("NSE:",A115,",")</f>
        <v>NSE:NTPC,</v>
      </c>
      <c r="V115" s="26"/>
      <c r="W115" s="26"/>
      <c r="X115" s="26"/>
      <c r="Y115" s="26"/>
      <c r="Z115" s="26"/>
    </row>
    <row r="116" customFormat="false" ht="15.75" hidden="false" customHeight="true" outlineLevel="0" collapsed="false">
      <c r="A116" s="22" t="str">
        <f aca="false">Data!A139</f>
        <v>ATGL</v>
      </c>
      <c r="B116" s="23" t="n">
        <f aca="false">Data!B139</f>
        <v>617.75</v>
      </c>
      <c r="C116" s="22" t="n">
        <f aca="false">Data!C139</f>
        <v>623</v>
      </c>
      <c r="D116" s="22" t="n">
        <f aca="false">Data!D139</f>
        <v>613.55</v>
      </c>
      <c r="E116" s="24" t="n">
        <f aca="false">Data!E139</f>
        <v>-0.032</v>
      </c>
      <c r="F116" s="22" t="n">
        <f aca="false">Data!F139</f>
        <v>14.27</v>
      </c>
      <c r="G116" s="22" t="n">
        <f aca="false">Data!S139</f>
        <v>28.58</v>
      </c>
      <c r="H116" s="22" t="n">
        <f aca="false">Data!T10*100</f>
        <v>0.2</v>
      </c>
      <c r="I116" s="22" t="str">
        <f aca="false">IF(AND(C116=Data!G139,E116&gt;0),IF(AND(C116=Data!U139,E116&gt;0),"Buy_ 52W_H","Buy_50D_H"),IF(AND(Data!H139=D116,E116&lt;0),IF(AND(Data!V139=D116,E116&lt;0),"Sell_52W_L ","Sell_50D_L "),""))</f>
        <v/>
      </c>
      <c r="J116" s="22" t="n">
        <f aca="false">RANK(L116,L:L)</f>
        <v>115</v>
      </c>
      <c r="K116" s="22" t="str">
        <f aca="false">IF(Data!R139&gt;=B116,IF(((C116-B116)/(C116-D116))*100&gt;80,"Down"," "),IF(Data!R139&lt;=B116,IF(((B116-D116)/(C116-D116))*100&gt;80,"Up"," ")))</f>
        <v> </v>
      </c>
      <c r="L116" s="22" t="n">
        <f aca="false">Data!I139</f>
        <v>32.73</v>
      </c>
      <c r="M116" s="22" t="str">
        <f aca="false">IF(AND(B116&gt;Data!P139,Data!O139&lt;Data!P139),"Buy",IF(AND(B116&lt;Data!P139,Data!O139&gt;Data!P139),"Sell",""))</f>
        <v/>
      </c>
      <c r="N116" s="22" t="n">
        <f aca="false">Data!K139/1000</f>
        <v>294.155</v>
      </c>
      <c r="O116" s="22" t="n">
        <f aca="false">Data!L139</f>
        <v>0.949</v>
      </c>
      <c r="P116" s="22" t="n">
        <f aca="false">Data!M139</f>
        <v>600.17</v>
      </c>
      <c r="Q116" s="22" t="n">
        <f aca="false">Data!N139</f>
        <v>615.11</v>
      </c>
      <c r="R116" s="22" t="n">
        <f aca="false">Data!J139</f>
        <v>51.99</v>
      </c>
      <c r="S116" s="22" t="str">
        <f aca="false">INDEX(Sector_div!$B$2:$B$227,MATCH(A116,Sector_div!$A$2:$A$227,0))</f>
        <v>oil&amp;gas</v>
      </c>
      <c r="T116" s="26"/>
      <c r="U116" s="27" t="str">
        <f aca="false">CONCATENATE("NSE:",A116,",")</f>
        <v>NSE:ATGL,</v>
      </c>
      <c r="V116" s="26"/>
      <c r="W116" s="26"/>
      <c r="X116" s="26"/>
      <c r="Y116" s="26"/>
      <c r="Z116" s="26"/>
    </row>
    <row r="117" customFormat="false" ht="15.75" hidden="false" customHeight="true" outlineLevel="0" collapsed="false">
      <c r="A117" s="22" t="str">
        <f aca="false">Data!A190</f>
        <v>GAIL</v>
      </c>
      <c r="B117" s="23" t="n">
        <f aca="false">Data!B190</f>
        <v>176.81</v>
      </c>
      <c r="C117" s="22" t="n">
        <f aca="false">Data!C190</f>
        <v>177.94</v>
      </c>
      <c r="D117" s="22" t="n">
        <f aca="false">Data!D190</f>
        <v>176.05</v>
      </c>
      <c r="E117" s="24" t="n">
        <f aca="false">Data!E190</f>
        <v>-0.54</v>
      </c>
      <c r="F117" s="22" t="n">
        <f aca="false">Data!F190</f>
        <v>2.82</v>
      </c>
      <c r="G117" s="22" t="n">
        <f aca="false">Data!S190</f>
        <v>27.83</v>
      </c>
      <c r="H117" s="22" t="n">
        <f aca="false">Data!T8*100</f>
        <v>0.2</v>
      </c>
      <c r="I117" s="22" t="str">
        <f aca="false">IF(AND(C117=Data!G190,E117&gt;0),IF(AND(C117=Data!U190,E117&gt;0),"Buy_ 52W_H","Buy_50D_H"),IF(AND(Data!H190=D117,E117&lt;0),IF(AND(Data!V190=D117,E117&lt;0),"Sell_52W_L ","Sell_50D_L "),""))</f>
        <v/>
      </c>
      <c r="J117" s="22" t="n">
        <f aca="false">RANK(L117,L:L)</f>
        <v>116</v>
      </c>
      <c r="K117" s="22" t="str">
        <f aca="false">IF(Data!R190&gt;=B117,IF(((C117-B117)/(C117-D117))*100&gt;80,"Down"," "),IF(Data!R190&lt;=B117,IF(((B117-D117)/(C117-D117))*100&gt;80,"Up"," ")))</f>
        <v> </v>
      </c>
      <c r="L117" s="22" t="n">
        <f aca="false">Data!I190</f>
        <v>23.78</v>
      </c>
      <c r="M117" s="22" t="str">
        <f aca="false">IF(AND(B117&gt;Data!P190,Data!O190&lt;Data!P190),"Buy",IF(AND(B117&lt;Data!P190,Data!O190&gt;Data!P190),"Sell",""))</f>
        <v/>
      </c>
      <c r="N117" s="22" t="n">
        <f aca="false">Data!K190/1000</f>
        <v>6424.954</v>
      </c>
      <c r="O117" s="22" t="n">
        <f aca="false">Data!L190</f>
        <v>0.886</v>
      </c>
      <c r="P117" s="22" t="n">
        <f aca="false">Data!M190</f>
        <v>171.86</v>
      </c>
      <c r="Q117" s="22" t="n">
        <f aca="false">Data!N190</f>
        <v>174.93</v>
      </c>
      <c r="R117" s="22" t="n">
        <f aca="false">Data!J190</f>
        <v>56.25</v>
      </c>
      <c r="S117" s="22" t="str">
        <f aca="false">INDEX(Sector_div!$B$2:$B$227,MATCH(A117,Sector_div!$A$2:$A$227,0))</f>
        <v>oil&amp;gas</v>
      </c>
      <c r="T117" s="26"/>
      <c r="U117" s="27" t="str">
        <f aca="false">CONCATENATE("NSE:",A117,",")</f>
        <v>NSE:GAIL,</v>
      </c>
      <c r="V117" s="26"/>
      <c r="W117" s="26"/>
      <c r="X117" s="26"/>
      <c r="Y117" s="26"/>
      <c r="Z117" s="26"/>
    </row>
    <row r="118" customFormat="false" ht="15.75" hidden="false" customHeight="true" outlineLevel="0" collapsed="false">
      <c r="A118" s="22" t="str">
        <f aca="false">Data!A127</f>
        <v>AUBANK</v>
      </c>
      <c r="B118" s="23" t="n">
        <f aca="false">Data!B127</f>
        <v>742.05</v>
      </c>
      <c r="C118" s="22" t="n">
        <f aca="false">Data!C127</f>
        <v>760</v>
      </c>
      <c r="D118" s="22" t="n">
        <f aca="false">Data!D127</f>
        <v>739.55</v>
      </c>
      <c r="E118" s="24" t="n">
        <f aca="false">Data!E127</f>
        <v>-1.35</v>
      </c>
      <c r="F118" s="22" t="n">
        <f aca="false">Data!F127</f>
        <v>18.42</v>
      </c>
      <c r="G118" s="22" t="n">
        <f aca="false">Data!S127</f>
        <v>11.77</v>
      </c>
      <c r="H118" s="25" t="n">
        <f aca="false">Data!T49*100</f>
        <v>1.3</v>
      </c>
      <c r="I118" s="22" t="str">
        <f aca="false">IF(AND(C118=Data!G127,E118&gt;0),IF(AND(C118=Data!U127,E118&gt;0),"Buy_ 52W_H","Buy_50D_H"),IF(AND(Data!H127=D118,E118&lt;0),IF(AND(Data!V127=D118,E118&lt;0),"Sell_52W_L ","Sell_50D_L "),""))</f>
        <v/>
      </c>
      <c r="J118" s="22" t="n">
        <f aca="false">RANK(L118,L:L)</f>
        <v>117</v>
      </c>
      <c r="K118" s="22" t="str">
        <f aca="false">IF(Data!R127&gt;=B118,IF(((C118-B118)/(C118-D118))*100&gt;80,"Down"," "),IF(Data!R127&lt;=B118,IF(((B118-D118)/(C118-D118))*100&gt;80,"Up"," ")))</f>
        <v>Down</v>
      </c>
      <c r="L118" s="22" t="n">
        <f aca="false">Data!I127</f>
        <v>23.11</v>
      </c>
      <c r="M118" s="22" t="str">
        <f aca="false">IF(AND(B118&gt;Data!P127,Data!O127&lt;Data!P127),"Buy",IF(AND(B118&lt;Data!P127,Data!O127&gt;Data!P127),"Sell",""))</f>
        <v/>
      </c>
      <c r="N118" s="22" t="n">
        <f aca="false">Data!K127/1000</f>
        <v>980.129</v>
      </c>
      <c r="O118" s="22" t="n">
        <f aca="false">Data!L127</f>
        <v>1.81</v>
      </c>
      <c r="P118" s="22" t="n">
        <f aca="false">Data!M127</f>
        <v>770.28</v>
      </c>
      <c r="Q118" s="22" t="n">
        <f aca="false">Data!N127</f>
        <v>742.02</v>
      </c>
      <c r="R118" s="22" t="n">
        <f aca="false">Data!J127</f>
        <v>43.01</v>
      </c>
      <c r="S118" s="22" t="str">
        <f aca="false">INDEX(Sector_div!$B$2:$B$227,MATCH(A118,Sector_div!$A$2:$A$227,0))</f>
        <v>bank</v>
      </c>
      <c r="T118" s="26"/>
      <c r="U118" s="27" t="str">
        <f aca="false">CONCATENATE("NSE:",A118,",")</f>
        <v>NSE:AUBANK,</v>
      </c>
      <c r="V118" s="26"/>
      <c r="W118" s="26"/>
      <c r="X118" s="26"/>
      <c r="Y118" s="26"/>
      <c r="Z118" s="26"/>
    </row>
    <row r="119" customFormat="false" ht="15.75" hidden="false" customHeight="true" outlineLevel="0" collapsed="false">
      <c r="A119" s="22" t="str">
        <f aca="false">Data!A194</f>
        <v>IREDA</v>
      </c>
      <c r="B119" s="23" t="n">
        <f aca="false">Data!B194</f>
        <v>147.48</v>
      </c>
      <c r="C119" s="22" t="n">
        <f aca="false">Data!C194</f>
        <v>149.2</v>
      </c>
      <c r="D119" s="22" t="n">
        <f aca="false">Data!D194</f>
        <v>146.6</v>
      </c>
      <c r="E119" s="24" t="n">
        <f aca="false">Data!E194</f>
        <v>0.136</v>
      </c>
      <c r="F119" s="22" t="n">
        <f aca="false">Data!F194</f>
        <v>3.21</v>
      </c>
      <c r="G119" s="22" t="n">
        <f aca="false">Data!S194</f>
        <v>43.91</v>
      </c>
      <c r="H119" s="25" t="n">
        <f aca="false">Data!T161*100</f>
        <v>4</v>
      </c>
      <c r="I119" s="22" t="str">
        <f aca="false">IF(AND(C119=Data!G194,E119&gt;0),IF(AND(C119=Data!U194,E119&gt;0),"Buy_ 52W_H","Buy_50D_H"),IF(AND(Data!H194=D119,E119&lt;0),IF(AND(Data!V194=D119,E119&lt;0),"Sell_52W_L ","Sell_50D_L "),""))</f>
        <v/>
      </c>
      <c r="J119" s="22" t="n">
        <f aca="false">RANK(L119,L:L)</f>
        <v>118</v>
      </c>
      <c r="K119" s="22" t="str">
        <f aca="false">IF(Data!R194&gt;=B119,IF(((C119-B119)/(C119-D119))*100&gt;80,"Down"," "),IF(Data!R194&lt;=B119,IF(((B119-D119)/(C119-D119))*100&gt;80,"Up"," ")))</f>
        <v> </v>
      </c>
      <c r="L119" s="22" t="n">
        <f aca="false">Data!I194</f>
        <v>17.13</v>
      </c>
      <c r="M119" s="22" t="str">
        <f aca="false">IF(AND(B119&gt;Data!P194,Data!O194&lt;Data!P194),"Buy",IF(AND(B119&lt;Data!P194,Data!O194&gt;Data!P194),"Sell",""))</f>
        <v/>
      </c>
      <c r="N119" s="22" t="n">
        <f aca="false">Data!K194/1000</f>
        <v>3658.002</v>
      </c>
      <c r="O119" s="22" t="n">
        <f aca="false">Data!L194</f>
        <v>0.446</v>
      </c>
      <c r="P119" s="22" t="n">
        <f aca="false">Data!M194</f>
        <v>150.08</v>
      </c>
      <c r="Q119" s="22" t="n">
        <f aca="false">Data!N194</f>
        <v>145.98</v>
      </c>
      <c r="R119" s="22" t="n">
        <f aca="false">Data!J194</f>
        <v>51.19</v>
      </c>
      <c r="S119" s="22" t="e">
        <f aca="false">INDEX(Sector_div!$B$2:$B$227,MATCH(A119,Sector_div!$A$2:$A$227,0))</f>
        <v>#N/A</v>
      </c>
      <c r="T119" s="26"/>
      <c r="U119" s="27" t="str">
        <f aca="false">CONCATENATE("NSE:",A119,",")</f>
        <v>NSE:IREDA,</v>
      </c>
      <c r="V119" s="26"/>
      <c r="W119" s="26"/>
      <c r="X119" s="26"/>
      <c r="Y119" s="26"/>
      <c r="Z119" s="26"/>
    </row>
    <row r="120" customFormat="false" ht="15.75" hidden="false" customHeight="true" outlineLevel="0" collapsed="false">
      <c r="A120" s="22" t="str">
        <f aca="false">Data!A213</f>
        <v>IDFCFIRSTB</v>
      </c>
      <c r="B120" s="23" t="n">
        <f aca="false">Data!B213</f>
        <v>69.68</v>
      </c>
      <c r="C120" s="22" t="n">
        <f aca="false">Data!C213</f>
        <v>70.45</v>
      </c>
      <c r="D120" s="22" t="n">
        <f aca="false">Data!D213</f>
        <v>69.47</v>
      </c>
      <c r="E120" s="24" t="n">
        <f aca="false">Data!E213</f>
        <v>-0.571</v>
      </c>
      <c r="F120" s="22" t="n">
        <f aca="false">Data!F213</f>
        <v>1.36</v>
      </c>
      <c r="G120" s="22" t="n">
        <f aca="false">Data!S213</f>
        <v>11.18</v>
      </c>
      <c r="H120" s="25" t="n">
        <f aca="false">Data!T169*100</f>
        <v>11.9</v>
      </c>
      <c r="I120" s="22" t="str">
        <f aca="false">IF(AND(C120=Data!G213,E120&gt;0),IF(AND(C120=Data!U213,E120&gt;0),"Buy_ 52W_H","Buy_50D_H"),IF(AND(Data!H213=D120,E120&lt;0),IF(AND(Data!V213=D120,E120&lt;0),"Sell_52W_L ","Sell_50D_L "),""))</f>
        <v/>
      </c>
      <c r="J120" s="22" t="n">
        <f aca="false">RANK(L120,L:L)</f>
        <v>119</v>
      </c>
      <c r="K120" s="22" t="str">
        <f aca="false">IF(Data!R213&gt;=B120,IF(((C120-B120)/(C120-D120))*100&gt;80,"Down"," "),IF(Data!R213&lt;=B120,IF(((B120-D120)/(C120-D120))*100&gt;80,"Up"," ")))</f>
        <v> </v>
      </c>
      <c r="L120" s="22" t="n">
        <f aca="false">Data!I213</f>
        <v>15.71</v>
      </c>
      <c r="M120" s="22" t="str">
        <f aca="false">IF(AND(B120&gt;Data!P213,Data!O213&lt;Data!P213),"Buy",IF(AND(B120&lt;Data!P213,Data!O213&gt;Data!P213),"Sell",""))</f>
        <v/>
      </c>
      <c r="N120" s="22" t="n">
        <f aca="false">Data!K213/1000</f>
        <v>15433.264</v>
      </c>
      <c r="O120" s="22" t="n">
        <f aca="false">Data!L213</f>
        <v>1.43</v>
      </c>
      <c r="P120" s="22" t="n">
        <f aca="false">Data!M213</f>
        <v>71.34</v>
      </c>
      <c r="Q120" s="22" t="n">
        <f aca="false">Data!N213</f>
        <v>71.35</v>
      </c>
      <c r="R120" s="22" t="n">
        <f aca="false">Data!J213</f>
        <v>45.79</v>
      </c>
      <c r="S120" s="22" t="str">
        <f aca="false">INDEX(Sector_div!$B$2:$B$227,MATCH(A120,Sector_div!$A$2:$A$227,0))</f>
        <v>bank</v>
      </c>
      <c r="T120" s="26"/>
      <c r="U120" s="27" t="str">
        <f aca="false">CONCATENATE("NSE:",A120,",")</f>
        <v>NSE:IDFCFIRSTB,</v>
      </c>
      <c r="V120" s="26"/>
      <c r="W120" s="26"/>
      <c r="X120" s="26"/>
      <c r="Y120" s="26"/>
      <c r="Z120" s="26"/>
    </row>
    <row r="121" customFormat="false" ht="15.75" hidden="false" customHeight="true" outlineLevel="0" collapsed="false">
      <c r="A121" s="22" t="str">
        <f aca="false">Data!A22</f>
        <v>BRITANNIA</v>
      </c>
      <c r="B121" s="23" t="n">
        <f aca="false">Data!B22</f>
        <v>5568</v>
      </c>
      <c r="C121" s="22" t="n">
        <f aca="false">Data!C22</f>
        <v>5667.5</v>
      </c>
      <c r="D121" s="22" t="n">
        <f aca="false">Data!D22</f>
        <v>5525.5</v>
      </c>
      <c r="E121" s="24" t="n">
        <f aca="false">Data!E22</f>
        <v>-0.527</v>
      </c>
      <c r="F121" s="22" t="n">
        <f aca="false">Data!F22</f>
        <v>153.97</v>
      </c>
      <c r="G121" s="22" t="n">
        <f aca="false">Data!S22</f>
        <v>13.94</v>
      </c>
      <c r="H121" s="25" t="n">
        <f aca="false">Data!T7*100</f>
        <v>0.2</v>
      </c>
      <c r="I121" s="22" t="str">
        <f aca="false">IF(AND(C121=Data!G22,E121&gt;0),IF(AND(C121=Data!U22,E121&gt;0),"Buy_ 52W_H","Buy_50D_H"),IF(AND(Data!H22=D121,E121&lt;0),IF(AND(Data!V22=D121,E121&lt;0),"Sell_52W_L ","Sell_50D_L "),""))</f>
        <v/>
      </c>
      <c r="J121" s="22" t="n">
        <f aca="false">RANK(L121,L:L)</f>
        <v>120</v>
      </c>
      <c r="K121" s="22" t="str">
        <f aca="false">IF(Data!R22&gt;=B121,IF(((C121-B121)/(C121-D121))*100&gt;80,"Down"," "),IF(Data!R22&lt;=B121,IF(((B121-D121)/(C121-D121))*100&gt;80,"Up"," ")))</f>
        <v> </v>
      </c>
      <c r="L121" s="22" t="n">
        <f aca="false">Data!I22</f>
        <v>13.61</v>
      </c>
      <c r="M121" s="22" t="str">
        <f aca="false">IF(AND(B121&gt;Data!P22,Data!O22&lt;Data!P22),"Buy",IF(AND(B121&lt;Data!P22,Data!O22&gt;Data!P22),"Sell",""))</f>
        <v/>
      </c>
      <c r="N121" s="22" t="n">
        <f aca="false">Data!K22/1000</f>
        <v>269.981</v>
      </c>
      <c r="O121" s="22" t="n">
        <f aca="false">Data!L22</f>
        <v>0.988</v>
      </c>
      <c r="P121" s="22" t="n">
        <f aca="false">Data!M22</f>
        <v>5352.17</v>
      </c>
      <c r="Q121" s="22" t="n">
        <f aca="false">Data!N22</f>
        <v>5500.46</v>
      </c>
      <c r="R121" s="22" t="n">
        <f aca="false">Data!J22</f>
        <v>53.57</v>
      </c>
      <c r="S121" s="22" t="str">
        <f aca="false">INDEX(Sector_div!$B$2:$B$227,MATCH(A121,Sector_div!$A$2:$A$227,0))</f>
        <v>fmcg</v>
      </c>
      <c r="T121" s="26"/>
      <c r="U121" s="27" t="str">
        <f aca="false">CONCATENATE("NSE:",A121,",")</f>
        <v>NSE:BRITANNIA,</v>
      </c>
      <c r="V121" s="26"/>
      <c r="W121" s="26"/>
      <c r="X121" s="26"/>
      <c r="Y121" s="26"/>
      <c r="Z121" s="26"/>
    </row>
    <row r="122" customFormat="false" ht="15.75" hidden="false" customHeight="true" outlineLevel="0" collapsed="false">
      <c r="A122" s="22" t="str">
        <f aca="false">Data!A3</f>
        <v>BOSCHLTD</v>
      </c>
      <c r="B122" s="23" t="n">
        <f aca="false">Data!B3</f>
        <v>39345</v>
      </c>
      <c r="C122" s="22" t="n">
        <f aca="false">Data!C3</f>
        <v>39780</v>
      </c>
      <c r="D122" s="22" t="n">
        <f aca="false">Data!D3</f>
        <v>39165</v>
      </c>
      <c r="E122" s="24" t="n">
        <f aca="false">Data!E3</f>
        <v>-0.329</v>
      </c>
      <c r="F122" s="22" t="n">
        <f aca="false">Data!F3</f>
        <v>835.28</v>
      </c>
      <c r="G122" s="22" t="n">
        <f aca="false">Data!S3</f>
        <v>4.71</v>
      </c>
      <c r="H122" s="25" t="n">
        <f aca="false">Data!T177*100</f>
        <v>16.8</v>
      </c>
      <c r="I122" s="22" t="str">
        <f aca="false">IF(AND(C122=Data!G3,E122&gt;0),IF(AND(C122=Data!U3,E122&gt;0),"Buy_ 52W_H","Buy_50D_H"),IF(AND(Data!H3=D122,E122&lt;0),IF(AND(Data!V3=D122,E122&lt;0),"Sell_52W_L ","Sell_50D_L "),""))</f>
        <v/>
      </c>
      <c r="J122" s="22" t="n">
        <f aca="false">RANK(L122,L:L)</f>
        <v>121</v>
      </c>
      <c r="K122" s="22" t="str">
        <f aca="false">IF(Data!R3&gt;=B122,IF(((C122-B122)/(C122-D122))*100&gt;80,"Down"," "),IF(Data!R3&lt;=B122,IF(((B122-D122)/(C122-D122))*100&gt;80,"Up"," ")))</f>
        <v> </v>
      </c>
      <c r="L122" s="22" t="n">
        <f aca="false">Data!I3</f>
        <v>13.12</v>
      </c>
      <c r="M122" s="22" t="str">
        <f aca="false">IF(AND(B122&gt;Data!P3,Data!O3&lt;Data!P3),"Buy",IF(AND(B122&lt;Data!P3,Data!O3&gt;Data!P3),"Sell",""))</f>
        <v/>
      </c>
      <c r="N122" s="22" t="n">
        <f aca="false">Data!K3/1000</f>
        <v>14.967</v>
      </c>
      <c r="O122" s="22" t="n">
        <f aca="false">Data!L3</f>
        <v>0.697</v>
      </c>
      <c r="P122" s="22" t="n">
        <f aca="false">Data!M3</f>
        <v>40568.02</v>
      </c>
      <c r="Q122" s="22" t="n">
        <f aca="false">Data!N3</f>
        <v>39137.45</v>
      </c>
      <c r="R122" s="22" t="n">
        <f aca="false">Data!J3</f>
        <v>52.86</v>
      </c>
      <c r="S122" s="22" t="str">
        <f aca="false">INDEX(Sector_div!$B$2:$B$227,MATCH(A122,Sector_div!$A$2:$A$227,0))</f>
        <v>auto</v>
      </c>
      <c r="T122" s="26"/>
      <c r="U122" s="27" t="str">
        <f aca="false">CONCATENATE("NSE:",A122,",")</f>
        <v>NSE:BOSCHLTD,</v>
      </c>
      <c r="V122" s="26"/>
      <c r="W122" s="26"/>
      <c r="X122" s="26"/>
      <c r="Y122" s="26"/>
      <c r="Z122" s="26"/>
    </row>
    <row r="123" customFormat="false" ht="15.75" hidden="false" customHeight="true" outlineLevel="0" collapsed="false">
      <c r="A123" s="22" t="str">
        <f aca="false">Data!A11</f>
        <v>MCX</v>
      </c>
      <c r="B123" s="23" t="n">
        <f aca="false">Data!B11</f>
        <v>7960</v>
      </c>
      <c r="C123" s="22" t="n">
        <f aca="false">Data!C11</f>
        <v>8080</v>
      </c>
      <c r="D123" s="22" t="n">
        <f aca="false">Data!D11</f>
        <v>7923</v>
      </c>
      <c r="E123" s="24" t="n">
        <f aca="false">Data!E11</f>
        <v>0.416</v>
      </c>
      <c r="F123" s="22" t="n">
        <f aca="false">Data!F11</f>
        <v>235.72</v>
      </c>
      <c r="G123" s="22" t="n">
        <f aca="false">Data!S11</f>
        <v>12.67</v>
      </c>
      <c r="H123" s="25" t="n">
        <f aca="false">Data!T173*100</f>
        <v>17.4</v>
      </c>
      <c r="I123" s="22" t="str">
        <f aca="false">IF(AND(C123=Data!G11,E123&gt;0),IF(AND(C123=Data!U11,E123&gt;0),"Buy_ 52W_H","Buy_50D_H"),IF(AND(Data!H11=D123,E123&lt;0),IF(AND(Data!V11=D123,E123&lt;0),"Sell_52W_L ","Sell_50D_L "),""))</f>
        <v/>
      </c>
      <c r="J123" s="22" t="n">
        <f aca="false">RANK(L123,L:L)</f>
        <v>122</v>
      </c>
      <c r="K123" s="22" t="str">
        <f aca="false">IF(Data!R11&gt;=B123,IF(((C123-B123)/(C123-D123))*100&gt;80,"Down"," "),IF(Data!R11&lt;=B123,IF(((B123-D123)/(C123-D123))*100&gt;80,"Up"," ")))</f>
        <v> </v>
      </c>
      <c r="L123" s="22" t="n">
        <f aca="false">Data!I11</f>
        <v>7.64</v>
      </c>
      <c r="M123" s="22" t="str">
        <f aca="false">IF(AND(B123&gt;Data!P11,Data!O11&lt;Data!P11),"Buy",IF(AND(B123&lt;Data!P11,Data!O11&gt;Data!P11),"Sell",""))</f>
        <v/>
      </c>
      <c r="N123" s="22" t="n">
        <f aca="false">Data!K11/1000</f>
        <v>470.294</v>
      </c>
      <c r="O123" s="22" t="n">
        <f aca="false">Data!L11</f>
        <v>0.691</v>
      </c>
      <c r="P123" s="22" t="n">
        <f aca="false">Data!M11</f>
        <v>7834.35</v>
      </c>
      <c r="Q123" s="22" t="n">
        <f aca="false">Data!N11</f>
        <v>8238.76</v>
      </c>
      <c r="R123" s="22" t="n">
        <f aca="false">Data!J11</f>
        <v>43.77</v>
      </c>
      <c r="S123" s="22" t="str">
        <f aca="false">INDEX(Sector_div!$B$2:$B$227,MATCH(A123,Sector_div!$A$2:$A$227,0))</f>
        <v>finance</v>
      </c>
      <c r="T123" s="26"/>
      <c r="U123" s="27" t="str">
        <f aca="false">CONCATENATE("NSE:",A123,",")</f>
        <v>NSE:MCX,</v>
      </c>
      <c r="V123" s="26"/>
      <c r="W123" s="26"/>
      <c r="X123" s="26"/>
      <c r="Y123" s="26"/>
      <c r="Z123" s="26"/>
    </row>
    <row r="124" customFormat="false" ht="15.75" hidden="false" customHeight="true" outlineLevel="0" collapsed="false">
      <c r="A124" s="22" t="str">
        <f aca="false">Data!A166</f>
        <v>INDUSTOWER</v>
      </c>
      <c r="B124" s="23" t="n">
        <f aca="false">Data!B166</f>
        <v>353.55</v>
      </c>
      <c r="C124" s="22" t="n">
        <f aca="false">Data!C166</f>
        <v>359.8</v>
      </c>
      <c r="D124" s="22" t="n">
        <f aca="false">Data!D166</f>
        <v>348.8</v>
      </c>
      <c r="E124" s="24" t="n">
        <f aca="false">Data!E166</f>
        <v>1.58</v>
      </c>
      <c r="F124" s="22" t="n">
        <f aca="false">Data!F166</f>
        <v>9.94</v>
      </c>
      <c r="G124" s="22" t="n">
        <f aca="false">Data!S166</f>
        <v>23.2</v>
      </c>
      <c r="H124" s="22" t="n">
        <f aca="false">Data!T36*100</f>
        <v>0.6</v>
      </c>
      <c r="I124" s="22" t="str">
        <f aca="false">IF(AND(C124=Data!G166,E124&gt;0),IF(AND(C124=Data!U166,E124&gt;0),"Buy_ 52W_H","Buy_50D_H"),IF(AND(Data!H166=D124,E124&lt;0),IF(AND(Data!V166=D124,E124&lt;0),"Sell_52W_L ","Sell_50D_L "),""))</f>
        <v/>
      </c>
      <c r="J124" s="22" t="n">
        <f aca="false">RANK(L124,L:L)</f>
        <v>123</v>
      </c>
      <c r="K124" s="22" t="str">
        <f aca="false">IF(Data!R166&gt;=B124,IF(((C124-B124)/(C124-D124))*100&gt;80,"Down"," "),IF(Data!R166&lt;=B124,IF(((B124-D124)/(C124-D124))*100&gt;80,"Up"," ")))</f>
        <v> </v>
      </c>
      <c r="L124" s="22" t="n">
        <f aca="false">Data!I166</f>
        <v>6.12</v>
      </c>
      <c r="M124" s="22" t="str">
        <f aca="false">IF(AND(B124&gt;Data!P166,Data!O166&lt;Data!P166),"Buy",IF(AND(B124&lt;Data!P166,Data!O166&gt;Data!P166),"Sell",""))</f>
        <v>Buy</v>
      </c>
      <c r="N124" s="22" t="n">
        <f aca="false">Data!K166/1000</f>
        <v>16975.589</v>
      </c>
      <c r="O124" s="22" t="n">
        <f aca="false">Data!L166</f>
        <v>5.85</v>
      </c>
      <c r="P124" s="22" t="n">
        <f aca="false">Data!M166</f>
        <v>334.41</v>
      </c>
      <c r="Q124" s="22" t="n">
        <f aca="false">Data!N166</f>
        <v>344.36</v>
      </c>
      <c r="R124" s="22" t="n">
        <f aca="false">Data!J166</f>
        <v>60.13</v>
      </c>
      <c r="S124" s="22" t="str">
        <f aca="false">INDEX(Sector_div!$B$2:$B$227,MATCH(A124,Sector_div!$A$2:$A$227,0))</f>
        <v>telecom</v>
      </c>
      <c r="T124" s="26"/>
      <c r="U124" s="27" t="str">
        <f aca="false">CONCATENATE("NSE:",A124,",")</f>
        <v>NSE:INDUSTOWER,</v>
      </c>
      <c r="V124" s="26"/>
      <c r="W124" s="26"/>
      <c r="X124" s="26"/>
      <c r="Y124" s="26"/>
      <c r="Z124" s="26"/>
    </row>
    <row r="125" customFormat="false" ht="15.75" hidden="false" customHeight="true" outlineLevel="0" collapsed="false">
      <c r="A125" s="22" t="str">
        <f aca="false">Data!A132</f>
        <v>TATATECH</v>
      </c>
      <c r="B125" s="23" t="n">
        <f aca="false">Data!B132</f>
        <v>683.6</v>
      </c>
      <c r="C125" s="22" t="n">
        <f aca="false">Data!C132</f>
        <v>689.1</v>
      </c>
      <c r="D125" s="22" t="n">
        <f aca="false">Data!D132</f>
        <v>682.3</v>
      </c>
      <c r="E125" s="24" t="n">
        <f aca="false">Data!E132</f>
        <v>-0.43</v>
      </c>
      <c r="F125" s="22" t="n">
        <f aca="false">Data!F132</f>
        <v>11.86</v>
      </c>
      <c r="G125" s="22" t="n">
        <f aca="false">Data!S132</f>
        <v>39.82</v>
      </c>
      <c r="H125" s="25" t="n">
        <f aca="false">Data!T159*100</f>
        <v>4.6</v>
      </c>
      <c r="I125" s="22" t="str">
        <f aca="false">IF(AND(C125=Data!G132,E125&gt;0),IF(AND(C125=Data!U132,E125&gt;0),"Buy_ 52W_H","Buy_50D_H"),IF(AND(Data!H132=D125,E125&lt;0),IF(AND(Data!V132=D125,E125&lt;0),"Sell_52W_L ","Sell_50D_L "),""))</f>
        <v/>
      </c>
      <c r="J125" s="22" t="n">
        <f aca="false">RANK(L125,L:L)</f>
        <v>124</v>
      </c>
      <c r="K125" s="22" t="str">
        <f aca="false">IF(Data!R132&gt;=B125,IF(((C125-B125)/(C125-D125))*100&gt;80,"Down"," "),IF(Data!R132&lt;=B125,IF(((B125-D125)/(C125-D125))*100&gt;80,"Up"," ")))</f>
        <v>Down</v>
      </c>
      <c r="L125" s="22" t="n">
        <f aca="false">Data!I132</f>
        <v>4.86</v>
      </c>
      <c r="M125" s="22" t="str">
        <f aca="false">IF(AND(B125&gt;Data!P132,Data!O132&lt;Data!P132),"Buy",IF(AND(B125&lt;Data!P132,Data!O132&gt;Data!P132),"Sell",""))</f>
        <v/>
      </c>
      <c r="N125" s="22" t="n">
        <f aca="false">Data!K132/1000</f>
        <v>291.901</v>
      </c>
      <c r="O125" s="22" t="n">
        <f aca="false">Data!L132</f>
        <v>0.627</v>
      </c>
      <c r="P125" s="22" t="n">
        <f aca="false">Data!M132</f>
        <v>664.14</v>
      </c>
      <c r="Q125" s="22" t="n">
        <f aca="false">Data!N132</f>
        <v>677.01</v>
      </c>
      <c r="R125" s="22" t="n">
        <f aca="false">Data!J132</f>
        <v>54.76</v>
      </c>
      <c r="S125" s="22" t="str">
        <f aca="false">INDEX(Sector_div!$B$2:$B$227,MATCH(A125,Sector_div!$A$2:$A$227,0))</f>
        <v>i.t</v>
      </c>
      <c r="T125" s="26"/>
      <c r="U125" s="27" t="str">
        <f aca="false">CONCATENATE("NSE:",A125,",")</f>
        <v>NSE:TATATECH,</v>
      </c>
      <c r="V125" s="26"/>
      <c r="W125" s="26"/>
      <c r="X125" s="26"/>
      <c r="Y125" s="26"/>
      <c r="Z125" s="26"/>
    </row>
    <row r="126" customFormat="false" ht="15.75" hidden="false" customHeight="true" outlineLevel="0" collapsed="false">
      <c r="A126" s="22" t="str">
        <f aca="false">Data!A155</f>
        <v>HINDZINC</v>
      </c>
      <c r="B126" s="23" t="n">
        <f aca="false">Data!B155</f>
        <v>424.9</v>
      </c>
      <c r="C126" s="22" t="n">
        <f aca="false">Data!C155</f>
        <v>431.4</v>
      </c>
      <c r="D126" s="22" t="n">
        <f aca="false">Data!D155</f>
        <v>424.5</v>
      </c>
      <c r="E126" s="24" t="n">
        <f aca="false">Data!E155</f>
        <v>-1.38</v>
      </c>
      <c r="F126" s="22" t="n">
        <f aca="false">Data!F155</f>
        <v>7.42</v>
      </c>
      <c r="G126" s="22" t="n">
        <f aca="false">Data!S155</f>
        <v>26.16</v>
      </c>
      <c r="H126" s="22" t="n">
        <f aca="false">Data!T66*100</f>
        <v>1.1</v>
      </c>
      <c r="I126" s="22" t="str">
        <f aca="false">IF(AND(C126=Data!G155,E126&gt;0),IF(AND(C126=Data!U155,E126&gt;0),"Buy_ 52W_H","Buy_50D_H"),IF(AND(Data!H155=D126,E126&lt;0),IF(AND(Data!V155=D126,E126&lt;0),"Sell_52W_L ","Sell_50D_L "),""))</f>
        <v/>
      </c>
      <c r="J126" s="22" t="n">
        <f aca="false">RANK(L126,L:L)</f>
        <v>125</v>
      </c>
      <c r="K126" s="22" t="str">
        <f aca="false">IF(Data!R155&gt;=B126,IF(((C126-B126)/(C126-D126))*100&gt;80,"Down"," "),IF(Data!R155&lt;=B126,IF(((B126-D126)/(C126-D126))*100&gt;80,"Up"," ")))</f>
        <v>Down</v>
      </c>
      <c r="L126" s="22" t="n">
        <f aca="false">Data!I155</f>
        <v>2.24</v>
      </c>
      <c r="M126" s="22" t="str">
        <f aca="false">IF(AND(B126&gt;Data!P155,Data!O155&lt;Data!P155),"Buy",IF(AND(B126&lt;Data!P155,Data!O155&gt;Data!P155),"Sell",""))</f>
        <v/>
      </c>
      <c r="N126" s="22" t="n">
        <f aca="false">Data!K155/1000</f>
        <v>826.451</v>
      </c>
      <c r="O126" s="22" t="n">
        <f aca="false">Data!L155</f>
        <v>0.713</v>
      </c>
      <c r="P126" s="22" t="n">
        <f aca="false">Data!M155</f>
        <v>435.55</v>
      </c>
      <c r="Q126" s="22" t="n">
        <f aca="false">Data!N155</f>
        <v>424.13</v>
      </c>
      <c r="R126" s="22" t="n">
        <f aca="false">Data!J155</f>
        <v>44.3</v>
      </c>
      <c r="S126" s="22" t="e">
        <f aca="false">INDEX(Sector_div!$B$2:$B$227,MATCH(A126,Sector_div!$A$2:$A$227,0))</f>
        <v>#N/A</v>
      </c>
      <c r="T126" s="26"/>
      <c r="U126" s="27" t="str">
        <f aca="false">CONCATENATE("NSE:",A126,",")</f>
        <v>NSE:HINDZINC,</v>
      </c>
      <c r="V126" s="26"/>
      <c r="W126" s="26"/>
      <c r="X126" s="26"/>
      <c r="Y126" s="26"/>
      <c r="Z126" s="26"/>
    </row>
    <row r="127" customFormat="false" ht="15.75" hidden="false" customHeight="true" outlineLevel="0" collapsed="false">
      <c r="A127" s="22" t="str">
        <f aca="false">Data!A193</f>
        <v>TATASTEEL</v>
      </c>
      <c r="B127" s="23" t="n">
        <f aca="false">Data!B193</f>
        <v>158.55</v>
      </c>
      <c r="C127" s="22" t="n">
        <f aca="false">Data!C193</f>
        <v>161.28</v>
      </c>
      <c r="D127" s="22" t="n">
        <f aca="false">Data!D193</f>
        <v>158.1</v>
      </c>
      <c r="E127" s="24" t="n">
        <f aca="false">Data!E193</f>
        <v>-1.83</v>
      </c>
      <c r="F127" s="22" t="n">
        <f aca="false">Data!F193</f>
        <v>3.32</v>
      </c>
      <c r="G127" s="22" t="n">
        <f aca="false">Data!S193</f>
        <v>6.83</v>
      </c>
      <c r="H127" s="25" t="n">
        <f aca="false">Data!T25*100</f>
        <v>0.4</v>
      </c>
      <c r="I127" s="22" t="str">
        <f aca="false">IF(AND(C127=Data!G193,E127&gt;0),IF(AND(C127=Data!U193,E127&gt;0),"Buy_ 52W_H","Buy_50D_H"),IF(AND(Data!H193=D127,E127&lt;0),IF(AND(Data!V193=D127,E127&lt;0),"Sell_52W_L ","Sell_50D_L "),""))</f>
        <v/>
      </c>
      <c r="J127" s="22" t="n">
        <f aca="false">RANK(L127,L:L)</f>
        <v>126</v>
      </c>
      <c r="K127" s="22" t="str">
        <f aca="false">IF(Data!R193&gt;=B127,IF(((C127-B127)/(C127-D127))*100&gt;80,"Down"," "),IF(Data!R193&lt;=B127,IF(((B127-D127)/(C127-D127))*100&gt;80,"Up"," ")))</f>
        <v>Down</v>
      </c>
      <c r="L127" s="22" t="n">
        <f aca="false">Data!I193</f>
        <v>1.74</v>
      </c>
      <c r="M127" s="22" t="str">
        <f aca="false">IF(AND(B127&gt;Data!P193,Data!O193&lt;Data!P193),"Buy",IF(AND(B127&lt;Data!P193,Data!O193&gt;Data!P193),"Sell",""))</f>
        <v/>
      </c>
      <c r="N127" s="22" t="n">
        <f aca="false">Data!K193/1000</f>
        <v>16063.695</v>
      </c>
      <c r="O127" s="22" t="n">
        <f aca="false">Data!L193</f>
        <v>0.929</v>
      </c>
      <c r="P127" s="22" t="n">
        <f aca="false">Data!M193</f>
        <v>155.23</v>
      </c>
      <c r="Q127" s="22" t="n">
        <f aca="false">Data!N193</f>
        <v>158.55</v>
      </c>
      <c r="R127" s="22" t="n">
        <f aca="false">Data!J193</f>
        <v>46.31</v>
      </c>
      <c r="S127" s="22" t="str">
        <f aca="false">INDEX(Sector_div!$B$2:$B$227,MATCH(A127,Sector_div!$A$2:$A$227,0))</f>
        <v>metals</v>
      </c>
      <c r="T127" s="26"/>
      <c r="U127" s="27" t="str">
        <f aca="false">CONCATENATE("NSE:",A127,",")</f>
        <v>NSE:TATASTEEL,</v>
      </c>
      <c r="V127" s="26"/>
      <c r="W127" s="26"/>
      <c r="X127" s="26"/>
      <c r="Y127" s="26"/>
      <c r="Z127" s="26"/>
    </row>
    <row r="128" customFormat="false" ht="15.75" hidden="false" customHeight="true" outlineLevel="0" collapsed="false">
      <c r="A128" s="22" t="str">
        <f aca="false">Data!A150</f>
        <v>GRANULES</v>
      </c>
      <c r="B128" s="23" t="n">
        <f aca="false">Data!B150</f>
        <v>458.5</v>
      </c>
      <c r="C128" s="22" t="n">
        <f aca="false">Data!C150</f>
        <v>465.8</v>
      </c>
      <c r="D128" s="22" t="n">
        <f aca="false">Data!D150</f>
        <v>456</v>
      </c>
      <c r="E128" s="24" t="n">
        <f aca="false">Data!E150</f>
        <v>-0.758</v>
      </c>
      <c r="F128" s="22" t="n">
        <f aca="false">Data!F150</f>
        <v>12.72</v>
      </c>
      <c r="G128" s="22" t="n">
        <f aca="false">Data!S150</f>
        <v>36.41</v>
      </c>
      <c r="H128" s="22" t="n">
        <f aca="false">Data!T68*100</f>
        <v>1.4</v>
      </c>
      <c r="I128" s="22" t="str">
        <f aca="false">IF(AND(C128=Data!G150,E128&gt;0),IF(AND(C128=Data!U150,E128&gt;0),"Buy_ 52W_H","Buy_50D_H"),IF(AND(Data!H150=D128,E128&lt;0),IF(AND(Data!V150=D128,E128&lt;0),"Sell_52W_L ","Sell_50D_L "),""))</f>
        <v/>
      </c>
      <c r="J128" s="22" t="n">
        <f aca="false">RANK(L128,L:L)</f>
        <v>127</v>
      </c>
      <c r="K128" s="22" t="str">
        <f aca="false">IF(Data!R150&gt;=B128,IF(((C128-B128)/(C128-D128))*100&gt;80,"Down"," "),IF(Data!R150&lt;=B128,IF(((B128-D128)/(C128-D128))*100&gt;80,"Up"," ")))</f>
        <v> </v>
      </c>
      <c r="L128" s="22" t="n">
        <f aca="false">Data!I150</f>
        <v>0.07</v>
      </c>
      <c r="M128" s="22" t="str">
        <f aca="false">IF(AND(B128&gt;Data!P150,Data!O150&lt;Data!P150),"Buy",IF(AND(B128&lt;Data!P150,Data!O150&gt;Data!P150),"Sell",""))</f>
        <v/>
      </c>
      <c r="N128" s="22" t="n">
        <f aca="false">Data!K150/1000</f>
        <v>945.653</v>
      </c>
      <c r="O128" s="22" t="n">
        <f aca="false">Data!L150</f>
        <v>0.886</v>
      </c>
      <c r="P128" s="22" t="n">
        <f aca="false">Data!M150</f>
        <v>471.69</v>
      </c>
      <c r="Q128" s="22" t="n">
        <f aca="false">Data!N150</f>
        <v>448.61</v>
      </c>
      <c r="R128" s="22" t="n">
        <f aca="false">Data!J150</f>
        <v>48.87</v>
      </c>
      <c r="S128" s="22" t="str">
        <f aca="false">INDEX(Sector_div!$B$2:$B$227,MATCH(A128,Sector_div!$A$2:$A$227,0))</f>
        <v>Pharma&amp;Healthcare</v>
      </c>
      <c r="T128" s="26"/>
      <c r="U128" s="27" t="str">
        <f aca="false">CONCATENATE("NSE:",A128,",")</f>
        <v>NSE:GRANULES,</v>
      </c>
      <c r="V128" s="26"/>
      <c r="W128" s="26"/>
      <c r="X128" s="26"/>
      <c r="Y128" s="26"/>
      <c r="Z128" s="26"/>
    </row>
    <row r="129" customFormat="false" ht="15.75" hidden="false" customHeight="true" outlineLevel="0" collapsed="false">
      <c r="A129" s="22" t="n">
        <f aca="false">Data!A221</f>
        <v>0</v>
      </c>
      <c r="B129" s="23" t="n">
        <f aca="false">Data!B221</f>
        <v>0</v>
      </c>
      <c r="C129" s="22" t="n">
        <f aca="false">Data!C221</f>
        <v>0</v>
      </c>
      <c r="D129" s="22" t="n">
        <f aca="false">Data!D221</f>
        <v>0</v>
      </c>
      <c r="E129" s="24" t="n">
        <f aca="false">Data!E221</f>
        <v>0</v>
      </c>
      <c r="F129" s="22" t="n">
        <f aca="false">Data!F221</f>
        <v>0</v>
      </c>
      <c r="G129" s="22" t="n">
        <f aca="false">Data!S221</f>
        <v>0</v>
      </c>
      <c r="I129" s="22" t="str">
        <f aca="false">IF(AND(C129=Data!G221,E129&gt;0),IF(AND(C129=Data!U221,E129&gt;0),"Buy_ 52W_H","Buy_50D_H"),IF(AND(Data!H221=D129,E129&lt;0),IF(AND(Data!V221=D129,E129&lt;0),"Sell_52W_L ","Sell_50D_L "),""))</f>
        <v/>
      </c>
      <c r="J129" s="22" t="n">
        <f aca="false">RANK(L129,L:L)</f>
        <v>128</v>
      </c>
      <c r="K129" s="22" t="e">
        <f aca="false">IF(Data!R221&gt;=B129,IF(((C129-B129)/(C129-D129))*100&gt;80,"Down"," "),IF(Data!R221&lt;=B129,IF(((B129-D129)/(C129-D129))*100&gt;80,"Up"," ")))</f>
        <v>#DIV/0!</v>
      </c>
      <c r="L129" s="22" t="n">
        <f aca="false">Data!I221</f>
        <v>0</v>
      </c>
      <c r="M129" s="22" t="str">
        <f aca="false">IF(AND(B129&gt;Data!P221,Data!O221&lt;Data!P221),"Buy",IF(AND(B129&lt;Data!P221,Data!O221&gt;Data!P221),"Sell",""))</f>
        <v/>
      </c>
      <c r="N129" s="22" t="n">
        <f aca="false">Data!K221/1000</f>
        <v>0</v>
      </c>
      <c r="O129" s="22" t="n">
        <f aca="false">Data!L221</f>
        <v>0</v>
      </c>
      <c r="P129" s="22" t="n">
        <f aca="false">Data!M221</f>
        <v>0</v>
      </c>
      <c r="Q129" s="22" t="n">
        <f aca="false">Data!N221</f>
        <v>0</v>
      </c>
      <c r="R129" s="22" t="n">
        <f aca="false">Data!J221</f>
        <v>0</v>
      </c>
      <c r="S129" s="22" t="e">
        <f aca="false">INDEX(Sector_div!$B$2:$B$227,MATCH(A129,Sector_div!$A$2:$A$227,0))</f>
        <v>#N/A</v>
      </c>
      <c r="T129" s="26"/>
      <c r="U129" s="27" t="str">
        <f aca="false">CONCATENATE("NSE:",A129,",")</f>
        <v>NSE:0,</v>
      </c>
      <c r="V129" s="26"/>
      <c r="W129" s="26"/>
      <c r="X129" s="26"/>
      <c r="Y129" s="26"/>
      <c r="Z129" s="26"/>
    </row>
    <row r="130" customFormat="false" ht="15.75" hidden="false" customHeight="true" outlineLevel="0" collapsed="false">
      <c r="A130" s="22" t="n">
        <f aca="false">Data!A220</f>
        <v>0</v>
      </c>
      <c r="B130" s="23" t="n">
        <f aca="false">Data!B220</f>
        <v>0</v>
      </c>
      <c r="C130" s="22" t="n">
        <f aca="false">Data!C220</f>
        <v>0</v>
      </c>
      <c r="D130" s="22" t="n">
        <f aca="false">Data!D220</f>
        <v>0</v>
      </c>
      <c r="E130" s="24" t="n">
        <f aca="false">Data!E220</f>
        <v>0</v>
      </c>
      <c r="F130" s="22" t="n">
        <f aca="false">Data!F220</f>
        <v>0</v>
      </c>
      <c r="G130" s="22" t="n">
        <f aca="false">Data!S220</f>
        <v>0</v>
      </c>
      <c r="I130" s="22" t="str">
        <f aca="false">IF(AND(C130=Data!G220,E130&gt;0),IF(AND(C130=Data!U220,E130&gt;0),"Buy_ 52W_H","Buy_50D_H"),IF(AND(Data!H220=D130,E130&lt;0),IF(AND(Data!V220=D130,E130&lt;0),"Sell_52W_L ","Sell_50D_L "),""))</f>
        <v/>
      </c>
      <c r="J130" s="22" t="n">
        <f aca="false">RANK(L130,L:L)</f>
        <v>128</v>
      </c>
      <c r="K130" s="22" t="e">
        <f aca="false">IF(Data!R220&gt;=B130,IF(((C130-B130)/(C130-D130))*100&gt;80,"Down"," "),IF(Data!R220&lt;=B130,IF(((B130-D130)/(C130-D130))*100&gt;80,"Up"," ")))</f>
        <v>#DIV/0!</v>
      </c>
      <c r="L130" s="22" t="n">
        <f aca="false">Data!I220</f>
        <v>0</v>
      </c>
      <c r="M130" s="22" t="str">
        <f aca="false">IF(AND(B130&gt;Data!P220,Data!O220&lt;Data!P220),"Buy",IF(AND(B130&lt;Data!P220,Data!O220&gt;Data!P220),"Sell",""))</f>
        <v/>
      </c>
      <c r="N130" s="22" t="n">
        <f aca="false">Data!K220/1000</f>
        <v>0</v>
      </c>
      <c r="O130" s="22" t="n">
        <f aca="false">Data!L220</f>
        <v>0</v>
      </c>
      <c r="P130" s="22" t="n">
        <f aca="false">Data!M220</f>
        <v>0</v>
      </c>
      <c r="Q130" s="22" t="n">
        <f aca="false">Data!N220</f>
        <v>0</v>
      </c>
      <c r="R130" s="22" t="n">
        <f aca="false">Data!J220</f>
        <v>0</v>
      </c>
      <c r="S130" s="22" t="e">
        <f aca="false">INDEX(Sector_div!$B$2:$B$227,MATCH(A130,Sector_div!$A$2:$A$227,0))</f>
        <v>#N/A</v>
      </c>
      <c r="T130" s="26"/>
      <c r="U130" s="27" t="str">
        <f aca="false">CONCATENATE("NSE:",A130,",")</f>
        <v>NSE:0,</v>
      </c>
      <c r="V130" s="26"/>
      <c r="W130" s="26"/>
      <c r="X130" s="26"/>
      <c r="Y130" s="26"/>
      <c r="Z130" s="26"/>
    </row>
    <row r="131" customFormat="false" ht="15.75" hidden="false" customHeight="true" outlineLevel="0" collapsed="false">
      <c r="A131" s="22" t="n">
        <f aca="false">Data!A218</f>
        <v>0</v>
      </c>
      <c r="B131" s="23" t="n">
        <f aca="false">Data!B218</f>
        <v>0</v>
      </c>
      <c r="C131" s="22" t="n">
        <f aca="false">Data!C218</f>
        <v>0</v>
      </c>
      <c r="D131" s="22" t="n">
        <f aca="false">Data!D218</f>
        <v>0</v>
      </c>
      <c r="E131" s="24" t="n">
        <f aca="false">Data!E218</f>
        <v>0</v>
      </c>
      <c r="F131" s="22" t="n">
        <f aca="false">Data!F218</f>
        <v>0</v>
      </c>
      <c r="G131" s="22" t="n">
        <f aca="false">Data!S218</f>
        <v>0</v>
      </c>
      <c r="I131" s="22" t="str">
        <f aca="false">IF(AND(C131=Data!G218,E131&gt;0),IF(AND(C131=Data!U218,E131&gt;0),"Buy_ 52W_H","Buy_50D_H"),IF(AND(Data!H218=D131,E131&lt;0),IF(AND(Data!V218=D131,E131&lt;0),"Sell_52W_L ","Sell_50D_L "),""))</f>
        <v/>
      </c>
      <c r="J131" s="22" t="n">
        <f aca="false">RANK(L131,L:L)</f>
        <v>128</v>
      </c>
      <c r="K131" s="22" t="e">
        <f aca="false">IF(Data!R218&gt;=B131,IF(((C131-B131)/(C131-D131))*100&gt;80,"Down"," "),IF(Data!R218&lt;=B131,IF(((B131-D131)/(C131-D131))*100&gt;80,"Up"," ")))</f>
        <v>#DIV/0!</v>
      </c>
      <c r="L131" s="22" t="n">
        <f aca="false">Data!I218</f>
        <v>0</v>
      </c>
      <c r="M131" s="22" t="str">
        <f aca="false">IF(AND(B131&gt;Data!P218,Data!O218&lt;Data!P218),"Buy",IF(AND(B131&lt;Data!P218,Data!O218&gt;Data!P218),"Sell",""))</f>
        <v/>
      </c>
      <c r="N131" s="22" t="n">
        <f aca="false">Data!K218/1000</f>
        <v>0</v>
      </c>
      <c r="O131" s="22" t="n">
        <f aca="false">Data!L218</f>
        <v>0</v>
      </c>
      <c r="P131" s="22" t="n">
        <f aca="false">Data!M218</f>
        <v>0</v>
      </c>
      <c r="Q131" s="22" t="n">
        <f aca="false">Data!N218</f>
        <v>0</v>
      </c>
      <c r="R131" s="22" t="n">
        <f aca="false">Data!J218</f>
        <v>0</v>
      </c>
      <c r="S131" s="22" t="e">
        <f aca="false">INDEX(Sector_div!$B$2:$B$227,MATCH(A131,Sector_div!$A$2:$A$227,0))</f>
        <v>#N/A</v>
      </c>
      <c r="T131" s="26"/>
      <c r="U131" s="27" t="str">
        <f aca="false">CONCATENATE("NSE:",A131,",")</f>
        <v>NSE:0,</v>
      </c>
      <c r="V131" s="26"/>
      <c r="W131" s="26"/>
      <c r="X131" s="26"/>
      <c r="Y131" s="26"/>
      <c r="Z131" s="26"/>
    </row>
    <row r="132" customFormat="false" ht="15.75" hidden="false" customHeight="true" outlineLevel="0" collapsed="false">
      <c r="A132" s="22" t="n">
        <f aca="false">Data!A219</f>
        <v>0</v>
      </c>
      <c r="B132" s="23" t="n">
        <f aca="false">Data!B219</f>
        <v>0</v>
      </c>
      <c r="C132" s="22" t="n">
        <f aca="false">Data!C219</f>
        <v>0</v>
      </c>
      <c r="D132" s="22" t="n">
        <f aca="false">Data!D219</f>
        <v>0</v>
      </c>
      <c r="E132" s="24" t="n">
        <f aca="false">Data!E219</f>
        <v>0</v>
      </c>
      <c r="F132" s="22" t="n">
        <f aca="false">Data!F219</f>
        <v>0</v>
      </c>
      <c r="G132" s="22" t="n">
        <f aca="false">Data!S219</f>
        <v>0</v>
      </c>
      <c r="I132" s="22" t="str">
        <f aca="false">IF(AND(C132=Data!G219,E132&gt;0),IF(AND(C132=Data!U219,E132&gt;0),"Buy_ 52W_H","Buy_50D_H"),IF(AND(Data!H219=D132,E132&lt;0),IF(AND(Data!V219=D132,E132&lt;0),"Sell_52W_L ","Sell_50D_L "),""))</f>
        <v/>
      </c>
      <c r="J132" s="22" t="n">
        <f aca="false">RANK(L132,L:L)</f>
        <v>128</v>
      </c>
      <c r="K132" s="22" t="e">
        <f aca="false">IF(Data!R219&gt;=B132,IF(((C132-B132)/(C132-D132))*100&gt;80,"Down"," "),IF(Data!R219&lt;=B132,IF(((B132-D132)/(C132-D132))*100&gt;80,"Up"," ")))</f>
        <v>#DIV/0!</v>
      </c>
      <c r="L132" s="22" t="n">
        <f aca="false">Data!I219</f>
        <v>0</v>
      </c>
      <c r="M132" s="22" t="str">
        <f aca="false">IF(AND(B132&gt;Data!P219,Data!O219&lt;Data!P219),"Buy",IF(AND(B132&lt;Data!P219,Data!O219&gt;Data!P219),"Sell",""))</f>
        <v/>
      </c>
      <c r="N132" s="22" t="n">
        <f aca="false">Data!K219/1000</f>
        <v>0</v>
      </c>
      <c r="O132" s="22" t="n">
        <f aca="false">Data!L219</f>
        <v>0</v>
      </c>
      <c r="P132" s="22" t="n">
        <f aca="false">Data!M219</f>
        <v>0</v>
      </c>
      <c r="Q132" s="22" t="n">
        <f aca="false">Data!N219</f>
        <v>0</v>
      </c>
      <c r="R132" s="22" t="n">
        <f aca="false">Data!J219</f>
        <v>0</v>
      </c>
      <c r="S132" s="22" t="e">
        <f aca="false">INDEX(Sector_div!$B$2:$B$227,MATCH(A132,Sector_div!$A$2:$A$227,0))</f>
        <v>#N/A</v>
      </c>
      <c r="T132" s="26"/>
      <c r="U132" s="27" t="str">
        <f aca="false">CONCATENATE("NSE:",A132,",")</f>
        <v>NSE:0,</v>
      </c>
      <c r="V132" s="26"/>
      <c r="W132" s="26"/>
      <c r="X132" s="26"/>
      <c r="Y132" s="26"/>
      <c r="Z132" s="26"/>
    </row>
    <row r="133" customFormat="false" ht="15.75" hidden="false" customHeight="true" outlineLevel="0" collapsed="false">
      <c r="A133" s="22" t="str">
        <f aca="false">Data!A106</f>
        <v>AXISBANK</v>
      </c>
      <c r="B133" s="23" t="n">
        <f aca="false">Data!B106</f>
        <v>1070.9</v>
      </c>
      <c r="C133" s="22" t="n">
        <f aca="false">Data!C106</f>
        <v>1078.5</v>
      </c>
      <c r="D133" s="22" t="n">
        <f aca="false">Data!D106</f>
        <v>1069.5</v>
      </c>
      <c r="E133" s="24" t="n">
        <f aca="false">Data!E106</f>
        <v>-0.742</v>
      </c>
      <c r="F133" s="22" t="n">
        <f aca="false">Data!F106</f>
        <v>14.55</v>
      </c>
      <c r="G133" s="22" t="n">
        <f aca="false">Data!S106</f>
        <v>16.44</v>
      </c>
      <c r="H133" s="25" t="n">
        <f aca="false">Data!T29*100</f>
        <v>0.7</v>
      </c>
      <c r="I133" s="22" t="str">
        <f aca="false">IF(AND(C133=Data!G106,E133&gt;0),IF(AND(C133=Data!U106,E133&gt;0),"Buy_ 52W_H","Buy_50D_H"),IF(AND(Data!H106=D133,E133&lt;0),IF(AND(Data!V106=D133,E133&lt;0),"Sell_52W_L ","Sell_50D_L "),""))</f>
        <v/>
      </c>
      <c r="J133" s="22" t="n">
        <f aca="false">RANK(L133,L:L)</f>
        <v>132</v>
      </c>
      <c r="K133" s="22" t="str">
        <f aca="false">IF(Data!R106&gt;=B133,IF(((C133-B133)/(C133-D133))*100&gt;80,"Down"," "),IF(Data!R106&lt;=B133,IF(((B133-D133)/(C133-D133))*100&gt;80,"Up"," ")))</f>
        <v>Down</v>
      </c>
      <c r="L133" s="22" t="n">
        <f aca="false">Data!I106</f>
        <v>-1.62</v>
      </c>
      <c r="M133" s="22" t="str">
        <f aca="false">IF(AND(B133&gt;Data!P106,Data!O106&lt;Data!P106),"Buy",IF(AND(B133&lt;Data!P106,Data!O106&gt;Data!P106),"Sell",""))</f>
        <v/>
      </c>
      <c r="N133" s="22" t="n">
        <f aca="false">Data!K106/1000</f>
        <v>3853.718</v>
      </c>
      <c r="O133" s="22" t="n">
        <f aca="false">Data!L106</f>
        <v>0.597</v>
      </c>
      <c r="P133" s="22" t="n">
        <f aca="false">Data!M106</f>
        <v>1100.97</v>
      </c>
      <c r="Q133" s="22" t="n">
        <f aca="false">Data!N106</f>
        <v>1083.4</v>
      </c>
      <c r="R133" s="22" t="n">
        <f aca="false">Data!J106</f>
        <v>41.54</v>
      </c>
      <c r="S133" s="22" t="str">
        <f aca="false">INDEX(Sector_div!$B$2:$B$227,MATCH(A133,Sector_div!$A$2:$A$227,0))</f>
        <v>bank</v>
      </c>
      <c r="T133" s="26"/>
      <c r="U133" s="27" t="str">
        <f aca="false">CONCATENATE("NSE:",A133,",")</f>
        <v>NSE:AXISBANK,</v>
      </c>
      <c r="V133" s="26"/>
      <c r="W133" s="26"/>
      <c r="X133" s="26"/>
      <c r="Y133" s="26"/>
      <c r="Z133" s="26"/>
    </row>
    <row r="134" customFormat="false" ht="15.75" hidden="false" customHeight="true" outlineLevel="0" collapsed="false">
      <c r="A134" s="22" t="str">
        <f aca="false">Data!A58</f>
        <v>GODREJPROP</v>
      </c>
      <c r="B134" s="23" t="n">
        <f aca="false">Data!B58</f>
        <v>2052.9</v>
      </c>
      <c r="C134" s="22" t="n">
        <f aca="false">Data!C58</f>
        <v>2069.9</v>
      </c>
      <c r="D134" s="22" t="n">
        <f aca="false">Data!D58</f>
        <v>2040.4</v>
      </c>
      <c r="E134" s="24" t="n">
        <f aca="false">Data!E58</f>
        <v>-0.034</v>
      </c>
      <c r="F134" s="22" t="n">
        <f aca="false">Data!F58</f>
        <v>51.67</v>
      </c>
      <c r="G134" s="22" t="n">
        <f aca="false">Data!S58</f>
        <v>39.6</v>
      </c>
      <c r="H134" s="22" t="n">
        <f aca="false">Data!T88*100</f>
        <v>1.2</v>
      </c>
      <c r="I134" s="22" t="str">
        <f aca="false">IF(AND(C134=Data!G58,E134&gt;0),IF(AND(C134=Data!U58,E134&gt;0),"Buy_ 52W_H","Buy_50D_H"),IF(AND(Data!H58=D134,E134&lt;0),IF(AND(Data!V58=D134,E134&lt;0),"Sell_52W_L ","Sell_50D_L "),""))</f>
        <v/>
      </c>
      <c r="J134" s="22" t="n">
        <f aca="false">RANK(L134,L:L)</f>
        <v>133</v>
      </c>
      <c r="K134" s="22" t="str">
        <f aca="false">IF(Data!R58&gt;=B134,IF(((C134-B134)/(C134-D134))*100&gt;80,"Down"," "),IF(Data!R58&lt;=B134,IF(((B134-D134)/(C134-D134))*100&gt;80,"Up"," ")))</f>
        <v> </v>
      </c>
      <c r="L134" s="22" t="n">
        <f aca="false">Data!I58</f>
        <v>-4.43</v>
      </c>
      <c r="M134" s="22" t="str">
        <f aca="false">IF(AND(B134&gt;Data!P58,Data!O58&lt;Data!P58),"Buy",IF(AND(B134&lt;Data!P58,Data!O58&gt;Data!P58),"Sell",""))</f>
        <v/>
      </c>
      <c r="N134" s="22" t="n">
        <f aca="false">Data!K58/1000</f>
        <v>405.64</v>
      </c>
      <c r="O134" s="22" t="n">
        <f aca="false">Data!L58</f>
        <v>0.314</v>
      </c>
      <c r="P134" s="22" t="n">
        <f aca="false">Data!M58</f>
        <v>2065.71</v>
      </c>
      <c r="Q134" s="22" t="n">
        <f aca="false">Data!N58</f>
        <v>2013.1</v>
      </c>
      <c r="R134" s="22" t="n">
        <f aca="false">Data!J58</f>
        <v>54.13</v>
      </c>
      <c r="S134" s="22" t="str">
        <f aca="false">INDEX(Sector_div!$B$2:$B$227,MATCH(A134,Sector_div!$A$2:$A$227,0))</f>
        <v>realty</v>
      </c>
      <c r="T134" s="26"/>
      <c r="U134" s="27" t="str">
        <f aca="false">CONCATENATE("NSE:",A134,",")</f>
        <v>NSE:GODREJPROP,</v>
      </c>
      <c r="V134" s="26"/>
      <c r="W134" s="26"/>
      <c r="X134" s="26"/>
      <c r="Y134" s="26"/>
      <c r="Z134" s="26"/>
    </row>
    <row r="135" customFormat="false" ht="15.75" hidden="false" customHeight="true" outlineLevel="0" collapsed="false">
      <c r="A135" s="22" t="str">
        <f aca="false">Data!A207</f>
        <v>MOTHERSON</v>
      </c>
      <c r="B135" s="23" t="n">
        <f aca="false">Data!B207</f>
        <v>95.16</v>
      </c>
      <c r="C135" s="22" t="n">
        <f aca="false">Data!C207</f>
        <v>98.21</v>
      </c>
      <c r="D135" s="22" t="n">
        <f aca="false">Data!D207</f>
        <v>95</v>
      </c>
      <c r="E135" s="24" t="n">
        <f aca="false">Data!E207</f>
        <v>-2.8</v>
      </c>
      <c r="F135" s="22" t="n">
        <f aca="false">Data!F207</f>
        <v>2.92</v>
      </c>
      <c r="G135" s="22" t="n">
        <f aca="false">Data!S207</f>
        <v>34.22</v>
      </c>
      <c r="H135" s="22" t="n">
        <f aca="false">Data!T34*100</f>
        <v>0.9</v>
      </c>
      <c r="I135" s="22" t="str">
        <f aca="false">IF(AND(C135=Data!G207,E135&gt;0),IF(AND(C135=Data!U207,E135&gt;0),"Buy_ 52W_H","Buy_50D_H"),IF(AND(Data!H207=D135,E135&lt;0),IF(AND(Data!V207=D135,E135&lt;0),"Sell_52W_L ","Sell_50D_L "),""))</f>
        <v/>
      </c>
      <c r="J135" s="22" t="n">
        <f aca="false">RANK(L135,L:L)</f>
        <v>134</v>
      </c>
      <c r="K135" s="22" t="str">
        <f aca="false">IF(Data!R207&gt;=B135,IF(((C135-B135)/(C135-D135))*100&gt;80,"Down"," "),IF(Data!R207&lt;=B135,IF(((B135-D135)/(C135-D135))*100&gt;80,"Up"," ")))</f>
        <v>Down</v>
      </c>
      <c r="L135" s="22" t="n">
        <f aca="false">Data!I207</f>
        <v>-5.57</v>
      </c>
      <c r="M135" s="22" t="str">
        <f aca="false">IF(AND(B135&gt;Data!P207,Data!O207&lt;Data!P207),"Buy",IF(AND(B135&lt;Data!P207,Data!O207&gt;Data!P207),"Sell",""))</f>
        <v/>
      </c>
      <c r="N135" s="22" t="n">
        <f aca="false">Data!K207/1000</f>
        <v>9583.513</v>
      </c>
      <c r="O135" s="22" t="n">
        <f aca="false">Data!L207</f>
        <v>0.928</v>
      </c>
      <c r="P135" s="22" t="n">
        <f aca="false">Data!M207</f>
        <v>92.6</v>
      </c>
      <c r="Q135" s="22" t="n">
        <f aca="false">Data!N207</f>
        <v>99.51</v>
      </c>
      <c r="R135" s="22" t="n">
        <f aca="false">Data!J207</f>
        <v>46.55</v>
      </c>
      <c r="S135" s="22" t="str">
        <f aca="false">INDEX(Sector_div!$B$2:$B$227,MATCH(A135,Sector_div!$A$2:$A$227,0))</f>
        <v>auto</v>
      </c>
      <c r="T135" s="26"/>
      <c r="U135" s="27" t="str">
        <f aca="false">CONCATENATE("NSE:",A135,",")</f>
        <v>NSE:MOTHERSON,</v>
      </c>
      <c r="V135" s="26"/>
      <c r="W135" s="26"/>
      <c r="X135" s="26"/>
      <c r="Y135" s="26"/>
      <c r="Z135" s="26"/>
    </row>
    <row r="136" customFormat="false" ht="15.75" hidden="false" customHeight="true" outlineLevel="0" collapsed="false">
      <c r="A136" s="22" t="str">
        <f aca="false">Data!A38</f>
        <v>LT</v>
      </c>
      <c r="B136" s="23" t="n">
        <f aca="false">Data!B38</f>
        <v>3595.8</v>
      </c>
      <c r="C136" s="22" t="n">
        <f aca="false">Data!C38</f>
        <v>3634.5</v>
      </c>
      <c r="D136" s="22" t="n">
        <f aca="false">Data!D38</f>
        <v>3582</v>
      </c>
      <c r="E136" s="24" t="n">
        <f aca="false">Data!E38</f>
        <v>-0.465</v>
      </c>
      <c r="F136" s="22" t="n">
        <f aca="false">Data!F38</f>
        <v>56.87</v>
      </c>
      <c r="G136" s="22" t="n">
        <f aca="false">Data!S38</f>
        <v>9.28</v>
      </c>
      <c r="H136" s="22" t="n">
        <f aca="false">Data!T176*100</f>
        <v>18.2</v>
      </c>
      <c r="I136" s="22" t="str">
        <f aca="false">IF(AND(C136=Data!G38,E136&gt;0),IF(AND(C136=Data!U38,E136&gt;0),"Buy_ 52W_H","Buy_50D_H"),IF(AND(Data!H38=D136,E136&lt;0),IF(AND(Data!V38=D136,E136&lt;0),"Sell_52W_L ","Sell_50D_L "),""))</f>
        <v/>
      </c>
      <c r="J136" s="22" t="n">
        <f aca="false">RANK(L136,L:L)</f>
        <v>135</v>
      </c>
      <c r="K136" s="22" t="str">
        <f aca="false">IF(Data!R38&gt;=B136,IF(((C136-B136)/(C136-D136))*100&gt;80,"Down"," "),IF(Data!R38&lt;=B136,IF(((B136-D136)/(C136-D136))*100&gt;80,"Up"," ")))</f>
        <v> </v>
      </c>
      <c r="L136" s="22" t="n">
        <f aca="false">Data!I38</f>
        <v>-7.3</v>
      </c>
      <c r="M136" s="22" t="str">
        <f aca="false">IF(AND(B136&gt;Data!P38,Data!O38&lt;Data!P38),"Buy",IF(AND(B136&lt;Data!P38,Data!O38&gt;Data!P38),"Sell",""))</f>
        <v/>
      </c>
      <c r="N136" s="22" t="n">
        <f aca="false">Data!K38/1000</f>
        <v>1060.422</v>
      </c>
      <c r="O136" s="22" t="n">
        <f aca="false">Data!L38</f>
        <v>0.653</v>
      </c>
      <c r="P136" s="22" t="n">
        <f aca="false">Data!M38</f>
        <v>3582.25</v>
      </c>
      <c r="Q136" s="22" t="n">
        <f aca="false">Data!N38</f>
        <v>3657.58</v>
      </c>
      <c r="R136" s="22" t="n">
        <f aca="false">Data!J38</f>
        <v>42.75</v>
      </c>
      <c r="S136" s="22" t="str">
        <f aca="false">INDEX(Sector_div!$B$2:$B$227,MATCH(A136,Sector_div!$A$2:$A$227,0))</f>
        <v>infra</v>
      </c>
      <c r="T136" s="26"/>
      <c r="U136" s="27" t="str">
        <f aca="false">CONCATENATE("NSE:",A136,",")</f>
        <v>NSE:LT,</v>
      </c>
      <c r="V136" s="26"/>
      <c r="W136" s="26"/>
      <c r="X136" s="26"/>
      <c r="Y136" s="26"/>
      <c r="Z136" s="26"/>
    </row>
    <row r="137" customFormat="false" ht="15.75" hidden="false" customHeight="true" outlineLevel="0" collapsed="false">
      <c r="A137" s="22" t="str">
        <f aca="false">Data!A120</f>
        <v>ADANIENSOL</v>
      </c>
      <c r="B137" s="23" t="n">
        <f aca="false">Data!B120</f>
        <v>800.15</v>
      </c>
      <c r="C137" s="22" t="n">
        <f aca="false">Data!C120</f>
        <v>816</v>
      </c>
      <c r="D137" s="22" t="n">
        <f aca="false">Data!D120</f>
        <v>795.2</v>
      </c>
      <c r="E137" s="24" t="n">
        <f aca="false">Data!E120</f>
        <v>-1.84</v>
      </c>
      <c r="F137" s="22" t="n">
        <f aca="false">Data!F120</f>
        <v>19.95</v>
      </c>
      <c r="G137" s="22" t="n">
        <f aca="false">Data!S120</f>
        <v>26.66</v>
      </c>
      <c r="H137" s="25" t="n">
        <f aca="false">Data!T45*100</f>
        <v>0.9</v>
      </c>
      <c r="I137" s="22" t="str">
        <f aca="false">IF(AND(C137=Data!G120,E137&gt;0),IF(AND(C137=Data!U120,E137&gt;0),"Buy_ 52W_H","Buy_50D_H"),IF(AND(Data!H120=D137,E137&lt;0),IF(AND(Data!V120=D137,E137&lt;0),"Sell_52W_L ","Sell_50D_L "),""))</f>
        <v/>
      </c>
      <c r="J137" s="22" t="n">
        <f aca="false">RANK(L137,L:L)</f>
        <v>136</v>
      </c>
      <c r="K137" s="22" t="str">
        <f aca="false">IF(Data!R120&gt;=B137,IF(((C137-B137)/(C137-D137))*100&gt;80,"Down"," "),IF(Data!R120&lt;=B137,IF(((B137-D137)/(C137-D137))*100&gt;80,"Up"," ")))</f>
        <v> </v>
      </c>
      <c r="L137" s="22" t="n">
        <f aca="false">Data!I120</f>
        <v>-7.35</v>
      </c>
      <c r="M137" s="22" t="str">
        <f aca="false">IF(AND(B137&gt;Data!P120,Data!O120&lt;Data!P120),"Buy",IF(AND(B137&lt;Data!P120,Data!O120&gt;Data!P120),"Sell",""))</f>
        <v/>
      </c>
      <c r="N137" s="22" t="n">
        <f aca="false">Data!K120/1000</f>
        <v>537.041</v>
      </c>
      <c r="O137" s="22" t="n">
        <f aca="false">Data!L120</f>
        <v>0.961</v>
      </c>
      <c r="P137" s="22" t="n">
        <f aca="false">Data!M120</f>
        <v>786.37</v>
      </c>
      <c r="Q137" s="22" t="n">
        <f aca="false">Data!N120</f>
        <v>825.65</v>
      </c>
      <c r="R137" s="22" t="n">
        <f aca="false">Data!J120</f>
        <v>43.67</v>
      </c>
      <c r="S137" s="22" t="str">
        <f aca="false">INDEX(Sector_div!$B$2:$B$227,MATCH(A137,Sector_div!$A$2:$A$227,0))</f>
        <v>power</v>
      </c>
      <c r="T137" s="26"/>
      <c r="U137" s="27" t="str">
        <f aca="false">CONCATENATE("NSE:",A137,",")</f>
        <v>NSE:ADANIENSOL,</v>
      </c>
      <c r="V137" s="26"/>
      <c r="W137" s="26"/>
      <c r="X137" s="26"/>
      <c r="Y137" s="26"/>
      <c r="Z137" s="26"/>
    </row>
    <row r="138" customFormat="false" ht="15.75" hidden="false" customHeight="true" outlineLevel="0" collapsed="false">
      <c r="A138" s="22" t="str">
        <f aca="false">Data!A59</f>
        <v>KOTAKBANK</v>
      </c>
      <c r="B138" s="23" t="n">
        <f aca="false">Data!B59</f>
        <v>1986.6</v>
      </c>
      <c r="C138" s="22" t="n">
        <f aca="false">Data!C59</f>
        <v>2018.6</v>
      </c>
      <c r="D138" s="22" t="n">
        <f aca="false">Data!D59</f>
        <v>1980.2</v>
      </c>
      <c r="E138" s="24" t="n">
        <f aca="false">Data!E59</f>
        <v>-1.55</v>
      </c>
      <c r="F138" s="22" t="n">
        <f aca="false">Data!F59</f>
        <v>36.41</v>
      </c>
      <c r="G138" s="22" t="n">
        <f aca="false">Data!S59</f>
        <v>13.7</v>
      </c>
      <c r="H138" s="25" t="n">
        <f aca="false">Data!T175*100</f>
        <v>1</v>
      </c>
      <c r="I138" s="22" t="str">
        <f aca="false">IF(AND(C138=Data!G59,E138&gt;0),IF(AND(C138=Data!U59,E138&gt;0),"Buy_ 52W_H","Buy_50D_H"),IF(AND(Data!H59=D138,E138&lt;0),IF(AND(Data!V59=D138,E138&lt;0),"Sell_52W_L ","Sell_50D_L "),""))</f>
        <v/>
      </c>
      <c r="J138" s="22" t="n">
        <f aca="false">RANK(L138,L:L)</f>
        <v>137</v>
      </c>
      <c r="K138" s="22" t="str">
        <f aca="false">IF(Data!R59&gt;=B138,IF(((C138-B138)/(C138-D138))*100&gt;80,"Down"," "),IF(Data!R59&lt;=B138,IF(((B138-D138)/(C138-D138))*100&gt;80,"Up"," ")))</f>
        <v>Down</v>
      </c>
      <c r="L138" s="22" t="n">
        <f aca="false">Data!I59</f>
        <v>-7.61</v>
      </c>
      <c r="M138" s="22" t="str">
        <f aca="false">IF(AND(B138&gt;Data!P59,Data!O59&lt;Data!P59),"Buy",IF(AND(B138&lt;Data!P59,Data!O59&gt;Data!P59),"Sell",""))</f>
        <v/>
      </c>
      <c r="N138" s="22" t="n">
        <f aca="false">Data!K59/1000</f>
        <v>1791.662</v>
      </c>
      <c r="O138" s="22" t="n">
        <f aca="false">Data!L59</f>
        <v>0.618</v>
      </c>
      <c r="P138" s="22" t="n">
        <f aca="false">Data!M59</f>
        <v>2054.16</v>
      </c>
      <c r="Q138" s="22" t="n">
        <f aca="false">Data!N59</f>
        <v>2036.7</v>
      </c>
      <c r="R138" s="22" t="n">
        <f aca="false">Data!J59</f>
        <v>42</v>
      </c>
      <c r="S138" s="22" t="str">
        <f aca="false">INDEX(Sector_div!$B$2:$B$227,MATCH(A138,Sector_div!$A$2:$A$227,0))</f>
        <v>bank</v>
      </c>
      <c r="T138" s="26"/>
      <c r="U138" s="27" t="str">
        <f aca="false">CONCATENATE("NSE:",A138,",")</f>
        <v>NSE:KOTAKBANK,</v>
      </c>
      <c r="V138" s="26"/>
      <c r="W138" s="26"/>
      <c r="X138" s="26"/>
      <c r="Y138" s="26"/>
      <c r="Z138" s="26"/>
    </row>
    <row r="139" customFormat="false" ht="15.75" hidden="false" customHeight="true" outlineLevel="0" collapsed="false">
      <c r="A139" s="22" t="str">
        <f aca="false">Data!A185</f>
        <v>HUDCO</v>
      </c>
      <c r="B139" s="23" t="n">
        <f aca="false">Data!B185</f>
        <v>211.84</v>
      </c>
      <c r="C139" s="22" t="n">
        <f aca="false">Data!C185</f>
        <v>216.43</v>
      </c>
      <c r="D139" s="22" t="n">
        <f aca="false">Data!D185</f>
        <v>211</v>
      </c>
      <c r="E139" s="24" t="n">
        <f aca="false">Data!E185</f>
        <v>-0.474</v>
      </c>
      <c r="F139" s="22" t="n">
        <f aca="false">Data!F185</f>
        <v>4.82</v>
      </c>
      <c r="G139" s="22" t="n">
        <f aca="false">Data!S185</f>
        <v>29.32</v>
      </c>
      <c r="H139" s="22" t="n">
        <f aca="false">Data!T96*100</f>
        <v>1.8</v>
      </c>
      <c r="I139" s="22" t="str">
        <f aca="false">IF(AND(C139=Data!G185,E139&gt;0),IF(AND(C139=Data!U185,E139&gt;0),"Buy_ 52W_H","Buy_50D_H"),IF(AND(Data!H185=D139,E139&lt;0),IF(AND(Data!V185=D139,E139&lt;0),"Sell_52W_L ","Sell_50D_L "),""))</f>
        <v/>
      </c>
      <c r="J139" s="22" t="n">
        <f aca="false">RANK(L139,L:L)</f>
        <v>138</v>
      </c>
      <c r="K139" s="22" t="str">
        <f aca="false">IF(Data!R185&gt;=B139,IF(((C139-B139)/(C139-D139))*100&gt;80,"Down"," "),IF(Data!R185&lt;=B139,IF(((B139-D139)/(C139-D139))*100&gt;80,"Up"," ")))</f>
        <v>Down</v>
      </c>
      <c r="L139" s="22" t="n">
        <f aca="false">Data!I185</f>
        <v>-7.63</v>
      </c>
      <c r="M139" s="22" t="str">
        <f aca="false">IF(AND(B139&gt;Data!P185,Data!O185&lt;Data!P185),"Buy",IF(AND(B139&lt;Data!P185,Data!O185&gt;Data!P185),"Sell",""))</f>
        <v/>
      </c>
      <c r="N139" s="22" t="n">
        <f aca="false">Data!K185/1000</f>
        <v>3788.041</v>
      </c>
      <c r="O139" s="22" t="n">
        <f aca="false">Data!L185</f>
        <v>1.86</v>
      </c>
      <c r="P139" s="22" t="n">
        <f aca="false">Data!M185</f>
        <v>219.5</v>
      </c>
      <c r="Q139" s="22" t="n">
        <f aca="false">Data!N185</f>
        <v>208.97</v>
      </c>
      <c r="R139" s="22" t="n">
        <f aca="false">Data!J185</f>
        <v>44.58</v>
      </c>
      <c r="S139" s="22" t="str">
        <f aca="false">INDEX(Sector_div!$B$2:$B$227,MATCH(A139,Sector_div!$A$2:$A$227,0))</f>
        <v>finance</v>
      </c>
      <c r="T139" s="26"/>
      <c r="U139" s="27" t="str">
        <f aca="false">CONCATENATE("NSE:",A139,",")</f>
        <v>NSE:HUDCO,</v>
      </c>
      <c r="V139" s="26"/>
      <c r="W139" s="26"/>
      <c r="X139" s="26"/>
      <c r="Y139" s="26"/>
      <c r="Z139" s="26"/>
    </row>
    <row r="140" customFormat="false" ht="15.75" hidden="false" customHeight="true" outlineLevel="0" collapsed="false">
      <c r="A140" s="22" t="str">
        <f aca="false">Data!A2</f>
        <v>PAGEIND</v>
      </c>
      <c r="B140" s="23" t="n">
        <f aca="false">Data!B2</f>
        <v>45580</v>
      </c>
      <c r="C140" s="22" t="n">
        <f aca="false">Data!C2</f>
        <v>46125</v>
      </c>
      <c r="D140" s="22" t="n">
        <f aca="false">Data!D2</f>
        <v>45380</v>
      </c>
      <c r="E140" s="24" t="n">
        <f aca="false">Data!E2</f>
        <v>-0.675</v>
      </c>
      <c r="F140" s="22" t="n">
        <f aca="false">Data!F2</f>
        <v>1133.29</v>
      </c>
      <c r="G140" s="22" t="n">
        <f aca="false">Data!S2</f>
        <v>9.9</v>
      </c>
      <c r="H140" s="22" t="n">
        <f aca="false">Data!T132*100</f>
        <v>1.9</v>
      </c>
      <c r="I140" s="22" t="str">
        <f aca="false">IF(AND(C140=Data!G2,E140&gt;0),IF(AND(C140=Data!U2,E140&gt;0),"Buy_ 52W_H","Buy_50D_H"),IF(AND(Data!H2=D140,E140&lt;0),IF(AND(Data!V2=D140,E140&lt;0),"Sell_52W_L ","Sell_50D_L "),""))</f>
        <v/>
      </c>
      <c r="J140" s="22" t="n">
        <f aca="false">RANK(L140,L:L)</f>
        <v>139</v>
      </c>
      <c r="K140" s="22" t="str">
        <f aca="false">IF(Data!R2&gt;=B140,IF(((C140-B140)/(C140-D140))*100&gt;80,"Down"," "),IF(Data!R2&lt;=B140,IF(((B140-D140)/(C140-D140))*100&gt;80,"Up"," ")))</f>
        <v> </v>
      </c>
      <c r="L140" s="22" t="n">
        <f aca="false">Data!I2</f>
        <v>-7.95</v>
      </c>
      <c r="M140" s="22" t="str">
        <f aca="false">IF(AND(B140&gt;Data!P2,Data!O2&lt;Data!P2),"Buy",IF(AND(B140&lt;Data!P2,Data!O2&gt;Data!P2),"Sell",""))</f>
        <v/>
      </c>
      <c r="N140" s="22" t="n">
        <f aca="false">Data!K2/1000</f>
        <v>12.049</v>
      </c>
      <c r="O140" s="22" t="n">
        <f aca="false">Data!L2</f>
        <v>0.505</v>
      </c>
      <c r="P140" s="22" t="n">
        <f aca="false">Data!M2</f>
        <v>46003.31</v>
      </c>
      <c r="Q140" s="22" t="n">
        <f aca="false">Data!N2</f>
        <v>44893.64</v>
      </c>
      <c r="R140" s="22" t="n">
        <f aca="false">Data!J2</f>
        <v>52.4</v>
      </c>
      <c r="S140" s="22" t="str">
        <f aca="false">INDEX(Sector_div!$B$2:$B$227,MATCH(A140,Sector_div!$A$2:$A$227,0))</f>
        <v>fmcg</v>
      </c>
      <c r="T140" s="26"/>
      <c r="U140" s="27" t="str">
        <f aca="false">CONCATENATE("NSE:",A140,",")</f>
        <v>NSE:PAGEIND,</v>
      </c>
      <c r="V140" s="26"/>
      <c r="W140" s="26"/>
      <c r="X140" s="26"/>
      <c r="Y140" s="26"/>
      <c r="Z140" s="26"/>
    </row>
    <row r="141" customFormat="false" ht="15.75" hidden="false" customHeight="true" outlineLevel="0" collapsed="false">
      <c r="A141" s="22" t="str">
        <f aca="false">Data!A71</f>
        <v>SUNPHARMA</v>
      </c>
      <c r="B141" s="23" t="n">
        <f aca="false">Data!B71</f>
        <v>1641.8</v>
      </c>
      <c r="C141" s="22" t="n">
        <f aca="false">Data!C71</f>
        <v>1651.4</v>
      </c>
      <c r="D141" s="22" t="n">
        <f aca="false">Data!D71</f>
        <v>1635.1</v>
      </c>
      <c r="E141" s="24" t="n">
        <f aca="false">Data!E71</f>
        <v>0.098</v>
      </c>
      <c r="F141" s="22" t="n">
        <f aca="false">Data!F71</f>
        <v>27.56</v>
      </c>
      <c r="G141" s="22" t="n">
        <f aca="false">Data!S71</f>
        <v>16.25</v>
      </c>
      <c r="H141" s="25" t="n">
        <f aca="false">Data!T125*100</f>
        <v>2.8</v>
      </c>
      <c r="I141" s="22" t="str">
        <f aca="false">IF(AND(C141=Data!G71,E141&gt;0),IF(AND(C141=Data!U71,E141&gt;0),"Buy_ 52W_H","Buy_50D_H"),IF(AND(Data!H71=D141,E141&lt;0),IF(AND(Data!V71=D141,E141&lt;0),"Sell_52W_L ","Sell_50D_L "),""))</f>
        <v/>
      </c>
      <c r="J141" s="22" t="n">
        <f aca="false">RANK(L141,L:L)</f>
        <v>140</v>
      </c>
      <c r="K141" s="22" t="str">
        <f aca="false">IF(Data!R71&gt;=B141,IF(((C141-B141)/(C141-D141))*100&gt;80,"Down"," "),IF(Data!R71&lt;=B141,IF(((B141-D141)/(C141-D141))*100&gt;80,"Up"," ")))</f>
        <v> </v>
      </c>
      <c r="L141" s="22" t="n">
        <f aca="false">Data!I71</f>
        <v>-8.64</v>
      </c>
      <c r="M141" s="22" t="str">
        <f aca="false">IF(AND(B141&gt;Data!P71,Data!O71&lt;Data!P71),"Buy",IF(AND(B141&lt;Data!P71,Data!O71&gt;Data!P71),"Sell",""))</f>
        <v/>
      </c>
      <c r="N141" s="22" t="n">
        <f aca="false">Data!K71/1000</f>
        <v>2098.292</v>
      </c>
      <c r="O141" s="22" t="n">
        <f aca="false">Data!L71</f>
        <v>1.21</v>
      </c>
      <c r="P141" s="22" t="n">
        <f aca="false">Data!M71</f>
        <v>1655.95</v>
      </c>
      <c r="Q141" s="22" t="n">
        <f aca="false">Data!N71</f>
        <v>1614.67</v>
      </c>
      <c r="R141" s="22" t="n">
        <f aca="false">Data!J71</f>
        <v>53.93</v>
      </c>
      <c r="S141" s="22" t="str">
        <f aca="false">INDEX(Sector_div!$B$2:$B$227,MATCH(A141,Sector_div!$A$2:$A$227,0))</f>
        <v>Pharma&amp;Healthcare</v>
      </c>
      <c r="T141" s="26"/>
      <c r="U141" s="27" t="str">
        <f aca="false">CONCATENATE("NSE:",A141,",")</f>
        <v>NSE:SUNPHARMA,</v>
      </c>
      <c r="V141" s="26"/>
      <c r="W141" s="26"/>
      <c r="X141" s="26"/>
      <c r="Y141" s="26"/>
      <c r="Z141" s="26"/>
    </row>
    <row r="142" customFormat="false" ht="15.75" hidden="false" customHeight="true" outlineLevel="0" collapsed="false">
      <c r="A142" s="22" t="str">
        <f aca="false">Data!A204</f>
        <v>PNB</v>
      </c>
      <c r="B142" s="23" t="n">
        <f aca="false">Data!B204</f>
        <v>105.29</v>
      </c>
      <c r="C142" s="22" t="n">
        <f aca="false">Data!C204</f>
        <v>107.69</v>
      </c>
      <c r="D142" s="22" t="n">
        <f aca="false">Data!D204</f>
        <v>105.11</v>
      </c>
      <c r="E142" s="24" t="n">
        <f aca="false">Data!E204</f>
        <v>-1.75</v>
      </c>
      <c r="F142" s="22" t="n">
        <f aca="false">Data!F204</f>
        <v>1.8</v>
      </c>
      <c r="G142" s="22" t="n">
        <f aca="false">Data!S204</f>
        <v>10.43</v>
      </c>
      <c r="H142" s="25" t="n">
        <f aca="false">Data!T31*100</f>
        <v>0.7</v>
      </c>
      <c r="I142" s="22" t="str">
        <f aca="false">IF(AND(C142=Data!G204,E142&gt;0),IF(AND(C142=Data!U204,E142&gt;0),"Buy_ 52W_H","Buy_50D_H"),IF(AND(Data!H204=D142,E142&lt;0),IF(AND(Data!V204=D142,E142&lt;0),"Sell_52W_L ","Sell_50D_L "),""))</f>
        <v/>
      </c>
      <c r="J142" s="22" t="n">
        <f aca="false">RANK(L142,L:L)</f>
        <v>141</v>
      </c>
      <c r="K142" s="22" t="str">
        <f aca="false">IF(Data!R204&gt;=B142,IF(((C142-B142)/(C142-D142))*100&gt;80,"Down"," "),IF(Data!R204&lt;=B142,IF(((B142-D142)/(C142-D142))*100&gt;80,"Up"," ")))</f>
        <v>Down</v>
      </c>
      <c r="L142" s="22" t="n">
        <f aca="false">Data!I204</f>
        <v>-9.04</v>
      </c>
      <c r="M142" s="22" t="str">
        <f aca="false">IF(AND(B142&gt;Data!P204,Data!O204&lt;Data!P204),"Buy",IF(AND(B142&lt;Data!P204,Data!O204&gt;Data!P204),"Sell",""))</f>
        <v/>
      </c>
      <c r="N142" s="22" t="n">
        <f aca="false">Data!K204/1000</f>
        <v>9660.698</v>
      </c>
      <c r="O142" s="22" t="n">
        <f aca="false">Data!L204</f>
        <v>1.64</v>
      </c>
      <c r="P142" s="22" t="n">
        <f aca="false">Data!M204</f>
        <v>108.94</v>
      </c>
      <c r="Q142" s="22" t="n">
        <f aca="false">Data!N204</f>
        <v>108.32</v>
      </c>
      <c r="R142" s="22" t="n">
        <f aca="false">Data!J204</f>
        <v>39.2</v>
      </c>
      <c r="S142" s="22" t="str">
        <f aca="false">INDEX(Sector_div!$B$2:$B$227,MATCH(A142,Sector_div!$A$2:$A$227,0))</f>
        <v>bank</v>
      </c>
      <c r="T142" s="26"/>
      <c r="U142" s="27" t="str">
        <f aca="false">CONCATENATE("NSE:",A142,",")</f>
        <v>NSE:PNB,</v>
      </c>
      <c r="V142" s="26"/>
      <c r="W142" s="26"/>
      <c r="X142" s="26"/>
      <c r="Y142" s="26"/>
      <c r="Z142" s="26"/>
    </row>
    <row r="143" customFormat="false" ht="15.75" hidden="false" customHeight="true" outlineLevel="0" collapsed="false">
      <c r="A143" s="22" t="str">
        <f aca="false">Data!A111</f>
        <v>ADANIGREEN</v>
      </c>
      <c r="B143" s="23" t="n">
        <f aca="false">Data!B111</f>
        <v>957.2</v>
      </c>
      <c r="C143" s="22" t="n">
        <f aca="false">Data!C111</f>
        <v>970.2</v>
      </c>
      <c r="D143" s="22" t="n">
        <f aca="false">Data!D111</f>
        <v>952.9</v>
      </c>
      <c r="E143" s="24" t="n">
        <f aca="false">Data!E111</f>
        <v>-0.973</v>
      </c>
      <c r="F143" s="22" t="n">
        <f aca="false">Data!F111</f>
        <v>25.33</v>
      </c>
      <c r="G143" s="22" t="n">
        <f aca="false">Data!S111</f>
        <v>54.22</v>
      </c>
      <c r="H143" s="25" t="n">
        <f aca="false">Data!T179*100</f>
        <v>8.6</v>
      </c>
      <c r="I143" s="22" t="str">
        <f aca="false">IF(AND(C143=Data!G111,E143&gt;0),IF(AND(C143=Data!U111,E143&gt;0),"Buy_ 52W_H","Buy_50D_H"),IF(AND(Data!H111=D143,E143&lt;0),IF(AND(Data!V111=D143,E143&lt;0),"Sell_52W_L ","Sell_50D_L "),""))</f>
        <v/>
      </c>
      <c r="J143" s="22" t="n">
        <f aca="false">RANK(L143,L:L)</f>
        <v>142</v>
      </c>
      <c r="K143" s="22" t="str">
        <f aca="false">IF(Data!R111&gt;=B143,IF(((C143-B143)/(C143-D143))*100&gt;80,"Down"," "),IF(Data!R111&lt;=B143,IF(((B143-D143)/(C143-D143))*100&gt;80,"Up"," ")))</f>
        <v> </v>
      </c>
      <c r="L143" s="22" t="n">
        <f aca="false">Data!I111</f>
        <v>-10.88</v>
      </c>
      <c r="M143" s="22" t="str">
        <f aca="false">IF(AND(B143&gt;Data!P111,Data!O111&lt;Data!P111),"Buy",IF(AND(B143&lt;Data!P111,Data!O111&gt;Data!P111),"Sell",""))</f>
        <v/>
      </c>
      <c r="N143" s="22" t="n">
        <f aca="false">Data!K111/1000</f>
        <v>946.994</v>
      </c>
      <c r="O143" s="22" t="n">
        <f aca="false">Data!L111</f>
        <v>1.15</v>
      </c>
      <c r="P143" s="22" t="n">
        <f aca="false">Data!M111</f>
        <v>977.44</v>
      </c>
      <c r="Q143" s="22" t="n">
        <f aca="false">Data!N111</f>
        <v>948.21</v>
      </c>
      <c r="R143" s="22" t="n">
        <f aca="false">Data!J111</f>
        <v>49.62</v>
      </c>
      <c r="S143" s="22" t="str">
        <f aca="false">INDEX(Sector_div!$B$2:$B$227,MATCH(A143,Sector_div!$A$2:$A$227,0))</f>
        <v>miscellaneous</v>
      </c>
      <c r="T143" s="26"/>
      <c r="U143" s="27" t="str">
        <f aca="false">CONCATENATE("NSE:",A143,",")</f>
        <v>NSE:ADANIGREEN,</v>
      </c>
      <c r="V143" s="26"/>
      <c r="W143" s="26"/>
      <c r="X143" s="26"/>
      <c r="Y143" s="26"/>
      <c r="Z143" s="26"/>
    </row>
    <row r="144" customFormat="false" ht="15.75" hidden="false" customHeight="true" outlineLevel="0" collapsed="false">
      <c r="A144" s="22" t="str">
        <f aca="false">Data!A145</f>
        <v>DABUR</v>
      </c>
      <c r="B144" s="23" t="n">
        <f aca="false">Data!B145</f>
        <v>515.95</v>
      </c>
      <c r="C144" s="22" t="n">
        <f aca="false">Data!C145</f>
        <v>519.85</v>
      </c>
      <c r="D144" s="22" t="n">
        <f aca="false">Data!D145</f>
        <v>514.55</v>
      </c>
      <c r="E144" s="24" t="n">
        <f aca="false">Data!E145</f>
        <v>0.049</v>
      </c>
      <c r="F144" s="22" t="n">
        <f aca="false">Data!F145</f>
        <v>12.4</v>
      </c>
      <c r="G144" s="22" t="n">
        <f aca="false">Data!S145</f>
        <v>23.22</v>
      </c>
      <c r="H144" s="22" t="n">
        <f aca="false">Data!T40*100</f>
        <v>1.1</v>
      </c>
      <c r="I144" s="22" t="str">
        <f aca="false">IF(AND(C144=Data!G145,E144&gt;0),IF(AND(C144=Data!U145,E144&gt;0),"Buy_ 52W_H","Buy_50D_H"),IF(AND(Data!H145=D144,E144&lt;0),IF(AND(Data!V145=D144,E144&lt;0),"Sell_52W_L ","Sell_50D_L "),""))</f>
        <v/>
      </c>
      <c r="J144" s="22" t="n">
        <f aca="false">RANK(L144,L:L)</f>
        <v>143</v>
      </c>
      <c r="K144" s="22" t="str">
        <f aca="false">IF(Data!R145&gt;=B144,IF(((C144-B144)/(C144-D144))*100&gt;80,"Down"," "),IF(Data!R145&lt;=B144,IF(((B144-D144)/(C144-D144))*100&gt;80,"Up"," ")))</f>
        <v> </v>
      </c>
      <c r="L144" s="22" t="n">
        <f aca="false">Data!I145</f>
        <v>-11.28</v>
      </c>
      <c r="M144" s="22" t="str">
        <f aca="false">IF(AND(B144&gt;Data!P145,Data!O145&lt;Data!P145),"Buy",IF(AND(B144&lt;Data!P145,Data!O145&gt;Data!P145),"Sell",""))</f>
        <v/>
      </c>
      <c r="N144" s="22" t="n">
        <f aca="false">Data!K145/1000</f>
        <v>1596.211</v>
      </c>
      <c r="O144" s="22" t="n">
        <f aca="false">Data!L145</f>
        <v>0.264</v>
      </c>
      <c r="P144" s="22" t="n">
        <f aca="false">Data!M145</f>
        <v>505.3</v>
      </c>
      <c r="Q144" s="22" t="n">
        <f aca="false">Data!N145</f>
        <v>529.18</v>
      </c>
      <c r="R144" s="22" t="n">
        <f aca="false">Data!J145</f>
        <v>49.03</v>
      </c>
      <c r="S144" s="22" t="str">
        <f aca="false">INDEX(Sector_div!$B$2:$B$227,MATCH(A144,Sector_div!$A$2:$A$227,0))</f>
        <v>fmcg</v>
      </c>
      <c r="T144" s="26"/>
      <c r="U144" s="27" t="str">
        <f aca="false">CONCATENATE("NSE:",A144,",")</f>
        <v>NSE:DABUR,</v>
      </c>
      <c r="V144" s="26"/>
      <c r="W144" s="26"/>
      <c r="X144" s="26"/>
      <c r="Y144" s="26"/>
      <c r="Z144" s="26"/>
    </row>
    <row r="145" customFormat="false" ht="15.75" hidden="false" customHeight="true" outlineLevel="0" collapsed="false">
      <c r="A145" s="22" t="str">
        <f aca="false">Data!A180</f>
        <v>ONGC</v>
      </c>
      <c r="B145" s="23" t="n">
        <f aca="false">Data!B180</f>
        <v>236.29</v>
      </c>
      <c r="C145" s="22" t="n">
        <f aca="false">Data!C180</f>
        <v>238.63</v>
      </c>
      <c r="D145" s="22" t="n">
        <f aca="false">Data!D180</f>
        <v>235.89</v>
      </c>
      <c r="E145" s="24" t="n">
        <f aca="false">Data!E180</f>
        <v>-0.839</v>
      </c>
      <c r="F145" s="22" t="n">
        <f aca="false">Data!F180</f>
        <v>3.13</v>
      </c>
      <c r="G145" s="22" t="n">
        <f aca="false">Data!S180</f>
        <v>29.34</v>
      </c>
      <c r="I145" s="22" t="str">
        <f aca="false">IF(AND(C145=Data!G180,E145&gt;0),IF(AND(C145=Data!U180,E145&gt;0),"Buy_ 52W_H","Buy_50D_H"),IF(AND(Data!H180=D145,E145&lt;0),IF(AND(Data!V180=D145,E145&lt;0),"Sell_52W_L ","Sell_50D_L "),""))</f>
        <v/>
      </c>
      <c r="J145" s="22" t="n">
        <f aca="false">RANK(L145,L:L)</f>
        <v>144</v>
      </c>
      <c r="K145" s="22" t="str">
        <f aca="false">IF(Data!R180&gt;=B145,IF(((C145-B145)/(C145-D145))*100&gt;80,"Down"," "),IF(Data!R180&lt;=B145,IF(((B145-D145)/(C145-D145))*100&gt;80,"Up"," ")))</f>
        <v>Down</v>
      </c>
      <c r="L145" s="22" t="n">
        <f aca="false">Data!I180</f>
        <v>-11.29</v>
      </c>
      <c r="M145" s="22" t="str">
        <f aca="false">IF(AND(B145&gt;Data!P180,Data!O180&lt;Data!P180),"Buy",IF(AND(B145&lt;Data!P180,Data!O180&gt;Data!P180),"Sell",""))</f>
        <v/>
      </c>
      <c r="N145" s="22" t="n">
        <f aca="false">Data!K180/1000</f>
        <v>5423.808</v>
      </c>
      <c r="O145" s="22" t="n">
        <f aca="false">Data!L180</f>
        <v>0.669</v>
      </c>
      <c r="P145" s="22" t="n">
        <f aca="false">Data!M180</f>
        <v>239.74</v>
      </c>
      <c r="Q145" s="22" t="n">
        <f aca="false">Data!N180</f>
        <v>235.86</v>
      </c>
      <c r="R145" s="22" t="n">
        <f aca="false">Data!J180</f>
        <v>41.97</v>
      </c>
      <c r="S145" s="22" t="str">
        <f aca="false">INDEX(Sector_div!$B$2:$B$227,MATCH(A145,Sector_div!$A$2:$A$227,0))</f>
        <v>oil&amp;gas</v>
      </c>
      <c r="T145" s="26"/>
      <c r="U145" s="27" t="str">
        <f aca="false">CONCATENATE("NSE:",A145,",")</f>
        <v>NSE:ONGC,</v>
      </c>
      <c r="V145" s="26"/>
      <c r="W145" s="26"/>
      <c r="X145" s="26"/>
      <c r="Y145" s="26"/>
      <c r="Z145" s="26"/>
    </row>
    <row r="146" customFormat="false" ht="15.75" hidden="false" customHeight="true" outlineLevel="0" collapsed="false">
      <c r="A146" s="22" t="str">
        <f aca="false">Data!A179</f>
        <v>BANKBARODA</v>
      </c>
      <c r="B146" s="23" t="n">
        <f aca="false">Data!B179</f>
        <v>240.23</v>
      </c>
      <c r="C146" s="22" t="n">
        <f aca="false">Data!C179</f>
        <v>244.57</v>
      </c>
      <c r="D146" s="22" t="n">
        <f aca="false">Data!D179</f>
        <v>240</v>
      </c>
      <c r="E146" s="24" t="n">
        <f aca="false">Data!E179</f>
        <v>-1.29</v>
      </c>
      <c r="F146" s="22" t="n">
        <f aca="false">Data!F179</f>
        <v>4.38</v>
      </c>
      <c r="G146" s="22" t="n">
        <f aca="false">Data!S179</f>
        <v>10.01</v>
      </c>
      <c r="I146" s="22" t="str">
        <f aca="false">IF(AND(C146=Data!G179,E146&gt;0),IF(AND(C146=Data!U179,E146&gt;0),"Buy_ 52W_H","Buy_50D_H"),IF(AND(Data!H179=D146,E146&lt;0),IF(AND(Data!V179=D146,E146&lt;0),"Sell_52W_L ","Sell_50D_L "),""))</f>
        <v/>
      </c>
      <c r="J146" s="22" t="n">
        <f aca="false">RANK(L146,L:L)</f>
        <v>145</v>
      </c>
      <c r="K146" s="22" t="str">
        <f aca="false">IF(Data!R179&gt;=B146,IF(((C146-B146)/(C146-D146))*100&gt;80,"Down"," "),IF(Data!R179&lt;=B146,IF(((B146-D146)/(C146-D146))*100&gt;80,"Up"," ")))</f>
        <v>Down</v>
      </c>
      <c r="L146" s="22" t="n">
        <f aca="false">Data!I179</f>
        <v>-12.05</v>
      </c>
      <c r="M146" s="22" t="str">
        <f aca="false">IF(AND(B146&gt;Data!P179,Data!O179&lt;Data!P179),"Buy",IF(AND(B146&lt;Data!P179,Data!O179&gt;Data!P179),"Sell",""))</f>
        <v/>
      </c>
      <c r="N146" s="22" t="n">
        <f aca="false">Data!K179/1000</f>
        <v>5946.039</v>
      </c>
      <c r="O146" s="22" t="n">
        <f aca="false">Data!L179</f>
        <v>1.36</v>
      </c>
      <c r="P146" s="22" t="n">
        <f aca="false">Data!M179</f>
        <v>247.24</v>
      </c>
      <c r="Q146" s="22" t="n">
        <f aca="false">Data!N179</f>
        <v>246.77</v>
      </c>
      <c r="R146" s="22" t="n">
        <f aca="false">Data!J179</f>
        <v>40.96</v>
      </c>
      <c r="S146" s="22" t="str">
        <f aca="false">INDEX(Sector_div!$B$2:$B$227,MATCH(A146,Sector_div!$A$2:$A$227,0))</f>
        <v>bank</v>
      </c>
      <c r="T146" s="26"/>
      <c r="U146" s="27" t="str">
        <f aca="false">CONCATENATE("NSE:",A146,",")</f>
        <v>NSE:BANKBARODA,</v>
      </c>
      <c r="V146" s="26"/>
      <c r="W146" s="26"/>
      <c r="X146" s="26"/>
      <c r="Y146" s="26"/>
      <c r="Z146" s="26"/>
    </row>
    <row r="147" customFormat="false" ht="15.75" hidden="false" customHeight="true" outlineLevel="0" collapsed="false">
      <c r="A147" s="22" t="str">
        <f aca="false">Data!A15</f>
        <v>NUVAMA</v>
      </c>
      <c r="B147" s="23" t="n">
        <f aca="false">Data!B15</f>
        <v>6980.5</v>
      </c>
      <c r="C147" s="22" t="n">
        <f aca="false">Data!C15</f>
        <v>7049.5</v>
      </c>
      <c r="D147" s="22" t="n">
        <f aca="false">Data!D15</f>
        <v>6904</v>
      </c>
      <c r="E147" s="24" t="n">
        <f aca="false">Data!E15</f>
        <v>1.03</v>
      </c>
      <c r="F147" s="22" t="n">
        <f aca="false">Data!F15</f>
        <v>241.93</v>
      </c>
      <c r="G147" s="22" t="n">
        <f aca="false">Data!S15</f>
        <v>17.96</v>
      </c>
      <c r="H147" s="25" t="n">
        <f aca="false">Data!T77*100</f>
        <v>2.1</v>
      </c>
      <c r="I147" s="22" t="str">
        <f aca="false">IF(AND(C147=Data!G15,E147&gt;0),IF(AND(C147=Data!U15,E147&gt;0),"Buy_ 52W_H","Buy_50D_H"),IF(AND(Data!H15=D147,E147&lt;0),IF(AND(Data!V15=D147,E147&lt;0),"Sell_52W_L ","Sell_50D_L "),""))</f>
        <v/>
      </c>
      <c r="J147" s="22" t="n">
        <f aca="false">RANK(L147,L:L)</f>
        <v>146</v>
      </c>
      <c r="K147" s="22" t="str">
        <f aca="false">IF(Data!R15&gt;=B147,IF(((C147-B147)/(C147-D147))*100&gt;80,"Down"," "),IF(Data!R15&lt;=B147,IF(((B147-D147)/(C147-D147))*100&gt;80,"Up"," ")))</f>
        <v> </v>
      </c>
      <c r="L147" s="22" t="n">
        <f aca="false">Data!I15</f>
        <v>-14.43</v>
      </c>
      <c r="M147" s="22" t="str">
        <f aca="false">IF(AND(B147&gt;Data!P15,Data!O15&lt;Data!P15),"Buy",IF(AND(B147&lt;Data!P15,Data!O15&gt;Data!P15),"Sell",""))</f>
        <v/>
      </c>
      <c r="N147" s="22" t="n">
        <f aca="false">Data!K15/1000</f>
        <v>88.659</v>
      </c>
      <c r="O147" s="22" t="n">
        <f aca="false">Data!L15</f>
        <v>0.206</v>
      </c>
      <c r="P147" s="22" t="n">
        <f aca="false">Data!M15</f>
        <v>7274.01</v>
      </c>
      <c r="Q147" s="22" t="n">
        <f aca="false">Data!N15</f>
        <v>7023.88</v>
      </c>
      <c r="R147" s="22" t="n">
        <f aca="false">Data!J15</f>
        <v>52.94</v>
      </c>
      <c r="S147" s="22" t="e">
        <f aca="false">INDEX(Sector_div!$B$2:$B$227,MATCH(A147,Sector_div!$A$2:$A$227,0))</f>
        <v>#N/A</v>
      </c>
      <c r="T147" s="26"/>
      <c r="U147" s="27" t="str">
        <f aca="false">CONCATENATE("NSE:",A147,",")</f>
        <v>NSE:NUVAMA,</v>
      </c>
      <c r="V147" s="26"/>
      <c r="W147" s="26"/>
      <c r="X147" s="26"/>
      <c r="Y147" s="26"/>
      <c r="Z147" s="26"/>
    </row>
    <row r="148" customFormat="false" ht="15.75" hidden="false" customHeight="true" outlineLevel="0" collapsed="false">
      <c r="A148" s="22" t="str">
        <f aca="false">Data!A188</f>
        <v>PPLPHARMA</v>
      </c>
      <c r="B148" s="23" t="n">
        <f aca="false">Data!B188</f>
        <v>192.75</v>
      </c>
      <c r="C148" s="22" t="n">
        <f aca="false">Data!C188</f>
        <v>195.1</v>
      </c>
      <c r="D148" s="22" t="n">
        <f aca="false">Data!D188</f>
        <v>192.43</v>
      </c>
      <c r="E148" s="24" t="n">
        <f aca="false">Data!E188</f>
        <v>0.364</v>
      </c>
      <c r="F148" s="22" t="n">
        <f aca="false">Data!F188</f>
        <v>4.74</v>
      </c>
      <c r="G148" s="22" t="n">
        <f aca="false">Data!S188</f>
        <v>37.4</v>
      </c>
      <c r="H148" s="25" t="n">
        <f aca="false">Data!T9*100</f>
        <v>0.2</v>
      </c>
      <c r="I148" s="22" t="str">
        <f aca="false">IF(AND(C148=Data!G188,E148&gt;0),IF(AND(C148=Data!U188,E148&gt;0),"Buy_ 52W_H","Buy_50D_H"),IF(AND(Data!H188=D148,E148&lt;0),IF(AND(Data!V188=D148,E148&lt;0),"Sell_52W_L ","Sell_50D_L "),""))</f>
        <v/>
      </c>
      <c r="J148" s="22" t="n">
        <f aca="false">RANK(L148,L:L)</f>
        <v>147</v>
      </c>
      <c r="K148" s="22" t="str">
        <f aca="false">IF(Data!R188&gt;=B148,IF(((C148-B148)/(C148-D148))*100&gt;80,"Down"," "),IF(Data!R188&lt;=B148,IF(((B148-D148)/(C148-D148))*100&gt;80,"Up"," ")))</f>
        <v> </v>
      </c>
      <c r="L148" s="22" t="n">
        <f aca="false">Data!I188</f>
        <v>-18.36</v>
      </c>
      <c r="M148" s="22" t="str">
        <f aca="false">IF(AND(B148&gt;Data!P188,Data!O188&lt;Data!P188),"Buy",IF(AND(B148&lt;Data!P188,Data!O188&gt;Data!P188),"Sell",""))</f>
        <v/>
      </c>
      <c r="N148" s="22" t="n">
        <f aca="false">Data!K188/1000</f>
        <v>2779.48</v>
      </c>
      <c r="O148" s="22" t="n">
        <f aca="false">Data!L188</f>
        <v>0.826</v>
      </c>
      <c r="P148" s="22" t="n">
        <f aca="false">Data!M188</f>
        <v>201.71</v>
      </c>
      <c r="Q148" s="22" t="n">
        <f aca="false">Data!N188</f>
        <v>195.81</v>
      </c>
      <c r="R148" s="22" t="n">
        <f aca="false">Data!J188</f>
        <v>48.63</v>
      </c>
      <c r="S148" s="22" t="e">
        <f aca="false">INDEX(Sector_div!$B$2:$B$227,MATCH(A148,Sector_div!$A$2:$A$227,0))</f>
        <v>#N/A</v>
      </c>
      <c r="T148" s="26"/>
      <c r="U148" s="27" t="str">
        <f aca="false">CONCATENATE("NSE:",A148,",")</f>
        <v>NSE:PPLPHARMA,</v>
      </c>
      <c r="V148" s="26"/>
      <c r="W148" s="26"/>
      <c r="X148" s="26"/>
      <c r="Y148" s="26"/>
      <c r="Z148" s="26"/>
    </row>
    <row r="149" customFormat="false" ht="15.75" hidden="false" customHeight="true" outlineLevel="0" collapsed="false">
      <c r="A149" s="22" t="str">
        <f aca="false">Data!A192</f>
        <v>CESC</v>
      </c>
      <c r="B149" s="23" t="n">
        <f aca="false">Data!B192</f>
        <v>166.81</v>
      </c>
      <c r="C149" s="22" t="n">
        <f aca="false">Data!C192</f>
        <v>167.36</v>
      </c>
      <c r="D149" s="22" t="n">
        <f aca="false">Data!D192</f>
        <v>163.43</v>
      </c>
      <c r="E149" s="24" t="n">
        <f aca="false">Data!E192</f>
        <v>1.27</v>
      </c>
      <c r="F149" s="22" t="n">
        <f aca="false">Data!F192</f>
        <v>3.36</v>
      </c>
      <c r="G149" s="22" t="n">
        <f aca="false">Data!S192</f>
        <v>21.5</v>
      </c>
      <c r="H149" s="22" t="n">
        <f aca="false">Data!T42*100</f>
        <v>0.5</v>
      </c>
      <c r="I149" s="22" t="str">
        <f aca="false">IF(AND(C149=Data!G192,E149&gt;0),IF(AND(C149=Data!U192,E149&gt;0),"Buy_ 52W_H","Buy_50D_H"),IF(AND(Data!H192=D149,E149&lt;0),IF(AND(Data!V192=D149,E149&lt;0),"Sell_52W_L ","Sell_50D_L "),""))</f>
        <v/>
      </c>
      <c r="J149" s="22" t="n">
        <f aca="false">RANK(L149,L:L)</f>
        <v>148</v>
      </c>
      <c r="K149" s="22" t="str">
        <f aca="false">IF(Data!R192&gt;=B149,IF(((C149-B149)/(C149-D149))*100&gt;80,"Down"," "),IF(Data!R192&lt;=B149,IF(((B149-D149)/(C149-D149))*100&gt;80,"Up"," ")))</f>
        <v>Up</v>
      </c>
      <c r="L149" s="22" t="n">
        <f aca="false">Data!I192</f>
        <v>-18.78</v>
      </c>
      <c r="M149" s="22" t="str">
        <f aca="false">IF(AND(B149&gt;Data!P192,Data!O192&lt;Data!P192),"Buy",IF(AND(B149&lt;Data!P192,Data!O192&gt;Data!P192),"Sell",""))</f>
        <v/>
      </c>
      <c r="N149" s="22" t="n">
        <f aca="false">Data!K192/1000</f>
        <v>3529.51</v>
      </c>
      <c r="O149" s="22" t="n">
        <f aca="false">Data!L192</f>
        <v>2.47</v>
      </c>
      <c r="P149" s="22" t="n">
        <f aca="false">Data!M192</f>
        <v>171.46</v>
      </c>
      <c r="Q149" s="22" t="n">
        <f aca="false">Data!N192</f>
        <v>166.82</v>
      </c>
      <c r="R149" s="22" t="n">
        <f aca="false">Data!J192</f>
        <v>56.21</v>
      </c>
      <c r="S149" s="22" t="str">
        <f aca="false">INDEX(Sector_div!$B$2:$B$227,MATCH(A149,Sector_div!$A$2:$A$227,0))</f>
        <v>power</v>
      </c>
      <c r="T149" s="26"/>
      <c r="U149" s="27" t="str">
        <f aca="false">CONCATENATE("NSE:",A149,",")</f>
        <v>NSE:CESC,</v>
      </c>
      <c r="V149" s="26"/>
      <c r="W149" s="26"/>
      <c r="X149" s="26"/>
      <c r="Y149" s="26"/>
      <c r="Z149" s="26"/>
    </row>
    <row r="150" customFormat="false" ht="15.75" hidden="false" customHeight="true" outlineLevel="0" collapsed="false">
      <c r="A150" s="22" t="str">
        <f aca="false">Data!A54</f>
        <v>ADANIENT</v>
      </c>
      <c r="B150" s="23" t="n">
        <f aca="false">Data!B54</f>
        <v>2324.9</v>
      </c>
      <c r="C150" s="22" t="n">
        <f aca="false">Data!C54</f>
        <v>2376.3</v>
      </c>
      <c r="D150" s="22" t="n">
        <f aca="false">Data!D54</f>
        <v>2321</v>
      </c>
      <c r="E150" s="24" t="n">
        <f aca="false">Data!E54</f>
        <v>-2.2</v>
      </c>
      <c r="F150" s="22" t="n">
        <f aca="false">Data!F54</f>
        <v>59.21</v>
      </c>
      <c r="G150" s="22" t="n">
        <f aca="false">Data!S54</f>
        <v>27.6</v>
      </c>
      <c r="H150" s="22" t="n">
        <f aca="false">Data!T26*100</f>
        <v>0.5</v>
      </c>
      <c r="I150" s="22" t="str">
        <f aca="false">IF(AND(C150=Data!G54,E150&gt;0),IF(AND(C150=Data!U54,E150&gt;0),"Buy_ 52W_H","Buy_50D_H"),IF(AND(Data!H54=D150,E150&lt;0),IF(AND(Data!V54=D150,E150&lt;0),"Sell_52W_L ","Sell_50D_L "),""))</f>
        <v/>
      </c>
      <c r="J150" s="22" t="n">
        <f aca="false">RANK(L150,L:L)</f>
        <v>149</v>
      </c>
      <c r="K150" s="22" t="str">
        <f aca="false">IF(Data!R54&gt;=B150,IF(((C150-B150)/(C150-D150))*100&gt;80,"Down"," "),IF(Data!R54&lt;=B150,IF(((B150-D150)/(C150-D150))*100&gt;80,"Up"," ")))</f>
        <v>Down</v>
      </c>
      <c r="L150" s="22" t="n">
        <f aca="false">Data!I54</f>
        <v>-23.52</v>
      </c>
      <c r="M150" s="22" t="str">
        <f aca="false">IF(AND(B150&gt;Data!P54,Data!O54&lt;Data!P54),"Buy",IF(AND(B150&lt;Data!P54,Data!O54&gt;Data!P54),"Sell",""))</f>
        <v/>
      </c>
      <c r="N150" s="22" t="n">
        <f aca="false">Data!K54/1000</f>
        <v>583.82</v>
      </c>
      <c r="O150" s="22" t="n">
        <f aca="false">Data!L54</f>
        <v>1.32</v>
      </c>
      <c r="P150" s="22" t="n">
        <f aca="false">Data!M54</f>
        <v>2263.76</v>
      </c>
      <c r="Q150" s="22" t="n">
        <f aca="false">Data!N54</f>
        <v>2408.47</v>
      </c>
      <c r="R150" s="22" t="n">
        <f aca="false">Data!J54</f>
        <v>43.6</v>
      </c>
      <c r="S150" s="22" t="str">
        <f aca="false">INDEX(Sector_div!$B$2:$B$227,MATCH(A150,Sector_div!$A$2:$A$227,0))</f>
        <v>metals</v>
      </c>
      <c r="T150" s="26"/>
      <c r="U150" s="27" t="str">
        <f aca="false">CONCATENATE("NSE:",A150,",")</f>
        <v>NSE:ADANIENT,</v>
      </c>
      <c r="V150" s="26"/>
      <c r="W150" s="26"/>
      <c r="X150" s="26"/>
      <c r="Y150" s="26"/>
      <c r="Z150" s="26"/>
    </row>
    <row r="151" customFormat="false" ht="15.75" hidden="false" customHeight="true" outlineLevel="0" collapsed="false">
      <c r="A151" s="22" t="str">
        <f aca="false">Data!A154</f>
        <v>SONACOMS</v>
      </c>
      <c r="B151" s="23" t="n">
        <f aca="false">Data!B154</f>
        <v>449.65</v>
      </c>
      <c r="C151" s="22" t="n">
        <f aca="false">Data!C154</f>
        <v>451.95</v>
      </c>
      <c r="D151" s="22" t="n">
        <f aca="false">Data!D154</f>
        <v>443.4</v>
      </c>
      <c r="E151" s="24" t="n">
        <f aca="false">Data!E154</f>
        <v>1.58</v>
      </c>
      <c r="F151" s="22" t="n">
        <f aca="false">Data!F154</f>
        <v>13.86</v>
      </c>
      <c r="G151" s="22" t="n">
        <f aca="false">Data!S154</f>
        <v>41.5</v>
      </c>
      <c r="I151" s="22" t="str">
        <f aca="false">IF(AND(C151=Data!G154,E151&gt;0),IF(AND(C151=Data!U154,E151&gt;0),"Buy_ 52W_H","Buy_50D_H"),IF(AND(Data!H154=D151,E151&lt;0),IF(AND(Data!V154=D151,E151&lt;0),"Sell_52W_L ","Sell_50D_L "),""))</f>
        <v/>
      </c>
      <c r="J151" s="22" t="n">
        <f aca="false">RANK(L151,L:L)</f>
        <v>150</v>
      </c>
      <c r="K151" s="22" t="str">
        <f aca="false">IF(Data!R154&gt;=B151,IF(((C151-B151)/(C151-D151))*100&gt;80,"Down"," "),IF(Data!R154&lt;=B151,IF(((B151-D151)/(C151-D151))*100&gt;80,"Up"," ")))</f>
        <v> </v>
      </c>
      <c r="L151" s="22" t="n">
        <f aca="false">Data!I154</f>
        <v>-25</v>
      </c>
      <c r="M151" s="22" t="str">
        <f aca="false">IF(AND(B151&gt;Data!P154,Data!O154&lt;Data!P154),"Buy",IF(AND(B151&lt;Data!P154,Data!O154&gt;Data!P154),"Sell",""))</f>
        <v/>
      </c>
      <c r="N151" s="22" t="n">
        <f aca="false">Data!K154/1000</f>
        <v>894.867</v>
      </c>
      <c r="O151" s="22" t="n">
        <f aca="false">Data!L154</f>
        <v>0.177</v>
      </c>
      <c r="P151" s="22" t="n">
        <f aca="false">Data!M154</f>
        <v>470.91</v>
      </c>
      <c r="Q151" s="22" t="n">
        <f aca="false">Data!N154</f>
        <v>440.62</v>
      </c>
      <c r="R151" s="22" t="n">
        <f aca="false">Data!J154</f>
        <v>49.94</v>
      </c>
      <c r="S151" s="22" t="str">
        <f aca="false">INDEX(Sector_div!$B$2:$B$227,MATCH(A151,Sector_div!$A$2:$A$227,0))</f>
        <v>auto</v>
      </c>
      <c r="T151" s="26"/>
      <c r="U151" s="27" t="str">
        <f aca="false">CONCATENATE("NSE:",A151,",")</f>
        <v>NSE:SONACOMS,</v>
      </c>
      <c r="V151" s="26"/>
      <c r="W151" s="26"/>
      <c r="X151" s="26"/>
      <c r="Y151" s="26"/>
      <c r="Z151" s="26"/>
    </row>
    <row r="152" customFormat="false" ht="15.75" hidden="false" customHeight="true" outlineLevel="0" collapsed="false">
      <c r="A152" s="22" t="str">
        <f aca="false">Data!A90</f>
        <v>ADANIPORTS</v>
      </c>
      <c r="B152" s="23" t="n">
        <f aca="false">Data!B90</f>
        <v>1341.2</v>
      </c>
      <c r="C152" s="22" t="n">
        <f aca="false">Data!C90</f>
        <v>1364</v>
      </c>
      <c r="D152" s="22" t="n">
        <f aca="false">Data!D90</f>
        <v>1338.2</v>
      </c>
      <c r="E152" s="24" t="n">
        <f aca="false">Data!E90</f>
        <v>-1.51</v>
      </c>
      <c r="F152" s="22" t="n">
        <f aca="false">Data!F90</f>
        <v>30.33</v>
      </c>
      <c r="G152" s="22" t="n">
        <f aca="false">Data!S90</f>
        <v>10.56</v>
      </c>
      <c r="H152" s="22" t="n">
        <f aca="false">Data!T104*100</f>
        <v>1.8</v>
      </c>
      <c r="I152" s="22" t="str">
        <f aca="false">IF(AND(C152=Data!G90,E152&gt;0),IF(AND(C152=Data!U90,E152&gt;0),"Buy_ 52W_H","Buy_50D_H"),IF(AND(Data!H90=D152,E152&lt;0),IF(AND(Data!V90=D152,E152&lt;0),"Sell_52W_L ","Sell_50D_L "),""))</f>
        <v/>
      </c>
      <c r="J152" s="22" t="n">
        <f aca="false">RANK(L152,L:L)</f>
        <v>151</v>
      </c>
      <c r="K152" s="22" t="str">
        <f aca="false">IF(Data!R90&gt;=B152,IF(((C152-B152)/(C152-D152))*100&gt;80,"Down"," "),IF(Data!R90&lt;=B152,IF(((B152-D152)/(C152-D152))*100&gt;80,"Up"," ")))</f>
        <v>Down</v>
      </c>
      <c r="L152" s="22" t="n">
        <f aca="false">Data!I90</f>
        <v>-28.69</v>
      </c>
      <c r="M152" s="22" t="str">
        <f aca="false">IF(AND(B152&gt;Data!P90,Data!O90&lt;Data!P90),"Buy",IF(AND(B152&lt;Data!P90,Data!O90&gt;Data!P90),"Sell",""))</f>
        <v/>
      </c>
      <c r="N152" s="22" t="n">
        <f aca="false">Data!K90/1000</f>
        <v>1210.256</v>
      </c>
      <c r="O152" s="22" t="n">
        <f aca="false">Data!L90</f>
        <v>0.986</v>
      </c>
      <c r="P152" s="22" t="n">
        <f aca="false">Data!M90</f>
        <v>1372.77</v>
      </c>
      <c r="Q152" s="22" t="n">
        <f aca="false">Data!N90</f>
        <v>1335.65</v>
      </c>
      <c r="R152" s="22" t="n">
        <f aca="false">Data!J90</f>
        <v>44.97</v>
      </c>
      <c r="S152" s="22" t="str">
        <f aca="false">INDEX(Sector_div!$B$2:$B$227,MATCH(A152,Sector_div!$A$2:$A$227,0))</f>
        <v>industrials</v>
      </c>
      <c r="T152" s="26"/>
      <c r="U152" s="27" t="str">
        <f aca="false">CONCATENATE("NSE:",A152,",")</f>
        <v>NSE:ADANIPORTS,</v>
      </c>
      <c r="V152" s="26"/>
      <c r="W152" s="26"/>
      <c r="X152" s="26"/>
      <c r="Y152" s="26"/>
      <c r="Z152" s="26"/>
    </row>
    <row r="153" customFormat="false" ht="15.75" hidden="false" customHeight="true" outlineLevel="0" collapsed="false">
      <c r="A153" s="22" t="str">
        <f aca="false">Data!A151</f>
        <v>IIFL</v>
      </c>
      <c r="B153" s="23" t="n">
        <f aca="false">Data!B151</f>
        <v>451.1</v>
      </c>
      <c r="C153" s="22" t="n">
        <f aca="false">Data!C151</f>
        <v>463.1</v>
      </c>
      <c r="D153" s="22" t="n">
        <f aca="false">Data!D151</f>
        <v>449.85</v>
      </c>
      <c r="E153" s="24" t="n">
        <f aca="false">Data!E151</f>
        <v>-1.88</v>
      </c>
      <c r="F153" s="22" t="n">
        <f aca="false">Data!F151</f>
        <v>15.34</v>
      </c>
      <c r="G153" s="22" t="n">
        <f aca="false">Data!S151</f>
        <v>19.53</v>
      </c>
      <c r="H153" s="22" t="n">
        <f aca="false">Data!T112*100</f>
        <v>2.1</v>
      </c>
      <c r="I153" s="22" t="str">
        <f aca="false">IF(AND(C153=Data!G151,E153&gt;0),IF(AND(C153=Data!U151,E153&gt;0),"Buy_ 52W_H","Buy_50D_H"),IF(AND(Data!H151=D153,E153&lt;0),IF(AND(Data!V151=D153,E153&lt;0),"Sell_52W_L ","Sell_50D_L "),""))</f>
        <v/>
      </c>
      <c r="J153" s="22" t="n">
        <f aca="false">RANK(L153,L:L)</f>
        <v>152</v>
      </c>
      <c r="K153" s="22" t="str">
        <f aca="false">IF(Data!R151&gt;=B153,IF(((C153-B153)/(C153-D153))*100&gt;80,"Down"," "),IF(Data!R151&lt;=B153,IF(((B153-D153)/(C153-D153))*100&gt;80,"Up"," ")))</f>
        <v>Down</v>
      </c>
      <c r="L153" s="22" t="n">
        <f aca="false">Data!I151</f>
        <v>-30.91</v>
      </c>
      <c r="M153" s="22" t="str">
        <f aca="false">IF(AND(B153&gt;Data!P151,Data!O151&lt;Data!P151),"Buy",IF(AND(B153&lt;Data!P151,Data!O151&gt;Data!P151),"Sell",""))</f>
        <v/>
      </c>
      <c r="N153" s="22" t="n">
        <f aca="false">Data!K151/1000</f>
        <v>662.854</v>
      </c>
      <c r="O153" s="22" t="n">
        <f aca="false">Data!L151</f>
        <v>1.01</v>
      </c>
      <c r="P153" s="22" t="n">
        <f aca="false">Data!M151</f>
        <v>479.66</v>
      </c>
      <c r="Q153" s="22" t="n">
        <f aca="false">Data!N151</f>
        <v>472.28</v>
      </c>
      <c r="R153" s="22" t="n">
        <f aca="false">Data!J151</f>
        <v>41.97</v>
      </c>
      <c r="S153" s="22" t="str">
        <f aca="false">INDEX(Sector_div!$B$2:$B$227,MATCH(A153,Sector_div!$A$2:$A$227,0))</f>
        <v>finance</v>
      </c>
      <c r="T153" s="26"/>
      <c r="U153" s="27" t="str">
        <f aca="false">CONCATENATE("NSE:",A153,",")</f>
        <v>NSE:IIFL,</v>
      </c>
      <c r="V153" s="26"/>
      <c r="W153" s="26"/>
      <c r="X153" s="26"/>
      <c r="Y153" s="26"/>
      <c r="Z153" s="26"/>
    </row>
    <row r="154" customFormat="false" ht="15.75" hidden="false" customHeight="true" outlineLevel="0" collapsed="false">
      <c r="A154" s="22" t="str">
        <f aca="false">Data!A211</f>
        <v>HFCL</v>
      </c>
      <c r="B154" s="23" t="n">
        <f aca="false">Data!B211</f>
        <v>73.62</v>
      </c>
      <c r="C154" s="22" t="n">
        <f aca="false">Data!C211</f>
        <v>74.59</v>
      </c>
      <c r="D154" s="22" t="n">
        <f aca="false">Data!D211</f>
        <v>72.7</v>
      </c>
      <c r="E154" s="24" t="n">
        <f aca="false">Data!E211</f>
        <v>1.13</v>
      </c>
      <c r="F154" s="22" t="n">
        <f aca="false">Data!F211</f>
        <v>2.18</v>
      </c>
      <c r="G154" s="22" t="n">
        <f aca="false">Data!S211</f>
        <v>56.95</v>
      </c>
      <c r="H154" s="25" t="n">
        <f aca="false">Data!T145*100</f>
        <v>3.1</v>
      </c>
      <c r="I154" s="22" t="str">
        <f aca="false">IF(AND(C154=Data!G211,E154&gt;0),IF(AND(C154=Data!U211,E154&gt;0),"Buy_ 52W_H","Buy_50D_H"),IF(AND(Data!H211=D154,E154&lt;0),IF(AND(Data!V211=D154,E154&lt;0),"Sell_52W_L ","Sell_50D_L "),""))</f>
        <v/>
      </c>
      <c r="J154" s="22" t="n">
        <f aca="false">RANK(L154,L:L)</f>
        <v>153</v>
      </c>
      <c r="K154" s="22" t="str">
        <f aca="false">IF(Data!R211&gt;=B154,IF(((C154-B154)/(C154-D154))*100&gt;80,"Down"," "),IF(Data!R211&lt;=B154,IF(((B154-D154)/(C154-D154))*100&gt;80,"Up"," ")))</f>
        <v> </v>
      </c>
      <c r="L154" s="22" t="n">
        <f aca="false">Data!I211</f>
        <v>-31.92</v>
      </c>
      <c r="M154" s="22" t="str">
        <f aca="false">IF(AND(B154&gt;Data!P211,Data!O211&lt;Data!P211),"Buy",IF(AND(B154&lt;Data!P211,Data!O211&gt;Data!P211),"Sell",""))</f>
        <v/>
      </c>
      <c r="N154" s="22" t="n">
        <f aca="false">Data!K211/1000</f>
        <v>6243.17</v>
      </c>
      <c r="O154" s="22" t="n">
        <f aca="false">Data!L211</f>
        <v>0.377</v>
      </c>
      <c r="P154" s="22" t="n">
        <f aca="false">Data!M211</f>
        <v>75.6</v>
      </c>
      <c r="Q154" s="22" t="n">
        <f aca="false">Data!N211</f>
        <v>75.83</v>
      </c>
      <c r="R154" s="22" t="n">
        <f aca="false">Data!J211</f>
        <v>48.36</v>
      </c>
      <c r="S154" s="22" t="str">
        <f aca="false">INDEX(Sector_div!$B$2:$B$227,MATCH(A154,Sector_div!$A$2:$A$227,0))</f>
        <v>telecom</v>
      </c>
      <c r="T154" s="26"/>
      <c r="U154" s="27" t="str">
        <f aca="false">CONCATENATE("NSE:",A154,",")</f>
        <v>NSE:HFCL,</v>
      </c>
      <c r="V154" s="26"/>
      <c r="W154" s="26"/>
      <c r="X154" s="26"/>
      <c r="Y154" s="26"/>
      <c r="Z154" s="26"/>
    </row>
    <row r="155" customFormat="false" ht="15.75" hidden="false" customHeight="true" outlineLevel="0" collapsed="false">
      <c r="A155" s="22" t="str">
        <f aca="false">Data!A121</f>
        <v>PNBHOUSING</v>
      </c>
      <c r="B155" s="23" t="n">
        <f aca="false">Data!B121</f>
        <v>799.75</v>
      </c>
      <c r="C155" s="22" t="n">
        <f aca="false">Data!C121</f>
        <v>806.65</v>
      </c>
      <c r="D155" s="22" t="n">
        <f aca="false">Data!D121</f>
        <v>794.8</v>
      </c>
      <c r="E155" s="24" t="n">
        <f aca="false">Data!E121</f>
        <v>-0.559</v>
      </c>
      <c r="F155" s="22" t="n">
        <f aca="false">Data!F121</f>
        <v>23.34</v>
      </c>
      <c r="G155" s="22" t="n">
        <f aca="false">Data!S121</f>
        <v>33.48</v>
      </c>
      <c r="H155" s="25" t="n">
        <f aca="false">Data!T39*100</f>
        <v>0.9</v>
      </c>
      <c r="I155" s="22" t="str">
        <f aca="false">IF(AND(C155=Data!G121,E155&gt;0),IF(AND(C155=Data!U121,E155&gt;0),"Buy_ 52W_H","Buy_50D_H"),IF(AND(Data!H121=D155,E155&lt;0),IF(AND(Data!V121=D155,E155&lt;0),"Sell_52W_L ","Sell_50D_L "),""))</f>
        <v/>
      </c>
      <c r="J155" s="22" t="n">
        <f aca="false">RANK(L155,L:L)</f>
        <v>154</v>
      </c>
      <c r="K155" s="22" t="str">
        <f aca="false">IF(Data!R121&gt;=B155,IF(((C155-B155)/(C155-D155))*100&gt;80,"Down"," "),IF(Data!R121&lt;=B155,IF(((B155-D155)/(C155-D155))*100&gt;80,"Up"," ")))</f>
        <v> </v>
      </c>
      <c r="L155" s="22" t="n">
        <f aca="false">Data!I121</f>
        <v>-33.26</v>
      </c>
      <c r="M155" s="22" t="str">
        <f aca="false">IF(AND(B155&gt;Data!P121,Data!O121&lt;Data!P121),"Buy",IF(AND(B155&lt;Data!P121,Data!O121&gt;Data!P121),"Sell",""))</f>
        <v/>
      </c>
      <c r="N155" s="22" t="n">
        <f aca="false">Data!K121/1000</f>
        <v>1548.947</v>
      </c>
      <c r="O155" s="22" t="n">
        <f aca="false">Data!L121</f>
        <v>0.962</v>
      </c>
      <c r="P155" s="22" t="n">
        <f aca="false">Data!M121</f>
        <v>830.26</v>
      </c>
      <c r="Q155" s="22" t="n">
        <f aca="false">Data!N121</f>
        <v>782.94</v>
      </c>
      <c r="R155" s="22" t="n">
        <f aca="false">Data!J121</f>
        <v>40.71</v>
      </c>
      <c r="S155" s="22" t="e">
        <f aca="false">INDEX(Sector_div!$B$2:$B$227,MATCH(A155,Sector_div!$A$2:$A$227,0))</f>
        <v>#N/A</v>
      </c>
      <c r="T155" s="26"/>
      <c r="U155" s="27" t="str">
        <f aca="false">CONCATENATE("NSE:",A155,",")</f>
        <v>NSE:PNBHOUSING,</v>
      </c>
      <c r="V155" s="26"/>
      <c r="W155" s="26"/>
      <c r="X155" s="26"/>
      <c r="Y155" s="26"/>
      <c r="Z155" s="26"/>
    </row>
    <row r="156" customFormat="false" ht="15.75" hidden="false" customHeight="true" outlineLevel="0" collapsed="false">
      <c r="A156" s="22" t="str">
        <f aca="false">Data!A196</f>
        <v>INOXWIND</v>
      </c>
      <c r="B156" s="23" t="n">
        <f aca="false">Data!B196</f>
        <v>144.05</v>
      </c>
      <c r="C156" s="22" t="n">
        <f aca="false">Data!C196</f>
        <v>146.45</v>
      </c>
      <c r="D156" s="22" t="n">
        <f aca="false">Data!D196</f>
        <v>142.6</v>
      </c>
      <c r="E156" s="24" t="n">
        <f aca="false">Data!E196</f>
        <v>0.967</v>
      </c>
      <c r="F156" s="22" t="n">
        <f aca="false">Data!F196</f>
        <v>4.78</v>
      </c>
      <c r="G156" s="22" t="n">
        <f aca="false">Data!S196</f>
        <v>45</v>
      </c>
      <c r="H156" s="22" t="n">
        <f aca="false">Data!T124*100</f>
        <v>5</v>
      </c>
      <c r="I156" s="22" t="str">
        <f aca="false">IF(AND(C156=Data!G196,E156&gt;0),IF(AND(C156=Data!U196,E156&gt;0),"Buy_ 52W_H","Buy_50D_H"),IF(AND(Data!H196=D156,E156&lt;0),IF(AND(Data!V196=D156,E156&lt;0),"Sell_52W_L ","Sell_50D_L "),""))</f>
        <v/>
      </c>
      <c r="J156" s="22" t="n">
        <f aca="false">RANK(L156,L:L)</f>
        <v>155</v>
      </c>
      <c r="K156" s="22" t="str">
        <f aca="false">IF(Data!R196&gt;=B156,IF(((C156-B156)/(C156-D156))*100&gt;80,"Down"," "),IF(Data!R196&lt;=B156,IF(((B156-D156)/(C156-D156))*100&gt;80,"Up"," ")))</f>
        <v> </v>
      </c>
      <c r="L156" s="22" t="n">
        <f aca="false">Data!I196</f>
        <v>-33.56</v>
      </c>
      <c r="M156" s="22" t="str">
        <f aca="false">IF(AND(B156&gt;Data!P196,Data!O196&lt;Data!P196),"Buy",IF(AND(B156&lt;Data!P196,Data!O196&gt;Data!P196),"Sell",""))</f>
        <v/>
      </c>
      <c r="N156" s="22" t="n">
        <f aca="false">Data!K196/1000</f>
        <v>7336.991</v>
      </c>
      <c r="O156" s="22" t="n">
        <f aca="false">Data!L196</f>
        <v>1.42</v>
      </c>
      <c r="P156" s="22" t="n">
        <f aca="false">Data!M196</f>
        <v>146.3</v>
      </c>
      <c r="Q156" s="22" t="n">
        <f aca="false">Data!N196</f>
        <v>139.73</v>
      </c>
      <c r="R156" s="22" t="n">
        <f aca="false">Data!J196</f>
        <v>47.36</v>
      </c>
      <c r="S156" s="22" t="e">
        <f aca="false">INDEX(Sector_div!$B$2:$B$227,MATCH(A156,Sector_div!$A$2:$A$227,0))</f>
        <v>#N/A</v>
      </c>
      <c r="T156" s="26"/>
      <c r="U156" s="27" t="str">
        <f aca="false">CONCATENATE("NSE:",A156,",")</f>
        <v>NSE:INOXWIND,</v>
      </c>
      <c r="V156" s="26"/>
      <c r="W156" s="26"/>
      <c r="X156" s="26"/>
      <c r="Y156" s="26"/>
      <c r="Z156" s="26"/>
    </row>
    <row r="157" customFormat="false" ht="15.75" hidden="false" customHeight="true" outlineLevel="0" collapsed="false">
      <c r="A157" s="22" t="str">
        <f aca="false">Data!A17</f>
        <v>DIVISLAB</v>
      </c>
      <c r="B157" s="23" t="n">
        <f aca="false">Data!B17</f>
        <v>6151.5</v>
      </c>
      <c r="C157" s="22" t="n">
        <f aca="false">Data!C17</f>
        <v>6188</v>
      </c>
      <c r="D157" s="22" t="n">
        <f aca="false">Data!D17</f>
        <v>6088</v>
      </c>
      <c r="E157" s="24" t="n">
        <f aca="false">Data!E17</f>
        <v>2.05</v>
      </c>
      <c r="F157" s="22" t="n">
        <f aca="false">Data!F17</f>
        <v>142.69</v>
      </c>
      <c r="G157" s="22" t="n">
        <f aca="false">Data!S17</f>
        <v>13.01</v>
      </c>
      <c r="H157" s="22" t="n">
        <f aca="false">Data!T52*100</f>
        <v>0.9</v>
      </c>
      <c r="I157" s="22" t="str">
        <f aca="false">IF(AND(C157=Data!G17,E157&gt;0),IF(AND(C157=Data!U17,E157&gt;0),"Buy_ 52W_H","Buy_50D_H"),IF(AND(Data!H17=D157,E157&lt;0),IF(AND(Data!V17=D157,E157&lt;0),"Sell_52W_L ","Sell_50D_L "),""))</f>
        <v/>
      </c>
      <c r="J157" s="22" t="n">
        <f aca="false">RANK(L157,L:L)</f>
        <v>156</v>
      </c>
      <c r="K157" s="22" t="str">
        <f aca="false">IF(Data!R17&gt;=B157,IF(((C157-B157)/(C157-D157))*100&gt;80,"Down"," "),IF(Data!R17&lt;=B157,IF(((B157-D157)/(C157-D157))*100&gt;80,"Up"," ")))</f>
        <v> </v>
      </c>
      <c r="L157" s="22" t="n">
        <f aca="false">Data!I17</f>
        <v>-35.36</v>
      </c>
      <c r="M157" s="22" t="str">
        <f aca="false">IF(AND(B157&gt;Data!P17,Data!O17&lt;Data!P17),"Buy",IF(AND(B157&lt;Data!P17,Data!O17&gt;Data!P17),"Sell",""))</f>
        <v/>
      </c>
      <c r="N157" s="22" t="n">
        <f aca="false">Data!K17/1000</f>
        <v>681.525</v>
      </c>
      <c r="O157" s="22" t="n">
        <f aca="false">Data!L17</f>
        <v>3.1</v>
      </c>
      <c r="P157" s="22" t="n">
        <f aca="false">Data!M17</f>
        <v>6291.09</v>
      </c>
      <c r="Q157" s="22" t="n">
        <f aca="false">Data!N17</f>
        <v>5993.17</v>
      </c>
      <c r="R157" s="22" t="n">
        <f aca="false">Data!J17</f>
        <v>49.82</v>
      </c>
      <c r="S157" s="22" t="str">
        <f aca="false">INDEX(Sector_div!$B$2:$B$227,MATCH(A157,Sector_div!$A$2:$A$227,0))</f>
        <v>Pharma&amp;Healthcare</v>
      </c>
      <c r="T157" s="26"/>
      <c r="U157" s="27" t="str">
        <f aca="false">CONCATENATE("NSE:",A157,",")</f>
        <v>NSE:DIVISLAB,</v>
      </c>
      <c r="V157" s="26"/>
      <c r="W157" s="26"/>
      <c r="X157" s="26"/>
      <c r="Y157" s="26"/>
      <c r="Z157" s="26"/>
    </row>
    <row r="158" customFormat="false" ht="15.75" hidden="false" customHeight="true" outlineLevel="0" collapsed="false">
      <c r="A158" s="22" t="str">
        <f aca="false">Data!A31</f>
        <v>HAL</v>
      </c>
      <c r="B158" s="23" t="n">
        <f aca="false">Data!B31</f>
        <v>4473</v>
      </c>
      <c r="C158" s="22" t="n">
        <f aca="false">Data!C31</f>
        <v>4532</v>
      </c>
      <c r="D158" s="22" t="n">
        <f aca="false">Data!D31</f>
        <v>4463</v>
      </c>
      <c r="E158" s="24" t="n">
        <f aca="false">Data!E31</f>
        <v>-0.022</v>
      </c>
      <c r="F158" s="22" t="n">
        <f aca="false">Data!F31</f>
        <v>106.74</v>
      </c>
      <c r="G158" s="22" t="n">
        <f aca="false">Data!S31</f>
        <v>13.4</v>
      </c>
      <c r="H158" s="22" t="n">
        <f aca="false">Data!T76*100</f>
        <v>1.1</v>
      </c>
      <c r="I158" s="22" t="str">
        <f aca="false">IF(AND(C158=Data!G31,E158&gt;0),IF(AND(C158=Data!U31,E158&gt;0),"Buy_ 52W_H","Buy_50D_H"),IF(AND(Data!H31=D158,E158&lt;0),IF(AND(Data!V31=D158,E158&lt;0),"Sell_52W_L ","Sell_50D_L "),""))</f>
        <v/>
      </c>
      <c r="J158" s="22" t="n">
        <f aca="false">RANK(L158,L:L)</f>
        <v>157</v>
      </c>
      <c r="K158" s="22" t="str">
        <f aca="false">IF(Data!R31&gt;=B158,IF(((C158-B158)/(C158-D158))*100&gt;80,"Down"," "),IF(Data!R31&lt;=B158,IF(((B158-D158)/(C158-D158))*100&gt;80,"Up"," ")))</f>
        <v>Down</v>
      </c>
      <c r="L158" s="22" t="n">
        <f aca="false">Data!I31</f>
        <v>-35.51</v>
      </c>
      <c r="M158" s="22" t="str">
        <f aca="false">IF(AND(B158&gt;Data!P31,Data!O31&lt;Data!P31),"Buy",IF(AND(B158&lt;Data!P31,Data!O31&gt;Data!P31),"Sell",""))</f>
        <v/>
      </c>
      <c r="N158" s="22" t="n">
        <f aca="false">Data!K31/1000</f>
        <v>1422.93</v>
      </c>
      <c r="O158" s="22" t="n">
        <f aca="false">Data!L31</f>
        <v>0.776</v>
      </c>
      <c r="P158" s="22" t="n">
        <f aca="false">Data!M31</f>
        <v>4625.34</v>
      </c>
      <c r="Q158" s="22" t="n">
        <f aca="false">Data!N31</f>
        <v>4440.42</v>
      </c>
      <c r="R158" s="22" t="n">
        <f aca="false">Data!J31</f>
        <v>43.29</v>
      </c>
      <c r="S158" s="22" t="str">
        <f aca="false">INDEX(Sector_div!$B$2:$B$227,MATCH(A158,Sector_div!$A$2:$A$227,0))</f>
        <v>aerospace &amp; defence</v>
      </c>
      <c r="T158" s="26"/>
      <c r="U158" s="27" t="str">
        <f aca="false">CONCATENATE("NSE:",A158,",")</f>
        <v>NSE:HAL,</v>
      </c>
      <c r="V158" s="26"/>
      <c r="W158" s="26"/>
      <c r="X158" s="26"/>
      <c r="Y158" s="26"/>
      <c r="Z158" s="26"/>
    </row>
    <row r="159" customFormat="false" ht="15.75" hidden="false" customHeight="true" outlineLevel="0" collapsed="false">
      <c r="A159" s="22" t="str">
        <f aca="false">Data!A184</f>
        <v>NCC</v>
      </c>
      <c r="B159" s="23" t="n">
        <f aca="false">Data!B184</f>
        <v>216.96</v>
      </c>
      <c r="C159" s="22" t="n">
        <f aca="false">Data!C184</f>
        <v>219.97</v>
      </c>
      <c r="D159" s="22" t="n">
        <f aca="false">Data!D184</f>
        <v>216.57</v>
      </c>
      <c r="E159" s="24" t="n">
        <f aca="false">Data!E184</f>
        <v>-0.836</v>
      </c>
      <c r="F159" s="22" t="n">
        <f aca="false">Data!F184</f>
        <v>4.94</v>
      </c>
      <c r="G159" s="22" t="n">
        <f aca="false">Data!S184</f>
        <v>34.41</v>
      </c>
      <c r="H159" s="22" t="n">
        <f aca="false">Data!T38*100</f>
        <v>0.5</v>
      </c>
      <c r="I159" s="22" t="str">
        <f aca="false">IF(AND(C159=Data!G184,E159&gt;0),IF(AND(C159=Data!U184,E159&gt;0),"Buy_ 52W_H","Buy_50D_H"),IF(AND(Data!H184=D159,E159&lt;0),IF(AND(Data!V184=D159,E159&lt;0),"Sell_52W_L ","Sell_50D_L "),""))</f>
        <v/>
      </c>
      <c r="J159" s="22" t="n">
        <f aca="false">RANK(L159,L:L)</f>
        <v>158</v>
      </c>
      <c r="K159" s="22" t="str">
        <f aca="false">IF(Data!R184&gt;=B159,IF(((C159-B159)/(C159-D159))*100&gt;80,"Down"," "),IF(Data!R184&lt;=B159,IF(((B159-D159)/(C159-D159))*100&gt;80,"Up"," ")))</f>
        <v>Down</v>
      </c>
      <c r="L159" s="22" t="n">
        <f aca="false">Data!I184</f>
        <v>-36.96</v>
      </c>
      <c r="M159" s="22" t="str">
        <f aca="false">IF(AND(B159&gt;Data!P184,Data!O184&lt;Data!P184),"Buy",IF(AND(B159&lt;Data!P184,Data!O184&gt;Data!P184),"Sell",""))</f>
        <v/>
      </c>
      <c r="N159" s="22" t="n">
        <f aca="false">Data!K184/1000</f>
        <v>1619.585</v>
      </c>
      <c r="O159" s="22" t="n">
        <f aca="false">Data!L184</f>
        <v>1.31</v>
      </c>
      <c r="P159" s="22" t="n">
        <f aca="false">Data!M184</f>
        <v>210.58</v>
      </c>
      <c r="Q159" s="22" t="n">
        <f aca="false">Data!N184</f>
        <v>216.84</v>
      </c>
      <c r="R159" s="22" t="n">
        <f aca="false">Data!J184</f>
        <v>39</v>
      </c>
      <c r="S159" s="22" t="str">
        <f aca="false">INDEX(Sector_div!$B$2:$B$227,MATCH(A159,Sector_div!$A$2:$A$227,0))</f>
        <v>infra</v>
      </c>
      <c r="T159" s="26"/>
      <c r="U159" s="27" t="str">
        <f aca="false">CONCATENATE("NSE:",A159,",")</f>
        <v>NSE:NCC,</v>
      </c>
      <c r="V159" s="26"/>
      <c r="W159" s="26"/>
      <c r="X159" s="26"/>
      <c r="Y159" s="26"/>
      <c r="Z159" s="26"/>
    </row>
    <row r="160" customFormat="false" ht="15.75" hidden="false" customHeight="true" outlineLevel="0" collapsed="false">
      <c r="A160" s="22" t="str">
        <f aca="false">Data!A84</f>
        <v>HCLTECH</v>
      </c>
      <c r="B160" s="23" t="n">
        <f aca="false">Data!B84</f>
        <v>1466.3</v>
      </c>
      <c r="C160" s="22" t="n">
        <f aca="false">Data!C84</f>
        <v>1491.5</v>
      </c>
      <c r="D160" s="22" t="n">
        <f aca="false">Data!D84</f>
        <v>1464</v>
      </c>
      <c r="E160" s="24" t="n">
        <f aca="false">Data!E84</f>
        <v>-1.82</v>
      </c>
      <c r="F160" s="22" t="n">
        <f aca="false">Data!F84</f>
        <v>27.39</v>
      </c>
      <c r="G160" s="22" t="n">
        <f aca="false">Data!S84</f>
        <v>27.13</v>
      </c>
      <c r="H160" s="22" t="n">
        <f aca="false">Data!T154*100</f>
        <v>3.5</v>
      </c>
      <c r="I160" s="22" t="str">
        <f aca="false">IF(AND(C160=Data!G84,E160&gt;0),IF(AND(C160=Data!U84,E160&gt;0),"Buy_ 52W_H","Buy_50D_H"),IF(AND(Data!H84=D160,E160&lt;0),IF(AND(Data!V84=D160,E160&lt;0),"Sell_52W_L ","Sell_50D_L "),""))</f>
        <v/>
      </c>
      <c r="J160" s="22" t="n">
        <f aca="false">RANK(L160,L:L)</f>
        <v>159</v>
      </c>
      <c r="K160" s="22" t="str">
        <f aca="false">IF(Data!R84&gt;=B160,IF(((C160-B160)/(C160-D160))*100&gt;80,"Down"," "),IF(Data!R84&lt;=B160,IF(((B160-D160)/(C160-D160))*100&gt;80,"Up"," ")))</f>
        <v>Down</v>
      </c>
      <c r="L160" s="22" t="n">
        <f aca="false">Data!I84</f>
        <v>-37</v>
      </c>
      <c r="M160" s="22" t="str">
        <f aca="false">IF(AND(B160&gt;Data!P84,Data!O84&lt;Data!P84),"Buy",IF(AND(B160&lt;Data!P84,Data!O84&gt;Data!P84),"Sell",""))</f>
        <v/>
      </c>
      <c r="N160" s="22" t="n">
        <f aca="false">Data!K84/1000</f>
        <v>2802.805</v>
      </c>
      <c r="O160" s="22" t="n">
        <f aca="false">Data!L84</f>
        <v>1.3</v>
      </c>
      <c r="P160" s="22" t="n">
        <f aca="false">Data!M84</f>
        <v>1509.46</v>
      </c>
      <c r="Q160" s="22" t="n">
        <f aca="false">Data!N84</f>
        <v>1502.45</v>
      </c>
      <c r="R160" s="22" t="n">
        <f aca="false">Data!J84</f>
        <v>35.93</v>
      </c>
      <c r="S160" s="22" t="str">
        <f aca="false">INDEX(Sector_div!$B$2:$B$227,MATCH(A160,Sector_div!$A$2:$A$227,0))</f>
        <v>i.t</v>
      </c>
      <c r="T160" s="26"/>
      <c r="U160" s="27" t="str">
        <f aca="false">CONCATENATE("NSE:",A160,",")</f>
        <v>NSE:HCLTECH,</v>
      </c>
      <c r="V160" s="26"/>
      <c r="W160" s="26"/>
      <c r="X160" s="26"/>
      <c r="Y160" s="26"/>
      <c r="Z160" s="26"/>
    </row>
    <row r="161" customFormat="false" ht="15.75" hidden="false" customHeight="true" outlineLevel="0" collapsed="false">
      <c r="A161" s="22" t="str">
        <f aca="false">Data!A187</f>
        <v>FEDERALBNK</v>
      </c>
      <c r="B161" s="23" t="n">
        <f aca="false">Data!B187</f>
        <v>196.34</v>
      </c>
      <c r="C161" s="22" t="n">
        <f aca="false">Data!C187</f>
        <v>199.42</v>
      </c>
      <c r="D161" s="22" t="n">
        <f aca="false">Data!D187</f>
        <v>196</v>
      </c>
      <c r="E161" s="24" t="n">
        <f aca="false">Data!E187</f>
        <v>-1.55</v>
      </c>
      <c r="F161" s="22" t="n">
        <f aca="false">Data!F187</f>
        <v>3.25</v>
      </c>
      <c r="G161" s="22" t="n">
        <f aca="false">Data!S187</f>
        <v>10.75</v>
      </c>
      <c r="H161" s="25" t="n">
        <f aca="false">Data!T133*100</f>
        <v>3.2</v>
      </c>
      <c r="I161" s="22" t="str">
        <f aca="false">IF(AND(C161=Data!G187,E161&gt;0),IF(AND(C161=Data!U187,E161&gt;0),"Buy_ 52W_H","Buy_50D_H"),IF(AND(Data!H187=D161,E161&lt;0),IF(AND(Data!V187=D161,E161&lt;0),"Sell_52W_L ","Sell_50D_L "),""))</f>
        <v/>
      </c>
      <c r="J161" s="22" t="n">
        <f aca="false">RANK(L161,L:L)</f>
        <v>160</v>
      </c>
      <c r="K161" s="22" t="str">
        <f aca="false">IF(Data!R187&gt;=B161,IF(((C161-B161)/(C161-D161))*100&gt;80,"Down"," "),IF(Data!R187&lt;=B161,IF(((B161-D161)/(C161-D161))*100&gt;80,"Up"," ")))</f>
        <v>Down</v>
      </c>
      <c r="L161" s="22" t="n">
        <f aca="false">Data!I187</f>
        <v>-37.85</v>
      </c>
      <c r="M161" s="22" t="str">
        <f aca="false">IF(AND(B161&gt;Data!P187,Data!O187&lt;Data!P187),"Buy",IF(AND(B161&lt;Data!P187,Data!O187&gt;Data!P187),"Sell",""))</f>
        <v/>
      </c>
      <c r="N161" s="22" t="n">
        <f aca="false">Data!K187/1000</f>
        <v>2466.151</v>
      </c>
      <c r="O161" s="22" t="n">
        <f aca="false">Data!L187</f>
        <v>0.409</v>
      </c>
      <c r="P161" s="22" t="n">
        <f aca="false">Data!M187</f>
        <v>200.92</v>
      </c>
      <c r="Q161" s="22" t="n">
        <f aca="false">Data!N187</f>
        <v>201.11</v>
      </c>
      <c r="R161" s="22" t="n">
        <f aca="false">Data!J187</f>
        <v>36.64</v>
      </c>
      <c r="S161" s="22" t="str">
        <f aca="false">INDEX(Sector_div!$B$2:$B$227,MATCH(A161,Sector_div!$A$2:$A$227,0))</f>
        <v>bank</v>
      </c>
      <c r="T161" s="26"/>
      <c r="U161" s="27" t="str">
        <f aca="false">CONCATENATE("NSE:",A161,",")</f>
        <v>NSE:FEDERALBNK,</v>
      </c>
      <c r="V161" s="26"/>
      <c r="W161" s="26"/>
      <c r="X161" s="26"/>
      <c r="Y161" s="26"/>
      <c r="Z161" s="26"/>
    </row>
    <row r="162" customFormat="false" ht="15.75" hidden="false" customHeight="true" outlineLevel="0" collapsed="false">
      <c r="A162" s="22" t="str">
        <f aca="false">Data!A13</f>
        <v>AMBER</v>
      </c>
      <c r="B162" s="23" t="n">
        <f aca="false">Data!B13</f>
        <v>7260.5</v>
      </c>
      <c r="C162" s="22" t="n">
        <f aca="false">Data!C13</f>
        <v>7434</v>
      </c>
      <c r="D162" s="22" t="n">
        <f aca="false">Data!D13</f>
        <v>7230.5</v>
      </c>
      <c r="E162" s="24" t="n">
        <f aca="false">Data!E13</f>
        <v>-0.982</v>
      </c>
      <c r="F162" s="22" t="n">
        <f aca="false">Data!F13</f>
        <v>253.01</v>
      </c>
      <c r="G162" s="22" t="n">
        <f aca="false">Data!S13</f>
        <v>11.21</v>
      </c>
      <c r="H162" s="25" t="n">
        <f aca="false">Data!T107*100</f>
        <v>1.6</v>
      </c>
      <c r="I162" s="22" t="str">
        <f aca="false">IF(AND(C162=Data!G13,E162&gt;0),IF(AND(C162=Data!U13,E162&gt;0),"Buy_ 52W_H","Buy_50D_H"),IF(AND(Data!H13=D162,E162&lt;0),IF(AND(Data!V13=D162,E162&lt;0),"Sell_52W_L ","Sell_50D_L "),""))</f>
        <v/>
      </c>
      <c r="J162" s="22" t="n">
        <f aca="false">RANK(L162,L:L)</f>
        <v>161</v>
      </c>
      <c r="K162" s="22" t="str">
        <f aca="false">IF(Data!R13&gt;=B162,IF(((C162-B162)/(C162-D162))*100&gt;80,"Down"," "),IF(Data!R13&lt;=B162,IF(((B162-D162)/(C162-D162))*100&gt;80,"Up"," ")))</f>
        <v>Down</v>
      </c>
      <c r="L162" s="22" t="n">
        <f aca="false">Data!I13</f>
        <v>-37.87</v>
      </c>
      <c r="M162" s="22" t="str">
        <f aca="false">IF(AND(B162&gt;Data!P13,Data!O13&lt;Data!P13),"Buy",IF(AND(B162&lt;Data!P13,Data!O13&gt;Data!P13),"Sell",""))</f>
        <v/>
      </c>
      <c r="N162" s="22" t="n">
        <f aca="false">Data!K13/1000</f>
        <v>302.423</v>
      </c>
      <c r="O162" s="22" t="n">
        <f aca="false">Data!L13</f>
        <v>1.61</v>
      </c>
      <c r="P162" s="22" t="n">
        <f aca="false">Data!M13</f>
        <v>7512.77</v>
      </c>
      <c r="Q162" s="22" t="n">
        <f aca="false">Data!N13</f>
        <v>7104.33</v>
      </c>
      <c r="R162" s="22" t="n">
        <f aca="false">Data!J13</f>
        <v>45.97</v>
      </c>
      <c r="S162" s="22" t="e">
        <f aca="false">INDEX(Sector_div!$B$2:$B$227,MATCH(A162,Sector_div!$A$2:$A$227,0))</f>
        <v>#N/A</v>
      </c>
      <c r="T162" s="26"/>
      <c r="U162" s="27" t="str">
        <f aca="false">CONCATENATE("NSE:",A162,",")</f>
        <v>NSE:AMBER,</v>
      </c>
      <c r="V162" s="26"/>
      <c r="W162" s="26"/>
      <c r="X162" s="26"/>
      <c r="Y162" s="26"/>
      <c r="Z162" s="26"/>
    </row>
    <row r="163" customFormat="false" ht="15.75" hidden="false" customHeight="true" outlineLevel="0" collapsed="false">
      <c r="A163" s="22" t="str">
        <f aca="false">Data!A45</f>
        <v>SRF</v>
      </c>
      <c r="B163" s="23" t="n">
        <f aca="false">Data!B45</f>
        <v>2917.5</v>
      </c>
      <c r="C163" s="22" t="n">
        <f aca="false">Data!C45</f>
        <v>2937.5</v>
      </c>
      <c r="D163" s="22" t="n">
        <f aca="false">Data!D45</f>
        <v>2901</v>
      </c>
      <c r="E163" s="24" t="n">
        <f aca="false">Data!E45</f>
        <v>0.161</v>
      </c>
      <c r="F163" s="22" t="n">
        <f aca="false">Data!F45</f>
        <v>68.08</v>
      </c>
      <c r="G163" s="22" t="n">
        <f aca="false">Data!S45</f>
        <v>12.26</v>
      </c>
      <c r="H163" s="22" t="n">
        <f aca="false">Data!T166*100</f>
        <v>3.5</v>
      </c>
      <c r="I163" s="22" t="str">
        <f aca="false">IF(AND(C163=Data!G45,E163&gt;0),IF(AND(C163=Data!U45,E163&gt;0),"Buy_ 52W_H","Buy_50D_H"),IF(AND(Data!H45=D163,E163&lt;0),IF(AND(Data!V45=D163,E163&lt;0),"Sell_52W_L ","Sell_50D_L "),""))</f>
        <v/>
      </c>
      <c r="J163" s="22" t="n">
        <f aca="false">RANK(L163,L:L)</f>
        <v>162</v>
      </c>
      <c r="K163" s="22" t="str">
        <f aca="false">IF(Data!R45&gt;=B163,IF(((C163-B163)/(C163-D163))*100&gt;80,"Down"," "),IF(Data!R45&lt;=B163,IF(((B163-D163)/(C163-D163))*100&gt;80,"Up"," ")))</f>
        <v> </v>
      </c>
      <c r="L163" s="22" t="n">
        <f aca="false">Data!I45</f>
        <v>-40.04</v>
      </c>
      <c r="M163" s="22" t="str">
        <f aca="false">IF(AND(B163&gt;Data!P45,Data!O45&lt;Data!P45),"Buy",IF(AND(B163&lt;Data!P45,Data!O45&gt;Data!P45),"Sell",""))</f>
        <v/>
      </c>
      <c r="N163" s="22" t="n">
        <f aca="false">Data!K45/1000</f>
        <v>313.233</v>
      </c>
      <c r="O163" s="22" t="n">
        <f aca="false">Data!L45</f>
        <v>1.02</v>
      </c>
      <c r="P163" s="22" t="n">
        <f aca="false">Data!M45</f>
        <v>2995.11</v>
      </c>
      <c r="Q163" s="22" t="n">
        <f aca="false">Data!N45</f>
        <v>2881.27</v>
      </c>
      <c r="R163" s="22" t="n">
        <f aca="false">Data!J45</f>
        <v>45.33</v>
      </c>
      <c r="S163" s="22" t="str">
        <f aca="false">INDEX(Sector_div!$B$2:$B$227,MATCH(A163,Sector_div!$A$2:$A$227,0))</f>
        <v>industrials</v>
      </c>
      <c r="T163" s="26"/>
      <c r="U163" s="27" t="str">
        <f aca="false">CONCATENATE("NSE:",A163,",")</f>
        <v>NSE:SRF,</v>
      </c>
      <c r="V163" s="26"/>
      <c r="W163" s="26"/>
      <c r="X163" s="26"/>
      <c r="Y163" s="26"/>
      <c r="Z163" s="26"/>
    </row>
    <row r="164" customFormat="false" ht="15.75" hidden="false" customHeight="true" outlineLevel="0" collapsed="false">
      <c r="A164" s="22" t="str">
        <f aca="false">Data!A175</f>
        <v>PETRONET</v>
      </c>
      <c r="B164" s="23" t="n">
        <f aca="false">Data!B175</f>
        <v>276.95</v>
      </c>
      <c r="C164" s="22" t="n">
        <f aca="false">Data!C175</f>
        <v>279.15</v>
      </c>
      <c r="D164" s="22" t="n">
        <f aca="false">Data!D175</f>
        <v>276.3</v>
      </c>
      <c r="E164" s="24" t="n">
        <f aca="false">Data!E175</f>
        <v>-0.449</v>
      </c>
      <c r="F164" s="22" t="n">
        <f aca="false">Data!F175</f>
        <v>5.88</v>
      </c>
      <c r="G164" s="22" t="n">
        <f aca="false">Data!S175</f>
        <v>25.71</v>
      </c>
      <c r="I164" s="22" t="str">
        <f aca="false">IF(AND(C164=Data!G175,E164&gt;0),IF(AND(C164=Data!U175,E164&gt;0),"Buy_ 52W_H","Buy_50D_H"),IF(AND(Data!H175=D164,E164&lt;0),IF(AND(Data!V175=D164,E164&lt;0),"Sell_52W_L ","Sell_50D_L "),""))</f>
        <v/>
      </c>
      <c r="J164" s="22" t="n">
        <f aca="false">RANK(L164,L:L)</f>
        <v>163</v>
      </c>
      <c r="K164" s="22" t="str">
        <f aca="false">IF(Data!R175&gt;=B164,IF(((C164-B164)/(C164-D164))*100&gt;80,"Down"," "),IF(Data!R175&lt;=B164,IF(((B164-D164)/(C164-D164))*100&gt;80,"Up"," ")))</f>
        <v> </v>
      </c>
      <c r="L164" s="22" t="n">
        <f aca="false">Data!I175</f>
        <v>-41.15</v>
      </c>
      <c r="M164" s="22" t="str">
        <f aca="false">IF(AND(B164&gt;Data!P175,Data!O175&lt;Data!P175),"Buy",IF(AND(B164&lt;Data!P175,Data!O175&gt;Data!P175),"Sell",""))</f>
        <v/>
      </c>
      <c r="N164" s="22" t="n">
        <f aca="false">Data!K175/1000</f>
        <v>608.459</v>
      </c>
      <c r="O164" s="22" t="n">
        <f aca="false">Data!L175</f>
        <v>0.76</v>
      </c>
      <c r="P164" s="22" t="n">
        <f aca="false">Data!M175</f>
        <v>285.39</v>
      </c>
      <c r="Q164" s="22" t="n">
        <f aca="false">Data!N175</f>
        <v>273.68</v>
      </c>
      <c r="R164" s="22" t="n">
        <f aca="false">Data!J175</f>
        <v>44.12</v>
      </c>
      <c r="S164" s="22" t="str">
        <f aca="false">INDEX(Sector_div!$B$2:$B$227,MATCH(A164,Sector_div!$A$2:$A$227,0))</f>
        <v>oil&amp;gas</v>
      </c>
      <c r="T164" s="26"/>
      <c r="U164" s="27" t="str">
        <f aca="false">CONCATENATE("NSE:",A164,",")</f>
        <v>NSE:PETRONET,</v>
      </c>
      <c r="V164" s="26"/>
      <c r="W164" s="26"/>
      <c r="X164" s="26"/>
      <c r="Y164" s="26"/>
      <c r="Z164" s="26"/>
    </row>
    <row r="165" customFormat="false" ht="15.75" hidden="false" customHeight="true" outlineLevel="0" collapsed="false">
      <c r="A165" s="22" t="str">
        <f aca="false">Data!A161</f>
        <v>TATAPOWER</v>
      </c>
      <c r="B165" s="23" t="n">
        <f aca="false">Data!B161</f>
        <v>385.6</v>
      </c>
      <c r="C165" s="22" t="n">
        <f aca="false">Data!C161</f>
        <v>388.7</v>
      </c>
      <c r="D165" s="22" t="n">
        <f aca="false">Data!D161</f>
        <v>384.7</v>
      </c>
      <c r="E165" s="24" t="n">
        <f aca="false">Data!E161</f>
        <v>-0.631</v>
      </c>
      <c r="F165" s="22" t="n">
        <f aca="false">Data!F161</f>
        <v>5.77</v>
      </c>
      <c r="G165" s="22" t="n">
        <f aca="false">Data!S161</f>
        <v>22.08</v>
      </c>
      <c r="H165" s="25" t="n">
        <f aca="false">Data!T57*100</f>
        <v>2.7</v>
      </c>
      <c r="I165" s="22" t="str">
        <f aca="false">IF(AND(C165=Data!G161,E165&gt;0),IF(AND(C165=Data!U161,E165&gt;0),"Buy_ 52W_H","Buy_50D_H"),IF(AND(Data!H161=D165,E165&lt;0),IF(AND(Data!V161=D165,E165&lt;0),"Sell_52W_L ","Sell_50D_L "),""))</f>
        <v/>
      </c>
      <c r="J165" s="22" t="n">
        <f aca="false">RANK(L165,L:L)</f>
        <v>164</v>
      </c>
      <c r="K165" s="22" t="str">
        <f aca="false">IF(Data!R161&gt;=B165,IF(((C165-B165)/(C165-D165))*100&gt;80,"Down"," "),IF(Data!R161&lt;=B165,IF(((B165-D165)/(C165-D165))*100&gt;80,"Up"," ")))</f>
        <v> </v>
      </c>
      <c r="L165" s="22" t="n">
        <f aca="false">Data!I161</f>
        <v>-41.2</v>
      </c>
      <c r="M165" s="22" t="str">
        <f aca="false">IF(AND(B165&gt;Data!P161,Data!O161&lt;Data!P161),"Buy",IF(AND(B165&lt;Data!P161,Data!O161&gt;Data!P161),"Sell",""))</f>
        <v/>
      </c>
      <c r="N165" s="22" t="n">
        <f aca="false">Data!K161/1000</f>
        <v>3042.516</v>
      </c>
      <c r="O165" s="22" t="n">
        <f aca="false">Data!L161</f>
        <v>1.19</v>
      </c>
      <c r="P165" s="22" t="n">
        <f aca="false">Data!M161</f>
        <v>397.93</v>
      </c>
      <c r="Q165" s="22" t="n">
        <f aca="false">Data!N161</f>
        <v>383.76</v>
      </c>
      <c r="R165" s="22" t="n">
        <f aca="false">Data!J161</f>
        <v>41.05</v>
      </c>
      <c r="S165" s="22" t="str">
        <f aca="false">INDEX(Sector_div!$B$2:$B$227,MATCH(A165,Sector_div!$A$2:$A$227,0))</f>
        <v>power</v>
      </c>
      <c r="T165" s="26"/>
      <c r="U165" s="27" t="str">
        <f aca="false">CONCATENATE("NSE:",A165,",")</f>
        <v>NSE:TATAPOWER,</v>
      </c>
      <c r="V165" s="26"/>
      <c r="W165" s="26"/>
      <c r="X165" s="26"/>
      <c r="Y165" s="26"/>
      <c r="Z165" s="26"/>
    </row>
    <row r="166" customFormat="false" ht="15.75" hidden="false" customHeight="true" outlineLevel="0" collapsed="false">
      <c r="A166" s="22" t="str">
        <f aca="false">Data!A169</f>
        <v>JIOFIN</v>
      </c>
      <c r="B166" s="23" t="n">
        <f aca="false">Data!B169</f>
        <v>320.6</v>
      </c>
      <c r="C166" s="22" t="n">
        <f aca="false">Data!C169</f>
        <v>326.3</v>
      </c>
      <c r="D166" s="22" t="n">
        <f aca="false">Data!D169</f>
        <v>320.1</v>
      </c>
      <c r="E166" s="24" t="n">
        <f aca="false">Data!E169</f>
        <v>-1</v>
      </c>
      <c r="F166" s="22" t="n">
        <f aca="false">Data!F169</f>
        <v>6.47</v>
      </c>
      <c r="G166" s="22" t="n">
        <f aca="false">Data!S169</f>
        <v>11.68</v>
      </c>
      <c r="H166" s="22" t="n">
        <f aca="false">Data!T48*100</f>
        <v>1.1</v>
      </c>
      <c r="I166" s="22" t="str">
        <f aca="false">IF(AND(C166=Data!G169,E166&gt;0),IF(AND(C166=Data!U169,E166&gt;0),"Buy_ 52W_H","Buy_50D_H"),IF(AND(Data!H169=D166,E166&lt;0),IF(AND(Data!V169=D166,E166&lt;0),"Sell_52W_L ","Sell_50D_L "),""))</f>
        <v/>
      </c>
      <c r="J166" s="22" t="n">
        <f aca="false">RANK(L166,L:L)</f>
        <v>165</v>
      </c>
      <c r="K166" s="22" t="str">
        <f aca="false">IF(Data!R169&gt;=B166,IF(((C166-B166)/(C166-D166))*100&gt;80,"Down"," "),IF(Data!R169&lt;=B166,IF(((B166-D166)/(C166-D166))*100&gt;80,"Up"," ")))</f>
        <v>Down</v>
      </c>
      <c r="L166" s="22" t="n">
        <f aca="false">Data!I169</f>
        <v>-41.25</v>
      </c>
      <c r="M166" s="22" t="str">
        <f aca="false">IF(AND(B166&gt;Data!P169,Data!O169&lt;Data!P169),"Buy",IF(AND(B166&lt;Data!P169,Data!O169&gt;Data!P169),"Sell",""))</f>
        <v/>
      </c>
      <c r="N166" s="22" t="n">
        <f aca="false">Data!K169/1000</f>
        <v>8800.024</v>
      </c>
      <c r="O166" s="22" t="n">
        <f aca="false">Data!L169</f>
        <v>0.804</v>
      </c>
      <c r="P166" s="22" t="n">
        <f aca="false">Data!M169</f>
        <v>319.23</v>
      </c>
      <c r="Q166" s="22" t="n">
        <f aca="false">Data!N169</f>
        <v>329.88</v>
      </c>
      <c r="R166" s="22" t="n">
        <f aca="false">Data!J169</f>
        <v>36.77</v>
      </c>
      <c r="S166" s="22" t="str">
        <f aca="false">INDEX(Sector_div!$B$2:$B$227,MATCH(A166,Sector_div!$A$2:$A$227,0))</f>
        <v>finance</v>
      </c>
      <c r="T166" s="26"/>
      <c r="U166" s="27" t="str">
        <f aca="false">CONCATENATE("NSE:",A166,",")</f>
        <v>NSE:JIOFIN,</v>
      </c>
      <c r="V166" s="26"/>
      <c r="W166" s="26"/>
      <c r="X166" s="26"/>
      <c r="Y166" s="26"/>
      <c r="Z166" s="26"/>
    </row>
    <row r="167" customFormat="false" ht="15.75" hidden="false" customHeight="true" outlineLevel="0" collapsed="false">
      <c r="A167" s="22" t="str">
        <f aca="false">Data!A136</f>
        <v>SYNGENE</v>
      </c>
      <c r="B167" s="23" t="n">
        <f aca="false">Data!B136</f>
        <v>667.4</v>
      </c>
      <c r="C167" s="22" t="n">
        <f aca="false">Data!C136</f>
        <v>673.9</v>
      </c>
      <c r="D167" s="22" t="n">
        <f aca="false">Data!D136</f>
        <v>664.95</v>
      </c>
      <c r="E167" s="24" t="n">
        <f aca="false">Data!E136</f>
        <v>-0.06</v>
      </c>
      <c r="F167" s="22" t="n">
        <f aca="false">Data!F136</f>
        <v>16.31</v>
      </c>
      <c r="G167" s="22" t="n">
        <f aca="false">Data!S136</f>
        <v>30.52</v>
      </c>
      <c r="H167" s="22" t="n">
        <f aca="false">Data!T102*100</f>
        <v>1.6</v>
      </c>
      <c r="I167" s="22" t="str">
        <f aca="false">IF(AND(C167=Data!G136,E167&gt;0),IF(AND(C167=Data!U136,E167&gt;0),"Buy_ 52W_H","Buy_50D_H"),IF(AND(Data!H136=D167,E167&lt;0),IF(AND(Data!V136=D167,E167&lt;0),"Sell_52W_L ","Sell_50D_L "),""))</f>
        <v/>
      </c>
      <c r="J167" s="22" t="n">
        <f aca="false">RANK(L167,L:L)</f>
        <v>166</v>
      </c>
      <c r="K167" s="22" t="str">
        <f aca="false">IF(Data!R136&gt;=B167,IF(((C167-B167)/(C167-D167))*100&gt;80,"Down"," "),IF(Data!R136&lt;=B167,IF(((B167-D167)/(C167-D167))*100&gt;80,"Up"," ")))</f>
        <v> </v>
      </c>
      <c r="L167" s="22" t="n">
        <f aca="false">Data!I136</f>
        <v>-42.08</v>
      </c>
      <c r="M167" s="22" t="str">
        <f aca="false">IF(AND(B167&gt;Data!P136,Data!O136&lt;Data!P136),"Buy",IF(AND(B167&lt;Data!P136,Data!O136&gt;Data!P136),"Sell",""))</f>
        <v/>
      </c>
      <c r="N167" s="22" t="n">
        <f aca="false">Data!K136/1000</f>
        <v>196.975</v>
      </c>
      <c r="O167" s="22" t="n">
        <f aca="false">Data!L136</f>
        <v>0.564</v>
      </c>
      <c r="P167" s="22" t="n">
        <f aca="false">Data!M136</f>
        <v>638.31</v>
      </c>
      <c r="Q167" s="22" t="n">
        <f aca="false">Data!N136</f>
        <v>656.45</v>
      </c>
      <c r="R167" s="22" t="n">
        <f aca="false">Data!J136</f>
        <v>47.64</v>
      </c>
      <c r="S167" s="22" t="str">
        <f aca="false">INDEX(Sector_div!$B$2:$B$227,MATCH(A167,Sector_div!$A$2:$A$227,0))</f>
        <v>Pharma&amp;Healthcare</v>
      </c>
      <c r="T167" s="26"/>
      <c r="U167" s="27" t="str">
        <f aca="false">CONCATENATE("NSE:",A167,",")</f>
        <v>NSE:SYNGENE,</v>
      </c>
      <c r="V167" s="26"/>
      <c r="W167" s="26"/>
      <c r="X167" s="26"/>
      <c r="Y167" s="26"/>
      <c r="Z167" s="26"/>
    </row>
    <row r="168" customFormat="false" ht="15.75" hidden="false" customHeight="true" outlineLevel="0" collapsed="false">
      <c r="A168" s="22" t="str">
        <f aca="false">Data!A27</f>
        <v>ABB</v>
      </c>
      <c r="B168" s="23" t="n">
        <f aca="false">Data!B27</f>
        <v>5063</v>
      </c>
      <c r="C168" s="22" t="n">
        <f aca="false">Data!C27</f>
        <v>5170</v>
      </c>
      <c r="D168" s="22" t="n">
        <f aca="false">Data!D27</f>
        <v>5051</v>
      </c>
      <c r="E168" s="24" t="n">
        <f aca="false">Data!E27</f>
        <v>-1.53</v>
      </c>
      <c r="F168" s="22" t="n">
        <f aca="false">Data!F27</f>
        <v>101.91</v>
      </c>
      <c r="G168" s="22" t="n">
        <f aca="false">Data!S27</f>
        <v>43.37</v>
      </c>
      <c r="H168" s="22" t="n">
        <f aca="false">Data!T80*100</f>
        <v>1.6</v>
      </c>
      <c r="I168" s="22" t="str">
        <f aca="false">IF(AND(C168=Data!G27,E168&gt;0),IF(AND(C168=Data!U27,E168&gt;0),"Buy_ 52W_H","Buy_50D_H"),IF(AND(Data!H27=D168,E168&lt;0),IF(AND(Data!V27=D168,E168&lt;0),"Sell_52W_L ","Sell_50D_L "),""))</f>
        <v/>
      </c>
      <c r="J168" s="22" t="n">
        <f aca="false">RANK(L168,L:L)</f>
        <v>167</v>
      </c>
      <c r="K168" s="22" t="str">
        <f aca="false">IF(Data!R27&gt;=B168,IF(((C168-B168)/(C168-D168))*100&gt;80,"Down"," "),IF(Data!R27&lt;=B168,IF(((B168-D168)/(C168-D168))*100&gt;80,"Up"," ")))</f>
        <v>Down</v>
      </c>
      <c r="L168" s="22" t="n">
        <f aca="false">Data!I27</f>
        <v>-43.37</v>
      </c>
      <c r="M168" s="22" t="str">
        <f aca="false">IF(AND(B168&gt;Data!P27,Data!O27&lt;Data!P27),"Buy",IF(AND(B168&lt;Data!P27,Data!O27&gt;Data!P27),"Sell",""))</f>
        <v/>
      </c>
      <c r="N168" s="22" t="n">
        <f aca="false">Data!K27/1000</f>
        <v>219.898</v>
      </c>
      <c r="O168" s="22" t="n">
        <f aca="false">Data!L27</f>
        <v>0.582</v>
      </c>
      <c r="P168" s="22" t="n">
        <f aca="false">Data!M27</f>
        <v>5268.66</v>
      </c>
      <c r="Q168" s="22" t="n">
        <f aca="false">Data!N27</f>
        <v>5156.71</v>
      </c>
      <c r="R168" s="22" t="n">
        <f aca="false">Data!J27</f>
        <v>36.18</v>
      </c>
      <c r="S168" s="22" t="str">
        <f aca="false">INDEX(Sector_div!$B$2:$B$227,MATCH(A168,Sector_div!$A$2:$A$227,0))</f>
        <v>fmcg</v>
      </c>
      <c r="T168" s="26"/>
      <c r="U168" s="27" t="str">
        <f aca="false">CONCATENATE("NSE:",A168,",")</f>
        <v>NSE:ABB,</v>
      </c>
      <c r="V168" s="26"/>
      <c r="W168" s="26"/>
      <c r="X168" s="26"/>
      <c r="Y168" s="26"/>
      <c r="Z168" s="26"/>
    </row>
    <row r="169" customFormat="false" ht="15.75" hidden="false" customHeight="true" outlineLevel="0" collapsed="false">
      <c r="A169" s="22" t="str">
        <f aca="false">Data!A85</f>
        <v>ICICIBANK</v>
      </c>
      <c r="B169" s="23" t="n">
        <f aca="false">Data!B85</f>
        <v>1436.4</v>
      </c>
      <c r="C169" s="22" t="n">
        <f aca="false">Data!C85</f>
        <v>1446</v>
      </c>
      <c r="D169" s="22" t="n">
        <f aca="false">Data!D85</f>
        <v>1429.4</v>
      </c>
      <c r="E169" s="24" t="n">
        <f aca="false">Data!E85</f>
        <v>-0.664</v>
      </c>
      <c r="F169" s="22" t="n">
        <f aca="false">Data!F85</f>
        <v>16.92</v>
      </c>
      <c r="G169" s="22" t="n">
        <f aca="false">Data!S85</f>
        <v>4.24</v>
      </c>
      <c r="H169" s="25" t="n">
        <f aca="false">Data!T73*100</f>
        <v>2.6</v>
      </c>
      <c r="I169" s="22" t="str">
        <f aca="false">IF(AND(C169=Data!G85,E169&gt;0),IF(AND(C169=Data!U85,E169&gt;0),"Buy_ 52W_H","Buy_50D_H"),IF(AND(Data!H85=D169,E169&lt;0),IF(AND(Data!V85=D169,E169&lt;0),"Sell_52W_L ","Sell_50D_L "),""))</f>
        <v/>
      </c>
      <c r="J169" s="22" t="n">
        <f aca="false">RANK(L169,L:L)</f>
        <v>168</v>
      </c>
      <c r="K169" s="22" t="str">
        <f aca="false">IF(Data!R85&gt;=B169,IF(((C169-B169)/(C169-D169))*100&gt;80,"Down"," "),IF(Data!R85&lt;=B169,IF(((B169-D169)/(C169-D169))*100&gt;80,"Up"," ")))</f>
        <v> </v>
      </c>
      <c r="L169" s="22" t="n">
        <f aca="false">Data!I85</f>
        <v>-44.69</v>
      </c>
      <c r="M169" s="22" t="str">
        <f aca="false">IF(AND(B169&gt;Data!P85,Data!O85&lt;Data!P85),"Buy",IF(AND(B169&lt;Data!P85,Data!O85&gt;Data!P85),"Sell",""))</f>
        <v/>
      </c>
      <c r="N169" s="22" t="n">
        <f aca="false">Data!K85/1000</f>
        <v>6657.184</v>
      </c>
      <c r="O169" s="22" t="n">
        <f aca="false">Data!L85</f>
        <v>1.07</v>
      </c>
      <c r="P169" s="22" t="n">
        <f aca="false">Data!M85</f>
        <v>1456.09</v>
      </c>
      <c r="Q169" s="22" t="n">
        <f aca="false">Data!N85</f>
        <v>1424.88</v>
      </c>
      <c r="R169" s="22" t="n">
        <f aca="false">Data!J85</f>
        <v>46.71</v>
      </c>
      <c r="S169" s="22" t="str">
        <f aca="false">INDEX(Sector_div!$B$2:$B$227,MATCH(A169,Sector_div!$A$2:$A$227,0))</f>
        <v>bank</v>
      </c>
      <c r="T169" s="26"/>
      <c r="U169" s="27" t="str">
        <f aca="false">CONCATENATE("NSE:",A169,",")</f>
        <v>NSE:ICICIBANK,</v>
      </c>
      <c r="V169" s="26"/>
      <c r="W169" s="26"/>
      <c r="X169" s="26"/>
      <c r="Y169" s="26"/>
      <c r="Z169" s="26"/>
    </row>
    <row r="170" customFormat="false" ht="15.75" hidden="false" customHeight="true" outlineLevel="0" collapsed="false">
      <c r="A170" s="22" t="str">
        <f aca="false">Data!A69</f>
        <v>PATANJALI</v>
      </c>
      <c r="B170" s="23" t="n">
        <f aca="false">Data!B69</f>
        <v>1801.2</v>
      </c>
      <c r="C170" s="22" t="n">
        <f aca="false">Data!C69</f>
        <v>1816.6</v>
      </c>
      <c r="D170" s="22" t="n">
        <f aca="false">Data!D69</f>
        <v>1794</v>
      </c>
      <c r="E170" s="24" t="n">
        <f aca="false">Data!E69</f>
        <v>-0.415</v>
      </c>
      <c r="F170" s="22" t="n">
        <f aca="false">Data!F69</f>
        <v>41.09</v>
      </c>
      <c r="G170" s="22" t="n">
        <f aca="false">Data!S69</f>
        <v>10.43</v>
      </c>
      <c r="I170" s="22" t="str">
        <f aca="false">IF(AND(C170=Data!G69,E170&gt;0),IF(AND(C170=Data!U69,E170&gt;0),"Buy_ 52W_H","Buy_50D_H"),IF(AND(Data!H69=D170,E170&lt;0),IF(AND(Data!V69=D170,E170&lt;0),"Sell_52W_L ","Sell_50D_L "),""))</f>
        <v/>
      </c>
      <c r="J170" s="22" t="n">
        <f aca="false">RANK(L170,L:L)</f>
        <v>169</v>
      </c>
      <c r="K170" s="22" t="str">
        <f aca="false">IF(Data!R69&gt;=B170,IF(((C170-B170)/(C170-D170))*100&gt;80,"Down"," "),IF(Data!R69&lt;=B170,IF(((B170-D170)/(C170-D170))*100&gt;80,"Up"," ")))</f>
        <v> </v>
      </c>
      <c r="L170" s="22" t="n">
        <f aca="false">Data!I69</f>
        <v>-47.94</v>
      </c>
      <c r="M170" s="22" t="str">
        <f aca="false">IF(AND(B170&gt;Data!P69,Data!O69&lt;Data!P69),"Buy",IF(AND(B170&lt;Data!P69,Data!O69&gt;Data!P69),"Sell",""))</f>
        <v/>
      </c>
      <c r="N170" s="22" t="n">
        <f aca="false">Data!K69/1000</f>
        <v>190.319</v>
      </c>
      <c r="O170" s="22" t="n">
        <f aca="false">Data!L69</f>
        <v>0.413</v>
      </c>
      <c r="P170" s="22" t="n">
        <f aca="false">Data!M69</f>
        <v>1874.18</v>
      </c>
      <c r="Q170" s="22" t="n">
        <f aca="false">Data!N69</f>
        <v>1827.46</v>
      </c>
      <c r="R170" s="22" t="n">
        <f aca="false">Data!J69</f>
        <v>46.46</v>
      </c>
      <c r="S170" s="22" t="str">
        <f aca="false">INDEX(Sector_div!$B$2:$B$227,MATCH(A170,Sector_div!$A$2:$A$227,0))</f>
        <v>consumer durables</v>
      </c>
      <c r="T170" s="26"/>
      <c r="U170" s="27" t="str">
        <f aca="false">CONCATENATE("NSE:",A170,",")</f>
        <v>NSE:PATANJALI,</v>
      </c>
      <c r="V170" s="26"/>
      <c r="W170" s="26"/>
      <c r="X170" s="26"/>
      <c r="Y170" s="26"/>
      <c r="Z170" s="26"/>
    </row>
    <row r="171" customFormat="false" ht="15.75" hidden="false" customHeight="true" outlineLevel="0" collapsed="false">
      <c r="A171" s="22" t="str">
        <f aca="false">Data!A35</f>
        <v>PIIND</v>
      </c>
      <c r="B171" s="23" t="n">
        <f aca="false">Data!B35</f>
        <v>3865.1</v>
      </c>
      <c r="C171" s="22" t="n">
        <f aca="false">Data!C35</f>
        <v>3882.7</v>
      </c>
      <c r="D171" s="22" t="n">
        <f aca="false">Data!D35</f>
        <v>3838.4</v>
      </c>
      <c r="E171" s="24" t="n">
        <f aca="false">Data!E35</f>
        <v>-0.121</v>
      </c>
      <c r="F171" s="22" t="n">
        <f aca="false">Data!F35</f>
        <v>96.38</v>
      </c>
      <c r="G171" s="22" t="n">
        <f aca="false">Data!S35</f>
        <v>19.55</v>
      </c>
      <c r="H171" s="22" t="n">
        <f aca="false">Data!T56*100</f>
        <v>0.3</v>
      </c>
      <c r="I171" s="22" t="str">
        <f aca="false">IF(AND(C171=Data!G35,E171&gt;0),IF(AND(C171=Data!U35,E171&gt;0),"Buy_ 52W_H","Buy_50D_H"),IF(AND(Data!H35=D171,E171&lt;0),IF(AND(Data!V35=D171,E171&lt;0),"Sell_52W_L ","Sell_50D_L "),""))</f>
        <v/>
      </c>
      <c r="J171" s="22" t="n">
        <f aca="false">RANK(L171,L:L)</f>
        <v>170</v>
      </c>
      <c r="K171" s="22" t="str">
        <f aca="false">IF(Data!R35&gt;=B171,IF(((C171-B171)/(C171-D171))*100&gt;80,"Down"," "),IF(Data!R35&lt;=B171,IF(((B171-D171)/(C171-D171))*100&gt;80,"Up"," ")))</f>
        <v> </v>
      </c>
      <c r="L171" s="22" t="n">
        <f aca="false">Data!I35</f>
        <v>-48.58</v>
      </c>
      <c r="M171" s="22" t="str">
        <f aca="false">IF(AND(B171&gt;Data!P35,Data!O35&lt;Data!P35),"Buy",IF(AND(B171&lt;Data!P35,Data!O35&gt;Data!P35),"Sell",""))</f>
        <v/>
      </c>
      <c r="N171" s="22" t="n">
        <f aca="false">Data!K35/1000</f>
        <v>60.86</v>
      </c>
      <c r="O171" s="22" t="n">
        <f aca="false">Data!L35</f>
        <v>0.375</v>
      </c>
      <c r="P171" s="22" t="n">
        <f aca="false">Data!M35</f>
        <v>3955.22</v>
      </c>
      <c r="Q171" s="22" t="n">
        <f aca="false">Data!N35</f>
        <v>3762.09</v>
      </c>
      <c r="R171" s="22" t="n">
        <f aca="false">Data!J35</f>
        <v>47.12</v>
      </c>
      <c r="S171" s="22" t="str">
        <f aca="false">INDEX(Sector_div!$B$2:$B$227,MATCH(A171,Sector_div!$A$2:$A$227,0))</f>
        <v>industrials</v>
      </c>
      <c r="T171" s="26"/>
      <c r="U171" s="27" t="str">
        <f aca="false">CONCATENATE("NSE:",A171,",")</f>
        <v>NSE:PIIND,</v>
      </c>
      <c r="V171" s="26"/>
      <c r="W171" s="26"/>
      <c r="X171" s="26"/>
      <c r="Y171" s="26"/>
      <c r="Z171" s="26"/>
    </row>
    <row r="172" customFormat="false" ht="15.75" hidden="false" customHeight="true" outlineLevel="0" collapsed="false">
      <c r="A172" s="22" t="str">
        <f aca="false">Data!A144</f>
        <v>CONCOR</v>
      </c>
      <c r="B172" s="23" t="n">
        <f aca="false">Data!B144</f>
        <v>547.9</v>
      </c>
      <c r="C172" s="22" t="n">
        <f aca="false">Data!C144</f>
        <v>556.95</v>
      </c>
      <c r="D172" s="22" t="n">
        <f aca="false">Data!D144</f>
        <v>546.9</v>
      </c>
      <c r="E172" s="24" t="n">
        <f aca="false">Data!E144</f>
        <v>-0.958</v>
      </c>
      <c r="F172" s="22" t="n">
        <f aca="false">Data!F144</f>
        <v>11.61</v>
      </c>
      <c r="G172" s="22" t="n">
        <f aca="false">Data!S144</f>
        <v>31.6</v>
      </c>
      <c r="H172" s="25" t="n">
        <f aca="false">Data!T95*100</f>
        <v>5.2</v>
      </c>
      <c r="I172" s="22" t="str">
        <f aca="false">IF(AND(C172=Data!G144,E172&gt;0),IF(AND(C172=Data!U144,E172&gt;0),"Buy_ 52W_H","Buy_50D_H"),IF(AND(Data!H144=D172,E172&lt;0),IF(AND(Data!V144=D172,E172&lt;0),"Sell_52W_L ","Sell_50D_L "),""))</f>
        <v/>
      </c>
      <c r="J172" s="22" t="n">
        <f aca="false">RANK(L172,L:L)</f>
        <v>171</v>
      </c>
      <c r="K172" s="22" t="str">
        <f aca="false">IF(Data!R144&gt;=B172,IF(((C172-B172)/(C172-D172))*100&gt;80,"Down"," "),IF(Data!R144&lt;=B172,IF(((B172-D172)/(C172-D172))*100&gt;80,"Up"," ")))</f>
        <v>Down</v>
      </c>
      <c r="L172" s="22" t="n">
        <f aca="false">Data!I144</f>
        <v>-49.04</v>
      </c>
      <c r="M172" s="22" t="str">
        <f aca="false">IF(AND(B172&gt;Data!P144,Data!O144&lt;Data!P144),"Buy",IF(AND(B172&lt;Data!P144,Data!O144&gt;Data!P144),"Sell",""))</f>
        <v/>
      </c>
      <c r="N172" s="22" t="n">
        <f aca="false">Data!K144/1000</f>
        <v>540.301</v>
      </c>
      <c r="O172" s="22" t="n">
        <f aca="false">Data!L144</f>
        <v>1.35</v>
      </c>
      <c r="P172" s="22" t="n">
        <f aca="false">Data!M144</f>
        <v>562.14</v>
      </c>
      <c r="Q172" s="22" t="n">
        <f aca="false">Data!N144</f>
        <v>544.34</v>
      </c>
      <c r="R172" s="22" t="n">
        <f aca="false">Data!J144</f>
        <v>40.79</v>
      </c>
      <c r="S172" s="22" t="str">
        <f aca="false">INDEX(Sector_div!$B$2:$B$227,MATCH(A172,Sector_div!$A$2:$A$227,0))</f>
        <v>services</v>
      </c>
      <c r="T172" s="26"/>
      <c r="U172" s="27" t="str">
        <f aca="false">CONCATENATE("NSE:",A172,",")</f>
        <v>NSE:CONCOR,</v>
      </c>
      <c r="V172" s="26"/>
      <c r="W172" s="26"/>
      <c r="X172" s="26"/>
      <c r="Y172" s="26"/>
      <c r="Z172" s="26"/>
    </row>
    <row r="173" customFormat="false" ht="15.75" hidden="false" customHeight="true" outlineLevel="0" collapsed="false">
      <c r="A173" s="22" t="str">
        <f aca="false">Data!A125</f>
        <v>DLF</v>
      </c>
      <c r="B173" s="23" t="n">
        <f aca="false">Data!B125</f>
        <v>762.55</v>
      </c>
      <c r="C173" s="22" t="n">
        <f aca="false">Data!C125</f>
        <v>773.2</v>
      </c>
      <c r="D173" s="22" t="n">
        <f aca="false">Data!D125</f>
        <v>759.1</v>
      </c>
      <c r="E173" s="24" t="n">
        <f aca="false">Data!E125</f>
        <v>-1.38</v>
      </c>
      <c r="F173" s="22" t="n">
        <f aca="false">Data!F125</f>
        <v>16.93</v>
      </c>
      <c r="G173" s="22" t="n">
        <f aca="false">Data!S125</f>
        <v>17.92</v>
      </c>
      <c r="I173" s="22" t="str">
        <f aca="false">IF(AND(C173=Data!G125,E173&gt;0),IF(AND(C173=Data!U125,E173&gt;0),"Buy_ 52W_H","Buy_50D_H"),IF(AND(Data!H125=D173,E173&lt;0),IF(AND(Data!V125=D173,E173&lt;0),"Sell_52W_L ","Sell_50D_L "),""))</f>
        <v/>
      </c>
      <c r="J173" s="22" t="n">
        <f aca="false">RANK(L173,L:L)</f>
        <v>172</v>
      </c>
      <c r="K173" s="22" t="str">
        <f aca="false">IF(Data!R125&gt;=B173,IF(((C173-B173)/(C173-D173))*100&gt;80,"Down"," "),IF(Data!R125&lt;=B173,IF(((B173-D173)/(C173-D173))*100&gt;80,"Up"," ")))</f>
        <v> </v>
      </c>
      <c r="L173" s="22" t="n">
        <f aca="false">Data!I125</f>
        <v>-49.13</v>
      </c>
      <c r="M173" s="22" t="str">
        <f aca="false">IF(AND(B173&gt;Data!P125,Data!O125&lt;Data!P125),"Buy",IF(AND(B173&lt;Data!P125,Data!O125&gt;Data!P125),"Sell",""))</f>
        <v/>
      </c>
      <c r="N173" s="22" t="n">
        <f aca="false">Data!K125/1000</f>
        <v>1302.1</v>
      </c>
      <c r="O173" s="22" t="n">
        <f aca="false">Data!L125</f>
        <v>0.669</v>
      </c>
      <c r="P173" s="22" t="n">
        <f aca="false">Data!M125</f>
        <v>794.36</v>
      </c>
      <c r="Q173" s="22" t="n">
        <f aca="false">Data!N125</f>
        <v>759.3</v>
      </c>
      <c r="R173" s="22" t="n">
        <f aca="false">Data!J125</f>
        <v>41.79</v>
      </c>
      <c r="S173" s="22" t="str">
        <f aca="false">INDEX(Sector_div!$B$2:$B$227,MATCH(A173,Sector_div!$A$2:$A$227,0))</f>
        <v>realty</v>
      </c>
      <c r="T173" s="26"/>
      <c r="U173" s="27" t="str">
        <f aca="false">CONCATENATE("NSE:",A173,",")</f>
        <v>NSE:DLF,</v>
      </c>
      <c r="V173" s="26"/>
      <c r="W173" s="26"/>
      <c r="X173" s="26"/>
      <c r="Y173" s="26"/>
      <c r="Z173" s="26"/>
    </row>
    <row r="174" customFormat="false" ht="15.75" hidden="false" customHeight="true" outlineLevel="0" collapsed="false">
      <c r="A174" s="22" t="str">
        <f aca="false">Data!A165</f>
        <v>BIOCON</v>
      </c>
      <c r="B174" s="23" t="n">
        <f aca="false">Data!B165</f>
        <v>359.5</v>
      </c>
      <c r="C174" s="22" t="n">
        <f aca="false">Data!C165</f>
        <v>361.5</v>
      </c>
      <c r="D174" s="22" t="n">
        <f aca="false">Data!D165</f>
        <v>356.35</v>
      </c>
      <c r="E174" s="24" t="n">
        <f aca="false">Data!E165</f>
        <v>0.489</v>
      </c>
      <c r="F174" s="22" t="n">
        <f aca="false">Data!F165</f>
        <v>9.29</v>
      </c>
      <c r="G174" s="22" t="n">
        <f aca="false">Data!S165</f>
        <v>11.45</v>
      </c>
      <c r="H174" s="22" t="n">
        <f aca="false">Data!T62*100</f>
        <v>0.9</v>
      </c>
      <c r="I174" s="22" t="str">
        <f aca="false">IF(AND(C174=Data!G165,E174&gt;0),IF(AND(C174=Data!U165,E174&gt;0),"Buy_ 52W_H","Buy_50D_H"),IF(AND(Data!H165=D174,E174&lt;0),IF(AND(Data!V165=D174,E174&lt;0),"Sell_52W_L ","Sell_50D_L "),""))</f>
        <v/>
      </c>
      <c r="J174" s="22" t="n">
        <f aca="false">RANK(L174,L:L)</f>
        <v>173</v>
      </c>
      <c r="K174" s="22" t="str">
        <f aca="false">IF(Data!R165&gt;=B174,IF(((C174-B174)/(C174-D174))*100&gt;80,"Down"," "),IF(Data!R165&lt;=B174,IF(((B174-D174)/(C174-D174))*100&gt;80,"Up"," ")))</f>
        <v> </v>
      </c>
      <c r="L174" s="22" t="n">
        <f aca="false">Data!I165</f>
        <v>-49.15</v>
      </c>
      <c r="M174" s="22" t="str">
        <f aca="false">IF(AND(B174&gt;Data!P165,Data!O165&lt;Data!P165),"Buy",IF(AND(B174&lt;Data!P165,Data!O165&gt;Data!P165),"Sell",""))</f>
        <v/>
      </c>
      <c r="N174" s="22" t="n">
        <f aca="false">Data!K165/1000</f>
        <v>1023.391</v>
      </c>
      <c r="O174" s="22" t="n">
        <f aca="false">Data!L165</f>
        <v>0.453</v>
      </c>
      <c r="P174" s="22" t="n">
        <f aca="false">Data!M165</f>
        <v>341.67</v>
      </c>
      <c r="Q174" s="22" t="n">
        <f aca="false">Data!N165</f>
        <v>352.83</v>
      </c>
      <c r="R174" s="22" t="n">
        <f aca="false">Data!J165</f>
        <v>43.58</v>
      </c>
      <c r="S174" s="22" t="str">
        <f aca="false">INDEX(Sector_div!$B$2:$B$227,MATCH(A174,Sector_div!$A$2:$A$227,0))</f>
        <v>Pharma&amp;Healthcare</v>
      </c>
      <c r="T174" s="26"/>
      <c r="U174" s="27" t="str">
        <f aca="false">CONCATENATE("NSE:",A174,",")</f>
        <v>NSE:BIOCON,</v>
      </c>
      <c r="V174" s="26"/>
      <c r="W174" s="26"/>
      <c r="X174" s="26"/>
      <c r="Y174" s="26"/>
      <c r="Z174" s="26"/>
    </row>
    <row r="175" customFormat="false" ht="15.75" hidden="false" customHeight="true" outlineLevel="0" collapsed="false">
      <c r="A175" s="22" t="str">
        <f aca="false">Data!A115</f>
        <v>LICI</v>
      </c>
      <c r="B175" s="23" t="n">
        <f aca="false">Data!B115</f>
        <v>889.1</v>
      </c>
      <c r="C175" s="22" t="n">
        <f aca="false">Data!C115</f>
        <v>900.8</v>
      </c>
      <c r="D175" s="22" t="n">
        <f aca="false">Data!D115</f>
        <v>886.05</v>
      </c>
      <c r="E175" s="24" t="n">
        <f aca="false">Data!E115</f>
        <v>-0.726</v>
      </c>
      <c r="F175" s="22" t="n">
        <f aca="false">Data!F115</f>
        <v>20.23</v>
      </c>
      <c r="G175" s="22" t="n">
        <f aca="false">Data!S115</f>
        <v>18.8</v>
      </c>
      <c r="H175" s="22" t="n">
        <f aca="false">Data!T184*100</f>
        <v>10</v>
      </c>
      <c r="I175" s="22" t="str">
        <f aca="false">IF(AND(C175=Data!G115,E175&gt;0),IF(AND(C175=Data!U115,E175&gt;0),"Buy_ 52W_H","Buy_50D_H"),IF(AND(Data!H115=D175,E175&lt;0),IF(AND(Data!V115=D175,E175&lt;0),"Sell_52W_L ","Sell_50D_L "),""))</f>
        <v/>
      </c>
      <c r="J175" s="22" t="n">
        <f aca="false">RANK(L175,L:L)</f>
        <v>174</v>
      </c>
      <c r="K175" s="22" t="str">
        <f aca="false">IF(Data!R115&gt;=B175,IF(((C175-B175)/(C175-D175))*100&gt;80,"Down"," "),IF(Data!R115&lt;=B175,IF(((B175-D175)/(C175-D175))*100&gt;80,"Up"," ")))</f>
        <v> </v>
      </c>
      <c r="L175" s="22" t="n">
        <f aca="false">Data!I115</f>
        <v>-49.27</v>
      </c>
      <c r="M175" s="22" t="str">
        <f aca="false">IF(AND(B175&gt;Data!P115,Data!O115&lt;Data!P115),"Buy",IF(AND(B175&lt;Data!P115,Data!O115&gt;Data!P115),"Sell",""))</f>
        <v/>
      </c>
      <c r="N175" s="22" t="n">
        <f aca="false">Data!K115/1000</f>
        <v>755.916</v>
      </c>
      <c r="O175" s="22" t="n">
        <f aca="false">Data!L115</f>
        <v>0.41</v>
      </c>
      <c r="P175" s="22" t="n">
        <f aca="false">Data!M115</f>
        <v>916.75</v>
      </c>
      <c r="Q175" s="22" t="n">
        <f aca="false">Data!N115</f>
        <v>909.96</v>
      </c>
      <c r="R175" s="22" t="n">
        <f aca="false">Data!J115</f>
        <v>41.68</v>
      </c>
      <c r="S175" s="22" t="str">
        <f aca="false">INDEX(Sector_div!$B$2:$B$227,MATCH(A175,Sector_div!$A$2:$A$227,0))</f>
        <v>Insurance</v>
      </c>
      <c r="T175" s="26"/>
      <c r="U175" s="27" t="str">
        <f aca="false">CONCATENATE("NSE:",A175,",")</f>
        <v>NSE:LICI,</v>
      </c>
      <c r="V175" s="26"/>
      <c r="W175" s="26"/>
      <c r="X175" s="26"/>
      <c r="Y175" s="26"/>
      <c r="Z175" s="26"/>
    </row>
    <row r="176" customFormat="false" ht="15.75" hidden="false" customHeight="true" outlineLevel="0" collapsed="false">
      <c r="A176" s="22" t="str">
        <f aca="false">Data!A143</f>
        <v>PGEL</v>
      </c>
      <c r="B176" s="23" t="n">
        <f aca="false">Data!B143</f>
        <v>563.7</v>
      </c>
      <c r="C176" s="22" t="n">
        <f aca="false">Data!C143</f>
        <v>577.8</v>
      </c>
      <c r="D176" s="22" t="n">
        <f aca="false">Data!D143</f>
        <v>560.8</v>
      </c>
      <c r="E176" s="24" t="n">
        <f aca="false">Data!E143</f>
        <v>0.814</v>
      </c>
      <c r="F176" s="22" t="n">
        <f aca="false">Data!F143</f>
        <v>40.91</v>
      </c>
      <c r="G176" s="22" t="n">
        <f aca="false">Data!S143</f>
        <v>46.53</v>
      </c>
      <c r="H176" s="22" t="n">
        <f aca="false">Data!T116*100</f>
        <v>6</v>
      </c>
      <c r="I176" s="22" t="str">
        <f aca="false">IF(AND(C176=Data!G143,E176&gt;0),IF(AND(C176=Data!U143,E176&gt;0),"Buy_ 52W_H","Buy_50D_H"),IF(AND(Data!H143=D176,E176&lt;0),IF(AND(Data!V143=D176,E176&lt;0),"Sell_52W_L ","Sell_50D_L "),""))</f>
        <v/>
      </c>
      <c r="J176" s="22" t="n">
        <f aca="false">RANK(L176,L:L)</f>
        <v>175</v>
      </c>
      <c r="K176" s="22" t="str">
        <f aca="false">IF(Data!R143&gt;=B176,IF(((C176-B176)/(C176-D176))*100&gt;80,"Down"," "),IF(Data!R143&lt;=B176,IF(((B176-D176)/(C176-D176))*100&gt;80,"Up"," ")))</f>
        <v> </v>
      </c>
      <c r="L176" s="22" t="n">
        <f aca="false">Data!I143</f>
        <v>-51.57</v>
      </c>
      <c r="M176" s="22" t="str">
        <f aca="false">IF(AND(B176&gt;Data!P143,Data!O143&lt;Data!P143),"Buy",IF(AND(B176&lt;Data!P143,Data!O143&gt;Data!P143),"Sell",""))</f>
        <v/>
      </c>
      <c r="N176" s="22" t="n">
        <f aca="false">Data!K143/1000</f>
        <v>6389.811</v>
      </c>
      <c r="O176" s="22" t="n">
        <f aca="false">Data!L143</f>
        <v>0.822</v>
      </c>
      <c r="P176" s="22" t="n">
        <f aca="false">Data!M143</f>
        <v>581.1</v>
      </c>
      <c r="Q176" s="22" t="n">
        <f aca="false">Data!N143</f>
        <v>528.23</v>
      </c>
      <c r="R176" s="22" t="n">
        <f aca="false">Data!J143</f>
        <v>40.54</v>
      </c>
      <c r="S176" s="22" t="e">
        <f aca="false">INDEX(Sector_div!$B$2:$B$227,MATCH(A176,Sector_div!$A$2:$A$227,0))</f>
        <v>#N/A</v>
      </c>
      <c r="T176" s="26"/>
      <c r="U176" s="27" t="str">
        <f aca="false">CONCATENATE("NSE:",A176,",")</f>
        <v>NSE:PGEL,</v>
      </c>
      <c r="V176" s="26"/>
      <c r="W176" s="26"/>
      <c r="X176" s="26"/>
      <c r="Y176" s="26"/>
      <c r="Z176" s="26"/>
    </row>
    <row r="177" customFormat="false" ht="15.75" hidden="false" customHeight="true" outlineLevel="0" collapsed="false">
      <c r="A177" s="22" t="str">
        <f aca="false">Data!A129</f>
        <v>IRCTC</v>
      </c>
      <c r="B177" s="23" t="n">
        <f aca="false">Data!B129</f>
        <v>725</v>
      </c>
      <c r="C177" s="22" t="n">
        <f aca="false">Data!C129</f>
        <v>727</v>
      </c>
      <c r="D177" s="22" t="n">
        <f aca="false">Data!D129</f>
        <v>720.1</v>
      </c>
      <c r="E177" s="24" t="n">
        <f aca="false">Data!E129</f>
        <v>-0.097</v>
      </c>
      <c r="F177" s="22" t="n">
        <f aca="false">Data!F129</f>
        <v>10.27</v>
      </c>
      <c r="G177" s="22" t="n">
        <f aca="false">Data!S129</f>
        <v>24.25</v>
      </c>
      <c r="H177" s="25" t="n">
        <f aca="false">Data!T103*100</f>
        <v>2.8</v>
      </c>
      <c r="I177" s="22" t="str">
        <f aca="false">IF(AND(C177=Data!G129,E177&gt;0),IF(AND(C177=Data!U129,E177&gt;0),"Buy_ 52W_H","Buy_50D_H"),IF(AND(Data!H129=D177,E177&lt;0),IF(AND(Data!V129=D177,E177&lt;0),"Sell_52W_L ","Sell_50D_L "),""))</f>
        <v/>
      </c>
      <c r="J177" s="22" t="n">
        <f aca="false">RANK(L177,L:L)</f>
        <v>176</v>
      </c>
      <c r="K177" s="22" t="str">
        <f aca="false">IF(Data!R129&gt;=B177,IF(((C177-B177)/(C177-D177))*100&gt;80,"Down"," "),IF(Data!R129&lt;=B177,IF(((B177-D177)/(C177-D177))*100&gt;80,"Up"," ")))</f>
        <v> </v>
      </c>
      <c r="L177" s="22" t="n">
        <f aca="false">Data!I129</f>
        <v>-55.9</v>
      </c>
      <c r="M177" s="22" t="str">
        <f aca="false">IF(AND(B177&gt;Data!P129,Data!O129&lt;Data!P129),"Buy",IF(AND(B177&lt;Data!P129,Data!O129&gt;Data!P129),"Sell",""))</f>
        <v/>
      </c>
      <c r="N177" s="22" t="n">
        <f aca="false">Data!K129/1000</f>
        <v>673.72</v>
      </c>
      <c r="O177" s="22" t="n">
        <f aca="false">Data!L129</f>
        <v>1.66</v>
      </c>
      <c r="P177" s="22" t="n">
        <f aca="false">Data!M129</f>
        <v>744.47</v>
      </c>
      <c r="Q177" s="22" t="n">
        <f aca="false">Data!N129</f>
        <v>732.48</v>
      </c>
      <c r="R177" s="22" t="n">
        <f aca="false">Data!J129</f>
        <v>44.3</v>
      </c>
      <c r="S177" s="22" t="str">
        <f aca="false">INDEX(Sector_div!$B$2:$B$227,MATCH(A177,Sector_div!$A$2:$A$227,0))</f>
        <v>miscellaneous</v>
      </c>
      <c r="T177" s="26"/>
      <c r="U177" s="27" t="str">
        <f aca="false">CONCATENATE("NSE:",A177,",")</f>
        <v>NSE:IRCTC,</v>
      </c>
      <c r="V177" s="26"/>
      <c r="W177" s="26"/>
      <c r="X177" s="26"/>
      <c r="Y177" s="26"/>
      <c r="Z177" s="26"/>
    </row>
    <row r="178" customFormat="false" ht="15.75" hidden="false" customHeight="true" outlineLevel="0" collapsed="false">
      <c r="A178" s="22" t="str">
        <f aca="false">Data!A208</f>
        <v>GMRAIRPORT</v>
      </c>
      <c r="B178" s="23" t="n">
        <f aca="false">Data!B208</f>
        <v>89.55</v>
      </c>
      <c r="C178" s="22" t="n">
        <f aca="false">Data!C208</f>
        <v>90.11</v>
      </c>
      <c r="D178" s="22" t="n">
        <f aca="false">Data!D208</f>
        <v>89.13</v>
      </c>
      <c r="E178" s="24" t="n">
        <f aca="false">Data!E208</f>
        <v>0.663</v>
      </c>
      <c r="F178" s="22" t="n">
        <f aca="false">Data!F208</f>
        <v>1.86</v>
      </c>
      <c r="G178" s="22" t="n">
        <f aca="false">Data!S208</f>
        <v>8.84</v>
      </c>
      <c r="H178" s="25" t="n">
        <f aca="false">Data!T131*100</f>
        <v>3.2</v>
      </c>
      <c r="I178" s="22" t="str">
        <f aca="false">IF(AND(C178=Data!G208,E178&gt;0),IF(AND(C178=Data!U208,E178&gt;0),"Buy_ 52W_H","Buy_50D_H"),IF(AND(Data!H208=D178,E178&lt;0),IF(AND(Data!V208=D178,E178&lt;0),"Sell_52W_L ","Sell_50D_L "),""))</f>
        <v/>
      </c>
      <c r="J178" s="22" t="n">
        <f aca="false">RANK(L178,L:L)</f>
        <v>177</v>
      </c>
      <c r="K178" s="22" t="str">
        <f aca="false">IF(Data!R208&gt;=B178,IF(((C178-B178)/(C178-D178))*100&gt;80,"Down"," "),IF(Data!R208&lt;=B178,IF(((B178-D178)/(C178-D178))*100&gt;80,"Up"," ")))</f>
        <v> </v>
      </c>
      <c r="L178" s="22" t="n">
        <f aca="false">Data!I208</f>
        <v>-57.5</v>
      </c>
      <c r="M178" s="22" t="str">
        <f aca="false">IF(AND(B178&gt;Data!P208,Data!O208&lt;Data!P208),"Buy",IF(AND(B178&lt;Data!P208,Data!O208&gt;Data!P208),"Sell",""))</f>
        <v/>
      </c>
      <c r="N178" s="22" t="n">
        <f aca="false">Data!K208/1000</f>
        <v>7729.818</v>
      </c>
      <c r="O178" s="22" t="n">
        <f aca="false">Data!L208</f>
        <v>1.33</v>
      </c>
      <c r="P178" s="22" t="n">
        <f aca="false">Data!M208</f>
        <v>92.71</v>
      </c>
      <c r="Q178" s="22" t="n">
        <f aca="false">Data!N208</f>
        <v>88.89</v>
      </c>
      <c r="R178" s="22" t="n">
        <f aca="false">Data!J208</f>
        <v>45.9</v>
      </c>
      <c r="S178" s="22" t="str">
        <f aca="false">INDEX(Sector_div!$B$2:$B$227,MATCH(A178,Sector_div!$A$2:$A$227,0))</f>
        <v>infra</v>
      </c>
      <c r="T178" s="26"/>
      <c r="U178" s="27" t="str">
        <f aca="false">CONCATENATE("NSE:",A178,",")</f>
        <v>NSE:GMRAIRPORT,</v>
      </c>
      <c r="V178" s="26"/>
      <c r="W178" s="26"/>
      <c r="X178" s="26"/>
      <c r="Y178" s="26"/>
      <c r="Z178" s="26"/>
    </row>
    <row r="179" customFormat="false" ht="15.75" hidden="false" customHeight="true" outlineLevel="0" collapsed="false">
      <c r="A179" s="22" t="str">
        <f aca="false">Data!A97</f>
        <v>MAXHEALTH</v>
      </c>
      <c r="B179" s="23" t="n">
        <f aca="false">Data!B97</f>
        <v>1234.7</v>
      </c>
      <c r="C179" s="22" t="n">
        <f aca="false">Data!C97</f>
        <v>1255</v>
      </c>
      <c r="D179" s="22" t="n">
        <f aca="false">Data!D97</f>
        <v>1228.1</v>
      </c>
      <c r="E179" s="24" t="n">
        <f aca="false">Data!E97</f>
        <v>-1.23</v>
      </c>
      <c r="F179" s="22" t="n">
        <f aca="false">Data!F97</f>
        <v>32.21</v>
      </c>
      <c r="G179" s="22" t="n">
        <f aca="false">Data!S97</f>
        <v>6.06</v>
      </c>
      <c r="I179" s="22" t="str">
        <f aca="false">IF(AND(C179=Data!G97,E179&gt;0),IF(AND(C179=Data!U97,E179&gt;0),"Buy_ 52W_H","Buy_50D_H"),IF(AND(Data!H97=D179,E179&lt;0),IF(AND(Data!V97=D179,E179&lt;0),"Sell_52W_L ","Sell_50D_L "),""))</f>
        <v/>
      </c>
      <c r="J179" s="22" t="n">
        <f aca="false">RANK(L179,L:L)</f>
        <v>178</v>
      </c>
      <c r="K179" s="22" t="str">
        <f aca="false">IF(Data!R97&gt;=B179,IF(((C179-B179)/(C179-D179))*100&gt;80,"Down"," "),IF(Data!R97&lt;=B179,IF(((B179-D179)/(C179-D179))*100&gt;80,"Up"," ")))</f>
        <v> </v>
      </c>
      <c r="L179" s="22" t="n">
        <f aca="false">Data!I97</f>
        <v>-60.77</v>
      </c>
      <c r="M179" s="22" t="str">
        <f aca="false">IF(AND(B179&gt;Data!P97,Data!O97&lt;Data!P97),"Buy",IF(AND(B179&lt;Data!P97,Data!O97&gt;Data!P97),"Sell",""))</f>
        <v/>
      </c>
      <c r="N179" s="22" t="n">
        <f aca="false">Data!K97/1000</f>
        <v>1487.942</v>
      </c>
      <c r="O179" s="22" t="n">
        <f aca="false">Data!L97</f>
        <v>0.725</v>
      </c>
      <c r="P179" s="22" t="n">
        <f aca="false">Data!M97</f>
        <v>1289.25</v>
      </c>
      <c r="Q179" s="22" t="n">
        <f aca="false">Data!N97</f>
        <v>1254.98</v>
      </c>
      <c r="R179" s="22" t="n">
        <f aca="false">Data!J97</f>
        <v>45.82</v>
      </c>
      <c r="S179" s="22" t="str">
        <f aca="false">INDEX(Sector_div!$B$2:$B$227,MATCH(A179,Sector_div!$A$2:$A$227,0))</f>
        <v>Pharma&amp;Healthcare</v>
      </c>
      <c r="T179" s="26"/>
      <c r="U179" s="27" t="str">
        <f aca="false">CONCATENATE("NSE:",A179,",")</f>
        <v>NSE:MAXHEALTH,</v>
      </c>
      <c r="V179" s="26"/>
      <c r="W179" s="26"/>
      <c r="X179" s="26"/>
      <c r="Y179" s="26"/>
      <c r="Z179" s="26"/>
    </row>
    <row r="180" customFormat="false" ht="15.75" hidden="false" customHeight="true" outlineLevel="0" collapsed="false">
      <c r="A180" s="22" t="str">
        <f aca="false">Data!A172</f>
        <v>BPCL</v>
      </c>
      <c r="B180" s="23" t="n">
        <f aca="false">Data!B172</f>
        <v>316.45</v>
      </c>
      <c r="C180" s="22" t="n">
        <f aca="false">Data!C172</f>
        <v>320.35</v>
      </c>
      <c r="D180" s="22" t="n">
        <f aca="false">Data!D172</f>
        <v>314.7</v>
      </c>
      <c r="E180" s="24" t="n">
        <f aca="false">Data!E172</f>
        <v>-1.09</v>
      </c>
      <c r="F180" s="22" t="n">
        <f aca="false">Data!F172</f>
        <v>7.61</v>
      </c>
      <c r="G180" s="22" t="n">
        <f aca="false">Data!S172</f>
        <v>15.84</v>
      </c>
      <c r="H180" s="25" t="n">
        <f aca="false">Data!T183*100</f>
        <v>9</v>
      </c>
      <c r="I180" s="22" t="str">
        <f aca="false">IF(AND(C180=Data!G172,E180&gt;0),IF(AND(C180=Data!U172,E180&gt;0),"Buy_ 52W_H","Buy_50D_H"),IF(AND(Data!H172=D180,E180&lt;0),IF(AND(Data!V172=D180,E180&lt;0),"Sell_52W_L ","Sell_50D_L "),""))</f>
        <v/>
      </c>
      <c r="J180" s="22" t="n">
        <f aca="false">RANK(L180,L:L)</f>
        <v>179</v>
      </c>
      <c r="K180" s="22" t="str">
        <f aca="false">IF(Data!R172&gt;=B180,IF(((C180-B180)/(C180-D180))*100&gt;80,"Down"," "),IF(Data!R172&lt;=B180,IF(((B180-D180)/(C180-D180))*100&gt;80,"Up"," ")))</f>
        <v> </v>
      </c>
      <c r="L180" s="22" t="n">
        <f aca="false">Data!I172</f>
        <v>-60.89</v>
      </c>
      <c r="M180" s="22" t="str">
        <f aca="false">IF(AND(B180&gt;Data!P172,Data!O172&lt;Data!P172),"Buy",IF(AND(B180&lt;Data!P172,Data!O172&gt;Data!P172),"Sell",""))</f>
        <v/>
      </c>
      <c r="N180" s="22" t="n">
        <f aca="false">Data!K172/1000</f>
        <v>3007.301</v>
      </c>
      <c r="O180" s="22" t="n">
        <f aca="false">Data!L172</f>
        <v>0.793</v>
      </c>
      <c r="P180" s="22" t="n">
        <f aca="false">Data!M172</f>
        <v>326.67</v>
      </c>
      <c r="Q180" s="22" t="n">
        <f aca="false">Data!N172</f>
        <v>325.32</v>
      </c>
      <c r="R180" s="22" t="n">
        <f aca="false">Data!J172</f>
        <v>39.76</v>
      </c>
      <c r="S180" s="22" t="str">
        <f aca="false">INDEX(Sector_div!$B$2:$B$227,MATCH(A180,Sector_div!$A$2:$A$227,0))</f>
        <v>oil&amp;gas</v>
      </c>
      <c r="T180" s="26"/>
      <c r="U180" s="27" t="str">
        <f aca="false">CONCATENATE("NSE:",A180,",")</f>
        <v>NSE:BPCL,</v>
      </c>
      <c r="V180" s="26"/>
      <c r="W180" s="26"/>
      <c r="X180" s="26"/>
      <c r="Y180" s="26"/>
      <c r="Z180" s="26"/>
    </row>
    <row r="181" customFormat="false" ht="15.75" hidden="false" customHeight="true" outlineLevel="0" collapsed="false">
      <c r="A181" s="22" t="str">
        <f aca="false">Data!A101</f>
        <v>NESTLEIND</v>
      </c>
      <c r="B181" s="23" t="n">
        <f aca="false">Data!B101</f>
        <v>1162.9</v>
      </c>
      <c r="C181" s="22" t="n">
        <f aca="false">Data!C101</f>
        <v>1191</v>
      </c>
      <c r="D181" s="22" t="n">
        <f aca="false">Data!D101</f>
        <v>1158</v>
      </c>
      <c r="E181" s="24" t="n">
        <f aca="false">Data!E101</f>
        <v>-1.4</v>
      </c>
      <c r="F181" s="22" t="n">
        <f aca="false">Data!F101</f>
        <v>76.06</v>
      </c>
      <c r="G181" s="22" t="n">
        <f aca="false">Data!S101</f>
        <v>58.14</v>
      </c>
      <c r="H181" s="25" t="n">
        <f aca="false">Data!T137*100</f>
        <v>2.6</v>
      </c>
      <c r="I181" s="22" t="str">
        <f aca="false">IF(AND(C181=Data!G101,E181&gt;0),IF(AND(C181=Data!U101,E181&gt;0),"Buy_ 52W_H","Buy_50D_H"),IF(AND(Data!H101=D181,E181&lt;0),IF(AND(Data!V101=D181,E181&lt;0),"Sell_52W_L ","Sell_50D_L "),""))</f>
        <v/>
      </c>
      <c r="J181" s="22" t="n">
        <f aca="false">RANK(L181,L:L)</f>
        <v>180</v>
      </c>
      <c r="K181" s="22" t="str">
        <f aca="false">IF(Data!R101&gt;=B181,IF(((C181-B181)/(C181-D181))*100&gt;80,"Down"," "),IF(Data!R101&lt;=B181,IF(((B181-D181)/(C181-D181))*100&gt;80,"Up"," ")))</f>
        <v>Down</v>
      </c>
      <c r="L181" s="22" t="n">
        <f aca="false">Data!I101</f>
        <v>-62.04</v>
      </c>
      <c r="M181" s="22" t="str">
        <f aca="false">IF(AND(B181&gt;Data!P101,Data!O101&lt;Data!P101),"Buy",IF(AND(B181&lt;Data!P101,Data!O101&gt;Data!P101),"Sell",""))</f>
        <v/>
      </c>
      <c r="N181" s="22" t="n">
        <f aca="false">Data!K101/1000</f>
        <v>921.658</v>
      </c>
      <c r="O181" s="22" t="n">
        <f aca="false">Data!L101</f>
        <v>0.929</v>
      </c>
      <c r="P181" s="22" t="n">
        <f aca="false">Data!M101</f>
        <v>1308.29</v>
      </c>
      <c r="Q181" s="22" t="n">
        <f aca="false">Data!N101</f>
        <v>1201.07</v>
      </c>
      <c r="R181" s="22" t="n">
        <f aca="false">Data!J101</f>
        <v>18.1</v>
      </c>
      <c r="S181" s="22" t="str">
        <f aca="false">INDEX(Sector_div!$B$2:$B$227,MATCH(A181,Sector_div!$A$2:$A$227,0))</f>
        <v>fmcg</v>
      </c>
      <c r="T181" s="26"/>
      <c r="U181" s="27" t="str">
        <f aca="false">CONCATENATE("NSE:",A181,",")</f>
        <v>NSE:NESTLEIND,</v>
      </c>
      <c r="V181" s="26"/>
      <c r="W181" s="26"/>
      <c r="X181" s="26"/>
      <c r="Y181" s="26"/>
      <c r="Z181" s="26"/>
    </row>
    <row r="182" customFormat="false" ht="15.75" hidden="false" customHeight="true" outlineLevel="0" collapsed="false">
      <c r="A182" s="22" t="str">
        <f aca="false">Data!A48</f>
        <v>MAZDOCK</v>
      </c>
      <c r="B182" s="23" t="n">
        <f aca="false">Data!B48</f>
        <v>2700.3</v>
      </c>
      <c r="C182" s="22" t="n">
        <f aca="false">Data!C48</f>
        <v>2757.9</v>
      </c>
      <c r="D182" s="22" t="n">
        <f aca="false">Data!D48</f>
        <v>2695.5</v>
      </c>
      <c r="E182" s="24" t="n">
        <f aca="false">Data!E48</f>
        <v>-2.44</v>
      </c>
      <c r="F182" s="22" t="n">
        <f aca="false">Data!F48</f>
        <v>83.11</v>
      </c>
      <c r="G182" s="22" t="n">
        <f aca="false">Data!S48</f>
        <v>28.47</v>
      </c>
      <c r="H182" s="22" t="n">
        <f aca="false">Data!T12*100</f>
        <v>0.3</v>
      </c>
      <c r="I182" s="22" t="str">
        <f aca="false">IF(AND(C182=Data!G48,E182&gt;0),IF(AND(C182=Data!U48,E182&gt;0),"Buy_ 52W_H","Buy_50D_H"),IF(AND(Data!H48=D182,E182&lt;0),IF(AND(Data!V48=D182,E182&lt;0),"Sell_52W_L ","Sell_50D_L "),""))</f>
        <v/>
      </c>
      <c r="J182" s="22" t="n">
        <f aca="false">RANK(L182,L:L)</f>
        <v>181</v>
      </c>
      <c r="K182" s="22" t="str">
        <f aca="false">IF(Data!R48&gt;=B182,IF(((C182-B182)/(C182-D182))*100&gt;80,"Down"," "),IF(Data!R48&lt;=B182,IF(((B182-D182)/(C182-D182))*100&gt;80,"Up"," ")))</f>
        <v>Down</v>
      </c>
      <c r="L182" s="22" t="n">
        <f aca="false">Data!I48</f>
        <v>-64.77</v>
      </c>
      <c r="M182" s="22" t="str">
        <f aca="false">IF(AND(B182&gt;Data!P48,Data!O48&lt;Data!P48),"Buy",IF(AND(B182&lt;Data!P48,Data!O48&gt;Data!P48),"Sell",""))</f>
        <v/>
      </c>
      <c r="N182" s="22" t="n">
        <f aca="false">Data!K48/1000</f>
        <v>1126.718</v>
      </c>
      <c r="O182" s="22" t="n">
        <f aca="false">Data!L48</f>
        <v>0.532</v>
      </c>
      <c r="P182" s="22" t="n">
        <f aca="false">Data!M48</f>
        <v>2890.32</v>
      </c>
      <c r="Q182" s="22" t="n">
        <f aca="false">Data!N48</f>
        <v>2789.09</v>
      </c>
      <c r="R182" s="22" t="n">
        <f aca="false">Data!J48</f>
        <v>38.43</v>
      </c>
      <c r="S182" s="22" t="e">
        <f aca="false">INDEX(Sector_div!$B$2:$B$227,MATCH(A182,Sector_div!$A$2:$A$227,0))</f>
        <v>#N/A</v>
      </c>
      <c r="T182" s="26"/>
      <c r="U182" s="27" t="str">
        <f aca="false">CONCATENATE("NSE:",A182,",")</f>
        <v>NSE:MAZDOCK,</v>
      </c>
      <c r="V182" s="26"/>
      <c r="W182" s="26"/>
      <c r="X182" s="26"/>
      <c r="Y182" s="26"/>
      <c r="Z182" s="26"/>
    </row>
    <row r="183" customFormat="false" ht="15.75" hidden="false" customHeight="true" outlineLevel="0" collapsed="false">
      <c r="A183" s="22" t="str">
        <f aca="false">Data!A140</f>
        <v>SHRIRAMFIN</v>
      </c>
      <c r="B183" s="23" t="n">
        <f aca="false">Data!B140</f>
        <v>615.85</v>
      </c>
      <c r="C183" s="22" t="n">
        <f aca="false">Data!C140</f>
        <v>622</v>
      </c>
      <c r="D183" s="22" t="n">
        <f aca="false">Data!D140</f>
        <v>612.55</v>
      </c>
      <c r="E183" s="24" t="n">
        <f aca="false">Data!E140</f>
        <v>-0.637</v>
      </c>
      <c r="F183" s="22" t="n">
        <f aca="false">Data!F140</f>
        <v>13.34</v>
      </c>
      <c r="G183" s="22" t="n">
        <f aca="false">Data!S140</f>
        <v>15.69</v>
      </c>
      <c r="I183" s="22" t="str">
        <f aca="false">IF(AND(C183=Data!G140,E183&gt;0),IF(AND(C183=Data!U140,E183&gt;0),"Buy_ 52W_H","Buy_50D_H"),IF(AND(Data!H140=D183,E183&lt;0),IF(AND(Data!V140=D183,E183&lt;0),"Sell_52W_L ","Sell_50D_L "),""))</f>
        <v/>
      </c>
      <c r="J183" s="22" t="n">
        <f aca="false">RANK(L183,L:L)</f>
        <v>182</v>
      </c>
      <c r="K183" s="22" t="str">
        <f aca="false">IF(Data!R140&gt;=B183,IF(((C183-B183)/(C183-D183))*100&gt;80,"Down"," "),IF(Data!R140&lt;=B183,IF(((B183-D183)/(C183-D183))*100&gt;80,"Up"," ")))</f>
        <v> </v>
      </c>
      <c r="L183" s="22" t="n">
        <f aca="false">Data!I140</f>
        <v>-67.39</v>
      </c>
      <c r="M183" s="22" t="str">
        <f aca="false">IF(AND(B183&gt;Data!P140,Data!O140&lt;Data!P140),"Buy",IF(AND(B183&lt;Data!P140,Data!O140&gt;Data!P140),"Sell",""))</f>
        <v/>
      </c>
      <c r="N183" s="22" t="n">
        <f aca="false">Data!K140/1000</f>
        <v>3496.267</v>
      </c>
      <c r="O183" s="22" t="n">
        <f aca="false">Data!L140</f>
        <v>0.875</v>
      </c>
      <c r="P183" s="22" t="n">
        <f aca="false">Data!M140</f>
        <v>645.56</v>
      </c>
      <c r="Q183" s="22" t="n">
        <f aca="false">Data!N140</f>
        <v>631.34</v>
      </c>
      <c r="R183" s="22" t="n">
        <f aca="false">Data!J140</f>
        <v>42.03</v>
      </c>
      <c r="S183" s="22" t="str">
        <f aca="false">INDEX(Sector_div!$B$2:$B$227,MATCH(A183,Sector_div!$A$2:$A$227,0))</f>
        <v>finance</v>
      </c>
      <c r="T183" s="26"/>
      <c r="U183" s="27" t="str">
        <f aca="false">CONCATENATE("NSE:",A183,",")</f>
        <v>NSE:SHRIRAMFIN,</v>
      </c>
      <c r="V183" s="26"/>
      <c r="W183" s="26"/>
      <c r="X183" s="26"/>
      <c r="Y183" s="26"/>
      <c r="Z183" s="26"/>
    </row>
    <row r="184" customFormat="false" ht="15.75" hidden="false" customHeight="true" outlineLevel="0" collapsed="false">
      <c r="A184" s="22" t="str">
        <f aca="false">Data!A201</f>
        <v>SAIL</v>
      </c>
      <c r="B184" s="23" t="n">
        <f aca="false">Data!B201</f>
        <v>121.93</v>
      </c>
      <c r="C184" s="22" t="n">
        <f aca="false">Data!C201</f>
        <v>123.25</v>
      </c>
      <c r="D184" s="22" t="n">
        <f aca="false">Data!D201</f>
        <v>121.42</v>
      </c>
      <c r="E184" s="24" t="n">
        <f aca="false">Data!E201</f>
        <v>-1.07</v>
      </c>
      <c r="F184" s="22" t="n">
        <f aca="false">Data!F201</f>
        <v>2.85</v>
      </c>
      <c r="G184" s="22" t="n">
        <f aca="false">Data!S201</f>
        <v>15.44</v>
      </c>
      <c r="H184" s="22" t="n">
        <f aca="false">Data!T160*100</f>
        <v>6.9</v>
      </c>
      <c r="I184" s="22" t="str">
        <f aca="false">IF(AND(C184=Data!G201,E184&gt;0),IF(AND(C184=Data!U201,E184&gt;0),"Buy_ 52W_H","Buy_50D_H"),IF(AND(Data!H201=D184,E184&lt;0),IF(AND(Data!V201=D184,E184&lt;0),"Sell_52W_L ","Sell_50D_L "),""))</f>
        <v/>
      </c>
      <c r="J184" s="22" t="n">
        <f aca="false">RANK(L184,L:L)</f>
        <v>183</v>
      </c>
      <c r="K184" s="22" t="str">
        <f aca="false">IF(Data!R201&gt;=B184,IF(((C184-B184)/(C184-D184))*100&gt;80,"Down"," "),IF(Data!R201&lt;=B184,IF(((B184-D184)/(C184-D184))*100&gt;80,"Up"," ")))</f>
        <v> </v>
      </c>
      <c r="L184" s="22" t="n">
        <f aca="false">Data!I201</f>
        <v>-68.44</v>
      </c>
      <c r="M184" s="22" t="str">
        <f aca="false">IF(AND(B184&gt;Data!P201,Data!O201&lt;Data!P201),"Buy",IF(AND(B184&lt;Data!P201,Data!O201&gt;Data!P201),"Sell",""))</f>
        <v/>
      </c>
      <c r="N184" s="22" t="n">
        <f aca="false">Data!K201/1000</f>
        <v>5155.303</v>
      </c>
      <c r="O184" s="22" t="n">
        <f aca="false">Data!L201</f>
        <v>1.21</v>
      </c>
      <c r="P184" s="22" t="n">
        <f aca="false">Data!M201</f>
        <v>127.53</v>
      </c>
      <c r="Q184" s="22" t="n">
        <f aca="false">Data!N201</f>
        <v>124.22</v>
      </c>
      <c r="R184" s="22" t="n">
        <f aca="false">Data!J201</f>
        <v>41.61</v>
      </c>
      <c r="S184" s="22" t="str">
        <f aca="false">INDEX(Sector_div!$B$2:$B$227,MATCH(A184,Sector_div!$A$2:$A$227,0))</f>
        <v>metals</v>
      </c>
      <c r="T184" s="26"/>
      <c r="U184" s="27" t="str">
        <f aca="false">CONCATENATE("NSE:",A184,",")</f>
        <v>NSE:SAIL,</v>
      </c>
      <c r="V184" s="26"/>
      <c r="W184" s="26"/>
      <c r="X184" s="26"/>
      <c r="Y184" s="26"/>
      <c r="Z184" s="26"/>
    </row>
    <row r="185" customFormat="false" ht="15.75" hidden="false" customHeight="true" outlineLevel="0" collapsed="false">
      <c r="A185" s="22" t="str">
        <f aca="false">Data!A112</f>
        <v>TATACHEM</v>
      </c>
      <c r="B185" s="23" t="n">
        <f aca="false">Data!B112</f>
        <v>938.05</v>
      </c>
      <c r="C185" s="22" t="n">
        <f aca="false">Data!C112</f>
        <v>945</v>
      </c>
      <c r="D185" s="22" t="n">
        <f aca="false">Data!D112</f>
        <v>935.45</v>
      </c>
      <c r="E185" s="24" t="n">
        <f aca="false">Data!E112</f>
        <v>-0.229</v>
      </c>
      <c r="F185" s="22" t="n">
        <f aca="false">Data!F112</f>
        <v>16.68</v>
      </c>
      <c r="G185" s="22" t="n">
        <f aca="false">Data!S112</f>
        <v>24.8</v>
      </c>
      <c r="H185" s="25" t="n">
        <f aca="false">Data!T53*100</f>
        <v>0.6</v>
      </c>
      <c r="I185" s="22" t="str">
        <f aca="false">IF(AND(C185=Data!G112,E185&gt;0),IF(AND(C185=Data!U112,E185&gt;0),"Buy_ 52W_H","Buy_50D_H"),IF(AND(Data!H112=D185,E185&lt;0),IF(AND(Data!V112=D185,E185&lt;0),"Sell_52W_L ","Sell_50D_L "),""))</f>
        <v/>
      </c>
      <c r="J185" s="22" t="n">
        <f aca="false">RANK(L185,L:L)</f>
        <v>184</v>
      </c>
      <c r="K185" s="22" t="str">
        <f aca="false">IF(Data!R112&gt;=B185,IF(((C185-B185)/(C185-D185))*100&gt;80,"Down"," "),IF(Data!R112&lt;=B185,IF(((B185-D185)/(C185-D185))*100&gt;80,"Up"," ")))</f>
        <v> </v>
      </c>
      <c r="L185" s="22" t="n">
        <f aca="false">Data!I112</f>
        <v>-72.2</v>
      </c>
      <c r="M185" s="22" t="str">
        <f aca="false">IF(AND(B185&gt;Data!P112,Data!O112&lt;Data!P112),"Buy",IF(AND(B185&lt;Data!P112,Data!O112&gt;Data!P112),"Sell",""))</f>
        <v/>
      </c>
      <c r="N185" s="22" t="n">
        <f aca="false">Data!K112/1000</f>
        <v>200.924</v>
      </c>
      <c r="O185" s="22" t="n">
        <f aca="false">Data!L112</f>
        <v>0.433</v>
      </c>
      <c r="P185" s="22" t="n">
        <f aca="false">Data!M112</f>
        <v>976.58</v>
      </c>
      <c r="Q185" s="22" t="n">
        <f aca="false">Data!N112</f>
        <v>958.4</v>
      </c>
      <c r="R185" s="22" t="n">
        <f aca="false">Data!J112</f>
        <v>40.6</v>
      </c>
      <c r="S185" s="22" t="str">
        <f aca="false">INDEX(Sector_div!$B$2:$B$227,MATCH(A185,Sector_div!$A$2:$A$227,0))</f>
        <v>industrials</v>
      </c>
      <c r="T185" s="26"/>
      <c r="U185" s="27" t="str">
        <f aca="false">CONCATENATE("NSE:",A185,",")</f>
        <v>NSE:TATACHEM,</v>
      </c>
    </row>
    <row r="186" customFormat="false" ht="15.75" hidden="false" customHeight="true" outlineLevel="0" collapsed="false">
      <c r="A186" s="22" t="str">
        <f aca="false">Data!A171</f>
        <v>CROMPTON</v>
      </c>
      <c r="B186" s="23" t="n">
        <f aca="false">Data!B171</f>
        <v>316.7</v>
      </c>
      <c r="C186" s="22" t="n">
        <f aca="false">Data!C171</f>
        <v>326</v>
      </c>
      <c r="D186" s="22" t="n">
        <f aca="false">Data!D171</f>
        <v>316</v>
      </c>
      <c r="E186" s="24" t="n">
        <f aca="false">Data!E171</f>
        <v>-1.29</v>
      </c>
      <c r="F186" s="22" t="n">
        <f aca="false">Data!F171</f>
        <v>7.53</v>
      </c>
      <c r="G186" s="22" t="n">
        <f aca="false">Data!S171</f>
        <v>34.57</v>
      </c>
      <c r="H186" s="25" t="n">
        <f aca="false">Data!T139*100</f>
        <v>2.3</v>
      </c>
      <c r="I186" s="22" t="str">
        <f aca="false">IF(AND(C186=Data!G171,E186&gt;0),IF(AND(C186=Data!U171,E186&gt;0),"Buy_ 52W_H","Buy_50D_H"),IF(AND(Data!H171=D186,E186&lt;0),IF(AND(Data!V171=D186,E186&lt;0),"Sell_52W_L ","Sell_50D_L "),""))</f>
        <v/>
      </c>
      <c r="J186" s="22" t="n">
        <f aca="false">RANK(L186,L:L)</f>
        <v>185</v>
      </c>
      <c r="K186" s="22" t="str">
        <f aca="false">IF(Data!R171&gt;=B186,IF(((C186-B186)/(C186-D186))*100&gt;80,"Down"," "),IF(Data!R171&lt;=B186,IF(((B186-D186)/(C186-D186))*100&gt;80,"Up"," ")))</f>
        <v>Down</v>
      </c>
      <c r="L186" s="22" t="n">
        <f aca="false">Data!I171</f>
        <v>-73.84</v>
      </c>
      <c r="M186" s="22" t="str">
        <f aca="false">IF(AND(B186&gt;Data!P171,Data!O171&lt;Data!P171),"Buy",IF(AND(B186&lt;Data!P171,Data!O171&gt;Data!P171),"Sell",""))</f>
        <v/>
      </c>
      <c r="N186" s="22" t="n">
        <f aca="false">Data!K171/1000</f>
        <v>2224.116</v>
      </c>
      <c r="O186" s="22" t="n">
        <f aca="false">Data!L171</f>
        <v>0.945</v>
      </c>
      <c r="P186" s="22" t="n">
        <f aca="false">Data!M171</f>
        <v>330.92</v>
      </c>
      <c r="Q186" s="22" t="n">
        <f aca="false">Data!N171</f>
        <v>328.38</v>
      </c>
      <c r="R186" s="22" t="n">
        <f aca="false">Data!J171</f>
        <v>34.56</v>
      </c>
      <c r="S186" s="22" t="str">
        <f aca="false">INDEX(Sector_div!$B$2:$B$227,MATCH(A186,Sector_div!$A$2:$A$227,0))</f>
        <v>fmcg</v>
      </c>
      <c r="T186" s="26"/>
      <c r="U186" s="27" t="str">
        <f aca="false">CONCATENATE("NSE:",A186,",")</f>
        <v>NSE:CROMPTON,</v>
      </c>
    </row>
    <row r="187" customFormat="false" ht="15.75" hidden="false" customHeight="true" outlineLevel="0" collapsed="false">
      <c r="A187" s="22" t="str">
        <f aca="false">Data!A100</f>
        <v>KPITTECH</v>
      </c>
      <c r="B187" s="23" t="n">
        <f aca="false">Data!B100</f>
        <v>1196.6</v>
      </c>
      <c r="C187" s="22" t="n">
        <f aca="false">Data!C100</f>
        <v>1218.6</v>
      </c>
      <c r="D187" s="22" t="n">
        <f aca="false">Data!D100</f>
        <v>1192.5</v>
      </c>
      <c r="E187" s="24" t="n">
        <f aca="false">Data!E100</f>
        <v>-1.44</v>
      </c>
      <c r="F187" s="22" t="n">
        <f aca="false">Data!F100</f>
        <v>26.03</v>
      </c>
      <c r="G187" s="22" t="n">
        <f aca="false">Data!S100</f>
        <v>37.71</v>
      </c>
      <c r="H187" s="22" t="n">
        <f aca="false">Data!T130*100</f>
        <v>4.5</v>
      </c>
      <c r="I187" s="22" t="str">
        <f aca="false">IF(AND(C187=Data!G100,E187&gt;0),IF(AND(C187=Data!U100,E187&gt;0),"Buy_ 52W_H","Buy_50D_H"),IF(AND(Data!H100=D187,E187&lt;0),IF(AND(Data!V100=D187,E187&lt;0),"Sell_52W_L ","Sell_50D_L "),""))</f>
        <v/>
      </c>
      <c r="J187" s="22" t="n">
        <f aca="false">RANK(L187,L:L)</f>
        <v>186</v>
      </c>
      <c r="K187" s="22" t="str">
        <f aca="false">IF(Data!R100&gt;=B187,IF(((C187-B187)/(C187-D187))*100&gt;80,"Down"," "),IF(Data!R100&lt;=B187,IF(((B187-D187)/(C187-D187))*100&gt;80,"Up"," ")))</f>
        <v>Down</v>
      </c>
      <c r="L187" s="22" t="n">
        <f aca="false">Data!I100</f>
        <v>-76.82</v>
      </c>
      <c r="M187" s="22" t="str">
        <f aca="false">IF(AND(B187&gt;Data!P100,Data!O100&lt;Data!P100),"Buy",IF(AND(B187&lt;Data!P100,Data!O100&gt;Data!P100),"Sell",""))</f>
        <v/>
      </c>
      <c r="N187" s="22" t="n">
        <f aca="false">Data!K100/1000</f>
        <v>858.81</v>
      </c>
      <c r="O187" s="22" t="n">
        <f aca="false">Data!L100</f>
        <v>1.53</v>
      </c>
      <c r="P187" s="22" t="n">
        <f aca="false">Data!M100</f>
        <v>1164.64</v>
      </c>
      <c r="Q187" s="22" t="n">
        <f aca="false">Data!N100</f>
        <v>1227.39</v>
      </c>
      <c r="R187" s="22" t="n">
        <f aca="false">Data!J100</f>
        <v>38.52</v>
      </c>
      <c r="S187" s="22" t="str">
        <f aca="false">INDEX(Sector_div!$B$2:$B$227,MATCH(A187,Sector_div!$A$2:$A$227,0))</f>
        <v>i.t</v>
      </c>
      <c r="T187" s="26"/>
      <c r="U187" s="27" t="str">
        <f aca="false">CONCATENATE("NSE:",A187,",")</f>
        <v>NSE:KPITTECH,</v>
      </c>
    </row>
    <row r="188" customFormat="false" ht="15.75" hidden="false" customHeight="true" outlineLevel="0" collapsed="false">
      <c r="A188" s="22" t="str">
        <f aca="false">Data!A197</f>
        <v>IOC</v>
      </c>
      <c r="B188" s="23" t="n">
        <f aca="false">Data!B197</f>
        <v>139.95</v>
      </c>
      <c r="C188" s="22" t="n">
        <f aca="false">Data!C197</f>
        <v>141.8</v>
      </c>
      <c r="D188" s="22" t="n">
        <f aca="false">Data!D197</f>
        <v>139.45</v>
      </c>
      <c r="E188" s="24" t="n">
        <f aca="false">Data!E197</f>
        <v>-1.05</v>
      </c>
      <c r="F188" s="22" t="n">
        <f aca="false">Data!F197</f>
        <v>2.65</v>
      </c>
      <c r="G188" s="22" t="n">
        <f aca="false">Data!S197</f>
        <v>23.94</v>
      </c>
      <c r="H188" s="22" t="n">
        <f aca="false">Data!T28*100</f>
        <v>0.7</v>
      </c>
      <c r="I188" s="22" t="str">
        <f aca="false">IF(AND(C188=Data!G197,E188&gt;0),IF(AND(C188=Data!U197,E188&gt;0),"Buy_ 52W_H","Buy_50D_H"),IF(AND(Data!H197=D188,E188&lt;0),IF(AND(Data!V197=D188,E188&lt;0),"Sell_52W_L ","Sell_50D_L "),""))</f>
        <v/>
      </c>
      <c r="J188" s="22" t="n">
        <f aca="false">RANK(L188,L:L)</f>
        <v>187</v>
      </c>
      <c r="K188" s="22" t="str">
        <f aca="false">IF(Data!R197&gt;=B188,IF(((C188-B188)/(C188-D188))*100&gt;80,"Down"," "),IF(Data!R197&lt;=B188,IF(((B188-D188)/(C188-D188))*100&gt;80,"Up"," ")))</f>
        <v> </v>
      </c>
      <c r="L188" s="22" t="n">
        <f aca="false">Data!I197</f>
        <v>-77.72</v>
      </c>
      <c r="M188" s="22" t="str">
        <f aca="false">IF(AND(B188&gt;Data!P197,Data!O197&lt;Data!P197),"Buy",IF(AND(B188&lt;Data!P197,Data!O197&gt;Data!P197),"Sell",""))</f>
        <v/>
      </c>
      <c r="N188" s="22" t="n">
        <f aca="false">Data!K197/1000</f>
        <v>5873.798</v>
      </c>
      <c r="O188" s="22" t="n">
        <f aca="false">Data!L197</f>
        <v>0.672</v>
      </c>
      <c r="P188" s="22" t="n">
        <f aca="false">Data!M197</f>
        <v>146.08</v>
      </c>
      <c r="Q188" s="22" t="n">
        <f aca="false">Data!N197</f>
        <v>143.35</v>
      </c>
      <c r="R188" s="22" t="n">
        <f aca="false">Data!J197</f>
        <v>35.08</v>
      </c>
      <c r="S188" s="22" t="str">
        <f aca="false">INDEX(Sector_div!$B$2:$B$227,MATCH(A188,Sector_div!$A$2:$A$227,0))</f>
        <v>oil&amp;gas</v>
      </c>
      <c r="T188" s="26"/>
      <c r="U188" s="27" t="str">
        <f aca="false">CONCATENATE("NSE:",A188,",")</f>
        <v>NSE:IOC,</v>
      </c>
    </row>
    <row r="189" customFormat="false" ht="15.75" hidden="false" customHeight="true" outlineLevel="0" collapsed="false">
      <c r="A189" s="22" t="str">
        <f aca="false">Data!A200</f>
        <v>IRFC</v>
      </c>
      <c r="B189" s="23" t="n">
        <f aca="false">Data!B200</f>
        <v>124.98</v>
      </c>
      <c r="C189" s="22" t="n">
        <f aca="false">Data!C200</f>
        <v>126.2</v>
      </c>
      <c r="D189" s="22" t="n">
        <f aca="false">Data!D200</f>
        <v>124.85</v>
      </c>
      <c r="E189" s="24" t="n">
        <f aca="false">Data!E200</f>
        <v>-0.367</v>
      </c>
      <c r="F189" s="22" t="n">
        <f aca="false">Data!F200</f>
        <v>2.55</v>
      </c>
      <c r="G189" s="22" t="n">
        <f aca="false">Data!S200</f>
        <v>32.15</v>
      </c>
      <c r="H189" s="25" t="n">
        <f aca="false">Data!T109*100</f>
        <v>2.8</v>
      </c>
      <c r="I189" s="22" t="str">
        <f aca="false">IF(AND(C189=Data!G200,E189&gt;0),IF(AND(C189=Data!U200,E189&gt;0),"Buy_ 52W_H","Buy_50D_H"),IF(AND(Data!H200=D189,E189&lt;0),IF(AND(Data!V200=D189,E189&lt;0),"Sell_52W_L ","Sell_50D_L "),""))</f>
        <v/>
      </c>
      <c r="J189" s="22" t="n">
        <f aca="false">RANK(L189,L:L)</f>
        <v>188</v>
      </c>
      <c r="K189" s="22" t="str">
        <f aca="false">IF(Data!R200&gt;=B189,IF(((C189-B189)/(C189-D189))*100&gt;80,"Down"," "),IF(Data!R200&lt;=B189,IF(((B189-D189)/(C189-D189))*100&gt;80,"Up"," ")))</f>
        <v>Down</v>
      </c>
      <c r="L189" s="22" t="n">
        <f aca="false">Data!I200</f>
        <v>-78.18</v>
      </c>
      <c r="M189" s="22" t="str">
        <f aca="false">IF(AND(B189&gt;Data!P200,Data!O200&lt;Data!P200),"Buy",IF(AND(B189&lt;Data!P200,Data!O200&gt;Data!P200),"Sell",""))</f>
        <v/>
      </c>
      <c r="N189" s="22" t="n">
        <f aca="false">Data!K200/1000</f>
        <v>4941.628</v>
      </c>
      <c r="O189" s="22" t="n">
        <f aca="false">Data!L200</f>
        <v>0.453</v>
      </c>
      <c r="P189" s="22" t="n">
        <f aca="false">Data!M200</f>
        <v>130.82</v>
      </c>
      <c r="Q189" s="22" t="n">
        <f aca="false">Data!N200</f>
        <v>128.15</v>
      </c>
      <c r="R189" s="22" t="n">
        <f aca="false">Data!J200</f>
        <v>37.68</v>
      </c>
      <c r="S189" s="22" t="str">
        <f aca="false">INDEX(Sector_div!$B$2:$B$227,MATCH(A189,Sector_div!$A$2:$A$227,0))</f>
        <v>finance</v>
      </c>
      <c r="T189" s="26"/>
      <c r="U189" s="27" t="str">
        <f aca="false">CONCATENATE("NSE:",A189,",")</f>
        <v>NSE:IRFC,</v>
      </c>
    </row>
    <row r="190" customFormat="false" ht="15.75" hidden="false" customHeight="true" outlineLevel="0" collapsed="false">
      <c r="A190" s="22" t="str">
        <f aca="false">Data!A156</f>
        <v>OIL</v>
      </c>
      <c r="B190" s="23" t="n">
        <f aca="false">Data!B156</f>
        <v>409.4</v>
      </c>
      <c r="C190" s="22" t="n">
        <f aca="false">Data!C156</f>
        <v>413.75</v>
      </c>
      <c r="D190" s="22" t="n">
        <f aca="false">Data!D156</f>
        <v>407.35</v>
      </c>
      <c r="E190" s="24" t="n">
        <f aca="false">Data!E156</f>
        <v>-0.341</v>
      </c>
      <c r="F190" s="22" t="n">
        <f aca="false">Data!F156</f>
        <v>9.6</v>
      </c>
      <c r="G190" s="22" t="n">
        <f aca="false">Data!S156</f>
        <v>46.69</v>
      </c>
      <c r="H190" s="25" t="n">
        <f aca="false">Data!T23*100</f>
        <v>0.3</v>
      </c>
      <c r="I190" s="22" t="str">
        <f aca="false">IF(AND(C190=Data!G156,E190&gt;0),IF(AND(C190=Data!U156,E190&gt;0),"Buy_ 52W_H","Buy_50D_H"),IF(AND(Data!H156=D190,E190&lt;0),IF(AND(Data!V156=D190,E190&lt;0),"Sell_52W_L ","Sell_50D_L "),""))</f>
        <v/>
      </c>
      <c r="J190" s="22" t="n">
        <f aca="false">RANK(L190,L:L)</f>
        <v>189</v>
      </c>
      <c r="K190" s="22" t="str">
        <f aca="false">IF(Data!R156&gt;=B190,IF(((C190-B190)/(C190-D190))*100&gt;80,"Down"," "),IF(Data!R156&lt;=B190,IF(((B190-D190)/(C190-D190))*100&gt;80,"Up"," ")))</f>
        <v> </v>
      </c>
      <c r="L190" s="22" t="n">
        <f aca="false">Data!I156</f>
        <v>-78.33</v>
      </c>
      <c r="M190" s="22" t="str">
        <f aca="false">IF(AND(B190&gt;Data!P156,Data!O156&lt;Data!P156),"Buy",IF(AND(B190&lt;Data!P156,Data!O156&gt;Data!P156),"Sell",""))</f>
        <v/>
      </c>
      <c r="N190" s="22" t="n">
        <f aca="false">Data!K156/1000</f>
        <v>1309.428</v>
      </c>
      <c r="O190" s="22" t="n">
        <f aca="false">Data!L156</f>
        <v>0.814</v>
      </c>
      <c r="P190" s="22" t="n">
        <f aca="false">Data!M156</f>
        <v>425.15</v>
      </c>
      <c r="Q190" s="22" t="n">
        <f aca="false">Data!N156</f>
        <v>413.45</v>
      </c>
      <c r="R190" s="22" t="n">
        <f aca="false">Data!J156</f>
        <v>36.35</v>
      </c>
      <c r="S190" s="22" t="str">
        <f aca="false">INDEX(Sector_div!$B$2:$B$227,MATCH(A190,Sector_div!$A$2:$A$227,0))</f>
        <v>oil&amp;gas</v>
      </c>
      <c r="T190" s="26"/>
      <c r="U190" s="27" t="str">
        <f aca="false">CONCATENATE("NSE:",A190,",")</f>
        <v>NSE:OIL,</v>
      </c>
    </row>
    <row r="191" customFormat="false" ht="15.75" hidden="false" customHeight="true" outlineLevel="0" collapsed="false">
      <c r="A191" s="22" t="str">
        <f aca="false">Data!A212</f>
        <v>NMDC</v>
      </c>
      <c r="B191" s="23" t="n">
        <f aca="false">Data!B212</f>
        <v>70.16</v>
      </c>
      <c r="C191" s="22" t="n">
        <f aca="false">Data!C212</f>
        <v>71.5</v>
      </c>
      <c r="D191" s="22" t="n">
        <f aca="false">Data!D212</f>
        <v>70.05</v>
      </c>
      <c r="E191" s="24" t="n">
        <f aca="false">Data!E212</f>
        <v>-1.68</v>
      </c>
      <c r="F191" s="22" t="n">
        <f aca="false">Data!F212</f>
        <v>1.66</v>
      </c>
      <c r="G191" s="22" t="n">
        <f aca="false">Data!S212</f>
        <v>15.3</v>
      </c>
      <c r="H191" s="25" t="n">
        <f aca="false">Data!T15*100</f>
        <v>0.5</v>
      </c>
      <c r="I191" s="22" t="str">
        <f aca="false">IF(AND(C191=Data!G212,E191&gt;0),IF(AND(C191=Data!U212,E191&gt;0),"Buy_ 52W_H","Buy_50D_H"),IF(AND(Data!H212=D191,E191&lt;0),IF(AND(Data!V212=D191,E191&lt;0),"Sell_52W_L ","Sell_50D_L "),""))</f>
        <v/>
      </c>
      <c r="J191" s="22" t="n">
        <f aca="false">RANK(L191,L:L)</f>
        <v>190</v>
      </c>
      <c r="K191" s="22" t="str">
        <f aca="false">IF(Data!R212&gt;=B191,IF(((C191-B191)/(C191-D191))*100&gt;80,"Down"," "),IF(Data!R212&lt;=B191,IF(((B191-D191)/(C191-D191))*100&gt;80,"Up"," ")))</f>
        <v>Down</v>
      </c>
      <c r="L191" s="22" t="n">
        <f aca="false">Data!I212</f>
        <v>-83.36</v>
      </c>
      <c r="M191" s="22" t="str">
        <f aca="false">IF(AND(B191&gt;Data!P212,Data!O212&lt;Data!P212),"Buy",IF(AND(B191&lt;Data!P212,Data!O212&gt;Data!P212),"Sell",""))</f>
        <v/>
      </c>
      <c r="N191" s="22" t="n">
        <f aca="false">Data!K212/1000</f>
        <v>8184.257</v>
      </c>
      <c r="O191" s="22" t="n">
        <f aca="false">Data!L212</f>
        <v>0.551</v>
      </c>
      <c r="P191" s="22" t="n">
        <f aca="false">Data!M212</f>
        <v>73.26</v>
      </c>
      <c r="Q191" s="22" t="n">
        <f aca="false">Data!N212</f>
        <v>72.42</v>
      </c>
      <c r="R191" s="22" t="n">
        <f aca="false">Data!J212</f>
        <v>43.18</v>
      </c>
      <c r="S191" s="22" t="str">
        <f aca="false">INDEX(Sector_div!$B$2:$B$227,MATCH(A191,Sector_div!$A$2:$A$227,0))</f>
        <v>metals</v>
      </c>
      <c r="T191" s="26"/>
      <c r="U191" s="27" t="str">
        <f aca="false">CONCATENATE("NSE:",A191,",")</f>
        <v>NSE:NMDC,</v>
      </c>
    </row>
    <row r="192" customFormat="false" ht="15.75" hidden="false" customHeight="true" outlineLevel="0" collapsed="false">
      <c r="A192" s="22" t="str">
        <f aca="false">Data!A183</f>
        <v>BHEL</v>
      </c>
      <c r="B192" s="23" t="n">
        <f aca="false">Data!B183</f>
        <v>218.59</v>
      </c>
      <c r="C192" s="22" t="n">
        <f aca="false">Data!C183</f>
        <v>219.79</v>
      </c>
      <c r="D192" s="22" t="n">
        <f aca="false">Data!D183</f>
        <v>217.02</v>
      </c>
      <c r="E192" s="24" t="n">
        <f aca="false">Data!E183</f>
        <v>0.05</v>
      </c>
      <c r="F192" s="22" t="n">
        <f aca="false">Data!F183</f>
        <v>5.62</v>
      </c>
      <c r="G192" s="22" t="n">
        <f aca="false">Data!S183</f>
        <v>28.1</v>
      </c>
      <c r="H192" s="22" t="n">
        <f aca="false">Data!T150*100</f>
        <v>1.8</v>
      </c>
      <c r="I192" s="22" t="str">
        <f aca="false">IF(AND(C192=Data!G183,E192&gt;0),IF(AND(C192=Data!U183,E192&gt;0),"Buy_ 52W_H","Buy_50D_H"),IF(AND(Data!H183=D192,E192&lt;0),IF(AND(Data!V183=D192,E192&lt;0),"Sell_52W_L ","Sell_50D_L "),""))</f>
        <v/>
      </c>
      <c r="J192" s="22" t="n">
        <f aca="false">RANK(L192,L:L)</f>
        <v>191</v>
      </c>
      <c r="K192" s="22" t="str">
        <f aca="false">IF(Data!R183&gt;=B192,IF(((C192-B192)/(C192-D192))*100&gt;80,"Down"," "),IF(Data!R183&lt;=B192,IF(((B192-D192)/(C192-D192))*100&gt;80,"Up"," ")))</f>
        <v> </v>
      </c>
      <c r="L192" s="22" t="n">
        <f aca="false">Data!I183</f>
        <v>-85.53</v>
      </c>
      <c r="M192" s="22" t="str">
        <f aca="false">IF(AND(B192&gt;Data!P183,Data!O183&lt;Data!P183),"Buy",IF(AND(B192&lt;Data!P183,Data!O183&gt;Data!P183),"Sell",""))</f>
        <v/>
      </c>
      <c r="N192" s="22" t="n">
        <f aca="false">Data!K183/1000</f>
        <v>3264.568</v>
      </c>
      <c r="O192" s="22" t="n">
        <f aca="false">Data!L183</f>
        <v>0.908</v>
      </c>
      <c r="P192" s="22" t="n">
        <f aca="false">Data!M183</f>
        <v>230.21</v>
      </c>
      <c r="Q192" s="22" t="n">
        <f aca="false">Data!N183</f>
        <v>224.31</v>
      </c>
      <c r="R192" s="22" t="n">
        <f aca="false">Data!J183</f>
        <v>32.79</v>
      </c>
      <c r="S192" s="22" t="str">
        <f aca="false">INDEX(Sector_div!$B$2:$B$227,MATCH(A192,Sector_div!$A$2:$A$227,0))</f>
        <v>fmcg</v>
      </c>
      <c r="T192" s="26"/>
      <c r="U192" s="27" t="str">
        <f aca="false">CONCATENATE("NSE:",A192,",")</f>
        <v>NSE:BHEL,</v>
      </c>
    </row>
    <row r="193" customFormat="false" ht="15.75" hidden="false" customHeight="true" outlineLevel="0" collapsed="false">
      <c r="A193" s="22" t="str">
        <f aca="false">Data!A177</f>
        <v>RBLBANK</v>
      </c>
      <c r="B193" s="23" t="n">
        <f aca="false">Data!B177</f>
        <v>253.15</v>
      </c>
      <c r="C193" s="22" t="n">
        <f aca="false">Data!C177</f>
        <v>257.85</v>
      </c>
      <c r="D193" s="22" t="n">
        <f aca="false">Data!D177</f>
        <v>251.9</v>
      </c>
      <c r="E193" s="24" t="n">
        <f aca="false">Data!E177</f>
        <v>-0.394</v>
      </c>
      <c r="F193" s="22" t="n">
        <f aca="false">Data!F177</f>
        <v>7.55</v>
      </c>
      <c r="G193" s="22" t="n">
        <f aca="false">Data!S177</f>
        <v>7.23</v>
      </c>
      <c r="H193" s="25" t="n">
        <f aca="false">Data!T65*100</f>
        <v>0.8</v>
      </c>
      <c r="I193" s="22" t="str">
        <f aca="false">IF(AND(C193=Data!G177,E193&gt;0),IF(AND(C193=Data!U177,E193&gt;0),"Buy_ 52W_H","Buy_50D_H"),IF(AND(Data!H177=D193,E193&lt;0),IF(AND(Data!V177=D193,E193&lt;0),"Sell_52W_L ","Sell_50D_L "),""))</f>
        <v/>
      </c>
      <c r="J193" s="22" t="n">
        <f aca="false">RANK(L193,L:L)</f>
        <v>192</v>
      </c>
      <c r="K193" s="22" t="str">
        <f aca="false">IF(Data!R177&gt;=B193,IF(((C193-B193)/(C193-D193))*100&gt;80,"Down"," "),IF(Data!R177&lt;=B193,IF(((B193-D193)/(C193-D193))*100&gt;80,"Up"," ")))</f>
        <v> </v>
      </c>
      <c r="L193" s="22" t="n">
        <f aca="false">Data!I177</f>
        <v>-86.06</v>
      </c>
      <c r="M193" s="22" t="str">
        <f aca="false">IF(AND(B193&gt;Data!P177,Data!O177&lt;Data!P177),"Buy",IF(AND(B193&lt;Data!P177,Data!O177&gt;Data!P177),"Sell",""))</f>
        <v/>
      </c>
      <c r="N193" s="22" t="n">
        <f aca="false">Data!K177/1000</f>
        <v>4286.417</v>
      </c>
      <c r="O193" s="22" t="n">
        <f aca="false">Data!L177</f>
        <v>1.01</v>
      </c>
      <c r="P193" s="22" t="n">
        <f aca="false">Data!M177</f>
        <v>250.97</v>
      </c>
      <c r="Q193" s="22" t="n">
        <f aca="false">Data!N177</f>
        <v>262.53</v>
      </c>
      <c r="R193" s="22" t="n">
        <f aca="false">Data!J177</f>
        <v>40.47</v>
      </c>
      <c r="S193" s="22" t="str">
        <f aca="false">INDEX(Sector_div!$B$2:$B$227,MATCH(A193,Sector_div!$A$2:$A$227,0))</f>
        <v>bank</v>
      </c>
      <c r="T193" s="26"/>
      <c r="U193" s="27" t="str">
        <f aca="false">CONCATENATE("NSE:",A193,",")</f>
        <v>NSE:RBLBANK,</v>
      </c>
    </row>
    <row r="194" customFormat="false" ht="15.75" hidden="false" customHeight="true" outlineLevel="0" collapsed="false">
      <c r="A194" s="22" t="str">
        <f aca="false">Data!A147</f>
        <v>KALYANKJIL</v>
      </c>
      <c r="B194" s="23" t="n">
        <f aca="false">Data!B147</f>
        <v>511.15</v>
      </c>
      <c r="C194" s="22" t="n">
        <f aca="false">Data!C147</f>
        <v>515.4</v>
      </c>
      <c r="D194" s="22" t="n">
        <f aca="false">Data!D147</f>
        <v>508.55</v>
      </c>
      <c r="E194" s="24" t="n">
        <f aca="false">Data!E147</f>
        <v>0.029</v>
      </c>
      <c r="F194" s="22" t="n">
        <f aca="false">Data!F147</f>
        <v>18.79</v>
      </c>
      <c r="G194" s="22" t="n">
        <f aca="false">Data!S147</f>
        <v>35.74</v>
      </c>
      <c r="H194" s="22" t="n">
        <f aca="false">Data!T90*100</f>
        <v>2</v>
      </c>
      <c r="I194" s="22" t="str">
        <f aca="false">IF(AND(C194=Data!G147,E194&gt;0),IF(AND(C194=Data!U147,E194&gt;0),"Buy_ 52W_H","Buy_50D_H"),IF(AND(Data!H147=D194,E194&lt;0),IF(AND(Data!V147=D194,E194&lt;0),"Sell_52W_L ","Sell_50D_L "),""))</f>
        <v/>
      </c>
      <c r="J194" s="22" t="n">
        <f aca="false">RANK(L194,L:L)</f>
        <v>193</v>
      </c>
      <c r="K194" s="22" t="str">
        <f aca="false">IF(Data!R147&gt;=B194,IF(((C194-B194)/(C194-D194))*100&gt;80,"Down"," "),IF(Data!R147&lt;=B194,IF(((B194-D194)/(C194-D194))*100&gt;80,"Up"," ")))</f>
        <v> </v>
      </c>
      <c r="L194" s="22" t="n">
        <f aca="false">Data!I147</f>
        <v>-88.65</v>
      </c>
      <c r="M194" s="22" t="str">
        <f aca="false">IF(AND(B194&gt;Data!P147,Data!O147&lt;Data!P147),"Buy",IF(AND(B194&lt;Data!P147,Data!O147&gt;Data!P147),"Sell",""))</f>
        <v/>
      </c>
      <c r="N194" s="22" t="n">
        <f aca="false">Data!K147/1000</f>
        <v>3661.777</v>
      </c>
      <c r="O194" s="22" t="n">
        <f aca="false">Data!L147</f>
        <v>1.01</v>
      </c>
      <c r="P194" s="22" t="n">
        <f aca="false">Data!M147</f>
        <v>550.93</v>
      </c>
      <c r="Q194" s="22" t="n">
        <f aca="false">Data!N147</f>
        <v>531.45</v>
      </c>
      <c r="R194" s="22" t="n">
        <f aca="false">Data!J147</f>
        <v>29.8</v>
      </c>
      <c r="S194" s="22" t="str">
        <f aca="false">INDEX(Sector_div!$B$2:$B$227,MATCH(A194,Sector_div!$A$2:$A$227,0))</f>
        <v>miscellaneous</v>
      </c>
      <c r="T194" s="26"/>
      <c r="U194" s="27" t="str">
        <f aca="false">CONCATENATE("NSE:",A194,",")</f>
        <v>NSE:KALYANKJIL,</v>
      </c>
    </row>
    <row r="195" customFormat="false" ht="15.75" hidden="false" customHeight="true" outlineLevel="0" collapsed="false">
      <c r="A195" s="22" t="str">
        <f aca="false">Data!A108</f>
        <v>AUROPHARMA</v>
      </c>
      <c r="B195" s="23" t="n">
        <f aca="false">Data!B108</f>
        <v>1050.4</v>
      </c>
      <c r="C195" s="22" t="n">
        <f aca="false">Data!C108</f>
        <v>1056.6</v>
      </c>
      <c r="D195" s="22" t="n">
        <f aca="false">Data!D108</f>
        <v>1036.5</v>
      </c>
      <c r="E195" s="24" t="n">
        <f aca="false">Data!E108</f>
        <v>0.903</v>
      </c>
      <c r="F195" s="22" t="n">
        <f aca="false">Data!F108</f>
        <v>28.6</v>
      </c>
      <c r="G195" s="22" t="n">
        <f aca="false">Data!S108</f>
        <v>34.02</v>
      </c>
      <c r="H195" s="22" t="n">
        <f aca="false">Data!T114*100</f>
        <v>3.2</v>
      </c>
      <c r="I195" s="22" t="str">
        <f aca="false">IF(AND(C195=Data!G108,E195&gt;0),IF(AND(C195=Data!U108,E195&gt;0),"Buy_ 52W_H","Buy_50D_H"),IF(AND(Data!H108=D195,E195&lt;0),IF(AND(Data!V108=D195,E195&lt;0),"Sell_52W_L ","Sell_50D_L "),""))</f>
        <v/>
      </c>
      <c r="J195" s="22" t="n">
        <f aca="false">RANK(L195,L:L)</f>
        <v>194</v>
      </c>
      <c r="K195" s="22" t="str">
        <f aca="false">IF(Data!R108&gt;=B195,IF(((C195-B195)/(C195-D195))*100&gt;80,"Down"," "),IF(Data!R108&lt;=B195,IF(((B195-D195)/(C195-D195))*100&gt;80,"Up"," ")))</f>
        <v> </v>
      </c>
      <c r="L195" s="22" t="n">
        <f aca="false">Data!I108</f>
        <v>-93.94</v>
      </c>
      <c r="M195" s="22" t="str">
        <f aca="false">IF(AND(B195&gt;Data!P108,Data!O108&lt;Data!P108),"Buy",IF(AND(B195&lt;Data!P108,Data!O108&gt;Data!P108),"Sell",""))</f>
        <v/>
      </c>
      <c r="N195" s="22" t="n">
        <f aca="false">Data!K108/1000</f>
        <v>1872.844</v>
      </c>
      <c r="O195" s="22" t="n">
        <f aca="false">Data!L108</f>
        <v>1.23</v>
      </c>
      <c r="P195" s="22" t="n">
        <f aca="false">Data!M108</f>
        <v>1103.15</v>
      </c>
      <c r="Q195" s="22" t="n">
        <f aca="false">Data!N108</f>
        <v>1073.35</v>
      </c>
      <c r="R195" s="22" t="n">
        <f aca="false">Data!J108</f>
        <v>36.92</v>
      </c>
      <c r="S195" s="22" t="str">
        <f aca="false">INDEX(Sector_div!$B$2:$B$227,MATCH(A195,Sector_div!$A$2:$A$227,0))</f>
        <v>Pharma&amp;Healthcare</v>
      </c>
      <c r="T195" s="26"/>
      <c r="U195" s="27" t="str">
        <f aca="false">CONCATENATE("NSE:",A195,",")</f>
        <v>NSE:AUROPHARMA,</v>
      </c>
    </row>
    <row r="196" customFormat="false" ht="15.75" hidden="false" customHeight="true" outlineLevel="0" collapsed="false">
      <c r="A196" s="22" t="str">
        <f aca="false">Data!A163</f>
        <v>COALINDIA</v>
      </c>
      <c r="B196" s="23" t="n">
        <f aca="false">Data!B163</f>
        <v>374.45</v>
      </c>
      <c r="C196" s="22" t="n">
        <f aca="false">Data!C163</f>
        <v>379</v>
      </c>
      <c r="D196" s="22" t="n">
        <f aca="false">Data!D163</f>
        <v>374.05</v>
      </c>
      <c r="E196" s="24" t="n">
        <f aca="false">Data!E163</f>
        <v>-0.978</v>
      </c>
      <c r="F196" s="22" t="n">
        <f aca="false">Data!F163</f>
        <v>5.27</v>
      </c>
      <c r="G196" s="22" t="n">
        <f aca="false">Data!S163</f>
        <v>31.11</v>
      </c>
      <c r="H196" s="22" t="n">
        <f aca="false">Data!T148*100</f>
        <v>3.8</v>
      </c>
      <c r="I196" s="22" t="str">
        <f aca="false">IF(AND(C196=Data!G163,E196&gt;0),IF(AND(C196=Data!U163,E196&gt;0),"Buy_ 52W_H","Buy_50D_H"),IF(AND(Data!H163=D196,E196&lt;0),IF(AND(Data!V163=D196,E196&lt;0),"Sell_52W_L ","Sell_50D_L "),""))</f>
        <v/>
      </c>
      <c r="J196" s="22" t="n">
        <f aca="false">RANK(L196,L:L)</f>
        <v>195</v>
      </c>
      <c r="K196" s="22" t="str">
        <f aca="false">IF(Data!R163&gt;=B196,IF(((C196-B196)/(C196-D196))*100&gt;80,"Down"," "),IF(Data!R163&lt;=B196,IF(((B196-D196)/(C196-D196))*100&gt;80,"Up"," ")))</f>
        <v>Down</v>
      </c>
      <c r="L196" s="22" t="n">
        <f aca="false">Data!I163</f>
        <v>-95.5</v>
      </c>
      <c r="M196" s="22" t="str">
        <f aca="false">IF(AND(B196&gt;Data!P163,Data!O163&lt;Data!P163),"Buy",IF(AND(B196&lt;Data!P163,Data!O163&gt;Data!P163),"Sell",""))</f>
        <v>Sell</v>
      </c>
      <c r="N196" s="22" t="n">
        <f aca="false">Data!K163/1000</f>
        <v>4699.151</v>
      </c>
      <c r="O196" s="22" t="n">
        <f aca="false">Data!L163</f>
        <v>0.756</v>
      </c>
      <c r="P196" s="22" t="n">
        <f aca="false">Data!M163</f>
        <v>387.24</v>
      </c>
      <c r="Q196" s="22" t="n">
        <f aca="false">Data!N163</f>
        <v>381.88</v>
      </c>
      <c r="R196" s="22" t="n">
        <f aca="false">Data!J163</f>
        <v>30.19</v>
      </c>
      <c r="S196" s="22" t="str">
        <f aca="false">INDEX(Sector_div!$B$2:$B$227,MATCH(A196,Sector_div!$A$2:$A$227,0))</f>
        <v>industrials</v>
      </c>
      <c r="T196" s="26"/>
      <c r="U196" s="27" t="str">
        <f aca="false">CONCATENATE("NSE:",A196,",")</f>
        <v>NSE:COALINDIA,</v>
      </c>
    </row>
    <row r="197" customFormat="false" ht="15.75" hidden="false" customHeight="true" outlineLevel="0" collapsed="false">
      <c r="A197" s="22" t="str">
        <f aca="false">Data!A168</f>
        <v>RVNL</v>
      </c>
      <c r="B197" s="23" t="n">
        <f aca="false">Data!B168</f>
        <v>323.75</v>
      </c>
      <c r="C197" s="22" t="n">
        <f aca="false">Data!C168</f>
        <v>327.8</v>
      </c>
      <c r="D197" s="22" t="n">
        <f aca="false">Data!D168</f>
        <v>323.1</v>
      </c>
      <c r="E197" s="24" t="n">
        <f aca="false">Data!E168</f>
        <v>-1.49</v>
      </c>
      <c r="F197" s="22" t="n">
        <f aca="false">Data!F168</f>
        <v>9.77</v>
      </c>
      <c r="G197" s="22" t="n">
        <f aca="false">Data!S168</f>
        <v>47.74</v>
      </c>
      <c r="H197" s="22" t="n">
        <f aca="false">Data!T158*100</f>
        <v>2.7</v>
      </c>
      <c r="I197" s="22" t="str">
        <f aca="false">IF(AND(C197=Data!G168,E197&gt;0),IF(AND(C197=Data!U168,E197&gt;0),"Buy_ 52W_H","Buy_50D_H"),IF(AND(Data!H168=D197,E197&lt;0),IF(AND(Data!V168=D197,E197&lt;0),"Sell_52W_L ","Sell_50D_L "),""))</f>
        <v/>
      </c>
      <c r="J197" s="22" t="n">
        <f aca="false">RANK(L197,L:L)</f>
        <v>196</v>
      </c>
      <c r="K197" s="22" t="str">
        <f aca="false">IF(Data!R168&gt;=B197,IF(((C197-B197)/(C197-D197))*100&gt;80,"Down"," "),IF(Data!R168&lt;=B197,IF(((B197-D197)/(C197-D197))*100&gt;80,"Up"," ")))</f>
        <v>Down</v>
      </c>
      <c r="L197" s="22" t="n">
        <f aca="false">Data!I168</f>
        <v>-96.07</v>
      </c>
      <c r="M197" s="22" t="str">
        <f aca="false">IF(AND(B197&gt;Data!P168,Data!O168&lt;Data!P168),"Buy",IF(AND(B197&lt;Data!P168,Data!O168&gt;Data!P168),"Sell",""))</f>
        <v/>
      </c>
      <c r="N197" s="22" t="n">
        <f aca="false">Data!K168/1000</f>
        <v>3877.012</v>
      </c>
      <c r="O197" s="22" t="n">
        <f aca="false">Data!L168</f>
        <v>0.711</v>
      </c>
      <c r="P197" s="22" t="n">
        <f aca="false">Data!M168</f>
        <v>345.35</v>
      </c>
      <c r="Q197" s="22" t="n">
        <f aca="false">Data!N168</f>
        <v>335.4</v>
      </c>
      <c r="R197" s="22" t="n">
        <f aca="false">Data!J168</f>
        <v>28.69</v>
      </c>
      <c r="S197" s="22" t="e">
        <f aca="false">INDEX(Sector_div!$B$2:$B$227,MATCH(A197,Sector_div!$A$2:$A$227,0))</f>
        <v>#N/A</v>
      </c>
      <c r="T197" s="26"/>
      <c r="U197" s="27" t="str">
        <f aca="false">CONCATENATE("NSE:",A197,",")</f>
        <v>NSE:RVNL,</v>
      </c>
    </row>
    <row r="198" customFormat="false" ht="15.75" hidden="false" customHeight="true" outlineLevel="0" collapsed="false">
      <c r="A198" s="22" t="str">
        <f aca="false">Data!A141</f>
        <v>AMBUJACEM</v>
      </c>
      <c r="B198" s="23" t="n">
        <f aca="false">Data!B141</f>
        <v>577.15</v>
      </c>
      <c r="C198" s="22" t="n">
        <f aca="false">Data!C141</f>
        <v>590</v>
      </c>
      <c r="D198" s="22" t="n">
        <f aca="false">Data!D141</f>
        <v>576</v>
      </c>
      <c r="E198" s="24" t="n">
        <f aca="false">Data!E141</f>
        <v>-1.97</v>
      </c>
      <c r="F198" s="22" t="n">
        <f aca="false">Data!F141</f>
        <v>12.76</v>
      </c>
      <c r="G198" s="22" t="n">
        <f aca="false">Data!S141</f>
        <v>10.28</v>
      </c>
      <c r="H198" s="22" t="n">
        <f aca="false">Data!T14*100</f>
        <v>0.5</v>
      </c>
      <c r="I198" s="22" t="str">
        <f aca="false">IF(AND(C198=Data!G141,E198&gt;0),IF(AND(C198=Data!U141,E198&gt;0),"Buy_ 52W_H","Buy_50D_H"),IF(AND(Data!H141=D198,E198&lt;0),IF(AND(Data!V141=D198,E198&lt;0),"Sell_52W_L ","Sell_50D_L "),""))</f>
        <v/>
      </c>
      <c r="J198" s="22" t="n">
        <f aca="false">RANK(L198,L:L)</f>
        <v>197</v>
      </c>
      <c r="K198" s="22" t="str">
        <f aca="false">IF(Data!R141&gt;=B198,IF(((C198-B198)/(C198-D198))*100&gt;80,"Down"," "),IF(Data!R141&lt;=B198,IF(((B198-D198)/(C198-D198))*100&gt;80,"Up"," ")))</f>
        <v>Down</v>
      </c>
      <c r="L198" s="22" t="n">
        <f aca="false">Data!I141</f>
        <v>-99.18</v>
      </c>
      <c r="M198" s="22" t="str">
        <f aca="false">IF(AND(B198&gt;Data!P141,Data!O141&lt;Data!P141),"Buy",IF(AND(B198&lt;Data!P141,Data!O141&gt;Data!P141),"Sell",""))</f>
        <v/>
      </c>
      <c r="N198" s="22" t="n">
        <f aca="false">Data!K141/1000</f>
        <v>1670.888</v>
      </c>
      <c r="O198" s="22" t="n">
        <f aca="false">Data!L141</f>
        <v>1.08</v>
      </c>
      <c r="P198" s="22" t="n">
        <f aca="false">Data!M141</f>
        <v>605.16</v>
      </c>
      <c r="Q198" s="22" t="n">
        <f aca="false">Data!N141</f>
        <v>595.95</v>
      </c>
      <c r="R198" s="22" t="n">
        <f aca="false">Data!J141</f>
        <v>33.9</v>
      </c>
      <c r="S198" s="22" t="str">
        <f aca="false">INDEX(Sector_div!$B$2:$B$227,MATCH(A198,Sector_div!$A$2:$A$227,0))</f>
        <v>cement</v>
      </c>
      <c r="T198" s="26"/>
      <c r="U198" s="27" t="str">
        <f aca="false">CONCATENATE("NSE:",A198,",")</f>
        <v>NSE:AMBUJACEM,</v>
      </c>
    </row>
    <row r="199" customFormat="false" ht="15.75" hidden="false" customHeight="true" outlineLevel="0" collapsed="false">
      <c r="A199" s="22" t="str">
        <f aca="false">Data!A81</f>
        <v>BDL</v>
      </c>
      <c r="B199" s="23" t="n">
        <f aca="false">Data!B81</f>
        <v>1517.6</v>
      </c>
      <c r="C199" s="22" t="n">
        <f aca="false">Data!C81</f>
        <v>1537.1</v>
      </c>
      <c r="D199" s="22" t="n">
        <f aca="false">Data!D81</f>
        <v>1505.8</v>
      </c>
      <c r="E199" s="24" t="n">
        <f aca="false">Data!E81</f>
        <v>-0.151</v>
      </c>
      <c r="F199" s="22" t="n">
        <f aca="false">Data!F81</f>
        <v>52.34</v>
      </c>
      <c r="G199" s="22" t="n">
        <f aca="false">Data!S81</f>
        <v>27.62</v>
      </c>
      <c r="H199" s="22" t="n">
        <f aca="false">Data!T182*100</f>
        <v>20.5</v>
      </c>
      <c r="I199" s="22" t="str">
        <f aca="false">IF(AND(C199=Data!G81,E199&gt;0),IF(AND(C199=Data!U81,E199&gt;0),"Buy_ 52W_H","Buy_50D_H"),IF(AND(Data!H81=D199,E199&lt;0),IF(AND(Data!V81=D199,E199&lt;0),"Sell_52W_L ","Sell_50D_L "),""))</f>
        <v/>
      </c>
      <c r="J199" s="22" t="n">
        <f aca="false">RANK(L199,L:L)</f>
        <v>198</v>
      </c>
      <c r="K199" s="22" t="str">
        <f aca="false">IF(Data!R81&gt;=B199,IF(((C199-B199)/(C199-D199))*100&gt;80,"Down"," "),IF(Data!R81&lt;=B199,IF(((B199-D199)/(C199-D199))*100&gt;80,"Up"," ")))</f>
        <v> </v>
      </c>
      <c r="L199" s="22" t="n">
        <f aca="false">Data!I81</f>
        <v>-101.9</v>
      </c>
      <c r="M199" s="22" t="str">
        <f aca="false">IF(AND(B199&gt;Data!P81,Data!O81&lt;Data!P81),"Buy",IF(AND(B199&lt;Data!P81,Data!O81&gt;Data!P81),"Sell",""))</f>
        <v/>
      </c>
      <c r="N199" s="22" t="n">
        <f aca="false">Data!K81/1000</f>
        <v>911.682</v>
      </c>
      <c r="O199" s="22" t="n">
        <f aca="false">Data!L81</f>
        <v>0.623</v>
      </c>
      <c r="P199" s="22" t="n">
        <f aca="false">Data!M81</f>
        <v>1487.23</v>
      </c>
      <c r="Q199" s="22" t="n">
        <f aca="false">Data!N81</f>
        <v>1575.04</v>
      </c>
      <c r="R199" s="22" t="n">
        <f aca="false">Data!J81</f>
        <v>36.67</v>
      </c>
      <c r="S199" s="22" t="e">
        <f aca="false">INDEX(Sector_div!$B$2:$B$227,MATCH(A199,Sector_div!$A$2:$A$227,0))</f>
        <v>#N/A</v>
      </c>
      <c r="T199" s="26"/>
      <c r="U199" s="27" t="str">
        <f aca="false">CONCATENATE("NSE:",A199,",")</f>
        <v>NSE:BDL,</v>
      </c>
    </row>
    <row r="200" customFormat="false" ht="15.75" hidden="false" customHeight="true" outlineLevel="0" collapsed="false">
      <c r="A200" s="22" t="str">
        <f aca="false">Data!A21</f>
        <v>TATAELXSI</v>
      </c>
      <c r="B200" s="23" t="n">
        <f aca="false">Data!B21</f>
        <v>5579.5</v>
      </c>
      <c r="C200" s="22" t="n">
        <f aca="false">Data!C21</f>
        <v>5659</v>
      </c>
      <c r="D200" s="22" t="n">
        <f aca="false">Data!D21</f>
        <v>5555.5</v>
      </c>
      <c r="E200" s="24" t="n">
        <f aca="false">Data!E21</f>
        <v>-1.4</v>
      </c>
      <c r="F200" s="22" t="n">
        <f aca="false">Data!F21</f>
        <v>124.24</v>
      </c>
      <c r="G200" s="22" t="n">
        <f aca="false">Data!S21</f>
        <v>38.55</v>
      </c>
      <c r="H200" s="22" t="n">
        <f aca="false">Data!T122*100</f>
        <v>2.4</v>
      </c>
      <c r="I200" s="22" t="str">
        <f aca="false">IF(AND(C200=Data!G21,E200&gt;0),IF(AND(C200=Data!U21,E200&gt;0),"Buy_ 52W_H","Buy_50D_H"),IF(AND(Data!H21=D200,E200&lt;0),IF(AND(Data!V21=D200,E200&lt;0),"Sell_52W_L ","Sell_50D_L "),""))</f>
        <v>Sell_50D_L </v>
      </c>
      <c r="J200" s="22" t="n">
        <f aca="false">RANK(L200,L:L)</f>
        <v>199</v>
      </c>
      <c r="K200" s="22" t="str">
        <f aca="false">IF(Data!R21&gt;=B200,IF(((C200-B200)/(C200-D200))*100&gt;80,"Down"," "),IF(Data!R21&lt;=B200,IF(((B200-D200)/(C200-D200))*100&gt;80,"Up"," ")))</f>
        <v> </v>
      </c>
      <c r="L200" s="22" t="n">
        <f aca="false">Data!I21</f>
        <v>-105.68</v>
      </c>
      <c r="M200" s="22" t="str">
        <f aca="false">IF(AND(B200&gt;Data!P21,Data!O21&lt;Data!P21),"Buy",IF(AND(B200&lt;Data!P21,Data!O21&gt;Data!P21),"Sell",""))</f>
        <v/>
      </c>
      <c r="N200" s="22" t="n">
        <f aca="false">Data!K21/1000</f>
        <v>163.525</v>
      </c>
      <c r="O200" s="22" t="n">
        <f aca="false">Data!L21</f>
        <v>1.31</v>
      </c>
      <c r="P200" s="22" t="n">
        <f aca="false">Data!M21</f>
        <v>5858.87</v>
      </c>
      <c r="Q200" s="22" t="n">
        <f aca="false">Data!N21</f>
        <v>5733.06</v>
      </c>
      <c r="R200" s="22" t="n">
        <f aca="false">Data!J21</f>
        <v>24.45</v>
      </c>
      <c r="S200" s="22" t="str">
        <f aca="false">INDEX(Sector_div!$B$2:$B$227,MATCH(A200,Sector_div!$A$2:$A$227,0))</f>
        <v>i.t</v>
      </c>
      <c r="T200" s="26"/>
      <c r="U200" s="27" t="str">
        <f aca="false">CONCATENATE("NSE:",A200,",")</f>
        <v>NSE:TATAELXSI,</v>
      </c>
    </row>
    <row r="201" customFormat="false" ht="15.75" hidden="false" customHeight="true" outlineLevel="0" collapsed="false">
      <c r="A201" s="22" t="str">
        <f aca="false">Data!A160</f>
        <v>HINDPETRO</v>
      </c>
      <c r="B201" s="23" t="n">
        <f aca="false">Data!B160</f>
        <v>390.75</v>
      </c>
      <c r="C201" s="22" t="n">
        <f aca="false">Data!C160</f>
        <v>393.45</v>
      </c>
      <c r="D201" s="22" t="n">
        <f aca="false">Data!D160</f>
        <v>387.7</v>
      </c>
      <c r="E201" s="24" t="n">
        <f aca="false">Data!E160</f>
        <v>-0.611</v>
      </c>
      <c r="F201" s="22" t="n">
        <f aca="false">Data!F160</f>
        <v>10.07</v>
      </c>
      <c r="G201" s="22" t="n">
        <f aca="false">Data!S160</f>
        <v>14.52</v>
      </c>
      <c r="H201" s="25" t="n">
        <f aca="false">Data!T105*100</f>
        <v>2.6</v>
      </c>
      <c r="I201" s="22" t="str">
        <f aca="false">IF(AND(C201=Data!G160,E201&gt;0),IF(AND(C201=Data!U160,E201&gt;0),"Buy_ 52W_H","Buy_50D_H"),IF(AND(Data!H160=D201,E201&lt;0),IF(AND(Data!V160=D201,E201&lt;0),"Sell_52W_L ","Sell_50D_L "),""))</f>
        <v/>
      </c>
      <c r="J201" s="22" t="n">
        <f aca="false">RANK(L201,L:L)</f>
        <v>200</v>
      </c>
      <c r="K201" s="22" t="str">
        <f aca="false">IF(Data!R160&gt;=B201,IF(((C201-B201)/(C201-D201))*100&gt;80,"Down"," "),IF(Data!R160&lt;=B201,IF(((B201-D201)/(C201-D201))*100&gt;80,"Up"," ")))</f>
        <v> </v>
      </c>
      <c r="L201" s="22" t="n">
        <f aca="false">Data!I160</f>
        <v>-105.83</v>
      </c>
      <c r="M201" s="22" t="str">
        <f aca="false">IF(AND(B201&gt;Data!P160,Data!O160&lt;Data!P160),"Buy",IF(AND(B201&lt;Data!P160,Data!O160&gt;Data!P160),"Sell",""))</f>
        <v/>
      </c>
      <c r="N201" s="22" t="n">
        <f aca="false">Data!K160/1000</f>
        <v>2627.075</v>
      </c>
      <c r="O201" s="22" t="n">
        <f aca="false">Data!L160</f>
        <v>1.25</v>
      </c>
      <c r="P201" s="22" t="n">
        <f aca="false">Data!M160</f>
        <v>411.53</v>
      </c>
      <c r="Q201" s="22" t="n">
        <f aca="false">Data!N160</f>
        <v>401.05</v>
      </c>
      <c r="R201" s="22" t="n">
        <f aca="false">Data!J160</f>
        <v>34.92</v>
      </c>
      <c r="S201" s="22" t="str">
        <f aca="false">INDEX(Sector_div!$B$2:$B$227,MATCH(A201,Sector_div!$A$2:$A$227,0))</f>
        <v>oil&amp;gas</v>
      </c>
      <c r="T201" s="26"/>
      <c r="U201" s="27" t="str">
        <f aca="false">CONCATENATE("NSE:",A201,",")</f>
        <v>NSE:HINDPETRO,</v>
      </c>
    </row>
    <row r="202" customFormat="false" ht="15.75" hidden="false" customHeight="true" outlineLevel="0" collapsed="false">
      <c r="A202" s="22" t="str">
        <f aca="false">Data!A146</f>
        <v>JSWENERGY</v>
      </c>
      <c r="B202" s="23" t="n">
        <f aca="false">Data!B146</f>
        <v>517.9</v>
      </c>
      <c r="C202" s="22" t="n">
        <f aca="false">Data!C146</f>
        <v>522.6</v>
      </c>
      <c r="D202" s="22" t="n">
        <f aca="false">Data!D146</f>
        <v>513.3</v>
      </c>
      <c r="E202" s="24" t="n">
        <f aca="false">Data!E146</f>
        <v>-0.652</v>
      </c>
      <c r="F202" s="22" t="n">
        <f aca="false">Data!F146</f>
        <v>11.72</v>
      </c>
      <c r="G202" s="22" t="n">
        <f aca="false">Data!S146</f>
        <v>35.66</v>
      </c>
      <c r="H202" s="25" t="n">
        <f aca="false">Data!T41*100</f>
        <v>0.7</v>
      </c>
      <c r="I202" s="22" t="str">
        <f aca="false">IF(AND(C202=Data!G146,E202&gt;0),IF(AND(C202=Data!U146,E202&gt;0),"Buy_ 52W_H","Buy_50D_H"),IF(AND(Data!H146=D202,E202&lt;0),IF(AND(Data!V146=D202,E202&lt;0),"Sell_52W_L ","Sell_50D_L "),""))</f>
        <v/>
      </c>
      <c r="J202" s="22" t="n">
        <f aca="false">RANK(L202,L:L)</f>
        <v>201</v>
      </c>
      <c r="K202" s="22" t="str">
        <f aca="false">IF(Data!R146&gt;=B202,IF(((C202-B202)/(C202-D202))*100&gt;80,"Down"," "),IF(Data!R146&lt;=B202,IF(((B202-D202)/(C202-D202))*100&gt;80,"Up"," ")))</f>
        <v> </v>
      </c>
      <c r="L202" s="22" t="n">
        <f aca="false">Data!I146</f>
        <v>-109</v>
      </c>
      <c r="M202" s="22" t="str">
        <f aca="false">IF(AND(B202&gt;Data!P146,Data!O146&lt;Data!P146),"Buy",IF(AND(B202&lt;Data!P146,Data!O146&gt;Data!P146),"Sell",""))</f>
        <v/>
      </c>
      <c r="N202" s="22" t="n">
        <f aca="false">Data!K146/1000</f>
        <v>2099.224</v>
      </c>
      <c r="O202" s="22" t="n">
        <f aca="false">Data!L146</f>
        <v>0.809</v>
      </c>
      <c r="P202" s="22" t="n">
        <f aca="false">Data!M146</f>
        <v>512.06</v>
      </c>
      <c r="Q202" s="22" t="n">
        <f aca="false">Data!N146</f>
        <v>530.22</v>
      </c>
      <c r="R202" s="22" t="n">
        <f aca="false">Data!J146</f>
        <v>34.44</v>
      </c>
      <c r="S202" s="22" t="str">
        <f aca="false">INDEX(Sector_div!$B$2:$B$227,MATCH(A202,Sector_div!$A$2:$A$227,0))</f>
        <v>power</v>
      </c>
      <c r="T202" s="26"/>
      <c r="U202" s="27" t="str">
        <f aca="false">CONCATENATE("NSE:",A202,",")</f>
        <v>NSE:JSWENERGY,</v>
      </c>
    </row>
    <row r="203" customFormat="false" ht="15.75" hidden="false" customHeight="true" outlineLevel="0" collapsed="false">
      <c r="A203" s="22" t="str">
        <f aca="false">Data!A62</f>
        <v>HDFCBANK</v>
      </c>
      <c r="B203" s="23" t="n">
        <f aca="false">Data!B62</f>
        <v>1964.6</v>
      </c>
      <c r="C203" s="22" t="n">
        <f aca="false">Data!C62</f>
        <v>1996</v>
      </c>
      <c r="D203" s="22" t="n">
        <f aca="false">Data!D62</f>
        <v>1957.1</v>
      </c>
      <c r="E203" s="24" t="n">
        <f aca="false">Data!E62</f>
        <v>-1.34</v>
      </c>
      <c r="F203" s="22" t="n">
        <f aca="false">Data!F62</f>
        <v>24.71</v>
      </c>
      <c r="G203" s="22" t="n">
        <f aca="false">Data!S62</f>
        <v>3.59</v>
      </c>
      <c r="I203" s="22" t="str">
        <f aca="false">IF(AND(C203=Data!G62,E203&gt;0),IF(AND(C203=Data!U62,E203&gt;0),"Buy_ 52W_H","Buy_50D_H"),IF(AND(Data!H62=D203,E203&lt;0),IF(AND(Data!V62=D203,E203&lt;0),"Sell_52W_L ","Sell_50D_L "),""))</f>
        <v/>
      </c>
      <c r="J203" s="22" t="n">
        <f aca="false">RANK(L203,L:L)</f>
        <v>202</v>
      </c>
      <c r="K203" s="22" t="str">
        <f aca="false">IF(Data!R62&gt;=B203,IF(((C203-B203)/(C203-D203))*100&gt;80,"Down"," "),IF(Data!R62&lt;=B203,IF(((B203-D203)/(C203-D203))*100&gt;80,"Up"," ")))</f>
        <v>Down</v>
      </c>
      <c r="L203" s="22" t="n">
        <f aca="false">Data!I62</f>
        <v>-111.49</v>
      </c>
      <c r="M203" s="22" t="str">
        <f aca="false">IF(AND(B203&gt;Data!P62,Data!O62&lt;Data!P62),"Buy",IF(AND(B203&lt;Data!P62,Data!O62&gt;Data!P62),"Sell",""))</f>
        <v/>
      </c>
      <c r="N203" s="22" t="n">
        <f aca="false">Data!K62/1000</f>
        <v>9916.715</v>
      </c>
      <c r="O203" s="22" t="n">
        <f aca="false">Data!L62</f>
        <v>1.59</v>
      </c>
      <c r="P203" s="22" t="n">
        <f aca="false">Data!M62</f>
        <v>2026.06</v>
      </c>
      <c r="Q203" s="22" t="n">
        <f aca="false">Data!N62</f>
        <v>2001.31</v>
      </c>
      <c r="R203" s="22" t="n">
        <f aca="false">Data!J62</f>
        <v>35.43</v>
      </c>
      <c r="S203" s="22" t="str">
        <f aca="false">INDEX(Sector_div!$B$2:$B$227,MATCH(A203,Sector_div!$A$2:$A$227,0))</f>
        <v>bank</v>
      </c>
      <c r="T203" s="26"/>
      <c r="U203" s="27" t="str">
        <f aca="false">CONCATENATE("NSE:",A203,",")</f>
        <v>NSE:HDFCBANK,</v>
      </c>
    </row>
    <row r="204" customFormat="false" ht="15.75" hidden="false" customHeight="true" outlineLevel="0" collapsed="false">
      <c r="A204" s="22" t="str">
        <f aca="false">Data!A215</f>
        <v>IRB</v>
      </c>
      <c r="B204" s="23" t="n">
        <f aca="false">Data!B215</f>
        <v>43.78</v>
      </c>
      <c r="C204" s="22" t="n">
        <f aca="false">Data!C215</f>
        <v>44.75</v>
      </c>
      <c r="D204" s="22" t="n">
        <f aca="false">Data!D215</f>
        <v>43.51</v>
      </c>
      <c r="E204" s="24" t="n">
        <f aca="false">Data!E215</f>
        <v>-1.86</v>
      </c>
      <c r="F204" s="22" t="n">
        <f aca="false">Data!F215</f>
        <v>1.1</v>
      </c>
      <c r="G204" s="22" t="n">
        <f aca="false">Data!S215</f>
        <v>34.56</v>
      </c>
      <c r="H204" s="25" t="n">
        <f aca="false">Data!T13*100</f>
        <v>0.6</v>
      </c>
      <c r="I204" s="22" t="str">
        <f aca="false">IF(AND(C204=Data!G215,E204&gt;0),IF(AND(C204=Data!U215,E204&gt;0),"Buy_ 52W_H","Buy_50D_H"),IF(AND(Data!H215=D204,E204&lt;0),IF(AND(Data!V215=D204,E204&lt;0),"Sell_52W_L ","Sell_50D_L "),""))</f>
        <v/>
      </c>
      <c r="J204" s="22" t="n">
        <f aca="false">RANK(L204,L:L)</f>
        <v>203</v>
      </c>
      <c r="K204" s="22" t="str">
        <f aca="false">IF(Data!R215&gt;=B204,IF(((C204-B204)/(C204-D204))*100&gt;80,"Down"," "),IF(Data!R215&lt;=B204,IF(((B204-D204)/(C204-D204))*100&gt;80,"Up"," ")))</f>
        <v> </v>
      </c>
      <c r="L204" s="22" t="n">
        <f aca="false">Data!I215</f>
        <v>-112.17</v>
      </c>
      <c r="M204" s="22" t="str">
        <f aca="false">IF(AND(B204&gt;Data!P215,Data!O215&lt;Data!P215),"Buy",IF(AND(B204&lt;Data!P215,Data!O215&gt;Data!P215),"Sell",""))</f>
        <v/>
      </c>
      <c r="N204" s="22" t="n">
        <f aca="false">Data!K215/1000</f>
        <v>11360.979</v>
      </c>
      <c r="O204" s="22" t="n">
        <f aca="false">Data!L215</f>
        <v>1.71</v>
      </c>
      <c r="P204" s="22" t="n">
        <f aca="false">Data!M215</f>
        <v>46.16</v>
      </c>
      <c r="Q204" s="22" t="n">
        <f aca="false">Data!N215</f>
        <v>45.24</v>
      </c>
      <c r="R204" s="22" t="n">
        <f aca="false">Data!J215</f>
        <v>31.5</v>
      </c>
      <c r="S204" s="22" t="str">
        <f aca="false">INDEX(Sector_div!$B$2:$B$227,MATCH(A204,Sector_div!$A$2:$A$227,0))</f>
        <v>infra</v>
      </c>
      <c r="T204" s="26"/>
      <c r="U204" s="27" t="str">
        <f aca="false">CONCATENATE("NSE:",A204,",")</f>
        <v>NSE:IRB,</v>
      </c>
    </row>
    <row r="205" customFormat="false" ht="15.75" hidden="false" customHeight="true" outlineLevel="0" collapsed="false">
      <c r="A205" s="22" t="str">
        <f aca="false">Data!A214</f>
        <v>SUZLON</v>
      </c>
      <c r="B205" s="23" t="n">
        <f aca="false">Data!B214</f>
        <v>58.51</v>
      </c>
      <c r="C205" s="22" t="n">
        <f aca="false">Data!C214</f>
        <v>59.29</v>
      </c>
      <c r="D205" s="22" t="n">
        <f aca="false">Data!D214</f>
        <v>58.06</v>
      </c>
      <c r="E205" s="24" t="n">
        <f aca="false">Data!E214</f>
        <v>0.602</v>
      </c>
      <c r="F205" s="22" t="n">
        <f aca="false">Data!F214</f>
        <v>2.13</v>
      </c>
      <c r="G205" s="22" t="n">
        <f aca="false">Data!S214</f>
        <v>32</v>
      </c>
      <c r="H205" s="22" t="n">
        <f aca="false">Data!T172*100</f>
        <v>8.3</v>
      </c>
      <c r="I205" s="22" t="str">
        <f aca="false">IF(AND(C205=Data!G214,E205&gt;0),IF(AND(C205=Data!U214,E205&gt;0),"Buy_ 52W_H","Buy_50D_H"),IF(AND(Data!H214=D205,E205&lt;0),IF(AND(Data!V214=D205,E205&lt;0),"Sell_52W_L ","Sell_50D_L "),""))</f>
        <v/>
      </c>
      <c r="J205" s="22" t="n">
        <f aca="false">RANK(L205,L:L)</f>
        <v>203</v>
      </c>
      <c r="K205" s="22" t="str">
        <f aca="false">IF(Data!R214&gt;=B205,IF(((C205-B205)/(C205-D205))*100&gt;80,"Down"," "),IF(Data!R214&lt;=B205,IF(((B205-D205)/(C205-D205))*100&gt;80,"Up"," ")))</f>
        <v> </v>
      </c>
      <c r="L205" s="22" t="n">
        <f aca="false">Data!I214</f>
        <v>-112.17</v>
      </c>
      <c r="M205" s="22" t="str">
        <f aca="false">IF(AND(B205&gt;Data!P214,Data!O214&lt;Data!P214),"Buy",IF(AND(B205&lt;Data!P214,Data!O214&gt;Data!P214),"Sell",""))</f>
        <v/>
      </c>
      <c r="N205" s="22" t="n">
        <f aca="false">Data!K214/1000</f>
        <v>67407.925</v>
      </c>
      <c r="O205" s="22" t="n">
        <f aca="false">Data!L214</f>
        <v>1.27</v>
      </c>
      <c r="P205" s="22" t="n">
        <f aca="false">Data!M214</f>
        <v>62.92</v>
      </c>
      <c r="Q205" s="22" t="n">
        <f aca="false">Data!N214</f>
        <v>60.8</v>
      </c>
      <c r="R205" s="22" t="n">
        <f aca="false">Data!J214</f>
        <v>31.98</v>
      </c>
      <c r="S205" s="22" t="e">
        <f aca="false">INDEX(Sector_div!$B$2:$B$227,MATCH(A205,Sector_div!$A$2:$A$227,0))</f>
        <v>#N/A</v>
      </c>
      <c r="T205" s="26"/>
      <c r="U205" s="27" t="str">
        <f aca="false">CONCATENATE("NSE:",A205,",")</f>
        <v>NSE:SUZLON,</v>
      </c>
    </row>
    <row r="206" customFormat="false" ht="15.75" hidden="false" customHeight="true" outlineLevel="0" collapsed="false">
      <c r="A206" s="22" t="str">
        <f aca="false">Data!A142</f>
        <v>LICHSGFIN</v>
      </c>
      <c r="B206" s="23" t="n">
        <f aca="false">Data!B142</f>
        <v>563.5</v>
      </c>
      <c r="C206" s="22" t="n">
        <f aca="false">Data!C142</f>
        <v>571</v>
      </c>
      <c r="D206" s="22" t="n">
        <f aca="false">Data!D142</f>
        <v>562.1</v>
      </c>
      <c r="E206" s="24" t="n">
        <f aca="false">Data!E142</f>
        <v>-2.48</v>
      </c>
      <c r="F206" s="22" t="n">
        <f aca="false">Data!F142</f>
        <v>11.13</v>
      </c>
      <c r="G206" s="22" t="n">
        <f aca="false">Data!S142</f>
        <v>23.39</v>
      </c>
      <c r="H206" s="25" t="n">
        <f aca="false">Data!T101*100</f>
        <v>0.6</v>
      </c>
      <c r="I206" s="22" t="str">
        <f aca="false">IF(AND(C206=Data!G142,E206&gt;0),IF(AND(C206=Data!U142,E206&gt;0),"Buy_ 52W_H","Buy_50D_H"),IF(AND(Data!H142=D206,E206&lt;0),IF(AND(Data!V142=D206,E206&lt;0),"Sell_52W_L ","Sell_50D_L "),""))</f>
        <v/>
      </c>
      <c r="J206" s="22" t="n">
        <f aca="false">RANK(L206,L:L)</f>
        <v>205</v>
      </c>
      <c r="K206" s="22" t="str">
        <f aca="false">IF(Data!R142&gt;=B206,IF(((C206-B206)/(C206-D206))*100&gt;80,"Down"," "),IF(Data!R142&lt;=B206,IF(((B206-D206)/(C206-D206))*100&gt;80,"Up"," ")))</f>
        <v>Down</v>
      </c>
      <c r="L206" s="22" t="n">
        <f aca="false">Data!I142</f>
        <v>-119.13</v>
      </c>
      <c r="M206" s="22" t="str">
        <f aca="false">IF(AND(B206&gt;Data!P142,Data!O142&lt;Data!P142),"Buy",IF(AND(B206&lt;Data!P142,Data!O142&gt;Data!P142),"Sell",""))</f>
        <v/>
      </c>
      <c r="N206" s="22" t="n">
        <f aca="false">Data!K142/1000</f>
        <v>1778.434</v>
      </c>
      <c r="O206" s="22" t="n">
        <f aca="false">Data!L142</f>
        <v>2.45</v>
      </c>
      <c r="P206" s="22" t="n">
        <f aca="false">Data!M142</f>
        <v>589.5</v>
      </c>
      <c r="Q206" s="22" t="n">
        <f aca="false">Data!N142</f>
        <v>578.02</v>
      </c>
      <c r="R206" s="22" t="n">
        <f aca="false">Data!J142</f>
        <v>32.06</v>
      </c>
      <c r="S206" s="22" t="str">
        <f aca="false">INDEX(Sector_div!$B$2:$B$227,MATCH(A206,Sector_div!$A$2:$A$227,0))</f>
        <v>finance</v>
      </c>
      <c r="T206" s="26"/>
      <c r="U206" s="27" t="str">
        <f aca="false">CONCATENATE("NSE:",A206,",")</f>
        <v>NSE:LICHSGFIN,</v>
      </c>
    </row>
    <row r="207" customFormat="false" ht="15.75" hidden="false" customHeight="true" outlineLevel="0" collapsed="false">
      <c r="A207" s="22" t="str">
        <f aca="false">Data!A162</f>
        <v>RECLTD</v>
      </c>
      <c r="B207" s="23" t="n">
        <f aca="false">Data!B162</f>
        <v>375.6</v>
      </c>
      <c r="C207" s="22" t="n">
        <f aca="false">Data!C162</f>
        <v>381.4</v>
      </c>
      <c r="D207" s="22" t="n">
        <f aca="false">Data!D162</f>
        <v>375.3</v>
      </c>
      <c r="E207" s="24" t="n">
        <f aca="false">Data!E162</f>
        <v>-1.31</v>
      </c>
      <c r="F207" s="22" t="n">
        <f aca="false">Data!F162</f>
        <v>6.01</v>
      </c>
      <c r="G207" s="22" t="n">
        <f aca="false">Data!S162</f>
        <v>40.94</v>
      </c>
      <c r="H207" s="25" t="n">
        <f aca="false">Data!T153*100</f>
        <v>4.2</v>
      </c>
      <c r="I207" s="22" t="str">
        <f aca="false">IF(AND(C207=Data!G162,E207&gt;0),IF(AND(C207=Data!U162,E207&gt;0),"Buy_ 52W_H","Buy_50D_H"),IF(AND(Data!H162=D207,E207&lt;0),IF(AND(Data!V162=D207,E207&lt;0),"Sell_52W_L ","Sell_50D_L "),""))</f>
        <v>Sell_50D_L </v>
      </c>
      <c r="J207" s="22" t="n">
        <f aca="false">RANK(L207,L:L)</f>
        <v>206</v>
      </c>
      <c r="K207" s="22" t="str">
        <f aca="false">IF(Data!R162&gt;=B207,IF(((C207-B207)/(C207-D207))*100&gt;80,"Down"," "),IF(Data!R162&lt;=B207,IF(((B207-D207)/(C207-D207))*100&gt;80,"Up"," ")))</f>
        <v>Down</v>
      </c>
      <c r="L207" s="22" t="n">
        <f aca="false">Data!I162</f>
        <v>-120.18</v>
      </c>
      <c r="M207" s="22" t="str">
        <f aca="false">IF(AND(B207&gt;Data!P162,Data!O162&lt;Data!P162),"Buy",IF(AND(B207&lt;Data!P162,Data!O162&gt;Data!P162),"Sell",""))</f>
        <v/>
      </c>
      <c r="N207" s="22" t="n">
        <f aca="false">Data!K162/1000</f>
        <v>3478.895</v>
      </c>
      <c r="O207" s="22" t="n">
        <f aca="false">Data!L162</f>
        <v>1.1</v>
      </c>
      <c r="P207" s="22" t="n">
        <f aca="false">Data!M162</f>
        <v>390.97</v>
      </c>
      <c r="Q207" s="22" t="n">
        <f aca="false">Data!N162</f>
        <v>384.66</v>
      </c>
      <c r="R207" s="22" t="n">
        <f aca="false">Data!J162</f>
        <v>29.8</v>
      </c>
      <c r="S207" s="22" t="str">
        <f aca="false">INDEX(Sector_div!$B$2:$B$227,MATCH(A207,Sector_div!$A$2:$A$227,0))</f>
        <v>finance</v>
      </c>
      <c r="T207" s="26"/>
      <c r="U207" s="27" t="str">
        <f aca="false">CONCATENATE("NSE:",A207,",")</f>
        <v>NSE:RECLTD,</v>
      </c>
    </row>
    <row r="208" customFormat="false" ht="15.75" hidden="false" customHeight="true" outlineLevel="0" collapsed="false">
      <c r="A208" s="22" t="str">
        <f aca="false">Data!A63</f>
        <v>GLENMARK</v>
      </c>
      <c r="B208" s="23" t="n">
        <f aca="false">Data!B63</f>
        <v>1937.3</v>
      </c>
      <c r="C208" s="22" t="n">
        <f aca="false">Data!C63</f>
        <v>1959.5</v>
      </c>
      <c r="D208" s="22" t="n">
        <f aca="false">Data!D63</f>
        <v>1930</v>
      </c>
      <c r="E208" s="24" t="n">
        <f aca="false">Data!E63</f>
        <v>-0.185</v>
      </c>
      <c r="F208" s="22" t="n">
        <f aca="false">Data!F63</f>
        <v>50.94</v>
      </c>
      <c r="G208" s="22" t="n">
        <f aca="false">Data!S63</f>
        <v>15.21</v>
      </c>
      <c r="I208" s="22" t="str">
        <f aca="false">IF(AND(C208=Data!G63,E208&gt;0),IF(AND(C208=Data!U63,E208&gt;0),"Buy_ 52W_H","Buy_50D_H"),IF(AND(Data!H63=D208,E208&lt;0),IF(AND(Data!V63=D208,E208&lt;0),"Sell_52W_L ","Sell_50D_L "),""))</f>
        <v/>
      </c>
      <c r="J208" s="22" t="n">
        <f aca="false">RANK(L208,L:L)</f>
        <v>207</v>
      </c>
      <c r="K208" s="22" t="str">
        <f aca="false">IF(Data!R63&gt;=B208,IF(((C208-B208)/(C208-D208))*100&gt;80,"Down"," "),IF(Data!R63&lt;=B208,IF(((B208-D208)/(C208-D208))*100&gt;80,"Up"," ")))</f>
        <v> </v>
      </c>
      <c r="L208" s="22" t="n">
        <f aca="false">Data!I63</f>
        <v>-126.02</v>
      </c>
      <c r="M208" s="22" t="str">
        <f aca="false">IF(AND(B208&gt;Data!P63,Data!O63&lt;Data!P63),"Buy",IF(AND(B208&lt;Data!P63,Data!O63&gt;Data!P63),"Sell",""))</f>
        <v/>
      </c>
      <c r="N208" s="22" t="n">
        <f aca="false">Data!K63/1000</f>
        <v>466.93</v>
      </c>
      <c r="O208" s="22" t="n">
        <f aca="false">Data!L63</f>
        <v>0.525</v>
      </c>
      <c r="P208" s="22" t="n">
        <f aca="false">Data!M63</f>
        <v>2041.43</v>
      </c>
      <c r="Q208" s="22" t="n">
        <f aca="false">Data!N63</f>
        <v>1986.94</v>
      </c>
      <c r="R208" s="22" t="n">
        <f aca="false">Data!J63</f>
        <v>29.21</v>
      </c>
      <c r="S208" s="22" t="str">
        <f aca="false">INDEX(Sector_div!$B$2:$B$227,MATCH(A208,Sector_div!$A$2:$A$227,0))</f>
        <v>Pharma&amp;Healthcare</v>
      </c>
      <c r="T208" s="26"/>
      <c r="U208" s="27" t="str">
        <f aca="false">CONCATENATE("NSE:",A208,",")</f>
        <v>NSE:GLENMARK,</v>
      </c>
    </row>
    <row r="209" customFormat="false" ht="15.75" hidden="false" customHeight="true" outlineLevel="0" collapsed="false">
      <c r="A209" s="22" t="str">
        <f aca="false">Data!A92</f>
        <v>TORNTPOWER</v>
      </c>
      <c r="B209" s="23" t="n">
        <f aca="false">Data!B92</f>
        <v>1282</v>
      </c>
      <c r="C209" s="22" t="n">
        <f aca="false">Data!C92</f>
        <v>1294.5</v>
      </c>
      <c r="D209" s="22" t="n">
        <f aca="false">Data!D92</f>
        <v>1270</v>
      </c>
      <c r="E209" s="24" t="n">
        <f aca="false">Data!E92</f>
        <v>-0.759</v>
      </c>
      <c r="F209" s="22" t="n">
        <f aca="false">Data!F92</f>
        <v>30.62</v>
      </c>
      <c r="G209" s="22" t="n">
        <f aca="false">Data!S92</f>
        <v>37.06</v>
      </c>
      <c r="I209" s="22" t="str">
        <f aca="false">IF(AND(C209=Data!G92,E209&gt;0),IF(AND(C209=Data!U92,E209&gt;0),"Buy_ 52W_H","Buy_50D_H"),IF(AND(Data!H92=D209,E209&lt;0),IF(AND(Data!V92=D209,E209&lt;0),"Sell_52W_L ","Sell_50D_L "),""))</f>
        <v>Sell_50D_L </v>
      </c>
      <c r="J209" s="22" t="n">
        <f aca="false">RANK(L209,L:L)</f>
        <v>208</v>
      </c>
      <c r="K209" s="22" t="str">
        <f aca="false">IF(Data!R92&gt;=B209,IF(((C209-B209)/(C209-D209))*100&gt;80,"Down"," "),IF(Data!R92&lt;=B209,IF(((B209-D209)/(C209-D209))*100&gt;80,"Up"," ")))</f>
        <v> </v>
      </c>
      <c r="L209" s="22" t="n">
        <f aca="false">Data!I92</f>
        <v>-126.67</v>
      </c>
      <c r="M209" s="22" t="str">
        <f aca="false">IF(AND(B209&gt;Data!P92,Data!O92&lt;Data!P92),"Buy",IF(AND(B209&lt;Data!P92,Data!O92&gt;Data!P92),"Sell",""))</f>
        <v/>
      </c>
      <c r="N209" s="22" t="n">
        <f aca="false">Data!K92/1000</f>
        <v>327.33</v>
      </c>
      <c r="O209" s="22" t="n">
        <f aca="false">Data!L92</f>
        <v>0.247</v>
      </c>
      <c r="P209" s="22" t="n">
        <f aca="false">Data!M92</f>
        <v>1344.93</v>
      </c>
      <c r="Q209" s="22" t="n">
        <f aca="false">Data!N92</f>
        <v>1313.59</v>
      </c>
      <c r="R209" s="22" t="n">
        <f aca="false">Data!J92</f>
        <v>30.66</v>
      </c>
      <c r="S209" s="22" t="str">
        <f aca="false">INDEX(Sector_div!$B$2:$B$227,MATCH(A209,Sector_div!$A$2:$A$227,0))</f>
        <v>power</v>
      </c>
      <c r="T209" s="26"/>
      <c r="U209" s="27" t="str">
        <f aca="false">CONCATENATE("NSE:",A209,",")</f>
        <v>NSE:TORNTPOWER,</v>
      </c>
    </row>
    <row r="210" customFormat="false" ht="15.75" hidden="false" customHeight="true" outlineLevel="0" collapsed="false">
      <c r="A210" s="22" t="str">
        <f aca="false">Data!A4</f>
        <v>SHREECEM</v>
      </c>
      <c r="B210" s="23" t="n">
        <f aca="false">Data!B4</f>
        <v>30005</v>
      </c>
      <c r="C210" s="22" t="n">
        <f aca="false">Data!C4</f>
        <v>30800</v>
      </c>
      <c r="D210" s="22" t="n">
        <f aca="false">Data!D4</f>
        <v>29910</v>
      </c>
      <c r="E210" s="24" t="n">
        <f aca="false">Data!E4</f>
        <v>-1.96</v>
      </c>
      <c r="F210" s="22" t="n">
        <f aca="false">Data!F4</f>
        <v>716.19</v>
      </c>
      <c r="G210" s="22" t="n">
        <f aca="false">Data!S4</f>
        <v>7.65</v>
      </c>
      <c r="I210" s="22" t="str">
        <f aca="false">IF(AND(C210=Data!G4,E210&gt;0),IF(AND(C210=Data!U4,E210&gt;0),"Buy_ 52W_H","Buy_50D_H"),IF(AND(Data!H4=D210,E210&lt;0),IF(AND(Data!V4=D210,E210&lt;0),"Sell_52W_L ","Sell_50D_L "),""))</f>
        <v/>
      </c>
      <c r="J210" s="22" t="n">
        <f aca="false">RANK(L210,L:L)</f>
        <v>209</v>
      </c>
      <c r="K210" s="22" t="str">
        <f aca="false">IF(Data!R4&gt;=B210,IF(((C210-B210)/(C210-D210))*100&gt;80,"Down"," "),IF(Data!R4&lt;=B210,IF(((B210-D210)/(C210-D210))*100&gt;80,"Up"," ")))</f>
        <v>Down</v>
      </c>
      <c r="L210" s="22" t="n">
        <f aca="false">Data!I4</f>
        <v>-126.96</v>
      </c>
      <c r="M210" s="22" t="str">
        <f aca="false">IF(AND(B210&gt;Data!P4,Data!O4&lt;Data!P4),"Buy",IF(AND(B210&lt;Data!P4,Data!O4&gt;Data!P4),"Sell",""))</f>
        <v/>
      </c>
      <c r="N210" s="22" t="n">
        <f aca="false">Data!K4/1000</f>
        <v>23.082</v>
      </c>
      <c r="O210" s="22" t="n">
        <f aca="false">Data!L4</f>
        <v>1.9</v>
      </c>
      <c r="P210" s="22" t="n">
        <f aca="false">Data!M4</f>
        <v>31590.42</v>
      </c>
      <c r="Q210" s="22" t="n">
        <f aca="false">Data!N4</f>
        <v>31057.78</v>
      </c>
      <c r="R210" s="22" t="n">
        <f aca="false">Data!J4</f>
        <v>34.16</v>
      </c>
      <c r="S210" s="22" t="str">
        <f aca="false">INDEX(Sector_div!$B$2:$B$227,MATCH(A210,Sector_div!$A$2:$A$227,0))</f>
        <v>cement</v>
      </c>
      <c r="T210" s="26"/>
      <c r="U210" s="27" t="str">
        <f aca="false">CONCATENATE("NSE:",A210,",")</f>
        <v>NSE:SHREECEM,</v>
      </c>
    </row>
    <row r="211" customFormat="false" ht="15.75" hidden="false" customHeight="true" outlineLevel="0" collapsed="false">
      <c r="A211" s="22" t="str">
        <f aca="false">Data!A138</f>
        <v>JUBLFOOD</v>
      </c>
      <c r="B211" s="23" t="n">
        <f aca="false">Data!B138</f>
        <v>619.15</v>
      </c>
      <c r="C211" s="22" t="n">
        <f aca="false">Data!C138</f>
        <v>632.4</v>
      </c>
      <c r="D211" s="22" t="n">
        <f aca="false">Data!D138</f>
        <v>616.5</v>
      </c>
      <c r="E211" s="24" t="n">
        <f aca="false">Data!E138</f>
        <v>-1.31</v>
      </c>
      <c r="F211" s="22" t="n">
        <f aca="false">Data!F138</f>
        <v>15.89</v>
      </c>
      <c r="G211" s="22" t="n">
        <f aca="false">Data!S138</f>
        <v>22.29</v>
      </c>
      <c r="H211" s="22" t="n">
        <f aca="false">Data!T144*100</f>
        <v>2.3</v>
      </c>
      <c r="I211" s="22" t="str">
        <f aca="false">IF(AND(C211=Data!G138,E211&gt;0),IF(AND(C211=Data!U138,E211&gt;0),"Buy_ 52W_H","Buy_50D_H"),IF(AND(Data!H138=D211,E211&lt;0),IF(AND(Data!V138=D211,E211&lt;0),"Sell_52W_L ","Sell_50D_L "),""))</f>
        <v>Sell_50D_L </v>
      </c>
      <c r="J211" s="22" t="n">
        <f aca="false">RANK(L211,L:L)</f>
        <v>210</v>
      </c>
      <c r="K211" s="22" t="str">
        <f aca="false">IF(Data!R138&gt;=B211,IF(((C211-B211)/(C211-D211))*100&gt;80,"Down"," "),IF(Data!R138&lt;=B211,IF(((B211-D211)/(C211-D211))*100&gt;80,"Up"," ")))</f>
        <v>Down</v>
      </c>
      <c r="L211" s="22" t="n">
        <f aca="false">Data!I138</f>
        <v>-136.42</v>
      </c>
      <c r="M211" s="22" t="str">
        <f aca="false">IF(AND(B211&gt;Data!P138,Data!O138&lt;Data!P138),"Buy",IF(AND(B211&lt;Data!P138,Data!O138&gt;Data!P138),"Sell",""))</f>
        <v/>
      </c>
      <c r="N211" s="22" t="n">
        <f aca="false">Data!K138/1000</f>
        <v>893.68</v>
      </c>
      <c r="O211" s="22" t="n">
        <f aca="false">Data!L138</f>
        <v>0.752</v>
      </c>
      <c r="P211" s="22" t="n">
        <f aca="false">Data!M138</f>
        <v>655.97</v>
      </c>
      <c r="Q211" s="22" t="n">
        <f aca="false">Data!N138</f>
        <v>640.21</v>
      </c>
      <c r="R211" s="22" t="n">
        <f aca="false">Data!J138</f>
        <v>27.23</v>
      </c>
      <c r="S211" s="22" t="str">
        <f aca="false">INDEX(Sector_div!$B$2:$B$227,MATCH(A211,Sector_div!$A$2:$A$227,0))</f>
        <v>fmcg</v>
      </c>
      <c r="T211" s="26"/>
      <c r="U211" s="27" t="str">
        <f aca="false">CONCATENATE("NSE:",A211,",")</f>
        <v>NSE:JUBLFOOD,</v>
      </c>
    </row>
    <row r="212" customFormat="false" ht="15.75" hidden="false" customHeight="true" outlineLevel="0" collapsed="false">
      <c r="A212" s="22" t="str">
        <f aca="false">Data!A102</f>
        <v>BHARATFORG</v>
      </c>
      <c r="B212" s="23" t="n">
        <f aca="false">Data!B102</f>
        <v>1123</v>
      </c>
      <c r="C212" s="22" t="n">
        <f aca="false">Data!C102</f>
        <v>1157.1</v>
      </c>
      <c r="D212" s="22" t="n">
        <f aca="false">Data!D102</f>
        <v>1120.2</v>
      </c>
      <c r="E212" s="24" t="n">
        <f aca="false">Data!E102</f>
        <v>-2.69</v>
      </c>
      <c r="F212" s="22" t="n">
        <f aca="false">Data!F102</f>
        <v>32.01</v>
      </c>
      <c r="G212" s="22" t="n">
        <f aca="false">Data!S102</f>
        <v>31.73</v>
      </c>
      <c r="H212" s="25" t="n">
        <f aca="false">Data!T121*100</f>
        <v>0.9</v>
      </c>
      <c r="I212" s="22" t="str">
        <f aca="false">IF(AND(C212=Data!G102,E212&gt;0),IF(AND(C212=Data!U102,E212&gt;0),"Buy_ 52W_H","Buy_50D_H"),IF(AND(Data!H102=D212,E212&lt;0),IF(AND(Data!V102=D212,E212&lt;0),"Sell_52W_L ","Sell_50D_L "),""))</f>
        <v/>
      </c>
      <c r="J212" s="22" t="n">
        <f aca="false">RANK(L212,L:L)</f>
        <v>211</v>
      </c>
      <c r="K212" s="22" t="str">
        <f aca="false">IF(Data!R102&gt;=B212,IF(((C212-B212)/(C212-D212))*100&gt;80,"Down"," "),IF(Data!R102&lt;=B212,IF(((B212-D212)/(C212-D212))*100&gt;80,"Up"," ")))</f>
        <v>Down</v>
      </c>
      <c r="L212" s="22" t="n">
        <f aca="false">Data!I102</f>
        <v>-137.1</v>
      </c>
      <c r="M212" s="22" t="str">
        <f aca="false">IF(AND(B212&gt;Data!P102,Data!O102&lt;Data!P102),"Buy",IF(AND(B212&lt;Data!P102,Data!O102&gt;Data!P102),"Sell",""))</f>
        <v/>
      </c>
      <c r="N212" s="22" t="n">
        <f aca="false">Data!K102/1000</f>
        <v>1414.136</v>
      </c>
      <c r="O212" s="22" t="n">
        <f aca="false">Data!L102</f>
        <v>0.553</v>
      </c>
      <c r="P212" s="22" t="n">
        <f aca="false">Data!M102</f>
        <v>1202.85</v>
      </c>
      <c r="Q212" s="22" t="n">
        <f aca="false">Data!N102</f>
        <v>1170.75</v>
      </c>
      <c r="R212" s="22" t="n">
        <f aca="false">Data!J102</f>
        <v>30.56</v>
      </c>
      <c r="S212" s="22" t="str">
        <f aca="false">INDEX(Sector_div!$B$2:$B$227,MATCH(A212,Sector_div!$A$2:$A$227,0))</f>
        <v>auto</v>
      </c>
      <c r="T212" s="26"/>
      <c r="U212" s="27" t="str">
        <f aca="false">CONCATENATE("NSE:",A212,",")</f>
        <v>NSE:BHARATFORG,</v>
      </c>
    </row>
    <row r="213" customFormat="false" ht="15.75" hidden="false" customHeight="true" outlineLevel="0" collapsed="false">
      <c r="A213" s="22" t="str">
        <f aca="false">Data!A174</f>
        <v>POWERGRID</v>
      </c>
      <c r="B213" s="23" t="n">
        <f aca="false">Data!B174</f>
        <v>283.35</v>
      </c>
      <c r="C213" s="22" t="n">
        <f aca="false">Data!C174</f>
        <v>284.55</v>
      </c>
      <c r="D213" s="22" t="n">
        <f aca="false">Data!D174</f>
        <v>281.8</v>
      </c>
      <c r="E213" s="24" t="n">
        <f aca="false">Data!E174</f>
        <v>-0.229</v>
      </c>
      <c r="F213" s="22" t="n">
        <f aca="false">Data!F174</f>
        <v>3.9</v>
      </c>
      <c r="G213" s="22" t="n">
        <f aca="false">Data!S174</f>
        <v>22.63</v>
      </c>
      <c r="H213" s="22" t="n">
        <f aca="false">Data!T164*100</f>
        <v>9.7</v>
      </c>
      <c r="I213" s="22" t="str">
        <f aca="false">IF(AND(C213=Data!G174,E213&gt;0),IF(AND(C213=Data!U174,E213&gt;0),"Buy_ 52W_H","Buy_50D_H"),IF(AND(Data!H174=D213,E213&lt;0),IF(AND(Data!V174=D213,E213&lt;0),"Sell_52W_L ","Sell_50D_L "),""))</f>
        <v>Sell_50D_L </v>
      </c>
      <c r="J213" s="22" t="n">
        <f aca="false">RANK(L213,L:L)</f>
        <v>212</v>
      </c>
      <c r="K213" s="22" t="str">
        <f aca="false">IF(Data!R174&gt;=B213,IF(((C213-B213)/(C213-D213))*100&gt;80,"Down"," "),IF(Data!R174&lt;=B213,IF(((B213-D213)/(C213-D213))*100&gt;80,"Up"," ")))</f>
        <v> </v>
      </c>
      <c r="L213" s="22" t="n">
        <f aca="false">Data!I174</f>
        <v>-137.8</v>
      </c>
      <c r="M213" s="22" t="str">
        <f aca="false">IF(AND(B213&gt;Data!P174,Data!O174&lt;Data!P174),"Buy",IF(AND(B213&lt;Data!P174,Data!O174&gt;Data!P174),"Sell",""))</f>
        <v/>
      </c>
      <c r="N213" s="22" t="n">
        <f aca="false">Data!K174/1000</f>
        <v>6824.79</v>
      </c>
      <c r="O213" s="22" t="n">
        <f aca="false">Data!L174</f>
        <v>0.924</v>
      </c>
      <c r="P213" s="22" t="n">
        <f aca="false">Data!M174</f>
        <v>291.33</v>
      </c>
      <c r="Q213" s="22" t="n">
        <f aca="false">Data!N174</f>
        <v>287.25</v>
      </c>
      <c r="R213" s="22" t="n">
        <f aca="false">Data!J174</f>
        <v>30.76</v>
      </c>
      <c r="S213" s="22" t="str">
        <f aca="false">INDEX(Sector_div!$B$2:$B$227,MATCH(A213,Sector_div!$A$2:$A$227,0))</f>
        <v>power</v>
      </c>
      <c r="T213" s="26"/>
      <c r="U213" s="27" t="str">
        <f aca="false">CONCATENATE("NSE:",A213,",")</f>
        <v>NSE:POWERGRID,</v>
      </c>
    </row>
    <row r="214" customFormat="false" ht="15.75" hidden="false" customHeight="true" outlineLevel="0" collapsed="false">
      <c r="A214" s="22" t="str">
        <f aca="false">Data!A164</f>
        <v>BEL</v>
      </c>
      <c r="B214" s="23" t="n">
        <f aca="false">Data!B164</f>
        <v>374.85</v>
      </c>
      <c r="C214" s="22" t="n">
        <f aca="false">Data!C164</f>
        <v>379.95</v>
      </c>
      <c r="D214" s="22" t="n">
        <f aca="false">Data!D164</f>
        <v>373.6</v>
      </c>
      <c r="E214" s="24" t="n">
        <f aca="false">Data!E164</f>
        <v>0.174</v>
      </c>
      <c r="F214" s="22" t="n">
        <f aca="false">Data!F164</f>
        <v>7.74</v>
      </c>
      <c r="G214" s="22" t="n">
        <f aca="false">Data!S164</f>
        <v>14.03</v>
      </c>
      <c r="H214" s="22" t="n">
        <f aca="false">Data!T20*100</f>
        <v>0.7</v>
      </c>
      <c r="I214" s="22" t="str">
        <f aca="false">IF(AND(C214=Data!G164,E214&gt;0),IF(AND(C214=Data!U164,E214&gt;0),"Buy_ 52W_H","Buy_50D_H"),IF(AND(Data!H164=D214,E214&lt;0),IF(AND(Data!V164=D214,E214&lt;0),"Sell_52W_L ","Sell_50D_L "),""))</f>
        <v/>
      </c>
      <c r="J214" s="22" t="n">
        <f aca="false">RANK(L214,L:L)</f>
        <v>213</v>
      </c>
      <c r="K214" s="22" t="str">
        <f aca="false">IF(Data!R164&gt;=B214,IF(((C214-B214)/(C214-D214))*100&gt;80,"Down"," "),IF(Data!R164&lt;=B214,IF(((B214-D214)/(C214-D214))*100&gt;80,"Up"," ")))</f>
        <v> </v>
      </c>
      <c r="L214" s="22" t="n">
        <f aca="false">Data!I164</f>
        <v>-138.3</v>
      </c>
      <c r="M214" s="22" t="str">
        <f aca="false">IF(AND(B214&gt;Data!P164,Data!O164&lt;Data!P164),"Buy",IF(AND(B214&lt;Data!P164,Data!O164&gt;Data!P164),"Sell",""))</f>
        <v/>
      </c>
      <c r="N214" s="22" t="n">
        <f aca="false">Data!K164/1000</f>
        <v>15246.236</v>
      </c>
      <c r="O214" s="22" t="n">
        <f aca="false">Data!L164</f>
        <v>1.2</v>
      </c>
      <c r="P214" s="22" t="n">
        <f aca="false">Data!M164</f>
        <v>390.45</v>
      </c>
      <c r="Q214" s="22" t="n">
        <f aca="false">Data!N164</f>
        <v>382.45</v>
      </c>
      <c r="R214" s="22" t="n">
        <f aca="false">Data!J164</f>
        <v>34.75</v>
      </c>
      <c r="S214" s="22" t="str">
        <f aca="false">INDEX(Sector_div!$B$2:$B$227,MATCH(A214,Sector_div!$A$2:$A$227,0))</f>
        <v>aerospace &amp; defence</v>
      </c>
      <c r="T214" s="26"/>
      <c r="U214" s="27" t="str">
        <f aca="false">CONCATENATE("NSE:",A214,",")</f>
        <v>NSE:BEL,</v>
      </c>
    </row>
    <row r="215" customFormat="false" ht="15.75" hidden="false" customHeight="true" outlineLevel="0" collapsed="false">
      <c r="A215" s="22" t="str">
        <f aca="false">Data!A126</f>
        <v>INDUSINDBK</v>
      </c>
      <c r="B215" s="23" t="n">
        <f aca="false">Data!B126</f>
        <v>760.1</v>
      </c>
      <c r="C215" s="22" t="n">
        <f aca="false">Data!C126</f>
        <v>772.7</v>
      </c>
      <c r="D215" s="22" t="n">
        <f aca="false">Data!D126</f>
        <v>758.75</v>
      </c>
      <c r="E215" s="24" t="n">
        <f aca="false">Data!E126</f>
        <v>-0.958</v>
      </c>
      <c r="F215" s="22" t="n">
        <f aca="false">Data!F126</f>
        <v>18.01</v>
      </c>
      <c r="G215" s="22" t="n">
        <f aca="false">Data!S126</f>
        <v>49.26</v>
      </c>
      <c r="H215" s="22" t="n">
        <f aca="false">Data!T134*100</f>
        <v>3.6</v>
      </c>
      <c r="I215" s="22" t="str">
        <f aca="false">IF(AND(C215=Data!G126,E215&gt;0),IF(AND(C215=Data!U126,E215&gt;0),"Buy_ 52W_H","Buy_50D_H"),IF(AND(Data!H126=D215,E215&lt;0),IF(AND(Data!V126=D215,E215&lt;0),"Sell_52W_L ","Sell_50D_L "),""))</f>
        <v>Sell_50D_L </v>
      </c>
      <c r="J215" s="22" t="n">
        <f aca="false">RANK(L215,L:L)</f>
        <v>214</v>
      </c>
      <c r="K215" s="22" t="str">
        <f aca="false">IF(Data!R126&gt;=B215,IF(((C215-B215)/(C215-D215))*100&gt;80,"Down"," "),IF(Data!R126&lt;=B215,IF(((B215-D215)/(C215-D215))*100&gt;80,"Up"," ")))</f>
        <v>Down</v>
      </c>
      <c r="L215" s="22" t="n">
        <f aca="false">Data!I126</f>
        <v>-138.76</v>
      </c>
      <c r="M215" s="22" t="str">
        <f aca="false">IF(AND(B215&gt;Data!P126,Data!O126&lt;Data!P126),"Buy",IF(AND(B215&lt;Data!P126,Data!O126&gt;Data!P126),"Sell",""))</f>
        <v/>
      </c>
      <c r="N215" s="22" t="n">
        <f aca="false">Data!K126/1000</f>
        <v>2483.583</v>
      </c>
      <c r="O215" s="22" t="n">
        <f aca="false">Data!L126</f>
        <v>0.747</v>
      </c>
      <c r="P215" s="22" t="n">
        <f aca="false">Data!M126</f>
        <v>803.68</v>
      </c>
      <c r="Q215" s="22" t="n">
        <f aca="false">Data!N126</f>
        <v>784.7</v>
      </c>
      <c r="R215" s="22" t="n">
        <f aca="false">Data!J126</f>
        <v>28.38</v>
      </c>
      <c r="S215" s="22" t="str">
        <f aca="false">INDEX(Sector_div!$B$2:$B$227,MATCH(A215,Sector_div!$A$2:$A$227,0))</f>
        <v>bank</v>
      </c>
      <c r="T215" s="26"/>
      <c r="U215" s="27" t="str">
        <f aca="false">CONCATENATE("NSE:",A215,",")</f>
        <v>NSE:INDUSINDBK,</v>
      </c>
    </row>
    <row r="216" customFormat="false" ht="15.75" hidden="false" customHeight="true" outlineLevel="0" collapsed="false">
      <c r="A216" s="22" t="str">
        <f aca="false">Data!A205</f>
        <v>NBCC</v>
      </c>
      <c r="B216" s="23" t="n">
        <f aca="false">Data!B205</f>
        <v>103.59</v>
      </c>
      <c r="C216" s="22" t="n">
        <f aca="false">Data!C205</f>
        <v>105.2</v>
      </c>
      <c r="D216" s="22" t="n">
        <f aca="false">Data!D205</f>
        <v>103.5</v>
      </c>
      <c r="E216" s="24" t="n">
        <f aca="false">Data!E205</f>
        <v>-0.709</v>
      </c>
      <c r="F216" s="22" t="n">
        <f aca="false">Data!F205</f>
        <v>2.87</v>
      </c>
      <c r="G216" s="22" t="n">
        <f aca="false">Data!S205</f>
        <v>25.92</v>
      </c>
      <c r="H216" s="25" t="n">
        <f aca="false">Data!T99*100</f>
        <v>3.3</v>
      </c>
      <c r="I216" s="22" t="str">
        <f aca="false">IF(AND(C216=Data!G205,E216&gt;0),IF(AND(C216=Data!U205,E216&gt;0),"Buy_ 52W_H","Buy_50D_H"),IF(AND(Data!H205=D216,E216&lt;0),IF(AND(Data!V205=D216,E216&lt;0),"Sell_52W_L ","Sell_50D_L "),""))</f>
        <v/>
      </c>
      <c r="J216" s="22" t="n">
        <f aca="false">RANK(L216,L:L)</f>
        <v>215</v>
      </c>
      <c r="K216" s="22" t="str">
        <f aca="false">IF(Data!R205&gt;=B216,IF(((C216-B216)/(C216-D216))*100&gt;80,"Down"," "),IF(Data!R205&lt;=B216,IF(((B216-D216)/(C216-D216))*100&gt;80,"Up"," ")))</f>
        <v>Down</v>
      </c>
      <c r="L216" s="22" t="n">
        <f aca="false">Data!I205</f>
        <v>-139.63</v>
      </c>
      <c r="M216" s="22" t="str">
        <f aca="false">IF(AND(B216&gt;Data!P205,Data!O205&lt;Data!P205),"Buy",IF(AND(B216&lt;Data!P205,Data!O205&gt;Data!P205),"Sell",""))</f>
        <v/>
      </c>
      <c r="N216" s="22" t="n">
        <f aca="false">Data!K205/1000</f>
        <v>3493.104</v>
      </c>
      <c r="O216" s="22" t="n">
        <f aca="false">Data!L205</f>
        <v>0.63</v>
      </c>
      <c r="P216" s="22" t="n">
        <f aca="false">Data!M205</f>
        <v>110.2</v>
      </c>
      <c r="Q216" s="22" t="n">
        <f aca="false">Data!N205</f>
        <v>107.28</v>
      </c>
      <c r="R216" s="22" t="n">
        <f aca="false">Data!J205</f>
        <v>33.82</v>
      </c>
      <c r="S216" s="22" t="str">
        <f aca="false">INDEX(Sector_div!$B$2:$B$227,MATCH(A216,Sector_div!$A$2:$A$227,0))</f>
        <v>realty</v>
      </c>
      <c r="T216" s="26"/>
      <c r="U216" s="27" t="str">
        <f aca="false">CONCATENATE("NSE:",A216,",")</f>
        <v>NSE:NBCC,</v>
      </c>
    </row>
    <row r="217" customFormat="false" ht="15.75" hidden="false" customHeight="true" outlineLevel="0" collapsed="false">
      <c r="A217" s="22" t="str">
        <f aca="false">Data!A52</f>
        <v>ANGELONE</v>
      </c>
      <c r="B217" s="23" t="n">
        <f aca="false">Data!B52</f>
        <v>2518.6</v>
      </c>
      <c r="C217" s="22" t="n">
        <f aca="false">Data!C52</f>
        <v>2568</v>
      </c>
      <c r="D217" s="22" t="n">
        <f aca="false">Data!D52</f>
        <v>2508.2</v>
      </c>
      <c r="E217" s="24" t="n">
        <f aca="false">Data!E52</f>
        <v>-0.757</v>
      </c>
      <c r="F217" s="22" t="n">
        <f aca="false">Data!F52</f>
        <v>91.41</v>
      </c>
      <c r="G217" s="22" t="n">
        <f aca="false">Data!S52</f>
        <v>28.1</v>
      </c>
      <c r="H217" s="25" t="n">
        <f aca="false">Data!T67*100</f>
        <v>1.7</v>
      </c>
      <c r="I217" s="22" t="str">
        <f aca="false">IF(AND(C217=Data!G52,E217&gt;0),IF(AND(C217=Data!U52,E217&gt;0),"Buy_ 52W_H","Buy_50D_H"),IF(AND(Data!H52=D217,E217&lt;0),IF(AND(Data!V52=D217,E217&lt;0),"Sell_52W_L ","Sell_50D_L "),""))</f>
        <v/>
      </c>
      <c r="J217" s="22" t="n">
        <f aca="false">RANK(L217,L:L)</f>
        <v>216</v>
      </c>
      <c r="K217" s="22" t="str">
        <f aca="false">IF(Data!R52&gt;=B217,IF(((C217-B217)/(C217-D217))*100&gt;80,"Down"," "),IF(Data!R52&lt;=B217,IF(((B217-D217)/(C217-D217))*100&gt;80,"Up"," ")))</f>
        <v>Down</v>
      </c>
      <c r="L217" s="22" t="n">
        <f aca="false">Data!I52</f>
        <v>-141.02</v>
      </c>
      <c r="M217" s="22" t="str">
        <f aca="false">IF(AND(B217&gt;Data!P52,Data!O52&lt;Data!P52),"Buy",IF(AND(B217&lt;Data!P52,Data!O52&gt;Data!P52),"Sell",""))</f>
        <v>Sell</v>
      </c>
      <c r="N217" s="22" t="n">
        <f aca="false">Data!K52/1000</f>
        <v>1200.046</v>
      </c>
      <c r="O217" s="22" t="n">
        <f aca="false">Data!L52</f>
        <v>0.467</v>
      </c>
      <c r="P217" s="22" t="n">
        <f aca="false">Data!M52</f>
        <v>2718.22</v>
      </c>
      <c r="Q217" s="22" t="n">
        <f aca="false">Data!N52</f>
        <v>2628.16</v>
      </c>
      <c r="R217" s="22" t="n">
        <f aca="false">Data!J52</f>
        <v>35.31</v>
      </c>
      <c r="S217" s="22" t="str">
        <f aca="false">INDEX(Sector_div!$B$2:$B$227,MATCH(A217,Sector_div!$A$2:$A$227,0))</f>
        <v>finance</v>
      </c>
      <c r="T217" s="26"/>
      <c r="U217" s="27" t="str">
        <f aca="false">CONCATENATE("NSE:",A217,",")</f>
        <v>NSE:ANGELONE,</v>
      </c>
    </row>
    <row r="218" customFormat="false" ht="15.75" hidden="false" customHeight="true" outlineLevel="0" collapsed="false">
      <c r="A218" s="22" t="str">
        <f aca="false">Data!A57</f>
        <v>BSE</v>
      </c>
      <c r="B218" s="23" t="n">
        <f aca="false">Data!B57</f>
        <v>2332.8</v>
      </c>
      <c r="C218" s="22" t="n">
        <f aca="false">Data!C57</f>
        <v>2353.5</v>
      </c>
      <c r="D218" s="22" t="n">
        <f aca="false">Data!D57</f>
        <v>2292.2</v>
      </c>
      <c r="E218" s="24" t="n">
        <f aca="false">Data!E57</f>
        <v>0.026</v>
      </c>
      <c r="F218" s="22" t="n">
        <f aca="false">Data!F57</f>
        <v>91.57</v>
      </c>
      <c r="G218" s="22" t="n">
        <f aca="false">Data!S57</f>
        <v>23.01</v>
      </c>
      <c r="H218" s="22" t="n">
        <f aca="false">Data!T136*100</f>
        <v>1.5</v>
      </c>
      <c r="I218" s="22" t="str">
        <f aca="false">IF(AND(C218=Data!G57,E218&gt;0),IF(AND(C218=Data!U57,E218&gt;0),"Buy_ 52W_H","Buy_50D_H"),IF(AND(Data!H57=D218,E218&lt;0),IF(AND(Data!V57=D218,E218&lt;0),"Sell_52W_L ","Sell_50D_L "),""))</f>
        <v/>
      </c>
      <c r="J218" s="22" t="n">
        <f aca="false">RANK(L218,L:L)</f>
        <v>217</v>
      </c>
      <c r="K218" s="22" t="str">
        <f aca="false">IF(Data!R57&gt;=B218,IF(((C218-B218)/(C218-D218))*100&gt;80,"Down"," "),IF(Data!R57&lt;=B218,IF(((B218-D218)/(C218-D218))*100&gt;80,"Up"," ")))</f>
        <v> </v>
      </c>
      <c r="L218" s="22" t="n">
        <f aca="false">Data!I57</f>
        <v>-178.04</v>
      </c>
      <c r="M218" s="22" t="str">
        <f aca="false">IF(AND(B218&gt;Data!P57,Data!O57&lt;Data!P57),"Buy",IF(AND(B218&lt;Data!P57,Data!O57&gt;Data!P57),"Sell",""))</f>
        <v/>
      </c>
      <c r="N218" s="22" t="n">
        <f aca="false">Data!K57/1000</f>
        <v>5909.979</v>
      </c>
      <c r="O218" s="22" t="n">
        <f aca="false">Data!L57</f>
        <v>0.486</v>
      </c>
      <c r="P218" s="22" t="n">
        <f aca="false">Data!M57</f>
        <v>2505.39</v>
      </c>
      <c r="Q218" s="22" t="n">
        <f aca="false">Data!N57</f>
        <v>2414.12</v>
      </c>
      <c r="R218" s="22" t="n">
        <f aca="false">Data!J57</f>
        <v>33.62</v>
      </c>
      <c r="S218" s="22" t="str">
        <f aca="false">INDEX(Sector_div!$B$2:$B$227,MATCH(A218,Sector_div!$A$2:$A$227,0))</f>
        <v>finance</v>
      </c>
      <c r="T218" s="26"/>
      <c r="U218" s="27" t="str">
        <f aca="false">CONCATENATE("NSE:",A218,",")</f>
        <v>NSE:BSE,</v>
      </c>
    </row>
    <row r="219" customFormat="false" ht="15.75" hidden="false" customHeight="true" outlineLevel="0" collapsed="false">
      <c r="A219" s="22" t="str">
        <f aca="false">Data!A158</f>
        <v>PFC</v>
      </c>
      <c r="B219" s="23" t="n">
        <f aca="false">Data!B158</f>
        <v>399.85</v>
      </c>
      <c r="C219" s="22" t="n">
        <f aca="false">Data!C158</f>
        <v>402.7</v>
      </c>
      <c r="D219" s="22" t="n">
        <f aca="false">Data!D158</f>
        <v>394.4</v>
      </c>
      <c r="E219" s="24" t="n">
        <f aca="false">Data!E158</f>
        <v>-0.1</v>
      </c>
      <c r="F219" s="22" t="n">
        <f aca="false">Data!F158</f>
        <v>8.81</v>
      </c>
      <c r="G219" s="22" t="n">
        <f aca="false">Data!S158</f>
        <v>29.41</v>
      </c>
      <c r="H219" s="25" t="n">
        <f aca="false">Data!T47*100</f>
        <v>0.7</v>
      </c>
      <c r="I219" s="22" t="str">
        <f aca="false">IF(AND(C219=Data!G158,E219&gt;0),IF(AND(C219=Data!U158,E219&gt;0),"Buy_ 52W_H","Buy_50D_H"),IF(AND(Data!H158=D219,E219&lt;0),IF(AND(Data!V158=D219,E219&lt;0),"Sell_52W_L ","Sell_50D_L "),""))</f>
        <v/>
      </c>
      <c r="J219" s="22" t="n">
        <f aca="false">RANK(L219,L:L)</f>
        <v>218</v>
      </c>
      <c r="K219" s="22" t="str">
        <f aca="false">IF(Data!R158&gt;=B219,IF(((C219-B219)/(C219-D219))*100&gt;80,"Down"," "),IF(Data!R158&lt;=B219,IF(((B219-D219)/(C219-D219))*100&gt;80,"Up"," ")))</f>
        <v> </v>
      </c>
      <c r="L219" s="22" t="n">
        <f aca="false">Data!I158</f>
        <v>-185.95</v>
      </c>
      <c r="M219" s="22" t="str">
        <f aca="false">IF(AND(B219&gt;Data!P158,Data!O158&lt;Data!P158),"Buy",IF(AND(B219&lt;Data!P158,Data!O158&gt;Data!P158),"Sell",""))</f>
        <v/>
      </c>
      <c r="N219" s="22" t="n">
        <f aca="false">Data!K158/1000</f>
        <v>6197.569</v>
      </c>
      <c r="O219" s="22" t="n">
        <f aca="false">Data!L158</f>
        <v>0.909</v>
      </c>
      <c r="P219" s="22" t="n">
        <f aca="false">Data!M158</f>
        <v>416.35</v>
      </c>
      <c r="Q219" s="22" t="n">
        <f aca="false">Data!N158</f>
        <v>407.45</v>
      </c>
      <c r="R219" s="22" t="n">
        <f aca="false">Data!J158</f>
        <v>31.43</v>
      </c>
      <c r="S219" s="22" t="str">
        <f aca="false">INDEX(Sector_div!$B$2:$B$227,MATCH(A219,Sector_div!$A$2:$A$227,0))</f>
        <v>finance</v>
      </c>
      <c r="T219" s="26"/>
      <c r="U219" s="27" t="str">
        <f aca="false">CONCATENATE("NSE:",A219,",")</f>
        <v>NSE:PFC,</v>
      </c>
    </row>
    <row r="220" customFormat="false" ht="15.75" hidden="false" customHeight="true" outlineLevel="0" collapsed="false">
      <c r="A220" s="22" t="str">
        <f aca="false">Data!A157</f>
        <v>ITC</v>
      </c>
      <c r="B220" s="23" t="n">
        <f aca="false">Data!B157</f>
        <v>398.3</v>
      </c>
      <c r="C220" s="22" t="n">
        <f aca="false">Data!C157</f>
        <v>406.5</v>
      </c>
      <c r="D220" s="22" t="n">
        <f aca="false">Data!D157</f>
        <v>397.5</v>
      </c>
      <c r="E220" s="24" t="n">
        <f aca="false">Data!E157</f>
        <v>-1.79</v>
      </c>
      <c r="F220" s="22" t="n">
        <f aca="false">Data!F157</f>
        <v>5.25</v>
      </c>
      <c r="G220" s="22" t="n">
        <f aca="false">Data!S157</f>
        <v>24.64</v>
      </c>
      <c r="H220" s="22" t="n">
        <f aca="false">Data!T120*100</f>
        <v>3.4</v>
      </c>
      <c r="I220" s="22" t="str">
        <f aca="false">IF(AND(C220=Data!G157,E220&gt;0),IF(AND(C220=Data!U157,E220&gt;0),"Buy_ 52W_H","Buy_50D_H"),IF(AND(Data!H157=D220,E220&lt;0),IF(AND(Data!V157=D220,E220&lt;0),"Sell_52W_L ","Sell_50D_L "),""))</f>
        <v>Sell_50D_L </v>
      </c>
      <c r="J220" s="22" t="n">
        <f aca="false">RANK(L220,L:L)</f>
        <v>219</v>
      </c>
      <c r="K220" s="22" t="str">
        <f aca="false">IF(Data!R157&gt;=B220,IF(((C220-B220)/(C220-D220))*100&gt;80,"Down"," "),IF(Data!R157&lt;=B220,IF(((B220-D220)/(C220-D220))*100&gt;80,"Up"," ")))</f>
        <v>Down</v>
      </c>
      <c r="L220" s="22" t="n">
        <f aca="false">Data!I157</f>
        <v>-188.25</v>
      </c>
      <c r="M220" s="22" t="str">
        <f aca="false">IF(AND(B220&gt;Data!P157,Data!O157&lt;Data!P157),"Buy",IF(AND(B220&lt;Data!P157,Data!O157&gt;Data!P157),"Sell",""))</f>
        <v/>
      </c>
      <c r="N220" s="22" t="n">
        <f aca="false">Data!K157/1000</f>
        <v>13087.564</v>
      </c>
      <c r="O220" s="22" t="n">
        <f aca="false">Data!L157</f>
        <v>0.871</v>
      </c>
      <c r="P220" s="22" t="n">
        <f aca="false">Data!M157</f>
        <v>412.19</v>
      </c>
      <c r="Q220" s="22" t="n">
        <f aca="false">Data!N157</f>
        <v>407.09</v>
      </c>
      <c r="R220" s="22" t="n">
        <f aca="false">Data!J157</f>
        <v>20.36</v>
      </c>
      <c r="S220" s="22" t="str">
        <f aca="false">INDEX(Sector_div!$B$2:$B$227,MATCH(A220,Sector_div!$A$2:$A$227,0))</f>
        <v>fmcg</v>
      </c>
      <c r="T220" s="26"/>
      <c r="U220" s="27" t="str">
        <f aca="false">CONCATENATE("NSE:",A220,",")</f>
        <v>NSE:ITC,</v>
      </c>
    </row>
    <row r="221" customFormat="false" ht="15.75" hidden="false" customHeight="true" outlineLevel="0" collapsed="false">
      <c r="A221" s="22" t="str">
        <f aca="false">Data!A209</f>
        <v>NHPC</v>
      </c>
      <c r="B221" s="23" t="n">
        <f aca="false">Data!B209</f>
        <v>80.71</v>
      </c>
      <c r="C221" s="22" t="n">
        <f aca="false">Data!C209</f>
        <v>82.03</v>
      </c>
      <c r="D221" s="22" t="n">
        <f aca="false">Data!D209</f>
        <v>80.61</v>
      </c>
      <c r="E221" s="24" t="n">
        <f aca="false">Data!E209</f>
        <v>-1.37</v>
      </c>
      <c r="F221" s="22" t="n">
        <f aca="false">Data!F209</f>
        <v>1.73</v>
      </c>
      <c r="G221" s="22" t="n">
        <f aca="false">Data!S209</f>
        <v>19.69</v>
      </c>
      <c r="H221" s="25" t="n">
        <f aca="false">Data!T147*100</f>
        <v>4.3</v>
      </c>
      <c r="I221" s="22" t="str">
        <f aca="false">IF(AND(C221=Data!G209,E221&gt;0),IF(AND(C221=Data!U209,E221&gt;0),"Buy_ 52W_H","Buy_50D_H"),IF(AND(Data!H209=D221,E221&lt;0),IF(AND(Data!V209=D221,E221&lt;0),"Sell_52W_L ","Sell_50D_L "),""))</f>
        <v/>
      </c>
      <c r="J221" s="22" t="n">
        <f aca="false">RANK(L221,L:L)</f>
        <v>220</v>
      </c>
      <c r="K221" s="22" t="str">
        <f aca="false">IF(Data!R209&gt;=B221,IF(((C221-B221)/(C221-D221))*100&gt;80,"Down"," "),IF(Data!R209&lt;=B221,IF(((B221-D221)/(C221-D221))*100&gt;80,"Up"," ")))</f>
        <v>Down</v>
      </c>
      <c r="L221" s="22" t="n">
        <f aca="false">Data!I209</f>
        <v>-197.51</v>
      </c>
      <c r="M221" s="22" t="str">
        <f aca="false">IF(AND(B221&gt;Data!P209,Data!O209&lt;Data!P209),"Buy",IF(AND(B221&lt;Data!P209,Data!O209&gt;Data!P209),"Sell",""))</f>
        <v/>
      </c>
      <c r="N221" s="22" t="n">
        <f aca="false">Data!K209/1000</f>
        <v>8671.202</v>
      </c>
      <c r="O221" s="22" t="n">
        <f aca="false">Data!L209</f>
        <v>1.37</v>
      </c>
      <c r="P221" s="22" t="n">
        <f aca="false">Data!M209</f>
        <v>84.8</v>
      </c>
      <c r="Q221" s="22" t="n">
        <f aca="false">Data!N209</f>
        <v>83.06</v>
      </c>
      <c r="R221" s="22" t="n">
        <f aca="false">Data!J209</f>
        <v>32.7</v>
      </c>
      <c r="S221" s="22" t="str">
        <f aca="false">INDEX(Sector_div!$B$2:$B$227,MATCH(A221,Sector_div!$A$2:$A$227,0))</f>
        <v>power</v>
      </c>
      <c r="T221" s="26"/>
      <c r="U221" s="27" t="str">
        <f aca="false">CONCATENATE("NSE:",A221,",")</f>
        <v>NSE:NHPC,</v>
      </c>
    </row>
    <row r="222" customFormat="false" ht="15.75" hidden="false" customHeight="true" outlineLevel="0" collapsed="false">
      <c r="A222" s="22"/>
      <c r="B222" s="23"/>
      <c r="C222" s="22"/>
      <c r="D222" s="22"/>
      <c r="E222" s="24"/>
      <c r="F222" s="22"/>
      <c r="G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</row>
    <row r="223" customFormat="false" ht="15.75" hidden="false" customHeight="true" outlineLevel="0" collapsed="false">
      <c r="A223" s="22"/>
      <c r="B223" s="23"/>
      <c r="C223" s="22"/>
      <c r="D223" s="22"/>
      <c r="E223" s="24"/>
      <c r="F223" s="22"/>
      <c r="G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</row>
    <row r="224" customFormat="false" ht="15.75" hidden="false" customHeight="true" outlineLevel="0" collapsed="false">
      <c r="A224" s="22"/>
      <c r="B224" s="23"/>
      <c r="C224" s="22"/>
      <c r="D224" s="22"/>
      <c r="E224" s="24"/>
      <c r="F224" s="22"/>
      <c r="G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</row>
    <row r="225" customFormat="false" ht="15.75" hidden="false" customHeight="true" outlineLevel="0" collapsed="false">
      <c r="A225" s="22"/>
      <c r="B225" s="23"/>
      <c r="C225" s="22"/>
      <c r="D225" s="22"/>
      <c r="E225" s="24"/>
      <c r="F225" s="22"/>
      <c r="G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</row>
    <row r="226" customFormat="false" ht="15.75" hidden="false" customHeight="true" outlineLevel="0" collapsed="false">
      <c r="A226" s="22"/>
      <c r="B226" s="23"/>
      <c r="C226" s="22"/>
      <c r="D226" s="22"/>
      <c r="E226" s="24"/>
      <c r="F226" s="22"/>
      <c r="G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</row>
    <row r="227" customFormat="false" ht="15.75" hidden="false" customHeight="true" outlineLevel="0" collapsed="false">
      <c r="A227" s="22"/>
      <c r="B227" s="23"/>
      <c r="C227" s="22"/>
      <c r="D227" s="22"/>
      <c r="E227" s="24"/>
      <c r="F227" s="22"/>
      <c r="G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</row>
    <row r="228" customFormat="false" ht="15.75" hidden="false" customHeight="true" outlineLevel="0" collapsed="false">
      <c r="A228" s="22"/>
      <c r="B228" s="23"/>
      <c r="C228" s="22"/>
      <c r="D228" s="22"/>
      <c r="E228" s="24"/>
      <c r="F228" s="22"/>
      <c r="G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</row>
    <row r="229" customFormat="false" ht="15.75" hidden="false" customHeight="true" outlineLevel="0" collapsed="false">
      <c r="A229" s="22"/>
      <c r="B229" s="23"/>
      <c r="C229" s="22"/>
      <c r="D229" s="22"/>
      <c r="E229" s="24"/>
      <c r="F229" s="22"/>
      <c r="G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</row>
    <row r="230" customFormat="false" ht="15.75" hidden="false" customHeight="true" outlineLevel="0" collapsed="false">
      <c r="A230" s="22"/>
      <c r="B230" s="23"/>
      <c r="C230" s="22"/>
      <c r="D230" s="22"/>
      <c r="E230" s="24"/>
      <c r="F230" s="22"/>
      <c r="G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</row>
    <row r="231" customFormat="false" ht="15.75" hidden="false" customHeight="true" outlineLevel="0" collapsed="false">
      <c r="A231" s="22"/>
      <c r="B231" s="23"/>
      <c r="C231" s="22"/>
      <c r="D231" s="22"/>
      <c r="E231" s="24"/>
      <c r="F231" s="22"/>
      <c r="G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</row>
    <row r="232" customFormat="false" ht="15.75" hidden="false" customHeight="true" outlineLevel="0" collapsed="false">
      <c r="A232" s="22"/>
      <c r="B232" s="23"/>
      <c r="C232" s="22"/>
      <c r="D232" s="22"/>
      <c r="E232" s="24"/>
      <c r="F232" s="22"/>
      <c r="G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</row>
    <row r="233" customFormat="false" ht="15.75" hidden="false" customHeight="true" outlineLevel="0" collapsed="false">
      <c r="A233" s="22"/>
      <c r="B233" s="23"/>
      <c r="C233" s="22"/>
      <c r="D233" s="22"/>
      <c r="E233" s="24"/>
      <c r="F233" s="22"/>
      <c r="G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</row>
    <row r="234" customFormat="false" ht="15.75" hidden="false" customHeight="true" outlineLevel="0" collapsed="false">
      <c r="A234" s="22"/>
      <c r="B234" s="23"/>
      <c r="C234" s="22"/>
      <c r="D234" s="22"/>
      <c r="E234" s="24"/>
      <c r="F234" s="22"/>
      <c r="G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</row>
    <row r="235" customFormat="false" ht="15.75" hidden="false" customHeight="true" outlineLevel="0" collapsed="false">
      <c r="A235" s="22"/>
      <c r="B235" s="23"/>
      <c r="C235" s="22"/>
      <c r="D235" s="22"/>
      <c r="E235" s="24"/>
      <c r="F235" s="22"/>
      <c r="G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</row>
    <row r="236" customFormat="false" ht="15.75" hidden="false" customHeight="true" outlineLevel="0" collapsed="false">
      <c r="A236" s="22"/>
      <c r="B236" s="23"/>
      <c r="C236" s="22"/>
      <c r="D236" s="22"/>
      <c r="E236" s="24"/>
      <c r="F236" s="22"/>
      <c r="G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</row>
    <row r="237" customFormat="false" ht="15.75" hidden="false" customHeight="true" outlineLevel="0" collapsed="false">
      <c r="A237" s="22"/>
      <c r="B237" s="23"/>
      <c r="C237" s="22"/>
      <c r="D237" s="22"/>
      <c r="E237" s="24"/>
      <c r="F237" s="22"/>
      <c r="G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</row>
    <row r="238" customFormat="false" ht="15.75" hidden="false" customHeight="true" outlineLevel="0" collapsed="false">
      <c r="A238" s="22"/>
      <c r="B238" s="23"/>
      <c r="C238" s="22"/>
      <c r="D238" s="22"/>
      <c r="E238" s="24"/>
      <c r="F238" s="22"/>
      <c r="G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</row>
    <row r="239" customFormat="false" ht="15.75" hidden="false" customHeight="true" outlineLevel="0" collapsed="false">
      <c r="A239" s="22"/>
      <c r="B239" s="23"/>
      <c r="C239" s="22"/>
      <c r="D239" s="22"/>
      <c r="E239" s="24"/>
      <c r="F239" s="22"/>
      <c r="G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</row>
    <row r="240" customFormat="false" ht="15.75" hidden="false" customHeight="true" outlineLevel="0" collapsed="false">
      <c r="A240" s="22"/>
      <c r="B240" s="23"/>
      <c r="C240" s="22"/>
      <c r="D240" s="22"/>
      <c r="E240" s="24"/>
      <c r="F240" s="22"/>
      <c r="G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</row>
    <row r="241" customFormat="false" ht="15.75" hidden="false" customHeight="true" outlineLevel="0" collapsed="false">
      <c r="A241" s="22"/>
      <c r="B241" s="23"/>
      <c r="C241" s="22"/>
      <c r="D241" s="22"/>
      <c r="E241" s="24"/>
      <c r="F241" s="22"/>
      <c r="G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</row>
    <row r="242" customFormat="false" ht="15.75" hidden="false" customHeight="true" outlineLevel="0" collapsed="false">
      <c r="A242" s="22"/>
      <c r="B242" s="23"/>
      <c r="C242" s="22"/>
      <c r="D242" s="22"/>
      <c r="E242" s="24"/>
      <c r="F242" s="22"/>
      <c r="G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</row>
    <row r="243" customFormat="false" ht="15.75" hidden="false" customHeight="true" outlineLevel="0" collapsed="false">
      <c r="A243" s="22"/>
      <c r="B243" s="23"/>
      <c r="C243" s="22"/>
      <c r="D243" s="22"/>
      <c r="E243" s="24"/>
      <c r="F243" s="22"/>
      <c r="G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</row>
    <row r="244" customFormat="false" ht="15.75" hidden="false" customHeight="true" outlineLevel="0" collapsed="false">
      <c r="A244" s="22"/>
      <c r="B244" s="23"/>
      <c r="C244" s="22"/>
      <c r="D244" s="22"/>
      <c r="E244" s="24"/>
      <c r="F244" s="22"/>
      <c r="G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</row>
    <row r="245" customFormat="false" ht="15.75" hidden="false" customHeight="true" outlineLevel="0" collapsed="false">
      <c r="A245" s="22"/>
      <c r="B245" s="23"/>
      <c r="C245" s="22"/>
      <c r="D245" s="22"/>
      <c r="E245" s="24"/>
      <c r="F245" s="22"/>
      <c r="G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</row>
    <row r="246" customFormat="false" ht="15.75" hidden="false" customHeight="true" outlineLevel="0" collapsed="false">
      <c r="A246" s="22"/>
      <c r="B246" s="23"/>
      <c r="C246" s="22"/>
      <c r="D246" s="22"/>
      <c r="E246" s="24"/>
      <c r="F246" s="22"/>
      <c r="G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</row>
    <row r="247" customFormat="false" ht="15.75" hidden="false" customHeight="true" outlineLevel="0" collapsed="false">
      <c r="A247" s="22"/>
      <c r="B247" s="23"/>
      <c r="C247" s="22"/>
      <c r="D247" s="22"/>
      <c r="E247" s="24"/>
      <c r="F247" s="22"/>
      <c r="G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</row>
    <row r="248" customFormat="false" ht="15.75" hidden="false" customHeight="true" outlineLevel="0" collapsed="false">
      <c r="A248" s="22"/>
      <c r="B248" s="23"/>
      <c r="C248" s="22"/>
      <c r="D248" s="22"/>
      <c r="E248" s="24"/>
      <c r="F248" s="22"/>
      <c r="G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</row>
    <row r="249" customFormat="false" ht="15.75" hidden="false" customHeight="true" outlineLevel="0" collapsed="false">
      <c r="A249" s="22"/>
      <c r="B249" s="23"/>
      <c r="C249" s="22"/>
      <c r="D249" s="22"/>
      <c r="E249" s="24"/>
      <c r="F249" s="22"/>
      <c r="G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</row>
    <row r="250" customFormat="false" ht="15.75" hidden="false" customHeight="true" outlineLevel="0" collapsed="false">
      <c r="A250" s="22"/>
      <c r="B250" s="23"/>
      <c r="C250" s="22"/>
      <c r="D250" s="22"/>
      <c r="E250" s="24"/>
      <c r="F250" s="22"/>
      <c r="G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</row>
    <row r="251" customFormat="false" ht="15.75" hidden="false" customHeight="true" outlineLevel="0" collapsed="false">
      <c r="A251" s="22"/>
      <c r="B251" s="23"/>
      <c r="C251" s="22"/>
      <c r="D251" s="22"/>
      <c r="E251" s="24"/>
      <c r="F251" s="22"/>
      <c r="G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</row>
    <row r="252" customFormat="false" ht="15.75" hidden="false" customHeight="true" outlineLevel="0" collapsed="false">
      <c r="A252" s="22"/>
      <c r="B252" s="23"/>
      <c r="C252" s="22"/>
      <c r="D252" s="22"/>
      <c r="E252" s="24"/>
      <c r="F252" s="22"/>
      <c r="G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</row>
    <row r="253" customFormat="false" ht="15.75" hidden="false" customHeight="true" outlineLevel="0" collapsed="false">
      <c r="A253" s="22"/>
      <c r="B253" s="23"/>
      <c r="C253" s="22"/>
      <c r="D253" s="22"/>
      <c r="E253" s="24"/>
      <c r="F253" s="22"/>
      <c r="G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</row>
    <row r="254" customFormat="false" ht="15.75" hidden="false" customHeight="true" outlineLevel="0" collapsed="false">
      <c r="A254" s="22"/>
      <c r="B254" s="23"/>
      <c r="C254" s="22"/>
      <c r="D254" s="22"/>
      <c r="E254" s="24"/>
      <c r="F254" s="22"/>
      <c r="G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</row>
    <row r="255" customFormat="false" ht="15.75" hidden="false" customHeight="true" outlineLevel="0" collapsed="false">
      <c r="A255" s="22"/>
      <c r="B255" s="23"/>
      <c r="C255" s="22"/>
      <c r="D255" s="22"/>
      <c r="E255" s="24"/>
      <c r="F255" s="22"/>
      <c r="G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</row>
    <row r="256" customFormat="false" ht="15.75" hidden="false" customHeight="true" outlineLevel="0" collapsed="false">
      <c r="A256" s="22"/>
      <c r="B256" s="23"/>
      <c r="C256" s="22"/>
      <c r="D256" s="22"/>
      <c r="E256" s="24"/>
      <c r="F256" s="22"/>
      <c r="G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</row>
    <row r="257" customFormat="false" ht="15.75" hidden="false" customHeight="true" outlineLevel="0" collapsed="false">
      <c r="A257" s="22"/>
      <c r="B257" s="23"/>
      <c r="C257" s="22"/>
      <c r="D257" s="22"/>
      <c r="E257" s="24"/>
      <c r="F257" s="22"/>
      <c r="G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</row>
    <row r="258" customFormat="false" ht="15.75" hidden="false" customHeight="true" outlineLevel="0" collapsed="false">
      <c r="A258" s="22"/>
      <c r="B258" s="23"/>
      <c r="C258" s="22"/>
      <c r="D258" s="22"/>
      <c r="E258" s="24"/>
      <c r="F258" s="22"/>
      <c r="G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</row>
    <row r="259" customFormat="false" ht="15.75" hidden="false" customHeight="true" outlineLevel="0" collapsed="false">
      <c r="A259" s="22"/>
      <c r="B259" s="23"/>
      <c r="C259" s="22"/>
      <c r="D259" s="22"/>
      <c r="E259" s="24"/>
      <c r="F259" s="22"/>
      <c r="G259" s="22"/>
      <c r="I259" s="22"/>
      <c r="J259" s="22"/>
      <c r="K259" s="22"/>
    </row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autoFilter ref="A1:S259"/>
  <conditionalFormatting sqref="H2:H184">
    <cfRule type="cellIs" priority="2" operator="lessThanOrEqual" aboveAverage="0" equalAverage="0" bottom="0" percent="0" rank="0" text="" dxfId="9">
      <formula>20</formula>
    </cfRule>
  </conditionalFormatting>
  <conditionalFormatting sqref="I2:I259">
    <cfRule type="containsText" priority="3" operator="containsText" aboveAverage="0" equalAverage="0" bottom="0" percent="0" rank="0" text="Buy" dxfId="10">
      <formula>NOT(ISERROR(SEARCH("Buy",I2)))</formula>
    </cfRule>
    <cfRule type="containsText" priority="4" operator="containsText" aboveAverage="0" equalAverage="0" bottom="0" percent="0" rank="0" text="Sell" dxfId="11">
      <formula>NOT(ISERROR(SEARCH("Sell",I2)))</formula>
    </cfRule>
  </conditionalFormatting>
  <conditionalFormatting sqref="K2:K259">
    <cfRule type="containsText" priority="5" operator="containsText" aboveAverage="0" equalAverage="0" bottom="0" percent="0" rank="0" text="Up" dxfId="12">
      <formula>NOT(ISERROR(SEARCH("Up",K2)))</formula>
    </cfRule>
    <cfRule type="containsText" priority="6" operator="containsText" aboveAverage="0" equalAverage="0" bottom="0" percent="0" rank="0" text="Down" dxfId="13">
      <formula>NOT(ISERROR(SEARCH("Down",K2)))</formula>
    </cfRule>
  </conditionalFormatting>
  <conditionalFormatting sqref="M2:M258">
    <cfRule type="containsText" priority="7" operator="containsText" aboveAverage="0" equalAverage="0" bottom="0" percent="0" rank="0" text="Buy" dxfId="14">
      <formula>NOT(ISERROR(SEARCH("Buy",M2)))</formula>
    </cfRule>
    <cfRule type="containsText" priority="8" operator="containsText" aboveAverage="0" equalAverage="0" bottom="0" percent="0" rank="0" text="Sell" dxfId="11">
      <formula>NOT(ISERROR(SEARCH("Sell",M2)))</formula>
    </cfRule>
  </conditionalFormatting>
  <conditionalFormatting sqref="P2:P258">
    <cfRule type="expression" priority="9" aboveAverage="0" equalAverage="0" bottom="0" percent="0" rank="0" text="" dxfId="15">
      <formula>P2&lt;B2</formula>
    </cfRule>
    <cfRule type="expression" priority="10" aboveAverage="0" equalAverage="0" bottom="0" percent="0" rank="0" text="" dxfId="9">
      <formula>P2&gt;B2</formula>
    </cfRule>
  </conditionalFormatting>
  <conditionalFormatting sqref="Q2:Q258">
    <cfRule type="expression" priority="11" aboveAverage="0" equalAverage="0" bottom="0" percent="0" rank="0" text="" dxfId="16">
      <formula>Q2&lt;B2</formula>
    </cfRule>
    <cfRule type="expression" priority="12" aboveAverage="0" equalAverage="0" bottom="0" percent="0" rank="0" text="" dxfId="9">
      <formula>Q2&gt;B2</formula>
    </cfRule>
  </conditionalFormatting>
  <printOptions headings="false" gridLines="true" gridLinesSet="true" horizontalCentered="true" verticalCentered="true"/>
  <pageMargins left="0.708333333333333" right="0.708333333333333" top="0.590277777777778" bottom="0.590277777777778" header="0.511811023622047" footer="0.511811023622047"/>
  <pageSetup paperSize="8" scale="100" fitToWidth="1" fitToHeight="0" pageOrder="overThenDown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P3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L9" activeCellId="0" sqref="L9"/>
    </sheetView>
  </sheetViews>
  <sheetFormatPr defaultColWidth="8.66796875" defaultRowHeight="20.25" customHeight="true" zeroHeight="false" outlineLevelRow="0" outlineLevelCol="0"/>
  <cols>
    <col collapsed="false" customWidth="true" hidden="false" outlineLevel="0" max="1" min="1" style="28" width="27.17"/>
    <col collapsed="false" customWidth="true" hidden="false" outlineLevel="0" max="4" min="2" style="28" width="13.67"/>
    <col collapsed="false" customWidth="true" hidden="false" outlineLevel="0" max="5" min="5" style="28" width="16"/>
    <col collapsed="false" customWidth="true" hidden="false" outlineLevel="0" max="6" min="6" style="28" width="12.11"/>
    <col collapsed="false" customWidth="true" hidden="false" outlineLevel="0" max="7" min="7" style="28" width="18.44"/>
    <col collapsed="false" customWidth="true" hidden="true" outlineLevel="0" max="8" min="8" style="28" width="18"/>
    <col collapsed="false" customWidth="true" hidden="false" outlineLevel="0" max="9" min="9" style="28" width="17.11"/>
    <col collapsed="false" customWidth="true" hidden="false" outlineLevel="0" max="10" min="10" style="28" width="10.11"/>
    <col collapsed="false" customWidth="true" hidden="false" outlineLevel="0" max="11" min="11" style="28" width="18.44"/>
    <col collapsed="false" customWidth="true" hidden="false" outlineLevel="0" max="12" min="12" style="28" width="11.44"/>
    <col collapsed="false" customWidth="true" hidden="false" outlineLevel="0" max="13" min="13" style="28" width="16.44"/>
    <col collapsed="false" customWidth="true" hidden="false" outlineLevel="0" max="15" min="14" style="28" width="13.67"/>
    <col collapsed="false" customWidth="true" hidden="false" outlineLevel="0" max="16" min="16" style="28" width="9.11"/>
    <col collapsed="false" customWidth="false" hidden="false" outlineLevel="0" max="16384" min="17" style="28" width="8.67"/>
  </cols>
  <sheetData>
    <row r="1" customFormat="false" ht="20.25" hidden="false" customHeight="true" outlineLevel="0" collapsed="false">
      <c r="A1" s="29" t="s">
        <v>17</v>
      </c>
      <c r="B1" s="29" t="s">
        <v>17</v>
      </c>
      <c r="C1" s="29" t="s">
        <v>17</v>
      </c>
      <c r="D1" s="29" t="s">
        <v>17</v>
      </c>
      <c r="E1" s="29" t="s">
        <v>17</v>
      </c>
      <c r="F1" s="29" t="s">
        <v>17</v>
      </c>
      <c r="G1" s="29" t="s">
        <v>17</v>
      </c>
      <c r="H1" s="29" t="s">
        <v>13</v>
      </c>
      <c r="I1" s="29" t="s">
        <v>17</v>
      </c>
      <c r="J1" s="29" t="s">
        <v>17</v>
      </c>
      <c r="K1" s="29" t="s">
        <v>18</v>
      </c>
      <c r="L1" s="29" t="s">
        <v>19</v>
      </c>
      <c r="M1" s="29" t="s">
        <v>20</v>
      </c>
      <c r="N1" s="29" t="n">
        <v>10.2</v>
      </c>
      <c r="O1" s="29" t="n">
        <v>10.1</v>
      </c>
      <c r="P1" s="29" t="s">
        <v>14</v>
      </c>
    </row>
    <row r="2" customFormat="false" ht="20.25" hidden="false" customHeight="true" outlineLevel="0" collapsed="false">
      <c r="A2" s="30" t="str">
        <f aca="false">Indexdata!A24</f>
        <v>NIFTYGROWSECT15</v>
      </c>
      <c r="B2" s="31" t="n">
        <f aca="false">Indexdata!B24</f>
        <v>11805.9</v>
      </c>
      <c r="C2" s="30" t="n">
        <f aca="false">Indexdata!C24</f>
        <v>11847.5</v>
      </c>
      <c r="D2" s="30" t="n">
        <f aca="false">Indexdata!D24</f>
        <v>11787.8</v>
      </c>
      <c r="E2" s="32" t="n">
        <f aca="false">Indexdata!E24</f>
        <v>-0.051</v>
      </c>
      <c r="F2" s="30" t="n">
        <f aca="false">Indexdata!F24</f>
        <v>131.04</v>
      </c>
      <c r="G2" s="30" t="n">
        <f aca="false">Indexdata!S24</f>
        <v>9.64</v>
      </c>
      <c r="H2" s="30" t="n">
        <f aca="false">Indexdata!T24*100</f>
        <v>0.2</v>
      </c>
      <c r="I2" s="30" t="str">
        <f aca="false">IF(AND(C2=Indexdata!G24,E2&gt;0),IF(AND(C2=Indexdata!U24,E2&gt;0),"Buy_ 52W_H","Buy_50D_H"),IF(AND(Indexdata!H24=D2,E2&lt;0),IF(AND(Indexdata!V24=D2,E2&lt;0),"Sell_52W_L ","Sell_50D_L "),""))</f>
        <v/>
      </c>
      <c r="J2" s="30" t="n">
        <f aca="false">RANK(L2,L:L)</f>
        <v>1</v>
      </c>
      <c r="K2" s="30" t="str">
        <f aca="false">IF(Indexdata!R24&gt;=B2,IF(((C2-B2)/(C2-D2))*100&gt;80,"Down"," "),IF(Indexdata!R24&lt;=B2,IF(((B2-D2)/(C2-D2))*100&gt;80,"Up"," ")))</f>
        <v> </v>
      </c>
      <c r="L2" s="30" t="n">
        <f aca="false">Indexdata!I24</f>
        <v>175.06</v>
      </c>
      <c r="M2" s="30" t="str">
        <f aca="false">IF(AND(B2&gt;Indexdata!P24,Indexdata!O24&lt;Indexdata!P24),"Buy",IF(AND(B2&lt;Indexdata!P24,Indexdata!O24&gt;Indexdata!P24),"Sell",""))</f>
        <v/>
      </c>
      <c r="N2" s="30" t="n">
        <f aca="false">Indexdata!M24</f>
        <v>11554.57</v>
      </c>
      <c r="O2" s="30" t="n">
        <f aca="false">Indexdata!N24</f>
        <v>11686.11</v>
      </c>
      <c r="P2" s="33" t="n">
        <f aca="false">Indexdata!J24</f>
        <v>77.59</v>
      </c>
    </row>
    <row r="3" customFormat="false" ht="20.25" hidden="false" customHeight="true" outlineLevel="0" collapsed="false">
      <c r="A3" s="30" t="str">
        <f aca="false">Indexdata!A23</f>
        <v>NIFTYCONSUMPTION</v>
      </c>
      <c r="B3" s="31" t="n">
        <f aca="false">Indexdata!B23</f>
        <v>12196.3</v>
      </c>
      <c r="C3" s="30" t="n">
        <f aca="false">Indexdata!C23</f>
        <v>12282.4</v>
      </c>
      <c r="D3" s="30" t="n">
        <f aca="false">Indexdata!D23</f>
        <v>12183.2</v>
      </c>
      <c r="E3" s="32" t="n">
        <f aca="false">Indexdata!E23</f>
        <v>-0.511</v>
      </c>
      <c r="F3" s="30" t="n">
        <f aca="false">Indexdata!F23</f>
        <v>121.68</v>
      </c>
      <c r="G3" s="30" t="n">
        <f aca="false">Indexdata!S23</f>
        <v>6.6</v>
      </c>
      <c r="H3" s="30" t="n">
        <f aca="false">Indexdata!T23*100</f>
        <v>0.1</v>
      </c>
      <c r="I3" s="30" t="str">
        <f aca="false">IF(AND(C3=Indexdata!G23,E3&gt;0),IF(AND(C3=Indexdata!U23,E3&gt;0),"Buy_ 52W_H","Buy_50D_H"),IF(AND(Indexdata!H23=D3,E3&lt;0),IF(AND(Indexdata!V23=D3,E3&lt;0),"Sell_52W_L ","Sell_50D_L "),""))</f>
        <v/>
      </c>
      <c r="J3" s="30" t="n">
        <f aca="false">RANK(L3,L:L)</f>
        <v>2</v>
      </c>
      <c r="K3" s="30" t="str">
        <f aca="false">IF(Indexdata!R23&gt;=B3,IF(((C3-B3)/(C3-D3))*100&gt;80,"Down"," "),IF(Indexdata!R23&lt;=B3,IF(((B3-D3)/(C3-D3))*100&gt;80,"Up"," ")))</f>
        <v>Down</v>
      </c>
      <c r="L3" s="30" t="n">
        <f aca="false">Indexdata!I23</f>
        <v>140.46</v>
      </c>
      <c r="M3" s="30" t="str">
        <f aca="false">IF(AND(B3&gt;Indexdata!P23,Indexdata!O23&lt;Indexdata!P23),"Buy",IF(AND(B3&lt;Indexdata!P23,Indexdata!O23&gt;Indexdata!P23),"Sell",""))</f>
        <v/>
      </c>
      <c r="N3" s="30" t="n">
        <f aca="false">Indexdata!M23</f>
        <v>12031.3</v>
      </c>
      <c r="O3" s="30" t="n">
        <f aca="false">Indexdata!N23</f>
        <v>12154.72</v>
      </c>
      <c r="P3" s="33" t="n">
        <f aca="false">Indexdata!J23</f>
        <v>70.45</v>
      </c>
    </row>
    <row r="4" customFormat="false" ht="20.25" hidden="false" customHeight="true" outlineLevel="0" collapsed="false">
      <c r="A4" s="30" t="str">
        <f aca="false">Indexdata!A13</f>
        <v>NIFTYAUTO</v>
      </c>
      <c r="B4" s="31" t="n">
        <f aca="false">Indexdata!B13</f>
        <v>25329.45</v>
      </c>
      <c r="C4" s="30" t="n">
        <f aca="false">Indexdata!C13</f>
        <v>25464.8</v>
      </c>
      <c r="D4" s="30" t="n">
        <f aca="false">Indexdata!D13</f>
        <v>25291.55</v>
      </c>
      <c r="E4" s="32" t="n">
        <f aca="false">Indexdata!E13</f>
        <v>-0.189</v>
      </c>
      <c r="F4" s="30" t="n">
        <f aca="false">Indexdata!F13</f>
        <v>342.08</v>
      </c>
      <c r="G4" s="30" t="n">
        <f aca="false">Indexdata!S13</f>
        <v>8.55</v>
      </c>
      <c r="H4" s="30" t="n">
        <f aca="false">Indexdata!T13*100</f>
        <v>0.1</v>
      </c>
      <c r="I4" s="30" t="str">
        <f aca="false">IF(AND(C4=Indexdata!G13,E4&gt;0),IF(AND(C4=Indexdata!U13,E4&gt;0),"Buy_ 52W_H","Buy_50D_H"),IF(AND(Indexdata!H13=D4,E4&lt;0),IF(AND(Indexdata!V13=D4,E4&lt;0),"Sell_52W_L ","Sell_50D_L "),""))</f>
        <v/>
      </c>
      <c r="J4" s="30" t="n">
        <f aca="false">RANK(L4,L:L)</f>
        <v>3</v>
      </c>
      <c r="K4" s="30" t="str">
        <f aca="false">IF(Indexdata!R13&gt;=B4,IF(((C4-B4)/(C4-D4))*100&gt;80,"Down"," "),IF(Indexdata!R13&lt;=B4,IF(((B4-D4)/(C4-D4))*100&gt;80,"Up"," ")))</f>
        <v> </v>
      </c>
      <c r="L4" s="30" t="n">
        <f aca="false">Indexdata!I13</f>
        <v>137.25</v>
      </c>
      <c r="M4" s="30" t="str">
        <f aca="false">IF(AND(B4&gt;Indexdata!P13,Indexdata!O13&lt;Indexdata!P13),"Buy",IF(AND(B4&lt;Indexdata!P13,Indexdata!O13&gt;Indexdata!P13),"Sell",""))</f>
        <v/>
      </c>
      <c r="N4" s="30" t="n">
        <f aca="false">Indexdata!M13</f>
        <v>24720.44</v>
      </c>
      <c r="O4" s="30" t="n">
        <f aca="false">Indexdata!N13</f>
        <v>25091.33</v>
      </c>
      <c r="P4" s="33" t="n">
        <f aca="false">Indexdata!J13</f>
        <v>77.34</v>
      </c>
    </row>
    <row r="5" customFormat="false" ht="20.25" hidden="false" customHeight="true" outlineLevel="0" collapsed="false">
      <c r="A5" s="30" t="str">
        <f aca="false">Indexdata!A7</f>
        <v>CNXIT</v>
      </c>
      <c r="B5" s="31" t="n">
        <f aca="false">Indexdata!B7</f>
        <v>35440.85</v>
      </c>
      <c r="C5" s="30" t="n">
        <f aca="false">Indexdata!C7</f>
        <v>35767.15</v>
      </c>
      <c r="D5" s="30" t="n">
        <f aca="false">Indexdata!D7</f>
        <v>35415.4</v>
      </c>
      <c r="E5" s="32" t="n">
        <f aca="false">Indexdata!E7</f>
        <v>-0.792</v>
      </c>
      <c r="F5" s="30" t="n">
        <f aca="false">Indexdata!F7</f>
        <v>537.07</v>
      </c>
      <c r="G5" s="30" t="n">
        <f aca="false">Indexdata!S7</f>
        <v>23.1</v>
      </c>
      <c r="H5" s="30" t="n">
        <f aca="false">Indexdata!T7*100</f>
        <v>0</v>
      </c>
      <c r="I5" s="30" t="str">
        <f aca="false">IF(AND(C5=Indexdata!G7,E5&gt;0),IF(AND(C5=Indexdata!U7,E5&gt;0),"Buy_ 52W_H","Buy_50D_H"),IF(AND(Indexdata!H7=D5,E5&lt;0),IF(AND(Indexdata!V7=D5,E5&lt;0),"Sell_52W_L ","Sell_50D_L "),""))</f>
        <v/>
      </c>
      <c r="J5" s="30" t="n">
        <f aca="false">RANK(L5,L:L)</f>
        <v>4</v>
      </c>
      <c r="K5" s="30" t="str">
        <f aca="false">IF(Indexdata!R7&gt;=B5,IF(((C5-B5)/(C5-D5))*100&gt;80,"Down"," "),IF(Indexdata!R7&lt;=B5,IF(((B5-D5)/(C5-D5))*100&gt;80,"Up"," ")))</f>
        <v>Down</v>
      </c>
      <c r="L5" s="30" t="n">
        <f aca="false">Indexdata!I7</f>
        <v>96.21</v>
      </c>
      <c r="M5" s="30" t="str">
        <f aca="false">IF(AND(B5&gt;Indexdata!P7,Indexdata!O7&lt;Indexdata!P7),"Buy",IF(AND(B5&lt;Indexdata!P7,Indexdata!O7&gt;Indexdata!P7),"Sell",""))</f>
        <v/>
      </c>
      <c r="N5" s="30" t="n">
        <f aca="false">Indexdata!M7</f>
        <v>34573.89</v>
      </c>
      <c r="O5" s="30" t="n">
        <f aca="false">Indexdata!N7</f>
        <v>35132.95</v>
      </c>
      <c r="P5" s="33" t="n">
        <f aca="false">Indexdata!J7</f>
        <v>57.41</v>
      </c>
    </row>
    <row r="6" customFormat="false" ht="20.25" hidden="false" customHeight="true" outlineLevel="0" collapsed="false">
      <c r="A6" s="30" t="str">
        <f aca="false">Indexdata!A2</f>
        <v>CNXNIFTYJUNIOR</v>
      </c>
      <c r="B6" s="31" t="n">
        <f aca="false">Indexdata!B2</f>
        <v>67540.1</v>
      </c>
      <c r="C6" s="30" t="n">
        <f aca="false">Indexdata!C2</f>
        <v>68252.3</v>
      </c>
      <c r="D6" s="30" t="n">
        <f aca="false">Indexdata!D2</f>
        <v>67510.45</v>
      </c>
      <c r="E6" s="32" t="n">
        <f aca="false">Indexdata!E2</f>
        <v>-0.636</v>
      </c>
      <c r="F6" s="30" t="n">
        <f aca="false">Indexdata!F2</f>
        <v>694</v>
      </c>
      <c r="G6" s="30" t="n">
        <f aca="false">Indexdata!S2</f>
        <v>13.32</v>
      </c>
      <c r="H6" s="30" t="n">
        <f aca="false">Indexdata!T2*100</f>
        <v>0</v>
      </c>
      <c r="I6" s="30" t="str">
        <f aca="false">IF(AND(C6=Indexdata!G2,E6&gt;0),IF(AND(C6=Indexdata!U2,E6&gt;0),"Buy_ 52W_H","Buy_50D_H"),IF(AND(Indexdata!H2=D6,E6&lt;0),IF(AND(Indexdata!V2=D6,E6&lt;0),"Sell_52W_L ","Sell_50D_L "),""))</f>
        <v/>
      </c>
      <c r="J6" s="30" t="n">
        <f aca="false">RANK(L6,L:L)</f>
        <v>5</v>
      </c>
      <c r="K6" s="30" t="str">
        <f aca="false">IF(Indexdata!R2&gt;=B6,IF(((C6-B6)/(C6-D6))*100&gt;80,"Down"," "),IF(Indexdata!R2&lt;=B6,IF(((B6-D6)/(C6-D6))*100&gt;80,"Up"," ")))</f>
        <v>Down</v>
      </c>
      <c r="L6" s="30" t="n">
        <f aca="false">Indexdata!I2</f>
        <v>95.73</v>
      </c>
      <c r="M6" s="30" t="str">
        <f aca="false">IF(AND(B6&gt;Indexdata!P2,Indexdata!O2&lt;Indexdata!P2),"Buy",IF(AND(B6&lt;Indexdata!P2,Indexdata!O2&gt;Indexdata!P2),"Sell",""))</f>
        <v/>
      </c>
      <c r="N6" s="30" t="n">
        <f aca="false">Indexdata!M2</f>
        <v>66741.51</v>
      </c>
      <c r="O6" s="30" t="n">
        <f aca="false">Indexdata!N2</f>
        <v>67441.22</v>
      </c>
      <c r="P6" s="33" t="n">
        <f aca="false">Indexdata!J2</f>
        <v>55.57</v>
      </c>
    </row>
    <row r="7" customFormat="false" ht="20.25" hidden="false" customHeight="true" outlineLevel="0" collapsed="false">
      <c r="A7" s="30" t="str">
        <f aca="false">Indexdata!A6</f>
        <v>NIFTYCONSURDURBL</v>
      </c>
      <c r="B7" s="31" t="n">
        <f aca="false">Indexdata!B6</f>
        <v>38787.95</v>
      </c>
      <c r="C7" s="30" t="n">
        <f aca="false">Indexdata!C6</f>
        <v>38956.95</v>
      </c>
      <c r="D7" s="30" t="n">
        <f aca="false">Indexdata!D6</f>
        <v>38703.1</v>
      </c>
      <c r="E7" s="32" t="n">
        <f aca="false">Indexdata!E6</f>
        <v>0.097</v>
      </c>
      <c r="F7" s="30" t="n">
        <f aca="false">Indexdata!F6</f>
        <v>495.54</v>
      </c>
      <c r="G7" s="30" t="n">
        <f aca="false">Indexdata!S6</f>
        <v>12.69</v>
      </c>
      <c r="H7" s="30" t="n">
        <f aca="false">Indexdata!T6*100</f>
        <v>0</v>
      </c>
      <c r="I7" s="30" t="str">
        <f aca="false">IF(AND(C7=Indexdata!G6,E7&gt;0),IF(AND(C7=Indexdata!U6,E7&gt;0),"Buy_ 52W_H","Buy_50D_H"),IF(AND(Indexdata!H6=D7,E7&lt;0),IF(AND(Indexdata!V6=D7,E7&lt;0),"Sell_52W_L ","Sell_50D_L "),""))</f>
        <v/>
      </c>
      <c r="J7" s="30" t="n">
        <f aca="false">RANK(L7,L:L)</f>
        <v>6</v>
      </c>
      <c r="K7" s="30" t="str">
        <f aca="false">IF(Indexdata!R6&gt;=B7,IF(((C7-B7)/(C7-D7))*100&gt;80,"Down"," "),IF(Indexdata!R6&lt;=B7,IF(((B7-D7)/(C7-D7))*100&gt;80,"Up"," ")))</f>
        <v> </v>
      </c>
      <c r="L7" s="30" t="n">
        <f aca="false">Indexdata!I6</f>
        <v>95.12</v>
      </c>
      <c r="M7" s="30" t="str">
        <f aca="false">IF(AND(B7&gt;Indexdata!P6,Indexdata!O6&lt;Indexdata!P6),"Buy",IF(AND(B7&lt;Indexdata!P6,Indexdata!O6&gt;Indexdata!P6),"Sell",""))</f>
        <v/>
      </c>
      <c r="N7" s="30" t="n">
        <f aca="false">Indexdata!M6</f>
        <v>37820.59</v>
      </c>
      <c r="O7" s="30" t="n">
        <f aca="false">Indexdata!N6</f>
        <v>38330.39</v>
      </c>
      <c r="P7" s="33" t="n">
        <f aca="false">Indexdata!J6</f>
        <v>65.77</v>
      </c>
    </row>
    <row r="8" customFormat="false" ht="20.25" hidden="false" customHeight="true" outlineLevel="0" collapsed="false">
      <c r="A8" s="30" t="str">
        <f aca="false">Indexdata!A28</f>
        <v>CNXINFRA</v>
      </c>
      <c r="B8" s="31" t="n">
        <f aca="false">Indexdata!B28</f>
        <v>9106.25</v>
      </c>
      <c r="C8" s="30" t="n">
        <f aca="false">Indexdata!C28</f>
        <v>9177.6</v>
      </c>
      <c r="D8" s="30" t="n">
        <f aca="false">Indexdata!D28</f>
        <v>9101.25</v>
      </c>
      <c r="E8" s="32" t="n">
        <f aca="false">Indexdata!E28</f>
        <v>-0.733</v>
      </c>
      <c r="F8" s="30" t="n">
        <f aca="false">Indexdata!F28</f>
        <v>82.49</v>
      </c>
      <c r="G8" s="30" t="n">
        <f aca="false">Indexdata!S28</f>
        <v>6.16</v>
      </c>
      <c r="H8" s="30" t="n">
        <f aca="false">Indexdata!T28*100</f>
        <v>0.2</v>
      </c>
      <c r="I8" s="30" t="str">
        <f aca="false">IF(AND(C8=Indexdata!G28,E8&gt;0),IF(AND(C8=Indexdata!U28,E8&gt;0),"Buy_ 52W_H","Buy_50D_H"),IF(AND(Indexdata!H28=D8,E8&lt;0),IF(AND(Indexdata!V28=D8,E8&lt;0),"Sell_52W_L ","Sell_50D_L "),""))</f>
        <v/>
      </c>
      <c r="J8" s="30" t="n">
        <f aca="false">RANK(L8,L:L)</f>
        <v>7</v>
      </c>
      <c r="K8" s="30" t="str">
        <f aca="false">IF(Indexdata!R28&gt;=B8,IF(((C8-B8)/(C8-D8))*100&gt;80,"Down"," "),IF(Indexdata!R28&lt;=B8,IF(((B8-D8)/(C8-D8))*100&gt;80,"Up"," ")))</f>
        <v>Down</v>
      </c>
      <c r="L8" s="30" t="n">
        <f aca="false">Indexdata!I28</f>
        <v>89.96</v>
      </c>
      <c r="M8" s="30" t="str">
        <f aca="false">IF(AND(B8&gt;Indexdata!P28,Indexdata!O28&lt;Indexdata!P28),"Buy",IF(AND(B8&lt;Indexdata!P28,Indexdata!O28&gt;Indexdata!P28),"Sell",""))</f>
        <v/>
      </c>
      <c r="N8" s="30" t="n">
        <f aca="false">Indexdata!M28</f>
        <v>9019.74</v>
      </c>
      <c r="O8" s="30" t="n">
        <f aca="false">Indexdata!N28</f>
        <v>9105.57</v>
      </c>
      <c r="P8" s="33" t="n">
        <f aca="false">Indexdata!J28</f>
        <v>54.15</v>
      </c>
    </row>
    <row r="9" customFormat="false" ht="20.25" hidden="false" customHeight="true" outlineLevel="0" collapsed="false">
      <c r="A9" s="30" t="str">
        <f aca="false">Indexdata!A12</f>
        <v>NIFTY100</v>
      </c>
      <c r="B9" s="31" t="n">
        <f aca="false">Indexdata!B12</f>
        <v>25495.6</v>
      </c>
      <c r="C9" s="30" t="n">
        <f aca="false">Indexdata!C12</f>
        <v>25709</v>
      </c>
      <c r="D9" s="30" t="n">
        <f aca="false">Indexdata!D12</f>
        <v>25485.55</v>
      </c>
      <c r="E9" s="32" t="n">
        <f aca="false">Indexdata!E12</f>
        <v>-0.815</v>
      </c>
      <c r="F9" s="30" t="n">
        <f aca="false">Indexdata!F12</f>
        <v>199.87</v>
      </c>
      <c r="G9" s="30" t="n">
        <f aca="false">Indexdata!S12</f>
        <v>6.73</v>
      </c>
      <c r="H9" s="30" t="n">
        <f aca="false">Indexdata!T12*100</f>
        <v>0.1</v>
      </c>
      <c r="I9" s="30" t="str">
        <f aca="false">IF(AND(C9=Indexdata!G12,E9&gt;0),IF(AND(C9=Indexdata!U12,E9&gt;0),"Buy_ 52W_H","Buy_50D_H"),IF(AND(Indexdata!H12=D9,E9&lt;0),IF(AND(Indexdata!V12=D9,E9&lt;0),"Sell_52W_L ","Sell_50D_L "),""))</f>
        <v/>
      </c>
      <c r="J9" s="30" t="n">
        <f aca="false">RANK(L9,L:L)</f>
        <v>8</v>
      </c>
      <c r="K9" s="30" t="str">
        <f aca="false">IF(Indexdata!R12&gt;=B9,IF(((C9-B9)/(C9-D9))*100&gt;80,"Down"," "),IF(Indexdata!R12&lt;=B9,IF(((B9-D9)/(C9-D9))*100&gt;80,"Up"," ")))</f>
        <v>Down</v>
      </c>
      <c r="L9" s="30" t="n">
        <f aca="false">Indexdata!I12</f>
        <v>86.11</v>
      </c>
      <c r="M9" s="30" t="str">
        <f aca="false">IF(AND(B9&gt;Indexdata!P12,Indexdata!O12&lt;Indexdata!P12),"Buy",IF(AND(B9&lt;Indexdata!P12,Indexdata!O12&gt;Indexdata!P12),"Sell",""))</f>
        <v/>
      </c>
      <c r="N9" s="30" t="n">
        <f aca="false">Indexdata!M12</f>
        <v>25332.71</v>
      </c>
      <c r="O9" s="30" t="n">
        <f aca="false">Indexdata!N12</f>
        <v>25772.3</v>
      </c>
      <c r="P9" s="33" t="n">
        <f aca="false">Indexdata!J12</f>
        <v>53.54</v>
      </c>
    </row>
    <row r="10" customFormat="false" ht="20.25" hidden="false" customHeight="true" outlineLevel="0" collapsed="false">
      <c r="A10" s="30" t="str">
        <f aca="false">Indexdata!A14</f>
        <v>NIFTY</v>
      </c>
      <c r="B10" s="31" t="n">
        <f aca="false">Indexdata!B14</f>
        <v>24870.1</v>
      </c>
      <c r="C10" s="30" t="n">
        <f aca="false">Indexdata!C14</f>
        <v>25084.85</v>
      </c>
      <c r="D10" s="30" t="n">
        <f aca="false">Indexdata!D14</f>
        <v>24859.15</v>
      </c>
      <c r="E10" s="32" t="n">
        <f aca="false">Indexdata!E14</f>
        <v>-0.852</v>
      </c>
      <c r="F10" s="30" t="n">
        <f aca="false">Indexdata!F14</f>
        <v>195.7</v>
      </c>
      <c r="G10" s="30" t="n">
        <f aca="false">Indexdata!S14</f>
        <v>5.36</v>
      </c>
      <c r="H10" s="30" t="n">
        <f aca="false">Indexdata!T14*100</f>
        <v>0.1</v>
      </c>
      <c r="I10" s="30" t="str">
        <f aca="false">IF(AND(C10=Indexdata!G14,E10&gt;0),IF(AND(C10=Indexdata!U14,E10&gt;0),"Buy_ 52W_H","Buy_50D_H"),IF(AND(Indexdata!H14=D10,E10&lt;0),IF(AND(Indexdata!V14=D10,E10&lt;0),"Sell_52W_L ","Sell_50D_L "),""))</f>
        <v/>
      </c>
      <c r="J10" s="30" t="n">
        <f aca="false">RANK(L10,L:L)</f>
        <v>9</v>
      </c>
      <c r="K10" s="30" t="str">
        <f aca="false">IF(Indexdata!R14&gt;=B10,IF(((C10-B10)/(C10-D10))*100&gt;80,"Down"," "),IF(Indexdata!R14&lt;=B10,IF(((B10-D10)/(C10-D10))*100&gt;80,"Up"," ")))</f>
        <v>Down</v>
      </c>
      <c r="L10" s="30" t="n">
        <f aca="false">Indexdata!I14</f>
        <v>85.4</v>
      </c>
      <c r="M10" s="30" t="str">
        <f aca="false">IF(AND(B10&gt;Indexdata!P14,Indexdata!O14&lt;Indexdata!P14),"Buy",IF(AND(B10&lt;Indexdata!P14,Indexdata!O14&gt;Indexdata!P14),"Sell",""))</f>
        <v/>
      </c>
      <c r="N10" s="30" t="n">
        <f aca="false">Indexdata!M14</f>
        <v>24714</v>
      </c>
      <c r="O10" s="30" t="n">
        <f aca="false">Indexdata!N14</f>
        <v>25153.81</v>
      </c>
      <c r="P10" s="33" t="n">
        <f aca="false">Indexdata!J14</f>
        <v>52.89</v>
      </c>
    </row>
    <row r="11" customFormat="false" ht="20.25" hidden="false" customHeight="true" outlineLevel="0" collapsed="false">
      <c r="A11" s="30" t="str">
        <f aca="false">Indexdata!A21</f>
        <v>NIFTY200</v>
      </c>
      <c r="B11" s="31" t="n">
        <f aca="false">Indexdata!B21</f>
        <v>13875.4</v>
      </c>
      <c r="C11" s="30" t="n">
        <f aca="false">Indexdata!C21</f>
        <v>13976.5</v>
      </c>
      <c r="D11" s="30" t="n">
        <f aca="false">Indexdata!D21</f>
        <v>13869.05</v>
      </c>
      <c r="E11" s="32" t="n">
        <f aca="false">Indexdata!E21</f>
        <v>-0.701</v>
      </c>
      <c r="F11" s="30" t="n">
        <f aca="false">Indexdata!F21</f>
        <v>112.46</v>
      </c>
      <c r="G11" s="30" t="n">
        <f aca="false">Indexdata!S21</f>
        <v>6.46</v>
      </c>
      <c r="H11" s="30" t="n">
        <f aca="false">Indexdata!T21*100</f>
        <v>0.1</v>
      </c>
      <c r="I11" s="30" t="str">
        <f aca="false">IF(AND(C11=Indexdata!G21,E11&gt;0),IF(AND(C11=Indexdata!U21,E11&gt;0),"Buy_ 52W_H","Buy_50D_H"),IF(AND(Indexdata!H21=D11,E11&lt;0),IF(AND(Indexdata!V21=D11,E11&lt;0),"Sell_52W_L ","Sell_50D_L "),""))</f>
        <v/>
      </c>
      <c r="J11" s="30" t="n">
        <f aca="false">RANK(L11,L:L)</f>
        <v>10</v>
      </c>
      <c r="K11" s="30" t="str">
        <f aca="false">IF(Indexdata!R21&gt;=B11,IF(((C11-B11)/(C11-D11))*100&gt;80,"Down"," "),IF(Indexdata!R21&lt;=B11,IF(((B11-D11)/(C11-D11))*100&gt;80,"Up"," ")))</f>
        <v>Down</v>
      </c>
      <c r="L11" s="30" t="n">
        <f aca="false">Indexdata!I21</f>
        <v>80.35</v>
      </c>
      <c r="M11" s="30" t="str">
        <f aca="false">IF(AND(B11&gt;Indexdata!P21,Indexdata!O21&lt;Indexdata!P21),"Buy",IF(AND(B11&lt;Indexdata!P21,Indexdata!O21&gt;Indexdata!P21),"Sell",""))</f>
        <v/>
      </c>
      <c r="N11" s="30" t="n">
        <f aca="false">Indexdata!M21</f>
        <v>13764.93</v>
      </c>
      <c r="O11" s="30" t="n">
        <f aca="false">Indexdata!N21</f>
        <v>14013.61</v>
      </c>
      <c r="P11" s="33" t="n">
        <f aca="false">Indexdata!J21</f>
        <v>54.34</v>
      </c>
    </row>
    <row r="12" customFormat="false" ht="20.25" hidden="false" customHeight="true" outlineLevel="0" collapsed="false">
      <c r="A12" s="30" t="str">
        <f aca="false">Indexdata!A22</f>
        <v>NIFTY50VALUE20</v>
      </c>
      <c r="B12" s="31" t="n">
        <f aca="false">Indexdata!B22</f>
        <v>12569</v>
      </c>
      <c r="C12" s="30" t="n">
        <f aca="false">Indexdata!C22</f>
        <v>12687.95</v>
      </c>
      <c r="D12" s="30" t="n">
        <f aca="false">Indexdata!D22</f>
        <v>12560.95</v>
      </c>
      <c r="E12" s="32" t="n">
        <f aca="false">Indexdata!E22</f>
        <v>-0.89</v>
      </c>
      <c r="F12" s="30" t="n">
        <f aca="false">Indexdata!F22</f>
        <v>104.55</v>
      </c>
      <c r="G12" s="30" t="n">
        <f aca="false">Indexdata!S22</f>
        <v>14.68</v>
      </c>
      <c r="H12" s="30" t="n">
        <f aca="false">Indexdata!T22*100</f>
        <v>0.1</v>
      </c>
      <c r="I12" s="30" t="str">
        <f aca="false">IF(AND(C12=Indexdata!G22,E12&gt;0),IF(AND(C12=Indexdata!U22,E12&gt;0),"Buy_ 52W_H","Buy_50D_H"),IF(AND(Indexdata!H22=D12,E12&lt;0),IF(AND(Indexdata!V22=D12,E12&lt;0),"Sell_52W_L ","Sell_50D_L "),""))</f>
        <v/>
      </c>
      <c r="J12" s="30" t="n">
        <f aca="false">RANK(L12,L:L)</f>
        <v>11</v>
      </c>
      <c r="K12" s="30" t="str">
        <f aca="false">IF(Indexdata!R22&gt;=B12,IF(((C12-B12)/(C12-D12))*100&gt;80,"Down"," "),IF(Indexdata!R22&lt;=B12,IF(((B12-D12)/(C12-D12))*100&gt;80,"Up"," ")))</f>
        <v>Down</v>
      </c>
      <c r="L12" s="30" t="n">
        <f aca="false">Indexdata!I22</f>
        <v>77.21</v>
      </c>
      <c r="M12" s="30" t="str">
        <f aca="false">IF(AND(B12&gt;Indexdata!P22,Indexdata!O22&lt;Indexdata!P22),"Buy",IF(AND(B12&lt;Indexdata!P22,Indexdata!O22&gt;Indexdata!P22),"Sell",""))</f>
        <v/>
      </c>
      <c r="N12" s="30" t="n">
        <f aca="false">Indexdata!M22</f>
        <v>12482.02</v>
      </c>
      <c r="O12" s="30" t="n">
        <f aca="false">Indexdata!N22</f>
        <v>12729.41</v>
      </c>
      <c r="P12" s="33" t="n">
        <f aca="false">Indexdata!J22</f>
        <v>54.02</v>
      </c>
    </row>
    <row r="13" customFormat="false" ht="20.25" hidden="false" customHeight="true" outlineLevel="0" collapsed="false">
      <c r="A13" s="30" t="str">
        <f aca="false">Indexdata!A15</f>
        <v>NIFTY500</v>
      </c>
      <c r="B13" s="31" t="n">
        <f aca="false">Indexdata!B15</f>
        <v>22991.3</v>
      </c>
      <c r="C13" s="30" t="n">
        <f aca="false">Indexdata!C15</f>
        <v>23144.55</v>
      </c>
      <c r="D13" s="30" t="n">
        <f aca="false">Indexdata!D15</f>
        <v>22980.85</v>
      </c>
      <c r="E13" s="32" t="n">
        <f aca="false">Indexdata!E15</f>
        <v>-0.63</v>
      </c>
      <c r="F13" s="30" t="n">
        <f aca="false">Indexdata!F15</f>
        <v>186.88</v>
      </c>
      <c r="G13" s="30" t="n">
        <f aca="false">Indexdata!S15</f>
        <v>6.44</v>
      </c>
      <c r="H13" s="30" t="n">
        <f aca="false">Indexdata!T15*100</f>
        <v>0.1</v>
      </c>
      <c r="I13" s="30" t="str">
        <f aca="false">IF(AND(C13=Indexdata!G15,E13&gt;0),IF(AND(C13=Indexdata!U15,E13&gt;0),"Buy_ 52W_H","Buy_50D_H"),IF(AND(Indexdata!H15=D13,E13&lt;0),IF(AND(Indexdata!V15=D13,E13&lt;0),"Sell_52W_L ","Sell_50D_L "),""))</f>
        <v/>
      </c>
      <c r="J13" s="30" t="n">
        <f aca="false">RANK(L13,L:L)</f>
        <v>12</v>
      </c>
      <c r="K13" s="30" t="str">
        <f aca="false">IF(Indexdata!R15&gt;=B13,IF(((C13-B13)/(C13-D13))*100&gt;80,"Down"," "),IF(Indexdata!R15&lt;=B13,IF(((B13-D13)/(C13-D13))*100&gt;80,"Up"," ")))</f>
        <v>Down</v>
      </c>
      <c r="L13" s="30" t="n">
        <f aca="false">Indexdata!I15</f>
        <v>74.32</v>
      </c>
      <c r="M13" s="30" t="str">
        <f aca="false">IF(AND(B13&gt;Indexdata!P15,Indexdata!O15&lt;Indexdata!P15),"Buy",IF(AND(B13&lt;Indexdata!P15,Indexdata!O15&gt;Indexdata!P15),"Sell",""))</f>
        <v/>
      </c>
      <c r="N13" s="30" t="n">
        <f aca="false">Indexdata!M15</f>
        <v>22791.21</v>
      </c>
      <c r="O13" s="30" t="n">
        <f aca="false">Indexdata!N15</f>
        <v>22985.03</v>
      </c>
      <c r="P13" s="33" t="n">
        <f aca="false">Indexdata!J15</f>
        <v>55.07</v>
      </c>
    </row>
    <row r="14" customFormat="false" ht="20.25" hidden="false" customHeight="true" outlineLevel="0" collapsed="false">
      <c r="A14" s="30" t="str">
        <f aca="false">Indexdata!A19</f>
        <v>NIFTYMIDCAP50</v>
      </c>
      <c r="B14" s="31" t="n">
        <f aca="false">Indexdata!B19</f>
        <v>16306.85</v>
      </c>
      <c r="C14" s="30" t="n">
        <f aca="false">Indexdata!C19</f>
        <v>16372.15</v>
      </c>
      <c r="D14" s="30" t="n">
        <f aca="false">Indexdata!D19</f>
        <v>16285.75</v>
      </c>
      <c r="E14" s="32" t="n">
        <f aca="false">Indexdata!E19</f>
        <v>-0.06</v>
      </c>
      <c r="F14" s="30" t="n">
        <f aca="false">Indexdata!F19</f>
        <v>189.06</v>
      </c>
      <c r="G14" s="30" t="n">
        <f aca="false">Indexdata!S19</f>
        <v>4.45</v>
      </c>
      <c r="H14" s="30" t="n">
        <f aca="false">Indexdata!T19*100</f>
        <v>0.1</v>
      </c>
      <c r="I14" s="30" t="str">
        <f aca="false">IF(AND(C14=Indexdata!G19,E14&gt;0),IF(AND(C14=Indexdata!U19,E14&gt;0),"Buy_ 52W_H","Buy_50D_H"),IF(AND(Indexdata!H19=D14,E14&lt;0),IF(AND(Indexdata!V19=D14,E14&lt;0),"Sell_52W_L ","Sell_50D_L "),""))</f>
        <v/>
      </c>
      <c r="J14" s="30" t="n">
        <f aca="false">RANK(L14,L:L)</f>
        <v>13</v>
      </c>
      <c r="K14" s="30" t="str">
        <f aca="false">IF(Indexdata!R19&gt;=B14,IF(((C14-B14)/(C14-D14))*100&gt;80,"Down"," "),IF(Indexdata!R19&lt;=B14,IF(((B14-D14)/(C14-D14))*100&gt;80,"Up"," ")))</f>
        <v> </v>
      </c>
      <c r="L14" s="30" t="n">
        <f aca="false">Indexdata!I19</f>
        <v>73.91</v>
      </c>
      <c r="M14" s="30" t="str">
        <f aca="false">IF(AND(B14&gt;Indexdata!P19,Indexdata!O19&lt;Indexdata!P19),"Buy",IF(AND(B14&lt;Indexdata!P19,Indexdata!O19&gt;Indexdata!P19),"Sell",""))</f>
        <v/>
      </c>
      <c r="N14" s="30" t="n">
        <f aca="false">Indexdata!M19</f>
        <v>15970.63</v>
      </c>
      <c r="O14" s="30" t="n">
        <f aca="false">Indexdata!N19</f>
        <v>16176.59</v>
      </c>
      <c r="P14" s="33" t="n">
        <f aca="false">Indexdata!J19</f>
        <v>58.98</v>
      </c>
    </row>
    <row r="15" customFormat="false" ht="20.25" hidden="false" customHeight="true" outlineLevel="0" collapsed="false">
      <c r="A15" s="30" t="str">
        <f aca="false">Indexdata!A4</f>
        <v>NIFTYFMCG</v>
      </c>
      <c r="B15" s="31" t="n">
        <f aca="false">Indexdata!B4</f>
        <v>55737.45</v>
      </c>
      <c r="C15" s="30" t="n">
        <f aca="false">Indexdata!C4</f>
        <v>56429</v>
      </c>
      <c r="D15" s="30" t="n">
        <f aca="false">Indexdata!D4</f>
        <v>55694.4</v>
      </c>
      <c r="E15" s="32" t="n">
        <f aca="false">Indexdata!E4</f>
        <v>-1</v>
      </c>
      <c r="F15" s="30" t="n">
        <f aca="false">Indexdata!F4</f>
        <v>728.63</v>
      </c>
      <c r="G15" s="30" t="n">
        <f aca="false">Indexdata!S4</f>
        <v>16.11</v>
      </c>
      <c r="H15" s="30" t="n">
        <f aca="false">Indexdata!T4*100</f>
        <v>0</v>
      </c>
      <c r="I15" s="30" t="str">
        <f aca="false">IF(AND(C15=Indexdata!G4,E15&gt;0),IF(AND(C15=Indexdata!U4,E15&gt;0),"Buy_ 52W_H","Buy_50D_H"),IF(AND(Indexdata!H4=D15,E15&lt;0),IF(AND(Indexdata!V4=D15,E15&lt;0),"Sell_52W_L ","Sell_50D_L "),""))</f>
        <v/>
      </c>
      <c r="J15" s="30" t="n">
        <f aca="false">RANK(L15,L:L)</f>
        <v>14</v>
      </c>
      <c r="K15" s="30" t="str">
        <f aca="false">IF(Indexdata!R4&gt;=B15,IF(((C15-B15)/(C15-D15))*100&gt;80,"Down"," "),IF(Indexdata!R4&lt;=B15,IF(((B15-D15)/(C15-D15))*100&gt;80,"Up"," ")))</f>
        <v>Down</v>
      </c>
      <c r="L15" s="30" t="n">
        <f aca="false">Indexdata!I4</f>
        <v>70.41</v>
      </c>
      <c r="M15" s="30" t="str">
        <f aca="false">IF(AND(B15&gt;Indexdata!P4,Indexdata!O4&lt;Indexdata!P4),"Buy",IF(AND(B15&lt;Indexdata!P4,Indexdata!O4&gt;Indexdata!P4),"Sell",""))</f>
        <v/>
      </c>
      <c r="N15" s="30" t="n">
        <f aca="false">Indexdata!M4</f>
        <v>55047.34</v>
      </c>
      <c r="O15" s="30" t="n">
        <f aca="false">Indexdata!N4</f>
        <v>56771.9</v>
      </c>
      <c r="P15" s="33" t="n">
        <f aca="false">Indexdata!J4</f>
        <v>51.68</v>
      </c>
    </row>
    <row r="16" customFormat="false" ht="20.25" hidden="false" customHeight="true" outlineLevel="0" collapsed="false">
      <c r="A16" s="30" t="str">
        <f aca="false">Indexdata!A27</f>
        <v>NIFTYMETAL</v>
      </c>
      <c r="B16" s="31" t="n">
        <f aca="false">Indexdata!B27</f>
        <v>9375.45</v>
      </c>
      <c r="C16" s="30" t="n">
        <f aca="false">Indexdata!C27</f>
        <v>9499.75</v>
      </c>
      <c r="D16" s="30" t="n">
        <f aca="false">Indexdata!D27</f>
        <v>9363.15</v>
      </c>
      <c r="E16" s="32" t="n">
        <f aca="false">Indexdata!E27</f>
        <v>-1.25</v>
      </c>
      <c r="F16" s="30" t="n">
        <f aca="false">Indexdata!F27</f>
        <v>134.77</v>
      </c>
      <c r="G16" s="30" t="n">
        <f aca="false">Indexdata!S27</f>
        <v>9.17</v>
      </c>
      <c r="H16" s="30" t="n">
        <f aca="false">Indexdata!T27*100</f>
        <v>0.2</v>
      </c>
      <c r="I16" s="30" t="str">
        <f aca="false">IF(AND(C16=Indexdata!G27,E16&gt;0),IF(AND(C16=Indexdata!U27,E16&gt;0),"Buy_ 52W_H","Buy_50D_H"),IF(AND(Indexdata!H27=D16,E16&lt;0),IF(AND(Indexdata!V27=D16,E16&lt;0),"Sell_52W_L ","Sell_50D_L "),""))</f>
        <v/>
      </c>
      <c r="J16" s="30" t="n">
        <f aca="false">RANK(L16,L:L)</f>
        <v>15</v>
      </c>
      <c r="K16" s="30" t="str">
        <f aca="false">IF(Indexdata!R27&gt;=B16,IF(((C16-B16)/(C16-D16))*100&gt;80,"Down"," "),IF(Indexdata!R27&lt;=B16,IF(((B16-D16)/(C16-D16))*100&gt;80,"Up"," ")))</f>
        <v>Down</v>
      </c>
      <c r="L16" s="30" t="n">
        <f aca="false">Indexdata!I27</f>
        <v>64.97</v>
      </c>
      <c r="M16" s="30" t="str">
        <f aca="false">IF(AND(B16&gt;Indexdata!P27,Indexdata!O27&lt;Indexdata!P27),"Buy",IF(AND(B16&lt;Indexdata!P27,Indexdata!O27&gt;Indexdata!P27),"Sell",""))</f>
        <v/>
      </c>
      <c r="N16" s="30" t="n">
        <f aca="false">Indexdata!M27</f>
        <v>9238.66</v>
      </c>
      <c r="O16" s="30" t="n">
        <f aca="false">Indexdata!N27</f>
        <v>9375</v>
      </c>
      <c r="P16" s="33" t="n">
        <f aca="false">Indexdata!J27</f>
        <v>50.51</v>
      </c>
    </row>
    <row r="17" customFormat="false" ht="20.25" hidden="false" customHeight="true" outlineLevel="0" collapsed="false">
      <c r="A17" s="30" t="str">
        <f aca="false">Indexdata!A3</f>
        <v>CNXMIDCAP</v>
      </c>
      <c r="B17" s="31" t="n">
        <f aca="false">Indexdata!B3</f>
        <v>57629.75</v>
      </c>
      <c r="C17" s="30" t="n">
        <f aca="false">Indexdata!C3</f>
        <v>57868.65</v>
      </c>
      <c r="D17" s="30" t="n">
        <f aca="false">Indexdata!D3</f>
        <v>57577.65</v>
      </c>
      <c r="E17" s="32" t="n">
        <f aca="false">Indexdata!E3</f>
        <v>-0.137</v>
      </c>
      <c r="F17" s="30" t="n">
        <f aca="false">Indexdata!F3</f>
        <v>629.83</v>
      </c>
      <c r="G17" s="30" t="n">
        <f aca="false">Indexdata!S3</f>
        <v>5.41</v>
      </c>
      <c r="H17" s="30" t="n">
        <f aca="false">Indexdata!T3*100</f>
        <v>0</v>
      </c>
      <c r="I17" s="30" t="str">
        <f aca="false">IF(AND(C17=Indexdata!G3,E17&gt;0),IF(AND(C17=Indexdata!U3,E17&gt;0),"Buy_ 52W_H","Buy_50D_H"),IF(AND(Indexdata!H3=D17,E17&lt;0),IF(AND(Indexdata!V3=D17,E17&lt;0),"Sell_52W_L ","Sell_50D_L "),""))</f>
        <v/>
      </c>
      <c r="J17" s="30" t="n">
        <f aca="false">RANK(L17,L:L)</f>
        <v>16</v>
      </c>
      <c r="K17" s="30" t="str">
        <f aca="false">IF(Indexdata!R3&gt;=B17,IF(((C17-B17)/(C17-D17))*100&gt;80,"Down"," "),IF(Indexdata!R3&lt;=B17,IF(((B17-D17)/(C17-D17))*100&gt;80,"Up"," ")))</f>
        <v>Down</v>
      </c>
      <c r="L17" s="30" t="n">
        <f aca="false">Indexdata!I3</f>
        <v>62.65</v>
      </c>
      <c r="M17" s="30" t="str">
        <f aca="false">IF(AND(B17&gt;Indexdata!P3,Indexdata!O3&lt;Indexdata!P3),"Buy",IF(AND(B17&lt;Indexdata!P3,Indexdata!O3&gt;Indexdata!P3),"Sell",""))</f>
        <v/>
      </c>
      <c r="N17" s="30" t="n">
        <f aca="false">Indexdata!M3</f>
        <v>56565.81</v>
      </c>
      <c r="O17" s="30" t="n">
        <f aca="false">Indexdata!N3</f>
        <v>57254.39</v>
      </c>
      <c r="P17" s="33" t="n">
        <f aca="false">Indexdata!J3</f>
        <v>56.96</v>
      </c>
    </row>
    <row r="18" customFormat="false" ht="20.25" hidden="false" customHeight="true" outlineLevel="0" collapsed="false">
      <c r="A18" s="30" t="str">
        <f aca="false">Indexdata!A30</f>
        <v>NIFTYPSUBANK</v>
      </c>
      <c r="B18" s="31" t="n">
        <f aca="false">Indexdata!B30</f>
        <v>6998.1</v>
      </c>
      <c r="C18" s="30" t="n">
        <f aca="false">Indexdata!C30</f>
        <v>7094.35</v>
      </c>
      <c r="D18" s="30" t="n">
        <f aca="false">Indexdata!D30</f>
        <v>6995.2</v>
      </c>
      <c r="E18" s="32" t="n">
        <f aca="false">Indexdata!E30</f>
        <v>-1.12</v>
      </c>
      <c r="F18" s="30" t="n">
        <f aca="false">Indexdata!F30</f>
        <v>87.74</v>
      </c>
      <c r="G18" s="30" t="n">
        <f aca="false">Indexdata!S30</f>
        <v>4.2</v>
      </c>
      <c r="H18" s="30" t="n">
        <f aca="false">Indexdata!T30*100</f>
        <v>0.3</v>
      </c>
      <c r="I18" s="30" t="str">
        <f aca="false">IF(AND(C18=Indexdata!G30,E18&gt;0),IF(AND(C18=Indexdata!U30,E18&gt;0),"Buy_ 52W_H","Buy_50D_H"),IF(AND(Indexdata!H30=D18,E18&lt;0),IF(AND(Indexdata!V30=D18,E18&lt;0),"Sell_52W_L ","Sell_50D_L "),""))</f>
        <v/>
      </c>
      <c r="J18" s="30" t="n">
        <f aca="false">RANK(L18,L:L)</f>
        <v>17</v>
      </c>
      <c r="K18" s="30" t="str">
        <f aca="false">IF(Indexdata!R30&gt;=B18,IF(((C18-B18)/(C18-D18))*100&gt;80,"Down"," "),IF(Indexdata!R30&lt;=B18,IF(((B18-D18)/(C18-D18))*100&gt;80,"Up"," ")))</f>
        <v>Down</v>
      </c>
      <c r="L18" s="30" t="n">
        <f aca="false">Indexdata!I30</f>
        <v>47.83</v>
      </c>
      <c r="M18" s="30" t="str">
        <f aca="false">IF(AND(B18&gt;Indexdata!P30,Indexdata!O30&lt;Indexdata!P30),"Buy",IF(AND(B18&lt;Indexdata!P30,Indexdata!O30&gt;Indexdata!P30),"Sell",""))</f>
        <v/>
      </c>
      <c r="N18" s="30" t="n">
        <f aca="false">Indexdata!M30</f>
        <v>6938.16</v>
      </c>
      <c r="O18" s="30" t="n">
        <f aca="false">Indexdata!N30</f>
        <v>7127.11</v>
      </c>
      <c r="P18" s="33" t="n">
        <f aca="false">Indexdata!J30</f>
        <v>45.71</v>
      </c>
    </row>
    <row r="19" customFormat="false" ht="20.25" hidden="false" customHeight="true" outlineLevel="0" collapsed="false">
      <c r="A19" s="30" t="str">
        <f aca="false">Indexdata!A20</f>
        <v>NIFTYHEALTHCARE</v>
      </c>
      <c r="B19" s="31" t="n">
        <f aca="false">Indexdata!B20</f>
        <v>14738.8</v>
      </c>
      <c r="C19" s="30" t="n">
        <f aca="false">Indexdata!C20</f>
        <v>14781.8</v>
      </c>
      <c r="D19" s="30" t="n">
        <f aca="false">Indexdata!D20</f>
        <v>14699.15</v>
      </c>
      <c r="E19" s="32" t="n">
        <f aca="false">Indexdata!E20</f>
        <v>0.108</v>
      </c>
      <c r="F19" s="30" t="n">
        <f aca="false">Indexdata!F20</f>
        <v>172.45</v>
      </c>
      <c r="G19" s="30" t="n">
        <f aca="false">Indexdata!S20</f>
        <v>2.45</v>
      </c>
      <c r="H19" s="30" t="n">
        <f aca="false">Indexdata!T20*100</f>
        <v>0.1</v>
      </c>
      <c r="I19" s="30" t="str">
        <f aca="false">IF(AND(C19=Indexdata!G20,E19&gt;0),IF(AND(C19=Indexdata!U20,E19&gt;0),"Buy_ 52W_H","Buy_50D_H"),IF(AND(Indexdata!H20=D19,E19&lt;0),IF(AND(Indexdata!V20=D19,E19&lt;0),"Sell_52W_L ","Sell_50D_L "),""))</f>
        <v/>
      </c>
      <c r="J19" s="30" t="n">
        <f aca="false">RANK(L19,L:L)</f>
        <v>18</v>
      </c>
      <c r="K19" s="30" t="str">
        <f aca="false">IF(Indexdata!R20&gt;=B19,IF(((C19-B19)/(C19-D19))*100&gt;80,"Down"," "),IF(Indexdata!R20&lt;=B19,IF(((B19-D19)/(C19-D19))*100&gt;80,"Up"," ")))</f>
        <v> </v>
      </c>
      <c r="L19" s="30" t="n">
        <f aca="false">Indexdata!I20</f>
        <v>46.55</v>
      </c>
      <c r="M19" s="30" t="str">
        <f aca="false">IF(AND(B19&gt;Indexdata!P20,Indexdata!O20&lt;Indexdata!P20),"Buy",IF(AND(B19&lt;Indexdata!P20,Indexdata!O20&gt;Indexdata!P20),"Sell",""))</f>
        <v/>
      </c>
      <c r="N19" s="30" t="n">
        <f aca="false">Indexdata!M20</f>
        <v>14385.13</v>
      </c>
      <c r="O19" s="30" t="n">
        <f aca="false">Indexdata!N20</f>
        <v>14562.8</v>
      </c>
      <c r="P19" s="33" t="n">
        <f aca="false">Indexdata!J20</f>
        <v>62.6</v>
      </c>
    </row>
    <row r="20" customFormat="false" ht="20.25" hidden="false" customHeight="true" outlineLevel="0" collapsed="false">
      <c r="A20" s="30" t="str">
        <f aca="false">Indexdata!A29</f>
        <v>NIFTYCOMMODITIES</v>
      </c>
      <c r="B20" s="31" t="n">
        <f aca="false">Indexdata!B29</f>
        <v>8761.35</v>
      </c>
      <c r="C20" s="30" t="n">
        <f aca="false">Indexdata!C29</f>
        <v>8859.2</v>
      </c>
      <c r="D20" s="30" t="n">
        <f aca="false">Indexdata!D29</f>
        <v>8755.35</v>
      </c>
      <c r="E20" s="32" t="n">
        <f aca="false">Indexdata!E29</f>
        <v>-1.08</v>
      </c>
      <c r="F20" s="30" t="n">
        <f aca="false">Indexdata!F29</f>
        <v>86.95</v>
      </c>
      <c r="G20" s="30" t="n">
        <f aca="false">Indexdata!S29</f>
        <v>11.47</v>
      </c>
      <c r="H20" s="30" t="n">
        <f aca="false">Indexdata!T29*100</f>
        <v>0.2</v>
      </c>
      <c r="I20" s="30" t="str">
        <f aca="false">IF(AND(C20=Indexdata!G29,E20&gt;0),IF(AND(C20=Indexdata!U29,E20&gt;0),"Buy_ 52W_H","Buy_50D_H"),IF(AND(Indexdata!H29=D20,E20&lt;0),IF(AND(Indexdata!V29=D20,E20&lt;0),"Sell_52W_L ","Sell_50D_L "),""))</f>
        <v/>
      </c>
      <c r="J20" s="30" t="n">
        <f aca="false">RANK(L20,L:L)</f>
        <v>19</v>
      </c>
      <c r="K20" s="30" t="str">
        <f aca="false">IF(Indexdata!R29&gt;=B20,IF(((C20-B20)/(C20-D20))*100&gt;80,"Down"," "),IF(Indexdata!R29&lt;=B20,IF(((B20-D20)/(C20-D20))*100&gt;80,"Up"," ")))</f>
        <v>Down</v>
      </c>
      <c r="L20" s="30" t="n">
        <f aca="false">Indexdata!I29</f>
        <v>39.27</v>
      </c>
      <c r="M20" s="30" t="str">
        <f aca="false">IF(AND(B20&gt;Indexdata!P29,Indexdata!O29&lt;Indexdata!P29),"Buy",IF(AND(B20&lt;Indexdata!P29,Indexdata!O29&gt;Indexdata!P29),"Sell",""))</f>
        <v/>
      </c>
      <c r="N20" s="30" t="n">
        <f aca="false">Indexdata!M29</f>
        <v>8699.65</v>
      </c>
      <c r="O20" s="30" t="n">
        <f aca="false">Indexdata!N29</f>
        <v>8895.08</v>
      </c>
      <c r="P20" s="33" t="n">
        <f aca="false">Indexdata!J29</f>
        <v>46.61</v>
      </c>
    </row>
    <row r="21" customFormat="false" ht="20.25" hidden="false" customHeight="true" outlineLevel="0" collapsed="false">
      <c r="A21" s="30" t="str">
        <f aca="false">Indexdata!A18</f>
        <v>CNXSMALLCAP</v>
      </c>
      <c r="B21" s="31" t="n">
        <f aca="false">Indexdata!B18</f>
        <v>17919.5</v>
      </c>
      <c r="C21" s="30" t="n">
        <f aca="false">Indexdata!C18</f>
        <v>17996.3</v>
      </c>
      <c r="D21" s="30" t="n">
        <f aca="false">Indexdata!D18</f>
        <v>17876.1</v>
      </c>
      <c r="E21" s="32" t="n">
        <f aca="false">Indexdata!E18</f>
        <v>-0.261</v>
      </c>
      <c r="F21" s="30" t="n">
        <f aca="false">Indexdata!F18</f>
        <v>190.61</v>
      </c>
      <c r="G21" s="30" t="n">
        <f aca="false">Indexdata!S18</f>
        <v>9.11</v>
      </c>
      <c r="H21" s="30" t="n">
        <f aca="false">Indexdata!T18*100</f>
        <v>0.1</v>
      </c>
      <c r="I21" s="30" t="str">
        <f aca="false">IF(AND(C21=Indexdata!G18,E21&gt;0),IF(AND(C21=Indexdata!U18,E21&gt;0),"Buy_ 52W_H","Buy_50D_H"),IF(AND(Indexdata!H18=D21,E21&lt;0),IF(AND(Indexdata!V18=D21,E21&lt;0),"Sell_52W_L ","Sell_50D_L "),""))</f>
        <v/>
      </c>
      <c r="J21" s="30" t="n">
        <f aca="false">RANK(L21,L:L)</f>
        <v>20</v>
      </c>
      <c r="K21" s="30" t="str">
        <f aca="false">IF(Indexdata!R18&gt;=B21,IF(((C21-B21)/(C21-D21))*100&gt;80,"Down"," "),IF(Indexdata!R18&lt;=B21,IF(((B21-D21)/(C21-D21))*100&gt;80,"Up"," ")))</f>
        <v> </v>
      </c>
      <c r="L21" s="30" t="n">
        <f aca="false">Indexdata!I18</f>
        <v>27.06</v>
      </c>
      <c r="M21" s="30" t="str">
        <f aca="false">IF(AND(B21&gt;Indexdata!P18,Indexdata!O18&lt;Indexdata!P18),"Buy",IF(AND(B21&lt;Indexdata!P18,Indexdata!O18&gt;Indexdata!P18),"Sell",""))</f>
        <v/>
      </c>
      <c r="N21" s="30" t="n">
        <f aca="false">Indexdata!M18</f>
        <v>17609.36</v>
      </c>
      <c r="O21" s="30" t="n">
        <f aca="false">Indexdata!N18</f>
        <v>17819.56</v>
      </c>
      <c r="P21" s="33" t="n">
        <f aca="false">Indexdata!J18</f>
        <v>55.19</v>
      </c>
    </row>
    <row r="22" customFormat="false" ht="20.25" hidden="false" customHeight="true" outlineLevel="0" collapsed="false">
      <c r="A22" s="30" t="str">
        <f aca="false">Indexdata!A16</f>
        <v>CNXPHARMA</v>
      </c>
      <c r="B22" s="31" t="n">
        <f aca="false">Indexdata!B16</f>
        <v>22265</v>
      </c>
      <c r="C22" s="30" t="n">
        <f aca="false">Indexdata!C16</f>
        <v>22304.65</v>
      </c>
      <c r="D22" s="30" t="n">
        <f aca="false">Indexdata!D16</f>
        <v>22171.6</v>
      </c>
      <c r="E22" s="32" t="n">
        <f aca="false">Indexdata!E16</f>
        <v>0.394</v>
      </c>
      <c r="F22" s="30" t="n">
        <f aca="false">Indexdata!F16</f>
        <v>286.26</v>
      </c>
      <c r="G22" s="30" t="n">
        <f aca="false">Indexdata!S16</f>
        <v>6.87</v>
      </c>
      <c r="H22" s="30" t="n">
        <f aca="false">Indexdata!T16*100</f>
        <v>0.1</v>
      </c>
      <c r="I22" s="30" t="str">
        <f aca="false">IF(AND(C22=Indexdata!G16,E22&gt;0),IF(AND(C22=Indexdata!U16,E22&gt;0),"Buy_ 52W_H","Buy_50D_H"),IF(AND(Indexdata!H16=D22,E22&lt;0),IF(AND(Indexdata!V16=D22,E22&lt;0),"Sell_52W_L ","Sell_50D_L "),""))</f>
        <v/>
      </c>
      <c r="J22" s="30" t="n">
        <f aca="false">RANK(L22,L:L)</f>
        <v>21</v>
      </c>
      <c r="K22" s="30" t="str">
        <f aca="false">IF(Indexdata!R16&gt;=B22,IF(((C22-B22)/(C22-D22))*100&gt;80,"Down"," "),IF(Indexdata!R16&lt;=B22,IF(((B22-D22)/(C22-D22))*100&gt;80,"Up"," ")))</f>
        <v> </v>
      </c>
      <c r="L22" s="30" t="n">
        <f aca="false">Indexdata!I16</f>
        <v>14.17</v>
      </c>
      <c r="M22" s="30" t="str">
        <f aca="false">IF(AND(B22&gt;Indexdata!P16,Indexdata!O16&lt;Indexdata!P16),"Buy",IF(AND(B22&lt;Indexdata!P16,Indexdata!O16&gt;Indexdata!P16),"Sell",""))</f>
        <v>Buy</v>
      </c>
      <c r="N22" s="30" t="n">
        <f aca="false">Indexdata!M16</f>
        <v>21651.98</v>
      </c>
      <c r="O22" s="30" t="n">
        <f aca="false">Indexdata!N16</f>
        <v>21945.05</v>
      </c>
      <c r="P22" s="33" t="n">
        <f aca="false">Indexdata!J16</f>
        <v>59.57</v>
      </c>
    </row>
    <row r="23" customFormat="false" ht="20.25" hidden="false" customHeight="true" outlineLevel="0" collapsed="false">
      <c r="A23" s="30" t="str">
        <f aca="false">Indexdata!A26</f>
        <v>NIFTYMSITTELCM</v>
      </c>
      <c r="B23" s="31" t="n">
        <f aca="false">Indexdata!B26</f>
        <v>9613.35</v>
      </c>
      <c r="C23" s="30" t="n">
        <f aca="false">Indexdata!C26</f>
        <v>9661.5</v>
      </c>
      <c r="D23" s="30" t="n">
        <f aca="false">Indexdata!D26</f>
        <v>9541.55</v>
      </c>
      <c r="E23" s="32" t="n">
        <f aca="false">Indexdata!E26</f>
        <v>0</v>
      </c>
      <c r="F23" s="30" t="n">
        <f aca="false">Indexdata!F26</f>
        <v>270.87</v>
      </c>
      <c r="G23" s="30" t="n">
        <f aca="false">Indexdata!S26</f>
        <v>0</v>
      </c>
      <c r="H23" s="30" t="n">
        <f aca="false">Indexdata!T26*100</f>
        <v>0</v>
      </c>
      <c r="I23" s="30" t="str">
        <f aca="false">IF(AND(C23=Indexdata!G26,E23&gt;0),IF(AND(C23=Indexdata!U26,E23&gt;0),"Buy_ 52W_H","Buy_50D_H"),IF(AND(Indexdata!H26=D23,E23&lt;0),IF(AND(Indexdata!V26=D23,E23&lt;0),"Sell_52W_L ","Sell_50D_L "),""))</f>
        <v/>
      </c>
      <c r="J23" s="30" t="n">
        <f aca="false">RANK(L23,L:L)</f>
        <v>22</v>
      </c>
      <c r="K23" s="30" t="str">
        <f aca="false">IF(Indexdata!R26&gt;=B23,IF(((C23-B23)/(C23-D23))*100&gt;80,"Down"," "),IF(Indexdata!R26&lt;=B23,IF(((B23-D23)/(C23-D23))*100&gt;80,"Up"," ")))</f>
        <v> </v>
      </c>
      <c r="L23" s="30" t="n">
        <f aca="false">Indexdata!I26</f>
        <v>0</v>
      </c>
      <c r="M23" s="30" t="str">
        <f aca="false">IF(AND(B23&gt;Indexdata!P26,Indexdata!O26&lt;Indexdata!P26),"Buy",IF(AND(B23&lt;Indexdata!P26,Indexdata!O26&gt;Indexdata!P26),"Sell",""))</f>
        <v/>
      </c>
      <c r="N23" s="30" t="n">
        <f aca="false">Indexdata!M26</f>
        <v>0</v>
      </c>
      <c r="O23" s="30" t="n">
        <f aca="false">Indexdata!N26</f>
        <v>0</v>
      </c>
      <c r="P23" s="33" t="n">
        <f aca="false">Indexdata!J26</f>
        <v>0</v>
      </c>
    </row>
    <row r="24" customFormat="false" ht="20.25" hidden="false" customHeight="true" outlineLevel="0" collapsed="false">
      <c r="A24" s="30" t="str">
        <f aca="false">Indexdata!A17</f>
        <v>NIFTYMSFINSERV</v>
      </c>
      <c r="B24" s="31" t="n">
        <f aca="false">Indexdata!B17</f>
        <v>18418.6</v>
      </c>
      <c r="C24" s="30" t="n">
        <f aca="false">Indexdata!C17</f>
        <v>18530.45</v>
      </c>
      <c r="D24" s="30" t="n">
        <f aca="false">Indexdata!D17</f>
        <v>18398.15</v>
      </c>
      <c r="E24" s="32" t="n">
        <f aca="false">Indexdata!E17</f>
        <v>0</v>
      </c>
      <c r="F24" s="30" t="n">
        <f aca="false">Indexdata!F17</f>
        <v>431.05</v>
      </c>
      <c r="G24" s="30" t="n">
        <f aca="false">Indexdata!S17</f>
        <v>0</v>
      </c>
      <c r="H24" s="30" t="n">
        <f aca="false">Indexdata!T17*100</f>
        <v>0</v>
      </c>
      <c r="I24" s="30" t="str">
        <f aca="false">IF(AND(C24=Indexdata!G17,E24&gt;0),IF(AND(C24=Indexdata!U17,E24&gt;0),"Buy_ 52W_H","Buy_50D_H"),IF(AND(Indexdata!H17=D24,E24&lt;0),IF(AND(Indexdata!V17=D24,E24&lt;0),"Sell_52W_L ","Sell_50D_L "),""))</f>
        <v/>
      </c>
      <c r="J24" s="30" t="n">
        <f aca="false">RANK(L24,L:L)</f>
        <v>22</v>
      </c>
      <c r="K24" s="30" t="str">
        <f aca="false">IF(Indexdata!R17&gt;=B24,IF(((C24-B24)/(C24-D24))*100&gt;80,"Down"," "),IF(Indexdata!R17&lt;=B24,IF(((B24-D24)/(C24-D24))*100&gt;80,"Up"," ")))</f>
        <v>Down</v>
      </c>
      <c r="L24" s="30" t="n">
        <f aca="false">Indexdata!I17</f>
        <v>0</v>
      </c>
      <c r="M24" s="30" t="str">
        <f aca="false">IF(AND(B24&gt;Indexdata!P17,Indexdata!O17&lt;Indexdata!P17),"Buy",IF(AND(B24&lt;Indexdata!P17,Indexdata!O17&gt;Indexdata!P17),"Sell",""))</f>
        <v/>
      </c>
      <c r="N24" s="30" t="n">
        <f aca="false">Indexdata!M17</f>
        <v>0</v>
      </c>
      <c r="O24" s="30" t="n">
        <f aca="false">Indexdata!N17</f>
        <v>0</v>
      </c>
      <c r="P24" s="33" t="n">
        <f aca="false">Indexdata!J17</f>
        <v>0</v>
      </c>
    </row>
    <row r="25" customFormat="false" ht="20.25" hidden="false" customHeight="true" outlineLevel="0" collapsed="false">
      <c r="A25" s="30" t="str">
        <f aca="false">Indexdata!A9</f>
        <v>NIFTYFINSEREXBNK</v>
      </c>
      <c r="B25" s="31" t="n">
        <f aca="false">Indexdata!B9</f>
        <v>29564.45</v>
      </c>
      <c r="C25" s="30" t="n">
        <f aca="false">Indexdata!C9</f>
        <v>29733.7</v>
      </c>
      <c r="D25" s="30" t="n">
        <f aca="false">Indexdata!D9</f>
        <v>29536.7</v>
      </c>
      <c r="E25" s="32" t="n">
        <f aca="false">Indexdata!E9</f>
        <v>0</v>
      </c>
      <c r="F25" s="30" t="n">
        <f aca="false">Indexdata!F9</f>
        <v>716.93</v>
      </c>
      <c r="G25" s="30" t="n">
        <f aca="false">Indexdata!S9</f>
        <v>0</v>
      </c>
      <c r="H25" s="30" t="n">
        <f aca="false">Indexdata!T9*100</f>
        <v>0</v>
      </c>
      <c r="I25" s="30" t="str">
        <f aca="false">IF(AND(C25=Indexdata!G9,E25&gt;0),IF(AND(C25=Indexdata!U9,E25&gt;0),"Buy_ 52W_H","Buy_50D_H"),IF(AND(Indexdata!H9=D25,E25&lt;0),IF(AND(Indexdata!V9=D25,E25&lt;0),"Sell_52W_L ","Sell_50D_L "),""))</f>
        <v/>
      </c>
      <c r="J25" s="30" t="n">
        <f aca="false">RANK(L25,L:L)</f>
        <v>22</v>
      </c>
      <c r="K25" s="30" t="str">
        <f aca="false">IF(Indexdata!R9&gt;=B25,IF(((C25-B25)/(C25-D25))*100&gt;80,"Down"," "),IF(Indexdata!R9&lt;=B25,IF(((B25-D25)/(C25-D25))*100&gt;80,"Up"," ")))</f>
        <v>Down</v>
      </c>
      <c r="L25" s="30" t="n">
        <f aca="false">Indexdata!I9</f>
        <v>0</v>
      </c>
      <c r="M25" s="30" t="str">
        <f aca="false">IF(AND(B25&gt;Indexdata!P9,Indexdata!O9&lt;Indexdata!P9),"Buy",IF(AND(B25&lt;Indexdata!P9,Indexdata!O9&gt;Indexdata!P9),"Sell",""))</f>
        <v/>
      </c>
      <c r="N25" s="30" t="n">
        <f aca="false">Indexdata!M9</f>
        <v>0</v>
      </c>
      <c r="O25" s="30" t="n">
        <f aca="false">Indexdata!N9</f>
        <v>0</v>
      </c>
      <c r="P25" s="33" t="n">
        <f aca="false">Indexdata!J9</f>
        <v>0</v>
      </c>
    </row>
    <row r="26" customFormat="false" ht="20.25" hidden="false" customHeight="true" outlineLevel="0" collapsed="false">
      <c r="A26" s="30" t="str">
        <f aca="false">Indexdata!A25</f>
        <v>NIFTYOILANDGAS</v>
      </c>
      <c r="B26" s="31" t="n">
        <f aca="false">Indexdata!B25</f>
        <v>11126.1</v>
      </c>
      <c r="C26" s="30" t="n">
        <f aca="false">Indexdata!C25</f>
        <v>11214.15</v>
      </c>
      <c r="D26" s="30" t="n">
        <f aca="false">Indexdata!D25</f>
        <v>11119.35</v>
      </c>
      <c r="E26" s="32" t="n">
        <f aca="false">Indexdata!E25</f>
        <v>-0.829</v>
      </c>
      <c r="F26" s="30" t="n">
        <f aca="false">Indexdata!F25</f>
        <v>124.14</v>
      </c>
      <c r="G26" s="30" t="n">
        <f aca="false">Indexdata!S25</f>
        <v>18.23</v>
      </c>
      <c r="H26" s="30" t="n">
        <f aca="false">Indexdata!T25*100</f>
        <v>0.2</v>
      </c>
      <c r="I26" s="30" t="str">
        <f aca="false">IF(AND(C26=Indexdata!G25,E26&gt;0),IF(AND(C26=Indexdata!U25,E26&gt;0),"Buy_ 52W_H","Buy_50D_H"),IF(AND(Indexdata!H25=D26,E26&lt;0),IF(AND(Indexdata!V25=D26,E26&lt;0),"Sell_52W_L ","Sell_50D_L "),""))</f>
        <v/>
      </c>
      <c r="J26" s="30" t="n">
        <f aca="false">RANK(L26,L:L)</f>
        <v>25</v>
      </c>
      <c r="K26" s="30" t="str">
        <f aca="false">IF(Indexdata!R25&gt;=B26,IF(((C26-B26)/(C26-D26))*100&gt;80,"Down"," "),IF(Indexdata!R25&lt;=B26,IF(((B26-D26)/(C26-D26))*100&gt;80,"Up"," ")))</f>
        <v>Down</v>
      </c>
      <c r="L26" s="30" t="n">
        <f aca="false">Indexdata!I25</f>
        <v>-5.71</v>
      </c>
      <c r="M26" s="30" t="str">
        <f aca="false">IF(AND(B26&gt;Indexdata!P25,Indexdata!O25&lt;Indexdata!P25),"Buy",IF(AND(B26&lt;Indexdata!P25,Indexdata!O25&gt;Indexdata!P25),"Sell",""))</f>
        <v/>
      </c>
      <c r="N26" s="30" t="n">
        <f aca="false">Indexdata!M25</f>
        <v>11220.33</v>
      </c>
      <c r="O26" s="30" t="n">
        <f aca="false">Indexdata!N25</f>
        <v>11116.19</v>
      </c>
      <c r="P26" s="33" t="n">
        <f aca="false">Indexdata!J25</f>
        <v>46.41</v>
      </c>
    </row>
    <row r="27" customFormat="false" ht="20.25" hidden="false" customHeight="true" outlineLevel="0" collapsed="false">
      <c r="A27" s="30" t="str">
        <f aca="false">Indexdata!A11</f>
        <v>NIFTYFINSERVICE</v>
      </c>
      <c r="B27" s="31" t="n">
        <f aca="false">Indexdata!B11</f>
        <v>26317.05</v>
      </c>
      <c r="C27" s="30" t="n">
        <f aca="false">Indexdata!C11</f>
        <v>26565</v>
      </c>
      <c r="D27" s="30" t="n">
        <f aca="false">Indexdata!D11</f>
        <v>26297.15</v>
      </c>
      <c r="E27" s="32" t="n">
        <f aca="false">Indexdata!E11</f>
        <v>-0.965</v>
      </c>
      <c r="F27" s="30" t="n">
        <f aca="false">Indexdata!F11</f>
        <v>239.58</v>
      </c>
      <c r="G27" s="30" t="n">
        <f aca="false">Indexdata!S11</f>
        <v>3.85</v>
      </c>
      <c r="H27" s="30" t="n">
        <f aca="false">Indexdata!T11*100</f>
        <v>0.1</v>
      </c>
      <c r="I27" s="30" t="str">
        <f aca="false">IF(AND(C27=Indexdata!G11,E27&gt;0),IF(AND(C27=Indexdata!U11,E27&gt;0),"Buy_ 52W_H","Buy_50D_H"),IF(AND(Indexdata!H11=D27,E27&lt;0),IF(AND(Indexdata!V11=D27,E27&lt;0),"Sell_52W_L ","Sell_50D_L "),""))</f>
        <v/>
      </c>
      <c r="J27" s="30" t="n">
        <f aca="false">RANK(L27,L:L)</f>
        <v>26</v>
      </c>
      <c r="K27" s="30" t="str">
        <f aca="false">IF(Indexdata!R11&gt;=B27,IF(((C27-B27)/(C27-D27))*100&gt;80,"Down"," "),IF(Indexdata!R11&lt;=B27,IF(((B27-D27)/(C27-D27))*100&gt;80,"Up"," ")))</f>
        <v>Down</v>
      </c>
      <c r="L27" s="30" t="n">
        <f aca="false">Indexdata!I11</f>
        <v>-39.04</v>
      </c>
      <c r="M27" s="30" t="str">
        <f aca="false">IF(AND(B27&gt;Indexdata!P11,Indexdata!O11&lt;Indexdata!P11),"Buy",IF(AND(B27&lt;Indexdata!P11,Indexdata!O11&gt;Indexdata!P11),"Sell",""))</f>
        <v/>
      </c>
      <c r="N27" s="30" t="n">
        <f aca="false">Indexdata!M11</f>
        <v>26701.22</v>
      </c>
      <c r="O27" s="30" t="n">
        <f aca="false">Indexdata!N11</f>
        <v>26672.57</v>
      </c>
      <c r="P27" s="33" t="n">
        <f aca="false">Indexdata!J11</f>
        <v>41.71</v>
      </c>
    </row>
    <row r="28" customFormat="false" ht="20.25" hidden="false" customHeight="true" outlineLevel="0" collapsed="false">
      <c r="A28" s="30" t="str">
        <f aca="false">Indexdata!A10</f>
        <v>NIFTYPVTBANK</v>
      </c>
      <c r="B28" s="31" t="n">
        <f aca="false">Indexdata!B10</f>
        <v>26691.85</v>
      </c>
      <c r="C28" s="30" t="n">
        <f aca="false">Indexdata!C10</f>
        <v>26951.45</v>
      </c>
      <c r="D28" s="30" t="n">
        <f aca="false">Indexdata!D10</f>
        <v>26665.25</v>
      </c>
      <c r="E28" s="32" t="n">
        <f aca="false">Indexdata!E10</f>
        <v>-1.06</v>
      </c>
      <c r="F28" s="30" t="n">
        <f aca="false">Indexdata!F10</f>
        <v>252.94</v>
      </c>
      <c r="G28" s="30" t="n">
        <f aca="false">Indexdata!S10</f>
        <v>6.6</v>
      </c>
      <c r="H28" s="30" t="n">
        <f aca="false">Indexdata!T10*100</f>
        <v>0</v>
      </c>
      <c r="I28" s="30" t="str">
        <f aca="false">IF(AND(C28=Indexdata!G10,E28&gt;0),IF(AND(C28=Indexdata!U10,E28&gt;0),"Buy_ 52W_H","Buy_50D_H"),IF(AND(Indexdata!H10=D28,E28&lt;0),IF(AND(Indexdata!V10=D28,E28&lt;0),"Sell_52W_L ","Sell_50D_L "),""))</f>
        <v/>
      </c>
      <c r="J28" s="30" t="n">
        <f aca="false">RANK(L28,L:L)</f>
        <v>27</v>
      </c>
      <c r="K28" s="30" t="str">
        <f aca="false">IF(Indexdata!R10&gt;=B28,IF(((C28-B28)/(C28-D28))*100&gt;80,"Down"," "),IF(Indexdata!R10&lt;=B28,IF(((B28-D28)/(C28-D28))*100&gt;80,"Up"," ")))</f>
        <v>Down</v>
      </c>
      <c r="L28" s="30" t="n">
        <f aca="false">Indexdata!I10</f>
        <v>-64.08</v>
      </c>
      <c r="M28" s="30" t="str">
        <f aca="false">IF(AND(B28&gt;Indexdata!P10,Indexdata!O10&lt;Indexdata!P10),"Buy",IF(AND(B28&lt;Indexdata!P10,Indexdata!O10&gt;Indexdata!P10),"Sell",""))</f>
        <v/>
      </c>
      <c r="N28" s="30" t="n">
        <f aca="false">Indexdata!M10</f>
        <v>27162.34</v>
      </c>
      <c r="O28" s="30" t="n">
        <f aca="false">Indexdata!N10</f>
        <v>27064.54</v>
      </c>
      <c r="P28" s="33" t="n">
        <f aca="false">Indexdata!J10</f>
        <v>38.16</v>
      </c>
    </row>
    <row r="29" customFormat="false" ht="20.25" hidden="false" customHeight="true" outlineLevel="0" collapsed="false">
      <c r="A29" s="30" t="str">
        <f aca="false">Indexdata!A5</f>
        <v>BANKNIFTY</v>
      </c>
      <c r="B29" s="31" t="n">
        <f aca="false">Indexdata!B5</f>
        <v>55149.4</v>
      </c>
      <c r="C29" s="30" t="n">
        <f aca="false">Indexdata!C5</f>
        <v>55745</v>
      </c>
      <c r="D29" s="30" t="n">
        <f aca="false">Indexdata!D5</f>
        <v>55102.6</v>
      </c>
      <c r="E29" s="32" t="n">
        <f aca="false">Indexdata!E5</f>
        <v>-1.09</v>
      </c>
      <c r="F29" s="30" t="n">
        <f aca="false">Indexdata!F5</f>
        <v>488.65</v>
      </c>
      <c r="G29" s="30" t="n">
        <f aca="false">Indexdata!S5</f>
        <v>4.3</v>
      </c>
      <c r="H29" s="30" t="n">
        <f aca="false">Indexdata!T5*100</f>
        <v>0</v>
      </c>
      <c r="I29" s="30" t="str">
        <f aca="false">IF(AND(C29=Indexdata!G5,E29&gt;0),IF(AND(C29=Indexdata!U5,E29&gt;0),"Buy_ 52W_H","Buy_50D_H"),IF(AND(Indexdata!H5=D29,E29&lt;0),IF(AND(Indexdata!V5=D29,E29&lt;0),"Sell_52W_L ","Sell_50D_L "),""))</f>
        <v/>
      </c>
      <c r="J29" s="30" t="n">
        <f aca="false">RANK(L29,L:L)</f>
        <v>28</v>
      </c>
      <c r="K29" s="30" t="str">
        <f aca="false">IF(Indexdata!R5&gt;=B29,IF(((C29-B29)/(C29-D29))*100&gt;80,"Down"," "),IF(Indexdata!R5&lt;=B29,IF(((B29-D29)/(C29-D29))*100&gt;80,"Up"," ")))</f>
        <v>Down</v>
      </c>
      <c r="L29" s="30" t="n">
        <f aca="false">Indexdata!I5</f>
        <v>-66.59</v>
      </c>
      <c r="M29" s="30" t="str">
        <f aca="false">IF(AND(B29&gt;Indexdata!P5,Indexdata!O5&lt;Indexdata!P5),"Buy",IF(AND(B29&lt;Indexdata!P5,Indexdata!O5&gt;Indexdata!P5),"Sell",""))</f>
        <v/>
      </c>
      <c r="N29" s="30" t="n">
        <f aca="false">Indexdata!M5</f>
        <v>56222.78</v>
      </c>
      <c r="O29" s="30" t="n">
        <f aca="false">Indexdata!N5</f>
        <v>55918.14</v>
      </c>
      <c r="P29" s="33" t="n">
        <f aca="false">Indexdata!J5</f>
        <v>36.9</v>
      </c>
    </row>
    <row r="30" customFormat="false" ht="20.25" hidden="false" customHeight="true" outlineLevel="0" collapsed="false">
      <c r="A30" s="30" t="str">
        <f aca="false">Indexdata!A8</f>
        <v>CNXENERGY</v>
      </c>
      <c r="B30" s="31" t="n">
        <f aca="false">Indexdata!B8</f>
        <v>34507.6</v>
      </c>
      <c r="C30" s="30" t="n">
        <f aca="false">Indexdata!C8</f>
        <v>34729.85</v>
      </c>
      <c r="D30" s="30" t="n">
        <f aca="false">Indexdata!D8</f>
        <v>34477.9</v>
      </c>
      <c r="E30" s="32" t="n">
        <f aca="false">Indexdata!E8</f>
        <v>-0.502</v>
      </c>
      <c r="F30" s="30" t="n">
        <f aca="false">Indexdata!F8</f>
        <v>329.85</v>
      </c>
      <c r="G30" s="30" t="n">
        <f aca="false">Indexdata!S8</f>
        <v>22.84</v>
      </c>
      <c r="H30" s="30" t="n">
        <f aca="false">Indexdata!T8*100</f>
        <v>0</v>
      </c>
      <c r="I30" s="30" t="str">
        <f aca="false">IF(AND(C30=Indexdata!G8,E30&gt;0),IF(AND(C30=Indexdata!U8,E30&gt;0),"Buy_ 52W_H","Buy_50D_H"),IF(AND(Indexdata!H8=D30,E30&lt;0),IF(AND(Indexdata!V8=D30,E30&lt;0),"Sell_52W_L ","Sell_50D_L "),""))</f>
        <v/>
      </c>
      <c r="J30" s="30" t="n">
        <f aca="false">RANK(L30,L:L)</f>
        <v>29</v>
      </c>
      <c r="K30" s="30" t="str">
        <f aca="false">IF(Indexdata!R8&gt;=B30,IF(((C30-B30)/(C30-D30))*100&gt;80,"Down"," "),IF(Indexdata!R8&lt;=B30,IF(((B30-D30)/(C30-D30))*100&gt;80,"Up"," ")))</f>
        <v>Down</v>
      </c>
      <c r="L30" s="30" t="n">
        <f aca="false">Indexdata!I8</f>
        <v>-75.49</v>
      </c>
      <c r="M30" s="30" t="str">
        <f aca="false">IF(AND(B30&gt;Indexdata!P8,Indexdata!O8&lt;Indexdata!P8),"Buy",IF(AND(B30&lt;Indexdata!P8,Indexdata!O8&gt;Indexdata!P8),"Sell",""))</f>
        <v/>
      </c>
      <c r="N30" s="30" t="n">
        <f aca="false">Indexdata!M8</f>
        <v>35184.9</v>
      </c>
      <c r="O30" s="30" t="n">
        <f aca="false">Indexdata!N8</f>
        <v>34500.53</v>
      </c>
      <c r="P30" s="33" t="n">
        <f aca="false">Indexdata!J8</f>
        <v>36.66</v>
      </c>
    </row>
  </sheetData>
  <autoFilter ref="A1:P30"/>
  <conditionalFormatting sqref="H2:H30">
    <cfRule type="cellIs" priority="2" operator="lessThanOrEqual" aboveAverage="0" equalAverage="0" bottom="0" percent="0" rank="0" text="" dxfId="9">
      <formula>20</formula>
    </cfRule>
  </conditionalFormatting>
  <conditionalFormatting sqref="I2:I30">
    <cfRule type="containsText" priority="3" operator="containsText" aboveAverage="0" equalAverage="0" bottom="0" percent="0" rank="0" text="Buy" dxfId="10">
      <formula>NOT(ISERROR(SEARCH("Buy",I2)))</formula>
    </cfRule>
    <cfRule type="containsText" priority="4" operator="containsText" aboveAverage="0" equalAverage="0" bottom="0" percent="0" rank="0" text="Sell" dxfId="11">
      <formula>NOT(ISERROR(SEARCH("Sell",I2)))</formula>
    </cfRule>
  </conditionalFormatting>
  <conditionalFormatting sqref="K2:K30">
    <cfRule type="containsText" priority="5" operator="containsText" aboveAverage="0" equalAverage="0" bottom="0" percent="0" rank="0" text="Up" dxfId="12">
      <formula>NOT(ISERROR(SEARCH("Up",K2)))</formula>
    </cfRule>
    <cfRule type="containsText" priority="6" operator="containsText" aboveAverage="0" equalAverage="0" bottom="0" percent="0" rank="0" text="Down" dxfId="13">
      <formula>NOT(ISERROR(SEARCH("Down",K2)))</formula>
    </cfRule>
  </conditionalFormatting>
  <conditionalFormatting sqref="M2:M30">
    <cfRule type="containsText" priority="7" operator="containsText" aboveAverage="0" equalAverage="0" bottom="0" percent="0" rank="0" text="Buy" dxfId="14">
      <formula>NOT(ISERROR(SEARCH("Buy",M2)))</formula>
    </cfRule>
    <cfRule type="containsText" priority="8" operator="containsText" aboveAverage="0" equalAverage="0" bottom="0" percent="0" rank="0" text="Sell" dxfId="11">
      <formula>NOT(ISERROR(SEARCH("Sell",M2)))</formula>
    </cfRule>
  </conditionalFormatting>
  <conditionalFormatting sqref="N2:N30">
    <cfRule type="expression" priority="9" aboveAverage="0" equalAverage="0" bottom="0" percent="0" rank="0" text="" dxfId="15">
      <formula>N2&lt;B2</formula>
    </cfRule>
    <cfRule type="expression" priority="10" aboveAverage="0" equalAverage="0" bottom="0" percent="0" rank="0" text="" dxfId="9">
      <formula>N2&gt;B2</formula>
    </cfRule>
  </conditionalFormatting>
  <conditionalFormatting sqref="O2:O30">
    <cfRule type="expression" priority="11" aboveAverage="0" equalAverage="0" bottom="0" percent="0" rank="0" text="" dxfId="16">
      <formula>O2&lt;B2</formula>
    </cfRule>
    <cfRule type="expression" priority="12" aboveAverage="0" equalAverage="0" bottom="0" percent="0" rank="0" text="" dxfId="9">
      <formula>O2&gt;B2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true"/>
  </sheetPr>
  <dimension ref="A1:AB98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H39" activeCellId="0" sqref="H39"/>
    </sheetView>
  </sheetViews>
  <sheetFormatPr defaultColWidth="12.66796875" defaultRowHeight="12.75" customHeight="true" zeroHeight="false" outlineLevelRow="0" outlineLevelCol="0"/>
  <cols>
    <col collapsed="false" customWidth="true" hidden="false" outlineLevel="0" max="2" min="2" style="34" width="5.33"/>
    <col collapsed="false" customWidth="true" hidden="false" outlineLevel="0" max="4" min="4" style="34" width="9.44"/>
    <col collapsed="false" customWidth="true" hidden="false" outlineLevel="0" max="5" min="5" style="34" width="17"/>
    <col collapsed="false" customWidth="true" hidden="false" outlineLevel="0" max="6" min="6" style="34" width="9"/>
    <col collapsed="false" customWidth="true" hidden="false" outlineLevel="0" max="7" min="7" style="34" width="13"/>
    <col collapsed="false" customWidth="true" hidden="false" outlineLevel="0" max="8" min="8" style="34" width="10"/>
    <col collapsed="false" customWidth="true" hidden="false" outlineLevel="0" max="9" min="9" style="34" width="17"/>
    <col collapsed="false" customWidth="true" hidden="false" outlineLevel="0" max="10" min="10" style="34" width="10"/>
    <col collapsed="false" customWidth="true" hidden="false" outlineLevel="0" max="13" min="13" style="34" width="9.79"/>
    <col collapsed="false" customWidth="true" hidden="false" outlineLevel="0" max="14" min="14" style="34" width="15.11"/>
    <col collapsed="false" customWidth="true" hidden="false" outlineLevel="0" max="15" min="15" style="34" width="8.22"/>
    <col collapsed="false" customWidth="true" hidden="false" outlineLevel="0" max="16" min="16" style="34" width="9.79"/>
    <col collapsed="false" customWidth="true" hidden="false" outlineLevel="0" max="17" min="17" style="34" width="13.67"/>
    <col collapsed="false" customWidth="true" hidden="false" outlineLevel="0" max="19" min="19" style="34" width="18"/>
    <col collapsed="false" customWidth="true" hidden="false" outlineLevel="0" max="20" min="20" style="34" width="16.11"/>
  </cols>
  <sheetData>
    <row r="1" customFormat="false" ht="15.75" hidden="false" customHeight="true" outlineLevel="0" collapsed="false">
      <c r="A1" s="35" t="s">
        <v>21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6" t="s">
        <v>22</v>
      </c>
      <c r="M1" s="36" t="s">
        <v>23</v>
      </c>
      <c r="N1" s="36" t="s">
        <v>24</v>
      </c>
      <c r="O1" s="36" t="s">
        <v>25</v>
      </c>
      <c r="P1" s="36" t="s">
        <v>26</v>
      </c>
      <c r="Q1" s="36" t="s">
        <v>24</v>
      </c>
      <c r="R1" s="37"/>
      <c r="S1" s="38" t="s">
        <v>21</v>
      </c>
      <c r="T1" s="38"/>
      <c r="U1" s="37"/>
      <c r="V1" s="37"/>
      <c r="W1" s="37"/>
      <c r="X1" s="37"/>
      <c r="Y1" s="37"/>
      <c r="Z1" s="37"/>
      <c r="AA1" s="37"/>
      <c r="AB1" s="37"/>
    </row>
    <row r="2" customFormat="false" ht="15.75" hidden="false" customHeight="true" outlineLevel="0" collapsed="false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9" t="n">
        <f aca="false">INDEX('Data 2'!$L$2:$L$2198,MATCH(N2,'Data 2'!$A$2:$A$2198,0))</f>
        <v>-64.4466666666667</v>
      </c>
      <c r="M2" s="40" t="n">
        <f aca="false">RANK(L2,L:L)</f>
        <v>166</v>
      </c>
      <c r="N2" s="34" t="s">
        <v>27</v>
      </c>
      <c r="O2" s="39" t="n">
        <f aca="false">INDEX('Data 2'!$M$2:$M$2198,MATCH(N2,'Data 2'!$A$2:$A$2198,0))</f>
        <v>-5.2</v>
      </c>
      <c r="P2" s="41" t="n">
        <f aca="false">RANK(O2,O:O)</f>
        <v>109</v>
      </c>
      <c r="Q2" s="34" t="s">
        <v>27</v>
      </c>
      <c r="R2" s="37"/>
      <c r="S2" s="42" t="s">
        <v>28</v>
      </c>
      <c r="T2" s="42"/>
      <c r="U2" s="37"/>
      <c r="V2" s="37"/>
      <c r="W2" s="37"/>
      <c r="X2" s="37"/>
      <c r="Y2" s="37"/>
      <c r="Z2" s="37"/>
      <c r="AA2" s="37"/>
      <c r="AB2" s="37"/>
    </row>
    <row r="3" customFormat="false" ht="15.75" hidden="false" customHeight="true" outlineLevel="0" collapsed="false">
      <c r="A3" s="43" t="s">
        <v>29</v>
      </c>
      <c r="B3" s="44" t="s">
        <v>30</v>
      </c>
      <c r="C3" s="44" t="s">
        <v>24</v>
      </c>
      <c r="D3" s="44" t="s">
        <v>31</v>
      </c>
      <c r="E3" s="44" t="s">
        <v>32</v>
      </c>
      <c r="F3" s="44" t="s">
        <v>33</v>
      </c>
      <c r="G3" s="44" t="s">
        <v>24</v>
      </c>
      <c r="H3" s="44" t="s">
        <v>31</v>
      </c>
      <c r="I3" s="44" t="s">
        <v>32</v>
      </c>
      <c r="J3" s="44" t="s">
        <v>33</v>
      </c>
      <c r="K3" s="45" t="s">
        <v>34</v>
      </c>
      <c r="L3" s="39" t="n">
        <f aca="false">INDEX('Data 2'!$L$2:$L$2198,MATCH(N3,'Data 2'!$A$2:$A$2198,0))</f>
        <v>-57.4266666666667</v>
      </c>
      <c r="M3" s="40" t="n">
        <f aca="false">RANK(L3,L:L)</f>
        <v>156</v>
      </c>
      <c r="N3" s="34" t="s">
        <v>35</v>
      </c>
      <c r="O3" s="39" t="n">
        <f aca="false">INDEX('Data 2'!$M$2:$M$2198,MATCH(N3,'Data 2'!$A$2:$A$2198,0))</f>
        <v>-56.64375</v>
      </c>
      <c r="P3" s="41" t="n">
        <f aca="false">RANK(O3,O:O)</f>
        <v>171</v>
      </c>
      <c r="Q3" s="34" t="s">
        <v>35</v>
      </c>
      <c r="R3" s="37"/>
      <c r="S3" s="46" t="s">
        <v>29</v>
      </c>
      <c r="T3" s="47" t="s">
        <v>34</v>
      </c>
      <c r="U3" s="37"/>
      <c r="V3" s="37"/>
      <c r="W3" s="37"/>
      <c r="X3" s="37"/>
      <c r="Y3" s="37"/>
      <c r="Z3" s="37"/>
      <c r="AA3" s="37"/>
      <c r="AB3" s="37"/>
    </row>
    <row r="4" customFormat="false" ht="15.75" hidden="false" customHeight="true" outlineLevel="0" collapsed="false">
      <c r="A4" s="48" t="str">
        <f aca="false">IF(ISNUMBER(MATCH(C4,$C$21:$C$34,0)),C4,"")</f>
        <v/>
      </c>
      <c r="B4" s="49" t="n">
        <v>1</v>
      </c>
      <c r="C4" s="50" t="str">
        <f aca="false">VLOOKUP(B4,M:N,2,FALSE())</f>
        <v>ABFRL</v>
      </c>
      <c r="D4" s="51" t="n">
        <f aca="false">VLOOKUP(C4,'Data 2'!$A$2:$K$2250,2,FALSE())</f>
        <v>81.25</v>
      </c>
      <c r="E4" s="52" t="n">
        <f aca="false">INDEX('Data 2'!$L$2:$L$2250,MATCH(C4,'Data 2'!$A$2:$A$2250,0))</f>
        <v>131.36</v>
      </c>
      <c r="F4" s="53" t="n">
        <f aca="false">VLOOKUP(C4,'Data 2'!$A$2:$K$2250,11,FALSE())</f>
        <v>73.99</v>
      </c>
      <c r="G4" s="50" t="str">
        <f aca="false">VLOOKUP(COUNT($P$2:$Q485),M:N,2,FALSE())</f>
        <v>UBL</v>
      </c>
      <c r="H4" s="51" t="n">
        <f aca="false">VLOOKUP(G4,'Data 2'!$A$2:$K$2250,2,FALSE())</f>
        <v>1875.1</v>
      </c>
      <c r="I4" s="54" t="n">
        <f aca="false">INDEX('Data 2'!$L$2:$L$2250,MATCH(G4,'Data 2'!$A$2:$A$2250,0))</f>
        <v>-130.666666666667</v>
      </c>
      <c r="J4" s="53" t="n">
        <f aca="false">VLOOKUP(G4,'Data 2'!$A$2:$K$2250,11,FALSE())</f>
        <v>1955.4</v>
      </c>
      <c r="K4" s="55" t="str">
        <f aca="false">IF(ISNUMBER(MATCH(G4,$G$21:$G$34,0)),G4,"")</f>
        <v/>
      </c>
      <c r="L4" s="39" t="n">
        <f aca="false">INDEX('Data 2'!$L$2:$L$2198,MATCH(N4,'Data 2'!$A$2:$A$2198,0))</f>
        <v>51.71</v>
      </c>
      <c r="M4" s="40" t="n">
        <f aca="false">RANK(L4,L:L)</f>
        <v>48</v>
      </c>
      <c r="N4" s="34" t="s">
        <v>36</v>
      </c>
      <c r="O4" s="39" t="n">
        <f aca="false">INDEX('Data 2'!$M$2:$M$2198,MATCH(N4,'Data 2'!$A$2:$A$2198,0))</f>
        <v>81.9225</v>
      </c>
      <c r="P4" s="41" t="n">
        <f aca="false">RANK(O4,O:O)</f>
        <v>36</v>
      </c>
      <c r="Q4" s="34" t="s">
        <v>36</v>
      </c>
      <c r="R4" s="37"/>
      <c r="S4" s="56" t="str">
        <f aca="false">IF(A4="","",(CONCATENATE("NSE:",A4,",")))</f>
        <v/>
      </c>
      <c r="U4" s="37"/>
      <c r="V4" s="37"/>
      <c r="W4" s="37"/>
      <c r="X4" s="37"/>
      <c r="Y4" s="37"/>
      <c r="Z4" s="37"/>
      <c r="AA4" s="37"/>
      <c r="AB4" s="37"/>
    </row>
    <row r="5" customFormat="false" ht="15.75" hidden="false" customHeight="true" outlineLevel="0" collapsed="false">
      <c r="A5" s="48" t="str">
        <f aca="false">IF(ISNUMBER(MATCH(C5,$C$21:$C$34,0)),C5,"")</f>
        <v>PVRINOX</v>
      </c>
      <c r="B5" s="49" t="n">
        <v>2</v>
      </c>
      <c r="C5" s="50" t="str">
        <f aca="false">VLOOKUP(B5,M:N,2,FALSE())</f>
        <v>PVRINOX</v>
      </c>
      <c r="D5" s="51" t="n">
        <f aca="false">VLOOKUP(C5,'Data 2'!$A$2:$K$2250,2,FALSE())</f>
        <v>1131.2</v>
      </c>
      <c r="E5" s="52" t="n">
        <f aca="false">INDEX('Data 2'!$L$2:$L$2250,MATCH(C5,'Data 2'!$A$2:$A$2250,0))</f>
        <v>127.333333333333</v>
      </c>
      <c r="F5" s="53" t="n">
        <f aca="false">VLOOKUP(C5,'Data 2'!$A$2:$K$2250,11,FALSE())</f>
        <v>1062.61</v>
      </c>
      <c r="G5" s="50" t="str">
        <f aca="false">VLOOKUP(COUNT($P$2:$Q486)-1,M:N,2,FALSE())</f>
        <v>TATAELXSI</v>
      </c>
      <c r="H5" s="51" t="n">
        <f aca="false">VLOOKUP(G5,'Data 2'!$A$2:$K$2250,2,FALSE())</f>
        <v>5579.5</v>
      </c>
      <c r="I5" s="54" t="n">
        <f aca="false">INDEX('Data 2'!$L$2:$L$2250,MATCH(G5,'Data 2'!$A$2:$A$2250,0))</f>
        <v>-127.08</v>
      </c>
      <c r="J5" s="53" t="n">
        <f aca="false">VLOOKUP(G5,'Data 2'!$A$2:$K$2250,11,FALSE())</f>
        <v>5858.87</v>
      </c>
      <c r="K5" s="55" t="str">
        <f aca="false">IF(ISNUMBER(MATCH(G5,$G$21:$G$34,0)),G5,"")</f>
        <v>TATAELXSI</v>
      </c>
      <c r="L5" s="39" t="n">
        <f aca="false">INDEX('Data 2'!$L$2:$L$2198,MATCH(N5,'Data 2'!$A$2:$A$2198,0))</f>
        <v>127.333333333333</v>
      </c>
      <c r="M5" s="40" t="n">
        <f aca="false">RANK(L5,L:L)</f>
        <v>2</v>
      </c>
      <c r="N5" s="34" t="s">
        <v>37</v>
      </c>
      <c r="O5" s="39" t="n">
        <f aca="false">INDEX('Data 2'!$M$2:$M$2198,MATCH(N5,'Data 2'!$A$2:$A$2198,0))</f>
        <v>187.25625</v>
      </c>
      <c r="P5" s="41" t="n">
        <f aca="false">RANK(O5,O:O)</f>
        <v>2</v>
      </c>
      <c r="Q5" s="34" t="s">
        <v>37</v>
      </c>
      <c r="R5" s="37"/>
      <c r="S5" s="56" t="str">
        <f aca="false">IF(A5="","",(CONCATENATE("NSE:",A5,",")))</f>
        <v>NSE:PVRINOX,</v>
      </c>
      <c r="U5" s="37"/>
      <c r="V5" s="37"/>
      <c r="W5" s="37"/>
      <c r="X5" s="37"/>
      <c r="Y5" s="37"/>
      <c r="Z5" s="37"/>
      <c r="AA5" s="37"/>
      <c r="AB5" s="37"/>
    </row>
    <row r="6" customFormat="false" ht="15.75" hidden="false" customHeight="true" outlineLevel="0" collapsed="false">
      <c r="A6" s="48" t="str">
        <f aca="false">IF(ISNUMBER(MATCH(C6,$C$21:$C$34,0)),C6,"")</f>
        <v/>
      </c>
      <c r="B6" s="49" t="n">
        <v>3</v>
      </c>
      <c r="C6" s="50" t="str">
        <f aca="false">VLOOKUP(B6,M:N,2,FALSE())</f>
        <v>ZEEL</v>
      </c>
      <c r="D6" s="51" t="n">
        <f aca="false">VLOOKUP(C6,'Data 2'!$A$2:$K$2250,2,FALSE())</f>
        <v>123.58</v>
      </c>
      <c r="E6" s="52" t="n">
        <f aca="false">INDEX('Data 2'!$L$2:$L$2250,MATCH(C6,'Data 2'!$A$2:$A$2250,0))</f>
        <v>126.683333333333</v>
      </c>
      <c r="F6" s="53" t="n">
        <f aca="false">VLOOKUP(C6,'Data 2'!$A$2:$K$2250,11,FALSE())</f>
        <v>112.98</v>
      </c>
      <c r="G6" s="50" t="str">
        <f aca="false">VLOOKUP(COUNT($P$2:$Q486)-2,M:N,2,FALSE())</f>
        <v>LICHSGFIN</v>
      </c>
      <c r="H6" s="51" t="n">
        <f aca="false">VLOOKUP(G6,'Data 2'!$A$2:$K$2250,2,FALSE())</f>
        <v>563.5</v>
      </c>
      <c r="I6" s="54" t="n">
        <f aca="false">INDEX('Data 2'!$L$2:$L$2250,MATCH(G6,'Data 2'!$A$2:$A$2250,0))</f>
        <v>-125.086666666667</v>
      </c>
      <c r="J6" s="53" t="n">
        <f aca="false">VLOOKUP(G6,'Data 2'!$A$2:$K$2250,11,FALSE())</f>
        <v>589.5</v>
      </c>
      <c r="K6" s="55" t="str">
        <f aca="false">IF(ISNUMBER(MATCH(G6,$G$21:$G$34,0)),G6,"")</f>
        <v>LICHSGFIN</v>
      </c>
      <c r="L6" s="39" t="n">
        <f aca="false">INDEX('Data 2'!$L$2:$L$2198,MATCH(N6,'Data 2'!$A$2:$A$2198,0))</f>
        <v>-56.29</v>
      </c>
      <c r="M6" s="40" t="n">
        <f aca="false">RANK(L6,L:L)</f>
        <v>155</v>
      </c>
      <c r="N6" s="34" t="s">
        <v>38</v>
      </c>
      <c r="O6" s="39" t="n">
        <f aca="false">INDEX('Data 2'!$M$2:$M$2198,MATCH(N6,'Data 2'!$A$2:$A$2198,0))</f>
        <v>-16.265</v>
      </c>
      <c r="P6" s="41" t="n">
        <f aca="false">RANK(O6,O:O)</f>
        <v>125</v>
      </c>
      <c r="Q6" s="34" t="s">
        <v>38</v>
      </c>
      <c r="R6" s="37"/>
      <c r="S6" s="56" t="str">
        <f aca="false">IF(A6="","",(CONCATENATE("NSE:",A6,",")))</f>
        <v/>
      </c>
      <c r="U6" s="37"/>
      <c r="V6" s="37"/>
      <c r="W6" s="37"/>
      <c r="X6" s="37"/>
      <c r="Y6" s="37"/>
      <c r="Z6" s="37"/>
      <c r="AA6" s="37"/>
      <c r="AB6" s="37"/>
    </row>
    <row r="7" customFormat="false" ht="15.75" hidden="false" customHeight="true" outlineLevel="0" collapsed="false">
      <c r="A7" s="48" t="str">
        <f aca="false">IF(ISNUMBER(MATCH(C7,$C$21:$C$34,0)),C7,"")</f>
        <v>CUMMINSIND</v>
      </c>
      <c r="B7" s="49" t="n">
        <v>4</v>
      </c>
      <c r="C7" s="50" t="str">
        <f aca="false">VLOOKUP(B7,M:N,2,FALSE())</f>
        <v>CUMMINSIND</v>
      </c>
      <c r="D7" s="51" t="n">
        <f aca="false">VLOOKUP(C7,'Data 2'!$A$2:$K$2250,2,FALSE())</f>
        <v>3916</v>
      </c>
      <c r="E7" s="52" t="n">
        <f aca="false">INDEX('Data 2'!$L$2:$L$2250,MATCH(C7,'Data 2'!$A$2:$A$2250,0))</f>
        <v>122.496666666667</v>
      </c>
      <c r="F7" s="53" t="n">
        <f aca="false">VLOOKUP(C7,'Data 2'!$A$2:$K$2250,11,FALSE())</f>
        <v>3737.12</v>
      </c>
      <c r="G7" s="50" t="str">
        <f aca="false">VLOOKUP(COUNT($P$2:$Q486)-3,M:N,2,FALSE())</f>
        <v>NHPC</v>
      </c>
      <c r="H7" s="51" t="n">
        <f aca="false">VLOOKUP(G7,'Data 2'!$A$2:$K$2250,2,FALSE())</f>
        <v>80.71</v>
      </c>
      <c r="I7" s="54" t="n">
        <f aca="false">INDEX('Data 2'!$L$2:$L$2250,MATCH(G7,'Data 2'!$A$2:$A$2250,0))</f>
        <v>-121.166666666667</v>
      </c>
      <c r="J7" s="53" t="n">
        <f aca="false">VLOOKUP(G7,'Data 2'!$A$2:$K$2250,11,FALSE())</f>
        <v>84.8</v>
      </c>
      <c r="K7" s="55" t="str">
        <f aca="false">IF(ISNUMBER(MATCH(G7,$G$21:$G$34,0)),G7,"")</f>
        <v>NHPC</v>
      </c>
      <c r="L7" s="39" t="n">
        <f aca="false">INDEX('Data 2'!$L$2:$L$2198,MATCH(N7,'Data 2'!$A$2:$A$2198,0))</f>
        <v>-41.7433333333333</v>
      </c>
      <c r="M7" s="40" t="n">
        <f aca="false">RANK(L7,L:L)</f>
        <v>134</v>
      </c>
      <c r="N7" s="34" t="s">
        <v>39</v>
      </c>
      <c r="O7" s="39" t="n">
        <f aca="false">INDEX('Data 2'!$M$2:$M$2198,MATCH(N7,'Data 2'!$A$2:$A$2198,0))</f>
        <v>7.44125</v>
      </c>
      <c r="P7" s="41" t="n">
        <f aca="false">RANK(O7,O:O)</f>
        <v>96</v>
      </c>
      <c r="Q7" s="34" t="s">
        <v>39</v>
      </c>
      <c r="R7" s="37"/>
      <c r="S7" s="56" t="str">
        <f aca="false">IF(A7="","",(CONCATENATE("NSE:",A7,",")))</f>
        <v>NSE:CUMMINSIND,</v>
      </c>
      <c r="U7" s="37"/>
      <c r="V7" s="37"/>
      <c r="W7" s="37"/>
      <c r="X7" s="37"/>
      <c r="Y7" s="37"/>
      <c r="Z7" s="37"/>
      <c r="AA7" s="37"/>
      <c r="AB7" s="37"/>
    </row>
    <row r="8" customFormat="false" ht="15.75" hidden="false" customHeight="true" outlineLevel="0" collapsed="false">
      <c r="A8" s="48" t="str">
        <f aca="false">IF(ISNUMBER(MATCH(C8,$C$21:$C$34,0)),C8,"")</f>
        <v/>
      </c>
      <c r="B8" s="49" t="n">
        <v>5</v>
      </c>
      <c r="C8" s="50" t="str">
        <f aca="false">VLOOKUP(B8,M:N,2,FALSE())</f>
        <v>CESC</v>
      </c>
      <c r="D8" s="51" t="n">
        <f aca="false">VLOOKUP(C8,'Data 2'!$A$2:$K$2250,2,FALSE())</f>
        <v>166.81</v>
      </c>
      <c r="E8" s="52" t="n">
        <f aca="false">INDEX('Data 2'!$L$2:$L$2250,MATCH(C8,'Data 2'!$A$2:$A$2250,0))</f>
        <v>119.433333333333</v>
      </c>
      <c r="F8" s="53" t="n">
        <f aca="false">VLOOKUP(C8,'Data 2'!$A$2:$K$2250,11,FALSE())</f>
        <v>171.46</v>
      </c>
      <c r="G8" s="50" t="str">
        <f aca="false">VLOOKUP(COUNT($P$2:$Q486)-4,M:N,2,FALSE())</f>
        <v>RECLTD</v>
      </c>
      <c r="H8" s="51" t="n">
        <f aca="false">VLOOKUP(G8,'Data 2'!$A$2:$K$2250,2,FALSE())</f>
        <v>375.6</v>
      </c>
      <c r="I8" s="54" t="n">
        <f aca="false">INDEX('Data 2'!$L$2:$L$2250,MATCH(G8,'Data 2'!$A$2:$A$2250,0))</f>
        <v>-119.943333333333</v>
      </c>
      <c r="J8" s="53" t="n">
        <f aca="false">VLOOKUP(G8,'Data 2'!$A$2:$K$2250,11,FALSE())</f>
        <v>390.97</v>
      </c>
      <c r="K8" s="55" t="str">
        <f aca="false">IF(ISNUMBER(MATCH(G8,$G$21:$G$34,0)),G8,"")</f>
        <v>RECLTD</v>
      </c>
      <c r="L8" s="39" t="n">
        <f aca="false">INDEX('Data 2'!$L$2:$L$2198,MATCH(N8,'Data 2'!$A$2:$A$2198,0))</f>
        <v>-70.3533333333333</v>
      </c>
      <c r="M8" s="40" t="n">
        <f aca="false">RANK(L8,L:L)</f>
        <v>174</v>
      </c>
      <c r="N8" s="34" t="s">
        <v>40</v>
      </c>
      <c r="O8" s="39" t="n">
        <f aca="false">INDEX('Data 2'!$M$2:$M$2198,MATCH(N8,'Data 2'!$A$2:$A$2198,0))</f>
        <v>-71.15375</v>
      </c>
      <c r="P8" s="41" t="n">
        <f aca="false">RANK(O8,O:O)</f>
        <v>183</v>
      </c>
      <c r="Q8" s="34" t="s">
        <v>40</v>
      </c>
      <c r="R8" s="37"/>
      <c r="S8" s="56" t="str">
        <f aca="false">IF(A8="","",(CONCATENATE("NSE:",A8,",")))</f>
        <v/>
      </c>
      <c r="U8" s="37"/>
      <c r="V8" s="37"/>
      <c r="W8" s="37"/>
      <c r="X8" s="37"/>
      <c r="Y8" s="37"/>
      <c r="Z8" s="37"/>
      <c r="AA8" s="37"/>
      <c r="AB8" s="37"/>
    </row>
    <row r="9" customFormat="false" ht="15.75" hidden="false" customHeight="true" outlineLevel="0" collapsed="false">
      <c r="A9" s="48" t="str">
        <f aca="false">IF(ISNUMBER(MATCH(C9,$C$21:$C$34,0)),C9,"")</f>
        <v/>
      </c>
      <c r="B9" s="49" t="n">
        <v>6</v>
      </c>
      <c r="C9" s="50" t="str">
        <f aca="false">VLOOKUP(B9,M:N,2,FALSE())</f>
        <v>IPCALAB</v>
      </c>
      <c r="D9" s="51" t="n">
        <f aca="false">VLOOKUP(C9,'Data 2'!$A$2:$K$2250,2,FALSE())</f>
        <v>1418.4</v>
      </c>
      <c r="E9" s="52" t="n">
        <f aca="false">INDEX('Data 2'!$L$2:$L$2250,MATCH(C9,'Data 2'!$A$2:$A$2250,0))</f>
        <v>112.243333333333</v>
      </c>
      <c r="F9" s="53" t="n">
        <f aca="false">VLOOKUP(C9,'Data 2'!$A$2:$K$2250,11,FALSE())</f>
        <v>1457.39</v>
      </c>
      <c r="G9" s="50" t="str">
        <f aca="false">VLOOKUP(COUNT($P$2:$Q486)-5,M:N,2,FALSE())</f>
        <v>JUBLFOOD</v>
      </c>
      <c r="H9" s="51" t="n">
        <f aca="false">VLOOKUP(G9,'Data 2'!$A$2:$K$2250,2,FALSE())</f>
        <v>619.15</v>
      </c>
      <c r="I9" s="54" t="n">
        <f aca="false">INDEX('Data 2'!$L$2:$L$2250,MATCH(G9,'Data 2'!$A$2:$A$2250,0))</f>
        <v>-114.863333333333</v>
      </c>
      <c r="J9" s="53" t="n">
        <f aca="false">VLOOKUP(G9,'Data 2'!$A$2:$K$2250,11,FALSE())</f>
        <v>655.97</v>
      </c>
      <c r="K9" s="55" t="str">
        <f aca="false">IF(ISNUMBER(MATCH(G9,$G$21:$G$34,0)),G9,"")</f>
        <v>JUBLFOOD</v>
      </c>
      <c r="L9" s="39" t="n">
        <f aca="false">INDEX('Data 2'!$L$2:$L$2198,MATCH(N9,'Data 2'!$A$2:$A$2198,0))</f>
        <v>-94.76</v>
      </c>
      <c r="M9" s="40" t="n">
        <f aca="false">RANK(L9,L:L)</f>
        <v>194</v>
      </c>
      <c r="N9" s="34" t="s">
        <v>41</v>
      </c>
      <c r="O9" s="39" t="n">
        <f aca="false">INDEX('Data 2'!$M$2:$M$2198,MATCH(N9,'Data 2'!$A$2:$A$2198,0))</f>
        <v>-63.075</v>
      </c>
      <c r="P9" s="41" t="n">
        <f aca="false">RANK(O9,O:O)</f>
        <v>178</v>
      </c>
      <c r="Q9" s="34" t="s">
        <v>41</v>
      </c>
      <c r="R9" s="37"/>
      <c r="S9" s="56" t="str">
        <f aca="false">IF(A9="","",(CONCATENATE("NSE:",A9,",")))</f>
        <v/>
      </c>
      <c r="U9" s="37"/>
      <c r="V9" s="37"/>
      <c r="W9" s="37"/>
      <c r="X9" s="37"/>
      <c r="Y9" s="37"/>
      <c r="Z9" s="37"/>
      <c r="AA9" s="37"/>
      <c r="AB9" s="37"/>
    </row>
    <row r="10" customFormat="false" ht="15.75" hidden="false" customHeight="true" outlineLevel="0" collapsed="false">
      <c r="A10" s="48" t="str">
        <f aca="false">IF(ISNUMBER(MATCH(C10,$C$21:$C$34,0)),C10,"")</f>
        <v/>
      </c>
      <c r="B10" s="49" t="n">
        <v>7</v>
      </c>
      <c r="C10" s="50" t="str">
        <f aca="false">VLOOKUP(B10,M:N,2,FALSE())</f>
        <v>COFORGE</v>
      </c>
      <c r="D10" s="51" t="n">
        <f aca="false">VLOOKUP(C10,'Data 2'!$A$2:$K$2250,2,FALSE())</f>
        <v>1747.7</v>
      </c>
      <c r="E10" s="52" t="n">
        <f aca="false">INDEX('Data 2'!$L$2:$L$2250,MATCH(C10,'Data 2'!$A$2:$A$2250,0))</f>
        <v>110.623333333333</v>
      </c>
      <c r="F10" s="53" t="n">
        <f aca="false">VLOOKUP(C10,'Data 2'!$A$2:$K$2250,11,FALSE())</f>
        <v>1638.15</v>
      </c>
      <c r="G10" s="50" t="str">
        <f aca="false">VLOOKUP(COUNT($P$2:$Q486)-6,M:N,2,FALSE())</f>
        <v>BHARATFORG</v>
      </c>
      <c r="H10" s="51" t="n">
        <f aca="false">VLOOKUP(G10,'Data 2'!$A$2:$K$2250,2,FALSE())</f>
        <v>1123</v>
      </c>
      <c r="I10" s="54" t="n">
        <f aca="false">INDEX('Data 2'!$L$2:$L$2250,MATCH(G10,'Data 2'!$A$2:$A$2250,0))</f>
        <v>-113.886666666667</v>
      </c>
      <c r="J10" s="53" t="n">
        <f aca="false">VLOOKUP(G10,'Data 2'!$A$2:$K$2250,11,FALSE())</f>
        <v>1202.85</v>
      </c>
      <c r="K10" s="55" t="str">
        <f aca="false">IF(ISNUMBER(MATCH(G10,$G$21:$G$34,0)),G10,"")</f>
        <v/>
      </c>
      <c r="L10" s="39" t="n">
        <f aca="false">INDEX('Data 2'!$L$2:$L$2198,MATCH(N10,'Data 2'!$A$2:$A$2198,0))</f>
        <v>2.00666666666667</v>
      </c>
      <c r="M10" s="40" t="n">
        <f aca="false">RANK(L10,L:L)</f>
        <v>91</v>
      </c>
      <c r="N10" s="34" t="s">
        <v>42</v>
      </c>
      <c r="O10" s="39" t="n">
        <f aca="false">INDEX('Data 2'!$M$2:$M$2198,MATCH(N10,'Data 2'!$A$2:$A$2198,0))</f>
        <v>7.39</v>
      </c>
      <c r="P10" s="41" t="n">
        <f aca="false">RANK(O10,O:O)</f>
        <v>97</v>
      </c>
      <c r="Q10" s="34" t="s">
        <v>42</v>
      </c>
      <c r="R10" s="37"/>
      <c r="S10" s="56" t="str">
        <f aca="false">IF(A10="","",(CONCATENATE("NSE:",A10,",")))</f>
        <v/>
      </c>
      <c r="U10" s="37"/>
      <c r="V10" s="37"/>
      <c r="W10" s="37"/>
      <c r="X10" s="37"/>
      <c r="Y10" s="37"/>
      <c r="Z10" s="37"/>
      <c r="AA10" s="37"/>
      <c r="AB10" s="37"/>
    </row>
    <row r="11" customFormat="false" ht="15.75" hidden="false" customHeight="true" outlineLevel="0" collapsed="false">
      <c r="A11" s="48" t="str">
        <f aca="false">IF(ISNUMBER(MATCH(C11,$C$21:$C$34,0)),C11,"")</f>
        <v/>
      </c>
      <c r="B11" s="49" t="n">
        <v>8</v>
      </c>
      <c r="C11" s="50" t="str">
        <f aca="false">VLOOKUP(B11,M:N,2,FALSE())</f>
        <v>GODREJCP</v>
      </c>
      <c r="D11" s="51" t="n">
        <f aca="false">VLOOKUP(C11,'Data 2'!$A$2:$K$2250,2,FALSE())</f>
        <v>1257.2</v>
      </c>
      <c r="E11" s="52" t="n">
        <f aca="false">INDEX('Data 2'!$L$2:$L$2250,MATCH(C11,'Data 2'!$A$2:$A$2250,0))</f>
        <v>109.083333333333</v>
      </c>
      <c r="F11" s="53" t="n">
        <f aca="false">VLOOKUP(C11,'Data 2'!$A$2:$K$2250,11,FALSE())</f>
        <v>1192.23</v>
      </c>
      <c r="G11" s="50" t="str">
        <f aca="false">VLOOKUP(COUNT($P$2:$Q486)-7,M:N,2,FALSE())</f>
        <v>ITC</v>
      </c>
      <c r="H11" s="51" t="n">
        <f aca="false">VLOOKUP(G11,'Data 2'!$A$2:$K$2250,2,FALSE())</f>
        <v>398.3</v>
      </c>
      <c r="I11" s="54" t="n">
        <f aca="false">INDEX('Data 2'!$L$2:$L$2250,MATCH(G11,'Data 2'!$A$2:$A$2250,0))</f>
        <v>-113.566666666667</v>
      </c>
      <c r="J11" s="53" t="n">
        <f aca="false">VLOOKUP(G11,'Data 2'!$A$2:$K$2250,11,FALSE())</f>
        <v>412.19</v>
      </c>
      <c r="K11" s="55" t="str">
        <f aca="false">IF(ISNUMBER(MATCH(G11,$G$21:$G$34,0)),G11,"")</f>
        <v>ITC</v>
      </c>
      <c r="L11" s="39" t="n">
        <f aca="false">INDEX('Data 2'!$L$2:$L$2198,MATCH(N11,'Data 2'!$A$2:$A$2198,0))</f>
        <v>-79.8366666666667</v>
      </c>
      <c r="M11" s="40" t="n">
        <f aca="false">RANK(L11,L:L)</f>
        <v>182</v>
      </c>
      <c r="N11" s="34" t="s">
        <v>43</v>
      </c>
      <c r="O11" s="39" t="n">
        <f aca="false">INDEX('Data 2'!$M$2:$M$2198,MATCH(N11,'Data 2'!$A$2:$A$2198,0))</f>
        <v>-36.58625</v>
      </c>
      <c r="P11" s="41" t="n">
        <f aca="false">RANK(O11,O:O)</f>
        <v>153</v>
      </c>
      <c r="Q11" s="34" t="s">
        <v>43</v>
      </c>
      <c r="R11" s="37"/>
      <c r="S11" s="56" t="str">
        <f aca="false">IF(A11="","",(CONCATENATE("NSE:",A11,",")))</f>
        <v/>
      </c>
      <c r="U11" s="37"/>
      <c r="V11" s="37"/>
      <c r="W11" s="37"/>
      <c r="X11" s="37"/>
      <c r="Y11" s="37"/>
      <c r="Z11" s="37"/>
      <c r="AA11" s="37"/>
      <c r="AB11" s="37"/>
    </row>
    <row r="12" customFormat="false" ht="15.75" hidden="false" customHeight="true" outlineLevel="0" collapsed="false">
      <c r="A12" s="48" t="str">
        <f aca="false">IF(ISNUMBER(MATCH(C12,$C$21:$C$34,0)),C12,"")</f>
        <v/>
      </c>
      <c r="B12" s="49" t="n">
        <v>9</v>
      </c>
      <c r="C12" s="50" t="str">
        <f aca="false">VLOOKUP(B12,M:N,2,FALSE())</f>
        <v>INDUSTOWER</v>
      </c>
      <c r="D12" s="51" t="n">
        <f aca="false">VLOOKUP(C12,'Data 2'!$A$2:$K$2250,2,FALSE())</f>
        <v>353.55</v>
      </c>
      <c r="E12" s="52" t="n">
        <f aca="false">INDEX('Data 2'!$L$2:$L$2250,MATCH(C12,'Data 2'!$A$2:$A$2250,0))</f>
        <v>104.733333333333</v>
      </c>
      <c r="F12" s="53" t="n">
        <f aca="false">VLOOKUP(C12,'Data 2'!$A$2:$K$2250,11,FALSE())</f>
        <v>334.41</v>
      </c>
      <c r="G12" s="50" t="str">
        <f aca="false">VLOOKUP(COUNT($P$2:$Q486)-8,M:N,2,FALSE())</f>
        <v>NCC</v>
      </c>
      <c r="H12" s="51" t="n">
        <f aca="false">VLOOKUP(G12,'Data 2'!$A$2:$K$2250,2,FALSE())</f>
        <v>216.96</v>
      </c>
      <c r="I12" s="54" t="n">
        <f aca="false">INDEX('Data 2'!$L$2:$L$2250,MATCH(G12,'Data 2'!$A$2:$A$2250,0))</f>
        <v>-113.16</v>
      </c>
      <c r="J12" s="53" t="n">
        <f aca="false">VLOOKUP(G12,'Data 2'!$A$2:$K$2250,11,FALSE())</f>
        <v>210.58</v>
      </c>
      <c r="K12" s="55" t="str">
        <f aca="false">IF(ISNUMBER(MATCH(G12,$G$21:$G$34,0)),G12,"")</f>
        <v/>
      </c>
      <c r="L12" s="39" t="n">
        <f aca="false">INDEX('Data 2'!$L$2:$L$2198,MATCH(N12,'Data 2'!$A$2:$A$2198,0))</f>
        <v>131.36</v>
      </c>
      <c r="M12" s="40" t="n">
        <f aca="false">RANK(L12,L:L)</f>
        <v>1</v>
      </c>
      <c r="N12" s="34" t="s">
        <v>44</v>
      </c>
      <c r="O12" s="39" t="n">
        <f aca="false">INDEX('Data 2'!$M$2:$M$2198,MATCH(N12,'Data 2'!$A$2:$A$2198,0))</f>
        <v>88.9675</v>
      </c>
      <c r="P12" s="41" t="n">
        <f aca="false">RANK(O12,O:O)</f>
        <v>31</v>
      </c>
      <c r="Q12" s="34" t="s">
        <v>44</v>
      </c>
      <c r="R12" s="37"/>
      <c r="S12" s="56" t="str">
        <f aca="false">IF(A12="","",(CONCATENATE("NSE:",A12,",")))</f>
        <v/>
      </c>
      <c r="U12" s="37"/>
      <c r="V12" s="37"/>
      <c r="W12" s="37"/>
      <c r="X12" s="37"/>
      <c r="Y12" s="37"/>
      <c r="Z12" s="37"/>
      <c r="AA12" s="37"/>
      <c r="AB12" s="37"/>
    </row>
    <row r="13" customFormat="false" ht="15.75" hidden="false" customHeight="true" outlineLevel="0" collapsed="false">
      <c r="A13" s="48" t="str">
        <f aca="false">IF(ISNUMBER(MATCH(C13,$C$21:$C$34,0)),C13,"")</f>
        <v/>
      </c>
      <c r="B13" s="49" t="n">
        <v>10</v>
      </c>
      <c r="C13" s="50" t="str">
        <f aca="false">VLOOKUP(B13,M:N,2,FALSE())</f>
        <v>CGPOWER</v>
      </c>
      <c r="D13" s="51" t="n">
        <f aca="false">VLOOKUP(C13,'Data 2'!$A$2:$K$2250,2,FALSE())</f>
        <v>679.85</v>
      </c>
      <c r="E13" s="52" t="n">
        <f aca="false">INDEX('Data 2'!$L$2:$L$2250,MATCH(C13,'Data 2'!$A$2:$A$2250,0))</f>
        <v>103.873333333333</v>
      </c>
      <c r="F13" s="53" t="n">
        <f aca="false">VLOOKUP(C13,'Data 2'!$A$2:$K$2250,11,FALSE())</f>
        <v>689.49</v>
      </c>
      <c r="G13" s="50" t="str">
        <f aca="false">VLOOKUP(COUNT($P$2:$Q486)-9,M:N,2,FALSE())</f>
        <v>JSWENERGY</v>
      </c>
      <c r="H13" s="51" t="n">
        <f aca="false">VLOOKUP(G13,'Data 2'!$A$2:$K$2250,2,FALSE())</f>
        <v>517.9</v>
      </c>
      <c r="I13" s="54" t="n">
        <f aca="false">INDEX('Data 2'!$L$2:$L$2250,MATCH(G13,'Data 2'!$A$2:$A$2250,0))</f>
        <v>-110.906666666667</v>
      </c>
      <c r="J13" s="53" t="n">
        <f aca="false">VLOOKUP(G13,'Data 2'!$A$2:$K$2250,11,FALSE())</f>
        <v>512.06</v>
      </c>
      <c r="K13" s="55" t="str">
        <f aca="false">IF(ISNUMBER(MATCH(G13,$G$21:$G$34,0)),G13,"")</f>
        <v/>
      </c>
      <c r="L13" s="39" t="n">
        <f aca="false">INDEX('Data 2'!$L$2:$L$2198,MATCH(N13,'Data 2'!$A$2:$A$2198,0))</f>
        <v>-73.7066666666667</v>
      </c>
      <c r="M13" s="40" t="n">
        <f aca="false">RANK(L13,L:L)</f>
        <v>177</v>
      </c>
      <c r="N13" s="34" t="s">
        <v>45</v>
      </c>
      <c r="O13" s="39" t="n">
        <f aca="false">INDEX('Data 2'!$M$2:$M$2198,MATCH(N13,'Data 2'!$A$2:$A$2198,0))</f>
        <v>30.4225</v>
      </c>
      <c r="P13" s="41" t="n">
        <f aca="false">RANK(O13,O:O)</f>
        <v>76</v>
      </c>
      <c r="Q13" s="34" t="s">
        <v>45</v>
      </c>
      <c r="R13" s="37"/>
      <c r="S13" s="56" t="str">
        <f aca="false">IF(A13="","",(CONCATENATE("NSE:",A13,",")))</f>
        <v/>
      </c>
      <c r="U13" s="37"/>
      <c r="V13" s="37"/>
      <c r="W13" s="37"/>
      <c r="X13" s="37"/>
      <c r="Y13" s="37"/>
      <c r="Z13" s="37"/>
      <c r="AA13" s="37"/>
      <c r="AB13" s="37"/>
    </row>
    <row r="14" customFormat="false" ht="15.75" hidden="false" customHeight="true" outlineLevel="0" collapsed="false">
      <c r="A14" s="48" t="str">
        <f aca="false">IF(ISNUMBER(MATCH(C14,$C$21:$C$34,0)),C14,"")</f>
        <v/>
      </c>
      <c r="B14" s="49" t="n">
        <v>11</v>
      </c>
      <c r="C14" s="50" t="str">
        <f aca="false">VLOOKUP(B14,M:N,2,FALSE())</f>
        <v>HDFCAMC</v>
      </c>
      <c r="D14" s="51" t="n">
        <f aca="false">VLOOKUP(C14,'Data 2'!$A$2:$K$2250,2,FALSE())</f>
        <v>5828</v>
      </c>
      <c r="E14" s="52" t="n">
        <f aca="false">INDEX('Data 2'!$L$2:$L$2250,MATCH(C14,'Data 2'!$A$2:$A$2250,0))</f>
        <v>102.713333333333</v>
      </c>
      <c r="F14" s="53" t="n">
        <f aca="false">VLOOKUP(C14,'Data 2'!$A$2:$K$2250,11,FALSE())</f>
        <v>5602.3</v>
      </c>
      <c r="G14" s="50" t="str">
        <f aca="false">VLOOKUP(COUNT($P$2:$Q486)-11,M:N,2,FALSE())</f>
        <v>INDUSINDBK</v>
      </c>
      <c r="H14" s="51" t="n">
        <f aca="false">VLOOKUP(G14,'Data 2'!$A$2:$K$2250,2,FALSE())</f>
        <v>760.1</v>
      </c>
      <c r="I14" s="54" t="n">
        <f aca="false">INDEX('Data 2'!$L$2:$L$2250,MATCH(G14,'Data 2'!$A$2:$A$2250,0))</f>
        <v>-105.66</v>
      </c>
      <c r="J14" s="53" t="n">
        <f aca="false">VLOOKUP(G14,'Data 2'!$A$2:$K$2250,11,FALSE())</f>
        <v>803.68</v>
      </c>
      <c r="K14" s="55" t="str">
        <f aca="false">IF(ISNUMBER(MATCH(G14,$G$21:$G$34,0)),G14,"")</f>
        <v>INDUSINDBK</v>
      </c>
      <c r="L14" s="39" t="n">
        <f aca="false">INDEX('Data 2'!$L$2:$L$2198,MATCH(N14,'Data 2'!$A$2:$A$2198,0))</f>
        <v>7.12</v>
      </c>
      <c r="M14" s="40" t="n">
        <f aca="false">RANK(L14,L:L)</f>
        <v>85</v>
      </c>
      <c r="N14" s="34" t="s">
        <v>46</v>
      </c>
      <c r="O14" s="39" t="n">
        <f aca="false">INDEX('Data 2'!$M$2:$M$2198,MATCH(N14,'Data 2'!$A$2:$A$2198,0))</f>
        <v>-16.55375</v>
      </c>
      <c r="P14" s="41" t="n">
        <f aca="false">RANK(O14,O:O)</f>
        <v>126</v>
      </c>
      <c r="Q14" s="34" t="s">
        <v>46</v>
      </c>
      <c r="R14" s="37"/>
      <c r="S14" s="56" t="str">
        <f aca="false">IF(A14="","",(CONCATENATE("NSE:",A14,",")))</f>
        <v/>
      </c>
      <c r="U14" s="37"/>
      <c r="V14" s="37"/>
      <c r="W14" s="37"/>
      <c r="X14" s="37"/>
      <c r="Y14" s="37"/>
      <c r="Z14" s="37"/>
      <c r="AA14" s="37"/>
      <c r="AB14" s="37"/>
    </row>
    <row r="15" customFormat="false" ht="15.75" hidden="false" customHeight="true" outlineLevel="0" collapsed="false">
      <c r="A15" s="48" t="str">
        <f aca="false">IF(ISNUMBER(MATCH(C15,$C$21:$C$34,0)),C15,"")</f>
        <v/>
      </c>
      <c r="B15" s="49" t="n">
        <v>12</v>
      </c>
      <c r="C15" s="50" t="str">
        <f aca="false">VLOOKUP(B15,M:N,2,FALSE())</f>
        <v>PERSISTENT</v>
      </c>
      <c r="D15" s="51" t="n">
        <f aca="false">VLOOKUP(C15,'Data 2'!$A$2:$K$2250,2,FALSE())</f>
        <v>5369</v>
      </c>
      <c r="E15" s="52" t="n">
        <f aca="false">INDEX('Data 2'!$L$2:$L$2250,MATCH(C15,'Data 2'!$A$2:$A$2250,0))</f>
        <v>100.756666666667</v>
      </c>
      <c r="F15" s="53" t="n">
        <f aca="false">VLOOKUP(C15,'Data 2'!$A$2:$K$2250,11,FALSE())</f>
        <v>5409.97</v>
      </c>
      <c r="G15" s="50" t="str">
        <f aca="false">VLOOKUP(COUNT($P$2:$Q486)-12,M:N,2,FALSE())</f>
        <v>COALINDIA</v>
      </c>
      <c r="H15" s="51" t="n">
        <f aca="false">VLOOKUP(G15,'Data 2'!$A$2:$K$2250,2,FALSE())</f>
        <v>374.45</v>
      </c>
      <c r="I15" s="54" t="n">
        <f aca="false">INDEX('Data 2'!$L$2:$L$2250,MATCH(G15,'Data 2'!$A$2:$A$2250,0))</f>
        <v>-103.4</v>
      </c>
      <c r="J15" s="53" t="n">
        <f aca="false">VLOOKUP(G15,'Data 2'!$A$2:$K$2250,11,FALSE())</f>
        <v>387.24</v>
      </c>
      <c r="K15" s="55" t="str">
        <f aca="false">IF(ISNUMBER(MATCH(G15,$G$21:$G$34,0)),G15,"")</f>
        <v>COALINDIA</v>
      </c>
      <c r="L15" s="39" t="n">
        <f aca="false">INDEX('Data 2'!$L$2:$L$2198,MATCH(N15,'Data 2'!$A$2:$A$2198,0))</f>
        <v>-105.66</v>
      </c>
      <c r="M15" s="40" t="n">
        <f aca="false">RANK(L15,L:L)</f>
        <v>205</v>
      </c>
      <c r="N15" s="34" t="s">
        <v>47</v>
      </c>
      <c r="O15" s="39" t="n">
        <f aca="false">INDEX('Data 2'!$M$2:$M$2198,MATCH(N15,'Data 2'!$A$2:$A$2198,0))</f>
        <v>-105.14625</v>
      </c>
      <c r="P15" s="41" t="n">
        <f aca="false">RANK(O15,O:O)</f>
        <v>204</v>
      </c>
      <c r="Q15" s="34" t="s">
        <v>47</v>
      </c>
      <c r="R15" s="37"/>
      <c r="S15" s="56" t="str">
        <f aca="false">IF(A15="","",(CONCATENATE("NSE:",A15,",")))</f>
        <v/>
      </c>
      <c r="U15" s="37"/>
      <c r="V15" s="37"/>
      <c r="W15" s="37"/>
      <c r="X15" s="37"/>
      <c r="Y15" s="37"/>
      <c r="Z15" s="37"/>
      <c r="AA15" s="37"/>
      <c r="AB15" s="37"/>
    </row>
    <row r="16" customFormat="false" ht="15.75" hidden="false" customHeight="true" outlineLevel="0" collapsed="false">
      <c r="A16" s="48" t="str">
        <f aca="false">IF(ISNUMBER(MATCH(C16,$C$21:$C$34,0)),C16,"")</f>
        <v/>
      </c>
      <c r="B16" s="49" t="n">
        <v>13</v>
      </c>
      <c r="C16" s="50" t="str">
        <f aca="false">VLOOKUP(B16,M:N,2,FALSE())</f>
        <v>TORNTPHARM</v>
      </c>
      <c r="D16" s="51" t="n">
        <f aca="false">VLOOKUP(C16,'Data 2'!$A$2:$K$2250,2,FALSE())</f>
        <v>3685.3</v>
      </c>
      <c r="E16" s="52" t="n">
        <f aca="false">INDEX('Data 2'!$L$2:$L$2250,MATCH(C16,'Data 2'!$A$2:$A$2250,0))</f>
        <v>99.38</v>
      </c>
      <c r="F16" s="53" t="n">
        <f aca="false">VLOOKUP(C16,'Data 2'!$A$2:$K$2250,11,FALSE())</f>
        <v>3702.11</v>
      </c>
      <c r="G16" s="50" t="str">
        <f aca="false">VLOOKUP(COUNT($P$2:$Q486)-13,M:N,2,FALSE())</f>
        <v>SHREECEM</v>
      </c>
      <c r="H16" s="51" t="n">
        <f aca="false">VLOOKUP(G16,'Data 2'!$A$2:$K$2250,2,FALSE())</f>
        <v>30005</v>
      </c>
      <c r="I16" s="54" t="n">
        <f aca="false">INDEX('Data 2'!$L$2:$L$2250,MATCH(G16,'Data 2'!$A$2:$A$2250,0))</f>
        <v>-101.27</v>
      </c>
      <c r="J16" s="53" t="n">
        <f aca="false">VLOOKUP(G16,'Data 2'!$A$2:$K$2250,11,FALSE())</f>
        <v>31590.42</v>
      </c>
      <c r="K16" s="55" t="str">
        <f aca="false">IF(ISNUMBER(MATCH(G16,$G$21:$G$34,0)),G16,"")</f>
        <v/>
      </c>
      <c r="L16" s="39" t="n">
        <f aca="false">INDEX('Data 2'!$L$2:$L$2198,MATCH(N16,'Data 2'!$A$2:$A$2198,0))</f>
        <v>17.56</v>
      </c>
      <c r="M16" s="40" t="n">
        <f aca="false">RANK(L16,L:L)</f>
        <v>69</v>
      </c>
      <c r="N16" s="34" t="s">
        <v>48</v>
      </c>
      <c r="O16" s="39" t="n">
        <f aca="false">INDEX('Data 2'!$M$2:$M$2198,MATCH(N16,'Data 2'!$A$2:$A$2198,0))</f>
        <v>-16.93</v>
      </c>
      <c r="P16" s="41" t="n">
        <f aca="false">RANK(O16,O:O)</f>
        <v>128</v>
      </c>
      <c r="Q16" s="34" t="s">
        <v>48</v>
      </c>
      <c r="R16" s="37"/>
      <c r="S16" s="56" t="str">
        <f aca="false">IF(A16="","",(CONCATENATE("NSE:",A16,",")))</f>
        <v/>
      </c>
      <c r="U16" s="37"/>
      <c r="V16" s="37"/>
      <c r="W16" s="37"/>
      <c r="X16" s="37"/>
      <c r="Y16" s="37"/>
      <c r="Z16" s="37"/>
      <c r="AA16" s="37"/>
      <c r="AB16" s="37"/>
    </row>
    <row r="17" customFormat="false" ht="15.75" hidden="false" customHeight="true" outlineLevel="0" collapsed="false">
      <c r="A17" s="48" t="str">
        <f aca="false">IF(ISNUMBER(MATCH(C17,$C$21:$C$34,0)),C17,"")</f>
        <v>PAYTM</v>
      </c>
      <c r="B17" s="49" t="n">
        <v>14</v>
      </c>
      <c r="C17" s="50" t="str">
        <f aca="false">VLOOKUP(B17,M:N,2,FALSE())</f>
        <v>PAYTM</v>
      </c>
      <c r="D17" s="51" t="n">
        <f aca="false">VLOOKUP(C17,'Data 2'!$A$2:$K$2250,2,FALSE())</f>
        <v>1264.6</v>
      </c>
      <c r="E17" s="52" t="n">
        <f aca="false">INDEX('Data 2'!$L$2:$L$2250,MATCH(C17,'Data 2'!$A$2:$A$2250,0))</f>
        <v>96.4633333333334</v>
      </c>
      <c r="F17" s="53" t="n">
        <f aca="false">VLOOKUP(C17,'Data 2'!$A$2:$K$2250,11,FALSE())</f>
        <v>1182.3</v>
      </c>
      <c r="G17" s="50" t="str">
        <f aca="false">VLOOKUP(COUNT($P$2:$Q486)-14,M:N,2,FALSE())</f>
        <v>BSE</v>
      </c>
      <c r="H17" s="51" t="n">
        <f aca="false">VLOOKUP(G17,'Data 2'!$A$2:$K$2250,2,FALSE())</f>
        <v>2332.8</v>
      </c>
      <c r="I17" s="54" t="n">
        <f aca="false">INDEX('Data 2'!$L$2:$L$2250,MATCH(G17,'Data 2'!$A$2:$A$2250,0))</f>
        <v>-100.76</v>
      </c>
      <c r="J17" s="53" t="n">
        <f aca="false">VLOOKUP(G17,'Data 2'!$A$2:$K$2250,11,FALSE())</f>
        <v>2505.39</v>
      </c>
      <c r="K17" s="55" t="str">
        <f aca="false">IF(ISNUMBER(MATCH(G17,$G$21:$G$34,0)),G17,"")</f>
        <v/>
      </c>
      <c r="L17" s="39" t="n">
        <f aca="false">INDEX('Data 2'!$L$2:$L$2198,MATCH(N17,'Data 2'!$A$2:$A$2198,0))</f>
        <v>11.66</v>
      </c>
      <c r="M17" s="40" t="n">
        <f aca="false">RANK(L17,L:L)</f>
        <v>75</v>
      </c>
      <c r="N17" s="34" t="s">
        <v>49</v>
      </c>
      <c r="O17" s="39" t="n">
        <f aca="false">INDEX('Data 2'!$M$2:$M$2198,MATCH(N17,'Data 2'!$A$2:$A$2198,0))</f>
        <v>-34.2975</v>
      </c>
      <c r="P17" s="41" t="n">
        <f aca="false">RANK(O17,O:O)</f>
        <v>150</v>
      </c>
      <c r="Q17" s="34" t="s">
        <v>49</v>
      </c>
      <c r="R17" s="37"/>
      <c r="S17" s="57" t="str">
        <f aca="false">IF(A17="","",(CONCATENATE("NSE:",A17,",")))</f>
        <v>NSE:PAYTM,</v>
      </c>
      <c r="U17" s="37"/>
      <c r="V17" s="37"/>
      <c r="W17" s="37"/>
      <c r="X17" s="37"/>
      <c r="Y17" s="37"/>
      <c r="Z17" s="37"/>
      <c r="AA17" s="37"/>
      <c r="AB17" s="37"/>
    </row>
    <row r="18" customFormat="false" ht="15.75" hidden="false" customHeight="true" outlineLevel="0" collapsed="false">
      <c r="A18" s="48" t="str">
        <f aca="false">IF(ISNUMBER(MATCH(C18,$C$21:$C$34,0)),C18,"")</f>
        <v>SUPREMEIND</v>
      </c>
      <c r="B18" s="49" t="n">
        <v>15</v>
      </c>
      <c r="C18" s="50" t="str">
        <f aca="false">VLOOKUP(B18,M:N,2,FALSE())</f>
        <v>SUPREMEIND</v>
      </c>
      <c r="D18" s="51" t="n">
        <f aca="false">VLOOKUP(C18,'Data 2'!$A$2:$K$2250,2,FALSE())</f>
        <v>4637.8</v>
      </c>
      <c r="E18" s="52" t="n">
        <f aca="false">INDEX('Data 2'!$L$2:$L$2250,MATCH(C18,'Data 2'!$A$2:$A$2250,0))</f>
        <v>96.33</v>
      </c>
      <c r="F18" s="53" t="n">
        <f aca="false">VLOOKUP(C18,'Data 2'!$A$2:$K$2250,11,FALSE())</f>
        <v>4360.64</v>
      </c>
      <c r="G18" s="50" t="str">
        <f aca="false">VLOOKUP(COUNT($P$2:$Q487)-14,M:N,2,FALSE())</f>
        <v>BSE</v>
      </c>
      <c r="H18" s="51" t="n">
        <f aca="false">VLOOKUP(G18,'Data 2'!$A$2:$K$2250,2,FALSE())</f>
        <v>2332.8</v>
      </c>
      <c r="I18" s="54" t="n">
        <f aca="false">INDEX('Data 2'!$L$2:$L$2250,MATCH(G18,'Data 2'!$A$2:$A$2250,0))</f>
        <v>-100.76</v>
      </c>
      <c r="J18" s="53" t="n">
        <f aca="false">VLOOKUP(G18,'Data 2'!$A$2:$K$2250,11,FALSE())</f>
        <v>2505.39</v>
      </c>
      <c r="K18" s="55" t="str">
        <f aca="false">IF(ISNUMBER(MATCH(G18,$G$21:$G$34,0)),G18,"")</f>
        <v/>
      </c>
      <c r="L18" s="39" t="n">
        <f aca="false">INDEX('Data 2'!$L$2:$L$2198,MATCH(N18,'Data 2'!$A$2:$A$2198,0))</f>
        <v>-130.666666666667</v>
      </c>
      <c r="M18" s="40" t="n">
        <f aca="false">RANK(L18,L:L)</f>
        <v>216</v>
      </c>
      <c r="N18" s="34" t="s">
        <v>50</v>
      </c>
      <c r="O18" s="39" t="n">
        <f aca="false">INDEX('Data 2'!$M$2:$M$2198,MATCH(N18,'Data 2'!$A$2:$A$2198,0))</f>
        <v>-131.56</v>
      </c>
      <c r="P18" s="41" t="n">
        <f aca="false">RANK(O18,O:O)</f>
        <v>214</v>
      </c>
      <c r="Q18" s="34" t="s">
        <v>50</v>
      </c>
      <c r="R18" s="37"/>
      <c r="S18" s="58"/>
      <c r="T18" s="37"/>
      <c r="U18" s="37"/>
      <c r="V18" s="37"/>
      <c r="W18" s="37"/>
      <c r="X18" s="37"/>
      <c r="Y18" s="37"/>
      <c r="Z18" s="37"/>
      <c r="AA18" s="37"/>
      <c r="AB18" s="37"/>
    </row>
    <row r="19" customFormat="false" ht="15.75" hidden="false" customHeight="true" outlineLevel="0" collapsed="false">
      <c r="A19" s="48"/>
      <c r="B19" s="49"/>
      <c r="C19" s="50"/>
      <c r="D19" s="53"/>
      <c r="E19" s="53"/>
      <c r="F19" s="50"/>
      <c r="G19" s="50"/>
      <c r="H19" s="50"/>
      <c r="I19" s="50"/>
      <c r="J19" s="55"/>
      <c r="K19" s="55"/>
      <c r="L19" s="39" t="n">
        <f aca="false">INDEX('Data 2'!$L$2:$L$2198,MATCH(N19,'Data 2'!$A$2:$A$2198,0))</f>
        <v>-35.4266666666667</v>
      </c>
      <c r="M19" s="40" t="n">
        <f aca="false">RANK(L19,L:L)</f>
        <v>125</v>
      </c>
      <c r="N19" s="34" t="s">
        <v>51</v>
      </c>
      <c r="O19" s="39" t="n">
        <f aca="false">INDEX('Data 2'!$M$2:$M$2198,MATCH(N19,'Data 2'!$A$2:$A$2198,0))</f>
        <v>-8.76</v>
      </c>
      <c r="P19" s="41" t="n">
        <f aca="false">RANK(O19,O:O)</f>
        <v>116</v>
      </c>
      <c r="Q19" s="34" t="s">
        <v>51</v>
      </c>
      <c r="R19" s="37"/>
      <c r="S19" s="58"/>
      <c r="T19" s="37"/>
      <c r="U19" s="37"/>
      <c r="V19" s="37"/>
      <c r="W19" s="37"/>
      <c r="X19" s="37"/>
      <c r="Y19" s="37"/>
      <c r="Z19" s="37"/>
      <c r="AA19" s="37"/>
      <c r="AB19" s="37"/>
    </row>
    <row r="20" customFormat="false" ht="15.75" hidden="false" customHeight="true" outlineLevel="0" collapsed="false">
      <c r="A20" s="48"/>
      <c r="B20" s="44" t="s">
        <v>30</v>
      </c>
      <c r="C20" s="44" t="s">
        <v>24</v>
      </c>
      <c r="D20" s="44" t="s">
        <v>31</v>
      </c>
      <c r="E20" s="44" t="s">
        <v>52</v>
      </c>
      <c r="F20" s="44" t="s">
        <v>33</v>
      </c>
      <c r="G20" s="44" t="s">
        <v>24</v>
      </c>
      <c r="H20" s="44" t="s">
        <v>31</v>
      </c>
      <c r="I20" s="44" t="s">
        <v>52</v>
      </c>
      <c r="J20" s="59" t="s">
        <v>33</v>
      </c>
      <c r="K20" s="55"/>
      <c r="L20" s="39" t="n">
        <f aca="false">INDEX('Data 2'!$L$2:$L$2198,MATCH(N20,'Data 2'!$A$2:$A$2198,0))</f>
        <v>-2.34333333333333</v>
      </c>
      <c r="M20" s="40" t="n">
        <f aca="false">RANK(L20,L:L)</f>
        <v>96</v>
      </c>
      <c r="N20" s="34" t="s">
        <v>53</v>
      </c>
      <c r="O20" s="39" t="n">
        <f aca="false">INDEX('Data 2'!$M$2:$M$2198,MATCH(N20,'Data 2'!$A$2:$A$2198,0))</f>
        <v>-29.05625</v>
      </c>
      <c r="P20" s="41" t="n">
        <f aca="false">RANK(O20,O:O)</f>
        <v>142</v>
      </c>
      <c r="Q20" s="34" t="s">
        <v>53</v>
      </c>
      <c r="R20" s="37"/>
      <c r="S20" s="58" t="str">
        <f aca="false">IF(K4="","",(CONCATENATE("NSE:",K4,",")))</f>
        <v/>
      </c>
      <c r="T20" s="37"/>
      <c r="U20" s="37"/>
      <c r="V20" s="37"/>
      <c r="W20" s="37"/>
      <c r="X20" s="37"/>
      <c r="Y20" s="37"/>
      <c r="Z20" s="37"/>
      <c r="AA20" s="37"/>
      <c r="AB20" s="37"/>
    </row>
    <row r="21" customFormat="false" ht="15.75" hidden="false" customHeight="true" outlineLevel="0" collapsed="false">
      <c r="A21" s="48"/>
      <c r="B21" s="49" t="n">
        <v>1</v>
      </c>
      <c r="C21" s="50" t="str">
        <f aca="false">VLOOKUP(B21,P:Q,2,FALSE())</f>
        <v>MARUTI</v>
      </c>
      <c r="D21" s="51" t="n">
        <f aca="false">VLOOKUP(C21,'Data 2'!$A$2:$K$2250,2,FALSE())</f>
        <v>14349</v>
      </c>
      <c r="E21" s="52" t="n">
        <f aca="false">INDEX('Data 2'!$M$2:$M$2250,MATCH(C21,'Data 2'!$A$2:$A$2250,0))</f>
        <v>232.9675</v>
      </c>
      <c r="F21" s="53" t="n">
        <f aca="false">VLOOKUP(C21,'Data 2'!$A$2:$K$2250,11,FALSE())</f>
        <v>13746.24</v>
      </c>
      <c r="G21" s="60" t="str">
        <f aca="false">VLOOKUP(COUNT($P$2:$P$486),P:Q,2,FALSE())</f>
        <v>ITC</v>
      </c>
      <c r="H21" s="51" t="n">
        <f aca="false">VLOOKUP(G21,'Data 2'!$A$2:$K$2250,2,FALSE())</f>
        <v>398.3</v>
      </c>
      <c r="I21" s="52" t="n">
        <f aca="false">INDEX('Data 2'!$M$2:$M$2250,MATCH(G21,'Data 2'!$A$2:$A$2250,0))</f>
        <v>-157.91625</v>
      </c>
      <c r="J21" s="53" t="n">
        <f aca="false">VLOOKUP(G21,'Data 2'!$A$2:$K$2250,11,FALSE())</f>
        <v>412.19</v>
      </c>
      <c r="K21" s="55"/>
      <c r="L21" s="39" t="n">
        <f aca="false">INDEX('Data 2'!$L$2:$L$2198,MATCH(N21,'Data 2'!$A$2:$A$2198,0))</f>
        <v>-8.38666666666667</v>
      </c>
      <c r="M21" s="40" t="n">
        <f aca="false">RANK(L21,L:L)</f>
        <v>102</v>
      </c>
      <c r="N21" s="34" t="s">
        <v>54</v>
      </c>
      <c r="O21" s="39" t="n">
        <f aca="false">INDEX('Data 2'!$M$2:$M$2198,MATCH(N21,'Data 2'!$A$2:$A$2198,0))</f>
        <v>-5.17875</v>
      </c>
      <c r="P21" s="41" t="n">
        <f aca="false">RANK(O21,O:O)</f>
        <v>108</v>
      </c>
      <c r="Q21" s="34" t="s">
        <v>54</v>
      </c>
      <c r="R21" s="37"/>
      <c r="S21" s="58" t="str">
        <f aca="false">IF(K5="","",(CONCATENATE("NSE:",K5,",")))</f>
        <v>NSE:TATAELXSI,</v>
      </c>
      <c r="T21" s="37"/>
      <c r="U21" s="37"/>
      <c r="V21" s="37"/>
      <c r="W21" s="37"/>
      <c r="X21" s="37"/>
      <c r="Y21" s="37"/>
      <c r="Z21" s="37"/>
      <c r="AA21" s="37"/>
      <c r="AB21" s="37"/>
    </row>
    <row r="22" customFormat="false" ht="15.75" hidden="false" customHeight="true" outlineLevel="0" collapsed="false">
      <c r="A22" s="48"/>
      <c r="B22" s="49" t="n">
        <v>2</v>
      </c>
      <c r="C22" s="50" t="str">
        <f aca="false">VLOOKUP(B22,P:Q,2,FALSE())</f>
        <v>PVRINOX</v>
      </c>
      <c r="D22" s="51" t="n">
        <f aca="false">VLOOKUP(C22,'Data 2'!$A$2:$K$2250,2,FALSE())</f>
        <v>1131.2</v>
      </c>
      <c r="E22" s="52" t="n">
        <f aca="false">INDEX('Data 2'!$M$2:$M$2250,MATCH(C22,'Data 2'!$A$2:$A$2250,0))</f>
        <v>187.25625</v>
      </c>
      <c r="F22" s="53" t="n">
        <f aca="false">VLOOKUP(C22,'Data 2'!$A$2:$K$2250,11,FALSE())</f>
        <v>1062.61</v>
      </c>
      <c r="G22" s="60" t="str">
        <f aca="false">VLOOKUP(COUNT($P$2:$P$486)-1,P:Q,2,FALSE())</f>
        <v>RECLTD</v>
      </c>
      <c r="H22" s="51" t="n">
        <f aca="false">VLOOKUP(G22,'Data 2'!$A$2:$K$2250,2,FALSE())</f>
        <v>375.6</v>
      </c>
      <c r="I22" s="52" t="n">
        <f aca="false">INDEX('Data 2'!$M$2:$M$2250,MATCH(G22,'Data 2'!$A$2:$A$2250,0))</f>
        <v>-138.31375</v>
      </c>
      <c r="J22" s="53" t="n">
        <f aca="false">VLOOKUP(G22,'Data 2'!$A$2:$K$2250,11,FALSE())</f>
        <v>390.97</v>
      </c>
      <c r="K22" s="55"/>
      <c r="L22" s="39" t="n">
        <f aca="false">INDEX('Data 2'!$L$2:$L$2198,MATCH(N22,'Data 2'!$A$2:$A$2198,0))</f>
        <v>-41.9266666666667</v>
      </c>
      <c r="M22" s="40" t="n">
        <f aca="false">RANK(L22,L:L)</f>
        <v>136</v>
      </c>
      <c r="N22" s="34" t="s">
        <v>55</v>
      </c>
      <c r="O22" s="39" t="n">
        <f aca="false">INDEX('Data 2'!$M$2:$M$2198,MATCH(N22,'Data 2'!$A$2:$A$2198,0))</f>
        <v>77.64125</v>
      </c>
      <c r="P22" s="41" t="n">
        <f aca="false">RANK(O22,O:O)</f>
        <v>39</v>
      </c>
      <c r="Q22" s="34" t="s">
        <v>55</v>
      </c>
      <c r="R22" s="37"/>
      <c r="S22" s="58" t="str">
        <f aca="false">IF(K6="","",(CONCATENATE("NSE:",K6,",")))</f>
        <v>NSE:LICHSGFIN,</v>
      </c>
      <c r="T22" s="37"/>
      <c r="U22" s="37"/>
      <c r="V22" s="37"/>
      <c r="W22" s="37"/>
      <c r="X22" s="37"/>
      <c r="Y22" s="37"/>
      <c r="Z22" s="37"/>
      <c r="AA22" s="37"/>
      <c r="AB22" s="37"/>
    </row>
    <row r="23" customFormat="false" ht="15.75" hidden="false" customHeight="true" outlineLevel="0" collapsed="false">
      <c r="A23" s="48"/>
      <c r="B23" s="49" t="n">
        <v>3</v>
      </c>
      <c r="C23" s="50" t="str">
        <f aca="false">VLOOKUP(B23,P:Q,2,FALSE())</f>
        <v>TVSMOTOR</v>
      </c>
      <c r="D23" s="51" t="n">
        <f aca="false">VLOOKUP(C23,'Data 2'!$A$2:$K$2250,2,FALSE())</f>
        <v>3294.6</v>
      </c>
      <c r="E23" s="52" t="n">
        <f aca="false">INDEX('Data 2'!$M$2:$M$2250,MATCH(C23,'Data 2'!$A$2:$A$2250,0))</f>
        <v>181.065</v>
      </c>
      <c r="F23" s="53" t="n">
        <f aca="false">VLOOKUP(C23,'Data 2'!$A$2:$K$2250,11,FALSE())</f>
        <v>3145.46</v>
      </c>
      <c r="G23" s="60" t="str">
        <f aca="false">VLOOKUP(COUNT($P$2:$P$486)-3,P:Q,2,FALSE())</f>
        <v>JUBLFOOD</v>
      </c>
      <c r="H23" s="51" t="n">
        <f aca="false">VLOOKUP(G23,'Data 2'!$A$2:$K$2250,2,FALSE())</f>
        <v>619.15</v>
      </c>
      <c r="I23" s="52" t="n">
        <f aca="false">INDEX('Data 2'!$M$2:$M$2250,MATCH(G23,'Data 2'!$A$2:$A$2250,0))</f>
        <v>-129.15875</v>
      </c>
      <c r="J23" s="53" t="n">
        <f aca="false">VLOOKUP(G23,'Data 2'!$A$2:$K$2250,11,FALSE())</f>
        <v>655.97</v>
      </c>
      <c r="K23" s="55"/>
      <c r="L23" s="39" t="n">
        <f aca="false">INDEX('Data 2'!$L$2:$L$2198,MATCH(N23,'Data 2'!$A$2:$A$2198,0))</f>
        <v>29.0366666666667</v>
      </c>
      <c r="M23" s="40" t="n">
        <f aca="false">RANK(L23,L:L)</f>
        <v>61</v>
      </c>
      <c r="N23" s="34" t="s">
        <v>56</v>
      </c>
      <c r="O23" s="39" t="n">
        <f aca="false">INDEX('Data 2'!$M$2:$M$2198,MATCH(N23,'Data 2'!$A$2:$A$2198,0))</f>
        <v>50.28375</v>
      </c>
      <c r="P23" s="41" t="n">
        <f aca="false">RANK(O23,O:O)</f>
        <v>59</v>
      </c>
      <c r="Q23" s="34" t="s">
        <v>56</v>
      </c>
      <c r="R23" s="37"/>
      <c r="S23" s="58" t="str">
        <f aca="false">IF(K8="","",(CONCATENATE("NSE:",K8,",")))</f>
        <v>NSE:RECLTD,</v>
      </c>
      <c r="T23" s="37"/>
      <c r="U23" s="37"/>
      <c r="V23" s="37"/>
      <c r="W23" s="37"/>
      <c r="X23" s="37"/>
      <c r="Y23" s="37"/>
      <c r="Z23" s="37"/>
      <c r="AA23" s="37"/>
      <c r="AB23" s="37"/>
    </row>
    <row r="24" customFormat="false" ht="15.75" hidden="false" customHeight="true" outlineLevel="0" collapsed="false">
      <c r="A24" s="48"/>
      <c r="B24" s="49" t="n">
        <v>4</v>
      </c>
      <c r="C24" s="50" t="str">
        <f aca="false">VLOOKUP(B24,P:Q,2,FALSE())</f>
        <v>PAYTM</v>
      </c>
      <c r="D24" s="51" t="n">
        <f aca="false">VLOOKUP(C24,'Data 2'!$A$2:$K$2250,2,FALSE())</f>
        <v>1264.6</v>
      </c>
      <c r="E24" s="52" t="n">
        <f aca="false">INDEX('Data 2'!$M$2:$M$2250,MATCH(C24,'Data 2'!$A$2:$A$2250,0))</f>
        <v>176.52125</v>
      </c>
      <c r="F24" s="53" t="n">
        <f aca="false">VLOOKUP(C24,'Data 2'!$A$2:$K$2250,11,FALSE())</f>
        <v>1182.3</v>
      </c>
      <c r="G24" s="60" t="str">
        <f aca="false">VLOOKUP(COUNT($P$2:$P$486)-4,P:Q,2,FALSE())</f>
        <v>LICHSGFIN</v>
      </c>
      <c r="H24" s="51" t="n">
        <f aca="false">VLOOKUP(G24,'Data 2'!$A$2:$K$2250,2,FALSE())</f>
        <v>563.5</v>
      </c>
      <c r="I24" s="52" t="n">
        <f aca="false">INDEX('Data 2'!$M$2:$M$2250,MATCH(G24,'Data 2'!$A$2:$A$2250,0))</f>
        <v>-114.465</v>
      </c>
      <c r="J24" s="53" t="n">
        <f aca="false">VLOOKUP(G24,'Data 2'!$A$2:$K$2250,11,FALSE())</f>
        <v>589.5</v>
      </c>
      <c r="K24" s="55"/>
      <c r="L24" s="39" t="n">
        <f aca="false">INDEX('Data 2'!$L$2:$L$2198,MATCH(N24,'Data 2'!$A$2:$A$2198,0))</f>
        <v>-88.5066666666667</v>
      </c>
      <c r="M24" s="40" t="n">
        <f aca="false">RANK(L24,L:L)</f>
        <v>189</v>
      </c>
      <c r="N24" s="34" t="s">
        <v>57</v>
      </c>
      <c r="O24" s="39" t="n">
        <f aca="false">INDEX('Data 2'!$M$2:$M$2198,MATCH(N24,'Data 2'!$A$2:$A$2198,0))</f>
        <v>29.98125</v>
      </c>
      <c r="P24" s="41" t="n">
        <f aca="false">RANK(O24,O:O)</f>
        <v>77</v>
      </c>
      <c r="Q24" s="34" t="s">
        <v>57</v>
      </c>
      <c r="R24" s="37"/>
      <c r="S24" s="58" t="str">
        <f aca="false">IF(K9="","",(CONCATENATE("NSE:",K9,",")))</f>
        <v>NSE:JUBLFOOD,</v>
      </c>
      <c r="T24" s="37"/>
      <c r="U24" s="37"/>
      <c r="V24" s="37"/>
      <c r="W24" s="37"/>
      <c r="X24" s="37"/>
      <c r="Y24" s="37"/>
      <c r="Z24" s="37"/>
      <c r="AA24" s="37"/>
      <c r="AB24" s="37"/>
    </row>
    <row r="25" customFormat="false" ht="15.75" hidden="false" customHeight="true" outlineLevel="0" collapsed="false">
      <c r="A25" s="48"/>
      <c r="B25" s="49" t="n">
        <v>5</v>
      </c>
      <c r="C25" s="50" t="str">
        <f aca="false">VLOOKUP(B25,P:Q,2,FALSE())</f>
        <v>CIPLA</v>
      </c>
      <c r="D25" s="51" t="n">
        <f aca="false">VLOOKUP(C25,'Data 2'!$A$2:$K$2250,2,FALSE())</f>
        <v>1592.8</v>
      </c>
      <c r="E25" s="52" t="n">
        <f aca="false">INDEX('Data 2'!$M$2:$M$2250,MATCH(C25,'Data 2'!$A$2:$A$2250,0))</f>
        <v>175.51</v>
      </c>
      <c r="F25" s="53" t="n">
        <f aca="false">VLOOKUP(C25,'Data 2'!$A$2:$K$2250,11,FALSE())</f>
        <v>1535.7</v>
      </c>
      <c r="G25" s="60" t="str">
        <f aca="false">VLOOKUP(COUNT($P$2:$P$486)-5,P:Q,2,FALSE())</f>
        <v>TATAELXSI</v>
      </c>
      <c r="H25" s="51" t="n">
        <f aca="false">VLOOKUP(G25,'Data 2'!$A$2:$K$2250,2,FALSE())</f>
        <v>5579.5</v>
      </c>
      <c r="I25" s="52" t="n">
        <f aca="false">INDEX('Data 2'!$M$2:$M$2250,MATCH(G25,'Data 2'!$A$2:$A$2250,0))</f>
        <v>-112.8225</v>
      </c>
      <c r="J25" s="53" t="n">
        <f aca="false">VLOOKUP(G25,'Data 2'!$A$2:$K$2250,11,FALSE())</f>
        <v>5858.87</v>
      </c>
      <c r="K25" s="55"/>
      <c r="L25" s="39" t="n">
        <f aca="false">INDEX('Data 2'!$L$2:$L$2198,MATCH(N25,'Data 2'!$A$2:$A$2198,0))</f>
        <v>-65.79</v>
      </c>
      <c r="M25" s="40" t="n">
        <f aca="false">RANK(L25,L:L)</f>
        <v>168</v>
      </c>
      <c r="N25" s="34" t="s">
        <v>58</v>
      </c>
      <c r="O25" s="39" t="n">
        <f aca="false">INDEX('Data 2'!$M$2:$M$2198,MATCH(N25,'Data 2'!$A$2:$A$2198,0))</f>
        <v>-73.055</v>
      </c>
      <c r="P25" s="41" t="n">
        <f aca="false">RANK(O25,O:O)</f>
        <v>185</v>
      </c>
      <c r="Q25" s="34" t="s">
        <v>58</v>
      </c>
      <c r="R25" s="37"/>
      <c r="S25" s="58" t="str">
        <f aca="false">IF(K10="","",(CONCATENATE("NSE:",K10,",")))</f>
        <v/>
      </c>
      <c r="T25" s="37"/>
      <c r="U25" s="37"/>
      <c r="V25" s="37"/>
      <c r="W25" s="37"/>
      <c r="X25" s="37"/>
      <c r="Y25" s="37"/>
      <c r="Z25" s="37"/>
      <c r="AA25" s="37"/>
      <c r="AB25" s="37"/>
    </row>
    <row r="26" customFormat="false" ht="15.75" hidden="false" customHeight="true" outlineLevel="0" collapsed="false">
      <c r="A26" s="48"/>
      <c r="B26" s="49" t="n">
        <v>6</v>
      </c>
      <c r="C26" s="50" t="str">
        <f aca="false">VLOOKUP(B26,P:Q,2,FALSE())</f>
        <v>ALKEM</v>
      </c>
      <c r="D26" s="51" t="n">
        <f aca="false">VLOOKUP(C26,'Data 2'!$A$2:$K$2250,2,FALSE())</f>
        <v>5426</v>
      </c>
      <c r="E26" s="52" t="n">
        <f aca="false">INDEX('Data 2'!$M$2:$M$2250,MATCH(C26,'Data 2'!$A$2:$A$2250,0))</f>
        <v>153.40375</v>
      </c>
      <c r="F26" s="53" t="n">
        <f aca="false">VLOOKUP(C26,'Data 2'!$A$2:$K$2250,11,FALSE())</f>
        <v>5216.55</v>
      </c>
      <c r="G26" s="60" t="str">
        <f aca="false">VLOOKUP(COUNT($P$2:$P$486)-6,P:Q,2,FALSE())</f>
        <v>PFC</v>
      </c>
      <c r="H26" s="51" t="n">
        <f aca="false">VLOOKUP(G26,'Data 2'!$A$2:$K$2250,2,FALSE())</f>
        <v>399.85</v>
      </c>
      <c r="I26" s="52" t="n">
        <f aca="false">INDEX('Data 2'!$M$2:$M$2250,MATCH(G26,'Data 2'!$A$2:$A$2250,0))</f>
        <v>-112.61375</v>
      </c>
      <c r="J26" s="53" t="n">
        <f aca="false">VLOOKUP(G26,'Data 2'!$A$2:$K$2250,11,FALSE())</f>
        <v>416.35</v>
      </c>
      <c r="K26" s="55"/>
      <c r="L26" s="39" t="n">
        <f aca="false">INDEX('Data 2'!$L$2:$L$2198,MATCH(N26,'Data 2'!$A$2:$A$2198,0))</f>
        <v>-109.336666666667</v>
      </c>
      <c r="M26" s="40" t="n">
        <f aca="false">RANK(L26,L:L)</f>
        <v>206</v>
      </c>
      <c r="N26" s="34" t="s">
        <v>59</v>
      </c>
      <c r="O26" s="39" t="n">
        <f aca="false">INDEX('Data 2'!$M$2:$M$2198,MATCH(N26,'Data 2'!$A$2:$A$2198,0))</f>
        <v>-42.04375</v>
      </c>
      <c r="P26" s="41" t="n">
        <f aca="false">RANK(O26,O:O)</f>
        <v>156</v>
      </c>
      <c r="Q26" s="34" t="s">
        <v>59</v>
      </c>
      <c r="R26" s="37"/>
      <c r="S26" s="58" t="str">
        <f aca="false">IF(K11="","",(CONCATENATE("NSE:",K11,",")))</f>
        <v>NSE:ITC,</v>
      </c>
      <c r="T26" s="37"/>
      <c r="U26" s="37"/>
      <c r="V26" s="37"/>
      <c r="W26" s="37"/>
      <c r="X26" s="37"/>
      <c r="Y26" s="37"/>
      <c r="Z26" s="37"/>
      <c r="AA26" s="37"/>
      <c r="AB26" s="37"/>
    </row>
    <row r="27" customFormat="false" ht="15.75" hidden="false" customHeight="true" outlineLevel="0" collapsed="false">
      <c r="A27" s="48"/>
      <c r="B27" s="49" t="n">
        <v>7</v>
      </c>
      <c r="C27" s="50" t="str">
        <f aca="false">VLOOKUP(B27,P:Q,2,FALSE())</f>
        <v>CUMMINSIND</v>
      </c>
      <c r="D27" s="51" t="n">
        <f aca="false">VLOOKUP(C27,'Data 2'!$A$2:$K$2250,2,FALSE())</f>
        <v>3916</v>
      </c>
      <c r="E27" s="52" t="n">
        <f aca="false">INDEX('Data 2'!$M$2:$M$2250,MATCH(C27,'Data 2'!$A$2:$A$2250,0))</f>
        <v>149.74</v>
      </c>
      <c r="F27" s="53" t="n">
        <f aca="false">VLOOKUP(C27,'Data 2'!$A$2:$K$2250,11,FALSE())</f>
        <v>3737.12</v>
      </c>
      <c r="G27" s="60" t="str">
        <f aca="false">VLOOKUP(COUNT($P$2:$P$486)-7,P:Q,2,FALSE())</f>
        <v>NHPC</v>
      </c>
      <c r="H27" s="51" t="n">
        <f aca="false">VLOOKUP(G27,'Data 2'!$A$2:$K$2250,2,FALSE())</f>
        <v>80.71</v>
      </c>
      <c r="I27" s="52" t="n">
        <f aca="false">INDEX('Data 2'!$M$2:$M$2250,MATCH(G27,'Data 2'!$A$2:$A$2250,0))</f>
        <v>-112.11625</v>
      </c>
      <c r="J27" s="53" t="n">
        <f aca="false">VLOOKUP(G27,'Data 2'!$A$2:$K$2250,11,FALSE())</f>
        <v>84.8</v>
      </c>
      <c r="K27" s="55"/>
      <c r="L27" s="39" t="n">
        <f aca="false">INDEX('Data 2'!$L$2:$L$2198,MATCH(N27,'Data 2'!$A$2:$A$2198,0))</f>
        <v>-63.4233333333333</v>
      </c>
      <c r="M27" s="40" t="n">
        <f aca="false">RANK(L27,L:L)</f>
        <v>163</v>
      </c>
      <c r="N27" s="34" t="s">
        <v>60</v>
      </c>
      <c r="O27" s="39" t="n">
        <f aca="false">INDEX('Data 2'!$M$2:$M$2198,MATCH(N27,'Data 2'!$A$2:$A$2198,0))</f>
        <v>-45.195</v>
      </c>
      <c r="P27" s="41" t="n">
        <f aca="false">RANK(O27,O:O)</f>
        <v>161</v>
      </c>
      <c r="Q27" s="34" t="s">
        <v>60</v>
      </c>
      <c r="R27" s="37"/>
      <c r="S27" s="58" t="str">
        <f aca="false">IF(K12="","",(CONCATENATE("NSE:",K12,",")))</f>
        <v/>
      </c>
      <c r="T27" s="37"/>
      <c r="U27" s="37"/>
      <c r="V27" s="37"/>
      <c r="W27" s="37"/>
      <c r="X27" s="37"/>
      <c r="Y27" s="37"/>
      <c r="Z27" s="37"/>
      <c r="AA27" s="37"/>
      <c r="AB27" s="37"/>
    </row>
    <row r="28" customFormat="false" ht="15.75" hidden="false" customHeight="true" outlineLevel="0" collapsed="false">
      <c r="A28" s="48"/>
      <c r="B28" s="49" t="n">
        <v>8</v>
      </c>
      <c r="C28" s="50" t="str">
        <f aca="false">VLOOKUP(B28,P:Q,2,FALSE())</f>
        <v>APOLLOHOSP</v>
      </c>
      <c r="D28" s="51" t="n">
        <f aca="false">VLOOKUP(C28,'Data 2'!$A$2:$K$2250,2,FALSE())</f>
        <v>7930</v>
      </c>
      <c r="E28" s="52" t="n">
        <f aca="false">INDEX('Data 2'!$M$2:$M$2250,MATCH(C28,'Data 2'!$A$2:$A$2250,0))</f>
        <v>147.7425</v>
      </c>
      <c r="F28" s="53" t="n">
        <f aca="false">VLOOKUP(C28,'Data 2'!$A$2:$K$2250,11,FALSE())</f>
        <v>7620.73</v>
      </c>
      <c r="G28" s="60" t="str">
        <f aca="false">VLOOKUP(COUNT($P$2:$P$486)-8,P:Q,2,FALSE())</f>
        <v>COALINDIA</v>
      </c>
      <c r="H28" s="51" t="n">
        <f aca="false">VLOOKUP(G28,'Data 2'!$A$2:$K$2250,2,FALSE())</f>
        <v>374.45</v>
      </c>
      <c r="I28" s="52" t="n">
        <f aca="false">INDEX('Data 2'!$M$2:$M$2250,MATCH(G28,'Data 2'!$A$2:$A$2250,0))</f>
        <v>-110.97875</v>
      </c>
      <c r="J28" s="53" t="n">
        <f aca="false">VLOOKUP(G28,'Data 2'!$A$2:$K$2250,11,FALSE())</f>
        <v>387.24</v>
      </c>
      <c r="K28" s="55"/>
      <c r="L28" s="39" t="n">
        <f aca="false">INDEX('Data 2'!$L$2:$L$2198,MATCH(N28,'Data 2'!$A$2:$A$2198,0))</f>
        <v>-36.36</v>
      </c>
      <c r="M28" s="40" t="n">
        <f aca="false">RANK(L28,L:L)</f>
        <v>128</v>
      </c>
      <c r="N28" s="34" t="s">
        <v>61</v>
      </c>
      <c r="O28" s="39" t="n">
        <f aca="false">INDEX('Data 2'!$M$2:$M$2198,MATCH(N28,'Data 2'!$A$2:$A$2198,0))</f>
        <v>4.43125</v>
      </c>
      <c r="P28" s="41" t="n">
        <f aca="false">RANK(O28,O:O)</f>
        <v>99</v>
      </c>
      <c r="Q28" s="34" t="s">
        <v>61</v>
      </c>
      <c r="R28" s="37"/>
      <c r="S28" s="58" t="str">
        <f aca="false">IF(K13="","",(CONCATENATE("NSE:",K13,",")))</f>
        <v/>
      </c>
      <c r="T28" s="37"/>
      <c r="U28" s="37"/>
      <c r="V28" s="37"/>
      <c r="W28" s="37"/>
      <c r="X28" s="37"/>
      <c r="Y28" s="37"/>
      <c r="Z28" s="37"/>
      <c r="AA28" s="37"/>
      <c r="AB28" s="37"/>
    </row>
    <row r="29" customFormat="false" ht="15.75" hidden="false" customHeight="true" outlineLevel="0" collapsed="false">
      <c r="A29" s="48"/>
      <c r="B29" s="49" t="n">
        <v>9</v>
      </c>
      <c r="C29" s="50" t="str">
        <f aca="false">VLOOKUP(B29,P:Q,2,FALSE())</f>
        <v>LTF</v>
      </c>
      <c r="D29" s="51" t="n">
        <f aca="false">VLOOKUP(C29,'Data 2'!$A$2:$K$2250,2,FALSE())</f>
        <v>222.7</v>
      </c>
      <c r="E29" s="52" t="n">
        <f aca="false">INDEX('Data 2'!$M$2:$M$2250,MATCH(C29,'Data 2'!$A$2:$A$2250,0))</f>
        <v>142.18625</v>
      </c>
      <c r="F29" s="53" t="n">
        <f aca="false">VLOOKUP(C29,'Data 2'!$A$2:$K$2250,11,FALSE())</f>
        <v>212</v>
      </c>
      <c r="G29" s="60" t="str">
        <f aca="false">VLOOKUP(COUNT($P$2:$P$486)-9,P:Q,2,FALSE())</f>
        <v>BERGEPAINT</v>
      </c>
      <c r="H29" s="51" t="n">
        <f aca="false">VLOOKUP(G29,'Data 2'!$A$2:$K$2250,2,FALSE())</f>
        <v>527</v>
      </c>
      <c r="I29" s="52" t="n">
        <f aca="false">INDEX('Data 2'!$M$2:$M$2250,MATCH(G29,'Data 2'!$A$2:$A$2250,0))</f>
        <v>-110.6275</v>
      </c>
      <c r="J29" s="53" t="n">
        <f aca="false">VLOOKUP(G29,'Data 2'!$A$2:$K$2250,11,FALSE())</f>
        <v>559.14</v>
      </c>
      <c r="K29" s="55"/>
      <c r="L29" s="39" t="n">
        <f aca="false">INDEX('Data 2'!$L$2:$L$2198,MATCH(N29,'Data 2'!$A$2:$A$2198,0))</f>
        <v>-38.9566666666667</v>
      </c>
      <c r="M29" s="40" t="n">
        <f aca="false">RANK(L29,L:L)</f>
        <v>132</v>
      </c>
      <c r="N29" s="34" t="s">
        <v>62</v>
      </c>
      <c r="O29" s="39" t="n">
        <f aca="false">INDEX('Data 2'!$M$2:$M$2198,MATCH(N29,'Data 2'!$A$2:$A$2198,0))</f>
        <v>-6.4175</v>
      </c>
      <c r="P29" s="41" t="n">
        <f aca="false">RANK(O29,O:O)</f>
        <v>113</v>
      </c>
      <c r="Q29" s="34" t="s">
        <v>62</v>
      </c>
      <c r="R29" s="37"/>
      <c r="S29" s="58" t="e">
        <f aca="false">IF(#REF!="","",(CONCATENATE("NSE:",#REF!,",")))</f>
        <v>#REF!</v>
      </c>
      <c r="T29" s="37"/>
      <c r="U29" s="37"/>
      <c r="V29" s="37"/>
      <c r="W29" s="37"/>
      <c r="X29" s="37"/>
      <c r="Y29" s="37"/>
      <c r="Z29" s="37"/>
      <c r="AA29" s="37"/>
      <c r="AB29" s="37"/>
    </row>
    <row r="30" customFormat="false" ht="15.75" hidden="false" customHeight="true" outlineLevel="0" collapsed="false">
      <c r="A30" s="48"/>
      <c r="B30" s="49" t="n">
        <v>10</v>
      </c>
      <c r="C30" s="50" t="str">
        <f aca="false">VLOOKUP(B30,P:Q,2,FALSE())</f>
        <v>M&amp;M</v>
      </c>
      <c r="D30" s="51" t="n">
        <f aca="false">VLOOKUP(C30,'Data 2'!$A$2:$K$2250,2,FALSE())</f>
        <v>3403</v>
      </c>
      <c r="E30" s="52" t="n">
        <f aca="false">INDEX('Data 2'!$M$2:$M$2250,MATCH(C30,'Data 2'!$A$2:$A$2250,0))</f>
        <v>139.43875</v>
      </c>
      <c r="F30" s="53" t="n">
        <f aca="false">VLOOKUP(C30,'Data 2'!$A$2:$K$2250,11,FALSE())</f>
        <v>3258.05</v>
      </c>
      <c r="G30" s="60" t="str">
        <f aca="false">VLOOKUP(COUNT($P$2:$P$486)-10,P:Q,2,FALSE())</f>
        <v>IRB</v>
      </c>
      <c r="H30" s="51" t="n">
        <f aca="false">VLOOKUP(G30,'Data 2'!$A$2:$K$2250,2,FALSE())</f>
        <v>43.78</v>
      </c>
      <c r="I30" s="52" t="n">
        <f aca="false">INDEX('Data 2'!$M$2:$M$2250,MATCH(G30,'Data 2'!$A$2:$A$2250,0))</f>
        <v>-108.3125</v>
      </c>
      <c r="J30" s="53" t="n">
        <f aca="false">VLOOKUP(G30,'Data 2'!$A$2:$K$2250,11,FALSE())</f>
        <v>46.16</v>
      </c>
      <c r="K30" s="55"/>
      <c r="L30" s="39" t="n">
        <f aca="false">INDEX('Data 2'!$L$2:$L$2198,MATCH(N30,'Data 2'!$A$2:$A$2198,0))</f>
        <v>-9.14666666666667</v>
      </c>
      <c r="M30" s="40" t="n">
        <f aca="false">RANK(L30,L:L)</f>
        <v>103</v>
      </c>
      <c r="N30" s="34" t="s">
        <v>63</v>
      </c>
      <c r="O30" s="39" t="n">
        <f aca="false">INDEX('Data 2'!$M$2:$M$2198,MATCH(N30,'Data 2'!$A$2:$A$2198,0))</f>
        <v>56.78875</v>
      </c>
      <c r="P30" s="41" t="n">
        <f aca="false">RANK(O30,O:O)</f>
        <v>53</v>
      </c>
      <c r="Q30" s="34" t="s">
        <v>63</v>
      </c>
      <c r="R30" s="37"/>
      <c r="S30" s="58" t="str">
        <f aca="false">IF(K14="","",(CONCATENATE("NSE:",K14,",")))</f>
        <v>NSE:INDUSINDBK,</v>
      </c>
      <c r="T30" s="37"/>
      <c r="U30" s="37"/>
      <c r="V30" s="37"/>
      <c r="W30" s="37"/>
      <c r="X30" s="37"/>
      <c r="Y30" s="37"/>
      <c r="Z30" s="37"/>
      <c r="AA30" s="37"/>
      <c r="AB30" s="37"/>
    </row>
    <row r="31" customFormat="false" ht="15.75" hidden="false" customHeight="true" outlineLevel="0" collapsed="false">
      <c r="A31" s="48"/>
      <c r="B31" s="49" t="n">
        <v>11</v>
      </c>
      <c r="C31" s="50" t="str">
        <f aca="false">VLOOKUP(B31,P:Q,2,FALSE())</f>
        <v>DMART</v>
      </c>
      <c r="D31" s="51" t="n">
        <f aca="false">VLOOKUP(C31,'Data 2'!$A$2:$K$2250,2,FALSE())</f>
        <v>4698.8</v>
      </c>
      <c r="E31" s="52" t="n">
        <f aca="false">INDEX('Data 2'!$M$2:$M$2250,MATCH(C31,'Data 2'!$A$2:$A$2250,0))</f>
        <v>138.3625</v>
      </c>
      <c r="F31" s="53" t="n">
        <f aca="false">VLOOKUP(C31,'Data 2'!$A$2:$K$2250,11,FALSE())</f>
        <v>4499.33</v>
      </c>
      <c r="G31" s="60" t="str">
        <f aca="false">VLOOKUP(COUNT($P$2:$P$486)-11,P:Q,2,FALSE())</f>
        <v>DEEPAKNTR</v>
      </c>
      <c r="H31" s="51" t="n">
        <f aca="false">VLOOKUP(G31,'Data 2'!$A$2:$K$2250,2,FALSE())</f>
        <v>1805.2</v>
      </c>
      <c r="I31" s="52" t="n">
        <f aca="false">INDEX('Data 2'!$M$2:$M$2250,MATCH(G31,'Data 2'!$A$2:$A$2250,0))</f>
        <v>-106.525</v>
      </c>
      <c r="J31" s="53" t="n">
        <f aca="false">VLOOKUP(G31,'Data 2'!$A$2:$K$2250,11,FALSE())</f>
        <v>1881.12</v>
      </c>
      <c r="K31" s="55"/>
      <c r="L31" s="39" t="n">
        <f aca="false">INDEX('Data 2'!$L$2:$L$2198,MATCH(N31,'Data 2'!$A$2:$A$2198,0))</f>
        <v>-54.1166666666667</v>
      </c>
      <c r="M31" s="40" t="n">
        <f aca="false">RANK(L31,L:L)</f>
        <v>151</v>
      </c>
      <c r="N31" s="34" t="s">
        <v>64</v>
      </c>
      <c r="O31" s="39" t="n">
        <f aca="false">INDEX('Data 2'!$M$2:$M$2198,MATCH(N31,'Data 2'!$A$2:$A$2198,0))</f>
        <v>-5.7575</v>
      </c>
      <c r="P31" s="41" t="n">
        <f aca="false">RANK(O31,O:O)</f>
        <v>111</v>
      </c>
      <c r="Q31" s="34" t="s">
        <v>64</v>
      </c>
      <c r="R31" s="37"/>
      <c r="S31" s="58" t="str">
        <f aca="false">IF(K15="","",(CONCATENATE("NSE:",K15,",")))</f>
        <v>NSE:COALINDIA,</v>
      </c>
      <c r="T31" s="37"/>
      <c r="U31" s="37"/>
      <c r="V31" s="37"/>
      <c r="W31" s="37"/>
      <c r="X31" s="37"/>
      <c r="Y31" s="37"/>
      <c r="Z31" s="37"/>
      <c r="AA31" s="37"/>
      <c r="AB31" s="37"/>
    </row>
    <row r="32" customFormat="false" ht="15.75" hidden="false" customHeight="true" outlineLevel="0" collapsed="false">
      <c r="A32" s="48"/>
      <c r="B32" s="49" t="n">
        <v>12</v>
      </c>
      <c r="C32" s="50" t="str">
        <f aca="false">VLOOKUP(B32,P:Q,2,FALSE())</f>
        <v>JSL</v>
      </c>
      <c r="D32" s="51" t="n">
        <f aca="false">VLOOKUP(C32,'Data 2'!$A$2:$K$2250,2,FALSE())</f>
        <v>777.55</v>
      </c>
      <c r="E32" s="52" t="n">
        <f aca="false">INDEX('Data 2'!$M$2:$M$2250,MATCH(C32,'Data 2'!$A$2:$A$2250,0))</f>
        <v>133.5325</v>
      </c>
      <c r="F32" s="53" t="n">
        <f aca="false">VLOOKUP(C32,'Data 2'!$A$2:$K$2250,11,FALSE())</f>
        <v>732.05</v>
      </c>
      <c r="G32" s="60" t="str">
        <f aca="false">VLOOKUP(COUNT($P$2:$P$486)-12,P:Q,2,FALSE())</f>
        <v>INDUSINDBK</v>
      </c>
      <c r="H32" s="51" t="n">
        <f aca="false">VLOOKUP(G32,'Data 2'!$A$2:$K$2250,2,FALSE())</f>
        <v>760.1</v>
      </c>
      <c r="I32" s="52" t="n">
        <f aca="false">INDEX('Data 2'!$M$2:$M$2250,MATCH(G32,'Data 2'!$A$2:$A$2250,0))</f>
        <v>-105.14625</v>
      </c>
      <c r="J32" s="53" t="n">
        <f aca="false">VLOOKUP(G32,'Data 2'!$A$2:$K$2250,11,FALSE())</f>
        <v>803.68</v>
      </c>
      <c r="K32" s="55"/>
      <c r="L32" s="39" t="n">
        <f aca="false">INDEX('Data 2'!$L$2:$L$2198,MATCH(N32,'Data 2'!$A$2:$A$2198,0))</f>
        <v>-11.2566666666667</v>
      </c>
      <c r="M32" s="40" t="n">
        <f aca="false">RANK(L32,L:L)</f>
        <v>106</v>
      </c>
      <c r="N32" s="34" t="s">
        <v>65</v>
      </c>
      <c r="O32" s="39" t="n">
        <f aca="false">INDEX('Data 2'!$M$2:$M$2198,MATCH(N32,'Data 2'!$A$2:$A$2198,0))</f>
        <v>-72.91125</v>
      </c>
      <c r="P32" s="41" t="n">
        <f aca="false">RANK(O32,O:O)</f>
        <v>184</v>
      </c>
      <c r="Q32" s="34" t="s">
        <v>65</v>
      </c>
      <c r="R32" s="37"/>
      <c r="S32" s="58" t="str">
        <f aca="false">IF(K16="","",(CONCATENATE("NSE:",K16,",")))</f>
        <v/>
      </c>
      <c r="T32" s="37"/>
      <c r="U32" s="37"/>
      <c r="V32" s="37"/>
      <c r="W32" s="37"/>
      <c r="X32" s="37"/>
      <c r="Y32" s="37"/>
      <c r="Z32" s="37"/>
      <c r="AA32" s="37"/>
      <c r="AB32" s="37"/>
    </row>
    <row r="33" customFormat="false" ht="15.75" hidden="false" customHeight="true" outlineLevel="0" collapsed="false">
      <c r="A33" s="48"/>
      <c r="B33" s="49" t="n">
        <v>13</v>
      </c>
      <c r="C33" s="50" t="str">
        <f aca="false">VLOOKUP(B33,P:Q,2,FALSE())</f>
        <v>SUPREMEIND</v>
      </c>
      <c r="D33" s="51" t="n">
        <f aca="false">VLOOKUP(C33,'Data 2'!$A$2:$K$2250,2,FALSE())</f>
        <v>4637.8</v>
      </c>
      <c r="E33" s="52" t="n">
        <f aca="false">INDEX('Data 2'!$M$2:$M$2250,MATCH(C33,'Data 2'!$A$2:$A$2250,0))</f>
        <v>132.71</v>
      </c>
      <c r="F33" s="53" t="n">
        <f aca="false">VLOOKUP(C33,'Data 2'!$A$2:$K$2250,11,FALSE())</f>
        <v>4360.64</v>
      </c>
      <c r="G33" s="60" t="str">
        <f aca="false">VLOOKUP(COUNT($P$2:$P$486)-13,P:Q,2,FALSE())</f>
        <v>CROMPTON</v>
      </c>
      <c r="H33" s="51" t="n">
        <f aca="false">VLOOKUP(G33,'Data 2'!$A$2:$K$2250,2,FALSE())</f>
        <v>316.7</v>
      </c>
      <c r="I33" s="52" t="n">
        <f aca="false">INDEX('Data 2'!$M$2:$M$2250,MATCH(G33,'Data 2'!$A$2:$A$2250,0))</f>
        <v>-103.5975</v>
      </c>
      <c r="J33" s="53" t="n">
        <f aca="false">VLOOKUP(G33,'Data 2'!$A$2:$K$2250,11,FALSE())</f>
        <v>330.92</v>
      </c>
      <c r="K33" s="55"/>
      <c r="L33" s="39" t="n">
        <f aca="false">INDEX('Data 2'!$L$2:$L$2198,MATCH(N33,'Data 2'!$A$2:$A$2198,0))</f>
        <v>-56.2566666666667</v>
      </c>
      <c r="M33" s="40" t="n">
        <f aca="false">RANK(L33,L:L)</f>
        <v>154</v>
      </c>
      <c r="N33" s="34" t="s">
        <v>66</v>
      </c>
      <c r="O33" s="39" t="n">
        <f aca="false">INDEX('Data 2'!$M$2:$M$2198,MATCH(N33,'Data 2'!$A$2:$A$2198,0))</f>
        <v>-63.07875</v>
      </c>
      <c r="P33" s="41" t="n">
        <f aca="false">RANK(O33,O:O)</f>
        <v>179</v>
      </c>
      <c r="Q33" s="34" t="s">
        <v>66</v>
      </c>
      <c r="R33" s="37"/>
      <c r="S33" s="61" t="str">
        <f aca="false">IF(K17="","",(CONCATENATE("NSE:",K17,",")))</f>
        <v/>
      </c>
      <c r="T33" s="37"/>
      <c r="U33" s="37"/>
      <c r="V33" s="37"/>
      <c r="W33" s="37"/>
      <c r="X33" s="37"/>
      <c r="Y33" s="37"/>
      <c r="Z33" s="37"/>
      <c r="AA33" s="37"/>
      <c r="AB33" s="37"/>
    </row>
    <row r="34" customFormat="false" ht="15.75" hidden="false" customHeight="true" outlineLevel="0" collapsed="false">
      <c r="A34" s="48"/>
      <c r="B34" s="49" t="n">
        <v>14</v>
      </c>
      <c r="C34" s="50" t="str">
        <f aca="false">VLOOKUP(B34,P:Q,2,FALSE())</f>
        <v>HINDUNILVR</v>
      </c>
      <c r="D34" s="51" t="n">
        <f aca="false">VLOOKUP(C34,'Data 2'!$A$2:$K$2250,2,FALSE())</f>
        <v>2629.9</v>
      </c>
      <c r="E34" s="52" t="n">
        <f aca="false">INDEX('Data 2'!$M$2:$M$2250,MATCH(C34,'Data 2'!$A$2:$A$2250,0))</f>
        <v>128.03375</v>
      </c>
      <c r="F34" s="53" t="n">
        <f aca="false">VLOOKUP(C34,'Data 2'!$A$2:$K$2250,11,FALSE())</f>
        <v>2530.44</v>
      </c>
      <c r="G34" s="60" t="str">
        <f aca="false">VLOOKUP(COUNT($P$2:$P$486)-14,P:Q,2,FALSE())</f>
        <v>AUROPHARMA</v>
      </c>
      <c r="H34" s="51" t="n">
        <f aca="false">VLOOKUP(G34,'Data 2'!$A$2:$K$2250,2,FALSE())</f>
        <v>1050.4</v>
      </c>
      <c r="I34" s="52" t="n">
        <f aca="false">INDEX('Data 2'!$M$2:$M$2250,MATCH(G34,'Data 2'!$A$2:$A$2250,0))</f>
        <v>-100.21</v>
      </c>
      <c r="J34" s="53" t="n">
        <f aca="false">VLOOKUP(G34,'Data 2'!$A$2:$K$2250,11,FALSE())</f>
        <v>1103.15</v>
      </c>
      <c r="K34" s="55"/>
      <c r="L34" s="39" t="n">
        <f aca="false">INDEX('Data 2'!$L$2:$L$2198,MATCH(N34,'Data 2'!$A$2:$A$2198,0))</f>
        <v>13.2466666666667</v>
      </c>
      <c r="M34" s="40" t="n">
        <f aca="false">RANK(L34,L:L)</f>
        <v>74</v>
      </c>
      <c r="N34" s="34" t="s">
        <v>67</v>
      </c>
      <c r="O34" s="39" t="n">
        <f aca="false">INDEX('Data 2'!$M$2:$M$2198,MATCH(N34,'Data 2'!$A$2:$A$2198,0))</f>
        <v>20.1475</v>
      </c>
      <c r="P34" s="41" t="n">
        <f aca="false">RANK(O34,O:O)</f>
        <v>83</v>
      </c>
      <c r="Q34" s="34" t="s">
        <v>67</v>
      </c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</row>
    <row r="35" customFormat="false" ht="15.75" hidden="false" customHeight="true" outlineLevel="0" collapsed="false">
      <c r="A35" s="48"/>
      <c r="B35" s="49" t="n">
        <v>15</v>
      </c>
      <c r="C35" s="50" t="str">
        <f aca="false">VLOOKUP(B35,P:Q,2,FALSE())</f>
        <v>METROPOLIS</v>
      </c>
      <c r="D35" s="51" t="n">
        <f aca="false">VLOOKUP(C35,'Data 2'!$A$2:$K$2250,2,FALSE())</f>
        <v>2163</v>
      </c>
      <c r="E35" s="52" t="n">
        <f aca="false">INDEX('Data 2'!$M$2:$M$2250,MATCH(C35,'Data 2'!$A$2:$A$2250,0))</f>
        <v>125.29125</v>
      </c>
      <c r="F35" s="53" t="n">
        <f aca="false">VLOOKUP(C35,'Data 2'!$A$2:$K$2250,11,FALSE())</f>
        <v>2032.73</v>
      </c>
      <c r="G35" s="60" t="str">
        <f aca="false">VLOOKUP(COUNT($P$2:$P$486)-14,P:Q,2,FALSE())</f>
        <v>AUROPHARMA</v>
      </c>
      <c r="H35" s="51" t="n">
        <f aca="false">VLOOKUP(G35,'Data 2'!$A$2:$K$2250,2,FALSE())</f>
        <v>1050.4</v>
      </c>
      <c r="I35" s="52" t="n">
        <f aca="false">INDEX('Data 2'!$M$2:$M$2250,MATCH(G35,'Data 2'!$A$2:$A$2250,0))</f>
        <v>-100.21</v>
      </c>
      <c r="J35" s="53" t="n">
        <f aca="false">VLOOKUP(G35,'Data 2'!$A$2:$K$2250,11,FALSE())</f>
        <v>1103.15</v>
      </c>
      <c r="K35" s="55"/>
      <c r="L35" s="39" t="n">
        <f aca="false">INDEX('Data 2'!$L$2:$L$2198,MATCH(N35,'Data 2'!$A$2:$A$2198,0))</f>
        <v>-51.6833333333333</v>
      </c>
      <c r="M35" s="40" t="n">
        <f aca="false">RANK(L35,L:L)</f>
        <v>149</v>
      </c>
      <c r="N35" s="34" t="s">
        <v>68</v>
      </c>
      <c r="O35" s="39" t="n">
        <f aca="false">INDEX('Data 2'!$M$2:$M$2198,MATCH(N35,'Data 2'!$A$2:$A$2198,0))</f>
        <v>-34.6575</v>
      </c>
      <c r="P35" s="41" t="n">
        <f aca="false">RANK(O35,O:O)</f>
        <v>151</v>
      </c>
      <c r="Q35" s="34" t="s">
        <v>68</v>
      </c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</row>
    <row r="36" customFormat="false" ht="15.75" hidden="false" customHeight="true" outlineLevel="0" collapsed="false">
      <c r="B36" s="37"/>
      <c r="C36" s="37"/>
      <c r="D36" s="37"/>
      <c r="E36" s="37"/>
      <c r="F36" s="36"/>
      <c r="G36" s="37"/>
      <c r="H36" s="37"/>
      <c r="I36" s="37"/>
      <c r="J36" s="37"/>
      <c r="K36" s="37"/>
      <c r="L36" s="39" t="n">
        <f aca="false">INDEX('Data 2'!$L$2:$L$2198,MATCH(N36,'Data 2'!$A$2:$A$2198,0))</f>
        <v>21.6666666666667</v>
      </c>
      <c r="M36" s="40" t="n">
        <f aca="false">RANK(L36,L:L)</f>
        <v>66</v>
      </c>
      <c r="N36" s="34" t="s">
        <v>69</v>
      </c>
      <c r="O36" s="39" t="n">
        <f aca="false">INDEX('Data 2'!$M$2:$M$2198,MATCH(N36,'Data 2'!$A$2:$A$2198,0))</f>
        <v>85.72625</v>
      </c>
      <c r="P36" s="41" t="n">
        <f aca="false">RANK(O36,O:O)</f>
        <v>35</v>
      </c>
      <c r="Q36" s="34" t="s">
        <v>69</v>
      </c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</row>
    <row r="37" customFormat="false" ht="15.75" hidden="false" customHeight="true" outlineLevel="0" collapsed="false">
      <c r="B37" s="37"/>
      <c r="C37" s="37"/>
      <c r="D37" s="37"/>
      <c r="E37" s="37"/>
      <c r="F37" s="36"/>
      <c r="G37" s="37"/>
      <c r="H37" s="37"/>
      <c r="I37" s="37"/>
      <c r="J37" s="37"/>
      <c r="K37" s="37"/>
      <c r="L37" s="39" t="n">
        <f aca="false">INDEX('Data 2'!$L$2:$L$2198,MATCH(N37,'Data 2'!$A$2:$A$2198,0))</f>
        <v>-62.53</v>
      </c>
      <c r="M37" s="40" t="n">
        <f aca="false">RANK(L37,L:L)</f>
        <v>161</v>
      </c>
      <c r="N37" s="34" t="s">
        <v>70</v>
      </c>
      <c r="O37" s="39" t="n">
        <f aca="false">INDEX('Data 2'!$M$2:$M$2198,MATCH(N37,'Data 2'!$A$2:$A$2198,0))</f>
        <v>-74.62125</v>
      </c>
      <c r="P37" s="41" t="n">
        <f aca="false">RANK(O37,O:O)</f>
        <v>187</v>
      </c>
      <c r="Q37" s="34" t="s">
        <v>70</v>
      </c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</row>
    <row r="38" customFormat="false" ht="15.75" hidden="false" customHeight="true" outlineLevel="0" collapsed="false">
      <c r="B38" s="37"/>
      <c r="C38" s="37"/>
      <c r="D38" s="37"/>
      <c r="E38" s="37"/>
      <c r="F38" s="36"/>
      <c r="G38" s="37"/>
      <c r="H38" s="37"/>
      <c r="I38" s="37"/>
      <c r="J38" s="37"/>
      <c r="K38" s="37"/>
      <c r="L38" s="39" t="n">
        <f aca="false">INDEX('Data 2'!$L$2:$L$2198,MATCH(N38,'Data 2'!$A$2:$A$2198,0))</f>
        <v>-96.8233333333333</v>
      </c>
      <c r="M38" s="40" t="n">
        <f aca="false">RANK(L38,L:L)</f>
        <v>197</v>
      </c>
      <c r="N38" s="34" t="s">
        <v>71</v>
      </c>
      <c r="O38" s="39" t="n">
        <f aca="false">INDEX('Data 2'!$M$2:$M$2198,MATCH(N38,'Data 2'!$A$2:$A$2198,0))</f>
        <v>-96.975</v>
      </c>
      <c r="P38" s="41" t="n">
        <f aca="false">RANK(O38,O:O)</f>
        <v>198</v>
      </c>
      <c r="Q38" s="34" t="s">
        <v>71</v>
      </c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</row>
    <row r="39" customFormat="false" ht="15.75" hidden="false" customHeight="true" outlineLevel="0" collapsed="false">
      <c r="B39" s="37"/>
      <c r="C39" s="37"/>
      <c r="D39" s="37"/>
      <c r="E39" s="37"/>
      <c r="F39" s="36"/>
      <c r="G39" s="37"/>
      <c r="H39" s="37"/>
      <c r="I39" s="37"/>
      <c r="J39" s="37"/>
      <c r="K39" s="37"/>
      <c r="L39" s="39" t="n">
        <f aca="false">INDEX('Data 2'!$L$2:$L$2198,MATCH(N39,'Data 2'!$A$2:$A$2198,0))</f>
        <v>-5.29333333333333</v>
      </c>
      <c r="M39" s="40" t="n">
        <f aca="false">RANK(L39,L:L)</f>
        <v>100</v>
      </c>
      <c r="N39" s="34" t="s">
        <v>72</v>
      </c>
      <c r="O39" s="39" t="n">
        <f aca="false">INDEX('Data 2'!$M$2:$M$2198,MATCH(N39,'Data 2'!$A$2:$A$2198,0))</f>
        <v>70.68875</v>
      </c>
      <c r="P39" s="41" t="n">
        <f aca="false">RANK(O39,O:O)</f>
        <v>45</v>
      </c>
      <c r="Q39" s="34" t="s">
        <v>72</v>
      </c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</row>
    <row r="40" customFormat="false" ht="15.75" hidden="false" customHeight="true" outlineLevel="0" collapsed="false">
      <c r="B40" s="37"/>
      <c r="C40" s="37"/>
      <c r="D40" s="37"/>
      <c r="E40" s="37"/>
      <c r="F40" s="36"/>
      <c r="G40" s="37"/>
      <c r="H40" s="37"/>
      <c r="I40" s="37"/>
      <c r="J40" s="37"/>
      <c r="K40" s="37"/>
      <c r="L40" s="39" t="n">
        <f aca="false">INDEX('Data 2'!$L$2:$L$2198,MATCH(N40,'Data 2'!$A$2:$A$2198,0))</f>
        <v>-21.05</v>
      </c>
      <c r="M40" s="40" t="n">
        <f aca="false">RANK(L40,L:L)</f>
        <v>114</v>
      </c>
      <c r="N40" s="34" t="s">
        <v>73</v>
      </c>
      <c r="O40" s="39" t="n">
        <f aca="false">INDEX('Data 2'!$M$2:$M$2198,MATCH(N40,'Data 2'!$A$2:$A$2198,0))</f>
        <v>101.3275</v>
      </c>
      <c r="P40" s="41" t="n">
        <f aca="false">RANK(O40,O:O)</f>
        <v>26</v>
      </c>
      <c r="Q40" s="34" t="s">
        <v>73</v>
      </c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</row>
    <row r="41" customFormat="false" ht="15.75" hidden="false" customHeight="true" outlineLevel="0" collapsed="false">
      <c r="B41" s="37"/>
      <c r="C41" s="37"/>
      <c r="D41" s="37"/>
      <c r="E41" s="37"/>
      <c r="F41" s="36"/>
      <c r="G41" s="37"/>
      <c r="H41" s="37"/>
      <c r="I41" s="37"/>
      <c r="J41" s="37"/>
      <c r="K41" s="37"/>
      <c r="L41" s="39" t="n">
        <f aca="false">INDEX('Data 2'!$L$2:$L$2198,MATCH(N41,'Data 2'!$A$2:$A$2198,0))</f>
        <v>-53.6766666666667</v>
      </c>
      <c r="M41" s="40" t="n">
        <f aca="false">RANK(L41,L:L)</f>
        <v>150</v>
      </c>
      <c r="N41" s="34" t="s">
        <v>74</v>
      </c>
      <c r="O41" s="39" t="n">
        <f aca="false">INDEX('Data 2'!$M$2:$M$2198,MATCH(N41,'Data 2'!$A$2:$A$2198,0))</f>
        <v>-26.51875</v>
      </c>
      <c r="P41" s="41" t="n">
        <f aca="false">RANK(O41,O:O)</f>
        <v>140</v>
      </c>
      <c r="Q41" s="34" t="s">
        <v>74</v>
      </c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</row>
    <row r="42" customFormat="false" ht="15.75" hidden="false" customHeight="true" outlineLevel="0" collapsed="false">
      <c r="B42" s="37"/>
      <c r="C42" s="37"/>
      <c r="D42" s="37"/>
      <c r="E42" s="37"/>
      <c r="F42" s="36"/>
      <c r="G42" s="37"/>
      <c r="H42" s="37"/>
      <c r="I42" s="37"/>
      <c r="J42" s="37"/>
      <c r="K42" s="37"/>
      <c r="L42" s="39" t="n">
        <f aca="false">INDEX('Data 2'!$L$2:$L$2198,MATCH(N42,'Data 2'!$A$2:$A$2198,0))</f>
        <v>-81.87</v>
      </c>
      <c r="M42" s="40" t="n">
        <f aca="false">RANK(L42,L:L)</f>
        <v>184</v>
      </c>
      <c r="N42" s="34" t="s">
        <v>75</v>
      </c>
      <c r="O42" s="39" t="n">
        <f aca="false">INDEX('Data 2'!$M$2:$M$2198,MATCH(N42,'Data 2'!$A$2:$A$2198,0))</f>
        <v>-86.44</v>
      </c>
      <c r="P42" s="41" t="n">
        <f aca="false">RANK(O42,O:O)</f>
        <v>195</v>
      </c>
      <c r="Q42" s="34" t="s">
        <v>75</v>
      </c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</row>
    <row r="43" customFormat="false" ht="15.75" hidden="false" customHeight="true" outlineLevel="0" collapsed="false">
      <c r="B43" s="37"/>
      <c r="C43" s="37"/>
      <c r="D43" s="37"/>
      <c r="E43" s="37"/>
      <c r="F43" s="36"/>
      <c r="G43" s="37"/>
      <c r="H43" s="37"/>
      <c r="I43" s="37"/>
      <c r="J43" s="37"/>
      <c r="K43" s="37"/>
      <c r="L43" s="39" t="n">
        <f aca="false">INDEX('Data 2'!$L$2:$L$2198,MATCH(N43,'Data 2'!$A$2:$A$2198,0))</f>
        <v>42.42</v>
      </c>
      <c r="M43" s="40" t="n">
        <f aca="false">RANK(L43,L:L)</f>
        <v>52</v>
      </c>
      <c r="N43" s="34" t="s">
        <v>76</v>
      </c>
      <c r="O43" s="39" t="n">
        <f aca="false">INDEX('Data 2'!$M$2:$M$2198,MATCH(N43,'Data 2'!$A$2:$A$2198,0))</f>
        <v>-43.9075</v>
      </c>
      <c r="P43" s="41" t="n">
        <f aca="false">RANK(O43,O:O)</f>
        <v>159</v>
      </c>
      <c r="Q43" s="34" t="s">
        <v>76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</row>
    <row r="44" customFormat="false" ht="15.75" hidden="false" customHeight="true" outlineLevel="0" collapsed="false">
      <c r="B44" s="37"/>
      <c r="C44" s="37"/>
      <c r="D44" s="37"/>
      <c r="E44" s="37"/>
      <c r="F44" s="36"/>
      <c r="G44" s="37"/>
      <c r="H44" s="37"/>
      <c r="I44" s="37"/>
      <c r="J44" s="37"/>
      <c r="K44" s="37"/>
      <c r="L44" s="39" t="n">
        <f aca="false">INDEX('Data 2'!$L$2:$L$2198,MATCH(N44,'Data 2'!$A$2:$A$2198,0))</f>
        <v>-97.6333333333333</v>
      </c>
      <c r="M44" s="40" t="n">
        <f aca="false">RANK(L44,L:L)</f>
        <v>198</v>
      </c>
      <c r="N44" s="34" t="s">
        <v>77</v>
      </c>
      <c r="O44" s="39" t="n">
        <f aca="false">INDEX('Data 2'!$M$2:$M$2198,MATCH(N44,'Data 2'!$A$2:$A$2198,0))</f>
        <v>-110.6275</v>
      </c>
      <c r="P44" s="41" t="n">
        <f aca="false">RANK(O44,O:O)</f>
        <v>207</v>
      </c>
      <c r="Q44" s="34" t="s">
        <v>77</v>
      </c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</row>
    <row r="45" customFormat="false" ht="15.75" hidden="false" customHeight="true" outlineLevel="0" collapsed="false">
      <c r="B45" s="37"/>
      <c r="C45" s="37"/>
      <c r="D45" s="37"/>
      <c r="E45" s="37"/>
      <c r="F45" s="36"/>
      <c r="G45" s="37"/>
      <c r="H45" s="37"/>
      <c r="I45" s="37"/>
      <c r="J45" s="37"/>
      <c r="K45" s="37"/>
      <c r="L45" s="39" t="n">
        <f aca="false">INDEX('Data 2'!$L$2:$L$2198,MATCH(N45,'Data 2'!$A$2:$A$2198,0))</f>
        <v>83.9733333333333</v>
      </c>
      <c r="M45" s="40" t="n">
        <f aca="false">RANK(L45,L:L)</f>
        <v>27</v>
      </c>
      <c r="N45" s="34" t="s">
        <v>78</v>
      </c>
      <c r="O45" s="39" t="n">
        <f aca="false">INDEX('Data 2'!$M$2:$M$2198,MATCH(N45,'Data 2'!$A$2:$A$2198,0))</f>
        <v>181.065</v>
      </c>
      <c r="P45" s="41" t="n">
        <f aca="false">RANK(O45,O:O)</f>
        <v>3</v>
      </c>
      <c r="Q45" s="34" t="s">
        <v>78</v>
      </c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</row>
    <row r="46" customFormat="false" ht="15.75" hidden="false" customHeight="true" outlineLevel="0" collapsed="false">
      <c r="B46" s="37"/>
      <c r="C46" s="37"/>
      <c r="D46" s="37"/>
      <c r="E46" s="37"/>
      <c r="F46" s="36"/>
      <c r="G46" s="37"/>
      <c r="H46" s="37"/>
      <c r="I46" s="37"/>
      <c r="J46" s="37"/>
      <c r="K46" s="37"/>
      <c r="L46" s="39" t="n">
        <f aca="false">INDEX('Data 2'!$L$2:$L$2198,MATCH(N46,'Data 2'!$A$2:$A$2198,0))</f>
        <v>9.98333333333333</v>
      </c>
      <c r="M46" s="40" t="n">
        <f aca="false">RANK(L46,L:L)</f>
        <v>80</v>
      </c>
      <c r="N46" s="34" t="s">
        <v>79</v>
      </c>
      <c r="O46" s="39" t="n">
        <f aca="false">INDEX('Data 2'!$M$2:$M$2198,MATCH(N46,'Data 2'!$A$2:$A$2198,0))</f>
        <v>57.555</v>
      </c>
      <c r="P46" s="41" t="n">
        <f aca="false">RANK(O46,O:O)</f>
        <v>52</v>
      </c>
      <c r="Q46" s="34" t="s">
        <v>79</v>
      </c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</row>
    <row r="47" customFormat="false" ht="15.75" hidden="false" customHeight="true" outlineLevel="0" collapsed="false">
      <c r="B47" s="37"/>
      <c r="C47" s="37"/>
      <c r="D47" s="37"/>
      <c r="E47" s="37"/>
      <c r="F47" s="36"/>
      <c r="G47" s="37"/>
      <c r="H47" s="37"/>
      <c r="I47" s="37"/>
      <c r="J47" s="37"/>
      <c r="K47" s="37"/>
      <c r="L47" s="39" t="n">
        <f aca="false">INDEX('Data 2'!$L$2:$L$2198,MATCH(N47,'Data 2'!$A$2:$A$2198,0))</f>
        <v>-100.336666666667</v>
      </c>
      <c r="M47" s="40" t="n">
        <f aca="false">RANK(L47,L:L)</f>
        <v>200</v>
      </c>
      <c r="N47" s="34" t="s">
        <v>80</v>
      </c>
      <c r="O47" s="39" t="n">
        <f aca="false">INDEX('Data 2'!$M$2:$M$2198,MATCH(N47,'Data 2'!$A$2:$A$2198,0))</f>
        <v>-99.655</v>
      </c>
      <c r="P47" s="41" t="n">
        <f aca="false">RANK(O47,O:O)</f>
        <v>201</v>
      </c>
      <c r="Q47" s="34" t="s">
        <v>80</v>
      </c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</row>
    <row r="48" customFormat="false" ht="15.75" hidden="false" customHeight="true" outlineLevel="0" collapsed="false">
      <c r="B48" s="37"/>
      <c r="C48" s="37"/>
      <c r="D48" s="37"/>
      <c r="E48" s="37"/>
      <c r="F48" s="36"/>
      <c r="G48" s="37"/>
      <c r="H48" s="37"/>
      <c r="I48" s="37"/>
      <c r="J48" s="37"/>
      <c r="K48" s="37"/>
      <c r="L48" s="39" t="n">
        <f aca="false">INDEX('Data 2'!$L$2:$L$2198,MATCH(N48,'Data 2'!$A$2:$A$2198,0))</f>
        <v>-25.0066666666667</v>
      </c>
      <c r="M48" s="40" t="n">
        <f aca="false">RANK(L48,L:L)</f>
        <v>117</v>
      </c>
      <c r="N48" s="34" t="s">
        <v>81</v>
      </c>
      <c r="O48" s="39" t="n">
        <f aca="false">INDEX('Data 2'!$M$2:$M$2198,MATCH(N48,'Data 2'!$A$2:$A$2198,0))</f>
        <v>58.935</v>
      </c>
      <c r="P48" s="41" t="n">
        <f aca="false">RANK(O48,O:O)</f>
        <v>51</v>
      </c>
      <c r="Q48" s="34" t="s">
        <v>81</v>
      </c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</row>
    <row r="49" customFormat="false" ht="15.75" hidden="false" customHeight="true" outlineLevel="0" collapsed="false">
      <c r="B49" s="37"/>
      <c r="C49" s="37"/>
      <c r="D49" s="37"/>
      <c r="E49" s="37"/>
      <c r="F49" s="36"/>
      <c r="G49" s="37"/>
      <c r="H49" s="37"/>
      <c r="I49" s="37"/>
      <c r="J49" s="37"/>
      <c r="K49" s="37"/>
      <c r="L49" s="39" t="n">
        <f aca="false">INDEX('Data 2'!$L$2:$L$2198,MATCH(N49,'Data 2'!$A$2:$A$2198,0))</f>
        <v>82.12</v>
      </c>
      <c r="M49" s="40" t="n">
        <f aca="false">RANK(L49,L:L)</f>
        <v>29</v>
      </c>
      <c r="N49" s="34" t="s">
        <v>82</v>
      </c>
      <c r="O49" s="39" t="n">
        <f aca="false">INDEX('Data 2'!$M$2:$M$2198,MATCH(N49,'Data 2'!$A$2:$A$2198,0))</f>
        <v>-13.0425</v>
      </c>
      <c r="P49" s="41" t="n">
        <f aca="false">RANK(O49,O:O)</f>
        <v>121</v>
      </c>
      <c r="Q49" s="34" t="s">
        <v>82</v>
      </c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</row>
    <row r="50" customFormat="false" ht="15.75" hidden="false" customHeight="true" outlineLevel="0" collapsed="false">
      <c r="B50" s="37"/>
      <c r="C50" s="37"/>
      <c r="D50" s="37"/>
      <c r="E50" s="37"/>
      <c r="F50" s="36"/>
      <c r="G50" s="37"/>
      <c r="H50" s="37"/>
      <c r="I50" s="37"/>
      <c r="J50" s="37"/>
      <c r="K50" s="37"/>
      <c r="L50" s="39" t="n">
        <f aca="false">INDEX('Data 2'!$L$2:$L$2198,MATCH(N50,'Data 2'!$A$2:$A$2198,0))</f>
        <v>11.0933333333333</v>
      </c>
      <c r="M50" s="40" t="n">
        <f aca="false">RANK(L50,L:L)</f>
        <v>77</v>
      </c>
      <c r="N50" s="34" t="s">
        <v>83</v>
      </c>
      <c r="O50" s="39" t="n">
        <f aca="false">INDEX('Data 2'!$M$2:$M$2198,MATCH(N50,'Data 2'!$A$2:$A$2198,0))</f>
        <v>45.75125</v>
      </c>
      <c r="P50" s="41" t="n">
        <f aca="false">RANK(O50,O:O)</f>
        <v>66</v>
      </c>
      <c r="Q50" s="34" t="s">
        <v>83</v>
      </c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</row>
    <row r="51" customFormat="false" ht="15.75" hidden="false" customHeight="true" outlineLevel="0" collapsed="false">
      <c r="B51" s="37"/>
      <c r="C51" s="37"/>
      <c r="D51" s="37"/>
      <c r="E51" s="37"/>
      <c r="F51" s="36"/>
      <c r="G51" s="37"/>
      <c r="H51" s="37"/>
      <c r="I51" s="37"/>
      <c r="J51" s="37"/>
      <c r="K51" s="37"/>
      <c r="L51" s="39" t="n">
        <f aca="false">INDEX('Data 2'!$L$2:$L$2198,MATCH(N51,'Data 2'!$A$2:$A$2198,0))</f>
        <v>95.9866666666667</v>
      </c>
      <c r="M51" s="40" t="n">
        <f aca="false">RANK(L51,L:L)</f>
        <v>16</v>
      </c>
      <c r="N51" s="34" t="s">
        <v>84</v>
      </c>
      <c r="O51" s="39" t="n">
        <f aca="false">INDEX('Data 2'!$M$2:$M$2198,MATCH(N51,'Data 2'!$A$2:$A$2198,0))</f>
        <v>175.51</v>
      </c>
      <c r="P51" s="41" t="n">
        <f aca="false">RANK(O51,O:O)</f>
        <v>5</v>
      </c>
      <c r="Q51" s="34" t="s">
        <v>84</v>
      </c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</row>
    <row r="52" customFormat="false" ht="15.75" hidden="false" customHeight="true" outlineLevel="0" collapsed="false"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9" t="n">
        <f aca="false">INDEX('Data 2'!$L$2:$L$2198,MATCH(N52,'Data 2'!$A$2:$A$2198,0))</f>
        <v>110.623333333333</v>
      </c>
      <c r="M52" s="40" t="n">
        <f aca="false">RANK(L52,L:L)</f>
        <v>7</v>
      </c>
      <c r="N52" s="34" t="s">
        <v>85</v>
      </c>
      <c r="O52" s="39" t="n">
        <f aca="false">INDEX('Data 2'!$M$2:$M$2198,MATCH(N52,'Data 2'!$A$2:$A$2198,0))</f>
        <v>49.206875</v>
      </c>
      <c r="P52" s="41" t="n">
        <f aca="false">RANK(O52,O:O)</f>
        <v>62</v>
      </c>
      <c r="Q52" s="34" t="s">
        <v>85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</row>
    <row r="53" customFormat="false" ht="15.75" hidden="false" customHeight="true" outlineLevel="0" collapsed="false"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9" t="n">
        <f aca="false">INDEX('Data 2'!$L$2:$L$2198,MATCH(N53,'Data 2'!$A$2:$A$2198,0))</f>
        <v>-21.0866666666667</v>
      </c>
      <c r="M53" s="40" t="n">
        <f aca="false">RANK(L53,L:L)</f>
        <v>115</v>
      </c>
      <c r="N53" s="34" t="s">
        <v>86</v>
      </c>
      <c r="O53" s="39" t="n">
        <f aca="false">INDEX('Data 2'!$M$2:$M$2198,MATCH(N53,'Data 2'!$A$2:$A$2198,0))</f>
        <v>24.30875</v>
      </c>
      <c r="P53" s="41" t="n">
        <f aca="false">RANK(O53,O:O)</f>
        <v>81</v>
      </c>
      <c r="Q53" s="34" t="s">
        <v>86</v>
      </c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</row>
    <row r="54" customFormat="false" ht="15.75" hidden="false" customHeight="true" outlineLevel="0" collapsed="false"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9" t="n">
        <f aca="false">INDEX('Data 2'!$L$2:$L$2198,MATCH(N54,'Data 2'!$A$2:$A$2198,0))</f>
        <v>91.2033333333333</v>
      </c>
      <c r="M54" s="40" t="n">
        <f aca="false">RANK(L54,L:L)</f>
        <v>21</v>
      </c>
      <c r="N54" s="34" t="s">
        <v>87</v>
      </c>
      <c r="O54" s="39" t="n">
        <f aca="false">INDEX('Data 2'!$M$2:$M$2198,MATCH(N54,'Data 2'!$A$2:$A$2198,0))</f>
        <v>63.67125</v>
      </c>
      <c r="P54" s="41" t="n">
        <f aca="false">RANK(O54,O:O)</f>
        <v>49</v>
      </c>
      <c r="Q54" s="34" t="s">
        <v>87</v>
      </c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</row>
    <row r="55" customFormat="false" ht="15.75" hidden="false" customHeight="true" outlineLevel="0" collapsed="false"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9" t="n">
        <f aca="false">INDEX('Data 2'!$L$2:$L$2198,MATCH(N55,'Data 2'!$A$2:$A$2198,0))</f>
        <v>-68.9233333333333</v>
      </c>
      <c r="M55" s="40" t="n">
        <f aca="false">RANK(L55,L:L)</f>
        <v>172</v>
      </c>
      <c r="N55" s="34" t="s">
        <v>88</v>
      </c>
      <c r="O55" s="39" t="n">
        <f aca="false">INDEX('Data 2'!$M$2:$M$2198,MATCH(N55,'Data 2'!$A$2:$A$2198,0))</f>
        <v>-49.989</v>
      </c>
      <c r="P55" s="41" t="n">
        <f aca="false">RANK(O55,O:O)</f>
        <v>165</v>
      </c>
      <c r="Q55" s="34" t="s">
        <v>88</v>
      </c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</row>
    <row r="56" customFormat="false" ht="15.75" hidden="false" customHeight="true" outlineLevel="0" collapsed="false"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9" t="n">
        <f aca="false">INDEX('Data 2'!$L$2:$L$2198,MATCH(N56,'Data 2'!$A$2:$A$2198,0))</f>
        <v>5.30666666666667</v>
      </c>
      <c r="M56" s="40" t="n">
        <f aca="false">RANK(L56,L:L)</f>
        <v>89</v>
      </c>
      <c r="N56" s="34" t="s">
        <v>89</v>
      </c>
      <c r="O56" s="39" t="n">
        <f aca="false">INDEX('Data 2'!$M$2:$M$2198,MATCH(N56,'Data 2'!$A$2:$A$2198,0))</f>
        <v>-14.10125</v>
      </c>
      <c r="P56" s="41" t="n">
        <f aca="false">RANK(O56,O:O)</f>
        <v>123</v>
      </c>
      <c r="Q56" s="34" t="s">
        <v>89</v>
      </c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</row>
    <row r="57" customFormat="false" ht="15.75" hidden="false" customHeight="true" outlineLevel="0" collapsed="false"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9" t="n">
        <f aca="false">INDEX('Data 2'!$L$2:$L$2198,MATCH(N57,'Data 2'!$A$2:$A$2198,0))</f>
        <v>79.8433333333334</v>
      </c>
      <c r="M57" s="40" t="n">
        <f aca="false">RANK(L57,L:L)</f>
        <v>33</v>
      </c>
      <c r="N57" s="34" t="s">
        <v>90</v>
      </c>
      <c r="O57" s="39" t="n">
        <f aca="false">INDEX('Data 2'!$M$2:$M$2198,MATCH(N57,'Data 2'!$A$2:$A$2198,0))</f>
        <v>-5.90375</v>
      </c>
      <c r="P57" s="41" t="n">
        <f aca="false">RANK(O57,O:O)</f>
        <v>112</v>
      </c>
      <c r="Q57" s="34" t="s">
        <v>90</v>
      </c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</row>
    <row r="58" customFormat="false" ht="15.75" hidden="false" customHeight="true" outlineLevel="0" collapsed="false"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9" t="n">
        <f aca="false">INDEX('Data 2'!$L$2:$L$2198,MATCH(N58,'Data 2'!$A$2:$A$2198,0))</f>
        <v>15.82</v>
      </c>
      <c r="M58" s="40" t="n">
        <f aca="false">RANK(L58,L:L)</f>
        <v>71</v>
      </c>
      <c r="N58" s="34" t="s">
        <v>91</v>
      </c>
      <c r="O58" s="39" t="n">
        <f aca="false">INDEX('Data 2'!$M$2:$M$2198,MATCH(N58,'Data 2'!$A$2:$A$2198,0))</f>
        <v>3.95875</v>
      </c>
      <c r="P58" s="41" t="n">
        <f aca="false">RANK(O58,O:O)</f>
        <v>100</v>
      </c>
      <c r="Q58" s="34" t="s">
        <v>91</v>
      </c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</row>
    <row r="59" customFormat="false" ht="15.75" hidden="false" customHeight="true" outlineLevel="0" collapsed="false"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9" t="n">
        <f aca="false">INDEX('Data 2'!$L$2:$L$2198,MATCH(N59,'Data 2'!$A$2:$A$2198,0))</f>
        <v>-64.3133333333333</v>
      </c>
      <c r="M59" s="40" t="n">
        <f aca="false">RANK(L59,L:L)</f>
        <v>165</v>
      </c>
      <c r="N59" s="34" t="s">
        <v>92</v>
      </c>
      <c r="O59" s="39" t="n">
        <f aca="false">INDEX('Data 2'!$M$2:$M$2198,MATCH(N59,'Data 2'!$A$2:$A$2198,0))</f>
        <v>-53.4075</v>
      </c>
      <c r="P59" s="41" t="n">
        <f aca="false">RANK(O59,O:O)</f>
        <v>168</v>
      </c>
      <c r="Q59" s="34" t="s">
        <v>92</v>
      </c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</row>
    <row r="60" customFormat="false" ht="15.75" hidden="false" customHeight="true" outlineLevel="0" collapsed="false"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9" t="n">
        <f aca="false">INDEX('Data 2'!$L$2:$L$2198,MATCH(N60,'Data 2'!$A$2:$A$2198,0))</f>
        <v>-65.85</v>
      </c>
      <c r="M60" s="40" t="n">
        <f aca="false">RANK(L60,L:L)</f>
        <v>169</v>
      </c>
      <c r="N60" s="34" t="s">
        <v>93</v>
      </c>
      <c r="O60" s="39" t="n">
        <f aca="false">INDEX('Data 2'!$M$2:$M$2198,MATCH(N60,'Data 2'!$A$2:$A$2198,0))</f>
        <v>-1.4225</v>
      </c>
      <c r="P60" s="41" t="n">
        <f aca="false">RANK(O60,O:O)</f>
        <v>104</v>
      </c>
      <c r="Q60" s="34" t="s">
        <v>93</v>
      </c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</row>
    <row r="61" customFormat="false" ht="15.75" hidden="false" customHeight="true" outlineLevel="0" collapsed="false"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9" t="n">
        <f aca="false">INDEX('Data 2'!$L$2:$L$2198,MATCH(N61,'Data 2'!$A$2:$A$2198,0))</f>
        <v>87.2033333333333</v>
      </c>
      <c r="M61" s="40" t="n">
        <f aca="false">RANK(L61,L:L)</f>
        <v>23</v>
      </c>
      <c r="N61" s="34" t="s">
        <v>94</v>
      </c>
      <c r="O61" s="39" t="n">
        <f aca="false">INDEX('Data 2'!$M$2:$M$2198,MATCH(N61,'Data 2'!$A$2:$A$2198,0))</f>
        <v>139.43875</v>
      </c>
      <c r="P61" s="41" t="n">
        <f aca="false">RANK(O61,O:O)</f>
        <v>10</v>
      </c>
      <c r="Q61" s="34" t="s">
        <v>94</v>
      </c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</row>
    <row r="62" customFormat="false" ht="15.75" hidden="false" customHeight="true" outlineLevel="0" collapsed="false"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9" t="n">
        <f aca="false">INDEX('Data 2'!$L$2:$L$2198,MATCH(N62,'Data 2'!$A$2:$A$2198,0))</f>
        <v>1.26666666666667</v>
      </c>
      <c r="M62" s="40" t="n">
        <f aca="false">RANK(L62,L:L)</f>
        <v>93</v>
      </c>
      <c r="N62" s="34" t="s">
        <v>95</v>
      </c>
      <c r="O62" s="39" t="n">
        <f aca="false">INDEX('Data 2'!$M$2:$M$2198,MATCH(N62,'Data 2'!$A$2:$A$2198,0))</f>
        <v>15.28625</v>
      </c>
      <c r="P62" s="41" t="n">
        <f aca="false">RANK(O62,O:O)</f>
        <v>88</v>
      </c>
      <c r="Q62" s="34" t="s">
        <v>95</v>
      </c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</row>
    <row r="63" customFormat="false" ht="15.75" hidden="false" customHeight="true" outlineLevel="0" collapsed="false"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9" t="n">
        <f aca="false">INDEX('Data 2'!$L$2:$L$2198,MATCH(N63,'Data 2'!$A$2:$A$2198,0))</f>
        <v>122.496666666667</v>
      </c>
      <c r="M63" s="40" t="n">
        <f aca="false">RANK(L63,L:L)</f>
        <v>4</v>
      </c>
      <c r="N63" s="34" t="s">
        <v>96</v>
      </c>
      <c r="O63" s="39" t="n">
        <f aca="false">INDEX('Data 2'!$M$2:$M$2198,MATCH(N63,'Data 2'!$A$2:$A$2198,0))</f>
        <v>149.74</v>
      </c>
      <c r="P63" s="41" t="n">
        <f aca="false">RANK(O63,O:O)</f>
        <v>7</v>
      </c>
      <c r="Q63" s="34" t="s">
        <v>96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</row>
    <row r="64" customFormat="false" ht="15.75" hidden="false" customHeight="true" outlineLevel="0" collapsed="false"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9" t="n">
        <f aca="false">INDEX('Data 2'!$L$2:$L$2198,MATCH(N64,'Data 2'!$A$2:$A$2198,0))</f>
        <v>32.2433333333333</v>
      </c>
      <c r="M64" s="40" t="n">
        <f aca="false">RANK(L64,L:L)</f>
        <v>57</v>
      </c>
      <c r="N64" s="34" t="s">
        <v>97</v>
      </c>
      <c r="O64" s="39" t="n">
        <f aca="false">INDEX('Data 2'!$M$2:$M$2198,MATCH(N64,'Data 2'!$A$2:$A$2198,0))</f>
        <v>46.7875</v>
      </c>
      <c r="P64" s="41" t="n">
        <f aca="false">RANK(O64,O:O)</f>
        <v>65</v>
      </c>
      <c r="Q64" s="34" t="s">
        <v>97</v>
      </c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</row>
    <row r="65" customFormat="false" ht="15.75" hidden="false" customHeight="true" outlineLevel="0" collapsed="false"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9" t="n">
        <f aca="false">INDEX('Data 2'!$L$2:$L$2198,MATCH(N65,'Data 2'!$A$2:$A$2198,0))</f>
        <v>24.0533333333333</v>
      </c>
      <c r="M65" s="40" t="n">
        <f aca="false">RANK(L65,L:L)</f>
        <v>65</v>
      </c>
      <c r="N65" s="34" t="s">
        <v>98</v>
      </c>
      <c r="O65" s="39" t="n">
        <f aca="false">INDEX('Data 2'!$M$2:$M$2198,MATCH(N65,'Data 2'!$A$2:$A$2198,0))</f>
        <v>91.96375</v>
      </c>
      <c r="P65" s="41" t="n">
        <f aca="false">RANK(O65,O:O)</f>
        <v>28</v>
      </c>
      <c r="Q65" s="34" t="s">
        <v>98</v>
      </c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</row>
    <row r="66" customFormat="false" ht="15.75" hidden="false" customHeight="true" outlineLevel="0" collapsed="false"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9" t="n">
        <f aca="false">INDEX('Data 2'!$L$2:$L$2198,MATCH(N66,'Data 2'!$A$2:$A$2198,0))</f>
        <v>-18.05</v>
      </c>
      <c r="M66" s="40" t="n">
        <f aca="false">RANK(L66,L:L)</f>
        <v>112</v>
      </c>
      <c r="N66" s="34" t="s">
        <v>99</v>
      </c>
      <c r="O66" s="39" t="n">
        <f aca="false">INDEX('Data 2'!$M$2:$M$2198,MATCH(N66,'Data 2'!$A$2:$A$2198,0))</f>
        <v>0.0824999999999978</v>
      </c>
      <c r="P66" s="41" t="n">
        <f aca="false">RANK(O66,O:O)</f>
        <v>102</v>
      </c>
      <c r="Q66" s="34" t="s">
        <v>99</v>
      </c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</row>
    <row r="67" customFormat="false" ht="15.75" hidden="false" customHeight="true" outlineLevel="0" collapsed="false"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9" t="n">
        <f aca="false">INDEX('Data 2'!$L$2:$L$2198,MATCH(N67,'Data 2'!$A$2:$A$2198,0))</f>
        <v>-49.2966666666667</v>
      </c>
      <c r="M67" s="40" t="n">
        <f aca="false">RANK(L67,L:L)</f>
        <v>146</v>
      </c>
      <c r="N67" s="34" t="s">
        <v>100</v>
      </c>
      <c r="O67" s="39" t="n">
        <f aca="false">INDEX('Data 2'!$M$2:$M$2198,MATCH(N67,'Data 2'!$A$2:$A$2198,0))</f>
        <v>-60.60125</v>
      </c>
      <c r="P67" s="41" t="n">
        <f aca="false">RANK(O67,O:O)</f>
        <v>173</v>
      </c>
      <c r="Q67" s="34" t="s">
        <v>100</v>
      </c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</row>
    <row r="68" customFormat="false" ht="15.75" hidden="false" customHeight="true" outlineLevel="0" collapsed="false"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9" t="n">
        <f aca="false">INDEX('Data 2'!$L$2:$L$2198,MATCH(N68,'Data 2'!$A$2:$A$2198,0))</f>
        <v>33.6566666666667</v>
      </c>
      <c r="M68" s="40" t="n">
        <f aca="false">RANK(L68,L:L)</f>
        <v>56</v>
      </c>
      <c r="N68" s="34" t="s">
        <v>101</v>
      </c>
      <c r="O68" s="39" t="n">
        <f aca="false">INDEX('Data 2'!$M$2:$M$2198,MATCH(N68,'Data 2'!$A$2:$A$2198,0))</f>
        <v>42.42875</v>
      </c>
      <c r="P68" s="41" t="n">
        <f aca="false">RANK(O68,O:O)</f>
        <v>69</v>
      </c>
      <c r="Q68" s="34" t="s">
        <v>101</v>
      </c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</row>
    <row r="69" customFormat="false" ht="15.75" hidden="false" customHeight="true" outlineLevel="0" collapsed="false"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9" t="n">
        <f aca="false">INDEX('Data 2'!$L$2:$L$2198,MATCH(N69,'Data 2'!$A$2:$A$2198,0))</f>
        <v>-9.54333333333333</v>
      </c>
      <c r="M69" s="40" t="n">
        <f aca="false">RANK(L69,L:L)</f>
        <v>104</v>
      </c>
      <c r="N69" s="34" t="s">
        <v>102</v>
      </c>
      <c r="O69" s="39" t="n">
        <f aca="false">INDEX('Data 2'!$M$2:$M$2198,MATCH(N69,'Data 2'!$A$2:$A$2198,0))</f>
        <v>38.0375</v>
      </c>
      <c r="P69" s="41" t="n">
        <f aca="false">RANK(O69,O:O)</f>
        <v>70</v>
      </c>
      <c r="Q69" s="34" t="s">
        <v>102</v>
      </c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</row>
    <row r="70" customFormat="false" ht="15.75" hidden="false" customHeight="true" outlineLevel="0" collapsed="false"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9" t="n">
        <f aca="false">INDEX('Data 2'!$L$2:$L$2198,MATCH(N70,'Data 2'!$A$2:$A$2198,0))</f>
        <v>28.71</v>
      </c>
      <c r="M70" s="40" t="n">
        <f aca="false">RANK(L70,L:L)</f>
        <v>62</v>
      </c>
      <c r="N70" s="34" t="s">
        <v>103</v>
      </c>
      <c r="O70" s="39" t="n">
        <f aca="false">INDEX('Data 2'!$M$2:$M$2198,MATCH(N70,'Data 2'!$A$2:$A$2198,0))</f>
        <v>19.7575</v>
      </c>
      <c r="P70" s="41" t="n">
        <f aca="false">RANK(O70,O:O)</f>
        <v>84</v>
      </c>
      <c r="Q70" s="34" t="s">
        <v>103</v>
      </c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</row>
    <row r="71" customFormat="false" ht="15.75" hidden="false" customHeight="true" outlineLevel="0" collapsed="false"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9" t="n">
        <f aca="false">INDEX('Data 2'!$L$2:$L$2198,MATCH(N71,'Data 2'!$A$2:$A$2198,0))</f>
        <v>-40.48</v>
      </c>
      <c r="M71" s="40" t="n">
        <f aca="false">RANK(L71,L:L)</f>
        <v>133</v>
      </c>
      <c r="N71" s="34" t="s">
        <v>104</v>
      </c>
      <c r="O71" s="39" t="n">
        <f aca="false">INDEX('Data 2'!$M$2:$M$2198,MATCH(N71,'Data 2'!$A$2:$A$2198,0))</f>
        <v>-1.3775</v>
      </c>
      <c r="P71" s="41" t="n">
        <f aca="false">RANK(O71,O:O)</f>
        <v>103</v>
      </c>
      <c r="Q71" s="34" t="s">
        <v>104</v>
      </c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</row>
    <row r="72" customFormat="false" ht="15.75" hidden="false" customHeight="true" outlineLevel="0" collapsed="false"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9" t="n">
        <f aca="false">INDEX('Data 2'!$L$2:$L$2198,MATCH(N72,'Data 2'!$A$2:$A$2198,0))</f>
        <v>61.4633333333333</v>
      </c>
      <c r="M72" s="40" t="n">
        <f aca="false">RANK(L72,L:L)</f>
        <v>45</v>
      </c>
      <c r="N72" s="34" t="s">
        <v>105</v>
      </c>
      <c r="O72" s="39" t="n">
        <f aca="false">INDEX('Data 2'!$M$2:$M$2198,MATCH(N72,'Data 2'!$A$2:$A$2198,0))</f>
        <v>125.29125</v>
      </c>
      <c r="P72" s="41" t="n">
        <f aca="false">RANK(O72,O:O)</f>
        <v>15</v>
      </c>
      <c r="Q72" s="34" t="s">
        <v>105</v>
      </c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</row>
    <row r="73" customFormat="false" ht="15.75" hidden="false" customHeight="true" outlineLevel="0" collapsed="false"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9" t="n">
        <f aca="false">INDEX('Data 2'!$L$2:$L$2198,MATCH(N73,'Data 2'!$A$2:$A$2198,0))</f>
        <v>-61.0133333333333</v>
      </c>
      <c r="M73" s="40" t="n">
        <f aca="false">RANK(L73,L:L)</f>
        <v>160</v>
      </c>
      <c r="N73" s="34" t="s">
        <v>106</v>
      </c>
      <c r="O73" s="39" t="n">
        <f aca="false">INDEX('Data 2'!$M$2:$M$2198,MATCH(N73,'Data 2'!$A$2:$A$2198,0))</f>
        <v>-23.73875</v>
      </c>
      <c r="P73" s="41" t="n">
        <f aca="false">RANK(O73,O:O)</f>
        <v>136</v>
      </c>
      <c r="Q73" s="34" t="s">
        <v>106</v>
      </c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</row>
    <row r="74" customFormat="false" ht="15.75" hidden="false" customHeight="true" outlineLevel="0" collapsed="false"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9" t="n">
        <f aca="false">INDEX('Data 2'!$L$2:$L$2198,MATCH(N74,'Data 2'!$A$2:$A$2198,0))</f>
        <v>-79.1866666666667</v>
      </c>
      <c r="M74" s="40" t="n">
        <f aca="false">RANK(L74,L:L)</f>
        <v>181</v>
      </c>
      <c r="N74" s="34" t="s">
        <v>107</v>
      </c>
      <c r="O74" s="39" t="n">
        <f aca="false">INDEX('Data 2'!$M$2:$M$2198,MATCH(N74,'Data 2'!$A$2:$A$2198,0))</f>
        <v>-89.76125</v>
      </c>
      <c r="P74" s="41" t="n">
        <f aca="false">RANK(O74,O:O)</f>
        <v>196</v>
      </c>
      <c r="Q74" s="34" t="s">
        <v>107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</row>
    <row r="75" customFormat="false" ht="15.75" hidden="false" customHeight="true" outlineLevel="0" collapsed="false"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9" t="n">
        <f aca="false">INDEX('Data 2'!$L$2:$L$2198,MATCH(N75,'Data 2'!$A$2:$A$2198,0))</f>
        <v>102.713333333333</v>
      </c>
      <c r="M75" s="40" t="n">
        <f aca="false">RANK(L75,L:L)</f>
        <v>11</v>
      </c>
      <c r="N75" s="34" t="s">
        <v>108</v>
      </c>
      <c r="O75" s="39" t="n">
        <f aca="false">INDEX('Data 2'!$M$2:$M$2198,MATCH(N75,'Data 2'!$A$2:$A$2198,0))</f>
        <v>125.28625</v>
      </c>
      <c r="P75" s="41" t="n">
        <f aca="false">RANK(O75,O:O)</f>
        <v>16</v>
      </c>
      <c r="Q75" s="34" t="s">
        <v>108</v>
      </c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</row>
    <row r="76" customFormat="false" ht="15.75" hidden="false" customHeight="true" outlineLevel="0" collapsed="false"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9" t="n">
        <f aca="false">INDEX('Data 2'!$L$2:$L$2198,MATCH(N76,'Data 2'!$A$2:$A$2198,0))</f>
        <v>73.5233333333333</v>
      </c>
      <c r="M76" s="40" t="n">
        <f aca="false">RANK(L76,L:L)</f>
        <v>38</v>
      </c>
      <c r="N76" s="34" t="s">
        <v>109</v>
      </c>
      <c r="O76" s="39" t="n">
        <f aca="false">INDEX('Data 2'!$M$2:$M$2198,MATCH(N76,'Data 2'!$A$2:$A$2198,0))</f>
        <v>88.1925</v>
      </c>
      <c r="P76" s="41" t="n">
        <f aca="false">RANK(O76,O:O)</f>
        <v>32</v>
      </c>
      <c r="Q76" s="34" t="s">
        <v>109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</row>
    <row r="77" customFormat="false" ht="15.75" hidden="false" customHeight="true" outlineLevel="0" collapsed="false"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9" t="n">
        <f aca="false">INDEX('Data 2'!$L$2:$L$2198,MATCH(N77,'Data 2'!$A$2:$A$2198,0))</f>
        <v>62.7333333333333</v>
      </c>
      <c r="M77" s="40" t="n">
        <f aca="false">RANK(L77,L:L)</f>
        <v>43</v>
      </c>
      <c r="N77" s="34" t="s">
        <v>110</v>
      </c>
      <c r="O77" s="39" t="n">
        <f aca="false">INDEX('Data 2'!$M$2:$M$2198,MATCH(N77,'Data 2'!$A$2:$A$2198,0))</f>
        <v>44.105</v>
      </c>
      <c r="P77" s="41" t="n">
        <f aca="false">RANK(O77,O:O)</f>
        <v>67</v>
      </c>
      <c r="Q77" s="34" t="s">
        <v>110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</row>
    <row r="78" customFormat="false" ht="15.75" hidden="false" customHeight="true" outlineLevel="0" collapsed="false"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9" t="n">
        <f aca="false">INDEX('Data 2'!$L$2:$L$2198,MATCH(N78,'Data 2'!$A$2:$A$2198,0))</f>
        <v>-94.6133333333333</v>
      </c>
      <c r="M78" s="40" t="n">
        <f aca="false">RANK(L78,L:L)</f>
        <v>192</v>
      </c>
      <c r="N78" s="34" t="s">
        <v>111</v>
      </c>
      <c r="O78" s="39" t="n">
        <f aca="false">INDEX('Data 2'!$M$2:$M$2198,MATCH(N78,'Data 2'!$A$2:$A$2198,0))</f>
        <v>-30.34375</v>
      </c>
      <c r="P78" s="41" t="n">
        <f aca="false">RANK(O78,O:O)</f>
        <v>145</v>
      </c>
      <c r="Q78" s="34" t="s">
        <v>111</v>
      </c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</row>
    <row r="79" customFormat="false" ht="15.75" hidden="false" customHeight="true" outlineLevel="0" collapsed="false"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9" t="n">
        <f aca="false">INDEX('Data 2'!$L$2:$L$2198,MATCH(N79,'Data 2'!$A$2:$A$2198,0))</f>
        <v>-72.08</v>
      </c>
      <c r="M79" s="40" t="n">
        <f aca="false">RANK(L79,L:L)</f>
        <v>175</v>
      </c>
      <c r="N79" s="34" t="s">
        <v>112</v>
      </c>
      <c r="O79" s="39" t="n">
        <f aca="false">INDEX('Data 2'!$M$2:$M$2198,MATCH(N79,'Data 2'!$A$2:$A$2198,0))</f>
        <v>-4.94125</v>
      </c>
      <c r="P79" s="41" t="n">
        <f aca="false">RANK(O79,O:O)</f>
        <v>107</v>
      </c>
      <c r="Q79" s="34" t="s">
        <v>112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</row>
    <row r="80" customFormat="false" ht="15.75" hidden="false" customHeight="true" outlineLevel="0" collapsed="false"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9" t="n">
        <f aca="false">INDEX('Data 2'!$L$2:$L$2198,MATCH(N80,'Data 2'!$A$2:$A$2198,0))</f>
        <v>-80.51</v>
      </c>
      <c r="M80" s="40" t="n">
        <f aca="false">RANK(L80,L:L)</f>
        <v>183</v>
      </c>
      <c r="N80" s="34" t="s">
        <v>113</v>
      </c>
      <c r="O80" s="39" t="n">
        <f aca="false">INDEX('Data 2'!$M$2:$M$2198,MATCH(N80,'Data 2'!$A$2:$A$2198,0))</f>
        <v>-30.45</v>
      </c>
      <c r="P80" s="41" t="n">
        <f aca="false">RANK(O80,O:O)</f>
        <v>146</v>
      </c>
      <c r="Q80" s="34" t="s">
        <v>113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</row>
    <row r="81" customFormat="false" ht="15.75" hidden="false" customHeight="true" outlineLevel="0" collapsed="false"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9" t="n">
        <f aca="false">INDEX('Data 2'!$L$2:$L$2198,MATCH(N81,'Data 2'!$A$2:$A$2198,0))</f>
        <v>-41.7866666666667</v>
      </c>
      <c r="M81" s="40" t="n">
        <f aca="false">RANK(L81,L:L)</f>
        <v>135</v>
      </c>
      <c r="N81" s="34" t="s">
        <v>114</v>
      </c>
      <c r="O81" s="39" t="n">
        <f aca="false">INDEX('Data 2'!$M$2:$M$2198,MATCH(N81,'Data 2'!$A$2:$A$2198,0))</f>
        <v>-17.40125</v>
      </c>
      <c r="P81" s="41" t="n">
        <f aca="false">RANK(O81,O:O)</f>
        <v>129</v>
      </c>
      <c r="Q81" s="34" t="s">
        <v>114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</row>
    <row r="82" customFormat="false" ht="15.75" hidden="false" customHeight="true" outlineLevel="0" collapsed="false"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9" t="n">
        <f aca="false">INDEX('Data 2'!$L$2:$L$2198,MATCH(N82,'Data 2'!$A$2:$A$2198,0))</f>
        <v>99.38</v>
      </c>
      <c r="M82" s="40" t="n">
        <f aca="false">RANK(L82,L:L)</f>
        <v>13</v>
      </c>
      <c r="N82" s="34" t="s">
        <v>115</v>
      </c>
      <c r="O82" s="39" t="n">
        <f aca="false">INDEX('Data 2'!$M$2:$M$2198,MATCH(N82,'Data 2'!$A$2:$A$2198,0))</f>
        <v>120.785</v>
      </c>
      <c r="P82" s="41" t="n">
        <f aca="false">RANK(O82,O:O)</f>
        <v>18</v>
      </c>
      <c r="Q82" s="34" t="s">
        <v>115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</row>
    <row r="83" customFormat="false" ht="15.75" hidden="false" customHeight="true" outlineLevel="0" collapsed="false"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9" t="n">
        <f aca="false">INDEX('Data 2'!$L$2:$L$2198,MATCH(N83,'Data 2'!$A$2:$A$2198,0))</f>
        <v>-30.3066666666667</v>
      </c>
      <c r="M83" s="40" t="n">
        <f aca="false">RANK(L83,L:L)</f>
        <v>121</v>
      </c>
      <c r="N83" s="34" t="s">
        <v>116</v>
      </c>
      <c r="O83" s="39" t="n">
        <f aca="false">INDEX('Data 2'!$M$2:$M$2198,MATCH(N83,'Data 2'!$A$2:$A$2198,0))</f>
        <v>-16.89125</v>
      </c>
      <c r="P83" s="41" t="n">
        <f aca="false">RANK(O83,O:O)</f>
        <v>127</v>
      </c>
      <c r="Q83" s="34" t="s">
        <v>116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</row>
    <row r="84" customFormat="false" ht="15.75" hidden="false" customHeight="true" outlineLevel="0" collapsed="false"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9" t="n">
        <f aca="false">INDEX('Data 2'!$L$2:$L$2198,MATCH(N84,'Data 2'!$A$2:$A$2198,0))</f>
        <v>10.9333333333333</v>
      </c>
      <c r="M84" s="40" t="n">
        <f aca="false">RANK(L84,L:L)</f>
        <v>78</v>
      </c>
      <c r="N84" s="34" t="s">
        <v>117</v>
      </c>
      <c r="O84" s="39" t="n">
        <f aca="false">INDEX('Data 2'!$M$2:$M$2198,MATCH(N84,'Data 2'!$A$2:$A$2198,0))</f>
        <v>53.91</v>
      </c>
      <c r="P84" s="41" t="n">
        <f aca="false">RANK(O84,O:O)</f>
        <v>54</v>
      </c>
      <c r="Q84" s="34" t="s">
        <v>117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</row>
    <row r="85" customFormat="false" ht="15.75" hidden="false" customHeight="true" outlineLevel="0" collapsed="false">
      <c r="B85" s="37"/>
      <c r="C85" s="37"/>
      <c r="D85" s="37"/>
      <c r="E85" s="37"/>
      <c r="F85" s="37"/>
      <c r="G85" s="37"/>
      <c r="H85" s="37"/>
      <c r="I85" s="37"/>
      <c r="J85" s="37"/>
      <c r="K85" s="62"/>
      <c r="L85" s="39" t="n">
        <f aca="false">INDEX('Data 2'!$L$2:$L$2198,MATCH(N85,'Data 2'!$A$2:$A$2198,0))</f>
        <v>92.7166666666667</v>
      </c>
      <c r="M85" s="40" t="n">
        <f aca="false">RANK(L85,L:L)</f>
        <v>20</v>
      </c>
      <c r="N85" s="34" t="s">
        <v>118</v>
      </c>
      <c r="O85" s="39" t="n">
        <f aca="false">INDEX('Data 2'!$M$2:$M$2198,MATCH(N85,'Data 2'!$A$2:$A$2198,0))</f>
        <v>142.18625</v>
      </c>
      <c r="P85" s="41" t="n">
        <f aca="false">RANK(O85,O:O)</f>
        <v>9</v>
      </c>
      <c r="Q85" s="34" t="s">
        <v>118</v>
      </c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</row>
    <row r="86" customFormat="false" ht="15.75" hidden="false" customHeight="true" outlineLevel="0" collapsed="false"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9" t="n">
        <f aca="false">INDEX('Data 2'!$L$2:$L$2198,MATCH(N86,'Data 2'!$A$2:$A$2198,0))</f>
        <v>-68.2866666666667</v>
      </c>
      <c r="M86" s="40" t="n">
        <f aca="false">RANK(L86,L:L)</f>
        <v>171</v>
      </c>
      <c r="N86" s="34" t="s">
        <v>119</v>
      </c>
      <c r="O86" s="39" t="n">
        <f aca="false">INDEX('Data 2'!$M$2:$M$2198,MATCH(N86,'Data 2'!$A$2:$A$2198,0))</f>
        <v>52.6675</v>
      </c>
      <c r="P86" s="41" t="n">
        <f aca="false">RANK(O86,O:O)</f>
        <v>55</v>
      </c>
      <c r="Q86" s="34" t="s">
        <v>119</v>
      </c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</row>
    <row r="87" customFormat="false" ht="15.75" hidden="false" customHeight="true" outlineLevel="0" collapsed="false"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9" t="n">
        <f aca="false">INDEX('Data 2'!$L$2:$L$2198,MATCH(N87,'Data 2'!$A$2:$A$2198,0))</f>
        <v>112.243333333333</v>
      </c>
      <c r="M87" s="40" t="n">
        <f aca="false">RANK(L87,L:L)</f>
        <v>6</v>
      </c>
      <c r="N87" s="34" t="s">
        <v>120</v>
      </c>
      <c r="O87" s="39" t="n">
        <f aca="false">INDEX('Data 2'!$M$2:$M$2198,MATCH(N87,'Data 2'!$A$2:$A$2198,0))</f>
        <v>24.6175</v>
      </c>
      <c r="P87" s="41" t="n">
        <f aca="false">RANK(O87,O:O)</f>
        <v>80</v>
      </c>
      <c r="Q87" s="34" t="s">
        <v>120</v>
      </c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</row>
    <row r="88" customFormat="false" ht="15.75" hidden="false" customHeight="true" outlineLevel="0" collapsed="false"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9" t="n">
        <f aca="false">INDEX('Data 2'!$L$2:$L$2198,MATCH(N88,'Data 2'!$A$2:$A$2198,0))</f>
        <v>11.3</v>
      </c>
      <c r="M88" s="40" t="n">
        <f aca="false">RANK(L88,L:L)</f>
        <v>76</v>
      </c>
      <c r="N88" s="34" t="s">
        <v>121</v>
      </c>
      <c r="O88" s="39" t="n">
        <f aca="false">INDEX('Data 2'!$M$2:$M$2198,MATCH(N88,'Data 2'!$A$2:$A$2198,0))</f>
        <v>-25.17125</v>
      </c>
      <c r="P88" s="41" t="n">
        <f aca="false">RANK(O88,O:O)</f>
        <v>138</v>
      </c>
      <c r="Q88" s="34" t="s">
        <v>121</v>
      </c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</row>
    <row r="89" customFormat="false" ht="15.75" hidden="false" customHeight="true" outlineLevel="0" collapsed="false"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9" t="n">
        <f aca="false">INDEX('Data 2'!$L$2:$L$2198,MATCH(N89,'Data 2'!$A$2:$A$2198,0))</f>
        <v>43.86</v>
      </c>
      <c r="M89" s="40" t="n">
        <f aca="false">RANK(L89,L:L)</f>
        <v>50</v>
      </c>
      <c r="N89" s="34" t="s">
        <v>122</v>
      </c>
      <c r="O89" s="39" t="n">
        <f aca="false">INDEX('Data 2'!$M$2:$M$2198,MATCH(N89,'Data 2'!$A$2:$A$2198,0))</f>
        <v>76.56</v>
      </c>
      <c r="P89" s="41" t="n">
        <f aca="false">RANK(O89,O:O)</f>
        <v>40</v>
      </c>
      <c r="Q89" s="34" t="s">
        <v>122</v>
      </c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</row>
    <row r="90" customFormat="false" ht="15.75" hidden="false" customHeight="true" outlineLevel="0" collapsed="false"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9" t="n">
        <f aca="false">INDEX('Data 2'!$L$2:$L$2198,MATCH(N90,'Data 2'!$A$2:$A$2198,0))</f>
        <v>20.8033333333333</v>
      </c>
      <c r="M90" s="40" t="n">
        <f aca="false">RANK(L90,L:L)</f>
        <v>67</v>
      </c>
      <c r="N90" s="34" t="s">
        <v>123</v>
      </c>
      <c r="O90" s="39" t="n">
        <f aca="false">INDEX('Data 2'!$M$2:$M$2198,MATCH(N90,'Data 2'!$A$2:$A$2198,0))</f>
        <v>43.575</v>
      </c>
      <c r="P90" s="41" t="n">
        <f aca="false">RANK(O90,O:O)</f>
        <v>68</v>
      </c>
      <c r="Q90" s="34" t="s">
        <v>123</v>
      </c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</row>
    <row r="91" customFormat="false" ht="15.75" hidden="false" customHeight="true" outlineLevel="0" collapsed="false"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9" t="n">
        <f aca="false">INDEX('Data 2'!$L$2:$L$2198,MATCH(N91,'Data 2'!$A$2:$A$2198,0))</f>
        <v>13.7066666666667</v>
      </c>
      <c r="M91" s="40" t="n">
        <f aca="false">RANK(L91,L:L)</f>
        <v>72</v>
      </c>
      <c r="N91" s="34" t="s">
        <v>124</v>
      </c>
      <c r="O91" s="39" t="n">
        <f aca="false">INDEX('Data 2'!$M$2:$M$2198,MATCH(N91,'Data 2'!$A$2:$A$2198,0))</f>
        <v>-9.18125</v>
      </c>
      <c r="P91" s="41" t="n">
        <f aca="false">RANK(O91,O:O)</f>
        <v>117</v>
      </c>
      <c r="Q91" s="34" t="s">
        <v>124</v>
      </c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</row>
    <row r="92" customFormat="false" ht="15.75" hidden="false" customHeight="true" outlineLevel="0" collapsed="false"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9" t="n">
        <f aca="false">INDEX('Data 2'!$L$2:$L$2198,MATCH(N92,'Data 2'!$A$2:$A$2198,0))</f>
        <v>-14.7033333333333</v>
      </c>
      <c r="M92" s="40" t="n">
        <f aca="false">RANK(L92,L:L)</f>
        <v>109</v>
      </c>
      <c r="N92" s="34" t="s">
        <v>125</v>
      </c>
      <c r="O92" s="39" t="n">
        <f aca="false">INDEX('Data 2'!$M$2:$M$2198,MATCH(N92,'Data 2'!$A$2:$A$2198,0))</f>
        <v>-100.21</v>
      </c>
      <c r="P92" s="41" t="n">
        <f aca="false">RANK(O92,O:O)</f>
        <v>202</v>
      </c>
      <c r="Q92" s="34" t="s">
        <v>125</v>
      </c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</row>
    <row r="93" customFormat="false" ht="15.75" hidden="false" customHeight="true" outlineLevel="0" collapsed="false"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9" t="n">
        <f aca="false">INDEX('Data 2'!$L$2:$L$2198,MATCH(N93,'Data 2'!$A$2:$A$2198,0))</f>
        <v>-43.37</v>
      </c>
      <c r="M93" s="40" t="n">
        <f aca="false">RANK(L93,L:L)</f>
        <v>141</v>
      </c>
      <c r="N93" s="34" t="s">
        <v>126</v>
      </c>
      <c r="O93" s="39" t="n">
        <f aca="false">INDEX('Data 2'!$M$2:$M$2198,MATCH(N93,'Data 2'!$A$2:$A$2198,0))</f>
        <v>16.2675</v>
      </c>
      <c r="P93" s="41" t="n">
        <f aca="false">RANK(O93,O:O)</f>
        <v>86</v>
      </c>
      <c r="Q93" s="34" t="s">
        <v>126</v>
      </c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</row>
    <row r="94" customFormat="false" ht="15.75" hidden="false" customHeight="true" outlineLevel="0" collapsed="false"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9" t="n">
        <f aca="false">INDEX('Data 2'!$L$2:$L$2198,MATCH(N94,'Data 2'!$A$2:$A$2198,0))</f>
        <v>-54.8133333333333</v>
      </c>
      <c r="M94" s="40" t="n">
        <f aca="false">RANK(L94,L:L)</f>
        <v>152</v>
      </c>
      <c r="N94" s="34" t="s">
        <v>127</v>
      </c>
      <c r="O94" s="39" t="n">
        <f aca="false">INDEX('Data 2'!$M$2:$M$2198,MATCH(N94,'Data 2'!$A$2:$A$2198,0))</f>
        <v>50.4375</v>
      </c>
      <c r="P94" s="41" t="n">
        <f aca="false">RANK(O94,O:O)</f>
        <v>58</v>
      </c>
      <c r="Q94" s="34" t="s">
        <v>127</v>
      </c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</row>
    <row r="95" customFormat="false" ht="15.75" hidden="false" customHeight="true" outlineLevel="0" collapsed="false"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9" t="n">
        <f aca="false">INDEX('Data 2'!$L$2:$L$2198,MATCH(N95,'Data 2'!$A$2:$A$2198,0))</f>
        <v>-37.3533333333333</v>
      </c>
      <c r="M95" s="40" t="n">
        <f aca="false">RANK(L95,L:L)</f>
        <v>130</v>
      </c>
      <c r="N95" s="34" t="s">
        <v>128</v>
      </c>
      <c r="O95" s="39" t="n">
        <f aca="false">INDEX('Data 2'!$M$2:$M$2198,MATCH(N95,'Data 2'!$A$2:$A$2198,0))</f>
        <v>14.06125</v>
      </c>
      <c r="P95" s="41" t="n">
        <f aca="false">RANK(O95,O:O)</f>
        <v>89</v>
      </c>
      <c r="Q95" s="34" t="s">
        <v>128</v>
      </c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</row>
    <row r="96" customFormat="false" ht="15.75" hidden="false" customHeight="true" outlineLevel="0" collapsed="false"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9" t="n">
        <f aca="false">INDEX('Data 2'!$L$2:$L$2198,MATCH(N96,'Data 2'!$A$2:$A$2198,0))</f>
        <v>71.0833333333333</v>
      </c>
      <c r="M96" s="40" t="n">
        <f aca="false">RANK(L96,L:L)</f>
        <v>39</v>
      </c>
      <c r="N96" s="34" t="s">
        <v>129</v>
      </c>
      <c r="O96" s="39" t="n">
        <f aca="false">INDEX('Data 2'!$M$2:$M$2198,MATCH(N96,'Data 2'!$A$2:$A$2198,0))</f>
        <v>147.7425</v>
      </c>
      <c r="P96" s="41" t="n">
        <f aca="false">RANK(O96,O:O)</f>
        <v>8</v>
      </c>
      <c r="Q96" s="34" t="s">
        <v>129</v>
      </c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</row>
    <row r="97" customFormat="false" ht="15.75" hidden="false" customHeight="true" outlineLevel="0" collapsed="false"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9" t="n">
        <f aca="false">INDEX('Data 2'!$L$2:$L$2198,MATCH(N97,'Data 2'!$A$2:$A$2198,0))</f>
        <v>42.7666666666667</v>
      </c>
      <c r="M97" s="40" t="n">
        <f aca="false">RANK(L97,L:L)</f>
        <v>51</v>
      </c>
      <c r="N97" s="34" t="s">
        <v>130</v>
      </c>
      <c r="O97" s="39" t="n">
        <f aca="false">INDEX('Data 2'!$M$2:$M$2198,MATCH(N97,'Data 2'!$A$2:$A$2198,0))</f>
        <v>11.0225</v>
      </c>
      <c r="P97" s="41" t="n">
        <f aca="false">RANK(O97,O:O)</f>
        <v>92</v>
      </c>
      <c r="Q97" s="34" t="s">
        <v>130</v>
      </c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</row>
    <row r="98" customFormat="false" ht="15.75" hidden="false" customHeight="true" outlineLevel="0" collapsed="false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9" t="n">
        <f aca="false">INDEX('Data 2'!$L$2:$L$2198,MATCH(N98,'Data 2'!$A$2:$A$2198,0))</f>
        <v>-43.1233333333333</v>
      </c>
      <c r="M98" s="40" t="n">
        <f aca="false">RANK(L98,L:L)</f>
        <v>139</v>
      </c>
      <c r="N98" s="34" t="s">
        <v>131</v>
      </c>
      <c r="O98" s="39" t="n">
        <f aca="false">INDEX('Data 2'!$M$2:$M$2198,MATCH(N98,'Data 2'!$A$2:$A$2198,0))</f>
        <v>51.97</v>
      </c>
      <c r="P98" s="41" t="n">
        <f aca="false">RANK(O98,O:O)</f>
        <v>57</v>
      </c>
      <c r="Q98" s="34" t="s">
        <v>131</v>
      </c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</row>
    <row r="99" customFormat="false" ht="15.75" hidden="false" customHeight="true" outlineLevel="0" collapsed="false"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9" t="n">
        <f aca="false">INDEX('Data 2'!$L$2:$L$2198,MATCH(N99,'Data 2'!$A$2:$A$2198,0))</f>
        <v>37.1933333333333</v>
      </c>
      <c r="M99" s="40" t="n">
        <f aca="false">RANK(L99,L:L)</f>
        <v>54</v>
      </c>
      <c r="N99" s="34" t="s">
        <v>132</v>
      </c>
      <c r="O99" s="39" t="n">
        <f aca="false">INDEX('Data 2'!$M$2:$M$2198,MATCH(N99,'Data 2'!$A$2:$A$2198,0))</f>
        <v>-21.66125</v>
      </c>
      <c r="P99" s="41" t="n">
        <f aca="false">RANK(O99,O:O)</f>
        <v>134</v>
      </c>
      <c r="Q99" s="34" t="s">
        <v>132</v>
      </c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</row>
    <row r="100" customFormat="false" ht="15.75" hidden="false" customHeight="true" outlineLevel="0" collapsed="false"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9" t="n">
        <f aca="false">INDEX('Data 2'!$L$2:$L$2198,MATCH(N100,'Data 2'!$A$2:$A$2198,0))</f>
        <v>49.7733333333333</v>
      </c>
      <c r="M100" s="40" t="n">
        <f aca="false">RANK(L100,L:L)</f>
        <v>49</v>
      </c>
      <c r="N100" s="34" t="s">
        <v>133</v>
      </c>
      <c r="O100" s="39" t="n">
        <f aca="false">INDEX('Data 2'!$M$2:$M$2198,MATCH(N100,'Data 2'!$A$2:$A$2198,0))</f>
        <v>-6.99375</v>
      </c>
      <c r="P100" s="41" t="n">
        <f aca="false">RANK(O100,O:O)</f>
        <v>115</v>
      </c>
      <c r="Q100" s="34" t="s">
        <v>133</v>
      </c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</row>
    <row r="101" customFormat="false" ht="15.75" hidden="false" customHeight="true" outlineLevel="0" collapsed="false"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9" t="n">
        <f aca="false">INDEX('Data 2'!$L$2:$L$2198,MATCH(N101,'Data 2'!$A$2:$A$2198,0))</f>
        <v>-113.886666666667</v>
      </c>
      <c r="M101" s="40" t="n">
        <f aca="false">RANK(L101,L:L)</f>
        <v>210</v>
      </c>
      <c r="N101" s="34" t="s">
        <v>134</v>
      </c>
      <c r="O101" s="39" t="n">
        <f aca="false">INDEX('Data 2'!$M$2:$M$2198,MATCH(N101,'Data 2'!$A$2:$A$2198,0))</f>
        <v>-97.9</v>
      </c>
      <c r="P101" s="41" t="n">
        <f aca="false">RANK(O101,O:O)</f>
        <v>199</v>
      </c>
      <c r="Q101" s="34" t="s">
        <v>134</v>
      </c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</row>
    <row r="102" customFormat="false" ht="15.75" hidden="false" customHeight="true" outlineLevel="0" collapsed="false"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9" t="n">
        <f aca="false">INDEX('Data 2'!$L$2:$L$2198,MATCH(N102,'Data 2'!$A$2:$A$2198,0))</f>
        <v>-0.933333333333335</v>
      </c>
      <c r="M102" s="40" t="n">
        <f aca="false">RANK(L102,L:L)</f>
        <v>95</v>
      </c>
      <c r="N102" s="34" t="s">
        <v>135</v>
      </c>
      <c r="O102" s="39" t="n">
        <f aca="false">INDEX('Data 2'!$M$2:$M$2198,MATCH(N102,'Data 2'!$A$2:$A$2198,0))</f>
        <v>-62.1075</v>
      </c>
      <c r="P102" s="41" t="n">
        <f aca="false">RANK(O102,O:O)</f>
        <v>176</v>
      </c>
      <c r="Q102" s="34" t="s">
        <v>135</v>
      </c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</row>
    <row r="103" customFormat="false" ht="15.75" hidden="false" customHeight="true" outlineLevel="0" collapsed="false"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9" t="n">
        <f aca="false">INDEX('Data 2'!$L$2:$L$2198,MATCH(N103,'Data 2'!$A$2:$A$2198,0))</f>
        <v>-17.21</v>
      </c>
      <c r="M103" s="40" t="n">
        <f aca="false">RANK(L103,L:L)</f>
        <v>111</v>
      </c>
      <c r="N103" s="34" t="s">
        <v>136</v>
      </c>
      <c r="O103" s="39" t="n">
        <f aca="false">INDEX('Data 2'!$M$2:$M$2198,MATCH(N103,'Data 2'!$A$2:$A$2198,0))</f>
        <v>-20.43125</v>
      </c>
      <c r="P103" s="41" t="n">
        <f aca="false">RANK(O103,O:O)</f>
        <v>131</v>
      </c>
      <c r="Q103" s="34" t="s">
        <v>136</v>
      </c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</row>
    <row r="104" customFormat="false" ht="15.75" hidden="false" customHeight="true" outlineLevel="0" collapsed="false"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9" t="n">
        <f aca="false">INDEX('Data 2'!$L$2:$L$2198,MATCH(N104,'Data 2'!$A$2:$A$2198,0))</f>
        <v>76.8033333333333</v>
      </c>
      <c r="M104" s="40" t="n">
        <f aca="false">RANK(L104,L:L)</f>
        <v>37</v>
      </c>
      <c r="N104" s="34" t="s">
        <v>137</v>
      </c>
      <c r="O104" s="39" t="n">
        <f aca="false">INDEX('Data 2'!$M$2:$M$2198,MATCH(N104,'Data 2'!$A$2:$A$2198,0))</f>
        <v>153.40375</v>
      </c>
      <c r="P104" s="41" t="n">
        <f aca="false">RANK(O104,O:O)</f>
        <v>6</v>
      </c>
      <c r="Q104" s="34" t="s">
        <v>137</v>
      </c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</row>
    <row r="105" customFormat="false" ht="15.75" hidden="false" customHeight="true" outlineLevel="0" collapsed="false"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9" t="n">
        <f aca="false">INDEX('Data 2'!$L$2:$L$2198,MATCH(N105,'Data 2'!$A$2:$A$2198,0))</f>
        <v>80.2633333333333</v>
      </c>
      <c r="M105" s="40" t="n">
        <f aca="false">RANK(L105,L:L)</f>
        <v>32</v>
      </c>
      <c r="N105" s="34" t="s">
        <v>138</v>
      </c>
      <c r="O105" s="39" t="n">
        <f aca="false">INDEX('Data 2'!$M$2:$M$2198,MATCH(N105,'Data 2'!$A$2:$A$2198,0))</f>
        <v>107.23375</v>
      </c>
      <c r="P105" s="41" t="n">
        <f aca="false">RANK(O105,O:O)</f>
        <v>22</v>
      </c>
      <c r="Q105" s="34" t="s">
        <v>138</v>
      </c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</row>
    <row r="106" customFormat="false" ht="15.75" hidden="false" customHeight="true" outlineLevel="0" collapsed="false"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9" t="n">
        <f aca="false">INDEX('Data 2'!$L$2:$L$2198,MATCH(N106,'Data 2'!$A$2:$A$2198,0))</f>
        <v>-42.98</v>
      </c>
      <c r="M106" s="40" t="n">
        <f aca="false">RANK(L106,L:L)</f>
        <v>138</v>
      </c>
      <c r="N106" s="34" t="s">
        <v>139</v>
      </c>
      <c r="O106" s="39" t="n">
        <f aca="false">INDEX('Data 2'!$M$2:$M$2198,MATCH(N106,'Data 2'!$A$2:$A$2198,0))</f>
        <v>115.09875</v>
      </c>
      <c r="P106" s="41" t="n">
        <f aca="false">RANK(O106,O:O)</f>
        <v>19</v>
      </c>
      <c r="Q106" s="34" t="s">
        <v>139</v>
      </c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</row>
    <row r="107" customFormat="false" ht="15.75" hidden="false" customHeight="true" outlineLevel="0" collapsed="false"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9" t="n">
        <f aca="false">INDEX('Data 2'!$L$2:$L$2198,MATCH(N107,'Data 2'!$A$2:$A$2198,0))</f>
        <v>51.87</v>
      </c>
      <c r="M107" s="40" t="n">
        <f aca="false">RANK(L107,L:L)</f>
        <v>47</v>
      </c>
      <c r="N107" s="34" t="s">
        <v>140</v>
      </c>
      <c r="O107" s="39" t="n">
        <f aca="false">INDEX('Data 2'!$M$2:$M$2198,MATCH(N107,'Data 2'!$A$2:$A$2198,0))</f>
        <v>6.04</v>
      </c>
      <c r="P107" s="41" t="n">
        <f aca="false">RANK(O107,O:O)</f>
        <v>98</v>
      </c>
      <c r="Q107" s="34" t="s">
        <v>140</v>
      </c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</row>
    <row r="108" customFormat="false" ht="15.75" hidden="false" customHeight="true" outlineLevel="0" collapsed="false"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9" t="n">
        <f aca="false">INDEX('Data 2'!$L$2:$L$2198,MATCH(N108,'Data 2'!$A$2:$A$2198,0))</f>
        <v>-45.04</v>
      </c>
      <c r="M108" s="40" t="n">
        <f aca="false">RANK(L108,L:L)</f>
        <v>143</v>
      </c>
      <c r="N108" s="34" t="s">
        <v>141</v>
      </c>
      <c r="O108" s="39" t="n">
        <f aca="false">INDEX('Data 2'!$M$2:$M$2198,MATCH(N108,'Data 2'!$A$2:$A$2198,0))</f>
        <v>47.615</v>
      </c>
      <c r="P108" s="41" t="n">
        <f aca="false">RANK(O108,O:O)</f>
        <v>63</v>
      </c>
      <c r="Q108" s="34" t="s">
        <v>141</v>
      </c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</row>
    <row r="109" customFormat="false" ht="15.75" hidden="false" customHeight="true" outlineLevel="0" collapsed="false"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9" t="n">
        <f aca="false">INDEX('Data 2'!$L$2:$L$2198,MATCH(N109,'Data 2'!$A$2:$A$2198,0))</f>
        <v>89.1066666666667</v>
      </c>
      <c r="M109" s="40" t="n">
        <f aca="false">RANK(L109,L:L)</f>
        <v>22</v>
      </c>
      <c r="N109" s="34" t="s">
        <v>142</v>
      </c>
      <c r="O109" s="39" t="n">
        <f aca="false">INDEX('Data 2'!$M$2:$M$2198,MATCH(N109,'Data 2'!$A$2:$A$2198,0))</f>
        <v>109.275</v>
      </c>
      <c r="P109" s="41" t="n">
        <f aca="false">RANK(O109,O:O)</f>
        <v>21</v>
      </c>
      <c r="Q109" s="34" t="s">
        <v>142</v>
      </c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</row>
    <row r="110" customFormat="false" ht="15.75" hidden="false" customHeight="true" outlineLevel="0" collapsed="false"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9" t="n">
        <f aca="false">INDEX('Data 2'!$L$2:$L$2198,MATCH(N110,'Data 2'!$A$2:$A$2198,0))</f>
        <v>-95.64</v>
      </c>
      <c r="M110" s="40" t="n">
        <f aca="false">RANK(L110,L:L)</f>
        <v>195</v>
      </c>
      <c r="N110" s="34" t="s">
        <v>143</v>
      </c>
      <c r="O110" s="39" t="n">
        <f aca="false">INDEX('Data 2'!$M$2:$M$2198,MATCH(N110,'Data 2'!$A$2:$A$2198,0))</f>
        <v>-29.11625</v>
      </c>
      <c r="P110" s="41" t="n">
        <f aca="false">RANK(O110,O:O)</f>
        <v>143</v>
      </c>
      <c r="Q110" s="34" t="s">
        <v>143</v>
      </c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</row>
    <row r="111" customFormat="false" ht="15.75" hidden="false" customHeight="true" outlineLevel="0" collapsed="false"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9" t="n">
        <f aca="false">INDEX('Data 2'!$L$2:$L$2198,MATCH(N111,'Data 2'!$A$2:$A$2198,0))</f>
        <v>57.1933333333333</v>
      </c>
      <c r="M111" s="40" t="n">
        <f aca="false">RANK(L111,L:L)</f>
        <v>46</v>
      </c>
      <c r="N111" s="34" t="s">
        <v>144</v>
      </c>
      <c r="O111" s="39" t="n">
        <f aca="false">INDEX('Data 2'!$M$2:$M$2198,MATCH(N111,'Data 2'!$A$2:$A$2198,0))</f>
        <v>105.1825</v>
      </c>
      <c r="P111" s="41" t="n">
        <f aca="false">RANK(O111,O:O)</f>
        <v>23</v>
      </c>
      <c r="Q111" s="34" t="s">
        <v>144</v>
      </c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</row>
    <row r="112" customFormat="false" ht="15.75" hidden="false" customHeight="true" outlineLevel="0" collapsed="false"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9" t="n">
        <f aca="false">INDEX('Data 2'!$L$2:$L$2198,MATCH(N112,'Data 2'!$A$2:$A$2198,0))</f>
        <v>-114.863333333333</v>
      </c>
      <c r="M112" s="40" t="n">
        <f aca="false">RANK(L112,L:L)</f>
        <v>211</v>
      </c>
      <c r="N112" s="34" t="s">
        <v>145</v>
      </c>
      <c r="O112" s="39" t="n">
        <f aca="false">INDEX('Data 2'!$M$2:$M$2198,MATCH(N112,'Data 2'!$A$2:$A$2198,0))</f>
        <v>-129.15875</v>
      </c>
      <c r="P112" s="41" t="n">
        <f aca="false">RANK(O112,O:O)</f>
        <v>213</v>
      </c>
      <c r="Q112" s="34" t="s">
        <v>145</v>
      </c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</row>
    <row r="113" customFormat="false" ht="15.75" hidden="false" customHeight="true" outlineLevel="0" collapsed="false"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9" t="n">
        <f aca="false">INDEX('Data 2'!$L$2:$L$2198,MATCH(N113,'Data 2'!$A$2:$A$2198,0))</f>
        <v>64.1</v>
      </c>
      <c r="M113" s="40" t="n">
        <f aca="false">RANK(L113,L:L)</f>
        <v>41</v>
      </c>
      <c r="N113" s="34" t="s">
        <v>146</v>
      </c>
      <c r="O113" s="39" t="n">
        <f aca="false">INDEX('Data 2'!$M$2:$M$2198,MATCH(N113,'Data 2'!$A$2:$A$2198,0))</f>
        <v>37.375</v>
      </c>
      <c r="P113" s="41" t="n">
        <f aca="false">RANK(O113,O:O)</f>
        <v>71</v>
      </c>
      <c r="Q113" s="34" t="s">
        <v>146</v>
      </c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</row>
    <row r="114" customFormat="false" ht="15.75" hidden="false" customHeight="true" outlineLevel="0" collapsed="false"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9" t="n">
        <f aca="false">INDEX('Data 2'!$L$2:$L$2198,MATCH(N114,'Data 2'!$A$2:$A$2198,0))</f>
        <v>2.83333333333333</v>
      </c>
      <c r="M114" s="40" t="n">
        <f aca="false">RANK(L114,L:L)</f>
        <v>90</v>
      </c>
      <c r="N114" s="34" t="s">
        <v>147</v>
      </c>
      <c r="O114" s="39" t="n">
        <f aca="false">INDEX('Data 2'!$M$2:$M$2198,MATCH(N114,'Data 2'!$A$2:$A$2198,0))</f>
        <v>1.0425</v>
      </c>
      <c r="P114" s="41" t="n">
        <f aca="false">RANK(O114,O:O)</f>
        <v>101</v>
      </c>
      <c r="Q114" s="34" t="s">
        <v>147</v>
      </c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</row>
    <row r="115" customFormat="false" ht="15.75" hidden="false" customHeight="true" outlineLevel="0" collapsed="false"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9" t="n">
        <f aca="false">INDEX('Data 2'!$L$2:$L$2198,MATCH(N115,'Data 2'!$A$2:$A$2198,0))</f>
        <v>69.39</v>
      </c>
      <c r="M115" s="40" t="n">
        <f aca="false">RANK(L115,L:L)</f>
        <v>40</v>
      </c>
      <c r="N115" s="34" t="s">
        <v>148</v>
      </c>
      <c r="O115" s="39" t="n">
        <f aca="false">INDEX('Data 2'!$M$2:$M$2198,MATCH(N115,'Data 2'!$A$2:$A$2198,0))</f>
        <v>9.4825</v>
      </c>
      <c r="P115" s="41" t="n">
        <f aca="false">RANK(O115,O:O)</f>
        <v>93</v>
      </c>
      <c r="Q115" s="34" t="s">
        <v>148</v>
      </c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</row>
    <row r="116" customFormat="false" ht="15.75" hidden="false" customHeight="true" outlineLevel="0" collapsed="false"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9" t="n">
        <f aca="false">INDEX('Data 2'!$L$2:$L$2198,MATCH(N116,'Data 2'!$A$2:$A$2198,0))</f>
        <v>100.756666666667</v>
      </c>
      <c r="M116" s="40" t="n">
        <f aca="false">RANK(L116,L:L)</f>
        <v>12</v>
      </c>
      <c r="N116" s="34" t="s">
        <v>149</v>
      </c>
      <c r="O116" s="39" t="n">
        <f aca="false">INDEX('Data 2'!$M$2:$M$2198,MATCH(N116,'Data 2'!$A$2:$A$2198,0))</f>
        <v>21.885</v>
      </c>
      <c r="P116" s="41" t="n">
        <f aca="false">RANK(O116,O:O)</f>
        <v>82</v>
      </c>
      <c r="Q116" s="34" t="s">
        <v>149</v>
      </c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</row>
    <row r="117" customFormat="false" ht="15.75" hidden="false" customHeight="true" outlineLevel="0" collapsed="false"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9" t="n">
        <f aca="false">INDEX('Data 2'!$L$2:$L$2198,MATCH(N117,'Data 2'!$A$2:$A$2198,0))</f>
        <v>9.21333333333333</v>
      </c>
      <c r="M117" s="40" t="n">
        <f aca="false">RANK(L117,L:L)</f>
        <v>83</v>
      </c>
      <c r="N117" s="34" t="s">
        <v>150</v>
      </c>
      <c r="O117" s="39" t="n">
        <f aca="false">INDEX('Data 2'!$M$2:$M$2198,MATCH(N117,'Data 2'!$A$2:$A$2198,0))</f>
        <v>74.71125</v>
      </c>
      <c r="P117" s="41" t="n">
        <f aca="false">RANK(O117,O:O)</f>
        <v>42</v>
      </c>
      <c r="Q117" s="34" t="s">
        <v>150</v>
      </c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</row>
    <row r="118" customFormat="false" ht="15.75" hidden="false" customHeight="true" outlineLevel="0" collapsed="false"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9" t="n">
        <f aca="false">INDEX('Data 2'!$L$2:$L$2198,MATCH(N118,'Data 2'!$A$2:$A$2198,0))</f>
        <v>86.2033333333333</v>
      </c>
      <c r="M118" s="40" t="n">
        <f aca="false">RANK(L118,L:L)</f>
        <v>24</v>
      </c>
      <c r="N118" s="34" t="s">
        <v>151</v>
      </c>
      <c r="O118" s="39" t="n">
        <f aca="false">INDEX('Data 2'!$M$2:$M$2198,MATCH(N118,'Data 2'!$A$2:$A$2198,0))</f>
        <v>35.47</v>
      </c>
      <c r="P118" s="41" t="n">
        <f aca="false">RANK(O118,O:O)</f>
        <v>75</v>
      </c>
      <c r="Q118" s="34" t="s">
        <v>151</v>
      </c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</row>
    <row r="119" customFormat="false" ht="15.75" hidden="false" customHeight="true" outlineLevel="0" collapsed="false"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9" t="n">
        <f aca="false">INDEX('Data 2'!$L$2:$L$2198,MATCH(N119,'Data 2'!$A$2:$A$2198,0))</f>
        <v>-31.75</v>
      </c>
      <c r="M119" s="40" t="n">
        <f aca="false">RANK(L119,L:L)</f>
        <v>123</v>
      </c>
      <c r="N119" s="34" t="s">
        <v>152</v>
      </c>
      <c r="O119" s="39" t="n">
        <f aca="false">INDEX('Data 2'!$M$2:$M$2198,MATCH(N119,'Data 2'!$A$2:$A$2198,0))</f>
        <v>-62.4425</v>
      </c>
      <c r="P119" s="41" t="n">
        <f aca="false">RANK(O119,O:O)</f>
        <v>177</v>
      </c>
      <c r="Q119" s="34" t="s">
        <v>152</v>
      </c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</row>
    <row r="120" customFormat="false" ht="15.75" hidden="false" customHeight="true" outlineLevel="0" collapsed="false"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9" t="n">
        <f aca="false">INDEX('Data 2'!$L$2:$L$2198,MATCH(N120,'Data 2'!$A$2:$A$2198,0))</f>
        <v>6.94</v>
      </c>
      <c r="M120" s="40" t="n">
        <f aca="false">RANK(L120,L:L)</f>
        <v>87</v>
      </c>
      <c r="N120" s="34" t="s">
        <v>153</v>
      </c>
      <c r="O120" s="39" t="n">
        <f aca="false">INDEX('Data 2'!$M$2:$M$2198,MATCH(N120,'Data 2'!$A$2:$A$2198,0))</f>
        <v>8.3325</v>
      </c>
      <c r="P120" s="41" t="n">
        <f aca="false">RANK(O120,O:O)</f>
        <v>94</v>
      </c>
      <c r="Q120" s="34" t="s">
        <v>153</v>
      </c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</row>
    <row r="121" customFormat="false" ht="15.75" hidden="false" customHeight="true" outlineLevel="0" collapsed="false"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9" t="n">
        <f aca="false">INDEX('Data 2'!$L$2:$L$2198,MATCH(N121,'Data 2'!$A$2:$A$2198,0))</f>
        <v>-94.6633333333333</v>
      </c>
      <c r="M121" s="40" t="n">
        <f aca="false">RANK(L121,L:L)</f>
        <v>193</v>
      </c>
      <c r="N121" s="34" t="s">
        <v>154</v>
      </c>
      <c r="O121" s="39" t="n">
        <f aca="false">INDEX('Data 2'!$M$2:$M$2198,MATCH(N121,'Data 2'!$A$2:$A$2198,0))</f>
        <v>-94.76625</v>
      </c>
      <c r="P121" s="41" t="n">
        <f aca="false">RANK(O121,O:O)</f>
        <v>197</v>
      </c>
      <c r="Q121" s="34" t="s">
        <v>154</v>
      </c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</row>
    <row r="122" customFormat="false" ht="15.75" hidden="false" customHeight="true" outlineLevel="0" collapsed="false"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9" t="n">
        <f aca="false">INDEX('Data 2'!$L$2:$L$2198,MATCH(N122,'Data 2'!$A$2:$A$2198,0))</f>
        <v>-63.4633333333333</v>
      </c>
      <c r="M122" s="40" t="n">
        <f aca="false">RANK(L122,L:L)</f>
        <v>164</v>
      </c>
      <c r="N122" s="34" t="s">
        <v>155</v>
      </c>
      <c r="O122" s="39" t="n">
        <f aca="false">INDEX('Data 2'!$M$2:$M$2198,MATCH(N122,'Data 2'!$A$2:$A$2198,0))</f>
        <v>-55.61125</v>
      </c>
      <c r="P122" s="41" t="n">
        <f aca="false">RANK(O122,O:O)</f>
        <v>169</v>
      </c>
      <c r="Q122" s="34" t="s">
        <v>155</v>
      </c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</row>
    <row r="123" customFormat="false" ht="15.75" hidden="false" customHeight="true" outlineLevel="0" collapsed="false"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9" t="n">
        <f aca="false">INDEX('Data 2'!$L$2:$L$2198,MATCH(N123,'Data 2'!$A$2:$A$2198,0))</f>
        <v>92.8766666666667</v>
      </c>
      <c r="M123" s="40" t="n">
        <f aca="false">RANK(L123,L:L)</f>
        <v>19</v>
      </c>
      <c r="N123" s="34" t="s">
        <v>156</v>
      </c>
      <c r="O123" s="39" t="n">
        <f aca="false">INDEX('Data 2'!$M$2:$M$2198,MATCH(N123,'Data 2'!$A$2:$A$2198,0))</f>
        <v>103.41375</v>
      </c>
      <c r="P123" s="41" t="n">
        <f aca="false">RANK(O123,O:O)</f>
        <v>24</v>
      </c>
      <c r="Q123" s="34" t="s">
        <v>156</v>
      </c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</row>
    <row r="124" customFormat="false" ht="15.75" hidden="false" customHeight="true" outlineLevel="0" collapsed="false"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9" t="n">
        <f aca="false">INDEX('Data 2'!$L$2:$L$2198,MATCH(N124,'Data 2'!$A$2:$A$2198,0))</f>
        <v>-60.99</v>
      </c>
      <c r="M124" s="40" t="n">
        <f aca="false">RANK(L124,L:L)</f>
        <v>159</v>
      </c>
      <c r="N124" s="34" t="s">
        <v>157</v>
      </c>
      <c r="O124" s="39" t="n">
        <f aca="false">INDEX('Data 2'!$M$2:$M$2198,MATCH(N124,'Data 2'!$A$2:$A$2198,0))</f>
        <v>-76.92875</v>
      </c>
      <c r="P124" s="41" t="n">
        <f aca="false">RANK(O124,O:O)</f>
        <v>190</v>
      </c>
      <c r="Q124" s="34" t="s">
        <v>157</v>
      </c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</row>
    <row r="125" customFormat="false" ht="15.75" hidden="false" customHeight="true" outlineLevel="0" collapsed="false"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9" t="n">
        <f aca="false">INDEX('Data 2'!$L$2:$L$2198,MATCH(N125,'Data 2'!$A$2:$A$2198,0))</f>
        <v>78.3733333333333</v>
      </c>
      <c r="M125" s="40" t="n">
        <f aca="false">RANK(L125,L:L)</f>
        <v>34</v>
      </c>
      <c r="N125" s="34" t="s">
        <v>158</v>
      </c>
      <c r="O125" s="39" t="n">
        <f aca="false">INDEX('Data 2'!$M$2:$M$2198,MATCH(N125,'Data 2'!$A$2:$A$2198,0))</f>
        <v>232.9675</v>
      </c>
      <c r="P125" s="41" t="n">
        <f aca="false">RANK(O125,O:O)</f>
        <v>1</v>
      </c>
      <c r="Q125" s="34" t="s">
        <v>158</v>
      </c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</row>
    <row r="126" customFormat="false" ht="15.75" hidden="false" customHeight="true" outlineLevel="0" collapsed="false"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9" t="n">
        <f aca="false">INDEX('Data 2'!$L$2:$L$2198,MATCH(N126,'Data 2'!$A$2:$A$2198,0))</f>
        <v>-78.66</v>
      </c>
      <c r="M126" s="40" t="n">
        <f aca="false">RANK(L126,L:L)</f>
        <v>179</v>
      </c>
      <c r="N126" s="34" t="s">
        <v>159</v>
      </c>
      <c r="O126" s="39" t="n">
        <f aca="false">INDEX('Data 2'!$M$2:$M$2198,MATCH(N126,'Data 2'!$A$2:$A$2198,0))</f>
        <v>13.455</v>
      </c>
      <c r="P126" s="41" t="n">
        <f aca="false">RANK(O126,O:O)</f>
        <v>90</v>
      </c>
      <c r="Q126" s="34" t="s">
        <v>159</v>
      </c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</row>
    <row r="127" customFormat="false" ht="15.75" hidden="false" customHeight="true" outlineLevel="0" collapsed="false"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9" t="n">
        <f aca="false">INDEX('Data 2'!$L$2:$L$2198,MATCH(N127,'Data 2'!$A$2:$A$2198,0))</f>
        <v>-14.9533333333333</v>
      </c>
      <c r="M127" s="40" t="n">
        <f aca="false">RANK(L127,L:L)</f>
        <v>110</v>
      </c>
      <c r="N127" s="34" t="s">
        <v>160</v>
      </c>
      <c r="O127" s="39" t="n">
        <f aca="false">INDEX('Data 2'!$M$2:$M$2198,MATCH(N127,'Data 2'!$A$2:$A$2198,0))</f>
        <v>-24.78625</v>
      </c>
      <c r="P127" s="41" t="n">
        <f aca="false">RANK(O127,O:O)</f>
        <v>137</v>
      </c>
      <c r="Q127" s="34" t="s">
        <v>160</v>
      </c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</row>
    <row r="128" customFormat="false" ht="15.75" hidden="false" customHeight="true" outlineLevel="0" collapsed="false"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9" t="n">
        <f aca="false">INDEX('Data 2'!$L$2:$L$2198,MATCH(N128,'Data 2'!$A$2:$A$2198,0))</f>
        <v>-103.4</v>
      </c>
      <c r="M128" s="40" t="n">
        <f aca="false">RANK(L128,L:L)</f>
        <v>204</v>
      </c>
      <c r="N128" s="34" t="s">
        <v>161</v>
      </c>
      <c r="O128" s="39" t="n">
        <f aca="false">INDEX('Data 2'!$M$2:$M$2198,MATCH(N128,'Data 2'!$A$2:$A$2198,0))</f>
        <v>-110.97875</v>
      </c>
      <c r="P128" s="41" t="n">
        <f aca="false">RANK(O128,O:O)</f>
        <v>208</v>
      </c>
      <c r="Q128" s="34" t="s">
        <v>161</v>
      </c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</row>
    <row r="129" customFormat="false" ht="15.75" hidden="false" customHeight="true" outlineLevel="0" collapsed="false"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9" t="n">
        <f aca="false">INDEX('Data 2'!$L$2:$L$2198,MATCH(N129,'Data 2'!$A$2:$A$2198,0))</f>
        <v>-11.3766666666667</v>
      </c>
      <c r="M129" s="40" t="n">
        <f aca="false">RANK(L129,L:L)</f>
        <v>107</v>
      </c>
      <c r="N129" s="34" t="s">
        <v>162</v>
      </c>
      <c r="O129" s="39" t="n">
        <f aca="false">INDEX('Data 2'!$M$2:$M$2198,MATCH(N129,'Data 2'!$A$2:$A$2198,0))</f>
        <v>-4.32375</v>
      </c>
      <c r="P129" s="41" t="n">
        <f aca="false">RANK(O129,O:O)</f>
        <v>106</v>
      </c>
      <c r="Q129" s="34" t="s">
        <v>162</v>
      </c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</row>
    <row r="130" customFormat="false" ht="15.75" hidden="false" customHeight="true" outlineLevel="0" collapsed="false"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9" t="n">
        <f aca="false">INDEX('Data 2'!$L$2:$L$2198,MATCH(N130,'Data 2'!$A$2:$A$2198,0))</f>
        <v>77.0066666666667</v>
      </c>
      <c r="M130" s="40" t="n">
        <f aca="false">RANK(L130,L:L)</f>
        <v>35</v>
      </c>
      <c r="N130" s="34" t="s">
        <v>163</v>
      </c>
      <c r="O130" s="39" t="n">
        <f aca="false">INDEX('Data 2'!$M$2:$M$2198,MATCH(N130,'Data 2'!$A$2:$A$2198,0))</f>
        <v>-19.0025</v>
      </c>
      <c r="P130" s="41" t="n">
        <f aca="false">RANK(O130,O:O)</f>
        <v>130</v>
      </c>
      <c r="Q130" s="34" t="s">
        <v>163</v>
      </c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</row>
    <row r="131" customFormat="false" ht="15.75" hidden="false" customHeight="true" outlineLevel="0" collapsed="false"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9" t="n">
        <f aca="false">INDEX('Data 2'!$L$2:$L$2198,MATCH(N131,'Data 2'!$A$2:$A$2198,0))</f>
        <v>-125.086666666667</v>
      </c>
      <c r="M131" s="40" t="n">
        <f aca="false">RANK(L131,L:L)</f>
        <v>214</v>
      </c>
      <c r="N131" s="34" t="s">
        <v>164</v>
      </c>
      <c r="O131" s="39" t="n">
        <f aca="false">INDEX('Data 2'!$M$2:$M$2198,MATCH(N131,'Data 2'!$A$2:$A$2198,0))</f>
        <v>-114.465</v>
      </c>
      <c r="P131" s="41" t="n">
        <f aca="false">RANK(O131,O:O)</f>
        <v>212</v>
      </c>
      <c r="Q131" s="34" t="s">
        <v>164</v>
      </c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</row>
    <row r="132" customFormat="false" ht="15.75" hidden="false" customHeight="true" outlineLevel="0" collapsed="false"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9" t="n">
        <f aca="false">INDEX('Data 2'!$L$2:$L$2198,MATCH(N132,'Data 2'!$A$2:$A$2198,0))</f>
        <v>35.1866666666667</v>
      </c>
      <c r="M132" s="40" t="n">
        <f aca="false">RANK(L132,L:L)</f>
        <v>55</v>
      </c>
      <c r="N132" s="34" t="s">
        <v>165</v>
      </c>
      <c r="O132" s="39" t="n">
        <f aca="false">INDEX('Data 2'!$M$2:$M$2198,MATCH(N132,'Data 2'!$A$2:$A$2198,0))</f>
        <v>-31.80375</v>
      </c>
      <c r="P132" s="41" t="n">
        <f aca="false">RANK(O132,O:O)</f>
        <v>147</v>
      </c>
      <c r="Q132" s="34" t="s">
        <v>165</v>
      </c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</row>
    <row r="133" customFormat="false" ht="15.75" hidden="false" customHeight="true" outlineLevel="0" collapsed="false"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9" t="n">
        <f aca="false">INDEX('Data 2'!$L$2:$L$2198,MATCH(N133,'Data 2'!$A$2:$A$2198,0))</f>
        <v>-55.7866666666667</v>
      </c>
      <c r="M133" s="40" t="n">
        <f aca="false">RANK(L133,L:L)</f>
        <v>153</v>
      </c>
      <c r="N133" s="34" t="s">
        <v>166</v>
      </c>
      <c r="O133" s="39" t="n">
        <f aca="false">INDEX('Data 2'!$M$2:$M$2198,MATCH(N133,'Data 2'!$A$2:$A$2198,0))</f>
        <v>-61.745</v>
      </c>
      <c r="P133" s="41" t="n">
        <f aca="false">RANK(O133,O:O)</f>
        <v>174</v>
      </c>
      <c r="Q133" s="34" t="s">
        <v>166</v>
      </c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</row>
    <row r="134" customFormat="false" ht="15.75" hidden="false" customHeight="true" outlineLevel="0" collapsed="false"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9" t="n">
        <f aca="false">INDEX('Data 2'!$L$2:$L$2198,MATCH(N134,'Data 2'!$A$2:$A$2198,0))</f>
        <v>-83.95</v>
      </c>
      <c r="M134" s="40" t="n">
        <f aca="false">RANK(L134,L:L)</f>
        <v>185</v>
      </c>
      <c r="N134" s="34" t="s">
        <v>167</v>
      </c>
      <c r="O134" s="39" t="n">
        <f aca="false">INDEX('Data 2'!$M$2:$M$2198,MATCH(N134,'Data 2'!$A$2:$A$2198,0))</f>
        <v>-70.52125</v>
      </c>
      <c r="P134" s="41" t="n">
        <f aca="false">RANK(O134,O:O)</f>
        <v>181</v>
      </c>
      <c r="Q134" s="34" t="s">
        <v>167</v>
      </c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</row>
    <row r="135" customFormat="false" ht="15.75" hidden="false" customHeight="true" outlineLevel="0" collapsed="false"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9" t="n">
        <f aca="false">INDEX('Data 2'!$L$2:$L$2198,MATCH(N135,'Data 2'!$A$2:$A$2198,0))</f>
        <v>-2.94666666666667</v>
      </c>
      <c r="M135" s="40" t="n">
        <f aca="false">RANK(L135,L:L)</f>
        <v>97</v>
      </c>
      <c r="N135" s="34" t="s">
        <v>168</v>
      </c>
      <c r="O135" s="39" t="n">
        <f aca="false">INDEX('Data 2'!$M$2:$M$2198,MATCH(N135,'Data 2'!$A$2:$A$2198,0))</f>
        <v>-61.92875</v>
      </c>
      <c r="P135" s="41" t="n">
        <f aca="false">RANK(O135,O:O)</f>
        <v>175</v>
      </c>
      <c r="Q135" s="34" t="s">
        <v>168</v>
      </c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</row>
    <row r="136" customFormat="false" ht="15.75" hidden="false" customHeight="true" outlineLevel="0" collapsed="false"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9" t="n">
        <f aca="false">INDEX('Data 2'!$L$2:$L$2198,MATCH(N136,'Data 2'!$A$2:$A$2198,0))</f>
        <v>-78.8333333333333</v>
      </c>
      <c r="M136" s="40" t="n">
        <f aca="false">RANK(L136,L:L)</f>
        <v>180</v>
      </c>
      <c r="N136" s="34" t="s">
        <v>169</v>
      </c>
      <c r="O136" s="39" t="n">
        <f aca="false">INDEX('Data 2'!$M$2:$M$2198,MATCH(N136,'Data 2'!$A$2:$A$2198,0))</f>
        <v>-13.07875</v>
      </c>
      <c r="P136" s="41" t="n">
        <f aca="false">RANK(O136,O:O)</f>
        <v>122</v>
      </c>
      <c r="Q136" s="34" t="s">
        <v>169</v>
      </c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</row>
    <row r="137" customFormat="false" ht="15.75" hidden="false" customHeight="true" outlineLevel="0" collapsed="false"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9" t="n">
        <f aca="false">INDEX('Data 2'!$L$2:$L$2198,MATCH(N137,'Data 2'!$A$2:$A$2198,0))</f>
        <v>-43.3633333333333</v>
      </c>
      <c r="M137" s="40" t="n">
        <f aca="false">RANK(L137,L:L)</f>
        <v>140</v>
      </c>
      <c r="N137" s="34" t="s">
        <v>170</v>
      </c>
      <c r="O137" s="39" t="n">
        <f aca="false">INDEX('Data 2'!$M$2:$M$2198,MATCH(N137,'Data 2'!$A$2:$A$2198,0))</f>
        <v>-9.286125</v>
      </c>
      <c r="P137" s="41" t="n">
        <f aca="false">RANK(O137,O:O)</f>
        <v>118</v>
      </c>
      <c r="Q137" s="34" t="s">
        <v>170</v>
      </c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</row>
    <row r="138" customFormat="false" ht="15.75" hidden="false" customHeight="true" outlineLevel="0" collapsed="false"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9" t="n">
        <f aca="false">INDEX('Data 2'!$L$2:$L$2198,MATCH(N138,'Data 2'!$A$2:$A$2198,0))</f>
        <v>-101.27</v>
      </c>
      <c r="M138" s="40" t="n">
        <f aca="false">RANK(L138,L:L)</f>
        <v>203</v>
      </c>
      <c r="N138" s="34" t="s">
        <v>171</v>
      </c>
      <c r="O138" s="39" t="n">
        <f aca="false">INDEX('Data 2'!$M$2:$M$2198,MATCH(N138,'Data 2'!$A$2:$A$2198,0))</f>
        <v>-52.91125</v>
      </c>
      <c r="P138" s="41" t="n">
        <f aca="false">RANK(O138,O:O)</f>
        <v>166</v>
      </c>
      <c r="Q138" s="34" t="s">
        <v>171</v>
      </c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</row>
    <row r="139" customFormat="false" ht="15.75" hidden="false" customHeight="true" outlineLevel="0" collapsed="false"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9" t="n">
        <f aca="false">INDEX('Data 2'!$L$2:$L$2198,MATCH(N139,'Data 2'!$A$2:$A$2198,0))</f>
        <v>-42.39</v>
      </c>
      <c r="M139" s="40" t="n">
        <f aca="false">RANK(L139,L:L)</f>
        <v>137</v>
      </c>
      <c r="N139" s="34" t="s">
        <v>172</v>
      </c>
      <c r="O139" s="39" t="n">
        <f aca="false">INDEX('Data 2'!$M$2:$M$2198,MATCH(N139,'Data 2'!$A$2:$A$2198,0))</f>
        <v>-84.63125</v>
      </c>
      <c r="P139" s="41" t="n">
        <f aca="false">RANK(O139,O:O)</f>
        <v>193</v>
      </c>
      <c r="Q139" s="34" t="s">
        <v>172</v>
      </c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</row>
    <row r="140" customFormat="false" ht="15.75" hidden="false" customHeight="true" outlineLevel="0" collapsed="false"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9" t="n">
        <f aca="false">INDEX('Data 2'!$L$2:$L$2198,MATCH(N140,'Data 2'!$A$2:$A$2198,0))</f>
        <v>38.0766666666667</v>
      </c>
      <c r="M140" s="40" t="n">
        <f aca="false">RANK(L140,L:L)</f>
        <v>53</v>
      </c>
      <c r="N140" s="34" t="s">
        <v>173</v>
      </c>
      <c r="O140" s="39" t="n">
        <f aca="false">INDEX('Data 2'!$M$2:$M$2198,MATCH(N140,'Data 2'!$A$2:$A$2198,0))</f>
        <v>91.0825</v>
      </c>
      <c r="P140" s="41" t="n">
        <f aca="false">RANK(O140,O:O)</f>
        <v>29</v>
      </c>
      <c r="Q140" s="34" t="s">
        <v>173</v>
      </c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</row>
    <row r="141" customFormat="false" ht="15.75" hidden="false" customHeight="true" outlineLevel="0" collapsed="false"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9" t="n">
        <f aca="false">INDEX('Data 2'!$L$2:$L$2198,MATCH(N141,'Data 2'!$A$2:$A$2198,0))</f>
        <v>-69.8</v>
      </c>
      <c r="M141" s="40" t="n">
        <f aca="false">RANK(L141,L:L)</f>
        <v>173</v>
      </c>
      <c r="N141" s="34" t="s">
        <v>174</v>
      </c>
      <c r="O141" s="39" t="n">
        <f aca="false">INDEX('Data 2'!$M$2:$M$2198,MATCH(N141,'Data 2'!$A$2:$A$2198,0))</f>
        <v>-20.9325</v>
      </c>
      <c r="P141" s="41" t="n">
        <f aca="false">RANK(O141,O:O)</f>
        <v>133</v>
      </c>
      <c r="Q141" s="34" t="s">
        <v>174</v>
      </c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</row>
    <row r="142" customFormat="false" ht="15.75" hidden="false" customHeight="true" outlineLevel="0" collapsed="false"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9" t="n">
        <f aca="false">INDEX('Data 2'!$L$2:$L$2198,MATCH(N142,'Data 2'!$A$2:$A$2198,0))</f>
        <v>-29.3333333333333</v>
      </c>
      <c r="M142" s="40" t="n">
        <f aca="false">RANK(L142,L:L)</f>
        <v>119</v>
      </c>
      <c r="N142" s="34" t="s">
        <v>175</v>
      </c>
      <c r="O142" s="39" t="n">
        <f aca="false">INDEX('Data 2'!$M$2:$M$2198,MATCH(N142,'Data 2'!$A$2:$A$2198,0))</f>
        <v>88.9825</v>
      </c>
      <c r="P142" s="41" t="n">
        <f aca="false">RANK(O142,O:O)</f>
        <v>30</v>
      </c>
      <c r="Q142" s="34" t="s">
        <v>175</v>
      </c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</row>
    <row r="143" customFormat="false" ht="15.75" hidden="false" customHeight="true" outlineLevel="0" collapsed="false"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9" t="n">
        <f aca="false">INDEX('Data 2'!$L$2:$L$2198,MATCH(N143,'Data 2'!$A$2:$A$2198,0))</f>
        <v>-43.4966666666667</v>
      </c>
      <c r="M143" s="40" t="n">
        <f aca="false">RANK(L143,L:L)</f>
        <v>142</v>
      </c>
      <c r="N143" s="34" t="s">
        <v>176</v>
      </c>
      <c r="O143" s="39" t="n">
        <f aca="false">INDEX('Data 2'!$M$2:$M$2198,MATCH(N143,'Data 2'!$A$2:$A$2198,0))</f>
        <v>-34.07</v>
      </c>
      <c r="P143" s="41" t="n">
        <f aca="false">RANK(O143,O:O)</f>
        <v>149</v>
      </c>
      <c r="Q143" s="34" t="s">
        <v>176</v>
      </c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</row>
    <row r="144" customFormat="false" ht="15.75" hidden="false" customHeight="true" outlineLevel="0" collapsed="false"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9" t="n">
        <f aca="false">INDEX('Data 2'!$L$2:$L$2198,MATCH(N144,'Data 2'!$A$2:$A$2198,0))</f>
        <v>93.15</v>
      </c>
      <c r="M144" s="40" t="n">
        <f aca="false">RANK(L144,L:L)</f>
        <v>18</v>
      </c>
      <c r="N144" s="34" t="s">
        <v>177</v>
      </c>
      <c r="O144" s="39" t="n">
        <f aca="false">INDEX('Data 2'!$M$2:$M$2198,MATCH(N144,'Data 2'!$A$2:$A$2198,0))</f>
        <v>66.21</v>
      </c>
      <c r="P144" s="41" t="n">
        <f aca="false">RANK(O144,O:O)</f>
        <v>48</v>
      </c>
      <c r="Q144" s="34" t="s">
        <v>177</v>
      </c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</row>
    <row r="145" customFormat="false" ht="15.75" hidden="false" customHeight="true" outlineLevel="0" collapsed="false"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9" t="n">
        <f aca="false">INDEX('Data 2'!$L$2:$L$2198,MATCH(N145,'Data 2'!$A$2:$A$2198,0))</f>
        <v>-113.566666666667</v>
      </c>
      <c r="M145" s="40" t="n">
        <f aca="false">RANK(L145,L:L)</f>
        <v>209</v>
      </c>
      <c r="N145" s="34" t="s">
        <v>178</v>
      </c>
      <c r="O145" s="39" t="n">
        <f aca="false">INDEX('Data 2'!$M$2:$M$2198,MATCH(N145,'Data 2'!$A$2:$A$2198,0))</f>
        <v>-157.91625</v>
      </c>
      <c r="P145" s="41" t="n">
        <f aca="false">RANK(O145,O:O)</f>
        <v>216</v>
      </c>
      <c r="Q145" s="34" t="s">
        <v>178</v>
      </c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</row>
    <row r="146" customFormat="false" ht="15.75" hidden="false" customHeight="true" outlineLevel="0" collapsed="false"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9" t="n">
        <f aca="false">INDEX('Data 2'!$L$2:$L$2198,MATCH(N146,'Data 2'!$A$2:$A$2198,0))</f>
        <v>126.683333333333</v>
      </c>
      <c r="M146" s="40" t="n">
        <f aca="false">RANK(L146,L:L)</f>
        <v>3</v>
      </c>
      <c r="N146" s="34" t="s">
        <v>179</v>
      </c>
      <c r="O146" s="39" t="n">
        <f aca="false">INDEX('Data 2'!$M$2:$M$2198,MATCH(N146,'Data 2'!$A$2:$A$2198,0))</f>
        <v>35.9875</v>
      </c>
      <c r="P146" s="41" t="n">
        <f aca="false">RANK(O146,O:O)</f>
        <v>74</v>
      </c>
      <c r="Q146" s="34" t="s">
        <v>179</v>
      </c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</row>
    <row r="147" customFormat="false" ht="15.75" hidden="false" customHeight="true" outlineLevel="0" collapsed="false"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9" t="n">
        <f aca="false">INDEX('Data 2'!$L$2:$L$2198,MATCH(N147,'Data 2'!$A$2:$A$2198,0))</f>
        <v>10.3266666666667</v>
      </c>
      <c r="M147" s="40" t="n">
        <f aca="false">RANK(L147,L:L)</f>
        <v>79</v>
      </c>
      <c r="N147" s="34" t="s">
        <v>180</v>
      </c>
      <c r="O147" s="39" t="n">
        <f aca="false">INDEX('Data 2'!$M$2:$M$2198,MATCH(N147,'Data 2'!$A$2:$A$2198,0))</f>
        <v>-29.3425</v>
      </c>
      <c r="P147" s="41" t="n">
        <f aca="false">RANK(O147,O:O)</f>
        <v>144</v>
      </c>
      <c r="Q147" s="34" t="s">
        <v>180</v>
      </c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</row>
    <row r="148" customFormat="false" ht="15.75" hidden="false" customHeight="true" outlineLevel="0" collapsed="false"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9" t="n">
        <f aca="false">INDEX('Data 2'!$L$2:$L$2198,MATCH(N148,'Data 2'!$A$2:$A$2198,0))</f>
        <v>76.9766666666667</v>
      </c>
      <c r="M148" s="40" t="n">
        <f aca="false">RANK(L148,L:L)</f>
        <v>36</v>
      </c>
      <c r="N148" s="34" t="s">
        <v>181</v>
      </c>
      <c r="O148" s="39" t="n">
        <f aca="false">INDEX('Data 2'!$M$2:$M$2198,MATCH(N148,'Data 2'!$A$2:$A$2198,0))</f>
        <v>100.7175</v>
      </c>
      <c r="P148" s="41" t="n">
        <f aca="false">RANK(O148,O:O)</f>
        <v>27</v>
      </c>
      <c r="Q148" s="34" t="s">
        <v>181</v>
      </c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</row>
    <row r="149" customFormat="false" ht="15.75" hidden="false" customHeight="true" outlineLevel="0" collapsed="false"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9" t="n">
        <f aca="false">INDEX('Data 2'!$L$2:$L$2198,MATCH(N149,'Data 2'!$A$2:$A$2198,0))</f>
        <v>-87.9033333333333</v>
      </c>
      <c r="M149" s="40" t="n">
        <f aca="false">RANK(L149,L:L)</f>
        <v>188</v>
      </c>
      <c r="N149" s="34" t="s">
        <v>182</v>
      </c>
      <c r="O149" s="39" t="n">
        <f aca="false">INDEX('Data 2'!$M$2:$M$2198,MATCH(N149,'Data 2'!$A$2:$A$2198,0))</f>
        <v>-55.84875</v>
      </c>
      <c r="P149" s="41" t="n">
        <f aca="false">RANK(O149,O:O)</f>
        <v>170</v>
      </c>
      <c r="Q149" s="34" t="s">
        <v>182</v>
      </c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</row>
    <row r="150" customFormat="false" ht="15.75" hidden="false" customHeight="true" outlineLevel="0" collapsed="false"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9" t="n">
        <f aca="false">INDEX('Data 2'!$L$2:$L$2198,MATCH(N150,'Data 2'!$A$2:$A$2198,0))</f>
        <v>1.88</v>
      </c>
      <c r="M150" s="40" t="n">
        <f aca="false">RANK(L150,L:L)</f>
        <v>92</v>
      </c>
      <c r="N150" s="34" t="s">
        <v>183</v>
      </c>
      <c r="O150" s="39" t="n">
        <f aca="false">INDEX('Data 2'!$M$2:$M$2198,MATCH(N150,'Data 2'!$A$2:$A$2198,0))</f>
        <v>71.27375</v>
      </c>
      <c r="P150" s="41" t="n">
        <f aca="false">RANK(O150,O:O)</f>
        <v>44</v>
      </c>
      <c r="Q150" s="34" t="s">
        <v>183</v>
      </c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</row>
    <row r="151" customFormat="false" ht="15.75" hidden="false" customHeight="true" outlineLevel="0" collapsed="false"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9" t="n">
        <f aca="false">INDEX('Data 2'!$L$2:$L$2198,MATCH(N151,'Data 2'!$A$2:$A$2198,0))</f>
        <v>-36.83</v>
      </c>
      <c r="M151" s="40" t="n">
        <f aca="false">RANK(L151,L:L)</f>
        <v>129</v>
      </c>
      <c r="N151" s="34" t="s">
        <v>184</v>
      </c>
      <c r="O151" s="39" t="n">
        <f aca="false">INDEX('Data 2'!$M$2:$M$2198,MATCH(N151,'Data 2'!$A$2:$A$2198,0))</f>
        <v>50.1</v>
      </c>
      <c r="P151" s="41" t="n">
        <f aca="false">RANK(O151,O:O)</f>
        <v>60</v>
      </c>
      <c r="Q151" s="34" t="s">
        <v>184</v>
      </c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</row>
    <row r="152" customFormat="false" ht="15.75" hidden="false" customHeight="true" outlineLevel="0" collapsed="false"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9" t="n">
        <f aca="false">INDEX('Data 2'!$L$2:$L$2198,MATCH(N152,'Data 2'!$A$2:$A$2198,0))</f>
        <v>83.96</v>
      </c>
      <c r="M152" s="40" t="n">
        <f aca="false">RANK(L152,L:L)</f>
        <v>28</v>
      </c>
      <c r="N152" s="34" t="s">
        <v>185</v>
      </c>
      <c r="O152" s="39" t="n">
        <f aca="false">INDEX('Data 2'!$M$2:$M$2198,MATCH(N152,'Data 2'!$A$2:$A$2198,0))</f>
        <v>36.61875</v>
      </c>
      <c r="P152" s="41" t="n">
        <f aca="false">RANK(O152,O:O)</f>
        <v>73</v>
      </c>
      <c r="Q152" s="34" t="s">
        <v>185</v>
      </c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</row>
    <row r="153" customFormat="false" ht="15.75" hidden="false" customHeight="true" outlineLevel="0" collapsed="false"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9" t="n">
        <f aca="false">INDEX('Data 2'!$L$2:$L$2198,MATCH(N153,'Data 2'!$A$2:$A$2198,0))</f>
        <v>-62.5766666666667</v>
      </c>
      <c r="M153" s="40" t="n">
        <f aca="false">RANK(L153,L:L)</f>
        <v>162</v>
      </c>
      <c r="N153" s="34" t="s">
        <v>186</v>
      </c>
      <c r="O153" s="39" t="n">
        <f aca="false">INDEX('Data 2'!$M$2:$M$2198,MATCH(N153,'Data 2'!$A$2:$A$2198,0))</f>
        <v>-21.6625</v>
      </c>
      <c r="P153" s="41" t="n">
        <f aca="false">RANK(O153,O:O)</f>
        <v>135</v>
      </c>
      <c r="Q153" s="34" t="s">
        <v>186</v>
      </c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</row>
    <row r="154" customFormat="false" ht="15.75" hidden="false" customHeight="true" outlineLevel="0" collapsed="false"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9" t="n">
        <f aca="false">INDEX('Data 2'!$L$2:$L$2198,MATCH(N154,'Data 2'!$A$2:$A$2198,0))</f>
        <v>13.29</v>
      </c>
      <c r="M154" s="40" t="n">
        <f aca="false">RANK(L154,L:L)</f>
        <v>73</v>
      </c>
      <c r="N154" s="34" t="s">
        <v>187</v>
      </c>
      <c r="O154" s="39" t="n">
        <f aca="false">INDEX('Data 2'!$M$2:$M$2198,MATCH(N154,'Data 2'!$A$2:$A$2198,0))</f>
        <v>128.03375</v>
      </c>
      <c r="P154" s="41" t="n">
        <f aca="false">RANK(O154,O:O)</f>
        <v>14</v>
      </c>
      <c r="Q154" s="34" t="s">
        <v>187</v>
      </c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</row>
    <row r="155" customFormat="false" ht="15.75" hidden="false" customHeight="true" outlineLevel="0" collapsed="false"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9" t="n">
        <f aca="false">INDEX('Data 2'!$L$2:$L$2198,MATCH(N155,'Data 2'!$A$2:$A$2198,0))</f>
        <v>-73.2266666666667</v>
      </c>
      <c r="M155" s="40" t="n">
        <f aca="false">RANK(L155,L:L)</f>
        <v>176</v>
      </c>
      <c r="N155" s="34" t="s">
        <v>188</v>
      </c>
      <c r="O155" s="39" t="n">
        <f aca="false">INDEX('Data 2'!$M$2:$M$2198,MATCH(N155,'Data 2'!$A$2:$A$2198,0))</f>
        <v>-106.525</v>
      </c>
      <c r="P155" s="41" t="n">
        <f aca="false">RANK(O155,O:O)</f>
        <v>205</v>
      </c>
      <c r="Q155" s="34" t="s">
        <v>188</v>
      </c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</row>
    <row r="156" customFormat="false" ht="15.75" hidden="false" customHeight="true" outlineLevel="0" collapsed="false"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9" t="n">
        <f aca="false">INDEX('Data 2'!$L$2:$L$2198,MATCH(N156,'Data 2'!$A$2:$A$2198,0))</f>
        <v>-57.4466666666667</v>
      </c>
      <c r="M156" s="40" t="n">
        <f aca="false">RANK(L156,L:L)</f>
        <v>157</v>
      </c>
      <c r="N156" s="34" t="s">
        <v>189</v>
      </c>
      <c r="O156" s="39" t="n">
        <f aca="false">INDEX('Data 2'!$M$2:$M$2198,MATCH(N156,'Data 2'!$A$2:$A$2198,0))</f>
        <v>-98.99125</v>
      </c>
      <c r="P156" s="41" t="n">
        <f aca="false">RANK(O156,O:O)</f>
        <v>200</v>
      </c>
      <c r="Q156" s="34" t="s">
        <v>189</v>
      </c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</row>
    <row r="157" customFormat="false" ht="15.75" hidden="false" customHeight="true" outlineLevel="0" collapsed="false"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9" t="n">
        <f aca="false">INDEX('Data 2'!$L$2:$L$2198,MATCH(N157,'Data 2'!$A$2:$A$2198,0))</f>
        <v>104.733333333333</v>
      </c>
      <c r="M157" s="40" t="n">
        <f aca="false">RANK(L157,L:L)</f>
        <v>9</v>
      </c>
      <c r="N157" s="34" t="s">
        <v>190</v>
      </c>
      <c r="O157" s="39" t="n">
        <f aca="false">INDEX('Data 2'!$M$2:$M$2198,MATCH(N157,'Data 2'!$A$2:$A$2198,0))</f>
        <v>-5.6225</v>
      </c>
      <c r="P157" s="41" t="n">
        <f aca="false">RANK(O157,O:O)</f>
        <v>110</v>
      </c>
      <c r="Q157" s="34" t="s">
        <v>190</v>
      </c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</row>
    <row r="158" customFormat="false" ht="15.75" hidden="false" customHeight="true" outlineLevel="0" collapsed="false"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9" t="n">
        <f aca="false">INDEX('Data 2'!$L$2:$L$2198,MATCH(N158,'Data 2'!$A$2:$A$2198,0))</f>
        <v>26.37</v>
      </c>
      <c r="M158" s="40" t="n">
        <f aca="false">RANK(L158,L:L)</f>
        <v>64</v>
      </c>
      <c r="N158" s="34" t="s">
        <v>191</v>
      </c>
      <c r="O158" s="39" t="n">
        <f aca="false">INDEX('Data 2'!$M$2:$M$2198,MATCH(N158,'Data 2'!$A$2:$A$2198,0))</f>
        <v>52.25125</v>
      </c>
      <c r="P158" s="41" t="n">
        <f aca="false">RANK(O158,O:O)</f>
        <v>56</v>
      </c>
      <c r="Q158" s="34" t="s">
        <v>191</v>
      </c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</row>
    <row r="159" customFormat="false" ht="15.75" hidden="false" customHeight="true" outlineLevel="0" collapsed="false"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9" t="n">
        <f aca="false">INDEX('Data 2'!$L$2:$L$2198,MATCH(N159,'Data 2'!$A$2:$A$2198,0))</f>
        <v>29.87</v>
      </c>
      <c r="M159" s="40" t="n">
        <f aca="false">RANK(L159,L:L)</f>
        <v>60</v>
      </c>
      <c r="N159" s="34" t="s">
        <v>192</v>
      </c>
      <c r="O159" s="39" t="n">
        <f aca="false">INDEX('Data 2'!$M$2:$M$2198,MATCH(N159,'Data 2'!$A$2:$A$2198,0))</f>
        <v>-15.08125</v>
      </c>
      <c r="P159" s="41" t="n">
        <f aca="false">RANK(O159,O:O)</f>
        <v>124</v>
      </c>
      <c r="Q159" s="34" t="s">
        <v>192</v>
      </c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</row>
    <row r="160" customFormat="false" ht="15.75" hidden="false" customHeight="true" outlineLevel="0" collapsed="false"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9" t="n">
        <f aca="false">INDEX('Data 2'!$L$2:$L$2198,MATCH(N160,'Data 2'!$A$2:$A$2198,0))</f>
        <v>-91.0833333333333</v>
      </c>
      <c r="M160" s="40" t="n">
        <f aca="false">RANK(L160,L:L)</f>
        <v>191</v>
      </c>
      <c r="N160" s="34" t="s">
        <v>193</v>
      </c>
      <c r="O160" s="39" t="n">
        <f aca="false">INDEX('Data 2'!$M$2:$M$2198,MATCH(N160,'Data 2'!$A$2:$A$2198,0))</f>
        <v>-69.4225</v>
      </c>
      <c r="P160" s="41" t="n">
        <f aca="false">RANK(O160,O:O)</f>
        <v>180</v>
      </c>
      <c r="Q160" s="34" t="s">
        <v>193</v>
      </c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</row>
    <row r="161" customFormat="false" ht="15.75" hidden="false" customHeight="true" outlineLevel="0" collapsed="false"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9" t="n">
        <f aca="false">INDEX('Data 2'!$L$2:$L$2198,MATCH(N161,'Data 2'!$A$2:$A$2198,0))</f>
        <v>5.59666666666667</v>
      </c>
      <c r="M161" s="40" t="n">
        <f aca="false">RANK(L161,L:L)</f>
        <v>88</v>
      </c>
      <c r="N161" s="34" t="s">
        <v>194</v>
      </c>
      <c r="O161" s="39" t="n">
        <f aca="false">INDEX('Data 2'!$M$2:$M$2198,MATCH(N161,'Data 2'!$A$2:$A$2198,0))</f>
        <v>-43.44625</v>
      </c>
      <c r="P161" s="41" t="n">
        <f aca="false">RANK(O161,O:O)</f>
        <v>157</v>
      </c>
      <c r="Q161" s="34" t="s">
        <v>194</v>
      </c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</row>
    <row r="162" customFormat="false" ht="15.75" hidden="false" customHeight="true" outlineLevel="0" collapsed="false"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9" t="n">
        <f aca="false">INDEX('Data 2'!$L$2:$L$2198,MATCH(N162,'Data 2'!$A$2:$A$2198,0))</f>
        <v>81.51</v>
      </c>
      <c r="M162" s="40" t="n">
        <f aca="false">RANK(L162,L:L)</f>
        <v>30</v>
      </c>
      <c r="N162" s="34" t="s">
        <v>195</v>
      </c>
      <c r="O162" s="39" t="n">
        <f aca="false">INDEX('Data 2'!$M$2:$M$2198,MATCH(N162,'Data 2'!$A$2:$A$2198,0))</f>
        <v>27.55625</v>
      </c>
      <c r="P162" s="41" t="n">
        <f aca="false">RANK(O162,O:O)</f>
        <v>78</v>
      </c>
      <c r="Q162" s="34" t="s">
        <v>195</v>
      </c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</row>
    <row r="163" customFormat="false" ht="15.75" hidden="false" customHeight="true" outlineLevel="0" collapsed="false"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9" t="n">
        <f aca="false">INDEX('Data 2'!$L$2:$L$2198,MATCH(N163,'Data 2'!$A$2:$A$2198,0))</f>
        <v>-119.943333333333</v>
      </c>
      <c r="M163" s="40" t="n">
        <f aca="false">RANK(L163,L:L)</f>
        <v>212</v>
      </c>
      <c r="N163" s="34" t="s">
        <v>196</v>
      </c>
      <c r="O163" s="39" t="n">
        <f aca="false">INDEX('Data 2'!$M$2:$M$2198,MATCH(N163,'Data 2'!$A$2:$A$2198,0))</f>
        <v>-138.31375</v>
      </c>
      <c r="P163" s="41" t="n">
        <f aca="false">RANK(O163,O:O)</f>
        <v>215</v>
      </c>
      <c r="Q163" s="34" t="s">
        <v>196</v>
      </c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</row>
    <row r="164" customFormat="false" ht="15.75" hidden="false" customHeight="true" outlineLevel="0" collapsed="false"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9" t="n">
        <f aca="false">INDEX('Data 2'!$L$2:$L$2198,MATCH(N164,'Data 2'!$A$2:$A$2198,0))</f>
        <v>109.083333333333</v>
      </c>
      <c r="M164" s="40" t="n">
        <f aca="false">RANK(L164,L:L)</f>
        <v>8</v>
      </c>
      <c r="N164" s="34" t="s">
        <v>197</v>
      </c>
      <c r="O164" s="39" t="n">
        <f aca="false">INDEX('Data 2'!$M$2:$M$2198,MATCH(N164,'Data 2'!$A$2:$A$2198,0))</f>
        <v>80.93875</v>
      </c>
      <c r="P164" s="41" t="n">
        <f aca="false">RANK(O164,O:O)</f>
        <v>37</v>
      </c>
      <c r="Q164" s="34" t="s">
        <v>197</v>
      </c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</row>
    <row r="165" customFormat="false" ht="15.75" hidden="false" customHeight="true" outlineLevel="0" collapsed="false"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9" t="n">
        <f aca="false">INDEX('Data 2'!$L$2:$L$2198,MATCH(N165,'Data 2'!$A$2:$A$2198,0))</f>
        <v>-84.5966666666667</v>
      </c>
      <c r="M165" s="40" t="n">
        <f aca="false">RANK(L165,L:L)</f>
        <v>186</v>
      </c>
      <c r="N165" s="34" t="s">
        <v>198</v>
      </c>
      <c r="O165" s="39" t="n">
        <f aca="false">INDEX('Data 2'!$M$2:$M$2198,MATCH(N165,'Data 2'!$A$2:$A$2198,0))</f>
        <v>-43.54625</v>
      </c>
      <c r="P165" s="41" t="n">
        <f aca="false">RANK(O165,O:O)</f>
        <v>158</v>
      </c>
      <c r="Q165" s="34" t="s">
        <v>198</v>
      </c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</row>
    <row r="166" customFormat="false" ht="15.75" hidden="false" customHeight="true" outlineLevel="0" collapsed="false"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9" t="n">
        <f aca="false">INDEX('Data 2'!$L$2:$L$2198,MATCH(N166,'Data 2'!$A$2:$A$2198,0))</f>
        <v>-50.6866666666667</v>
      </c>
      <c r="M166" s="40" t="n">
        <f aca="false">RANK(L166,L:L)</f>
        <v>147</v>
      </c>
      <c r="N166" s="34" t="s">
        <v>199</v>
      </c>
      <c r="O166" s="39" t="n">
        <f aca="false">INDEX('Data 2'!$M$2:$M$2198,MATCH(N166,'Data 2'!$A$2:$A$2198,0))</f>
        <v>-6.45625</v>
      </c>
      <c r="P166" s="41" t="n">
        <f aca="false">RANK(O166,O:O)</f>
        <v>114</v>
      </c>
      <c r="Q166" s="34" t="s">
        <v>199</v>
      </c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</row>
    <row r="167" customFormat="false" ht="15.75" hidden="false" customHeight="true" outlineLevel="0" collapsed="false"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9" t="n">
        <f aca="false">INDEX('Data 2'!$L$2:$L$2198,MATCH(N167,'Data 2'!$A$2:$A$2198,0))</f>
        <v>-37.3566666666667</v>
      </c>
      <c r="M167" s="40" t="n">
        <f aca="false">RANK(L167,L:L)</f>
        <v>131</v>
      </c>
      <c r="N167" s="34" t="s">
        <v>200</v>
      </c>
      <c r="O167" s="39" t="n">
        <f aca="false">INDEX('Data 2'!$M$2:$M$2198,MATCH(N167,'Data 2'!$A$2:$A$2198,0))</f>
        <v>67.6425</v>
      </c>
      <c r="P167" s="41" t="n">
        <f aca="false">RANK(O167,O:O)</f>
        <v>47</v>
      </c>
      <c r="Q167" s="34" t="s">
        <v>200</v>
      </c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</row>
    <row r="168" customFormat="false" ht="15.75" hidden="false" customHeight="true" outlineLevel="0" collapsed="false"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9" t="n">
        <f aca="false">INDEX('Data 2'!$L$2:$L$2198,MATCH(N168,'Data 2'!$A$2:$A$2198,0))</f>
        <v>-100.29</v>
      </c>
      <c r="M168" s="40" t="n">
        <f aca="false">RANK(L168,L:L)</f>
        <v>199</v>
      </c>
      <c r="N168" s="34" t="s">
        <v>201</v>
      </c>
      <c r="O168" s="39" t="n">
        <f aca="false">INDEX('Data 2'!$M$2:$M$2198,MATCH(N168,'Data 2'!$A$2:$A$2198,0))</f>
        <v>-112.61375</v>
      </c>
      <c r="P168" s="41" t="n">
        <f aca="false">RANK(O168,O:O)</f>
        <v>210</v>
      </c>
      <c r="Q168" s="34" t="s">
        <v>201</v>
      </c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</row>
    <row r="169" customFormat="false" ht="15.75" hidden="false" customHeight="true" outlineLevel="0" collapsed="false"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9" t="n">
        <f aca="false">INDEX('Data 2'!$L$2:$L$2198,MATCH(N169,'Data 2'!$A$2:$A$2198,0))</f>
        <v>-3.69333333333333</v>
      </c>
      <c r="M169" s="40" t="n">
        <f aca="false">RANK(L169,L:L)</f>
        <v>98</v>
      </c>
      <c r="N169" s="34" t="s">
        <v>202</v>
      </c>
      <c r="O169" s="39" t="n">
        <f aca="false">INDEX('Data 2'!$M$2:$M$2198,MATCH(N169,'Data 2'!$A$2:$A$2198,0))</f>
        <v>-41.2025</v>
      </c>
      <c r="P169" s="41" t="n">
        <f aca="false">RANK(O169,O:O)</f>
        <v>155</v>
      </c>
      <c r="Q169" s="34" t="s">
        <v>202</v>
      </c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</row>
    <row r="170" customFormat="false" ht="15.75" hidden="false" customHeight="true" outlineLevel="0" collapsed="false"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9" t="n">
        <f aca="false">INDEX('Data 2'!$L$2:$L$2198,MATCH(N170,'Data 2'!$A$2:$A$2198,0))</f>
        <v>17.7566666666667</v>
      </c>
      <c r="M170" s="40" t="n">
        <f aca="false">RANK(L170,L:L)</f>
        <v>68</v>
      </c>
      <c r="N170" s="34" t="s">
        <v>203</v>
      </c>
      <c r="O170" s="39" t="n">
        <f aca="false">INDEX('Data 2'!$M$2:$M$2198,MATCH(N170,'Data 2'!$A$2:$A$2198,0))</f>
        <v>-35.11125</v>
      </c>
      <c r="P170" s="41" t="n">
        <f aca="false">RANK(O170,O:O)</f>
        <v>152</v>
      </c>
      <c r="Q170" s="34" t="s">
        <v>203</v>
      </c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</row>
    <row r="171" customFormat="false" ht="15.75" hidden="false" customHeight="true" outlineLevel="0" collapsed="false"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9" t="n">
        <f aca="false">INDEX('Data 2'!$L$2:$L$2198,MATCH(N171,'Data 2'!$A$2:$A$2198,0))</f>
        <v>-18.29</v>
      </c>
      <c r="M171" s="40" t="n">
        <f aca="false">RANK(L171,L:L)</f>
        <v>113</v>
      </c>
      <c r="N171" s="34" t="s">
        <v>204</v>
      </c>
      <c r="O171" s="39" t="n">
        <f aca="false">INDEX('Data 2'!$M$2:$M$2198,MATCH(N171,'Data 2'!$A$2:$A$2198,0))</f>
        <v>49.62125</v>
      </c>
      <c r="P171" s="41" t="n">
        <f aca="false">RANK(O171,O:O)</f>
        <v>61</v>
      </c>
      <c r="Q171" s="34" t="s">
        <v>204</v>
      </c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</row>
    <row r="172" customFormat="false" ht="15.75" hidden="false" customHeight="true" outlineLevel="0" collapsed="false"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9" t="n">
        <f aca="false">INDEX('Data 2'!$L$2:$L$2198,MATCH(N172,'Data 2'!$A$2:$A$2198,0))</f>
        <v>-75.23</v>
      </c>
      <c r="M172" s="40" t="n">
        <f aca="false">RANK(L172,L:L)</f>
        <v>178</v>
      </c>
      <c r="N172" s="34" t="s">
        <v>205</v>
      </c>
      <c r="O172" s="39" t="n">
        <f aca="false">INDEX('Data 2'!$M$2:$M$2198,MATCH(N172,'Data 2'!$A$2:$A$2198,0))</f>
        <v>-103.5975</v>
      </c>
      <c r="P172" s="41" t="n">
        <f aca="false">RANK(O172,O:O)</f>
        <v>203</v>
      </c>
      <c r="Q172" s="34" t="s">
        <v>205</v>
      </c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</row>
    <row r="173" customFormat="false" ht="15.75" hidden="false" customHeight="true" outlineLevel="0" collapsed="false"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9" t="n">
        <f aca="false">INDEX('Data 2'!$L$2:$L$2198,MATCH(N173,'Data 2'!$A$2:$A$2198,0))</f>
        <v>-35.94</v>
      </c>
      <c r="M173" s="40" t="n">
        <f aca="false">RANK(L173,L:L)</f>
        <v>126</v>
      </c>
      <c r="N173" s="34" t="s">
        <v>206</v>
      </c>
      <c r="O173" s="39" t="n">
        <f aca="false">INDEX('Data 2'!$M$2:$M$2198,MATCH(N173,'Data 2'!$A$2:$A$2198,0))</f>
        <v>101.60875</v>
      </c>
      <c r="P173" s="41" t="n">
        <f aca="false">RANK(O173,O:O)</f>
        <v>25</v>
      </c>
      <c r="Q173" s="34" t="s">
        <v>206</v>
      </c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</row>
    <row r="174" customFormat="false" ht="15.75" hidden="false" customHeight="true" outlineLevel="0" collapsed="false"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9" t="n">
        <f aca="false">INDEX('Data 2'!$L$2:$L$2198,MATCH(N174,'Data 2'!$A$2:$A$2198,0))</f>
        <v>-66.46</v>
      </c>
      <c r="M174" s="40" t="n">
        <f aca="false">RANK(L174,L:L)</f>
        <v>170</v>
      </c>
      <c r="N174" s="34" t="s">
        <v>207</v>
      </c>
      <c r="O174" s="39" t="n">
        <f aca="false">INDEX('Data 2'!$M$2:$M$2198,MATCH(N174,'Data 2'!$A$2:$A$2198,0))</f>
        <v>-38.2925</v>
      </c>
      <c r="P174" s="41" t="n">
        <f aca="false">RANK(O174,O:O)</f>
        <v>154</v>
      </c>
      <c r="Q174" s="34" t="s">
        <v>207</v>
      </c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</row>
    <row r="175" customFormat="false" ht="15.75" hidden="false" customHeight="true" outlineLevel="0" collapsed="false"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9" t="n">
        <f aca="false">INDEX('Data 2'!$L$2:$L$2198,MATCH(N175,'Data 2'!$A$2:$A$2198,0))</f>
        <v>85.1433333333333</v>
      </c>
      <c r="M175" s="40" t="n">
        <f aca="false">RANK(L175,L:L)</f>
        <v>26</v>
      </c>
      <c r="N175" s="34" t="s">
        <v>208</v>
      </c>
      <c r="O175" s="39" t="n">
        <f aca="false">INDEX('Data 2'!$M$2:$M$2198,MATCH(N175,'Data 2'!$A$2:$A$2198,0))</f>
        <v>17.8525</v>
      </c>
      <c r="P175" s="41" t="n">
        <f aca="false">RANK(O175,O:O)</f>
        <v>85</v>
      </c>
      <c r="Q175" s="34" t="s">
        <v>208</v>
      </c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</row>
    <row r="176" customFormat="false" ht="15.75" hidden="false" customHeight="true" outlineLevel="0" collapsed="false"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9" t="n">
        <f aca="false">INDEX('Data 2'!$L$2:$L$2198,MATCH(N176,'Data 2'!$A$2:$A$2198,0))</f>
        <v>62.0766666666667</v>
      </c>
      <c r="M176" s="40" t="n">
        <f aca="false">RANK(L176,L:L)</f>
        <v>44</v>
      </c>
      <c r="N176" s="34" t="s">
        <v>209</v>
      </c>
      <c r="O176" s="39" t="n">
        <f aca="false">INDEX('Data 2'!$M$2:$M$2198,MATCH(N176,'Data 2'!$A$2:$A$2198,0))</f>
        <v>86.5</v>
      </c>
      <c r="P176" s="41" t="n">
        <f aca="false">RANK(O176,O:O)</f>
        <v>33</v>
      </c>
      <c r="Q176" s="34" t="s">
        <v>209</v>
      </c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</row>
    <row r="177" customFormat="false" ht="15.75" hidden="false" customHeight="true" outlineLevel="0" collapsed="false"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9" t="n">
        <f aca="false">INDEX('Data 2'!$L$2:$L$2198,MATCH(N177,'Data 2'!$A$2:$A$2198,0))</f>
        <v>-45.7133333333333</v>
      </c>
      <c r="M177" s="40" t="n">
        <f aca="false">RANK(L177,L:L)</f>
        <v>144</v>
      </c>
      <c r="N177" s="34" t="s">
        <v>210</v>
      </c>
      <c r="O177" s="39" t="n">
        <f aca="false">INDEX('Data 2'!$M$2:$M$2198,MATCH(N177,'Data 2'!$A$2:$A$2198,0))</f>
        <v>-44.9425</v>
      </c>
      <c r="P177" s="41" t="n">
        <f aca="false">RANK(O177,O:O)</f>
        <v>160</v>
      </c>
      <c r="Q177" s="34" t="s">
        <v>210</v>
      </c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</row>
    <row r="178" customFormat="false" ht="15.75" hidden="false" customHeight="true" outlineLevel="0" collapsed="false"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9" t="n">
        <f aca="false">INDEX('Data 2'!$L$2:$L$2198,MATCH(N178,'Data 2'!$A$2:$A$2198,0))</f>
        <v>7.07</v>
      </c>
      <c r="M178" s="40" t="n">
        <f aca="false">RANK(L178,L:L)</f>
        <v>86</v>
      </c>
      <c r="N178" s="34" t="s">
        <v>211</v>
      </c>
      <c r="O178" s="39" t="n">
        <f aca="false">INDEX('Data 2'!$M$2:$M$2198,MATCH(N178,'Data 2'!$A$2:$A$2198,0))</f>
        <v>80.28125</v>
      </c>
      <c r="P178" s="41" t="n">
        <f aca="false">RANK(O178,O:O)</f>
        <v>38</v>
      </c>
      <c r="Q178" s="34" t="s">
        <v>211</v>
      </c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</row>
    <row r="179" customFormat="false" ht="15.75" hidden="false" customHeight="true" outlineLevel="0" collapsed="false"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9" t="n">
        <f aca="false">INDEX('Data 2'!$L$2:$L$2198,MATCH(N179,'Data 2'!$A$2:$A$2198,0))</f>
        <v>-33.8</v>
      </c>
      <c r="M179" s="40" t="n">
        <f aca="false">RANK(L179,L:L)</f>
        <v>124</v>
      </c>
      <c r="N179" s="34" t="s">
        <v>212</v>
      </c>
      <c r="O179" s="39" t="n">
        <f aca="false">INDEX('Data 2'!$M$2:$M$2198,MATCH(N179,'Data 2'!$A$2:$A$2198,0))</f>
        <v>-49.33625</v>
      </c>
      <c r="P179" s="41" t="n">
        <f aca="false">RANK(O179,O:O)</f>
        <v>164</v>
      </c>
      <c r="Q179" s="34" t="s">
        <v>212</v>
      </c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</row>
    <row r="180" customFormat="false" ht="15.75" hidden="false" customHeight="true" outlineLevel="0" collapsed="false"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9" t="n">
        <f aca="false">INDEX('Data 2'!$L$2:$L$2198,MATCH(N180,'Data 2'!$A$2:$A$2198,0))</f>
        <v>-46.6133333333333</v>
      </c>
      <c r="M180" s="40" t="n">
        <f aca="false">RANK(L180,L:L)</f>
        <v>145</v>
      </c>
      <c r="N180" s="34" t="s">
        <v>213</v>
      </c>
      <c r="O180" s="39" t="n">
        <f aca="false">INDEX('Data 2'!$M$2:$M$2198,MATCH(N180,'Data 2'!$A$2:$A$2198,0))</f>
        <v>-26.87</v>
      </c>
      <c r="P180" s="41" t="n">
        <f aca="false">RANK(O180,O:O)</f>
        <v>141</v>
      </c>
      <c r="Q180" s="34" t="s">
        <v>213</v>
      </c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</row>
    <row r="181" customFormat="false" ht="15.75" hidden="false" customHeight="true" outlineLevel="0" collapsed="false"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9" t="n">
        <f aca="false">INDEX('Data 2'!$L$2:$L$2198,MATCH(N181,'Data 2'!$A$2:$A$2198,0))</f>
        <v>-51.1466666666667</v>
      </c>
      <c r="M181" s="40" t="n">
        <f aca="false">RANK(L181,L:L)</f>
        <v>148</v>
      </c>
      <c r="N181" s="34" t="s">
        <v>214</v>
      </c>
      <c r="O181" s="39" t="n">
        <f aca="false">INDEX('Data 2'!$M$2:$M$2198,MATCH(N181,'Data 2'!$A$2:$A$2198,0))</f>
        <v>-20.8325</v>
      </c>
      <c r="P181" s="41" t="n">
        <f aca="false">RANK(O181,O:O)</f>
        <v>132</v>
      </c>
      <c r="Q181" s="34" t="s">
        <v>214</v>
      </c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</row>
    <row r="182" customFormat="false" ht="15.75" hidden="false" customHeight="true" outlineLevel="0" collapsed="false"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9" t="n">
        <f aca="false">INDEX('Data 2'!$L$2:$L$2198,MATCH(N182,'Data 2'!$A$2:$A$2198,0))</f>
        <v>96.4633333333334</v>
      </c>
      <c r="M182" s="40" t="n">
        <f aca="false">RANK(L182,L:L)</f>
        <v>14</v>
      </c>
      <c r="N182" s="34" t="s">
        <v>215</v>
      </c>
      <c r="O182" s="39" t="n">
        <f aca="false">INDEX('Data 2'!$M$2:$M$2198,MATCH(N182,'Data 2'!$A$2:$A$2198,0))</f>
        <v>176.52125</v>
      </c>
      <c r="P182" s="41" t="n">
        <f aca="false">RANK(O182,O:O)</f>
        <v>4</v>
      </c>
      <c r="Q182" s="34" t="s">
        <v>215</v>
      </c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</row>
    <row r="183" customFormat="false" ht="15.75" hidden="false" customHeight="true" outlineLevel="0" collapsed="false"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9" t="n">
        <f aca="false">INDEX('Data 2'!$L$2:$L$2198,MATCH(N183,'Data 2'!$A$2:$A$2198,0))</f>
        <v>-29.8333333333333</v>
      </c>
      <c r="M183" s="40" t="n">
        <f aca="false">RANK(L183,L:L)</f>
        <v>120</v>
      </c>
      <c r="N183" s="34" t="s">
        <v>216</v>
      </c>
      <c r="O183" s="39" t="n">
        <f aca="false">INDEX('Data 2'!$M$2:$M$2198,MATCH(N183,'Data 2'!$A$2:$A$2198,0))</f>
        <v>-60.56</v>
      </c>
      <c r="P183" s="41" t="n">
        <f aca="false">RANK(O183,O:O)</f>
        <v>172</v>
      </c>
      <c r="Q183" s="34" t="s">
        <v>216</v>
      </c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</row>
    <row r="184" customFormat="false" ht="15.75" hidden="false" customHeight="true" outlineLevel="0" collapsed="false"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9" t="n">
        <f aca="false">INDEX('Data 2'!$L$2:$L$2198,MATCH(N184,'Data 2'!$A$2:$A$2198,0))</f>
        <v>-96.1433333333333</v>
      </c>
      <c r="M184" s="40" t="n">
        <f aca="false">RANK(L184,L:L)</f>
        <v>196</v>
      </c>
      <c r="N184" s="34" t="s">
        <v>217</v>
      </c>
      <c r="O184" s="39" t="n">
        <f aca="false">INDEX('Data 2'!$M$2:$M$2198,MATCH(N184,'Data 2'!$A$2:$A$2198,0))</f>
        <v>-2.09125</v>
      </c>
      <c r="P184" s="41" t="n">
        <f aca="false">RANK(O184,O:O)</f>
        <v>105</v>
      </c>
      <c r="Q184" s="34" t="s">
        <v>217</v>
      </c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</row>
    <row r="185" customFormat="false" ht="15.75" hidden="false" customHeight="true" outlineLevel="0" collapsed="false"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9" t="n">
        <f aca="false">INDEX('Data 2'!$L$2:$L$2198,MATCH(N185,'Data 2'!$A$2:$A$2198,0))</f>
        <v>-36.2733333333333</v>
      </c>
      <c r="M185" s="40" t="n">
        <f aca="false">RANK(L185,L:L)</f>
        <v>127</v>
      </c>
      <c r="N185" s="34" t="s">
        <v>218</v>
      </c>
      <c r="O185" s="39" t="n">
        <f aca="false">INDEX('Data 2'!$M$2:$M$2198,MATCH(N185,'Data 2'!$A$2:$A$2198,0))</f>
        <v>-83.11125</v>
      </c>
      <c r="P185" s="41" t="n">
        <f aca="false">RANK(O185,O:O)</f>
        <v>192</v>
      </c>
      <c r="Q185" s="34" t="s">
        <v>218</v>
      </c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</row>
    <row r="186" customFormat="false" ht="15.75" hidden="false" customHeight="true" outlineLevel="0" collapsed="false"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9" t="n">
        <f aca="false">INDEX('Data 2'!$L$2:$L$2198,MATCH(N186,'Data 2'!$A$2:$A$2198,0))</f>
        <v>9.24333333333333</v>
      </c>
      <c r="M186" s="40" t="n">
        <f aca="false">RANK(L186,L:L)</f>
        <v>82</v>
      </c>
      <c r="N186" s="34" t="s">
        <v>219</v>
      </c>
      <c r="O186" s="39" t="n">
        <f aca="false">INDEX('Data 2'!$M$2:$M$2198,MATCH(N186,'Data 2'!$A$2:$A$2198,0))</f>
        <v>47.28125</v>
      </c>
      <c r="P186" s="41" t="n">
        <f aca="false">RANK(O186,O:O)</f>
        <v>64</v>
      </c>
      <c r="Q186" s="34" t="s">
        <v>219</v>
      </c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</row>
    <row r="187" customFormat="false" ht="15.75" hidden="false" customHeight="true" outlineLevel="0" collapsed="false"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9" t="n">
        <f aca="false">INDEX('Data 2'!$L$2:$L$2198,MATCH(N187,'Data 2'!$A$2:$A$2198,0))</f>
        <v>94.6966666666667</v>
      </c>
      <c r="M187" s="40" t="n">
        <f aca="false">RANK(L187,L:L)</f>
        <v>17</v>
      </c>
      <c r="N187" s="34" t="s">
        <v>220</v>
      </c>
      <c r="O187" s="39" t="n">
        <f aca="false">INDEX('Data 2'!$M$2:$M$2198,MATCH(N187,'Data 2'!$A$2:$A$2198,0))</f>
        <v>72.03125</v>
      </c>
      <c r="P187" s="41" t="n">
        <f aca="false">RANK(O187,O:O)</f>
        <v>43</v>
      </c>
      <c r="Q187" s="34" t="s">
        <v>220</v>
      </c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</row>
    <row r="188" customFormat="false" ht="15.75" hidden="false" customHeight="true" outlineLevel="0" collapsed="false"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9" t="n">
        <f aca="false">INDEX('Data 2'!$L$2:$L$2198,MATCH(N188,'Data 2'!$A$2:$A$2198,0))</f>
        <v>-100.68</v>
      </c>
      <c r="M188" s="40" t="n">
        <f aca="false">RANK(L188,L:L)</f>
        <v>201</v>
      </c>
      <c r="N188" s="34" t="s">
        <v>221</v>
      </c>
      <c r="O188" s="39" t="n">
        <f aca="false">INDEX('Data 2'!$M$2:$M$2198,MATCH(N188,'Data 2'!$A$2:$A$2198,0))</f>
        <v>-108.3125</v>
      </c>
      <c r="P188" s="41" t="n">
        <f aca="false">RANK(O188,O:O)</f>
        <v>206</v>
      </c>
      <c r="Q188" s="34" t="s">
        <v>221</v>
      </c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</row>
    <row r="189" customFormat="false" ht="15.75" hidden="false" customHeight="true" outlineLevel="0" collapsed="false"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9" t="n">
        <f aca="false">INDEX('Data 2'!$L$2:$L$2198,MATCH(N189,'Data 2'!$A$2:$A$2198,0))</f>
        <v>-3.85333333333333</v>
      </c>
      <c r="M189" s="40" t="n">
        <f aca="false">RANK(L189,L:L)</f>
        <v>99</v>
      </c>
      <c r="N189" s="34" t="s">
        <v>222</v>
      </c>
      <c r="O189" s="39" t="n">
        <f aca="false">INDEX('Data 2'!$M$2:$M$2198,MATCH(N189,'Data 2'!$A$2:$A$2198,0))</f>
        <v>-25.76125</v>
      </c>
      <c r="P189" s="41" t="n">
        <f aca="false">RANK(O189,O:O)</f>
        <v>139</v>
      </c>
      <c r="Q189" s="34" t="s">
        <v>222</v>
      </c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</row>
    <row r="190" customFormat="false" ht="15.75" hidden="false" customHeight="true" outlineLevel="0" collapsed="false"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9" t="n">
        <f aca="false">INDEX('Data 2'!$L$2:$L$2198,MATCH(N190,'Data 2'!$A$2:$A$2198,0))</f>
        <v>-113.16</v>
      </c>
      <c r="M190" s="40" t="n">
        <f aca="false">RANK(L190,L:L)</f>
        <v>208</v>
      </c>
      <c r="N190" s="34" t="s">
        <v>223</v>
      </c>
      <c r="O190" s="39" t="n">
        <f aca="false">INDEX('Data 2'!$M$2:$M$2198,MATCH(N190,'Data 2'!$A$2:$A$2198,0))</f>
        <v>-73.36475</v>
      </c>
      <c r="P190" s="41" t="n">
        <f aca="false">RANK(O190,O:O)</f>
        <v>186</v>
      </c>
      <c r="Q190" s="34" t="s">
        <v>223</v>
      </c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</row>
    <row r="191" customFormat="false" ht="15.75" hidden="false" customHeight="true" outlineLevel="0" collapsed="false"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9" t="n">
        <f aca="false">INDEX('Data 2'!$L$2:$L$2198,MATCH(N191,'Data 2'!$A$2:$A$2198,0))</f>
        <v>103.873333333333</v>
      </c>
      <c r="M191" s="40" t="n">
        <f aca="false">RANK(L191,L:L)</f>
        <v>10</v>
      </c>
      <c r="N191" s="34" t="s">
        <v>224</v>
      </c>
      <c r="O191" s="39" t="n">
        <f aca="false">INDEX('Data 2'!$M$2:$M$2198,MATCH(N191,'Data 2'!$A$2:$A$2198,0))</f>
        <v>75.925</v>
      </c>
      <c r="P191" s="41" t="n">
        <f aca="false">RANK(O191,O:O)</f>
        <v>41</v>
      </c>
      <c r="Q191" s="34" t="s">
        <v>224</v>
      </c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</row>
    <row r="192" customFormat="false" ht="15.75" hidden="false" customHeight="true" outlineLevel="0" collapsed="false"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9" t="n">
        <f aca="false">INDEX('Data 2'!$L$2:$L$2198,MATCH(N192,'Data 2'!$A$2:$A$2198,0))</f>
        <v>16.1233333333333</v>
      </c>
      <c r="M192" s="40" t="n">
        <f aca="false">RANK(L192,L:L)</f>
        <v>70</v>
      </c>
      <c r="N192" s="34" t="s">
        <v>225</v>
      </c>
      <c r="O192" s="39" t="n">
        <f aca="false">INDEX('Data 2'!$M$2:$M$2198,MATCH(N192,'Data 2'!$A$2:$A$2198,0))</f>
        <v>85.945</v>
      </c>
      <c r="P192" s="41" t="n">
        <f aca="false">RANK(O192,O:O)</f>
        <v>34</v>
      </c>
      <c r="Q192" s="34" t="s">
        <v>225</v>
      </c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</row>
    <row r="193" customFormat="false" ht="15.75" hidden="false" customHeight="true" outlineLevel="0" collapsed="false"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9" t="n">
        <f aca="false">INDEX('Data 2'!$L$2:$L$2198,MATCH(N193,'Data 2'!$A$2:$A$2198,0))</f>
        <v>96.33</v>
      </c>
      <c r="M193" s="40" t="n">
        <f aca="false">RANK(L193,L:L)</f>
        <v>15</v>
      </c>
      <c r="N193" s="34" t="s">
        <v>226</v>
      </c>
      <c r="O193" s="39" t="n">
        <f aca="false">INDEX('Data 2'!$M$2:$M$2198,MATCH(N193,'Data 2'!$A$2:$A$2198,0))</f>
        <v>132.71</v>
      </c>
      <c r="P193" s="41" t="n">
        <f aca="false">RANK(O193,O:O)</f>
        <v>13</v>
      </c>
      <c r="Q193" s="34" t="s">
        <v>226</v>
      </c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</row>
    <row r="194" customFormat="false" ht="15.75" hidden="false" customHeight="true" outlineLevel="0" collapsed="false"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9" t="n">
        <f aca="false">INDEX('Data 2'!$L$2:$L$2198,MATCH(N194,'Data 2'!$A$2:$A$2198,0))</f>
        <v>-22.5566666666667</v>
      </c>
      <c r="M194" s="40" t="n">
        <f aca="false">RANK(L194,L:L)</f>
        <v>116</v>
      </c>
      <c r="N194" s="34" t="s">
        <v>227</v>
      </c>
      <c r="O194" s="39" t="n">
        <f aca="false">INDEX('Data 2'!$M$2:$M$2198,MATCH(N194,'Data 2'!$A$2:$A$2198,0))</f>
        <v>7.9675</v>
      </c>
      <c r="P194" s="41" t="n">
        <f aca="false">RANK(O194,O:O)</f>
        <v>95</v>
      </c>
      <c r="Q194" s="34" t="s">
        <v>227</v>
      </c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</row>
    <row r="195" customFormat="false" ht="15.75" hidden="false" customHeight="true" outlineLevel="0" collapsed="false"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9" t="n">
        <f aca="false">INDEX('Data 2'!$L$2:$L$2198,MATCH(N195,'Data 2'!$A$2:$A$2198,0))</f>
        <v>-0.579999999999998</v>
      </c>
      <c r="M195" s="40" t="n">
        <f aca="false">RANK(L195,L:L)</f>
        <v>94</v>
      </c>
      <c r="N195" s="34" t="s">
        <v>228</v>
      </c>
      <c r="O195" s="39" t="n">
        <f aca="false">INDEX('Data 2'!$M$2:$M$2198,MATCH(N195,'Data 2'!$A$2:$A$2198,0))</f>
        <v>12.17125</v>
      </c>
      <c r="P195" s="41" t="n">
        <f aca="false">RANK(O195,O:O)</f>
        <v>91</v>
      </c>
      <c r="Q195" s="34" t="s">
        <v>228</v>
      </c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</row>
    <row r="196" customFormat="false" ht="15.75" hidden="false" customHeight="true" outlineLevel="0" collapsed="false"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9" t="n">
        <f aca="false">INDEX('Data 2'!$L$2:$L$2198,MATCH(N196,'Data 2'!$A$2:$A$2198,0))</f>
        <v>-89.57</v>
      </c>
      <c r="M196" s="40" t="n">
        <f aca="false">RANK(L196,L:L)</f>
        <v>190</v>
      </c>
      <c r="N196" s="34" t="s">
        <v>229</v>
      </c>
      <c r="O196" s="39" t="n">
        <f aca="false">INDEX('Data 2'!$M$2:$M$2198,MATCH(N196,'Data 2'!$A$2:$A$2198,0))</f>
        <v>-74.96375</v>
      </c>
      <c r="P196" s="41" t="n">
        <f aca="false">RANK(O196,O:O)</f>
        <v>188</v>
      </c>
      <c r="Q196" s="34" t="s">
        <v>229</v>
      </c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</row>
    <row r="197" customFormat="false" ht="15.75" hidden="false" customHeight="true" outlineLevel="0" collapsed="false"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9" t="n">
        <f aca="false">INDEX('Data 2'!$L$2:$L$2198,MATCH(N197,'Data 2'!$A$2:$A$2198,0))</f>
        <v>-87.33</v>
      </c>
      <c r="M197" s="40" t="n">
        <f aca="false">RANK(L197,L:L)</f>
        <v>187</v>
      </c>
      <c r="N197" s="34" t="s">
        <v>230</v>
      </c>
      <c r="O197" s="39" t="n">
        <f aca="false">INDEX('Data 2'!$M$2:$M$2198,MATCH(N197,'Data 2'!$A$2:$A$2198,0))</f>
        <v>-85.78125</v>
      </c>
      <c r="P197" s="41" t="n">
        <f aca="false">RANK(O197,O:O)</f>
        <v>194</v>
      </c>
      <c r="Q197" s="34" t="s">
        <v>230</v>
      </c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</row>
    <row r="198" customFormat="false" ht="15.75" hidden="false" customHeight="true" outlineLevel="0" collapsed="false"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9" t="n">
        <f aca="false">INDEX('Data 2'!$L$2:$L$2198,MATCH(N198,'Data 2'!$A$2:$A$2198,0))</f>
        <v>-121.166666666667</v>
      </c>
      <c r="M198" s="40" t="n">
        <f aca="false">RANK(L198,L:L)</f>
        <v>213</v>
      </c>
      <c r="N198" s="34" t="s">
        <v>231</v>
      </c>
      <c r="O198" s="39" t="n">
        <f aca="false">INDEX('Data 2'!$M$2:$M$2198,MATCH(N198,'Data 2'!$A$2:$A$2198,0))</f>
        <v>-112.11625</v>
      </c>
      <c r="P198" s="41" t="n">
        <f aca="false">RANK(O198,O:O)</f>
        <v>209</v>
      </c>
      <c r="Q198" s="34" t="s">
        <v>231</v>
      </c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</row>
    <row r="199" customFormat="false" ht="15.75" hidden="false" customHeight="true" outlineLevel="0" collapsed="false"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9" t="n">
        <f aca="false">INDEX('Data 2'!$L$2:$L$2198,MATCH(N199,'Data 2'!$A$2:$A$2198,0))</f>
        <v>-100.76</v>
      </c>
      <c r="M199" s="40" t="n">
        <f aca="false">RANK(L199,L:L)</f>
        <v>202</v>
      </c>
      <c r="N199" s="34" t="s">
        <v>232</v>
      </c>
      <c r="O199" s="39" t="n">
        <f aca="false">INDEX('Data 2'!$M$2:$M$2198,MATCH(N199,'Data 2'!$A$2:$A$2198,0))</f>
        <v>-79.82</v>
      </c>
      <c r="P199" s="41" t="n">
        <f aca="false">RANK(O199,O:O)</f>
        <v>191</v>
      </c>
      <c r="Q199" s="34" t="s">
        <v>232</v>
      </c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</row>
    <row r="200" customFormat="false" ht="15.75" hidden="false" customHeight="true" outlineLevel="0" collapsed="false"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9" t="n">
        <f aca="false">INDEX('Data 2'!$L$2:$L$2198,MATCH(N200,'Data 2'!$A$2:$A$2198,0))</f>
        <v>32.1466666666667</v>
      </c>
      <c r="M200" s="40" t="n">
        <f aca="false">RANK(L200,L:L)</f>
        <v>58</v>
      </c>
      <c r="N200" s="34" t="s">
        <v>233</v>
      </c>
      <c r="O200" s="39" t="n">
        <f aca="false">INDEX('Data 2'!$M$2:$M$2198,MATCH(N200,'Data 2'!$A$2:$A$2198,0))</f>
        <v>-12.21375</v>
      </c>
      <c r="P200" s="41" t="n">
        <f aca="false">RANK(O200,O:O)</f>
        <v>120</v>
      </c>
      <c r="Q200" s="34" t="s">
        <v>233</v>
      </c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</row>
    <row r="201" customFormat="false" ht="15.75" hidden="false" customHeight="true" outlineLevel="0" collapsed="false"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9" t="n">
        <f aca="false">INDEX('Data 2'!$L$2:$L$2198,MATCH(N201,'Data 2'!$A$2:$A$2198,0))</f>
        <v>-7.70666666666667</v>
      </c>
      <c r="M201" s="40" t="n">
        <f aca="false">RANK(L201,L:L)</f>
        <v>101</v>
      </c>
      <c r="N201" s="34" t="s">
        <v>234</v>
      </c>
      <c r="O201" s="39" t="n">
        <f aca="false">INDEX('Data 2'!$M$2:$M$2198,MATCH(N201,'Data 2'!$A$2:$A$2198,0))</f>
        <v>-11.97375</v>
      </c>
      <c r="P201" s="41" t="n">
        <f aca="false">RANK(O201,O:O)</f>
        <v>119</v>
      </c>
      <c r="Q201" s="34" t="s">
        <v>234</v>
      </c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</row>
    <row r="202" customFormat="false" ht="15.75" hidden="false" customHeight="true" outlineLevel="0" collapsed="false"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9" t="n">
        <f aca="false">INDEX('Data 2'!$L$2:$L$2198,MATCH(N202,'Data 2'!$A$2:$A$2198,0))</f>
        <v>85.78</v>
      </c>
      <c r="M202" s="40" t="n">
        <f aca="false">RANK(L202,L:L)</f>
        <v>25</v>
      </c>
      <c r="N202" s="34" t="s">
        <v>235</v>
      </c>
      <c r="O202" s="39" t="n">
        <f aca="false">INDEX('Data 2'!$M$2:$M$2198,MATCH(N202,'Data 2'!$A$2:$A$2198,0))</f>
        <v>26.8875</v>
      </c>
      <c r="P202" s="41" t="n">
        <f aca="false">RANK(O202,O:O)</f>
        <v>79</v>
      </c>
      <c r="Q202" s="34" t="s">
        <v>235</v>
      </c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</row>
    <row r="203" customFormat="false" ht="15.75" hidden="false" customHeight="true" outlineLevel="0" collapsed="false"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9" t="n">
        <f aca="false">INDEX('Data 2'!$L$2:$L$2198,MATCH(N203,'Data 2'!$A$2:$A$2198,0))</f>
        <v>-10.8966666666667</v>
      </c>
      <c r="M203" s="40" t="n">
        <f aca="false">RANK(L203,L:L)</f>
        <v>105</v>
      </c>
      <c r="N203" s="34" t="s">
        <v>236</v>
      </c>
      <c r="O203" s="39" t="n">
        <f aca="false">INDEX('Data 2'!$M$2:$M$2198,MATCH(N203,'Data 2'!$A$2:$A$2198,0))</f>
        <v>-48.05875</v>
      </c>
      <c r="P203" s="41" t="n">
        <f aca="false">RANK(O203,O:O)</f>
        <v>162</v>
      </c>
      <c r="Q203" s="34" t="s">
        <v>236</v>
      </c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</row>
    <row r="204" customFormat="false" ht="15.75" hidden="false" customHeight="true" outlineLevel="0" collapsed="false"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9" t="n">
        <f aca="false">INDEX('Data 2'!$L$2:$L$2198,MATCH(N204,'Data 2'!$A$2:$A$2198,0))</f>
        <v>-60.82</v>
      </c>
      <c r="M204" s="40" t="n">
        <f aca="false">RANK(L204,L:L)</f>
        <v>158</v>
      </c>
      <c r="N204" s="34" t="s">
        <v>237</v>
      </c>
      <c r="O204" s="39" t="n">
        <f aca="false">INDEX('Data 2'!$M$2:$M$2198,MATCH(N204,'Data 2'!$A$2:$A$2198,0))</f>
        <v>-76.8025</v>
      </c>
      <c r="P204" s="41" t="n">
        <f aca="false">RANK(O204,O:O)</f>
        <v>189</v>
      </c>
      <c r="Q204" s="34" t="s">
        <v>237</v>
      </c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</row>
    <row r="205" customFormat="false" ht="15.75" hidden="false" customHeight="true" outlineLevel="0" collapsed="false"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9" t="n">
        <f aca="false">INDEX('Data 2'!$L$2:$L$2198,MATCH(N205,'Data 2'!$A$2:$A$2198,0))</f>
        <v>-64.89</v>
      </c>
      <c r="M205" s="40" t="n">
        <f aca="false">RANK(L205,L:L)</f>
        <v>167</v>
      </c>
      <c r="N205" s="34" t="s">
        <v>238</v>
      </c>
      <c r="O205" s="39" t="n">
        <f aca="false">INDEX('Data 2'!$M$2:$M$2198,MATCH(N205,'Data 2'!$A$2:$A$2198,0))</f>
        <v>-70.58875</v>
      </c>
      <c r="P205" s="41" t="n">
        <f aca="false">RANK(O205,O:O)</f>
        <v>182</v>
      </c>
      <c r="Q205" s="34" t="s">
        <v>238</v>
      </c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</row>
    <row r="206" customFormat="false" ht="15.75" hidden="false" customHeight="true" outlineLevel="0" collapsed="false"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9" t="n">
        <f aca="false">INDEX('Data 2'!$L$2:$L$2198,MATCH(N206,'Data 2'!$A$2:$A$2198,0))</f>
        <v>28.43</v>
      </c>
      <c r="M206" s="40" t="n">
        <f aca="false">RANK(L206,L:L)</f>
        <v>63</v>
      </c>
      <c r="N206" s="34" t="s">
        <v>239</v>
      </c>
      <c r="O206" s="39" t="n">
        <f aca="false">INDEX('Data 2'!$M$2:$M$2198,MATCH(N206,'Data 2'!$A$2:$A$2198,0))</f>
        <v>133.5325</v>
      </c>
      <c r="P206" s="41" t="n">
        <f aca="false">RANK(O206,O:O)</f>
        <v>12</v>
      </c>
      <c r="Q206" s="34" t="s">
        <v>239</v>
      </c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</row>
    <row r="207" customFormat="false" ht="15.75" hidden="false" customHeight="true" outlineLevel="0" collapsed="false"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9" t="n">
        <f aca="false">INDEX('Data 2'!$L$2:$L$2198,MATCH(N207,'Data 2'!$A$2:$A$2198,0))</f>
        <v>-127.08</v>
      </c>
      <c r="M207" s="40" t="n">
        <f aca="false">RANK(L207,L:L)</f>
        <v>215</v>
      </c>
      <c r="N207" s="34" t="s">
        <v>240</v>
      </c>
      <c r="O207" s="39" t="n">
        <f aca="false">INDEX('Data 2'!$M$2:$M$2198,MATCH(N207,'Data 2'!$A$2:$A$2198,0))</f>
        <v>-112.8225</v>
      </c>
      <c r="P207" s="41" t="n">
        <f aca="false">RANK(O207,O:O)</f>
        <v>211</v>
      </c>
      <c r="Q207" s="34" t="s">
        <v>240</v>
      </c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</row>
    <row r="208" customFormat="false" ht="15.75" hidden="false" customHeight="true" outlineLevel="0" collapsed="false"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9" t="n">
        <f aca="false">INDEX('Data 2'!$L$2:$L$2198,MATCH(N208,'Data 2'!$A$2:$A$2198,0))</f>
        <v>-31.2566666666667</v>
      </c>
      <c r="M208" s="40" t="n">
        <f aca="false">RANK(L208,L:L)</f>
        <v>122</v>
      </c>
      <c r="N208" s="34" t="s">
        <v>241</v>
      </c>
      <c r="O208" s="39" t="n">
        <f aca="false">INDEX('Data 2'!$M$2:$M$2198,MATCH(N208,'Data 2'!$A$2:$A$2198,0))</f>
        <v>60.3325</v>
      </c>
      <c r="P208" s="41" t="n">
        <f aca="false">RANK(O208,O:O)</f>
        <v>50</v>
      </c>
      <c r="Q208" s="34" t="s">
        <v>241</v>
      </c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</row>
    <row r="209" customFormat="false" ht="15.75" hidden="false" customHeight="true" outlineLevel="0" collapsed="false"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9" t="n">
        <f aca="false">INDEX('Data 2'!$L$2:$L$2198,MATCH(N209,'Data 2'!$A$2:$A$2198,0))</f>
        <v>-28.8833333333333</v>
      </c>
      <c r="M209" s="40" t="n">
        <f aca="false">RANK(L209,L:L)</f>
        <v>118</v>
      </c>
      <c r="N209" s="34" t="s">
        <v>242</v>
      </c>
      <c r="O209" s="39" t="n">
        <f aca="false">INDEX('Data 2'!$M$2:$M$2198,MATCH(N209,'Data 2'!$A$2:$A$2198,0))</f>
        <v>-32.350375</v>
      </c>
      <c r="P209" s="41" t="n">
        <f aca="false">RANK(O209,O:O)</f>
        <v>148</v>
      </c>
      <c r="Q209" s="34" t="s">
        <v>242</v>
      </c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</row>
    <row r="210" customFormat="false" ht="15.75" hidden="false" customHeight="true" outlineLevel="0" collapsed="false"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9" t="n">
        <f aca="false">INDEX('Data 2'!$L$2:$L$2198,MATCH(N210,'Data 2'!$A$2:$A$2198,0))</f>
        <v>62.8033333333333</v>
      </c>
      <c r="M210" s="40" t="n">
        <f aca="false">RANK(L210,L:L)</f>
        <v>42</v>
      </c>
      <c r="N210" s="34" t="s">
        <v>243</v>
      </c>
      <c r="O210" s="39" t="n">
        <f aca="false">INDEX('Data 2'!$M$2:$M$2198,MATCH(N210,'Data 2'!$A$2:$A$2198,0))</f>
        <v>122.18125</v>
      </c>
      <c r="P210" s="41" t="n">
        <f aca="false">RANK(O210,O:O)</f>
        <v>17</v>
      </c>
      <c r="Q210" s="34" t="s">
        <v>243</v>
      </c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</row>
    <row r="211" customFormat="false" ht="15.75" hidden="false" customHeight="true" outlineLevel="0" collapsed="false"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9" t="n">
        <f aca="false">INDEX('Data 2'!$L$2:$L$2198,MATCH(N211,'Data 2'!$A$2:$A$2198,0))</f>
        <v>119.433333333333</v>
      </c>
      <c r="M211" s="40" t="n">
        <f aca="false">RANK(L211,L:L)</f>
        <v>5</v>
      </c>
      <c r="N211" s="34" t="s">
        <v>244</v>
      </c>
      <c r="O211" s="39" t="n">
        <f aca="false">INDEX('Data 2'!$M$2:$M$2198,MATCH(N211,'Data 2'!$A$2:$A$2198,0))</f>
        <v>36.765</v>
      </c>
      <c r="P211" s="41" t="n">
        <f aca="false">RANK(O211,O:O)</f>
        <v>72</v>
      </c>
      <c r="Q211" s="34" t="s">
        <v>244</v>
      </c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</row>
    <row r="212" customFormat="false" ht="15.75" hidden="false" customHeight="true" outlineLevel="0" collapsed="false"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9" t="n">
        <f aca="false">INDEX('Data 2'!$L$2:$L$2198,MATCH(N212,'Data 2'!$A$2:$A$2198,0))</f>
        <v>30.24</v>
      </c>
      <c r="M212" s="40" t="n">
        <f aca="false">RANK(L212,L:L)</f>
        <v>59</v>
      </c>
      <c r="N212" s="34" t="s">
        <v>245</v>
      </c>
      <c r="O212" s="39" t="n">
        <f aca="false">INDEX('Data 2'!$M$2:$M$2198,MATCH(N212,'Data 2'!$A$2:$A$2198,0))</f>
        <v>68.2475</v>
      </c>
      <c r="P212" s="41" t="n">
        <f aca="false">RANK(O212,O:O)</f>
        <v>46</v>
      </c>
      <c r="Q212" s="34" t="s">
        <v>245</v>
      </c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</row>
    <row r="213" customFormat="false" ht="15.75" hidden="false" customHeight="true" outlineLevel="0" collapsed="false"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9" t="n">
        <f aca="false">INDEX('Data 2'!$L$2:$L$2198,MATCH(N213,'Data 2'!$A$2:$A$2198,0))</f>
        <v>9.61</v>
      </c>
      <c r="M213" s="40" t="n">
        <f aca="false">RANK(L213,L:L)</f>
        <v>81</v>
      </c>
      <c r="N213" s="34" t="s">
        <v>246</v>
      </c>
      <c r="O213" s="39" t="n">
        <f aca="false">INDEX('Data 2'!$M$2:$M$2198,MATCH(N213,'Data 2'!$A$2:$A$2198,0))</f>
        <v>138.3625</v>
      </c>
      <c r="P213" s="41" t="n">
        <f aca="false">RANK(O213,O:O)</f>
        <v>11</v>
      </c>
      <c r="Q213" s="34" t="s">
        <v>246</v>
      </c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</row>
    <row r="214" customFormat="false" ht="15.75" hidden="false" customHeight="true" outlineLevel="0" collapsed="false"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9" t="n">
        <f aca="false">INDEX('Data 2'!$L$2:$L$2198,MATCH(N214,'Data 2'!$A$2:$A$2198,0))</f>
        <v>80.6433333333333</v>
      </c>
      <c r="M214" s="40" t="n">
        <f aca="false">RANK(L214,L:L)</f>
        <v>31</v>
      </c>
      <c r="N214" s="34" t="s">
        <v>247</v>
      </c>
      <c r="O214" s="39" t="n">
        <f aca="false">INDEX('Data 2'!$M$2:$M$2198,MATCH(N214,'Data 2'!$A$2:$A$2198,0))</f>
        <v>109.85375</v>
      </c>
      <c r="P214" s="41" t="n">
        <f aca="false">RANK(O214,O:O)</f>
        <v>20</v>
      </c>
      <c r="Q214" s="34" t="s">
        <v>247</v>
      </c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</row>
    <row r="215" customFormat="false" ht="15.75" hidden="false" customHeight="true" outlineLevel="0" collapsed="false"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9" t="n">
        <f aca="false">INDEX('Data 2'!$L$2:$L$2198,MATCH(N215,'Data 2'!$A$2:$A$2198,0))</f>
        <v>-110.906666666667</v>
      </c>
      <c r="M215" s="40" t="n">
        <f aca="false">RANK(L215,L:L)</f>
        <v>207</v>
      </c>
      <c r="N215" s="34" t="s">
        <v>248</v>
      </c>
      <c r="O215" s="39" t="n">
        <f aca="false">INDEX('Data 2'!$M$2:$M$2198,MATCH(N215,'Data 2'!$A$2:$A$2198,0))</f>
        <v>-53.11875</v>
      </c>
      <c r="P215" s="41" t="n">
        <f aca="false">RANK(O215,O:O)</f>
        <v>167</v>
      </c>
      <c r="Q215" s="34" t="s">
        <v>248</v>
      </c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</row>
    <row r="216" customFormat="false" ht="15.75" hidden="false" customHeight="true" outlineLevel="0" collapsed="false"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9" t="n">
        <f aca="false">INDEX('Data 2'!$L$2:$L$2198,MATCH(N216,'Data 2'!$A$2:$A$2198,0))</f>
        <v>-12.81</v>
      </c>
      <c r="M216" s="40" t="n">
        <f aca="false">RANK(L216,L:L)</f>
        <v>108</v>
      </c>
      <c r="N216" s="34" t="s">
        <v>249</v>
      </c>
      <c r="O216" s="39" t="n">
        <f aca="false">INDEX('Data 2'!$M$2:$M$2198,MATCH(N216,'Data 2'!$A$2:$A$2198,0))</f>
        <v>16.07</v>
      </c>
      <c r="P216" s="41" t="n">
        <f aca="false">RANK(O216,O:O)</f>
        <v>87</v>
      </c>
      <c r="Q216" s="34" t="s">
        <v>249</v>
      </c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</row>
    <row r="217" customFormat="false" ht="15.75" hidden="false" customHeight="true" outlineLevel="0" collapsed="false"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9" t="n">
        <f aca="false">INDEX('Data 2'!$L$2:$L$2198,MATCH(N217,'Data 2'!$A$2:$A$2198,0))</f>
        <v>9.18333333333334</v>
      </c>
      <c r="M217" s="40" t="n">
        <f aca="false">RANK(L217,L:L)</f>
        <v>84</v>
      </c>
      <c r="N217" s="34" t="s">
        <v>250</v>
      </c>
      <c r="O217" s="39" t="n">
        <f aca="false">INDEX('Data 2'!$M$2:$M$2198,MATCH(N217,'Data 2'!$A$2:$A$2198,0))</f>
        <v>-48.7</v>
      </c>
      <c r="P217" s="41" t="n">
        <f aca="false">RANK(O217,O:O)</f>
        <v>163</v>
      </c>
      <c r="Q217" s="34" t="s">
        <v>250</v>
      </c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</row>
    <row r="218" customFormat="false" ht="15.75" hidden="false" customHeight="true" outlineLevel="0" collapsed="false"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9"/>
      <c r="M218" s="40"/>
      <c r="O218" s="39"/>
      <c r="P218" s="41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</row>
    <row r="219" customFormat="false" ht="15.75" hidden="false" customHeight="true" outlineLevel="0" collapsed="false"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9"/>
      <c r="M219" s="40"/>
      <c r="O219" s="39"/>
      <c r="P219" s="41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</row>
    <row r="220" customFormat="false" ht="15.75" hidden="false" customHeight="true" outlineLevel="0" collapsed="false"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9"/>
      <c r="M220" s="40"/>
      <c r="O220" s="39"/>
      <c r="P220" s="41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</row>
    <row r="221" customFormat="false" ht="15.75" hidden="false" customHeight="true" outlineLevel="0" collapsed="false"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9"/>
      <c r="M221" s="40"/>
      <c r="O221" s="39"/>
      <c r="P221" s="41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</row>
    <row r="222" customFormat="false" ht="15.75" hidden="false" customHeight="true" outlineLevel="0" collapsed="false"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9"/>
      <c r="M222" s="40"/>
      <c r="O222" s="39"/>
      <c r="P222" s="41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</row>
    <row r="223" customFormat="false" ht="15.75" hidden="false" customHeight="true" outlineLevel="0" collapsed="false"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9"/>
      <c r="M223" s="40"/>
      <c r="O223" s="39"/>
      <c r="P223" s="41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</row>
    <row r="224" customFormat="false" ht="15.75" hidden="false" customHeight="true" outlineLevel="0" collapsed="false"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9"/>
      <c r="M224" s="40"/>
      <c r="O224" s="39"/>
      <c r="P224" s="41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</row>
    <row r="225" customFormat="false" ht="15.75" hidden="false" customHeight="true" outlineLevel="0" collapsed="false"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9"/>
      <c r="M225" s="40"/>
      <c r="O225" s="39"/>
      <c r="P225" s="41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</row>
    <row r="226" customFormat="false" ht="15.75" hidden="false" customHeight="true" outlineLevel="0" collapsed="false"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9"/>
      <c r="M226" s="40"/>
      <c r="O226" s="39"/>
      <c r="P226" s="41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</row>
    <row r="227" customFormat="false" ht="15.75" hidden="false" customHeight="true" outlineLevel="0" collapsed="false"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9"/>
      <c r="M227" s="40"/>
      <c r="O227" s="39"/>
      <c r="P227" s="41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</row>
    <row r="228" customFormat="false" ht="15.75" hidden="false" customHeight="true" outlineLevel="0" collapsed="false"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9"/>
      <c r="M228" s="40"/>
      <c r="O228" s="39"/>
      <c r="P228" s="41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</row>
    <row r="229" customFormat="false" ht="15.75" hidden="false" customHeight="true" outlineLevel="0" collapsed="false"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9"/>
      <c r="M229" s="40"/>
      <c r="O229" s="39"/>
      <c r="P229" s="41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</row>
    <row r="230" customFormat="false" ht="15.75" hidden="false" customHeight="true" outlineLevel="0" collapsed="false"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9"/>
      <c r="M230" s="40"/>
      <c r="O230" s="39"/>
      <c r="P230" s="41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</row>
    <row r="231" customFormat="false" ht="15.75" hidden="false" customHeight="true" outlineLevel="0" collapsed="false"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9"/>
      <c r="M231" s="40"/>
      <c r="O231" s="39"/>
      <c r="P231" s="41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</row>
    <row r="232" customFormat="false" ht="15.75" hidden="false" customHeight="true" outlineLevel="0" collapsed="false"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9"/>
      <c r="M232" s="40"/>
      <c r="O232" s="39"/>
      <c r="P232" s="41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</row>
    <row r="233" customFormat="false" ht="15.75" hidden="false" customHeight="true" outlineLevel="0" collapsed="false"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9"/>
      <c r="M233" s="40"/>
      <c r="O233" s="39"/>
      <c r="P233" s="41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</row>
    <row r="234" customFormat="false" ht="15.75" hidden="false" customHeight="true" outlineLevel="0" collapsed="false"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9"/>
      <c r="M234" s="40"/>
      <c r="O234" s="39"/>
      <c r="P234" s="41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</row>
    <row r="235" customFormat="false" ht="15.75" hidden="false" customHeight="true" outlineLevel="0" collapsed="false"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9"/>
      <c r="M235" s="40"/>
      <c r="O235" s="39"/>
      <c r="P235" s="41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</row>
    <row r="236" customFormat="false" ht="15.75" hidden="false" customHeight="true" outlineLevel="0" collapsed="false"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9"/>
      <c r="M236" s="40"/>
      <c r="O236" s="39"/>
      <c r="P236" s="41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</row>
    <row r="237" customFormat="false" ht="15.75" hidden="false" customHeight="true" outlineLevel="0" collapsed="false"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9"/>
      <c r="M237" s="40"/>
      <c r="O237" s="39"/>
      <c r="P237" s="41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</row>
    <row r="238" customFormat="false" ht="15.75" hidden="false" customHeight="true" outlineLevel="0" collapsed="false"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9"/>
      <c r="M238" s="40"/>
      <c r="O238" s="39"/>
      <c r="P238" s="41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</row>
    <row r="239" customFormat="false" ht="15.75" hidden="false" customHeight="true" outlineLevel="0" collapsed="false"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9"/>
      <c r="M239" s="40"/>
      <c r="O239" s="39"/>
      <c r="P239" s="41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</row>
    <row r="240" customFormat="false" ht="15.75" hidden="false" customHeight="true" outlineLevel="0" collapsed="false"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9"/>
      <c r="M240" s="40"/>
      <c r="O240" s="39"/>
      <c r="P240" s="41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</row>
    <row r="241" customFormat="false" ht="15.75" hidden="false" customHeight="true" outlineLevel="0" collapsed="false"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9"/>
      <c r="M241" s="40"/>
      <c r="O241" s="39"/>
      <c r="P241" s="41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</row>
    <row r="242" customFormat="false" ht="15.75" hidden="false" customHeight="true" outlineLevel="0" collapsed="false"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9"/>
      <c r="M242" s="40"/>
      <c r="O242" s="39"/>
      <c r="P242" s="41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</row>
    <row r="243" customFormat="false" ht="15.75" hidden="false" customHeight="true" outlineLevel="0" collapsed="false"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9"/>
      <c r="M243" s="40"/>
      <c r="O243" s="39"/>
      <c r="P243" s="41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</row>
    <row r="244" customFormat="false" ht="15.75" hidden="false" customHeight="true" outlineLevel="0" collapsed="false"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9"/>
      <c r="M244" s="40"/>
      <c r="O244" s="39"/>
      <c r="P244" s="41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</row>
    <row r="245" customFormat="false" ht="15.75" hidden="false" customHeight="true" outlineLevel="0" collapsed="false"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9"/>
      <c r="M245" s="40"/>
      <c r="O245" s="39"/>
      <c r="P245" s="41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</row>
    <row r="246" customFormat="false" ht="15.75" hidden="false" customHeight="true" outlineLevel="0" collapsed="false"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9"/>
      <c r="M246" s="40"/>
      <c r="O246" s="39"/>
      <c r="P246" s="41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</row>
    <row r="247" customFormat="false" ht="15.75" hidden="false" customHeight="true" outlineLevel="0" collapsed="false"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9"/>
      <c r="M247" s="40"/>
      <c r="O247" s="39"/>
      <c r="P247" s="41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</row>
    <row r="248" customFormat="false" ht="15.75" hidden="false" customHeight="true" outlineLevel="0" collapsed="false"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9"/>
      <c r="M248" s="40"/>
      <c r="O248" s="39"/>
      <c r="P248" s="41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</row>
    <row r="249" customFormat="false" ht="15.75" hidden="false" customHeight="true" outlineLevel="0" collapsed="false"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9"/>
      <c r="M249" s="40"/>
      <c r="O249" s="39"/>
      <c r="P249" s="41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</row>
    <row r="250" customFormat="false" ht="15.75" hidden="false" customHeight="true" outlineLevel="0" collapsed="false"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9"/>
      <c r="M250" s="40"/>
      <c r="O250" s="39"/>
      <c r="P250" s="41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</row>
    <row r="251" customFormat="false" ht="15.75" hidden="false" customHeight="true" outlineLevel="0" collapsed="false"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9"/>
      <c r="M251" s="40"/>
      <c r="O251" s="39"/>
      <c r="P251" s="41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</row>
    <row r="252" customFormat="false" ht="15.75" hidden="false" customHeight="true" outlineLevel="0" collapsed="false"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9"/>
      <c r="M252" s="40"/>
      <c r="O252" s="39"/>
      <c r="P252" s="41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</row>
    <row r="253" customFormat="false" ht="15.75" hidden="false" customHeight="true" outlineLevel="0" collapsed="false"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9"/>
      <c r="M253" s="40"/>
      <c r="O253" s="39"/>
      <c r="P253" s="41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</row>
    <row r="254" customFormat="false" ht="15.75" hidden="false" customHeight="true" outlineLevel="0" collapsed="false"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9"/>
      <c r="M254" s="40"/>
      <c r="O254" s="39"/>
      <c r="P254" s="41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</row>
    <row r="255" customFormat="false" ht="15.75" hidden="false" customHeight="true" outlineLevel="0" collapsed="false"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9"/>
      <c r="M255" s="40"/>
      <c r="O255" s="39"/>
      <c r="P255" s="41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</row>
    <row r="256" customFormat="false" ht="15.75" hidden="false" customHeight="true" outlineLevel="0" collapsed="false"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9"/>
      <c r="M256" s="40"/>
      <c r="O256" s="39"/>
      <c r="P256" s="41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</row>
    <row r="257" customFormat="false" ht="15.75" hidden="false" customHeight="true" outlineLevel="0" collapsed="false"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9"/>
      <c r="M257" s="40"/>
      <c r="O257" s="39"/>
      <c r="P257" s="41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</row>
    <row r="258" customFormat="false" ht="15.75" hidden="false" customHeight="true" outlineLevel="0" collapsed="false"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9"/>
      <c r="M258" s="40"/>
      <c r="O258" s="39"/>
      <c r="P258" s="41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</row>
    <row r="259" customFormat="false" ht="15.75" hidden="false" customHeight="true" outlineLevel="0" collapsed="false"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9"/>
      <c r="M259" s="40"/>
      <c r="O259" s="39"/>
      <c r="P259" s="41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</row>
    <row r="260" customFormat="false" ht="15.75" hidden="false" customHeight="true" outlineLevel="0" collapsed="false"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9"/>
      <c r="M260" s="40"/>
      <c r="O260" s="39"/>
      <c r="P260" s="41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</row>
    <row r="261" customFormat="false" ht="15.75" hidden="false" customHeight="true" outlineLevel="0" collapsed="false"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9"/>
      <c r="M261" s="40"/>
      <c r="O261" s="39"/>
      <c r="P261" s="41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</row>
    <row r="262" customFormat="false" ht="15.75" hidden="false" customHeight="true" outlineLevel="0" collapsed="false"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9"/>
      <c r="M262" s="40"/>
      <c r="O262" s="39"/>
      <c r="P262" s="41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</row>
    <row r="263" customFormat="false" ht="15.75" hidden="false" customHeight="true" outlineLevel="0" collapsed="false"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9"/>
      <c r="M263" s="40"/>
      <c r="O263" s="39"/>
      <c r="P263" s="41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</row>
    <row r="264" customFormat="false" ht="15.75" hidden="false" customHeight="true" outlineLevel="0" collapsed="false"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9"/>
      <c r="M264" s="40"/>
      <c r="O264" s="39"/>
      <c r="P264" s="41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</row>
    <row r="265" customFormat="false" ht="15.75" hidden="false" customHeight="true" outlineLevel="0" collapsed="false"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9"/>
      <c r="M265" s="40"/>
      <c r="O265" s="39"/>
      <c r="P265" s="41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</row>
    <row r="266" customFormat="false" ht="15.75" hidden="false" customHeight="true" outlineLevel="0" collapsed="false"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9"/>
      <c r="M266" s="40"/>
      <c r="O266" s="39"/>
      <c r="P266" s="41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</row>
    <row r="267" customFormat="false" ht="15.75" hidden="false" customHeight="true" outlineLevel="0" collapsed="false"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9"/>
      <c r="M267" s="40"/>
      <c r="O267" s="39"/>
      <c r="P267" s="41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</row>
    <row r="268" customFormat="false" ht="15.75" hidden="false" customHeight="true" outlineLevel="0" collapsed="false"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9"/>
      <c r="M268" s="40"/>
      <c r="O268" s="39"/>
      <c r="P268" s="41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</row>
    <row r="269" customFormat="false" ht="15.75" hidden="false" customHeight="true" outlineLevel="0" collapsed="false"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9"/>
      <c r="M269" s="40"/>
      <c r="O269" s="39"/>
      <c r="P269" s="41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</row>
    <row r="270" customFormat="false" ht="15.75" hidden="false" customHeight="true" outlineLevel="0" collapsed="false"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9"/>
      <c r="M270" s="40"/>
      <c r="O270" s="39"/>
      <c r="P270" s="41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</row>
    <row r="271" customFormat="false" ht="15.75" hidden="false" customHeight="true" outlineLevel="0" collapsed="false"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9"/>
      <c r="M271" s="40"/>
      <c r="O271" s="39"/>
      <c r="P271" s="41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</row>
    <row r="272" customFormat="false" ht="15.75" hidden="false" customHeight="true" outlineLevel="0" collapsed="false"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9"/>
      <c r="M272" s="40"/>
      <c r="O272" s="39"/>
      <c r="P272" s="41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</row>
    <row r="273" customFormat="false" ht="15.75" hidden="false" customHeight="true" outlineLevel="0" collapsed="false"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9"/>
      <c r="M273" s="40"/>
      <c r="O273" s="39"/>
      <c r="P273" s="41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</row>
    <row r="274" customFormat="false" ht="15.75" hidden="false" customHeight="true" outlineLevel="0" collapsed="false"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9"/>
      <c r="M274" s="40"/>
      <c r="O274" s="39"/>
      <c r="P274" s="41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</row>
    <row r="275" customFormat="false" ht="15.75" hidden="false" customHeight="true" outlineLevel="0" collapsed="false"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9"/>
      <c r="M275" s="40"/>
      <c r="O275" s="39"/>
      <c r="P275" s="41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</row>
    <row r="276" customFormat="false" ht="15.75" hidden="false" customHeight="true" outlineLevel="0" collapsed="false"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9"/>
      <c r="M276" s="40"/>
      <c r="O276" s="39"/>
      <c r="P276" s="41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</row>
    <row r="277" customFormat="false" ht="15.75" hidden="false" customHeight="true" outlineLevel="0" collapsed="false"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9"/>
      <c r="M277" s="40"/>
      <c r="O277" s="39"/>
      <c r="P277" s="41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</row>
    <row r="278" customFormat="false" ht="15.75" hidden="false" customHeight="true" outlineLevel="0" collapsed="false"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9"/>
      <c r="M278" s="40"/>
      <c r="O278" s="39"/>
      <c r="P278" s="41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</row>
    <row r="279" customFormat="false" ht="15.75" hidden="false" customHeight="true" outlineLevel="0" collapsed="false"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9"/>
      <c r="M279" s="40"/>
      <c r="O279" s="39"/>
      <c r="P279" s="41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</row>
    <row r="280" customFormat="false" ht="15.75" hidden="false" customHeight="true" outlineLevel="0" collapsed="false"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9"/>
      <c r="M280" s="40"/>
      <c r="O280" s="39"/>
      <c r="P280" s="41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</row>
    <row r="281" customFormat="false" ht="15.75" hidden="false" customHeight="true" outlineLevel="0" collapsed="false"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9"/>
      <c r="M281" s="40"/>
      <c r="O281" s="39"/>
      <c r="P281" s="41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</row>
    <row r="282" customFormat="false" ht="15.75" hidden="false" customHeight="true" outlineLevel="0" collapsed="false"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9"/>
      <c r="M282" s="40"/>
      <c r="O282" s="39"/>
      <c r="P282" s="41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</row>
    <row r="283" customFormat="false" ht="15.75" hidden="false" customHeight="true" outlineLevel="0" collapsed="false"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</row>
    <row r="284" customFormat="false" ht="15.75" hidden="false" customHeight="true" outlineLevel="0" collapsed="false"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9"/>
      <c r="M284" s="40"/>
      <c r="O284" s="39"/>
      <c r="P284" s="41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</row>
    <row r="285" customFormat="false" ht="15.75" hidden="false" customHeight="true" outlineLevel="0" collapsed="false"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9"/>
      <c r="M285" s="40"/>
      <c r="O285" s="39"/>
      <c r="P285" s="41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</row>
    <row r="286" customFormat="false" ht="15.75" hidden="false" customHeight="true" outlineLevel="0" collapsed="false"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9"/>
      <c r="M286" s="40"/>
      <c r="O286" s="39"/>
      <c r="P286" s="41"/>
      <c r="R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</row>
    <row r="287" customFormat="false" ht="15.75" hidden="false" customHeight="true" outlineLevel="0" collapsed="false"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9"/>
      <c r="M287" s="40"/>
      <c r="O287" s="39"/>
      <c r="P287" s="41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</row>
    <row r="288" customFormat="false" ht="15.75" hidden="false" customHeight="true" outlineLevel="0" collapsed="false"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9"/>
      <c r="M288" s="40"/>
      <c r="O288" s="39"/>
      <c r="P288" s="41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</row>
    <row r="289" customFormat="false" ht="15.75" hidden="false" customHeight="true" outlineLevel="0" collapsed="false"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9"/>
      <c r="M289" s="40"/>
      <c r="O289" s="39"/>
      <c r="P289" s="41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</row>
    <row r="290" customFormat="false" ht="15.75" hidden="false" customHeight="true" outlineLevel="0" collapsed="false"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9"/>
      <c r="M290" s="40"/>
      <c r="O290" s="39"/>
      <c r="P290" s="41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</row>
    <row r="291" customFormat="false" ht="15.75" hidden="false" customHeight="true" outlineLevel="0" collapsed="false"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9"/>
      <c r="M291" s="40"/>
      <c r="O291" s="39"/>
      <c r="P291" s="41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</row>
    <row r="292" customFormat="false" ht="15.75" hidden="false" customHeight="true" outlineLevel="0" collapsed="false"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9"/>
      <c r="M292" s="40"/>
      <c r="O292" s="39"/>
      <c r="P292" s="41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</row>
    <row r="293" customFormat="false" ht="15.75" hidden="false" customHeight="true" outlineLevel="0" collapsed="false"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9"/>
      <c r="M293" s="40"/>
      <c r="O293" s="39"/>
      <c r="P293" s="41"/>
      <c r="R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</row>
    <row r="294" customFormat="false" ht="15.75" hidden="false" customHeight="true" outlineLevel="0" collapsed="false"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9"/>
      <c r="M294" s="40"/>
      <c r="O294" s="39"/>
      <c r="P294" s="41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</row>
    <row r="295" customFormat="false" ht="15.75" hidden="false" customHeight="true" outlineLevel="0" collapsed="false"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9"/>
      <c r="M295" s="40"/>
      <c r="O295" s="39"/>
      <c r="P295" s="41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</row>
    <row r="296" customFormat="false" ht="15.75" hidden="false" customHeight="true" outlineLevel="0" collapsed="false"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9"/>
      <c r="M296" s="40"/>
      <c r="O296" s="39"/>
      <c r="P296" s="41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</row>
    <row r="297" customFormat="false" ht="15.75" hidden="false" customHeight="true" outlineLevel="0" collapsed="false"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9"/>
      <c r="M297" s="40"/>
      <c r="O297" s="39"/>
      <c r="P297" s="41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</row>
    <row r="298" customFormat="false" ht="15.75" hidden="false" customHeight="true" outlineLevel="0" collapsed="false"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9"/>
      <c r="M298" s="40"/>
      <c r="O298" s="39"/>
      <c r="P298" s="41"/>
      <c r="R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</row>
    <row r="299" customFormat="false" ht="15.75" hidden="false" customHeight="true" outlineLevel="0" collapsed="false"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9"/>
      <c r="M299" s="40"/>
      <c r="O299" s="39"/>
      <c r="P299" s="41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</row>
    <row r="300" customFormat="false" ht="15.75" hidden="false" customHeight="true" outlineLevel="0" collapsed="false"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9"/>
      <c r="M300" s="40"/>
      <c r="O300" s="39"/>
      <c r="P300" s="41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</row>
    <row r="301" customFormat="false" ht="15.75" hidden="false" customHeight="true" outlineLevel="0" collapsed="false"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9"/>
      <c r="M301" s="40"/>
      <c r="O301" s="39"/>
      <c r="P301" s="41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</row>
    <row r="302" customFormat="false" ht="15.75" hidden="false" customHeight="true" outlineLevel="0" collapsed="false"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9"/>
      <c r="M302" s="40"/>
      <c r="O302" s="39"/>
      <c r="P302" s="41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</row>
    <row r="303" customFormat="false" ht="15.75" hidden="false" customHeight="true" outlineLevel="0" collapsed="false"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9"/>
      <c r="M303" s="40"/>
      <c r="O303" s="39"/>
      <c r="P303" s="41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</row>
    <row r="304" customFormat="false" ht="15.75" hidden="false" customHeight="true" outlineLevel="0" collapsed="false"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9"/>
      <c r="M304" s="40"/>
      <c r="O304" s="39"/>
      <c r="P304" s="41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</row>
    <row r="305" customFormat="false" ht="15.75" hidden="false" customHeight="true" outlineLevel="0" collapsed="false"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9"/>
      <c r="M305" s="40"/>
      <c r="O305" s="39"/>
      <c r="P305" s="41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</row>
    <row r="306" customFormat="false" ht="15.75" hidden="false" customHeight="true" outlineLevel="0" collapsed="false"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9"/>
      <c r="M306" s="40"/>
      <c r="O306" s="39"/>
      <c r="P306" s="41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</row>
    <row r="307" customFormat="false" ht="15.75" hidden="false" customHeight="true" outlineLevel="0" collapsed="false"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9"/>
      <c r="M307" s="40"/>
      <c r="O307" s="39"/>
      <c r="P307" s="41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</row>
    <row r="308" customFormat="false" ht="15.75" hidden="false" customHeight="true" outlineLevel="0" collapsed="false"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9"/>
      <c r="M308" s="40"/>
      <c r="O308" s="39"/>
      <c r="P308" s="41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</row>
    <row r="309" customFormat="false" ht="15.75" hidden="false" customHeight="true" outlineLevel="0" collapsed="false"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9"/>
      <c r="M309" s="40"/>
      <c r="O309" s="39"/>
      <c r="P309" s="41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</row>
    <row r="310" customFormat="false" ht="15.75" hidden="false" customHeight="true" outlineLevel="0" collapsed="false"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9"/>
      <c r="M310" s="40"/>
      <c r="O310" s="39"/>
      <c r="P310" s="41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</row>
    <row r="311" customFormat="false" ht="15.75" hidden="false" customHeight="true" outlineLevel="0" collapsed="false"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9"/>
      <c r="M311" s="40"/>
      <c r="O311" s="39"/>
      <c r="P311" s="41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</row>
    <row r="312" customFormat="false" ht="15.75" hidden="false" customHeight="true" outlineLevel="0" collapsed="false"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9"/>
      <c r="M312" s="40"/>
      <c r="O312" s="39"/>
      <c r="P312" s="41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</row>
    <row r="313" customFormat="false" ht="15.75" hidden="false" customHeight="true" outlineLevel="0" collapsed="false"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9"/>
      <c r="M313" s="40"/>
      <c r="O313" s="39"/>
      <c r="P313" s="41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</row>
    <row r="314" customFormat="false" ht="15.75" hidden="false" customHeight="true" outlineLevel="0" collapsed="false"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9"/>
      <c r="M314" s="40"/>
      <c r="O314" s="39"/>
      <c r="P314" s="41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</row>
    <row r="315" customFormat="false" ht="15.75" hidden="false" customHeight="true" outlineLevel="0" collapsed="false"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9"/>
      <c r="M315" s="40"/>
      <c r="O315" s="39"/>
      <c r="P315" s="41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</row>
    <row r="316" customFormat="false" ht="15.75" hidden="false" customHeight="true" outlineLevel="0" collapsed="false"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9"/>
      <c r="M316" s="40"/>
      <c r="O316" s="39"/>
      <c r="P316" s="41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</row>
    <row r="317" customFormat="false" ht="15.75" hidden="false" customHeight="true" outlineLevel="0" collapsed="false"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9"/>
      <c r="M317" s="40"/>
      <c r="O317" s="39"/>
      <c r="P317" s="41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</row>
    <row r="318" customFormat="false" ht="15.75" hidden="false" customHeight="true" outlineLevel="0" collapsed="false"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9"/>
      <c r="M318" s="40"/>
      <c r="O318" s="39"/>
      <c r="P318" s="41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</row>
    <row r="319" customFormat="false" ht="15.75" hidden="false" customHeight="true" outlineLevel="0" collapsed="false"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9"/>
      <c r="M319" s="40"/>
      <c r="O319" s="39"/>
      <c r="P319" s="41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</row>
    <row r="320" customFormat="false" ht="15.75" hidden="false" customHeight="true" outlineLevel="0" collapsed="false"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9"/>
      <c r="M320" s="40"/>
      <c r="O320" s="39"/>
      <c r="P320" s="41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</row>
    <row r="321" customFormat="false" ht="15.75" hidden="false" customHeight="true" outlineLevel="0" collapsed="false"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9"/>
      <c r="M321" s="40"/>
      <c r="O321" s="39"/>
      <c r="P321" s="41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</row>
    <row r="322" customFormat="false" ht="15.75" hidden="false" customHeight="true" outlineLevel="0" collapsed="false"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9"/>
      <c r="M322" s="40"/>
      <c r="O322" s="39"/>
      <c r="P322" s="41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</row>
    <row r="323" customFormat="false" ht="15.75" hidden="false" customHeight="true" outlineLevel="0" collapsed="false"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9"/>
      <c r="M323" s="40"/>
      <c r="O323" s="39"/>
      <c r="P323" s="41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</row>
    <row r="324" customFormat="false" ht="15.75" hidden="false" customHeight="true" outlineLevel="0" collapsed="false"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9"/>
      <c r="M324" s="40"/>
      <c r="O324" s="39"/>
      <c r="P324" s="41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</row>
    <row r="325" customFormat="false" ht="15.75" hidden="false" customHeight="true" outlineLevel="0" collapsed="false"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9"/>
      <c r="M325" s="40"/>
      <c r="O325" s="39"/>
      <c r="P325" s="41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</row>
    <row r="326" customFormat="false" ht="15.75" hidden="false" customHeight="true" outlineLevel="0" collapsed="false"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9"/>
      <c r="M326" s="40"/>
      <c r="O326" s="39"/>
      <c r="P326" s="41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</row>
    <row r="327" customFormat="false" ht="15.75" hidden="false" customHeight="true" outlineLevel="0" collapsed="false"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9"/>
      <c r="M327" s="40"/>
      <c r="O327" s="39"/>
      <c r="P327" s="41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</row>
    <row r="328" customFormat="false" ht="15.75" hidden="false" customHeight="true" outlineLevel="0" collapsed="false"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9"/>
      <c r="M328" s="40"/>
      <c r="O328" s="39"/>
      <c r="P328" s="41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</row>
    <row r="329" customFormat="false" ht="15.75" hidden="false" customHeight="true" outlineLevel="0" collapsed="false"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9"/>
      <c r="M329" s="40"/>
      <c r="O329" s="39"/>
      <c r="P329" s="41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</row>
    <row r="330" customFormat="false" ht="15.75" hidden="false" customHeight="true" outlineLevel="0" collapsed="false"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9"/>
      <c r="M330" s="40"/>
      <c r="O330" s="39"/>
      <c r="P330" s="41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</row>
    <row r="331" customFormat="false" ht="15.75" hidden="false" customHeight="true" outlineLevel="0" collapsed="false"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9"/>
      <c r="M331" s="40"/>
      <c r="O331" s="39"/>
      <c r="P331" s="41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</row>
    <row r="332" customFormat="false" ht="15.75" hidden="false" customHeight="true" outlineLevel="0" collapsed="false"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9"/>
      <c r="M332" s="40"/>
      <c r="O332" s="39"/>
      <c r="P332" s="41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</row>
    <row r="333" customFormat="false" ht="15.75" hidden="false" customHeight="true" outlineLevel="0" collapsed="false"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9"/>
      <c r="M333" s="40"/>
      <c r="O333" s="39"/>
      <c r="P333" s="41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</row>
    <row r="334" customFormat="false" ht="15.75" hidden="false" customHeight="true" outlineLevel="0" collapsed="false"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9"/>
      <c r="M334" s="40"/>
      <c r="O334" s="39"/>
      <c r="P334" s="41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</row>
    <row r="335" customFormat="false" ht="15.75" hidden="false" customHeight="true" outlineLevel="0" collapsed="false"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9"/>
      <c r="M335" s="40"/>
      <c r="O335" s="39"/>
      <c r="P335" s="41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</row>
    <row r="336" customFormat="false" ht="15.75" hidden="false" customHeight="true" outlineLevel="0" collapsed="false"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9"/>
      <c r="M336" s="40"/>
      <c r="O336" s="39"/>
      <c r="P336" s="41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</row>
    <row r="337" customFormat="false" ht="15.75" hidden="false" customHeight="true" outlineLevel="0" collapsed="false"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9"/>
      <c r="M337" s="40"/>
      <c r="O337" s="39"/>
      <c r="P337" s="41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</row>
    <row r="338" customFormat="false" ht="15.75" hidden="false" customHeight="true" outlineLevel="0" collapsed="false"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9"/>
      <c r="M338" s="40"/>
      <c r="O338" s="39"/>
      <c r="P338" s="41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</row>
    <row r="339" customFormat="false" ht="15.75" hidden="false" customHeight="true" outlineLevel="0" collapsed="false"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9"/>
      <c r="M339" s="40"/>
      <c r="O339" s="39"/>
      <c r="P339" s="41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</row>
    <row r="340" customFormat="false" ht="15.75" hidden="false" customHeight="true" outlineLevel="0" collapsed="false"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9"/>
      <c r="M340" s="40"/>
      <c r="O340" s="39"/>
      <c r="P340" s="41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</row>
    <row r="341" customFormat="false" ht="15.75" hidden="false" customHeight="true" outlineLevel="0" collapsed="false"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9"/>
      <c r="M341" s="40"/>
      <c r="O341" s="39"/>
      <c r="P341" s="41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</row>
    <row r="342" customFormat="false" ht="15.75" hidden="false" customHeight="true" outlineLevel="0" collapsed="false"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9"/>
      <c r="M342" s="40"/>
      <c r="O342" s="39"/>
      <c r="P342" s="41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</row>
    <row r="343" customFormat="false" ht="15.75" hidden="false" customHeight="true" outlineLevel="0" collapsed="false"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9"/>
      <c r="M343" s="40"/>
      <c r="O343" s="39"/>
      <c r="P343" s="41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</row>
    <row r="344" customFormat="false" ht="15.75" hidden="false" customHeight="true" outlineLevel="0" collapsed="false"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9"/>
      <c r="M344" s="40"/>
      <c r="O344" s="39"/>
      <c r="P344" s="41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</row>
    <row r="345" customFormat="false" ht="15.75" hidden="false" customHeight="true" outlineLevel="0" collapsed="false"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9"/>
      <c r="M345" s="40"/>
      <c r="O345" s="39"/>
      <c r="P345" s="41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</row>
    <row r="346" customFormat="false" ht="15.75" hidden="false" customHeight="true" outlineLevel="0" collapsed="false"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9"/>
      <c r="M346" s="40"/>
      <c r="O346" s="39"/>
      <c r="P346" s="41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</row>
    <row r="347" customFormat="false" ht="15.75" hidden="false" customHeight="true" outlineLevel="0" collapsed="false"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9"/>
      <c r="M347" s="40"/>
      <c r="O347" s="39"/>
      <c r="P347" s="41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</row>
    <row r="348" customFormat="false" ht="15.75" hidden="false" customHeight="true" outlineLevel="0" collapsed="false"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9"/>
      <c r="M348" s="40"/>
      <c r="O348" s="39"/>
      <c r="P348" s="41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</row>
    <row r="349" customFormat="false" ht="15.75" hidden="false" customHeight="true" outlineLevel="0" collapsed="false"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9"/>
      <c r="M349" s="40"/>
      <c r="O349" s="39"/>
      <c r="P349" s="41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</row>
    <row r="350" customFormat="false" ht="15.75" hidden="false" customHeight="true" outlineLevel="0" collapsed="false"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9"/>
      <c r="M350" s="40"/>
      <c r="O350" s="39"/>
      <c r="P350" s="41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</row>
    <row r="351" customFormat="false" ht="15.75" hidden="false" customHeight="true" outlineLevel="0" collapsed="false"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9"/>
      <c r="M351" s="40"/>
      <c r="O351" s="39"/>
      <c r="P351" s="41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</row>
    <row r="352" customFormat="false" ht="15.75" hidden="false" customHeight="true" outlineLevel="0" collapsed="false"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9"/>
      <c r="M352" s="40"/>
      <c r="O352" s="39"/>
      <c r="P352" s="41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</row>
    <row r="353" customFormat="false" ht="15.75" hidden="false" customHeight="true" outlineLevel="0" collapsed="false"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9"/>
      <c r="M353" s="40"/>
      <c r="O353" s="39"/>
      <c r="P353" s="41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</row>
    <row r="354" customFormat="false" ht="15.75" hidden="false" customHeight="true" outlineLevel="0" collapsed="false"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9"/>
      <c r="M354" s="40"/>
      <c r="O354" s="39"/>
      <c r="P354" s="41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</row>
    <row r="355" customFormat="false" ht="15.75" hidden="false" customHeight="true" outlineLevel="0" collapsed="false"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9"/>
      <c r="M355" s="40"/>
      <c r="O355" s="39"/>
      <c r="P355" s="41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</row>
    <row r="356" customFormat="false" ht="15.75" hidden="false" customHeight="true" outlineLevel="0" collapsed="false"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9"/>
      <c r="M356" s="40"/>
      <c r="O356" s="39"/>
      <c r="P356" s="41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</row>
    <row r="357" customFormat="false" ht="15.75" hidden="false" customHeight="true" outlineLevel="0" collapsed="false"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9"/>
      <c r="M357" s="40"/>
      <c r="O357" s="39"/>
      <c r="P357" s="41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</row>
    <row r="358" customFormat="false" ht="15.75" hidden="false" customHeight="true" outlineLevel="0" collapsed="false"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9"/>
      <c r="M358" s="40"/>
      <c r="O358" s="39"/>
      <c r="P358" s="41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</row>
    <row r="359" customFormat="false" ht="15.75" hidden="false" customHeight="true" outlineLevel="0" collapsed="false"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9"/>
      <c r="M359" s="40"/>
      <c r="O359" s="39"/>
      <c r="P359" s="41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</row>
    <row r="360" customFormat="false" ht="15.75" hidden="false" customHeight="true" outlineLevel="0" collapsed="false"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9"/>
      <c r="M360" s="40"/>
      <c r="O360" s="39"/>
      <c r="P360" s="41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</row>
    <row r="361" customFormat="false" ht="15.75" hidden="false" customHeight="true" outlineLevel="0" collapsed="false"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9"/>
      <c r="M361" s="40"/>
      <c r="O361" s="39"/>
      <c r="P361" s="41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</row>
    <row r="362" customFormat="false" ht="15.75" hidden="false" customHeight="true" outlineLevel="0" collapsed="false"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9"/>
      <c r="M362" s="40"/>
      <c r="O362" s="39"/>
      <c r="P362" s="41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</row>
    <row r="363" customFormat="false" ht="15.75" hidden="false" customHeight="true" outlineLevel="0" collapsed="false"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9"/>
      <c r="M363" s="40"/>
      <c r="O363" s="39"/>
      <c r="P363" s="41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</row>
    <row r="364" customFormat="false" ht="15.75" hidden="false" customHeight="true" outlineLevel="0" collapsed="false"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9"/>
      <c r="M364" s="40"/>
      <c r="O364" s="39"/>
      <c r="P364" s="41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</row>
    <row r="365" customFormat="false" ht="15.75" hidden="false" customHeight="true" outlineLevel="0" collapsed="false"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9"/>
      <c r="M365" s="40"/>
      <c r="O365" s="39"/>
      <c r="P365" s="41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</row>
    <row r="366" customFormat="false" ht="15.75" hidden="false" customHeight="true" outlineLevel="0" collapsed="false"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9"/>
      <c r="M366" s="40"/>
      <c r="O366" s="39"/>
      <c r="P366" s="41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</row>
    <row r="367" customFormat="false" ht="15.75" hidden="false" customHeight="true" outlineLevel="0" collapsed="false"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9"/>
      <c r="M367" s="40"/>
      <c r="O367" s="39"/>
      <c r="P367" s="41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</row>
    <row r="368" customFormat="false" ht="15.75" hidden="false" customHeight="true" outlineLevel="0" collapsed="false"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9"/>
      <c r="M368" s="40"/>
      <c r="O368" s="39"/>
      <c r="P368" s="41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</row>
    <row r="369" customFormat="false" ht="15.75" hidden="false" customHeight="true" outlineLevel="0" collapsed="false"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9"/>
      <c r="M369" s="40"/>
      <c r="O369" s="39"/>
      <c r="P369" s="41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</row>
    <row r="370" customFormat="false" ht="15.75" hidden="false" customHeight="true" outlineLevel="0" collapsed="false"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9"/>
      <c r="M370" s="40"/>
      <c r="O370" s="39"/>
      <c r="P370" s="41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</row>
    <row r="371" customFormat="false" ht="15.75" hidden="false" customHeight="true" outlineLevel="0" collapsed="false"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9"/>
      <c r="M371" s="40"/>
      <c r="O371" s="39"/>
      <c r="P371" s="41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</row>
    <row r="372" customFormat="false" ht="15.75" hidden="false" customHeight="true" outlineLevel="0" collapsed="false"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9"/>
      <c r="M372" s="40"/>
      <c r="O372" s="39"/>
      <c r="P372" s="41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</row>
    <row r="373" customFormat="false" ht="15.75" hidden="false" customHeight="true" outlineLevel="0" collapsed="false"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9"/>
      <c r="M373" s="40"/>
      <c r="O373" s="39"/>
      <c r="P373" s="41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</row>
    <row r="374" customFormat="false" ht="15.75" hidden="false" customHeight="true" outlineLevel="0" collapsed="false"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9"/>
      <c r="M374" s="40"/>
      <c r="O374" s="39"/>
      <c r="P374" s="41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</row>
    <row r="375" customFormat="false" ht="15.75" hidden="false" customHeight="true" outlineLevel="0" collapsed="false"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9"/>
      <c r="M375" s="40"/>
      <c r="O375" s="39"/>
      <c r="P375" s="41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</row>
    <row r="376" customFormat="false" ht="15.75" hidden="false" customHeight="true" outlineLevel="0" collapsed="false"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9"/>
      <c r="M376" s="40"/>
      <c r="O376" s="39"/>
      <c r="P376" s="41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</row>
    <row r="377" customFormat="false" ht="15.75" hidden="false" customHeight="true" outlineLevel="0" collapsed="false"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9"/>
      <c r="M377" s="40"/>
      <c r="O377" s="39"/>
      <c r="P377" s="41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</row>
    <row r="378" customFormat="false" ht="15.75" hidden="false" customHeight="true" outlineLevel="0" collapsed="false"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9"/>
      <c r="M378" s="40"/>
      <c r="O378" s="39"/>
      <c r="P378" s="41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</row>
    <row r="379" customFormat="false" ht="15.75" hidden="false" customHeight="true" outlineLevel="0" collapsed="false"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9"/>
      <c r="M379" s="40"/>
      <c r="O379" s="39"/>
      <c r="P379" s="41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</row>
    <row r="380" customFormat="false" ht="15.75" hidden="false" customHeight="true" outlineLevel="0" collapsed="false"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9"/>
      <c r="M380" s="40"/>
      <c r="O380" s="39"/>
      <c r="P380" s="41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</row>
    <row r="381" customFormat="false" ht="15.75" hidden="false" customHeight="true" outlineLevel="0" collapsed="false"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9"/>
      <c r="M381" s="40"/>
      <c r="O381" s="39"/>
      <c r="P381" s="41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</row>
    <row r="382" customFormat="false" ht="15.75" hidden="false" customHeight="true" outlineLevel="0" collapsed="false"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9"/>
      <c r="M382" s="40"/>
      <c r="O382" s="39"/>
      <c r="P382" s="41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</row>
    <row r="383" customFormat="false" ht="15.75" hidden="false" customHeight="true" outlineLevel="0" collapsed="false"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9"/>
      <c r="M383" s="40"/>
      <c r="O383" s="39"/>
      <c r="P383" s="41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</row>
    <row r="384" customFormat="false" ht="15.75" hidden="false" customHeight="true" outlineLevel="0" collapsed="false"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9"/>
      <c r="M384" s="40"/>
      <c r="O384" s="39"/>
      <c r="P384" s="41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</row>
    <row r="385" customFormat="false" ht="15.75" hidden="false" customHeight="true" outlineLevel="0" collapsed="false"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9"/>
      <c r="M385" s="40"/>
      <c r="O385" s="39"/>
      <c r="P385" s="41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</row>
    <row r="386" customFormat="false" ht="15.75" hidden="false" customHeight="true" outlineLevel="0" collapsed="false"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9"/>
      <c r="M386" s="40"/>
      <c r="O386" s="39"/>
      <c r="P386" s="41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</row>
    <row r="387" customFormat="false" ht="15.75" hidden="false" customHeight="true" outlineLevel="0" collapsed="false"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9"/>
      <c r="M387" s="40"/>
      <c r="O387" s="39"/>
      <c r="P387" s="41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</row>
    <row r="388" customFormat="false" ht="15.75" hidden="false" customHeight="true" outlineLevel="0" collapsed="false"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9"/>
      <c r="M388" s="40"/>
      <c r="O388" s="39"/>
      <c r="P388" s="41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</row>
    <row r="389" customFormat="false" ht="15.75" hidden="false" customHeight="true" outlineLevel="0" collapsed="false"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9"/>
      <c r="M389" s="40"/>
      <c r="O389" s="39"/>
      <c r="P389" s="41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</row>
    <row r="390" customFormat="false" ht="15.75" hidden="false" customHeight="true" outlineLevel="0" collapsed="false"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9"/>
      <c r="M390" s="40"/>
      <c r="O390" s="39"/>
      <c r="P390" s="41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</row>
    <row r="391" customFormat="false" ht="15.75" hidden="false" customHeight="true" outlineLevel="0" collapsed="false"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9"/>
      <c r="M391" s="40"/>
      <c r="O391" s="39"/>
      <c r="P391" s="41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</row>
    <row r="392" customFormat="false" ht="15.75" hidden="false" customHeight="true" outlineLevel="0" collapsed="false"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9"/>
      <c r="M392" s="40"/>
      <c r="O392" s="39"/>
      <c r="P392" s="41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</row>
    <row r="393" customFormat="false" ht="15.75" hidden="false" customHeight="true" outlineLevel="0" collapsed="false"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9"/>
      <c r="M393" s="40"/>
      <c r="O393" s="39"/>
      <c r="P393" s="41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</row>
    <row r="394" customFormat="false" ht="15.75" hidden="false" customHeight="true" outlineLevel="0" collapsed="false"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9"/>
      <c r="M394" s="40"/>
      <c r="O394" s="39"/>
      <c r="P394" s="41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</row>
    <row r="395" customFormat="false" ht="15.75" hidden="false" customHeight="true" outlineLevel="0" collapsed="false"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9"/>
      <c r="M395" s="40"/>
      <c r="O395" s="39"/>
      <c r="P395" s="41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</row>
    <row r="396" customFormat="false" ht="15.75" hidden="false" customHeight="true" outlineLevel="0" collapsed="false"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9"/>
      <c r="M396" s="40"/>
      <c r="O396" s="39"/>
      <c r="P396" s="41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</row>
    <row r="397" customFormat="false" ht="15.75" hidden="false" customHeight="true" outlineLevel="0" collapsed="false"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9"/>
      <c r="M397" s="40"/>
      <c r="O397" s="39"/>
      <c r="P397" s="41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</row>
    <row r="398" customFormat="false" ht="15.75" hidden="false" customHeight="true" outlineLevel="0" collapsed="false"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9"/>
      <c r="M398" s="40"/>
      <c r="O398" s="39"/>
      <c r="P398" s="41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</row>
    <row r="399" customFormat="false" ht="15.75" hidden="false" customHeight="true" outlineLevel="0" collapsed="false"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9"/>
      <c r="M399" s="40"/>
      <c r="O399" s="39"/>
      <c r="P399" s="41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</row>
    <row r="400" customFormat="false" ht="15.75" hidden="false" customHeight="true" outlineLevel="0" collapsed="false"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9"/>
      <c r="M400" s="40"/>
      <c r="O400" s="39"/>
      <c r="P400" s="41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</row>
    <row r="401" customFormat="false" ht="15.75" hidden="false" customHeight="true" outlineLevel="0" collapsed="false"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9"/>
      <c r="M401" s="40"/>
      <c r="O401" s="39"/>
      <c r="P401" s="41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</row>
    <row r="402" customFormat="false" ht="15.75" hidden="false" customHeight="true" outlineLevel="0" collapsed="false"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9"/>
      <c r="M402" s="40"/>
      <c r="O402" s="39"/>
      <c r="P402" s="41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</row>
    <row r="403" customFormat="false" ht="15.75" hidden="false" customHeight="true" outlineLevel="0" collapsed="false"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9"/>
      <c r="M403" s="40"/>
      <c r="O403" s="39"/>
      <c r="P403" s="41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</row>
    <row r="404" customFormat="false" ht="15.75" hidden="false" customHeight="true" outlineLevel="0" collapsed="false"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9"/>
      <c r="M404" s="40"/>
      <c r="O404" s="39"/>
      <c r="P404" s="41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</row>
    <row r="405" customFormat="false" ht="15.75" hidden="false" customHeight="true" outlineLevel="0" collapsed="false"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9"/>
      <c r="M405" s="40"/>
      <c r="O405" s="39"/>
      <c r="P405" s="41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</row>
    <row r="406" customFormat="false" ht="15.75" hidden="false" customHeight="true" outlineLevel="0" collapsed="false"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9"/>
      <c r="M406" s="40"/>
      <c r="O406" s="39"/>
      <c r="P406" s="41"/>
      <c r="R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</row>
    <row r="407" customFormat="false" ht="15.75" hidden="false" customHeight="true" outlineLevel="0" collapsed="false"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9"/>
      <c r="M407" s="40"/>
      <c r="O407" s="39"/>
      <c r="P407" s="41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</row>
    <row r="408" customFormat="false" ht="15.75" hidden="false" customHeight="true" outlineLevel="0" collapsed="false"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9"/>
      <c r="M408" s="40"/>
      <c r="O408" s="39"/>
      <c r="P408" s="41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</row>
    <row r="409" customFormat="false" ht="15.75" hidden="false" customHeight="true" outlineLevel="0" collapsed="false"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9"/>
      <c r="M409" s="40"/>
      <c r="O409" s="39"/>
      <c r="P409" s="41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</row>
    <row r="410" customFormat="false" ht="15.75" hidden="false" customHeight="true" outlineLevel="0" collapsed="false"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9"/>
      <c r="M410" s="40"/>
      <c r="O410" s="39"/>
      <c r="P410" s="41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</row>
    <row r="411" customFormat="false" ht="15.75" hidden="false" customHeight="true" outlineLevel="0" collapsed="false"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9"/>
      <c r="M411" s="40"/>
      <c r="O411" s="39"/>
      <c r="P411" s="41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</row>
    <row r="412" customFormat="false" ht="15.75" hidden="false" customHeight="true" outlineLevel="0" collapsed="false"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9"/>
      <c r="M412" s="40"/>
      <c r="O412" s="39"/>
      <c r="P412" s="41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</row>
    <row r="413" customFormat="false" ht="15.75" hidden="false" customHeight="true" outlineLevel="0" collapsed="false"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9"/>
      <c r="M413" s="40"/>
      <c r="O413" s="39"/>
      <c r="P413" s="41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</row>
    <row r="414" customFormat="false" ht="15.75" hidden="false" customHeight="true" outlineLevel="0" collapsed="false"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9"/>
      <c r="M414" s="40"/>
      <c r="O414" s="39"/>
      <c r="P414" s="41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</row>
    <row r="415" customFormat="false" ht="15.75" hidden="false" customHeight="true" outlineLevel="0" collapsed="false"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9"/>
      <c r="M415" s="40"/>
      <c r="O415" s="39"/>
      <c r="P415" s="41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</row>
    <row r="416" customFormat="false" ht="15.75" hidden="false" customHeight="true" outlineLevel="0" collapsed="false"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9"/>
      <c r="M416" s="40"/>
      <c r="O416" s="39"/>
      <c r="P416" s="41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</row>
    <row r="417" customFormat="false" ht="15.75" hidden="false" customHeight="true" outlineLevel="0" collapsed="false"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9"/>
      <c r="M417" s="40"/>
      <c r="O417" s="39"/>
      <c r="P417" s="41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</row>
    <row r="418" customFormat="false" ht="15.75" hidden="false" customHeight="true" outlineLevel="0" collapsed="false"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9"/>
      <c r="M418" s="40"/>
      <c r="O418" s="39"/>
      <c r="P418" s="41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</row>
    <row r="419" customFormat="false" ht="15.75" hidden="false" customHeight="true" outlineLevel="0" collapsed="false"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9"/>
      <c r="M419" s="40"/>
      <c r="O419" s="39"/>
      <c r="P419" s="41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</row>
    <row r="420" customFormat="false" ht="15.75" hidden="false" customHeight="true" outlineLevel="0" collapsed="false"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9"/>
      <c r="M420" s="40"/>
      <c r="O420" s="39"/>
      <c r="P420" s="41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</row>
    <row r="421" customFormat="false" ht="15.75" hidden="false" customHeight="true" outlineLevel="0" collapsed="false"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9"/>
      <c r="M421" s="40"/>
      <c r="O421" s="39"/>
      <c r="P421" s="41"/>
      <c r="R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</row>
    <row r="422" customFormat="false" ht="15.75" hidden="false" customHeight="true" outlineLevel="0" collapsed="false"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9"/>
      <c r="M422" s="40"/>
      <c r="O422" s="39"/>
      <c r="P422" s="41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</row>
    <row r="423" customFormat="false" ht="15.75" hidden="false" customHeight="true" outlineLevel="0" collapsed="false"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9"/>
      <c r="M423" s="40"/>
      <c r="O423" s="39"/>
      <c r="P423" s="41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</row>
    <row r="424" customFormat="false" ht="15.75" hidden="false" customHeight="true" outlineLevel="0" collapsed="false"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9"/>
      <c r="M424" s="40"/>
      <c r="O424" s="39"/>
      <c r="P424" s="41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</row>
    <row r="425" customFormat="false" ht="15.75" hidden="false" customHeight="true" outlineLevel="0" collapsed="false"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9"/>
      <c r="M425" s="40"/>
      <c r="O425" s="39"/>
      <c r="P425" s="41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</row>
    <row r="426" customFormat="false" ht="15.75" hidden="false" customHeight="true" outlineLevel="0" collapsed="false"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9"/>
      <c r="M426" s="40"/>
      <c r="O426" s="39"/>
      <c r="P426" s="41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</row>
    <row r="427" customFormat="false" ht="15.75" hidden="false" customHeight="true" outlineLevel="0" collapsed="false"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9"/>
      <c r="M427" s="40"/>
      <c r="O427" s="39"/>
      <c r="P427" s="41"/>
      <c r="R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</row>
    <row r="428" customFormat="false" ht="15.75" hidden="false" customHeight="true" outlineLevel="0" collapsed="false"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9"/>
      <c r="M428" s="40"/>
      <c r="O428" s="39"/>
      <c r="P428" s="41"/>
      <c r="R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</row>
    <row r="429" customFormat="false" ht="15.75" hidden="false" customHeight="true" outlineLevel="0" collapsed="false"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9"/>
      <c r="M429" s="40"/>
      <c r="O429" s="39"/>
      <c r="P429" s="41"/>
      <c r="R429" s="37"/>
      <c r="S429" s="37"/>
      <c r="T429" s="37"/>
      <c r="U429" s="37"/>
      <c r="V429" s="37"/>
      <c r="W429" s="37"/>
      <c r="X429" s="37"/>
      <c r="Y429" s="37"/>
      <c r="Z429" s="37"/>
      <c r="AA429" s="37"/>
      <c r="AB429" s="37"/>
    </row>
    <row r="430" customFormat="false" ht="15.75" hidden="false" customHeight="true" outlineLevel="0" collapsed="false"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9"/>
      <c r="M430" s="40"/>
      <c r="O430" s="39"/>
      <c r="P430" s="41"/>
      <c r="R430" s="37"/>
      <c r="S430" s="37"/>
      <c r="T430" s="37"/>
      <c r="U430" s="37"/>
      <c r="V430" s="37"/>
      <c r="W430" s="37"/>
      <c r="X430" s="37"/>
      <c r="Y430" s="37"/>
      <c r="Z430" s="37"/>
      <c r="AA430" s="37"/>
      <c r="AB430" s="37"/>
    </row>
    <row r="431" customFormat="false" ht="15.75" hidden="false" customHeight="true" outlineLevel="0" collapsed="false"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9"/>
      <c r="M431" s="40"/>
      <c r="O431" s="39"/>
      <c r="P431" s="41"/>
      <c r="R431" s="37"/>
      <c r="S431" s="37"/>
      <c r="T431" s="37"/>
      <c r="U431" s="37"/>
      <c r="V431" s="37"/>
      <c r="W431" s="37"/>
      <c r="X431" s="37"/>
      <c r="Y431" s="37"/>
      <c r="Z431" s="37"/>
      <c r="AA431" s="37"/>
      <c r="AB431" s="37"/>
    </row>
    <row r="432" customFormat="false" ht="15.75" hidden="false" customHeight="true" outlineLevel="0" collapsed="false"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9"/>
      <c r="M432" s="40"/>
      <c r="O432" s="39"/>
      <c r="P432" s="41"/>
      <c r="R432" s="37"/>
      <c r="S432" s="37"/>
      <c r="T432" s="37"/>
      <c r="U432" s="37"/>
      <c r="V432" s="37"/>
      <c r="W432" s="37"/>
      <c r="X432" s="37"/>
      <c r="Y432" s="37"/>
      <c r="Z432" s="37"/>
      <c r="AA432" s="37"/>
      <c r="AB432" s="37"/>
    </row>
    <row r="433" customFormat="false" ht="15.75" hidden="false" customHeight="true" outlineLevel="0" collapsed="false"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9"/>
      <c r="M433" s="40"/>
      <c r="O433" s="39"/>
      <c r="P433" s="41"/>
      <c r="R433" s="37"/>
      <c r="S433" s="37"/>
      <c r="T433" s="37"/>
      <c r="U433" s="37"/>
      <c r="V433" s="37"/>
      <c r="W433" s="37"/>
      <c r="X433" s="37"/>
      <c r="Y433" s="37"/>
      <c r="Z433" s="37"/>
      <c r="AA433" s="37"/>
      <c r="AB433" s="37"/>
    </row>
    <row r="434" customFormat="false" ht="15.75" hidden="false" customHeight="true" outlineLevel="0" collapsed="false"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9"/>
      <c r="M434" s="40"/>
      <c r="O434" s="39"/>
      <c r="P434" s="41"/>
      <c r="R434" s="37"/>
      <c r="S434" s="37"/>
      <c r="T434" s="37"/>
      <c r="U434" s="37"/>
      <c r="V434" s="37"/>
      <c r="W434" s="37"/>
      <c r="X434" s="37"/>
      <c r="Y434" s="37"/>
      <c r="Z434" s="37"/>
      <c r="AA434" s="37"/>
      <c r="AB434" s="37"/>
    </row>
    <row r="435" customFormat="false" ht="15.75" hidden="false" customHeight="true" outlineLevel="0" collapsed="false"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9"/>
      <c r="M435" s="40"/>
      <c r="O435" s="39"/>
      <c r="P435" s="41"/>
      <c r="R435" s="37"/>
      <c r="S435" s="37"/>
      <c r="T435" s="37"/>
      <c r="U435" s="37"/>
      <c r="V435" s="37"/>
      <c r="W435" s="37"/>
      <c r="X435" s="37"/>
      <c r="Y435" s="37"/>
      <c r="Z435" s="37"/>
      <c r="AA435" s="37"/>
      <c r="AB435" s="37"/>
    </row>
    <row r="436" customFormat="false" ht="15.75" hidden="false" customHeight="true" outlineLevel="0" collapsed="false"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9"/>
      <c r="M436" s="40"/>
      <c r="O436" s="39"/>
      <c r="P436" s="41"/>
      <c r="R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</row>
    <row r="437" customFormat="false" ht="15.75" hidden="false" customHeight="true" outlineLevel="0" collapsed="false"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9"/>
      <c r="M437" s="40"/>
      <c r="O437" s="39"/>
      <c r="P437" s="41"/>
      <c r="R437" s="37"/>
      <c r="S437" s="37"/>
      <c r="T437" s="37"/>
      <c r="U437" s="37"/>
      <c r="V437" s="37"/>
      <c r="W437" s="37"/>
      <c r="X437" s="37"/>
      <c r="Y437" s="37"/>
      <c r="Z437" s="37"/>
      <c r="AA437" s="37"/>
      <c r="AB437" s="37"/>
    </row>
    <row r="438" customFormat="false" ht="15.75" hidden="false" customHeight="true" outlineLevel="0" collapsed="false"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9"/>
      <c r="M438" s="40"/>
      <c r="O438" s="39"/>
      <c r="P438" s="41"/>
      <c r="R438" s="37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</row>
    <row r="439" customFormat="false" ht="15.75" hidden="false" customHeight="true" outlineLevel="0" collapsed="false"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9"/>
      <c r="M439" s="40"/>
      <c r="O439" s="39"/>
      <c r="P439" s="41"/>
      <c r="R439" s="37"/>
      <c r="S439" s="37"/>
      <c r="T439" s="37"/>
      <c r="U439" s="37"/>
      <c r="V439" s="37"/>
      <c r="W439" s="37"/>
      <c r="X439" s="37"/>
      <c r="Y439" s="37"/>
      <c r="Z439" s="37"/>
      <c r="AA439" s="37"/>
      <c r="AB439" s="37"/>
    </row>
    <row r="440" customFormat="false" ht="15.75" hidden="false" customHeight="true" outlineLevel="0" collapsed="false"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9"/>
      <c r="M440" s="40"/>
      <c r="O440" s="39"/>
      <c r="P440" s="41"/>
      <c r="R440" s="37"/>
      <c r="S440" s="37"/>
      <c r="T440" s="37"/>
      <c r="U440" s="37"/>
      <c r="V440" s="37"/>
      <c r="W440" s="37"/>
      <c r="X440" s="37"/>
      <c r="Y440" s="37"/>
      <c r="Z440" s="37"/>
      <c r="AA440" s="37"/>
      <c r="AB440" s="37"/>
    </row>
    <row r="441" customFormat="false" ht="15.75" hidden="false" customHeight="true" outlineLevel="0" collapsed="false"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9"/>
      <c r="M441" s="40"/>
      <c r="O441" s="39"/>
      <c r="P441" s="41"/>
      <c r="R441" s="37"/>
      <c r="S441" s="37"/>
      <c r="T441" s="37"/>
      <c r="U441" s="37"/>
      <c r="V441" s="37"/>
      <c r="W441" s="37"/>
      <c r="X441" s="37"/>
      <c r="Y441" s="37"/>
      <c r="Z441" s="37"/>
      <c r="AA441" s="37"/>
      <c r="AB441" s="37"/>
    </row>
    <row r="442" customFormat="false" ht="15.75" hidden="false" customHeight="true" outlineLevel="0" collapsed="false"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9"/>
      <c r="M442" s="40"/>
      <c r="O442" s="39"/>
      <c r="P442" s="41"/>
      <c r="R442" s="37"/>
      <c r="S442" s="37"/>
      <c r="T442" s="37"/>
      <c r="U442" s="37"/>
      <c r="V442" s="37"/>
      <c r="W442" s="37"/>
      <c r="X442" s="37"/>
      <c r="Y442" s="37"/>
      <c r="Z442" s="37"/>
      <c r="AA442" s="37"/>
      <c r="AB442" s="37"/>
    </row>
    <row r="443" customFormat="false" ht="15.75" hidden="false" customHeight="true" outlineLevel="0" collapsed="false"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9"/>
      <c r="M443" s="40"/>
      <c r="O443" s="39"/>
      <c r="P443" s="41"/>
      <c r="R443" s="37"/>
      <c r="S443" s="37"/>
      <c r="T443" s="37"/>
      <c r="U443" s="37"/>
      <c r="V443" s="37"/>
      <c r="W443" s="37"/>
      <c r="X443" s="37"/>
      <c r="Y443" s="37"/>
      <c r="Z443" s="37"/>
      <c r="AA443" s="37"/>
      <c r="AB443" s="37"/>
    </row>
    <row r="444" customFormat="false" ht="15.75" hidden="false" customHeight="true" outlineLevel="0" collapsed="false"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9"/>
      <c r="M444" s="40"/>
      <c r="O444" s="39"/>
      <c r="P444" s="41"/>
      <c r="R444" s="37"/>
      <c r="S444" s="37"/>
      <c r="T444" s="37"/>
      <c r="U444" s="37"/>
      <c r="V444" s="37"/>
      <c r="W444" s="37"/>
      <c r="X444" s="37"/>
      <c r="Y444" s="37"/>
      <c r="Z444" s="37"/>
      <c r="AA444" s="37"/>
      <c r="AB444" s="37"/>
    </row>
    <row r="445" customFormat="false" ht="15.75" hidden="false" customHeight="true" outlineLevel="0" collapsed="false"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9"/>
      <c r="M445" s="40"/>
      <c r="O445" s="39"/>
      <c r="P445" s="41"/>
      <c r="R445" s="37"/>
      <c r="S445" s="37"/>
      <c r="T445" s="37"/>
      <c r="U445" s="37"/>
      <c r="V445" s="37"/>
      <c r="W445" s="37"/>
      <c r="X445" s="37"/>
      <c r="Y445" s="37"/>
      <c r="Z445" s="37"/>
      <c r="AA445" s="37"/>
      <c r="AB445" s="37"/>
    </row>
    <row r="446" customFormat="false" ht="15.75" hidden="false" customHeight="true" outlineLevel="0" collapsed="false"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9"/>
      <c r="M446" s="40"/>
      <c r="O446" s="39"/>
      <c r="P446" s="41"/>
      <c r="R446" s="37"/>
      <c r="S446" s="37"/>
      <c r="T446" s="37"/>
      <c r="U446" s="37"/>
      <c r="V446" s="37"/>
      <c r="W446" s="37"/>
      <c r="X446" s="37"/>
      <c r="Y446" s="37"/>
      <c r="Z446" s="37"/>
      <c r="AA446" s="37"/>
      <c r="AB446" s="37"/>
    </row>
    <row r="447" customFormat="false" ht="15.75" hidden="false" customHeight="true" outlineLevel="0" collapsed="false"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9"/>
      <c r="M447" s="40"/>
      <c r="O447" s="39"/>
      <c r="P447" s="41"/>
      <c r="R447" s="37"/>
      <c r="S447" s="37"/>
      <c r="T447" s="37"/>
      <c r="U447" s="37"/>
      <c r="V447" s="37"/>
      <c r="W447" s="37"/>
      <c r="X447" s="37"/>
      <c r="Y447" s="37"/>
      <c r="Z447" s="37"/>
      <c r="AA447" s="37"/>
      <c r="AB447" s="37"/>
    </row>
    <row r="448" customFormat="false" ht="15.75" hidden="false" customHeight="true" outlineLevel="0" collapsed="false"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9"/>
      <c r="M448" s="40"/>
      <c r="O448" s="39"/>
      <c r="P448" s="41"/>
      <c r="R448" s="37"/>
      <c r="S448" s="37"/>
      <c r="T448" s="37"/>
      <c r="U448" s="37"/>
      <c r="V448" s="37"/>
      <c r="W448" s="37"/>
      <c r="X448" s="37"/>
      <c r="Y448" s="37"/>
      <c r="Z448" s="37"/>
      <c r="AA448" s="37"/>
      <c r="AB448" s="37"/>
    </row>
    <row r="449" customFormat="false" ht="15.75" hidden="false" customHeight="true" outlineLevel="0" collapsed="false"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9"/>
      <c r="M449" s="40"/>
      <c r="O449" s="39"/>
      <c r="P449" s="41"/>
      <c r="R449" s="37"/>
      <c r="S449" s="37"/>
      <c r="T449" s="37"/>
      <c r="U449" s="37"/>
      <c r="V449" s="37"/>
      <c r="W449" s="37"/>
      <c r="X449" s="37"/>
      <c r="Y449" s="37"/>
      <c r="Z449" s="37"/>
      <c r="AA449" s="37"/>
      <c r="AB449" s="37"/>
    </row>
    <row r="450" customFormat="false" ht="15.75" hidden="false" customHeight="true" outlineLevel="0" collapsed="false"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9"/>
      <c r="M450" s="40"/>
      <c r="O450" s="39"/>
      <c r="P450" s="41"/>
      <c r="R450" s="37"/>
      <c r="S450" s="37"/>
      <c r="T450" s="37"/>
      <c r="U450" s="37"/>
      <c r="V450" s="37"/>
      <c r="W450" s="37"/>
      <c r="X450" s="37"/>
      <c r="Y450" s="37"/>
      <c r="Z450" s="37"/>
      <c r="AA450" s="37"/>
      <c r="AB450" s="37"/>
    </row>
    <row r="451" customFormat="false" ht="15.75" hidden="false" customHeight="true" outlineLevel="0" collapsed="false"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9"/>
      <c r="M451" s="40"/>
      <c r="O451" s="39"/>
      <c r="P451" s="41"/>
      <c r="R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</row>
    <row r="452" customFormat="false" ht="15.75" hidden="false" customHeight="true" outlineLevel="0" collapsed="false"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9"/>
      <c r="M452" s="40"/>
      <c r="O452" s="39"/>
      <c r="P452" s="41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</row>
    <row r="453" customFormat="false" ht="15.75" hidden="false" customHeight="true" outlineLevel="0" collapsed="false"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9"/>
      <c r="M453" s="40"/>
      <c r="O453" s="39"/>
      <c r="P453" s="41"/>
      <c r="R453" s="37"/>
      <c r="S453" s="37"/>
      <c r="T453" s="37"/>
      <c r="U453" s="37"/>
      <c r="V453" s="37"/>
      <c r="W453" s="37"/>
      <c r="X453" s="37"/>
      <c r="Y453" s="37"/>
      <c r="Z453" s="37"/>
      <c r="AA453" s="37"/>
      <c r="AB453" s="37"/>
    </row>
    <row r="454" customFormat="false" ht="15.75" hidden="false" customHeight="true" outlineLevel="0" collapsed="false"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9"/>
      <c r="M454" s="40"/>
      <c r="O454" s="39"/>
      <c r="P454" s="41"/>
      <c r="R454" s="37"/>
      <c r="S454" s="37"/>
      <c r="T454" s="37"/>
      <c r="U454" s="37"/>
      <c r="V454" s="37"/>
      <c r="W454" s="37"/>
      <c r="X454" s="37"/>
      <c r="Y454" s="37"/>
      <c r="Z454" s="37"/>
      <c r="AA454" s="37"/>
      <c r="AB454" s="37"/>
    </row>
    <row r="455" customFormat="false" ht="15.75" hidden="false" customHeight="true" outlineLevel="0" collapsed="false"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9"/>
      <c r="M455" s="40"/>
      <c r="O455" s="39"/>
      <c r="P455" s="41"/>
      <c r="R455" s="37"/>
      <c r="S455" s="37"/>
      <c r="T455" s="37"/>
      <c r="U455" s="37"/>
      <c r="V455" s="37"/>
      <c r="W455" s="37"/>
      <c r="X455" s="37"/>
      <c r="Y455" s="37"/>
      <c r="Z455" s="37"/>
      <c r="AA455" s="37"/>
      <c r="AB455" s="37"/>
    </row>
    <row r="456" customFormat="false" ht="15.75" hidden="false" customHeight="true" outlineLevel="0" collapsed="false"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9"/>
      <c r="M456" s="40"/>
      <c r="O456" s="39"/>
      <c r="P456" s="41"/>
      <c r="R456" s="37"/>
      <c r="S456" s="37"/>
      <c r="T456" s="37"/>
      <c r="U456" s="37"/>
      <c r="V456" s="37"/>
      <c r="W456" s="37"/>
      <c r="X456" s="37"/>
      <c r="Y456" s="37"/>
      <c r="Z456" s="37"/>
      <c r="AA456" s="37"/>
      <c r="AB456" s="37"/>
    </row>
    <row r="457" customFormat="false" ht="15.75" hidden="false" customHeight="true" outlineLevel="0" collapsed="false"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9"/>
      <c r="M457" s="40"/>
      <c r="O457" s="39"/>
      <c r="P457" s="41"/>
      <c r="R457" s="37"/>
      <c r="S457" s="37"/>
      <c r="T457" s="37"/>
      <c r="U457" s="37"/>
      <c r="V457" s="37"/>
      <c r="W457" s="37"/>
      <c r="X457" s="37"/>
      <c r="Y457" s="37"/>
      <c r="Z457" s="37"/>
      <c r="AA457" s="37"/>
      <c r="AB457" s="37"/>
    </row>
    <row r="458" customFormat="false" ht="15.75" hidden="false" customHeight="true" outlineLevel="0" collapsed="false"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9"/>
      <c r="M458" s="40"/>
      <c r="O458" s="39"/>
      <c r="P458" s="41"/>
      <c r="R458" s="37"/>
      <c r="S458" s="37"/>
      <c r="T458" s="37"/>
      <c r="U458" s="37"/>
      <c r="V458" s="37"/>
      <c r="W458" s="37"/>
      <c r="X458" s="37"/>
      <c r="Y458" s="37"/>
      <c r="Z458" s="37"/>
      <c r="AA458" s="37"/>
      <c r="AB458" s="37"/>
    </row>
    <row r="459" customFormat="false" ht="15.75" hidden="false" customHeight="true" outlineLevel="0" collapsed="false"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9"/>
      <c r="M459" s="40"/>
      <c r="O459" s="39"/>
      <c r="P459" s="41"/>
      <c r="R459" s="37"/>
      <c r="S459" s="37"/>
      <c r="T459" s="37"/>
      <c r="U459" s="37"/>
      <c r="V459" s="37"/>
      <c r="W459" s="37"/>
      <c r="X459" s="37"/>
      <c r="Y459" s="37"/>
      <c r="Z459" s="37"/>
      <c r="AA459" s="37"/>
      <c r="AB459" s="37"/>
    </row>
    <row r="460" customFormat="false" ht="15.75" hidden="false" customHeight="true" outlineLevel="0" collapsed="false"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9"/>
      <c r="M460" s="40"/>
      <c r="O460" s="39"/>
      <c r="P460" s="41"/>
      <c r="R460" s="37"/>
      <c r="S460" s="37"/>
      <c r="T460" s="37"/>
      <c r="U460" s="37"/>
      <c r="V460" s="37"/>
      <c r="W460" s="37"/>
      <c r="X460" s="37"/>
      <c r="Y460" s="37"/>
      <c r="Z460" s="37"/>
      <c r="AA460" s="37"/>
      <c r="AB460" s="37"/>
    </row>
    <row r="461" customFormat="false" ht="15.75" hidden="false" customHeight="true" outlineLevel="0" collapsed="false"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9"/>
      <c r="M461" s="40"/>
      <c r="O461" s="39"/>
      <c r="P461" s="41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</row>
    <row r="462" customFormat="false" ht="15.75" hidden="false" customHeight="true" outlineLevel="0" collapsed="false"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9"/>
      <c r="M462" s="40"/>
      <c r="O462" s="39"/>
      <c r="P462" s="41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</row>
    <row r="463" customFormat="false" ht="15.75" hidden="false" customHeight="true" outlineLevel="0" collapsed="false"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9"/>
      <c r="M463" s="40"/>
      <c r="O463" s="39"/>
      <c r="P463" s="41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</row>
    <row r="464" customFormat="false" ht="15.75" hidden="false" customHeight="true" outlineLevel="0" collapsed="false"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9"/>
      <c r="M464" s="40"/>
      <c r="O464" s="39"/>
      <c r="P464" s="41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</row>
    <row r="465" customFormat="false" ht="15.75" hidden="false" customHeight="true" outlineLevel="0" collapsed="false"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9"/>
      <c r="M465" s="40"/>
      <c r="O465" s="39"/>
      <c r="P465" s="41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</row>
    <row r="466" customFormat="false" ht="15.75" hidden="false" customHeight="true" outlineLevel="0" collapsed="false"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9"/>
      <c r="M466" s="40"/>
      <c r="O466" s="39"/>
      <c r="P466" s="41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</row>
    <row r="467" customFormat="false" ht="15.75" hidden="false" customHeight="true" outlineLevel="0" collapsed="false"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9"/>
      <c r="M467" s="40"/>
      <c r="O467" s="39"/>
      <c r="P467" s="41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</row>
    <row r="468" customFormat="false" ht="15.75" hidden="false" customHeight="true" outlineLevel="0" collapsed="false"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9"/>
      <c r="M468" s="40"/>
      <c r="O468" s="39"/>
      <c r="P468" s="41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</row>
    <row r="469" customFormat="false" ht="15.75" hidden="false" customHeight="true" outlineLevel="0" collapsed="false"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9"/>
      <c r="M469" s="40"/>
      <c r="O469" s="39"/>
      <c r="P469" s="41"/>
      <c r="R469" s="37"/>
      <c r="S469" s="37"/>
      <c r="T469" s="37"/>
      <c r="U469" s="37"/>
      <c r="V469" s="37"/>
      <c r="W469" s="37"/>
      <c r="X469" s="37"/>
      <c r="Y469" s="37"/>
      <c r="Z469" s="37"/>
      <c r="AA469" s="37"/>
      <c r="AB469" s="37"/>
    </row>
    <row r="470" customFormat="false" ht="15.75" hidden="false" customHeight="true" outlineLevel="0" collapsed="false"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9"/>
      <c r="M470" s="40"/>
      <c r="O470" s="39"/>
      <c r="P470" s="41"/>
      <c r="R470" s="37"/>
      <c r="S470" s="37"/>
      <c r="T470" s="37"/>
      <c r="U470" s="37"/>
      <c r="V470" s="37"/>
      <c r="W470" s="37"/>
      <c r="X470" s="37"/>
      <c r="Y470" s="37"/>
      <c r="Z470" s="37"/>
      <c r="AA470" s="37"/>
      <c r="AB470" s="37"/>
    </row>
    <row r="471" customFormat="false" ht="15.75" hidden="false" customHeight="true" outlineLevel="0" collapsed="false"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9"/>
      <c r="M471" s="40"/>
      <c r="O471" s="39"/>
      <c r="P471" s="41"/>
      <c r="R471" s="37"/>
      <c r="S471" s="37"/>
      <c r="T471" s="37"/>
      <c r="U471" s="37"/>
      <c r="V471" s="37"/>
      <c r="W471" s="37"/>
      <c r="X471" s="37"/>
      <c r="Y471" s="37"/>
      <c r="Z471" s="37"/>
      <c r="AA471" s="37"/>
      <c r="AB471" s="37"/>
    </row>
    <row r="472" customFormat="false" ht="15.75" hidden="false" customHeight="true" outlineLevel="0" collapsed="false"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9"/>
      <c r="M472" s="40"/>
      <c r="O472" s="39"/>
      <c r="P472" s="41"/>
      <c r="R472" s="37"/>
      <c r="S472" s="37"/>
      <c r="T472" s="37"/>
      <c r="U472" s="37"/>
      <c r="V472" s="37"/>
      <c r="W472" s="37"/>
      <c r="X472" s="37"/>
      <c r="Y472" s="37"/>
      <c r="Z472" s="37"/>
      <c r="AA472" s="37"/>
      <c r="AB472" s="37"/>
    </row>
    <row r="473" customFormat="false" ht="15.75" hidden="false" customHeight="true" outlineLevel="0" collapsed="false"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9"/>
      <c r="M473" s="40"/>
      <c r="O473" s="39"/>
      <c r="P473" s="41"/>
      <c r="R473" s="37"/>
      <c r="S473" s="37"/>
      <c r="T473" s="37"/>
      <c r="U473" s="37"/>
      <c r="V473" s="37"/>
      <c r="W473" s="37"/>
      <c r="X473" s="37"/>
      <c r="Y473" s="37"/>
      <c r="Z473" s="37"/>
      <c r="AA473" s="37"/>
      <c r="AB473" s="37"/>
    </row>
    <row r="474" customFormat="false" ht="15.75" hidden="false" customHeight="true" outlineLevel="0" collapsed="false"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9"/>
      <c r="M474" s="40"/>
      <c r="O474" s="39"/>
      <c r="P474" s="41"/>
      <c r="R474" s="37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</row>
    <row r="475" customFormat="false" ht="15.75" hidden="false" customHeight="true" outlineLevel="0" collapsed="false"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9"/>
      <c r="M475" s="40"/>
      <c r="O475" s="39"/>
      <c r="P475" s="41"/>
      <c r="R475" s="37"/>
      <c r="S475" s="37"/>
      <c r="T475" s="37"/>
      <c r="U475" s="37"/>
      <c r="V475" s="37"/>
      <c r="W475" s="37"/>
      <c r="X475" s="37"/>
      <c r="Y475" s="37"/>
      <c r="Z475" s="37"/>
      <c r="AA475" s="37"/>
      <c r="AB475" s="37"/>
    </row>
    <row r="476" customFormat="false" ht="15.75" hidden="false" customHeight="true" outlineLevel="0" collapsed="false"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9"/>
      <c r="M476" s="40"/>
      <c r="O476" s="39"/>
      <c r="P476" s="41"/>
      <c r="R476" s="37"/>
      <c r="S476" s="37"/>
      <c r="T476" s="37"/>
      <c r="U476" s="37"/>
      <c r="V476" s="37"/>
      <c r="W476" s="37"/>
      <c r="X476" s="37"/>
      <c r="Y476" s="37"/>
      <c r="Z476" s="37"/>
      <c r="AA476" s="37"/>
      <c r="AB476" s="37"/>
    </row>
    <row r="477" customFormat="false" ht="15.75" hidden="false" customHeight="true" outlineLevel="0" collapsed="false"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9"/>
      <c r="M477" s="40"/>
      <c r="O477" s="39"/>
      <c r="P477" s="41"/>
      <c r="R477" s="37"/>
      <c r="S477" s="37"/>
      <c r="T477" s="37"/>
      <c r="U477" s="37"/>
      <c r="V477" s="37"/>
      <c r="W477" s="37"/>
      <c r="X477" s="37"/>
      <c r="Y477" s="37"/>
      <c r="Z477" s="37"/>
      <c r="AA477" s="37"/>
      <c r="AB477" s="37"/>
    </row>
    <row r="478" customFormat="false" ht="15.75" hidden="false" customHeight="true" outlineLevel="0" collapsed="false"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9"/>
      <c r="M478" s="40"/>
      <c r="O478" s="39"/>
      <c r="P478" s="41"/>
      <c r="R478" s="37"/>
      <c r="S478" s="37"/>
      <c r="T478" s="37"/>
      <c r="U478" s="37"/>
      <c r="V478" s="37"/>
      <c r="W478" s="37"/>
      <c r="X478" s="37"/>
      <c r="Y478" s="37"/>
      <c r="Z478" s="37"/>
      <c r="AA478" s="37"/>
      <c r="AB478" s="37"/>
    </row>
    <row r="479" customFormat="false" ht="15.75" hidden="false" customHeight="true" outlineLevel="0" collapsed="false"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9"/>
      <c r="M479" s="40"/>
      <c r="O479" s="39"/>
      <c r="P479" s="41"/>
      <c r="R479" s="37"/>
      <c r="S479" s="37"/>
      <c r="T479" s="37"/>
      <c r="U479" s="37"/>
      <c r="V479" s="37"/>
      <c r="W479" s="37"/>
      <c r="X479" s="37"/>
      <c r="Y479" s="37"/>
      <c r="Z479" s="37"/>
      <c r="AA479" s="37"/>
      <c r="AB479" s="37"/>
    </row>
    <row r="480" customFormat="false" ht="15.75" hidden="false" customHeight="true" outlineLevel="0" collapsed="false"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9"/>
      <c r="M480" s="40"/>
      <c r="O480" s="39"/>
      <c r="P480" s="41"/>
      <c r="R480" s="37"/>
      <c r="S480" s="37"/>
      <c r="T480" s="37"/>
      <c r="U480" s="37"/>
      <c r="V480" s="37"/>
      <c r="W480" s="37"/>
      <c r="X480" s="37"/>
      <c r="Y480" s="37"/>
      <c r="Z480" s="37"/>
      <c r="AA480" s="37"/>
      <c r="AB480" s="37"/>
    </row>
    <row r="481" customFormat="false" ht="15.75" hidden="false" customHeight="true" outlineLevel="0" collapsed="false"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9"/>
      <c r="M481" s="40"/>
      <c r="O481" s="39"/>
      <c r="P481" s="41"/>
      <c r="R481" s="37"/>
      <c r="S481" s="37"/>
      <c r="T481" s="37"/>
      <c r="U481" s="37"/>
      <c r="V481" s="37"/>
      <c r="W481" s="37"/>
      <c r="X481" s="37"/>
      <c r="Y481" s="37"/>
      <c r="Z481" s="37"/>
      <c r="AA481" s="37"/>
      <c r="AB481" s="37"/>
    </row>
    <row r="482" customFormat="false" ht="15.75" hidden="false" customHeight="true" outlineLevel="0" collapsed="false"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9"/>
      <c r="M482" s="40"/>
      <c r="O482" s="39"/>
      <c r="P482" s="41"/>
      <c r="R482" s="37"/>
      <c r="S482" s="37"/>
      <c r="T482" s="37"/>
      <c r="U482" s="37"/>
      <c r="V482" s="37"/>
      <c r="W482" s="37"/>
      <c r="X482" s="37"/>
      <c r="Y482" s="37"/>
      <c r="Z482" s="37"/>
      <c r="AA482" s="37"/>
      <c r="AB482" s="37"/>
    </row>
    <row r="483" customFormat="false" ht="15.75" hidden="false" customHeight="true" outlineLevel="0" collapsed="false"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9"/>
      <c r="M483" s="40"/>
      <c r="O483" s="39"/>
      <c r="P483" s="41"/>
      <c r="R483" s="37"/>
      <c r="S483" s="37"/>
      <c r="T483" s="37"/>
      <c r="U483" s="37"/>
      <c r="V483" s="37"/>
      <c r="W483" s="37"/>
      <c r="X483" s="37"/>
      <c r="Y483" s="37"/>
      <c r="Z483" s="37"/>
      <c r="AA483" s="37"/>
      <c r="AB483" s="37"/>
    </row>
    <row r="484" customFormat="false" ht="15.75" hidden="false" customHeight="true" outlineLevel="0" collapsed="false"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9"/>
      <c r="M484" s="40"/>
      <c r="O484" s="39"/>
      <c r="P484" s="41"/>
      <c r="R484" s="37"/>
      <c r="S484" s="37"/>
      <c r="T484" s="37"/>
      <c r="U484" s="37"/>
      <c r="V484" s="37"/>
      <c r="W484" s="37"/>
      <c r="X484" s="37"/>
      <c r="Y484" s="37"/>
      <c r="Z484" s="37"/>
      <c r="AA484" s="37"/>
      <c r="AB484" s="37"/>
    </row>
    <row r="485" customFormat="false" ht="15.75" hidden="false" customHeight="true" outlineLevel="0" collapsed="false"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9"/>
      <c r="M485" s="40"/>
      <c r="O485" s="39"/>
      <c r="P485" s="41"/>
      <c r="R485" s="37"/>
      <c r="S485" s="37"/>
      <c r="T485" s="37"/>
      <c r="U485" s="37"/>
      <c r="V485" s="37"/>
      <c r="W485" s="37"/>
      <c r="X485" s="37"/>
      <c r="Y485" s="37"/>
      <c r="Z485" s="37"/>
      <c r="AA485" s="37"/>
      <c r="AB485" s="37"/>
    </row>
    <row r="486" customFormat="false" ht="15.75" hidden="false" customHeight="true" outlineLevel="0" collapsed="false"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9"/>
      <c r="M486" s="40"/>
      <c r="O486" s="39"/>
      <c r="P486" s="41"/>
      <c r="R486" s="37"/>
      <c r="S486" s="37"/>
      <c r="T486" s="37"/>
      <c r="U486" s="37"/>
      <c r="V486" s="37"/>
      <c r="W486" s="37"/>
      <c r="X486" s="37"/>
      <c r="Y486" s="37"/>
      <c r="Z486" s="37"/>
      <c r="AA486" s="37"/>
      <c r="AB486" s="37"/>
    </row>
    <row r="487" customFormat="false" ht="15.75" hidden="false" customHeight="true" outlineLevel="0" collapsed="false"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63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  <c r="AA487" s="37"/>
      <c r="AB487" s="37"/>
    </row>
    <row r="488" customFormat="false" ht="15.75" hidden="false" customHeight="true" outlineLevel="0" collapsed="false"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63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  <c r="AA488" s="37"/>
      <c r="AB488" s="37"/>
    </row>
    <row r="489" customFormat="false" ht="15.75" hidden="false" customHeight="true" outlineLevel="0" collapsed="false"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N489" s="63"/>
      <c r="R489" s="37"/>
      <c r="S489" s="37"/>
      <c r="T489" s="37"/>
      <c r="U489" s="37"/>
      <c r="V489" s="37"/>
      <c r="W489" s="37"/>
      <c r="X489" s="37"/>
      <c r="Y489" s="37"/>
      <c r="Z489" s="37"/>
      <c r="AA489" s="37"/>
      <c r="AB489" s="37"/>
    </row>
    <row r="490" customFormat="false" ht="15.75" hidden="false" customHeight="true" outlineLevel="0" collapsed="false"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R490" s="37"/>
      <c r="S490" s="37"/>
      <c r="T490" s="37"/>
      <c r="U490" s="37"/>
      <c r="V490" s="37"/>
      <c r="W490" s="37"/>
      <c r="X490" s="37"/>
      <c r="Y490" s="37"/>
      <c r="Z490" s="37"/>
      <c r="AA490" s="37"/>
      <c r="AB490" s="37"/>
    </row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</sheetData>
  <autoFilter ref="L1:Q486"/>
  <mergeCells count="3">
    <mergeCell ref="A1:K2"/>
    <mergeCell ref="S1:T1"/>
    <mergeCell ref="S2:T2"/>
  </mergeCells>
  <conditionalFormatting sqref="E4:E18">
    <cfRule type="cellIs" priority="2" operator="greaterThanOrEqual" aboveAverage="0" equalAverage="0" bottom="0" percent="0" rank="0" text="" dxfId="16">
      <formula>0</formula>
    </cfRule>
  </conditionalFormatting>
  <conditionalFormatting sqref="I4:I18 I21:I35">
    <cfRule type="cellIs" priority="3" operator="lessThan" aboveAverage="0" equalAverage="0" bottom="0" percent="0" rank="0" text="" dxfId="9">
      <formula>0</formula>
    </cfRule>
  </conditionalFormatting>
  <conditionalFormatting sqref="E21:E35">
    <cfRule type="cellIs" priority="4" operator="greaterThanOrEqual" aboveAverage="0" equalAverage="0" bottom="0" percent="0" rank="0" text="" dxfId="16">
      <formula>0</formula>
    </cfRule>
  </conditionalFormatting>
  <conditionalFormatting sqref="F4:F18">
    <cfRule type="expression" priority="5" aboveAverage="0" equalAverage="0" bottom="0" percent="0" rank="0" text="" dxfId="16">
      <formula>D4&gt;F4</formula>
    </cfRule>
    <cfRule type="expression" priority="6" aboveAverage="0" equalAverage="0" bottom="0" percent="0" rank="0" text="" dxfId="9">
      <formula>D4&lt;F4</formula>
    </cfRule>
  </conditionalFormatting>
  <conditionalFormatting sqref="J4:J18">
    <cfRule type="expression" priority="7" aboveAverage="0" equalAverage="0" bottom="0" percent="0" rank="0" text="" dxfId="16">
      <formula>H4&gt;J4</formula>
    </cfRule>
    <cfRule type="expression" priority="8" aboveAverage="0" equalAverage="0" bottom="0" percent="0" rank="0" text="" dxfId="9">
      <formula>H4&lt;J4</formula>
    </cfRule>
  </conditionalFormatting>
  <conditionalFormatting sqref="F21:F35">
    <cfRule type="expression" priority="9" aboveAverage="0" equalAverage="0" bottom="0" percent="0" rank="0" text="" dxfId="16">
      <formula>D21&gt;F21</formula>
    </cfRule>
    <cfRule type="expression" priority="10" aboveAverage="0" equalAverage="0" bottom="0" percent="0" rank="0" text="" dxfId="9">
      <formula>D21&lt;F21</formula>
    </cfRule>
  </conditionalFormatting>
  <conditionalFormatting sqref="J21:J35">
    <cfRule type="expression" priority="11" aboveAverage="0" equalAverage="0" bottom="0" percent="0" rank="0" text="" dxfId="16">
      <formula>H21&gt;J21</formula>
    </cfRule>
    <cfRule type="expression" priority="12" aboveAverage="0" equalAverage="0" bottom="0" percent="0" rank="0" text="" dxfId="9">
      <formula>H21&lt;J21</formula>
    </cfRule>
  </conditionalFormatting>
  <printOptions headings="false" gridLines="true" gridLinesSet="true" horizontalCentered="true" verticalCentered="false"/>
  <pageMargins left="0.7" right="0.7" top="0.75" bottom="0.75" header="0.511811023622047" footer="0.511811023622047"/>
  <pageSetup paperSize="45" scale="100" fitToWidth="1" fitToHeight="0" pageOrder="overThenDown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00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M32" activeCellId="0" sqref="M32"/>
    </sheetView>
  </sheetViews>
  <sheetFormatPr defaultColWidth="12.66796875" defaultRowHeight="12.75" customHeight="true" zeroHeight="false" outlineLevelRow="0" outlineLevelCol="0"/>
  <cols>
    <col collapsed="false" customWidth="true" hidden="false" outlineLevel="0" max="1" min="1" style="34" width="13"/>
    <col collapsed="false" customWidth="true" hidden="false" outlineLevel="0" max="2" min="2" style="34" width="14.67"/>
    <col collapsed="false" customWidth="true" hidden="false" outlineLevel="0" max="15" min="3" style="34" width="13"/>
    <col collapsed="false" customWidth="true" hidden="false" outlineLevel="0" max="16384" min="16376" style="34" width="11.53"/>
  </cols>
  <sheetData>
    <row r="1" customFormat="false" ht="15.75" hidden="false" customHeight="true" outlineLevel="0" collapsed="false">
      <c r="A1" s="64" t="s">
        <v>251</v>
      </c>
      <c r="B1" s="64"/>
      <c r="C1" s="64"/>
      <c r="D1" s="64" t="s">
        <v>252</v>
      </c>
      <c r="E1" s="64"/>
      <c r="F1" s="64"/>
      <c r="G1" s="64" t="s">
        <v>253</v>
      </c>
      <c r="H1" s="64"/>
      <c r="I1" s="64"/>
      <c r="J1" s="64" t="s">
        <v>254</v>
      </c>
      <c r="K1" s="64"/>
      <c r="L1" s="64"/>
      <c r="M1" s="64" t="s">
        <v>255</v>
      </c>
      <c r="N1" s="64"/>
      <c r="O1" s="64"/>
      <c r="P1" s="37"/>
      <c r="Q1" s="37"/>
    </row>
    <row r="2" customFormat="false" ht="15.75" hidden="false" customHeight="true" outlineLevel="0" collapsed="false">
      <c r="A2" s="65" t="s">
        <v>256</v>
      </c>
      <c r="B2" s="65" t="s">
        <v>257</v>
      </c>
      <c r="C2" s="65" t="s">
        <v>258</v>
      </c>
      <c r="D2" s="65" t="s">
        <v>256</v>
      </c>
      <c r="E2" s="65" t="s">
        <v>257</v>
      </c>
      <c r="F2" s="65" t="s">
        <v>258</v>
      </c>
      <c r="G2" s="65" t="s">
        <v>256</v>
      </c>
      <c r="H2" s="65" t="s">
        <v>257</v>
      </c>
      <c r="I2" s="65" t="s">
        <v>258</v>
      </c>
      <c r="J2" s="65" t="s">
        <v>256</v>
      </c>
      <c r="K2" s="65" t="s">
        <v>257</v>
      </c>
      <c r="L2" s="65" t="s">
        <v>258</v>
      </c>
      <c r="M2" s="65" t="s">
        <v>256</v>
      </c>
      <c r="N2" s="65" t="s">
        <v>257</v>
      </c>
      <c r="O2" s="65" t="s">
        <v>258</v>
      </c>
      <c r="P2" s="37"/>
      <c r="Q2" s="37"/>
    </row>
    <row r="3" customFormat="false" ht="15.75" hidden="false" customHeight="true" outlineLevel="0" collapsed="false">
      <c r="A3" s="34" t="s">
        <v>235</v>
      </c>
      <c r="B3" s="39" t="n">
        <f aca="false">INDEX('Data 2'!$L$2:$L$2198,MATCH(A3,'Data 2'!$A$2:$A$2198,0))</f>
        <v>85.78</v>
      </c>
      <c r="C3" s="39" t="n">
        <f aca="false">INDEX('Data 2'!$M$2:$M$2198,MATCH(A3,'Data 2'!$A$2:$A$2198,0))</f>
        <v>26.8875</v>
      </c>
      <c r="D3" s="34" t="s">
        <v>160</v>
      </c>
      <c r="E3" s="39" t="n">
        <f aca="false">INDEX('Data 2'!$L$2:$L$2198,MATCH(D3,'Data 2'!$A$2:$A$2198,0))</f>
        <v>-14.9533333333333</v>
      </c>
      <c r="F3" s="39" t="n">
        <f aca="false">INDEX('Data 2'!$M$2:$M$2198,MATCH(D3,'Data 2'!$A$2:$A$2198,0))</f>
        <v>-24.78625</v>
      </c>
      <c r="G3" s="34" t="s">
        <v>259</v>
      </c>
      <c r="H3" s="39" t="n">
        <f aca="false">INDEX('Data 2'!$L$2:$L$2198,MATCH(G3,'Data 2'!$A$2:$A$2198,0))</f>
        <v>-41.1633333333333</v>
      </c>
      <c r="I3" s="39" t="n">
        <f aca="false">INDEX('Data 2'!$M$2:$M$2198,MATCH(G3,'Data 2'!$A$2:$A$2198,0))</f>
        <v>34.05</v>
      </c>
      <c r="J3" s="34" t="s">
        <v>242</v>
      </c>
      <c r="K3" s="39" t="n">
        <f aca="false">INDEX('Data 2'!$L$2:$L$2198,MATCH(J3,'Data 2'!$A$2:$A$2198,0))</f>
        <v>-28.8833333333333</v>
      </c>
      <c r="L3" s="66" t="n">
        <f aca="false">INDEX('Data 2'!$M$2:$M$2198,MATCH(J3,'Data 2'!$A$2:$A$2198,0))</f>
        <v>-32.350375</v>
      </c>
      <c r="M3" s="34" t="s">
        <v>176</v>
      </c>
      <c r="N3" s="39" t="n">
        <f aca="false">INDEX('Data 2'!$L$2:$L$2198,MATCH(M3,'Data 2'!$A$2:$A$2198,0))</f>
        <v>-43.4966666666667</v>
      </c>
      <c r="O3" s="39" t="n">
        <f aca="false">INDEX('Data 2'!$M$2:$M$2198,MATCH(M3,'Data 2'!$A$2:$A$2198,0))</f>
        <v>-34.07</v>
      </c>
      <c r="P3" s="41"/>
      <c r="Q3" s="37"/>
    </row>
    <row r="4" customFormat="false" ht="15.75" hidden="false" customHeight="true" outlineLevel="0" collapsed="false">
      <c r="A4" s="34" t="s">
        <v>238</v>
      </c>
      <c r="B4" s="39" t="n">
        <f aca="false">INDEX('Data 2'!$L$2:$L$2198,MATCH(A4,'Data 2'!$A$2:$A$2198,0))</f>
        <v>-64.89</v>
      </c>
      <c r="C4" s="39" t="n">
        <f aca="false">INDEX('Data 2'!$M$2:$M$2198,MATCH(A4,'Data 2'!$A$2:$A$2198,0))</f>
        <v>-70.58875</v>
      </c>
      <c r="D4" s="34" t="s">
        <v>161</v>
      </c>
      <c r="E4" s="39" t="n">
        <f aca="false">INDEX('Data 2'!$L$2:$L$2198,MATCH(D4,'Data 2'!$A$2:$A$2198,0))</f>
        <v>-103.4</v>
      </c>
      <c r="F4" s="39" t="n">
        <f aca="false">INDEX('Data 2'!$M$2:$M$2198,MATCH(D4,'Data 2'!$A$2:$A$2198,0))</f>
        <v>-110.97875</v>
      </c>
      <c r="G4" s="34" t="s">
        <v>129</v>
      </c>
      <c r="H4" s="39" t="n">
        <f aca="false">INDEX('Data 2'!$L$2:$L$2198,MATCH(G4,'Data 2'!$A$2:$A$2198,0))</f>
        <v>71.0833333333333</v>
      </c>
      <c r="I4" s="39" t="n">
        <f aca="false">INDEX('Data 2'!$M$2:$M$2198,MATCH(G4,'Data 2'!$A$2:$A$2198,0))</f>
        <v>147.7425</v>
      </c>
      <c r="J4" s="34" t="s">
        <v>176</v>
      </c>
      <c r="K4" s="39" t="n">
        <f aca="false">INDEX('Data 2'!$L$2:$L$2198,MATCH(J4,'Data 2'!$A$2:$A$2198,0))</f>
        <v>-43.4966666666667</v>
      </c>
      <c r="L4" s="66" t="n">
        <f aca="false">INDEX('Data 2'!$M$2:$M$2198,MATCH(J4,'Data 2'!$A$2:$A$2198,0))</f>
        <v>-34.07</v>
      </c>
      <c r="M4" s="34" t="s">
        <v>129</v>
      </c>
      <c r="N4" s="39" t="n">
        <f aca="false">INDEX('Data 2'!$L$2:$L$2198,MATCH(M4,'Data 2'!$A$2:$A$2198,0))</f>
        <v>71.0833333333333</v>
      </c>
      <c r="O4" s="39" t="n">
        <f aca="false">INDEX('Data 2'!$M$2:$M$2198,MATCH(M4,'Data 2'!$A$2:$A$2198,0))</f>
        <v>147.7425</v>
      </c>
      <c r="P4" s="41"/>
      <c r="Q4" s="37"/>
    </row>
    <row r="5" customFormat="false" ht="15.75" hidden="false" customHeight="true" outlineLevel="0" collapsed="false">
      <c r="A5" s="34" t="s">
        <v>242</v>
      </c>
      <c r="B5" s="39" t="n">
        <f aca="false">INDEX('Data 2'!$L$2:$L$2198,MATCH(A5,'Data 2'!$A$2:$A$2198,0))</f>
        <v>-28.8833333333333</v>
      </c>
      <c r="C5" s="39" t="n">
        <f aca="false">INDEX('Data 2'!$M$2:$M$2198,MATCH(A5,'Data 2'!$A$2:$A$2198,0))</f>
        <v>-32.350375</v>
      </c>
      <c r="D5" s="34" t="s">
        <v>260</v>
      </c>
      <c r="E5" s="39" t="n">
        <f aca="false">INDEX('Data 2'!$L$2:$L$2198,MATCH(D5,'Data 2'!$A$2:$A$2198,0))</f>
        <v>-39.9166666666667</v>
      </c>
      <c r="F5" s="39" t="n">
        <f aca="false">INDEX('Data 2'!$M$2:$M$2198,MATCH(D5,'Data 2'!$A$2:$A$2198,0))</f>
        <v>-40.01375</v>
      </c>
      <c r="G5" s="34" t="s">
        <v>119</v>
      </c>
      <c r="H5" s="39" t="n">
        <f aca="false">INDEX('Data 2'!$L$2:$L$2198,MATCH(G5,'Data 2'!$A$2:$A$2198,0))</f>
        <v>-68.2866666666667</v>
      </c>
      <c r="I5" s="39" t="n">
        <f aca="false">INDEX('Data 2'!$M$2:$M$2198,MATCH(G5,'Data 2'!$A$2:$A$2198,0))</f>
        <v>52.6675</v>
      </c>
      <c r="J5" s="34" t="s">
        <v>143</v>
      </c>
      <c r="K5" s="39" t="n">
        <f aca="false">INDEX('Data 2'!$L$2:$L$2198,MATCH(J5,'Data 2'!$A$2:$A$2198,0))</f>
        <v>-95.64</v>
      </c>
      <c r="L5" s="66" t="n">
        <f aca="false">INDEX('Data 2'!$M$2:$M$2198,MATCH(J5,'Data 2'!$A$2:$A$2198,0))</f>
        <v>-29.11625</v>
      </c>
      <c r="M5" s="34" t="s">
        <v>246</v>
      </c>
      <c r="N5" s="39" t="n">
        <f aca="false">INDEX('Data 2'!$L$2:$L$2198,MATCH(M5,'Data 2'!$A$2:$A$2198,0))</f>
        <v>9.61</v>
      </c>
      <c r="O5" s="39" t="n">
        <f aca="false">INDEX('Data 2'!$M$2:$M$2198,MATCH(M5,'Data 2'!$A$2:$A$2198,0))</f>
        <v>138.3625</v>
      </c>
      <c r="P5" s="41"/>
      <c r="Q5" s="37"/>
    </row>
    <row r="6" customFormat="false" ht="15.75" hidden="false" customHeight="true" outlineLevel="0" collapsed="false">
      <c r="A6" s="34" t="s">
        <v>259</v>
      </c>
      <c r="B6" s="39" t="n">
        <f aca="false">INDEX('Data 2'!$L$2:$L$2198,MATCH(A6,'Data 2'!$A$2:$A$2198,0))</f>
        <v>-41.1633333333333</v>
      </c>
      <c r="C6" s="39" t="n">
        <f aca="false">INDEX('Data 2'!$M$2:$M$2198,MATCH(A6,'Data 2'!$A$2:$A$2198,0))</f>
        <v>34.05</v>
      </c>
      <c r="D6" s="34" t="s">
        <v>261</v>
      </c>
      <c r="E6" s="39" t="n">
        <f aca="false">INDEX('Data 2'!$L$2:$L$2198,MATCH(D6,'Data 2'!$A$2:$A$2198,0))</f>
        <v>-99.9266666666667</v>
      </c>
      <c r="F6" s="39" t="n">
        <f aca="false">INDEX('Data 2'!$M$2:$M$2198,MATCH(D6,'Data 2'!$A$2:$A$2198,0))</f>
        <v>-75.5825</v>
      </c>
      <c r="G6" s="34" t="s">
        <v>246</v>
      </c>
      <c r="H6" s="39" t="n">
        <f aca="false">INDEX('Data 2'!$L$2:$L$2198,MATCH(G6,'Data 2'!$A$2:$A$2198,0))</f>
        <v>9.61</v>
      </c>
      <c r="I6" s="39" t="n">
        <f aca="false">INDEX('Data 2'!$M$2:$M$2198,MATCH(G6,'Data 2'!$A$2:$A$2198,0))</f>
        <v>138.3625</v>
      </c>
      <c r="J6" s="34" t="s">
        <v>129</v>
      </c>
      <c r="K6" s="39" t="n">
        <f aca="false">INDEX('Data 2'!$L$2:$L$2198,MATCH(J6,'Data 2'!$A$2:$A$2198,0))</f>
        <v>71.0833333333333</v>
      </c>
      <c r="L6" s="66" t="n">
        <f aca="false">INDEX('Data 2'!$M$2:$M$2198,MATCH(J6,'Data 2'!$A$2:$A$2198,0))</f>
        <v>147.7425</v>
      </c>
      <c r="M6" s="34" t="s">
        <v>40</v>
      </c>
      <c r="N6" s="39" t="n">
        <f aca="false">INDEX('Data 2'!$L$2:$L$2198,MATCH(M6,'Data 2'!$A$2:$A$2198,0))</f>
        <v>-70.3533333333333</v>
      </c>
      <c r="O6" s="39" t="n">
        <f aca="false">INDEX('Data 2'!$M$2:$M$2198,MATCH(M6,'Data 2'!$A$2:$A$2198,0))</f>
        <v>-71.15375</v>
      </c>
      <c r="P6" s="41"/>
      <c r="Q6" s="37"/>
    </row>
    <row r="7" customFormat="false" ht="15.75" hidden="false" customHeight="true" outlineLevel="0" collapsed="false">
      <c r="A7" s="34" t="s">
        <v>143</v>
      </c>
      <c r="B7" s="39" t="n">
        <f aca="false">INDEX('Data 2'!$L$2:$L$2198,MATCH(A7,'Data 2'!$A$2:$A$2198,0))</f>
        <v>-95.64</v>
      </c>
      <c r="C7" s="39" t="n">
        <f aca="false">INDEX('Data 2'!$M$2:$M$2198,MATCH(A7,'Data 2'!$A$2:$A$2198,0))</f>
        <v>-29.11625</v>
      </c>
      <c r="D7" s="34" t="s">
        <v>231</v>
      </c>
      <c r="E7" s="39" t="n">
        <f aca="false">INDEX('Data 2'!$L$2:$L$2198,MATCH(D7,'Data 2'!$A$2:$A$2198,0))</f>
        <v>-121.166666666667</v>
      </c>
      <c r="F7" s="39" t="n">
        <f aca="false">INDEX('Data 2'!$M$2:$M$2198,MATCH(D7,'Data 2'!$A$2:$A$2198,0))</f>
        <v>-112.11625</v>
      </c>
      <c r="G7" s="34" t="s">
        <v>131</v>
      </c>
      <c r="H7" s="39" t="n">
        <f aca="false">INDEX('Data 2'!$L$2:$L$2198,MATCH(G7,'Data 2'!$A$2:$A$2198,0))</f>
        <v>-43.1233333333333</v>
      </c>
      <c r="I7" s="39" t="n">
        <f aca="false">INDEX('Data 2'!$M$2:$M$2198,MATCH(G7,'Data 2'!$A$2:$A$2198,0))</f>
        <v>51.97</v>
      </c>
      <c r="J7" s="34" t="s">
        <v>175</v>
      </c>
      <c r="K7" s="39" t="n">
        <f aca="false">INDEX('Data 2'!$L$2:$L$2198,MATCH(J7,'Data 2'!$A$2:$A$2198,0))</f>
        <v>-29.3333333333333</v>
      </c>
      <c r="L7" s="66" t="n">
        <f aca="false">INDEX('Data 2'!$M$2:$M$2198,MATCH(J7,'Data 2'!$A$2:$A$2198,0))</f>
        <v>88.9825</v>
      </c>
      <c r="M7" s="34" t="s">
        <v>140</v>
      </c>
      <c r="N7" s="39" t="n">
        <f aca="false">INDEX('Data 2'!$L$2:$L$2198,MATCH(M7,'Data 2'!$A$2:$A$2198,0))</f>
        <v>51.87</v>
      </c>
      <c r="O7" s="39" t="n">
        <f aca="false">INDEX('Data 2'!$M$2:$M$2198,MATCH(M7,'Data 2'!$A$2:$A$2198,0))</f>
        <v>6.04</v>
      </c>
      <c r="P7" s="41"/>
      <c r="Q7" s="37"/>
    </row>
    <row r="8" customFormat="false" ht="15.75" hidden="false" customHeight="true" outlineLevel="0" collapsed="false">
      <c r="A8" s="34" t="s">
        <v>198</v>
      </c>
      <c r="B8" s="39" t="n">
        <f aca="false">INDEX('Data 2'!$L$2:$L$2198,MATCH(A8,'Data 2'!$A$2:$A$2198,0))</f>
        <v>-84.5966666666667</v>
      </c>
      <c r="C8" s="39" t="n">
        <f aca="false">INDEX('Data 2'!$M$2:$M$2198,MATCH(A8,'Data 2'!$A$2:$A$2198,0))</f>
        <v>-43.54625</v>
      </c>
      <c r="D8" s="34" t="s">
        <v>262</v>
      </c>
      <c r="E8" s="39" t="n">
        <f aca="false">INDEX('Data 2'!$L$2:$L$2198,MATCH(D8,'Data 2'!$A$2:$A$2198,0))</f>
        <v>-84.06</v>
      </c>
      <c r="F8" s="39" t="n">
        <f aca="false">INDEX('Data 2'!$M$2:$M$2198,MATCH(D8,'Data 2'!$A$2:$A$2198,0))</f>
        <v>-28.10375</v>
      </c>
      <c r="G8" s="34" t="s">
        <v>123</v>
      </c>
      <c r="H8" s="39" t="n">
        <f aca="false">INDEX('Data 2'!$L$2:$L$2198,MATCH(G8,'Data 2'!$A$2:$A$2198,0))</f>
        <v>20.8033333333333</v>
      </c>
      <c r="I8" s="39" t="n">
        <f aca="false">INDEX('Data 2'!$M$2:$M$2198,MATCH(G8,'Data 2'!$A$2:$A$2198,0))</f>
        <v>43.575</v>
      </c>
      <c r="J8" s="34" t="s">
        <v>134</v>
      </c>
      <c r="K8" s="39" t="n">
        <f aca="false">INDEX('Data 2'!$L$2:$L$2198,MATCH(J8,'Data 2'!$A$2:$A$2198,0))</f>
        <v>-113.886666666667</v>
      </c>
      <c r="L8" s="66" t="n">
        <f aca="false">INDEX('Data 2'!$M$2:$M$2198,MATCH(J8,'Data 2'!$A$2:$A$2198,0))</f>
        <v>-97.9</v>
      </c>
      <c r="M8" s="34" t="s">
        <v>136</v>
      </c>
      <c r="N8" s="39" t="n">
        <f aca="false">INDEX('Data 2'!$L$2:$L$2198,MATCH(M8,'Data 2'!$A$2:$A$2198,0))</f>
        <v>-17.21</v>
      </c>
      <c r="O8" s="39" t="n">
        <f aca="false">INDEX('Data 2'!$M$2:$M$2198,MATCH(M8,'Data 2'!$A$2:$A$2198,0))</f>
        <v>-20.43125</v>
      </c>
      <c r="P8" s="41"/>
      <c r="Q8" s="37"/>
    </row>
    <row r="9" customFormat="false" ht="15.75" hidden="false" customHeight="true" outlineLevel="0" collapsed="false">
      <c r="A9" s="34" t="s">
        <v>161</v>
      </c>
      <c r="B9" s="39" t="n">
        <f aca="false">INDEX('Data 2'!$L$2:$L$2198,MATCH(A9,'Data 2'!$A$2:$A$2198,0))</f>
        <v>-103.4</v>
      </c>
      <c r="C9" s="39" t="n">
        <f aca="false">INDEX('Data 2'!$M$2:$M$2198,MATCH(A9,'Data 2'!$A$2:$A$2198,0))</f>
        <v>-110.97875</v>
      </c>
      <c r="D9" s="34" t="s">
        <v>74</v>
      </c>
      <c r="E9" s="39" t="n">
        <f aca="false">INDEX('Data 2'!$L$2:$L$2198,MATCH(D9,'Data 2'!$A$2:$A$2198,0))</f>
        <v>-53.6766666666667</v>
      </c>
      <c r="F9" s="39" t="n">
        <f aca="false">INDEX('Data 2'!$M$2:$M$2198,MATCH(D9,'Data 2'!$A$2:$A$2198,0))</f>
        <v>-26.51875</v>
      </c>
      <c r="G9" s="34" t="s">
        <v>153</v>
      </c>
      <c r="H9" s="39" t="n">
        <f aca="false">INDEX('Data 2'!$L$2:$L$2198,MATCH(G9,'Data 2'!$A$2:$A$2198,0))</f>
        <v>6.94</v>
      </c>
      <c r="I9" s="39" t="n">
        <f aca="false">INDEX('Data 2'!$M$2:$M$2198,MATCH(G9,'Data 2'!$A$2:$A$2198,0))</f>
        <v>8.3325</v>
      </c>
      <c r="J9" s="34" t="s">
        <v>198</v>
      </c>
      <c r="K9" s="39" t="n">
        <f aca="false">INDEX('Data 2'!$L$2:$L$2198,MATCH(J9,'Data 2'!$A$2:$A$2198,0))</f>
        <v>-84.5966666666667</v>
      </c>
      <c r="L9" s="66" t="n">
        <f aca="false">INDEX('Data 2'!$M$2:$M$2198,MATCH(J9,'Data 2'!$A$2:$A$2198,0))</f>
        <v>-43.54625</v>
      </c>
      <c r="M9" s="34" t="s">
        <v>123</v>
      </c>
      <c r="N9" s="39" t="n">
        <f aca="false">INDEX('Data 2'!$L$2:$L$2198,MATCH(M9,'Data 2'!$A$2:$A$2198,0))</f>
        <v>20.8033333333333</v>
      </c>
      <c r="O9" s="39" t="n">
        <f aca="false">INDEX('Data 2'!$M$2:$M$2198,MATCH(M9,'Data 2'!$A$2:$A$2198,0))</f>
        <v>43.575</v>
      </c>
      <c r="P9" s="41"/>
      <c r="Q9" s="37"/>
    </row>
    <row r="10" customFormat="false" ht="15.75" hidden="false" customHeight="true" outlineLevel="0" collapsed="false">
      <c r="A10" s="34" t="s">
        <v>81</v>
      </c>
      <c r="B10" s="39" t="n">
        <f aca="false">INDEX('Data 2'!$L$2:$L$2198,MATCH(A10,'Data 2'!$A$2:$A$2198,0))</f>
        <v>-25.0066666666667</v>
      </c>
      <c r="C10" s="39" t="n">
        <f aca="false">INDEX('Data 2'!$M$2:$M$2198,MATCH(A10,'Data 2'!$A$2:$A$2198,0))</f>
        <v>58.935</v>
      </c>
      <c r="D10" s="34" t="s">
        <v>166</v>
      </c>
      <c r="E10" s="39" t="n">
        <f aca="false">INDEX('Data 2'!$L$2:$L$2198,MATCH(D10,'Data 2'!$A$2:$A$2198,0))</f>
        <v>-55.7866666666667</v>
      </c>
      <c r="F10" s="39" t="n">
        <f aca="false">INDEX('Data 2'!$M$2:$M$2198,MATCH(D10,'Data 2'!$A$2:$A$2198,0))</f>
        <v>-61.745</v>
      </c>
      <c r="G10" s="34" t="s">
        <v>121</v>
      </c>
      <c r="H10" s="39" t="n">
        <f aca="false">INDEX('Data 2'!$L$2:$L$2198,MATCH(G10,'Data 2'!$A$2:$A$2198,0))</f>
        <v>11.3</v>
      </c>
      <c r="I10" s="39" t="n">
        <f aca="false">INDEX('Data 2'!$M$2:$M$2198,MATCH(G10,'Data 2'!$A$2:$A$2198,0))</f>
        <v>-25.17125</v>
      </c>
      <c r="J10" s="34" t="s">
        <v>123</v>
      </c>
      <c r="K10" s="39" t="n">
        <f aca="false">INDEX('Data 2'!$L$2:$L$2198,MATCH(J10,'Data 2'!$A$2:$A$2198,0))</f>
        <v>20.8033333333333</v>
      </c>
      <c r="L10" s="66" t="n">
        <f aca="false">INDEX('Data 2'!$M$2:$M$2198,MATCH(J10,'Data 2'!$A$2:$A$2198,0))</f>
        <v>43.575</v>
      </c>
      <c r="M10" s="34" t="s">
        <v>180</v>
      </c>
      <c r="N10" s="39" t="n">
        <f aca="false">INDEX('Data 2'!$L$2:$L$2198,MATCH(M10,'Data 2'!$A$2:$A$2198,0))</f>
        <v>10.3266666666667</v>
      </c>
      <c r="O10" s="39" t="n">
        <f aca="false">INDEX('Data 2'!$M$2:$M$2198,MATCH(M10,'Data 2'!$A$2:$A$2198,0))</f>
        <v>-29.3425</v>
      </c>
      <c r="P10" s="41"/>
      <c r="Q10" s="37"/>
    </row>
    <row r="11" customFormat="false" ht="15.75" hidden="false" customHeight="true" outlineLevel="0" collapsed="false">
      <c r="A11" s="34" t="s">
        <v>72</v>
      </c>
      <c r="B11" s="39" t="n">
        <f aca="false">INDEX('Data 2'!$L$2:$L$2198,MATCH(A11,'Data 2'!$A$2:$A$2198,0))</f>
        <v>-5.29333333333333</v>
      </c>
      <c r="C11" s="39" t="n">
        <f aca="false">INDEX('Data 2'!$M$2:$M$2198,MATCH(A11,'Data 2'!$A$2:$A$2198,0))</f>
        <v>70.68875</v>
      </c>
      <c r="D11" s="34" t="s">
        <v>236</v>
      </c>
      <c r="E11" s="39" t="n">
        <f aca="false">INDEX('Data 2'!$L$2:$L$2198,MATCH(D11,'Data 2'!$A$2:$A$2198,0))</f>
        <v>-10.8966666666667</v>
      </c>
      <c r="F11" s="39" t="n">
        <f aca="false">INDEX('Data 2'!$M$2:$M$2198,MATCH(D11,'Data 2'!$A$2:$A$2198,0))</f>
        <v>-48.05875</v>
      </c>
      <c r="G11" s="34" t="s">
        <v>60</v>
      </c>
      <c r="H11" s="39" t="n">
        <f aca="false">INDEX('Data 2'!$L$2:$L$2198,MATCH(G11,'Data 2'!$A$2:$A$2198,0))</f>
        <v>-63.4233333333333</v>
      </c>
      <c r="I11" s="39" t="n">
        <f aca="false">INDEX('Data 2'!$M$2:$M$2198,MATCH(G11,'Data 2'!$A$2:$A$2198,0))</f>
        <v>-45.195</v>
      </c>
      <c r="J11" s="34" t="s">
        <v>224</v>
      </c>
      <c r="K11" s="39" t="n">
        <f aca="false">INDEX('Data 2'!$L$2:$L$2198,MATCH(J11,'Data 2'!$A$2:$A$2198,0))</f>
        <v>103.873333333333</v>
      </c>
      <c r="L11" s="66" t="n">
        <f aca="false">INDEX('Data 2'!$M$2:$M$2198,MATCH(J11,'Data 2'!$A$2:$A$2198,0))</f>
        <v>75.925</v>
      </c>
      <c r="M11" s="34" t="s">
        <v>75</v>
      </c>
      <c r="N11" s="39" t="n">
        <f aca="false">INDEX('Data 2'!$L$2:$L$2198,MATCH(M11,'Data 2'!$A$2:$A$2198,0))</f>
        <v>-81.87</v>
      </c>
      <c r="O11" s="39" t="n">
        <f aca="false">INDEX('Data 2'!$M$2:$M$2198,MATCH(M11,'Data 2'!$A$2:$A$2198,0))</f>
        <v>-86.44</v>
      </c>
      <c r="P11" s="41"/>
      <c r="Q11" s="37"/>
    </row>
    <row r="12" customFormat="false" ht="15.75" hidden="false" customHeight="true" outlineLevel="0" collapsed="false">
      <c r="A12" s="34" t="s">
        <v>193</v>
      </c>
      <c r="B12" s="39" t="n">
        <f aca="false">INDEX('Data 2'!$L$2:$L$2198,MATCH(A12,'Data 2'!$A$2:$A$2198,0))</f>
        <v>-91.0833333333333</v>
      </c>
      <c r="C12" s="39" t="n">
        <f aca="false">INDEX('Data 2'!$M$2:$M$2198,MATCH(A12,'Data 2'!$A$2:$A$2198,0))</f>
        <v>-69.4225</v>
      </c>
      <c r="D12" s="34" t="s">
        <v>80</v>
      </c>
      <c r="E12" s="39" t="n">
        <f aca="false">INDEX('Data 2'!$L$2:$L$2198,MATCH(D12,'Data 2'!$A$2:$A$2198,0))</f>
        <v>-100.336666666667</v>
      </c>
      <c r="F12" s="39" t="n">
        <f aca="false">INDEX('Data 2'!$M$2:$M$2198,MATCH(D12,'Data 2'!$A$2:$A$2198,0))</f>
        <v>-99.655</v>
      </c>
      <c r="G12" s="34" t="s">
        <v>73</v>
      </c>
      <c r="H12" s="39" t="n">
        <f aca="false">INDEX('Data 2'!$L$2:$L$2198,MATCH(G12,'Data 2'!$A$2:$A$2198,0))</f>
        <v>-21.05</v>
      </c>
      <c r="I12" s="39" t="n">
        <f aca="false">INDEX('Data 2'!$M$2:$M$2198,MATCH(G12,'Data 2'!$A$2:$A$2198,0))</f>
        <v>101.3275</v>
      </c>
      <c r="J12" s="34" t="s">
        <v>96</v>
      </c>
      <c r="K12" s="39" t="n">
        <f aca="false">INDEX('Data 2'!$L$2:$L$2198,MATCH(J12,'Data 2'!$A$2:$A$2198,0))</f>
        <v>122.496666666667</v>
      </c>
      <c r="L12" s="66" t="n">
        <f aca="false">INDEX('Data 2'!$M$2:$M$2198,MATCH(J12,'Data 2'!$A$2:$A$2198,0))</f>
        <v>149.74</v>
      </c>
      <c r="M12" s="34" t="s">
        <v>59</v>
      </c>
      <c r="N12" s="39" t="n">
        <f aca="false">INDEX('Data 2'!$L$2:$L$2198,MATCH(M12,'Data 2'!$A$2:$A$2198,0))</f>
        <v>-109.336666666667</v>
      </c>
      <c r="O12" s="39" t="n">
        <f aca="false">INDEX('Data 2'!$M$2:$M$2198,MATCH(M12,'Data 2'!$A$2:$A$2198,0))</f>
        <v>-42.04375</v>
      </c>
      <c r="P12" s="41"/>
      <c r="Q12" s="37"/>
    </row>
    <row r="13" customFormat="false" ht="15.75" hidden="false" customHeight="true" outlineLevel="0" collapsed="false">
      <c r="A13" s="34" t="s">
        <v>182</v>
      </c>
      <c r="B13" s="39" t="n">
        <f aca="false">INDEX('Data 2'!$L$2:$L$2198,MATCH(A13,'Data 2'!$A$2:$A$2198,0))</f>
        <v>-87.9033333333333</v>
      </c>
      <c r="C13" s="39" t="n">
        <f aca="false">INDEX('Data 2'!$M$2:$M$2198,MATCH(A13,'Data 2'!$A$2:$A$2198,0))</f>
        <v>-55.84875</v>
      </c>
      <c r="D13" s="34" t="s">
        <v>220</v>
      </c>
      <c r="E13" s="39" t="n">
        <f aca="false">INDEX('Data 2'!$L$2:$L$2198,MATCH(D13,'Data 2'!$A$2:$A$2198,0))</f>
        <v>94.6966666666667</v>
      </c>
      <c r="F13" s="39" t="n">
        <f aca="false">INDEX('Data 2'!$M$2:$M$2198,MATCH(D13,'Data 2'!$A$2:$A$2198,0))</f>
        <v>72.03125</v>
      </c>
      <c r="G13" s="34" t="s">
        <v>197</v>
      </c>
      <c r="H13" s="39" t="n">
        <f aca="false">INDEX('Data 2'!$L$2:$L$2198,MATCH(G13,'Data 2'!$A$2:$A$2198,0))</f>
        <v>109.083333333333</v>
      </c>
      <c r="I13" s="39" t="n">
        <f aca="false">INDEX('Data 2'!$M$2:$M$2198,MATCH(G13,'Data 2'!$A$2:$A$2198,0))</f>
        <v>80.93875</v>
      </c>
      <c r="J13" s="34" t="s">
        <v>60</v>
      </c>
      <c r="K13" s="39" t="n">
        <f aca="false">INDEX('Data 2'!$L$2:$L$2198,MATCH(J13,'Data 2'!$A$2:$A$2198,0))</f>
        <v>-63.4233333333333</v>
      </c>
      <c r="L13" s="66" t="n">
        <f aca="false">INDEX('Data 2'!$M$2:$M$2198,MATCH(J13,'Data 2'!$A$2:$A$2198,0))</f>
        <v>-45.195</v>
      </c>
      <c r="M13" s="34" t="s">
        <v>184</v>
      </c>
      <c r="N13" s="39" t="n">
        <f aca="false">INDEX('Data 2'!$L$2:$L$2198,MATCH(M13,'Data 2'!$A$2:$A$2198,0))</f>
        <v>-36.83</v>
      </c>
      <c r="O13" s="39" t="n">
        <f aca="false">INDEX('Data 2'!$M$2:$M$2198,MATCH(M13,'Data 2'!$A$2:$A$2198,0))</f>
        <v>50.1</v>
      </c>
      <c r="P13" s="41"/>
      <c r="Q13" s="37"/>
    </row>
    <row r="14" customFormat="false" ht="15.75" hidden="false" customHeight="true" outlineLevel="0" collapsed="false">
      <c r="A14" s="34" t="s">
        <v>248</v>
      </c>
      <c r="B14" s="39" t="n">
        <f aca="false">INDEX('Data 2'!$L$2:$L$2198,MATCH(A14,'Data 2'!$A$2:$A$2198,0))</f>
        <v>-110.906666666667</v>
      </c>
      <c r="C14" s="39" t="n">
        <f aca="false">INDEX('Data 2'!$M$2:$M$2198,MATCH(A14,'Data 2'!$A$2:$A$2198,0))</f>
        <v>-53.11875</v>
      </c>
      <c r="D14" s="37"/>
      <c r="E14" s="37"/>
      <c r="F14" s="37"/>
      <c r="G14" s="34" t="s">
        <v>128</v>
      </c>
      <c r="H14" s="39" t="n">
        <f aca="false">INDEX('Data 2'!$L$2:$L$2198,MATCH(G14,'Data 2'!$A$2:$A$2198,0))</f>
        <v>-37.3533333333333</v>
      </c>
      <c r="I14" s="39" t="n">
        <f aca="false">INDEX('Data 2'!$M$2:$M$2198,MATCH(G14,'Data 2'!$A$2:$A$2198,0))</f>
        <v>14.06125</v>
      </c>
      <c r="J14" s="34" t="s">
        <v>180</v>
      </c>
      <c r="K14" s="39" t="n">
        <f aca="false">INDEX('Data 2'!$L$2:$L$2198,MATCH(J14,'Data 2'!$A$2:$A$2198,0))</f>
        <v>10.3266666666667</v>
      </c>
      <c r="L14" s="66" t="n">
        <f aca="false">INDEX('Data 2'!$M$2:$M$2198,MATCH(J14,'Data 2'!$A$2:$A$2198,0))</f>
        <v>-29.3425</v>
      </c>
      <c r="M14" s="34" t="s">
        <v>42</v>
      </c>
      <c r="N14" s="39" t="n">
        <f aca="false">INDEX('Data 2'!$L$2:$L$2198,MATCH(M14,'Data 2'!$A$2:$A$2198,0))</f>
        <v>2.00666666666667</v>
      </c>
      <c r="O14" s="39" t="n">
        <f aca="false">INDEX('Data 2'!$M$2:$M$2198,MATCH(M14,'Data 2'!$A$2:$A$2198,0))</f>
        <v>7.39</v>
      </c>
      <c r="P14" s="41"/>
      <c r="Q14" s="37"/>
    </row>
    <row r="15" customFormat="false" ht="15.75" hidden="false" customHeight="true" outlineLevel="0" collapsed="false">
      <c r="A15" s="34" t="s">
        <v>45</v>
      </c>
      <c r="B15" s="39" t="n">
        <f aca="false">INDEX('Data 2'!$L$2:$L$2198,MATCH(A15,'Data 2'!$A$2:$A$2198,0))</f>
        <v>-73.7066666666667</v>
      </c>
      <c r="C15" s="39" t="n">
        <f aca="false">INDEX('Data 2'!$M$2:$M$2198,MATCH(A15,'Data 2'!$A$2:$A$2198,0))</f>
        <v>30.4225</v>
      </c>
      <c r="D15" s="36"/>
      <c r="E15" s="36"/>
      <c r="F15" s="36"/>
      <c r="G15" s="34" t="s">
        <v>139</v>
      </c>
      <c r="H15" s="39" t="n">
        <f aca="false">INDEX('Data 2'!$L$2:$L$2198,MATCH(G15,'Data 2'!$A$2:$A$2198,0))</f>
        <v>-42.98</v>
      </c>
      <c r="I15" s="39" t="n">
        <f aca="false">INDEX('Data 2'!$M$2:$M$2198,MATCH(G15,'Data 2'!$A$2:$A$2198,0))</f>
        <v>115.09875</v>
      </c>
      <c r="J15" s="34" t="s">
        <v>165</v>
      </c>
      <c r="K15" s="39" t="n">
        <f aca="false">INDEX('Data 2'!$L$2:$L$2198,MATCH(J15,'Data 2'!$A$2:$A$2198,0))</f>
        <v>35.1866666666667</v>
      </c>
      <c r="L15" s="66" t="n">
        <f aca="false">INDEX('Data 2'!$M$2:$M$2198,MATCH(J15,'Data 2'!$A$2:$A$2198,0))</f>
        <v>-31.80375</v>
      </c>
      <c r="M15" s="34" t="s">
        <v>47</v>
      </c>
      <c r="N15" s="39" t="n">
        <f aca="false">INDEX('Data 2'!$L$2:$L$2198,MATCH(M15,'Data 2'!$A$2:$A$2198,0))</f>
        <v>-105.66</v>
      </c>
      <c r="O15" s="39" t="n">
        <f aca="false">INDEX('Data 2'!$M$2:$M$2198,MATCH(M15,'Data 2'!$A$2:$A$2198,0))</f>
        <v>-105.14625</v>
      </c>
      <c r="P15" s="41"/>
      <c r="Q15" s="37"/>
    </row>
    <row r="16" customFormat="false" ht="15.75" hidden="false" customHeight="true" outlineLevel="0" collapsed="false">
      <c r="A16" s="34" t="s">
        <v>263</v>
      </c>
      <c r="B16" s="39" t="n">
        <f aca="false">INDEX('Data 2'!$L$2:$L$2198,MATCH(A16,'Data 2'!$A$2:$A$2198,0))</f>
        <v>-36.11</v>
      </c>
      <c r="C16" s="39" t="n">
        <f aca="false">INDEX('Data 2'!$M$2:$M$2198,MATCH(A16,'Data 2'!$A$2:$A$2198,0))</f>
        <v>57.59125</v>
      </c>
      <c r="D16" s="36"/>
      <c r="E16" s="36"/>
      <c r="F16" s="36"/>
      <c r="G16" s="34" t="s">
        <v>187</v>
      </c>
      <c r="H16" s="39" t="n">
        <f aca="false">INDEX('Data 2'!$L$2:$L$2198,MATCH(G16,'Data 2'!$A$2:$A$2198,0))</f>
        <v>13.29</v>
      </c>
      <c r="I16" s="39" t="n">
        <f aca="false">INDEX('Data 2'!$M$2:$M$2198,MATCH(G16,'Data 2'!$A$2:$A$2198,0))</f>
        <v>128.03375</v>
      </c>
      <c r="J16" s="34" t="s">
        <v>81</v>
      </c>
      <c r="K16" s="39" t="n">
        <f aca="false">INDEX('Data 2'!$L$2:$L$2198,MATCH(J16,'Data 2'!$A$2:$A$2198,0))</f>
        <v>-25.0066666666667</v>
      </c>
      <c r="L16" s="66" t="n">
        <f aca="false">INDEX('Data 2'!$M$2:$M$2198,MATCH(J16,'Data 2'!$A$2:$A$2198,0))</f>
        <v>58.935</v>
      </c>
      <c r="M16" s="34" t="s">
        <v>46</v>
      </c>
      <c r="N16" s="39" t="n">
        <f aca="false">INDEX('Data 2'!$L$2:$L$2198,MATCH(M16,'Data 2'!$A$2:$A$2198,0))</f>
        <v>7.12</v>
      </c>
      <c r="O16" s="39" t="n">
        <f aca="false">INDEX('Data 2'!$M$2:$M$2198,MATCH(M16,'Data 2'!$A$2:$A$2198,0))</f>
        <v>-16.55375</v>
      </c>
      <c r="P16" s="41"/>
      <c r="Q16" s="37"/>
    </row>
    <row r="17" customFormat="false" ht="15.75" hidden="false" customHeight="true" outlineLevel="0" collapsed="false">
      <c r="A17" s="34" t="s">
        <v>231</v>
      </c>
      <c r="B17" s="39" t="n">
        <f aca="false">INDEX('Data 2'!$L$2:$L$2198,MATCH(A17,'Data 2'!$A$2:$A$2198,0))</f>
        <v>-121.166666666667</v>
      </c>
      <c r="C17" s="39" t="n">
        <f aca="false">INDEX('Data 2'!$M$2:$M$2198,MATCH(A17,'Data 2'!$A$2:$A$2198,0))</f>
        <v>-112.11625</v>
      </c>
      <c r="D17" s="36"/>
      <c r="E17" s="36"/>
      <c r="F17" s="36"/>
      <c r="G17" s="34" t="s">
        <v>178</v>
      </c>
      <c r="H17" s="39" t="n">
        <f aca="false">INDEX('Data 2'!$L$2:$L$2198,MATCH(G17,'Data 2'!$A$2:$A$2198,0))</f>
        <v>-113.566666666667</v>
      </c>
      <c r="I17" s="39" t="n">
        <f aca="false">INDEX('Data 2'!$M$2:$M$2198,MATCH(G17,'Data 2'!$A$2:$A$2198,0))</f>
        <v>-157.91625</v>
      </c>
      <c r="J17" s="34" t="s">
        <v>193</v>
      </c>
      <c r="K17" s="39" t="n">
        <f aca="false">INDEX('Data 2'!$L$2:$L$2198,MATCH(J17,'Data 2'!$A$2:$A$2198,0))</f>
        <v>-91.0833333333333</v>
      </c>
      <c r="L17" s="66" t="n">
        <f aca="false">INDEX('Data 2'!$M$2:$M$2198,MATCH(J17,'Data 2'!$A$2:$A$2198,0))</f>
        <v>-69.4225</v>
      </c>
      <c r="M17" s="34" t="s">
        <v>132</v>
      </c>
      <c r="N17" s="39" t="n">
        <f aca="false">INDEX('Data 2'!$L$2:$L$2198,MATCH(M17,'Data 2'!$A$2:$A$2198,0))</f>
        <v>37.1933333333333</v>
      </c>
      <c r="O17" s="39" t="n">
        <f aca="false">INDEX('Data 2'!$M$2:$M$2198,MATCH(M17,'Data 2'!$A$2:$A$2198,0))</f>
        <v>-21.66125</v>
      </c>
      <c r="P17" s="41"/>
      <c r="Q17" s="37"/>
    </row>
    <row r="18" customFormat="false" ht="15.75" hidden="false" customHeight="true" outlineLevel="0" collapsed="false">
      <c r="A18" s="34" t="s">
        <v>64</v>
      </c>
      <c r="B18" s="39" t="n">
        <f aca="false">INDEX('Data 2'!$L$2:$L$2198,MATCH(A18,'Data 2'!$A$2:$A$2198,0))</f>
        <v>-54.1166666666667</v>
      </c>
      <c r="C18" s="39" t="n">
        <f aca="false">INDEX('Data 2'!$M$2:$M$2198,MATCH(A18,'Data 2'!$A$2:$A$2198,0))</f>
        <v>-5.7575</v>
      </c>
      <c r="D18" s="36"/>
      <c r="E18" s="36"/>
      <c r="F18" s="36"/>
      <c r="G18" s="34" t="s">
        <v>150</v>
      </c>
      <c r="H18" s="39" t="n">
        <f aca="false">INDEX('Data 2'!$L$2:$L$2198,MATCH(G18,'Data 2'!$A$2:$A$2198,0))</f>
        <v>9.21333333333333</v>
      </c>
      <c r="I18" s="39" t="n">
        <f aca="false">INDEX('Data 2'!$M$2:$M$2198,MATCH(G18,'Data 2'!$A$2:$A$2198,0))</f>
        <v>74.71125</v>
      </c>
      <c r="J18" s="34" t="s">
        <v>150</v>
      </c>
      <c r="K18" s="39" t="n">
        <f aca="false">INDEX('Data 2'!$L$2:$L$2198,MATCH(J18,'Data 2'!$A$2:$A$2198,0))</f>
        <v>9.21333333333333</v>
      </c>
      <c r="L18" s="66" t="n">
        <f aca="false">INDEX('Data 2'!$M$2:$M$2198,MATCH(J18,'Data 2'!$A$2:$A$2198,0))</f>
        <v>74.71125</v>
      </c>
      <c r="M18" s="34" t="s">
        <v>144</v>
      </c>
      <c r="N18" s="39" t="n">
        <f aca="false">INDEX('Data 2'!$L$2:$L$2198,MATCH(M18,'Data 2'!$A$2:$A$2198,0))</f>
        <v>57.1933333333333</v>
      </c>
      <c r="O18" s="39" t="n">
        <f aca="false">INDEX('Data 2'!$M$2:$M$2198,MATCH(M18,'Data 2'!$A$2:$A$2198,0))</f>
        <v>105.1825</v>
      </c>
      <c r="P18" s="41"/>
      <c r="Q18" s="37"/>
    </row>
    <row r="19" customFormat="false" ht="15.75" hidden="false" customHeight="true" outlineLevel="0" collapsed="false">
      <c r="A19" s="34" t="s">
        <v>74</v>
      </c>
      <c r="B19" s="39" t="n">
        <f aca="false">INDEX('Data 2'!$L$2:$L$2198,MATCH(A19,'Data 2'!$A$2:$A$2198,0))</f>
        <v>-53.6766666666667</v>
      </c>
      <c r="C19" s="39" t="n">
        <f aca="false">INDEX('Data 2'!$M$2:$M$2198,MATCH(A19,'Data 2'!$A$2:$A$2198,0))</f>
        <v>-26.51875</v>
      </c>
      <c r="D19" s="36"/>
      <c r="E19" s="36"/>
      <c r="F19" s="36"/>
      <c r="G19" s="34" t="s">
        <v>46</v>
      </c>
      <c r="H19" s="39" t="n">
        <f aca="false">INDEX('Data 2'!$L$2:$L$2198,MATCH(G19,'Data 2'!$A$2:$A$2198,0))</f>
        <v>7.12</v>
      </c>
      <c r="I19" s="39" t="n">
        <f aca="false">INDEX('Data 2'!$M$2:$M$2198,MATCH(G19,'Data 2'!$A$2:$A$2198,0))</f>
        <v>-16.55375</v>
      </c>
      <c r="J19" s="34" t="s">
        <v>182</v>
      </c>
      <c r="K19" s="39" t="n">
        <f aca="false">INDEX('Data 2'!$L$2:$L$2198,MATCH(J19,'Data 2'!$A$2:$A$2198,0))</f>
        <v>-87.9033333333333</v>
      </c>
      <c r="L19" s="66" t="n">
        <f aca="false">INDEX('Data 2'!$M$2:$M$2198,MATCH(J19,'Data 2'!$A$2:$A$2198,0))</f>
        <v>-55.84875</v>
      </c>
      <c r="M19" s="34" t="s">
        <v>217</v>
      </c>
      <c r="N19" s="39" t="n">
        <f aca="false">INDEX('Data 2'!$L$2:$L$2198,MATCH(M19,'Data 2'!$A$2:$A$2198,0))</f>
        <v>-96.1433333333333</v>
      </c>
      <c r="O19" s="39" t="n">
        <f aca="false">INDEX('Data 2'!$M$2:$M$2198,MATCH(M19,'Data 2'!$A$2:$A$2198,0))</f>
        <v>-2.09125</v>
      </c>
      <c r="P19" s="41"/>
      <c r="Q19" s="37"/>
    </row>
    <row r="20" customFormat="false" ht="15.75" hidden="false" customHeight="true" outlineLevel="0" collapsed="false">
      <c r="A20" s="34" t="s">
        <v>166</v>
      </c>
      <c r="B20" s="39" t="n">
        <f aca="false">INDEX('Data 2'!$L$2:$L$2198,MATCH(A20,'Data 2'!$A$2:$A$2198,0))</f>
        <v>-55.7866666666667</v>
      </c>
      <c r="C20" s="39" t="n">
        <f aca="false">INDEX('Data 2'!$M$2:$M$2198,MATCH(A20,'Data 2'!$A$2:$A$2198,0))</f>
        <v>-61.745</v>
      </c>
      <c r="D20" s="36"/>
      <c r="E20" s="36"/>
      <c r="F20" s="36"/>
      <c r="G20" s="34" t="s">
        <v>144</v>
      </c>
      <c r="H20" s="39" t="n">
        <f aca="false">INDEX('Data 2'!$L$2:$L$2198,MATCH(G20,'Data 2'!$A$2:$A$2198,0))</f>
        <v>57.1933333333333</v>
      </c>
      <c r="I20" s="39" t="n">
        <f aca="false">INDEX('Data 2'!$M$2:$M$2198,MATCH(G20,'Data 2'!$A$2:$A$2198,0))</f>
        <v>105.1825</v>
      </c>
      <c r="J20" s="34" t="s">
        <v>190</v>
      </c>
      <c r="K20" s="39" t="n">
        <f aca="false">INDEX('Data 2'!$L$2:$L$2198,MATCH(J20,'Data 2'!$A$2:$A$2198,0))</f>
        <v>104.733333333333</v>
      </c>
      <c r="L20" s="66" t="n">
        <f aca="false">INDEX('Data 2'!$M$2:$M$2198,MATCH(J20,'Data 2'!$A$2:$A$2198,0))</f>
        <v>-5.6225</v>
      </c>
      <c r="M20" s="34" t="s">
        <v>58</v>
      </c>
      <c r="N20" s="39" t="n">
        <f aca="false">INDEX('Data 2'!$L$2:$L$2198,MATCH(M20,'Data 2'!$A$2:$A$2198,0))</f>
        <v>-65.79</v>
      </c>
      <c r="O20" s="39" t="n">
        <f aca="false">INDEX('Data 2'!$M$2:$M$2198,MATCH(M20,'Data 2'!$A$2:$A$2198,0))</f>
        <v>-73.055</v>
      </c>
      <c r="P20" s="41"/>
      <c r="Q20" s="37"/>
    </row>
    <row r="21" customFormat="false" ht="15.75" hidden="false" customHeight="true" outlineLevel="0" collapsed="false">
      <c r="A21" s="34" t="s">
        <v>236</v>
      </c>
      <c r="B21" s="39" t="n">
        <f aca="false">INDEX('Data 2'!$L$2:$L$2198,MATCH(A21,'Data 2'!$A$2:$A$2198,0))</f>
        <v>-10.8966666666667</v>
      </c>
      <c r="C21" s="39" t="n">
        <f aca="false">INDEX('Data 2'!$M$2:$M$2198,MATCH(A21,'Data 2'!$A$2:$A$2198,0))</f>
        <v>-48.05875</v>
      </c>
      <c r="D21" s="36"/>
      <c r="E21" s="36"/>
      <c r="F21" s="36"/>
      <c r="G21" s="34" t="s">
        <v>94</v>
      </c>
      <c r="H21" s="39" t="n">
        <f aca="false">INDEX('Data 2'!$L$2:$L$2198,MATCH(G21,'Data 2'!$A$2:$A$2198,0))</f>
        <v>87.2033333333333</v>
      </c>
      <c r="I21" s="39" t="n">
        <f aca="false">INDEX('Data 2'!$M$2:$M$2198,MATCH(G21,'Data 2'!$A$2:$A$2198,0))</f>
        <v>139.43875</v>
      </c>
      <c r="J21" s="34" t="s">
        <v>144</v>
      </c>
      <c r="K21" s="39" t="n">
        <f aca="false">INDEX('Data 2'!$L$2:$L$2198,MATCH(J21,'Data 2'!$A$2:$A$2198,0))</f>
        <v>57.1933333333333</v>
      </c>
      <c r="L21" s="66" t="n">
        <f aca="false">INDEX('Data 2'!$M$2:$M$2198,MATCH(J21,'Data 2'!$A$2:$A$2198,0))</f>
        <v>105.1825</v>
      </c>
      <c r="M21" s="34" t="s">
        <v>87</v>
      </c>
      <c r="N21" s="39" t="n">
        <f aca="false">INDEX('Data 2'!$L$2:$L$2198,MATCH(M21,'Data 2'!$A$2:$A$2198,0))</f>
        <v>91.2033333333333</v>
      </c>
      <c r="O21" s="39" t="n">
        <f aca="false">INDEX('Data 2'!$M$2:$M$2198,MATCH(M21,'Data 2'!$A$2:$A$2198,0))</f>
        <v>63.67125</v>
      </c>
      <c r="P21" s="41"/>
      <c r="Q21" s="37"/>
    </row>
    <row r="22" customFormat="false" ht="15.75" hidden="false" customHeight="true" outlineLevel="0" collapsed="false">
      <c r="A22" s="34" t="s">
        <v>148</v>
      </c>
      <c r="B22" s="39" t="n">
        <f aca="false">INDEX('Data 2'!$L$2:$L$2198,MATCH(A22,'Data 2'!$A$2:$A$2198,0))</f>
        <v>69.39</v>
      </c>
      <c r="C22" s="39" t="n">
        <f aca="false">INDEX('Data 2'!$M$2:$M$2198,MATCH(A22,'Data 2'!$A$2:$A$2198,0))</f>
        <v>9.4825</v>
      </c>
      <c r="D22" s="36"/>
      <c r="E22" s="36"/>
      <c r="F22" s="36"/>
      <c r="G22" s="34" t="s">
        <v>158</v>
      </c>
      <c r="H22" s="39" t="n">
        <f aca="false">INDEX('Data 2'!$L$2:$L$2198,MATCH(G22,'Data 2'!$A$2:$A$2198,0))</f>
        <v>78.3733333333333</v>
      </c>
      <c r="I22" s="39" t="n">
        <f aca="false">INDEX('Data 2'!$M$2:$M$2198,MATCH(G22,'Data 2'!$A$2:$A$2198,0))</f>
        <v>232.9675</v>
      </c>
      <c r="J22" s="34" t="s">
        <v>93</v>
      </c>
      <c r="K22" s="39" t="n">
        <f aca="false">INDEX('Data 2'!$L$2:$L$2198,MATCH(J22,'Data 2'!$A$2:$A$2198,0))</f>
        <v>-65.85</v>
      </c>
      <c r="L22" s="66" t="n">
        <f aca="false">INDEX('Data 2'!$M$2:$M$2198,MATCH(J22,'Data 2'!$A$2:$A$2198,0))</f>
        <v>-1.4225</v>
      </c>
      <c r="M22" s="34" t="s">
        <v>249</v>
      </c>
      <c r="N22" s="39" t="n">
        <f aca="false">INDEX('Data 2'!$L$2:$L$2198,MATCH(M22,'Data 2'!$A$2:$A$2198,0))</f>
        <v>-12.81</v>
      </c>
      <c r="O22" s="39" t="n">
        <f aca="false">INDEX('Data 2'!$M$2:$M$2198,MATCH(M22,'Data 2'!$A$2:$A$2198,0))</f>
        <v>16.07</v>
      </c>
      <c r="P22" s="41"/>
      <c r="Q22" s="37"/>
    </row>
    <row r="23" customFormat="false" ht="15.75" hidden="false" customHeight="true" outlineLevel="0" collapsed="false">
      <c r="A23" s="34" t="s">
        <v>79</v>
      </c>
      <c r="B23" s="39" t="n">
        <f aca="false">INDEX('Data 2'!$L$2:$L$2198,MATCH(A23,'Data 2'!$A$2:$A$2198,0))</f>
        <v>9.98333333333333</v>
      </c>
      <c r="C23" s="39" t="n">
        <f aca="false">INDEX('Data 2'!$M$2:$M$2198,MATCH(A23,'Data 2'!$A$2:$A$2198,0))</f>
        <v>57.555</v>
      </c>
      <c r="D23" s="36"/>
      <c r="E23" s="36"/>
      <c r="F23" s="36"/>
      <c r="G23" s="34" t="s">
        <v>249</v>
      </c>
      <c r="H23" s="39" t="n">
        <f aca="false">INDEX('Data 2'!$L$2:$L$2198,MATCH(G23,'Data 2'!$A$2:$A$2198,0))</f>
        <v>-12.81</v>
      </c>
      <c r="I23" s="39" t="n">
        <f aca="false">INDEX('Data 2'!$M$2:$M$2198,MATCH(G23,'Data 2'!$A$2:$A$2198,0))</f>
        <v>16.07</v>
      </c>
      <c r="J23" s="34" t="s">
        <v>249</v>
      </c>
      <c r="K23" s="39" t="n">
        <f aca="false">INDEX('Data 2'!$L$2:$L$2198,MATCH(J23,'Data 2'!$A$2:$A$2198,0))</f>
        <v>-12.81</v>
      </c>
      <c r="L23" s="66" t="n">
        <f aca="false">INDEX('Data 2'!$M$2:$M$2198,MATCH(J23,'Data 2'!$A$2:$A$2198,0))</f>
        <v>16.07</v>
      </c>
      <c r="M23" s="34" t="s">
        <v>74</v>
      </c>
      <c r="N23" s="39" t="n">
        <f aca="false">INDEX('Data 2'!$L$2:$L$2198,MATCH(M23,'Data 2'!$A$2:$A$2198,0))</f>
        <v>-53.6766666666667</v>
      </c>
      <c r="O23" s="39" t="n">
        <f aca="false">INDEX('Data 2'!$M$2:$M$2198,MATCH(M23,'Data 2'!$A$2:$A$2198,0))</f>
        <v>-26.51875</v>
      </c>
      <c r="P23" s="41"/>
      <c r="Q23" s="37"/>
    </row>
    <row r="24" customFormat="false" ht="15.75" hidden="false" customHeight="true" outlineLevel="0" collapsed="false">
      <c r="A24" s="34" t="s">
        <v>162</v>
      </c>
      <c r="B24" s="39" t="n">
        <f aca="false">INDEX('Data 2'!$L$2:$L$2198,MATCH(A24,'Data 2'!$A$2:$A$2198,0))</f>
        <v>-11.3766666666667</v>
      </c>
      <c r="C24" s="39" t="n">
        <f aca="false">INDEX('Data 2'!$M$2:$M$2198,MATCH(A24,'Data 2'!$A$2:$A$2198,0))</f>
        <v>-4.32375</v>
      </c>
      <c r="D24" s="36"/>
      <c r="E24" s="36"/>
      <c r="F24" s="36"/>
      <c r="G24" s="34" t="s">
        <v>147</v>
      </c>
      <c r="H24" s="39" t="n">
        <f aca="false">INDEX('Data 2'!$L$2:$L$2198,MATCH(G24,'Data 2'!$A$2:$A$2198,0))</f>
        <v>2.83333333333333</v>
      </c>
      <c r="I24" s="39" t="n">
        <f aca="false">INDEX('Data 2'!$M$2:$M$2198,MATCH(G24,'Data 2'!$A$2:$A$2198,0))</f>
        <v>1.0425</v>
      </c>
      <c r="J24" s="34" t="s">
        <v>74</v>
      </c>
      <c r="K24" s="39" t="n">
        <f aca="false">INDEX('Data 2'!$L$2:$L$2198,MATCH(J24,'Data 2'!$A$2:$A$2198,0))</f>
        <v>-53.6766666666667</v>
      </c>
      <c r="L24" s="66" t="n">
        <f aca="false">INDEX('Data 2'!$M$2:$M$2198,MATCH(J24,'Data 2'!$A$2:$A$2198,0))</f>
        <v>-26.51875</v>
      </c>
      <c r="M24" s="34" t="s">
        <v>80</v>
      </c>
      <c r="N24" s="39" t="n">
        <f aca="false">INDEX('Data 2'!$L$2:$L$2198,MATCH(M24,'Data 2'!$A$2:$A$2198,0))</f>
        <v>-100.336666666667</v>
      </c>
      <c r="O24" s="39" t="n">
        <f aca="false">INDEX('Data 2'!$M$2:$M$2198,MATCH(M24,'Data 2'!$A$2:$A$2198,0))</f>
        <v>-99.655</v>
      </c>
      <c r="P24" s="41"/>
      <c r="Q24" s="37"/>
    </row>
    <row r="25" customFormat="false" ht="15.75" hidden="false" customHeight="true" outlineLevel="0" collapsed="false">
      <c r="A25" s="34" t="s">
        <v>203</v>
      </c>
      <c r="B25" s="39" t="n">
        <f aca="false">INDEX('Data 2'!$L$2:$L$2198,MATCH(A25,'Data 2'!$A$2:$A$2198,0))</f>
        <v>17.7566666666667</v>
      </c>
      <c r="C25" s="39" t="n">
        <f aca="false">INDEX('Data 2'!$M$2:$M$2198,MATCH(A25,'Data 2'!$A$2:$A$2198,0))</f>
        <v>-35.11125</v>
      </c>
      <c r="D25" s="36"/>
      <c r="E25" s="36"/>
      <c r="F25" s="36"/>
      <c r="G25" s="34" t="s">
        <v>78</v>
      </c>
      <c r="H25" s="39" t="n">
        <f aca="false">INDEX('Data 2'!$L$2:$L$2198,MATCH(G25,'Data 2'!$A$2:$A$2198,0))</f>
        <v>83.9733333333333</v>
      </c>
      <c r="I25" s="39" t="n">
        <f aca="false">INDEX('Data 2'!$M$2:$M$2198,MATCH(G25,'Data 2'!$A$2:$A$2198,0))</f>
        <v>181.065</v>
      </c>
      <c r="J25" s="34" t="s">
        <v>166</v>
      </c>
      <c r="K25" s="39" t="n">
        <f aca="false">INDEX('Data 2'!$L$2:$L$2198,MATCH(J25,'Data 2'!$A$2:$A$2198,0))</f>
        <v>-55.7866666666667</v>
      </c>
      <c r="L25" s="66" t="n">
        <f aca="false">INDEX('Data 2'!$M$2:$M$2198,MATCH(J25,'Data 2'!$A$2:$A$2198,0))</f>
        <v>-61.745</v>
      </c>
      <c r="M25" s="34" t="s">
        <v>204</v>
      </c>
      <c r="N25" s="39" t="n">
        <f aca="false">INDEX('Data 2'!$L$2:$L$2198,MATCH(M25,'Data 2'!$A$2:$A$2198,0))</f>
        <v>-18.29</v>
      </c>
      <c r="O25" s="39" t="n">
        <f aca="false">INDEX('Data 2'!$M$2:$M$2198,MATCH(M25,'Data 2'!$A$2:$A$2198,0))</f>
        <v>49.62125</v>
      </c>
      <c r="P25" s="41"/>
      <c r="Q25" s="37"/>
    </row>
    <row r="26" customFormat="false" ht="15.75" hidden="false" customHeight="true" outlineLevel="0" collapsed="false">
      <c r="A26" s="34" t="s">
        <v>171</v>
      </c>
      <c r="B26" s="39" t="n">
        <f aca="false">INDEX('Data 2'!$L$2:$L$2198,MATCH(A26,'Data 2'!$A$2:$A$2198,0))</f>
        <v>-101.27</v>
      </c>
      <c r="C26" s="39" t="n">
        <f aca="false">INDEX('Data 2'!$M$2:$M$2198,MATCH(A26,'Data 2'!$A$2:$A$2198,0))</f>
        <v>-52.91125</v>
      </c>
      <c r="D26" s="36"/>
      <c r="E26" s="36"/>
      <c r="F26" s="36"/>
      <c r="G26" s="34" t="s">
        <v>99</v>
      </c>
      <c r="H26" s="39" t="n">
        <f aca="false">INDEX('Data 2'!$L$2:$L$2198,MATCH(G26,'Data 2'!$A$2:$A$2198,0))</f>
        <v>-18.05</v>
      </c>
      <c r="I26" s="39" t="n">
        <f aca="false">INDEX('Data 2'!$M$2:$M$2198,MATCH(G26,'Data 2'!$A$2:$A$2198,0))</f>
        <v>0.0824999999999978</v>
      </c>
      <c r="J26" s="34" t="s">
        <v>80</v>
      </c>
      <c r="K26" s="39" t="n">
        <f aca="false">INDEX('Data 2'!$L$2:$L$2198,MATCH(J26,'Data 2'!$A$2:$A$2198,0))</f>
        <v>-100.336666666667</v>
      </c>
      <c r="L26" s="66" t="n">
        <f aca="false">INDEX('Data 2'!$M$2:$M$2198,MATCH(J26,'Data 2'!$A$2:$A$2198,0))</f>
        <v>-99.655</v>
      </c>
      <c r="M26" s="34" t="s">
        <v>70</v>
      </c>
      <c r="N26" s="39" t="n">
        <f aca="false">INDEX('Data 2'!$L$2:$L$2198,MATCH(M26,'Data 2'!$A$2:$A$2198,0))</f>
        <v>-62.53</v>
      </c>
      <c r="O26" s="39" t="n">
        <f aca="false">INDEX('Data 2'!$M$2:$M$2198,MATCH(M26,'Data 2'!$A$2:$A$2198,0))</f>
        <v>-74.62125</v>
      </c>
      <c r="P26" s="41"/>
      <c r="Q26" s="37"/>
    </row>
    <row r="27" customFormat="false" ht="15.75" hidden="false" customHeight="true" outlineLevel="0" collapsed="false">
      <c r="A27" s="34" t="s">
        <v>92</v>
      </c>
      <c r="B27" s="39" t="n">
        <f aca="false">INDEX('Data 2'!$L$2:$L$2198,MATCH(A27,'Data 2'!$A$2:$A$2198,0))</f>
        <v>-64.3133333333333</v>
      </c>
      <c r="C27" s="39" t="n">
        <f aca="false">INDEX('Data 2'!$M$2:$M$2198,MATCH(A27,'Data 2'!$A$2:$A$2198,0))</f>
        <v>-53.4075</v>
      </c>
      <c r="D27" s="36"/>
      <c r="E27" s="36"/>
      <c r="F27" s="36"/>
      <c r="G27" s="34" t="s">
        <v>92</v>
      </c>
      <c r="H27" s="39" t="n">
        <f aca="false">INDEX('Data 2'!$L$2:$L$2198,MATCH(G27,'Data 2'!$A$2:$A$2198,0))</f>
        <v>-64.3133333333333</v>
      </c>
      <c r="I27" s="39" t="n">
        <f aca="false">INDEX('Data 2'!$M$2:$M$2198,MATCH(G27,'Data 2'!$A$2:$A$2198,0))</f>
        <v>-53.4075</v>
      </c>
      <c r="J27" s="34" t="s">
        <v>162</v>
      </c>
      <c r="K27" s="39" t="n">
        <f aca="false">INDEX('Data 2'!$L$2:$L$2198,MATCH(J27,'Data 2'!$A$2:$A$2198,0))</f>
        <v>-11.3766666666667</v>
      </c>
      <c r="L27" s="66" t="n">
        <f aca="false">INDEX('Data 2'!$M$2:$M$2198,MATCH(J27,'Data 2'!$A$2:$A$2198,0))</f>
        <v>-4.32375</v>
      </c>
      <c r="M27" s="34" t="s">
        <v>159</v>
      </c>
      <c r="N27" s="39" t="n">
        <f aca="false">INDEX('Data 2'!$L$2:$L$2198,MATCH(M27,'Data 2'!$A$2:$A$2198,0))</f>
        <v>-78.66</v>
      </c>
      <c r="O27" s="39" t="n">
        <f aca="false">INDEX('Data 2'!$M$2:$M$2198,MATCH(M27,'Data 2'!$A$2:$A$2198,0))</f>
        <v>13.455</v>
      </c>
      <c r="P27" s="41"/>
      <c r="Q27" s="37"/>
    </row>
    <row r="28" customFormat="false" ht="15.75" hidden="false" customHeight="true" outlineLevel="0" collapsed="false">
      <c r="A28" s="34" t="s">
        <v>61</v>
      </c>
      <c r="B28" s="39" t="n">
        <f aca="false">INDEX('Data 2'!$L$2:$L$2198,MATCH(A28,'Data 2'!$A$2:$A$2198,0))</f>
        <v>-36.36</v>
      </c>
      <c r="C28" s="39" t="n">
        <f aca="false">INDEX('Data 2'!$M$2:$M$2198,MATCH(A28,'Data 2'!$A$2:$A$2198,0))</f>
        <v>4.43125</v>
      </c>
      <c r="D28" s="36"/>
      <c r="E28" s="36"/>
      <c r="F28" s="36"/>
      <c r="G28" s="34" t="s">
        <v>142</v>
      </c>
      <c r="H28" s="39" t="n">
        <f aca="false">INDEX('Data 2'!$L$2:$L$2198,MATCH(G28,'Data 2'!$A$2:$A$2198,0))</f>
        <v>89.1066666666667</v>
      </c>
      <c r="I28" s="39" t="n">
        <f aca="false">INDEX('Data 2'!$M$2:$M$2198,MATCH(G28,'Data 2'!$A$2:$A$2198,0))</f>
        <v>109.275</v>
      </c>
      <c r="J28" s="34" t="s">
        <v>68</v>
      </c>
      <c r="K28" s="39" t="n">
        <f aca="false">INDEX('Data 2'!$L$2:$L$2198,MATCH(J28,'Data 2'!$A$2:$A$2198,0))</f>
        <v>-51.6833333333333</v>
      </c>
      <c r="L28" s="66" t="n">
        <f aca="false">INDEX('Data 2'!$M$2:$M$2198,MATCH(J28,'Data 2'!$A$2:$A$2198,0))</f>
        <v>-34.6575</v>
      </c>
      <c r="M28" s="34" t="s">
        <v>135</v>
      </c>
      <c r="N28" s="39" t="n">
        <f aca="false">INDEX('Data 2'!$L$2:$L$2198,MATCH(M28,'Data 2'!$A$2:$A$2198,0))</f>
        <v>-0.933333333333335</v>
      </c>
      <c r="O28" s="39" t="n">
        <f aca="false">INDEX('Data 2'!$M$2:$M$2198,MATCH(M28,'Data 2'!$A$2:$A$2198,0))</f>
        <v>-62.1075</v>
      </c>
      <c r="P28" s="41"/>
      <c r="Q28" s="37"/>
    </row>
    <row r="29" customFormat="false" ht="15.75" hidden="false" customHeight="true" outlineLevel="0" collapsed="false">
      <c r="A29" s="34" t="s">
        <v>264</v>
      </c>
      <c r="B29" s="39" t="n">
        <f aca="false">INDEX('Data 2'!$L$2:$L$2198,MATCH(A29,'Data 2'!$A$2:$A$2198,0))</f>
        <v>-93.3566666666667</v>
      </c>
      <c r="C29" s="39" t="n">
        <f aca="false">INDEX('Data 2'!$M$2:$M$2198,MATCH(A29,'Data 2'!$A$2:$A$2198,0))</f>
        <v>-121.41625</v>
      </c>
      <c r="D29" s="36"/>
      <c r="E29" s="36"/>
      <c r="F29" s="36"/>
      <c r="G29" s="34" t="s">
        <v>38</v>
      </c>
      <c r="H29" s="39" t="n">
        <f aca="false">INDEX('Data 2'!$L$2:$L$2198,MATCH(G29,'Data 2'!$A$2:$A$2198,0))</f>
        <v>-56.29</v>
      </c>
      <c r="I29" s="39" t="n">
        <f aca="false">INDEX('Data 2'!$M$2:$M$2198,MATCH(G29,'Data 2'!$A$2:$A$2198,0))</f>
        <v>-16.265</v>
      </c>
      <c r="J29" s="34" t="s">
        <v>171</v>
      </c>
      <c r="K29" s="39" t="n">
        <f aca="false">INDEX('Data 2'!$L$2:$L$2198,MATCH(J29,'Data 2'!$A$2:$A$2198,0))</f>
        <v>-101.27</v>
      </c>
      <c r="L29" s="66" t="n">
        <f aca="false">INDEX('Data 2'!$M$2:$M$2198,MATCH(J29,'Data 2'!$A$2:$A$2198,0))</f>
        <v>-52.91125</v>
      </c>
      <c r="M29" s="34" t="s">
        <v>92</v>
      </c>
      <c r="N29" s="39" t="n">
        <f aca="false">INDEX('Data 2'!$L$2:$L$2198,MATCH(M29,'Data 2'!$A$2:$A$2198,0))</f>
        <v>-64.3133333333333</v>
      </c>
      <c r="O29" s="39" t="n">
        <f aca="false">INDEX('Data 2'!$M$2:$M$2198,MATCH(M29,'Data 2'!$A$2:$A$2198,0))</f>
        <v>-53.4075</v>
      </c>
      <c r="P29" s="41"/>
      <c r="Q29" s="37"/>
    </row>
    <row r="30" customFormat="false" ht="15.75" hidden="false" customHeight="true" outlineLevel="0" collapsed="false">
      <c r="A30" s="34" t="s">
        <v>181</v>
      </c>
      <c r="B30" s="39" t="n">
        <f aca="false">INDEX('Data 2'!$L$2:$L$2198,MATCH(A30,'Data 2'!$A$2:$A$2198,0))</f>
        <v>76.9766666666667</v>
      </c>
      <c r="C30" s="39" t="n">
        <f aca="false">INDEX('Data 2'!$M$2:$M$2198,MATCH(A30,'Data 2'!$A$2:$A$2198,0))</f>
        <v>100.7175</v>
      </c>
      <c r="D30" s="36"/>
      <c r="E30" s="36"/>
      <c r="F30" s="36"/>
      <c r="G30" s="34" t="s">
        <v>49</v>
      </c>
      <c r="H30" s="39" t="n">
        <f aca="false">INDEX('Data 2'!$L$2:$L$2198,MATCH(G30,'Data 2'!$A$2:$A$2198,0))</f>
        <v>11.66</v>
      </c>
      <c r="I30" s="39" t="n">
        <f aca="false">INDEX('Data 2'!$M$2:$M$2198,MATCH(G30,'Data 2'!$A$2:$A$2198,0))</f>
        <v>-34.2975</v>
      </c>
      <c r="J30" s="34" t="s">
        <v>101</v>
      </c>
      <c r="K30" s="39" t="n">
        <f aca="false">INDEX('Data 2'!$L$2:$L$2198,MATCH(J30,'Data 2'!$A$2:$A$2198,0))</f>
        <v>33.6566666666667</v>
      </c>
      <c r="L30" s="66" t="n">
        <f aca="false">INDEX('Data 2'!$M$2:$M$2198,MATCH(J30,'Data 2'!$A$2:$A$2198,0))</f>
        <v>42.42875</v>
      </c>
      <c r="M30" s="34" t="s">
        <v>89</v>
      </c>
      <c r="N30" s="39" t="n">
        <f aca="false">INDEX('Data 2'!$L$2:$L$2198,MATCH(M30,'Data 2'!$A$2:$A$2198,0))</f>
        <v>5.30666666666667</v>
      </c>
      <c r="O30" s="39" t="n">
        <f aca="false">INDEX('Data 2'!$M$2:$M$2198,MATCH(M30,'Data 2'!$A$2:$A$2198,0))</f>
        <v>-14.10125</v>
      </c>
      <c r="P30" s="41"/>
      <c r="Q30" s="37"/>
    </row>
    <row r="31" customFormat="false" ht="15.75" hidden="false" customHeight="true" outlineLevel="0" collapsed="false">
      <c r="A31" s="34" t="s">
        <v>127</v>
      </c>
      <c r="B31" s="39" t="n">
        <f aca="false">INDEX('Data 2'!$L$2:$L$2198,MATCH(A31,'Data 2'!$A$2:$A$2198,0))</f>
        <v>-54.8133333333333</v>
      </c>
      <c r="C31" s="39" t="n">
        <f aca="false">INDEX('Data 2'!$M$2:$M$2198,MATCH(A31,'Data 2'!$A$2:$A$2198,0))</f>
        <v>50.4375</v>
      </c>
      <c r="D31" s="36"/>
      <c r="E31" s="36"/>
      <c r="F31" s="36"/>
      <c r="G31" s="34" t="s">
        <v>219</v>
      </c>
      <c r="H31" s="39" t="n">
        <f aca="false">INDEX('Data 2'!$L$2:$L$2198,MATCH(G31,'Data 2'!$A$2:$A$2198,0))</f>
        <v>9.24333333333333</v>
      </c>
      <c r="I31" s="39" t="n">
        <f aca="false">INDEX('Data 2'!$M$2:$M$2198,MATCH(G31,'Data 2'!$A$2:$A$2198,0))</f>
        <v>47.28125</v>
      </c>
      <c r="J31" s="34" t="s">
        <v>92</v>
      </c>
      <c r="K31" s="39" t="n">
        <f aca="false">INDEX('Data 2'!$L$2:$L$2198,MATCH(J31,'Data 2'!$A$2:$A$2198,0))</f>
        <v>-64.3133333333333</v>
      </c>
      <c r="L31" s="66" t="n">
        <f aca="false">INDEX('Data 2'!$M$2:$M$2198,MATCH(J31,'Data 2'!$A$2:$A$2198,0))</f>
        <v>-53.4075</v>
      </c>
      <c r="M31" s="34" t="s">
        <v>48</v>
      </c>
      <c r="N31" s="39" t="n">
        <f aca="false">INDEX('Data 2'!$L$2:$L$2198,MATCH(M31,'Data 2'!$A$2:$A$2198,0))</f>
        <v>17.56</v>
      </c>
      <c r="O31" s="39" t="n">
        <f aca="false">INDEX('Data 2'!$M$2:$M$2198,MATCH(M31,'Data 2'!$A$2:$A$2198,0))</f>
        <v>-16.93</v>
      </c>
      <c r="P31" s="41"/>
      <c r="Q31" s="37"/>
    </row>
    <row r="32" customFormat="false" ht="15.75" hidden="false" customHeight="true" outlineLevel="0" collapsed="false">
      <c r="A32" s="34" t="s">
        <v>110</v>
      </c>
      <c r="B32" s="39" t="n">
        <f aca="false">INDEX('Data 2'!$L$2:$L$2198,MATCH(A32,'Data 2'!$A$2:$A$2198,0))</f>
        <v>62.7333333333333</v>
      </c>
      <c r="C32" s="39" t="n">
        <f aca="false">INDEX('Data 2'!$M$2:$M$2198,MATCH(A32,'Data 2'!$A$2:$A$2198,0))</f>
        <v>44.105</v>
      </c>
      <c r="D32" s="36"/>
      <c r="E32" s="36"/>
      <c r="F32" s="36"/>
      <c r="H32" s="39"/>
      <c r="I32" s="39"/>
      <c r="J32" s="34" t="s">
        <v>127</v>
      </c>
      <c r="K32" s="39" t="n">
        <f aca="false">INDEX('Data 2'!$L$2:$L$2198,MATCH(J32,'Data 2'!$A$2:$A$2198,0))</f>
        <v>-54.8133333333333</v>
      </c>
      <c r="L32" s="66" t="n">
        <f aca="false">INDEX('Data 2'!$M$2:$M$2198,MATCH(J32,'Data 2'!$A$2:$A$2198,0))</f>
        <v>50.4375</v>
      </c>
      <c r="N32" s="39"/>
      <c r="O32" s="39"/>
      <c r="P32" s="41"/>
      <c r="Q32" s="37"/>
    </row>
    <row r="33" customFormat="false" ht="15.75" hidden="false" customHeight="true" outlineLevel="0" collapsed="false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</row>
    <row r="34" customFormat="false" ht="15.75" hidden="false" customHeight="true" outlineLevel="0" collapsed="false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</row>
    <row r="35" customFormat="false" ht="15.75" hidden="false" customHeight="true" outlineLevel="0" collapsed="false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</row>
    <row r="36" customFormat="false" ht="15.75" hidden="false" customHeight="true" outlineLevel="0" collapsed="false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</row>
    <row r="37" customFormat="false" ht="15.75" hidden="false" customHeight="true" outlineLevel="0" collapsed="false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</row>
    <row r="38" customFormat="false" ht="15.75" hidden="false" customHeight="true" outlineLevel="0" collapsed="false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</row>
    <row r="39" customFormat="false" ht="15.75" hidden="false" customHeight="true" outlineLevel="0" collapsed="false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</row>
    <row r="40" customFormat="false" ht="15.75" hidden="false" customHeight="true" outlineLevel="0" collapsed="false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</row>
    <row r="41" customFormat="false" ht="15.75" hidden="false" customHeight="true" outlineLevel="0" collapsed="false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</row>
    <row r="42" customFormat="false" ht="15.75" hidden="false" customHeight="true" outlineLevel="0" collapsed="false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</row>
    <row r="43" customFormat="false" ht="15.75" hidden="false" customHeight="true" outlineLevel="0" collapsed="false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</row>
    <row r="44" customFormat="false" ht="15.75" hidden="false" customHeight="true" outlineLevel="0" collapsed="false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</row>
    <row r="45" customFormat="false" ht="15.75" hidden="false" customHeight="true" outlineLevel="0" collapsed="false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</row>
    <row r="46" customFormat="false" ht="15.75" hidden="false" customHeight="true" outlineLevel="0" collapsed="false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customFormat="false" ht="15.75" hidden="false" customHeight="true" outlineLevel="0" collapsed="false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</row>
    <row r="48" customFormat="false" ht="15.75" hidden="false" customHeight="true" outlineLevel="0" collapsed="false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</row>
    <row r="49" customFormat="false" ht="15.75" hidden="false" customHeight="true" outlineLevel="0" collapsed="false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</row>
    <row r="50" customFormat="false" ht="15.75" hidden="false" customHeight="true" outlineLevel="0" collapsed="false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</row>
    <row r="51" customFormat="false" ht="15.75" hidden="false" customHeight="true" outlineLevel="0" collapsed="false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</row>
    <row r="52" customFormat="false" ht="15.75" hidden="false" customHeight="true" outlineLevel="0" collapsed="false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</row>
    <row r="53" customFormat="false" ht="15.75" hidden="false" customHeight="true" outlineLevel="0" collapsed="false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</row>
    <row r="54" customFormat="false" ht="15.75" hidden="false" customHeight="true" outlineLevel="0" collapsed="false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</row>
    <row r="55" customFormat="false" ht="15.75" hidden="false" customHeight="true" outlineLevel="0" collapsed="false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</row>
    <row r="56" customFormat="false" ht="15.75" hidden="false" customHeight="true" outlineLevel="0" collapsed="false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</row>
    <row r="57" customFormat="false" ht="15.75" hidden="false" customHeight="true" outlineLevel="0" collapsed="false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</row>
    <row r="58" customFormat="false" ht="15.75" hidden="false" customHeight="true" outlineLevel="0" collapsed="false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</row>
    <row r="59" customFormat="false" ht="15.75" hidden="false" customHeight="true" outlineLevel="0" collapsed="false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</row>
    <row r="60" customFormat="false" ht="15.75" hidden="false" customHeight="true" outlineLevel="0" collapsed="false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</row>
    <row r="61" customFormat="false" ht="15.75" hidden="false" customHeight="true" outlineLevel="0" collapsed="false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</row>
    <row r="62" customFormat="false" ht="15.75" hidden="false" customHeight="true" outlineLevel="0" collapsed="false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</row>
    <row r="63" customFormat="false" ht="15.75" hidden="false" customHeight="true" outlineLevel="0" collapsed="false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</row>
    <row r="64" customFormat="false" ht="15.75" hidden="false" customHeight="true" outlineLevel="0" collapsed="false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</row>
    <row r="65" customFormat="false" ht="15.75" hidden="false" customHeight="true" outlineLevel="0" collapsed="false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</row>
    <row r="66" customFormat="false" ht="15.75" hidden="false" customHeight="true" outlineLevel="0" collapsed="false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</row>
    <row r="67" customFormat="false" ht="15.75" hidden="false" customHeight="true" outlineLevel="0" collapsed="false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</row>
    <row r="68" customFormat="false" ht="15.75" hidden="false" customHeight="true" outlineLevel="0" collapsed="false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</row>
    <row r="69" customFormat="false" ht="15.75" hidden="false" customHeight="true" outlineLevel="0" collapsed="false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</row>
    <row r="70" customFormat="false" ht="15.75" hidden="false" customHeight="true" outlineLevel="0" collapsed="false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</row>
    <row r="71" customFormat="false" ht="15.75" hidden="false" customHeight="true" outlineLevel="0" collapsed="false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</row>
    <row r="72" customFormat="false" ht="15.75" hidden="false" customHeight="true" outlineLevel="0" collapsed="false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</row>
    <row r="73" customFormat="false" ht="15.75" hidden="false" customHeight="true" outlineLevel="0" collapsed="false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</row>
    <row r="74" customFormat="false" ht="15.75" hidden="false" customHeight="true" outlineLevel="0" collapsed="false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</row>
    <row r="75" customFormat="false" ht="15.75" hidden="false" customHeight="true" outlineLevel="0" collapsed="false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</row>
    <row r="76" customFormat="false" ht="15.75" hidden="false" customHeight="true" outlineLevel="0" collapsed="false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</row>
    <row r="77" customFormat="false" ht="15.75" hidden="false" customHeight="true" outlineLevel="0" collapsed="false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</row>
    <row r="78" customFormat="false" ht="15.75" hidden="false" customHeight="true" outlineLevel="0" collapsed="false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</row>
    <row r="79" customFormat="false" ht="15.75" hidden="false" customHeight="true" outlineLevel="0" collapsed="false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</row>
    <row r="80" customFormat="false" ht="15.75" hidden="false" customHeight="true" outlineLevel="0" collapsed="false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</row>
    <row r="81" customFormat="false" ht="15.75" hidden="false" customHeight="true" outlineLevel="0" collapsed="false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</row>
    <row r="82" customFormat="false" ht="15.75" hidden="false" customHeight="true" outlineLevel="0" collapsed="false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</row>
    <row r="83" customFormat="false" ht="15.75" hidden="false" customHeight="true" outlineLevel="0" collapsed="false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</row>
    <row r="84" customFormat="false" ht="15.75" hidden="false" customHeight="true" outlineLevel="0" collapsed="false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</row>
    <row r="85" customFormat="false" ht="15.75" hidden="false" customHeight="true" outlineLevel="0" collapsed="false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</row>
    <row r="86" customFormat="false" ht="15.75" hidden="false" customHeight="true" outlineLevel="0" collapsed="false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</row>
    <row r="87" customFormat="false" ht="15.75" hidden="false" customHeight="true" outlineLevel="0" collapsed="false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</row>
    <row r="88" customFormat="false" ht="15.75" hidden="false" customHeight="true" outlineLevel="0" collapsed="false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</row>
    <row r="89" customFormat="false" ht="15.75" hidden="false" customHeight="true" outlineLevel="0" collapsed="false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</row>
    <row r="90" customFormat="false" ht="15.75" hidden="false" customHeight="true" outlineLevel="0" collapsed="false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</row>
    <row r="91" customFormat="false" ht="15.75" hidden="false" customHeight="true" outlineLevel="0" collapsed="false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</row>
    <row r="92" customFormat="false" ht="15.75" hidden="false" customHeight="true" outlineLevel="0" collapsed="false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</row>
    <row r="93" customFormat="false" ht="15.75" hidden="false" customHeight="true" outlineLevel="0" collapsed="false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</row>
    <row r="94" customFormat="false" ht="15.75" hidden="false" customHeight="true" outlineLevel="0" collapsed="false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</row>
    <row r="95" customFormat="false" ht="15.75" hidden="false" customHeight="true" outlineLevel="0" collapsed="false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</row>
    <row r="96" customFormat="false" ht="15.75" hidden="false" customHeight="true" outlineLevel="0" collapsed="false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</row>
    <row r="97" customFormat="false" ht="15.75" hidden="false" customHeight="true" outlineLevel="0" collapsed="false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</row>
    <row r="98" customFormat="false" ht="15.75" hidden="false" customHeight="true" outlineLevel="0" collapsed="false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</row>
    <row r="99" customFormat="false" ht="15.75" hidden="false" customHeight="true" outlineLevel="0" collapsed="false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</row>
    <row r="100" customFormat="false" ht="15.75" hidden="false" customHeight="true" outlineLevel="0" collapsed="false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</row>
    <row r="101" customFormat="false" ht="15.75" hidden="false" customHeight="true" outlineLevel="0" collapsed="false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</row>
    <row r="102" customFormat="false" ht="15.75" hidden="false" customHeight="true" outlineLevel="0" collapsed="false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</row>
    <row r="103" customFormat="false" ht="15.75" hidden="false" customHeight="true" outlineLevel="0" collapsed="false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</row>
    <row r="104" customFormat="false" ht="15.75" hidden="false" customHeight="true" outlineLevel="0" collapsed="false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</row>
    <row r="105" customFormat="false" ht="15.75" hidden="false" customHeight="true" outlineLevel="0" collapsed="false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</row>
    <row r="106" customFormat="false" ht="15.75" hidden="false" customHeight="true" outlineLevel="0" collapsed="false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</row>
    <row r="107" customFormat="false" ht="15.75" hidden="false" customHeight="true" outlineLevel="0" collapsed="false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</row>
    <row r="108" customFormat="false" ht="15.75" hidden="false" customHeight="true" outlineLevel="0" collapsed="false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</row>
    <row r="109" customFormat="false" ht="15.75" hidden="false" customHeight="true" outlineLevel="0" collapsed="false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</row>
    <row r="110" customFormat="false" ht="15.75" hidden="false" customHeight="true" outlineLevel="0" collapsed="false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</row>
    <row r="111" customFormat="false" ht="15.75" hidden="false" customHeight="true" outlineLevel="0" collapsed="false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</row>
    <row r="112" customFormat="false" ht="15.75" hidden="false" customHeight="true" outlineLevel="0" collapsed="false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</row>
    <row r="113" customFormat="false" ht="15.75" hidden="false" customHeight="true" outlineLevel="0" collapsed="false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</row>
    <row r="114" customFormat="false" ht="15.75" hidden="false" customHeight="true" outlineLevel="0" collapsed="false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</row>
    <row r="115" customFormat="false" ht="15.75" hidden="false" customHeight="true" outlineLevel="0" collapsed="false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</row>
    <row r="116" customFormat="false" ht="15.75" hidden="false" customHeight="true" outlineLevel="0" collapsed="false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</row>
    <row r="117" customFormat="false" ht="15.75" hidden="false" customHeight="true" outlineLevel="0" collapsed="false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</row>
    <row r="118" customFormat="false" ht="15.75" hidden="false" customHeight="true" outlineLevel="0" collapsed="false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</row>
    <row r="119" customFormat="false" ht="15.75" hidden="false" customHeight="true" outlineLevel="0" collapsed="false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</row>
    <row r="120" customFormat="false" ht="15.75" hidden="false" customHeight="true" outlineLevel="0" collapsed="false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</row>
    <row r="121" customFormat="false" ht="15.75" hidden="false" customHeight="true" outlineLevel="0" collapsed="false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</row>
    <row r="122" customFormat="false" ht="15.75" hidden="false" customHeight="true" outlineLevel="0" collapsed="false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</row>
    <row r="123" customFormat="false" ht="15.75" hidden="false" customHeight="true" outlineLevel="0" collapsed="false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</row>
    <row r="124" customFormat="false" ht="15.75" hidden="false" customHeight="true" outlineLevel="0" collapsed="false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</row>
    <row r="125" customFormat="false" ht="15.75" hidden="false" customHeight="true" outlineLevel="0" collapsed="false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</row>
    <row r="126" customFormat="false" ht="15.75" hidden="false" customHeight="true" outlineLevel="0" collapsed="false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</row>
    <row r="127" customFormat="false" ht="15.75" hidden="false" customHeight="true" outlineLevel="0" collapsed="false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</row>
    <row r="128" customFormat="false" ht="15.75" hidden="false" customHeight="true" outlineLevel="0" collapsed="false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</row>
    <row r="129" customFormat="false" ht="15.75" hidden="false" customHeight="true" outlineLevel="0" collapsed="false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</row>
    <row r="130" customFormat="false" ht="15.75" hidden="false" customHeight="true" outlineLevel="0" collapsed="false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</row>
    <row r="131" customFormat="false" ht="15.75" hidden="false" customHeight="true" outlineLevel="0" collapsed="false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</row>
    <row r="132" customFormat="false" ht="15.75" hidden="false" customHeight="true" outlineLevel="0" collapsed="false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</row>
    <row r="133" customFormat="false" ht="15.75" hidden="false" customHeight="true" outlineLevel="0" collapsed="false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</row>
    <row r="134" customFormat="false" ht="15.75" hidden="false" customHeight="true" outlineLevel="0" collapsed="false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</row>
    <row r="135" customFormat="false" ht="15.75" hidden="false" customHeight="true" outlineLevel="0" collapsed="false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</row>
    <row r="136" customFormat="false" ht="15.75" hidden="false" customHeight="true" outlineLevel="0" collapsed="false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</row>
    <row r="137" customFormat="false" ht="15.75" hidden="false" customHeight="true" outlineLevel="0" collapsed="false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</row>
    <row r="138" customFormat="false" ht="15.75" hidden="false" customHeight="true" outlineLevel="0" collapsed="false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</row>
    <row r="139" customFormat="false" ht="15.75" hidden="false" customHeight="true" outlineLevel="0" collapsed="false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</row>
    <row r="140" customFormat="false" ht="15.75" hidden="false" customHeight="true" outlineLevel="0" collapsed="false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</row>
    <row r="141" customFormat="false" ht="15.75" hidden="false" customHeight="true" outlineLevel="0" collapsed="false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</row>
    <row r="142" customFormat="false" ht="15.75" hidden="false" customHeight="true" outlineLevel="0" collapsed="false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</row>
    <row r="143" customFormat="false" ht="15.75" hidden="false" customHeight="true" outlineLevel="0" collapsed="false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</row>
    <row r="144" customFormat="false" ht="15.75" hidden="false" customHeight="true" outlineLevel="0" collapsed="false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</row>
    <row r="145" customFormat="false" ht="15.75" hidden="false" customHeight="true" outlineLevel="0" collapsed="false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</row>
    <row r="146" customFormat="false" ht="15.75" hidden="false" customHeight="true" outlineLevel="0" collapsed="false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</row>
    <row r="147" customFormat="false" ht="15.75" hidden="false" customHeight="true" outlineLevel="0" collapsed="false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</row>
    <row r="148" customFormat="false" ht="15.75" hidden="false" customHeight="true" outlineLevel="0" collapsed="false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</row>
    <row r="149" customFormat="false" ht="15.75" hidden="false" customHeight="true" outlineLevel="0" collapsed="false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</row>
    <row r="150" customFormat="false" ht="15.75" hidden="false" customHeight="true" outlineLevel="0" collapsed="false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</row>
    <row r="151" customFormat="false" ht="15.75" hidden="false" customHeight="true" outlineLevel="0" collapsed="false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</row>
    <row r="152" customFormat="false" ht="15.75" hidden="false" customHeight="true" outlineLevel="0" collapsed="false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</row>
    <row r="153" customFormat="false" ht="15.75" hidden="false" customHeight="true" outlineLevel="0" collapsed="false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</row>
    <row r="154" customFormat="false" ht="15.75" hidden="false" customHeight="true" outlineLevel="0" collapsed="false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</row>
    <row r="155" customFormat="false" ht="15.75" hidden="false" customHeight="true" outlineLevel="0" collapsed="false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</row>
    <row r="156" customFormat="false" ht="15.75" hidden="false" customHeight="true" outlineLevel="0" collapsed="false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</row>
    <row r="157" customFormat="false" ht="15.75" hidden="false" customHeight="true" outlineLevel="0" collapsed="false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</row>
    <row r="158" customFormat="false" ht="15.75" hidden="false" customHeight="true" outlineLevel="0" collapsed="false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</row>
    <row r="159" customFormat="false" ht="15.75" hidden="false" customHeight="true" outlineLevel="0" collapsed="false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</row>
    <row r="160" customFormat="false" ht="15.75" hidden="false" customHeight="true" outlineLevel="0" collapsed="false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</row>
    <row r="161" customFormat="false" ht="15.75" hidden="false" customHeight="true" outlineLevel="0" collapsed="false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</row>
    <row r="162" customFormat="false" ht="15.75" hidden="false" customHeight="true" outlineLevel="0" collapsed="false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</row>
    <row r="163" customFormat="false" ht="15.75" hidden="false" customHeight="true" outlineLevel="0" collapsed="false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</row>
    <row r="164" customFormat="false" ht="15.75" hidden="false" customHeight="true" outlineLevel="0" collapsed="false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</row>
    <row r="165" customFormat="false" ht="15.75" hidden="false" customHeight="true" outlineLevel="0" collapsed="false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</row>
    <row r="166" customFormat="false" ht="15.75" hidden="false" customHeight="true" outlineLevel="0" collapsed="false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</row>
    <row r="167" customFormat="false" ht="15.75" hidden="false" customHeight="true" outlineLevel="0" collapsed="false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</row>
    <row r="168" customFormat="false" ht="15.75" hidden="false" customHeight="true" outlineLevel="0" collapsed="false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</row>
    <row r="169" customFormat="false" ht="15.75" hidden="false" customHeight="true" outlineLevel="0" collapsed="false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</row>
    <row r="170" customFormat="false" ht="15.75" hidden="false" customHeight="true" outlineLevel="0" collapsed="false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</row>
    <row r="171" customFormat="false" ht="15.75" hidden="false" customHeight="true" outlineLevel="0" collapsed="false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</row>
    <row r="172" customFormat="false" ht="15.75" hidden="false" customHeight="true" outlineLevel="0" collapsed="false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</row>
    <row r="173" customFormat="false" ht="15.75" hidden="false" customHeight="true" outlineLevel="0" collapsed="false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</row>
    <row r="174" customFormat="false" ht="15.75" hidden="false" customHeight="true" outlineLevel="0" collapsed="false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</row>
    <row r="175" customFormat="false" ht="15.75" hidden="false" customHeight="true" outlineLevel="0" collapsed="false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</row>
    <row r="176" customFormat="false" ht="15.75" hidden="false" customHeight="true" outlineLevel="0" collapsed="false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</row>
    <row r="177" customFormat="false" ht="15.75" hidden="false" customHeight="true" outlineLevel="0" collapsed="false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</row>
    <row r="178" customFormat="false" ht="15.75" hidden="false" customHeight="true" outlineLevel="0" collapsed="false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</row>
    <row r="179" customFormat="false" ht="15.75" hidden="false" customHeight="true" outlineLevel="0" collapsed="false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</row>
    <row r="180" customFormat="false" ht="15.75" hidden="false" customHeight="true" outlineLevel="0" collapsed="false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</row>
    <row r="181" customFormat="false" ht="15.75" hidden="false" customHeight="true" outlineLevel="0" collapsed="false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</row>
    <row r="182" customFormat="false" ht="15.75" hidden="false" customHeight="true" outlineLevel="0" collapsed="false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</row>
    <row r="183" customFormat="false" ht="15.75" hidden="false" customHeight="true" outlineLevel="0" collapsed="false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</row>
    <row r="184" customFormat="false" ht="15.75" hidden="false" customHeight="true" outlineLevel="0" collapsed="false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</row>
    <row r="185" customFormat="false" ht="15.75" hidden="false" customHeight="true" outlineLevel="0" collapsed="false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</row>
    <row r="186" customFormat="false" ht="15.75" hidden="false" customHeight="true" outlineLevel="0" collapsed="false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</row>
    <row r="187" customFormat="false" ht="15.75" hidden="false" customHeight="true" outlineLevel="0" collapsed="false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</row>
    <row r="188" customFormat="false" ht="15.75" hidden="false" customHeight="true" outlineLevel="0" collapsed="false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</row>
    <row r="189" customFormat="false" ht="15.75" hidden="false" customHeight="true" outlineLevel="0" collapsed="false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</row>
    <row r="190" customFormat="false" ht="15.75" hidden="false" customHeight="true" outlineLevel="0" collapsed="false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</row>
    <row r="191" customFormat="false" ht="15.75" hidden="false" customHeight="true" outlineLevel="0" collapsed="false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</row>
    <row r="192" customFormat="false" ht="15.75" hidden="false" customHeight="true" outlineLevel="0" collapsed="false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</row>
    <row r="193" customFormat="false" ht="15.75" hidden="false" customHeight="true" outlineLevel="0" collapsed="false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</row>
    <row r="194" customFormat="false" ht="15.75" hidden="false" customHeight="true" outlineLevel="0" collapsed="false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</row>
    <row r="195" customFormat="false" ht="15.75" hidden="false" customHeight="true" outlineLevel="0" collapsed="false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</row>
    <row r="196" customFormat="false" ht="15.75" hidden="false" customHeight="true" outlineLevel="0" collapsed="false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</row>
    <row r="197" customFormat="false" ht="15.75" hidden="false" customHeight="true" outlineLevel="0" collapsed="false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</row>
    <row r="198" customFormat="false" ht="15.75" hidden="false" customHeight="true" outlineLevel="0" collapsed="false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</row>
    <row r="199" customFormat="false" ht="15.75" hidden="false" customHeight="true" outlineLevel="0" collapsed="false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</row>
    <row r="200" customFormat="false" ht="15.75" hidden="false" customHeight="true" outlineLevel="0" collapsed="false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</row>
    <row r="201" customFormat="false" ht="15.75" hidden="false" customHeight="true" outlineLevel="0" collapsed="false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</row>
    <row r="202" customFormat="false" ht="15.75" hidden="false" customHeight="true" outlineLevel="0" collapsed="false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</row>
    <row r="203" customFormat="false" ht="15.75" hidden="false" customHeight="true" outlineLevel="0" collapsed="false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</row>
    <row r="204" customFormat="false" ht="15.75" hidden="false" customHeight="true" outlineLevel="0" collapsed="false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</row>
    <row r="205" customFormat="false" ht="15.75" hidden="false" customHeight="true" outlineLevel="0" collapsed="false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</row>
    <row r="206" customFormat="false" ht="15.75" hidden="false" customHeight="true" outlineLevel="0" collapsed="false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</row>
    <row r="207" customFormat="false" ht="15.75" hidden="false" customHeight="true" outlineLevel="0" collapsed="false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</row>
    <row r="208" customFormat="false" ht="15.75" hidden="false" customHeight="true" outlineLevel="0" collapsed="false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</row>
    <row r="209" customFormat="false" ht="15.75" hidden="false" customHeight="true" outlineLevel="0" collapsed="false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</row>
    <row r="210" customFormat="false" ht="15.75" hidden="false" customHeight="true" outlineLevel="0" collapsed="false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</row>
    <row r="211" customFormat="false" ht="15.75" hidden="false" customHeight="true" outlineLevel="0" collapsed="false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</row>
    <row r="212" customFormat="false" ht="15.75" hidden="false" customHeight="true" outlineLevel="0" collapsed="false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</row>
    <row r="213" customFormat="false" ht="15.75" hidden="false" customHeight="true" outlineLevel="0" collapsed="false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</row>
    <row r="214" customFormat="false" ht="15.75" hidden="false" customHeight="true" outlineLevel="0" collapsed="false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</row>
    <row r="215" customFormat="false" ht="15.75" hidden="false" customHeight="true" outlineLevel="0" collapsed="false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</row>
    <row r="216" customFormat="false" ht="15.75" hidden="false" customHeight="true" outlineLevel="0" collapsed="false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</row>
    <row r="217" customFormat="false" ht="15.75" hidden="false" customHeight="true" outlineLevel="0" collapsed="false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</row>
    <row r="218" customFormat="false" ht="15.75" hidden="false" customHeight="true" outlineLevel="0" collapsed="false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</row>
    <row r="219" customFormat="false" ht="15.75" hidden="false" customHeight="true" outlineLevel="0" collapsed="false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</row>
    <row r="220" customFormat="false" ht="15.75" hidden="false" customHeight="true" outlineLevel="0" collapsed="false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</row>
    <row r="221" customFormat="false" ht="15.75" hidden="false" customHeight="true" outlineLevel="0" collapsed="false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</row>
    <row r="222" customFormat="false" ht="15.75" hidden="false" customHeight="true" outlineLevel="0" collapsed="false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</row>
    <row r="223" customFormat="false" ht="15.75" hidden="false" customHeight="true" outlineLevel="0" collapsed="false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</row>
    <row r="224" customFormat="false" ht="15.75" hidden="false" customHeight="true" outlineLevel="0" collapsed="false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</row>
    <row r="225" customFormat="false" ht="15.75" hidden="false" customHeight="true" outlineLevel="0" collapsed="false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</row>
    <row r="226" customFormat="false" ht="15.75" hidden="false" customHeight="true" outlineLevel="0" collapsed="false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</row>
    <row r="227" customFormat="false" ht="15.75" hidden="false" customHeight="true" outlineLevel="0" collapsed="false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</row>
    <row r="228" customFormat="false" ht="15.75" hidden="false" customHeight="true" outlineLevel="0" collapsed="false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</row>
    <row r="229" customFormat="false" ht="15.75" hidden="false" customHeight="true" outlineLevel="0" collapsed="false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</row>
    <row r="230" customFormat="false" ht="15.75" hidden="false" customHeight="true" outlineLevel="0" collapsed="false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</row>
    <row r="231" customFormat="false" ht="15.75" hidden="false" customHeight="true" outlineLevel="0" collapsed="false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</row>
    <row r="232" customFormat="false" ht="15.75" hidden="false" customHeight="true" outlineLevel="0" collapsed="false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</row>
    <row r="233" customFormat="false" ht="15.75" hidden="false" customHeight="true" outlineLevel="0" collapsed="false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</row>
    <row r="234" customFormat="false" ht="15.75" hidden="false" customHeight="true" outlineLevel="0" collapsed="false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</row>
    <row r="235" customFormat="false" ht="15.75" hidden="false" customHeight="true" outlineLevel="0" collapsed="false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</row>
    <row r="236" customFormat="false" ht="15.75" hidden="false" customHeight="true" outlineLevel="0" collapsed="false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</row>
    <row r="237" customFormat="false" ht="15.75" hidden="false" customHeight="true" outlineLevel="0" collapsed="false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</row>
    <row r="238" customFormat="false" ht="15.75" hidden="false" customHeight="true" outlineLevel="0" collapsed="false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</row>
    <row r="239" customFormat="false" ht="15.75" hidden="false" customHeight="true" outlineLevel="0" collapsed="false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</row>
    <row r="240" customFormat="false" ht="15.75" hidden="false" customHeight="true" outlineLevel="0" collapsed="false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</row>
    <row r="241" customFormat="false" ht="15.75" hidden="false" customHeight="true" outlineLevel="0" collapsed="false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</row>
    <row r="242" customFormat="false" ht="15.75" hidden="false" customHeight="true" outlineLevel="0" collapsed="false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</row>
    <row r="243" customFormat="false" ht="15.75" hidden="false" customHeight="true" outlineLevel="0" collapsed="false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</row>
    <row r="244" customFormat="false" ht="15.75" hidden="false" customHeight="true" outlineLevel="0" collapsed="false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</row>
    <row r="245" customFormat="false" ht="15.75" hidden="false" customHeight="true" outlineLevel="0" collapsed="false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</row>
    <row r="246" customFormat="false" ht="15.75" hidden="false" customHeight="true" outlineLevel="0" collapsed="false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</row>
    <row r="247" customFormat="false" ht="15.75" hidden="false" customHeight="true" outlineLevel="0" collapsed="false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</row>
    <row r="248" customFormat="false" ht="15.75" hidden="false" customHeight="true" outlineLevel="0" collapsed="false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</row>
    <row r="249" customFormat="false" ht="15.75" hidden="false" customHeight="true" outlineLevel="0" collapsed="false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</row>
    <row r="250" customFormat="false" ht="15.75" hidden="false" customHeight="true" outlineLevel="0" collapsed="false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</row>
    <row r="251" customFormat="false" ht="15.75" hidden="false" customHeight="true" outlineLevel="0" collapsed="false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</row>
    <row r="252" customFormat="false" ht="15.75" hidden="false" customHeight="true" outlineLevel="0" collapsed="false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</row>
    <row r="253" customFormat="false" ht="15.75" hidden="false" customHeight="true" outlineLevel="0" collapsed="false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</row>
    <row r="254" customFormat="false" ht="15.75" hidden="false" customHeight="true" outlineLevel="0" collapsed="false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</row>
    <row r="255" customFormat="false" ht="15.75" hidden="false" customHeight="true" outlineLevel="0" collapsed="false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</row>
    <row r="256" customFormat="false" ht="15.75" hidden="false" customHeight="true" outlineLevel="0" collapsed="false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</row>
    <row r="257" customFormat="false" ht="15.75" hidden="false" customHeight="true" outlineLevel="0" collapsed="false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</row>
    <row r="258" customFormat="false" ht="15.75" hidden="false" customHeight="true" outlineLevel="0" collapsed="false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</row>
    <row r="259" customFormat="false" ht="15.75" hidden="false" customHeight="true" outlineLevel="0" collapsed="false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</row>
    <row r="260" customFormat="false" ht="15.75" hidden="false" customHeight="true" outlineLevel="0" collapsed="false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</row>
    <row r="261" customFormat="false" ht="15.75" hidden="false" customHeight="true" outlineLevel="0" collapsed="false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</row>
    <row r="262" customFormat="false" ht="15.75" hidden="false" customHeight="true" outlineLevel="0" collapsed="false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</row>
    <row r="263" customFormat="false" ht="15.75" hidden="false" customHeight="true" outlineLevel="0" collapsed="false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</row>
    <row r="264" customFormat="false" ht="15.75" hidden="false" customHeight="true" outlineLevel="0" collapsed="false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</row>
    <row r="265" customFormat="false" ht="15.75" hidden="false" customHeight="true" outlineLevel="0" collapsed="false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</row>
    <row r="266" customFormat="false" ht="15.75" hidden="false" customHeight="true" outlineLevel="0" collapsed="false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</row>
    <row r="267" customFormat="false" ht="15.75" hidden="false" customHeight="true" outlineLevel="0" collapsed="false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</row>
    <row r="268" customFormat="false" ht="15.75" hidden="false" customHeight="true" outlineLevel="0" collapsed="false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</row>
    <row r="269" customFormat="false" ht="15.75" hidden="false" customHeight="true" outlineLevel="0" collapsed="false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</row>
    <row r="270" customFormat="false" ht="15.75" hidden="false" customHeight="true" outlineLevel="0" collapsed="false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</row>
    <row r="271" customFormat="false" ht="15.75" hidden="false" customHeight="true" outlineLevel="0" collapsed="false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</row>
    <row r="272" customFormat="false" ht="15.75" hidden="false" customHeight="true" outlineLevel="0" collapsed="false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</row>
    <row r="273" customFormat="false" ht="15.75" hidden="false" customHeight="true" outlineLevel="0" collapsed="false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</row>
    <row r="274" customFormat="false" ht="15.75" hidden="false" customHeight="true" outlineLevel="0" collapsed="false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</row>
    <row r="275" customFormat="false" ht="15.75" hidden="false" customHeight="true" outlineLevel="0" collapsed="false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</row>
    <row r="276" customFormat="false" ht="15.75" hidden="false" customHeight="true" outlineLevel="0" collapsed="false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</row>
    <row r="277" customFormat="false" ht="15.75" hidden="false" customHeight="true" outlineLevel="0" collapsed="false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</row>
    <row r="278" customFormat="false" ht="15.75" hidden="false" customHeight="true" outlineLevel="0" collapsed="false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</row>
    <row r="279" customFormat="false" ht="15.75" hidden="false" customHeight="true" outlineLevel="0" collapsed="false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</row>
    <row r="280" customFormat="false" ht="15.75" hidden="false" customHeight="true" outlineLevel="0" collapsed="false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</row>
    <row r="281" customFormat="false" ht="15.75" hidden="false" customHeight="true" outlineLevel="0" collapsed="false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</row>
    <row r="282" customFormat="false" ht="15.75" hidden="false" customHeight="true" outlineLevel="0" collapsed="false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</row>
    <row r="283" customFormat="false" ht="15.75" hidden="false" customHeight="true" outlineLevel="0" collapsed="false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</row>
    <row r="284" customFormat="false" ht="15.75" hidden="false" customHeight="true" outlineLevel="0" collapsed="false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</row>
    <row r="285" customFormat="false" ht="15.75" hidden="false" customHeight="true" outlineLevel="0" collapsed="false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</row>
    <row r="286" customFormat="false" ht="15.75" hidden="false" customHeight="true" outlineLevel="0" collapsed="false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</row>
    <row r="287" customFormat="false" ht="15.75" hidden="false" customHeight="true" outlineLevel="0" collapsed="false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</row>
    <row r="288" customFormat="false" ht="15.75" hidden="false" customHeight="true" outlineLevel="0" collapsed="false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</row>
    <row r="289" customFormat="false" ht="15.75" hidden="false" customHeight="true" outlineLevel="0" collapsed="false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</row>
    <row r="290" customFormat="false" ht="15.75" hidden="false" customHeight="true" outlineLevel="0" collapsed="false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</row>
    <row r="291" customFormat="false" ht="15.75" hidden="false" customHeight="true" outlineLevel="0" collapsed="false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</row>
    <row r="292" customFormat="false" ht="15.75" hidden="false" customHeight="true" outlineLevel="0" collapsed="false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</row>
    <row r="293" customFormat="false" ht="15.75" hidden="false" customHeight="true" outlineLevel="0" collapsed="false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</row>
    <row r="294" customFormat="false" ht="15.75" hidden="false" customHeight="true" outlineLevel="0" collapsed="false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</row>
    <row r="295" customFormat="false" ht="15.75" hidden="false" customHeight="true" outlineLevel="0" collapsed="false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</row>
    <row r="296" customFormat="false" ht="15.75" hidden="false" customHeight="true" outlineLevel="0" collapsed="false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</row>
    <row r="297" customFormat="false" ht="15.75" hidden="false" customHeight="true" outlineLevel="0" collapsed="false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</row>
    <row r="298" customFormat="false" ht="15.75" hidden="false" customHeight="true" outlineLevel="0" collapsed="false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</row>
    <row r="299" customFormat="false" ht="15.75" hidden="false" customHeight="true" outlineLevel="0" collapsed="false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</row>
    <row r="300" customFormat="false" ht="15.75" hidden="false" customHeight="true" outlineLevel="0" collapsed="false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</row>
    <row r="301" customFormat="false" ht="15.75" hidden="false" customHeight="true" outlineLevel="0" collapsed="false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</row>
    <row r="302" customFormat="false" ht="15.75" hidden="false" customHeight="true" outlineLevel="0" collapsed="false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</row>
    <row r="303" customFormat="false" ht="15.75" hidden="false" customHeight="true" outlineLevel="0" collapsed="false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</row>
    <row r="304" customFormat="false" ht="15.75" hidden="false" customHeight="true" outlineLevel="0" collapsed="false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</row>
    <row r="305" customFormat="false" ht="15.75" hidden="false" customHeight="true" outlineLevel="0" collapsed="false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</row>
    <row r="306" customFormat="false" ht="15.75" hidden="false" customHeight="true" outlineLevel="0" collapsed="false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</row>
    <row r="307" customFormat="false" ht="15.75" hidden="false" customHeight="true" outlineLevel="0" collapsed="false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</row>
    <row r="308" customFormat="false" ht="15.75" hidden="false" customHeight="true" outlineLevel="0" collapsed="false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</row>
    <row r="309" customFormat="false" ht="15.75" hidden="false" customHeight="true" outlineLevel="0" collapsed="false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</row>
    <row r="310" customFormat="false" ht="15.75" hidden="false" customHeight="true" outlineLevel="0" collapsed="false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</row>
    <row r="311" customFormat="false" ht="15.75" hidden="false" customHeight="true" outlineLevel="0" collapsed="false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</row>
    <row r="312" customFormat="false" ht="15.75" hidden="false" customHeight="true" outlineLevel="0" collapsed="false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</row>
    <row r="313" customFormat="false" ht="15.75" hidden="false" customHeight="true" outlineLevel="0" collapsed="false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</row>
    <row r="314" customFormat="false" ht="15.75" hidden="false" customHeight="true" outlineLevel="0" collapsed="false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</row>
    <row r="315" customFormat="false" ht="15.75" hidden="false" customHeight="true" outlineLevel="0" collapsed="false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</row>
    <row r="316" customFormat="false" ht="15.75" hidden="false" customHeight="true" outlineLevel="0" collapsed="false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</row>
    <row r="317" customFormat="false" ht="15.75" hidden="false" customHeight="true" outlineLevel="0" collapsed="false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</row>
    <row r="318" customFormat="false" ht="15.75" hidden="false" customHeight="true" outlineLevel="0" collapsed="false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</row>
    <row r="319" customFormat="false" ht="15.75" hidden="false" customHeight="true" outlineLevel="0" collapsed="false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</row>
    <row r="320" customFormat="false" ht="15.75" hidden="false" customHeight="true" outlineLevel="0" collapsed="false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</row>
    <row r="321" customFormat="false" ht="15.75" hidden="false" customHeight="true" outlineLevel="0" collapsed="false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</row>
    <row r="322" customFormat="false" ht="15.75" hidden="false" customHeight="true" outlineLevel="0" collapsed="false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</row>
    <row r="323" customFormat="false" ht="15.75" hidden="false" customHeight="true" outlineLevel="0" collapsed="false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</row>
    <row r="324" customFormat="false" ht="15.75" hidden="false" customHeight="true" outlineLevel="0" collapsed="false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</row>
    <row r="325" customFormat="false" ht="15.75" hidden="false" customHeight="true" outlineLevel="0" collapsed="false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</row>
    <row r="326" customFormat="false" ht="15.75" hidden="false" customHeight="true" outlineLevel="0" collapsed="false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</row>
    <row r="327" customFormat="false" ht="15.75" hidden="false" customHeight="true" outlineLevel="0" collapsed="false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</row>
    <row r="328" customFormat="false" ht="15.75" hidden="false" customHeight="true" outlineLevel="0" collapsed="false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</row>
    <row r="329" customFormat="false" ht="15.75" hidden="false" customHeight="true" outlineLevel="0" collapsed="false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</row>
    <row r="330" customFormat="false" ht="15.75" hidden="false" customHeight="true" outlineLevel="0" collapsed="false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</row>
    <row r="331" customFormat="false" ht="15.75" hidden="false" customHeight="true" outlineLevel="0" collapsed="false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</row>
    <row r="332" customFormat="false" ht="15.75" hidden="false" customHeight="true" outlineLevel="0" collapsed="false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</row>
    <row r="333" customFormat="false" ht="15.75" hidden="false" customHeight="true" outlineLevel="0" collapsed="false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</row>
    <row r="334" customFormat="false" ht="15.75" hidden="false" customHeight="true" outlineLevel="0" collapsed="false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</row>
    <row r="335" customFormat="false" ht="15.75" hidden="false" customHeight="true" outlineLevel="0" collapsed="false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</row>
    <row r="336" customFormat="false" ht="15.75" hidden="false" customHeight="true" outlineLevel="0" collapsed="false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</row>
    <row r="337" customFormat="false" ht="15.75" hidden="false" customHeight="true" outlineLevel="0" collapsed="false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</row>
    <row r="338" customFormat="false" ht="15.75" hidden="false" customHeight="true" outlineLevel="0" collapsed="false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</row>
    <row r="339" customFormat="false" ht="15.75" hidden="false" customHeight="true" outlineLevel="0" collapsed="false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</row>
    <row r="340" customFormat="false" ht="15.75" hidden="false" customHeight="true" outlineLevel="0" collapsed="false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</row>
    <row r="341" customFormat="false" ht="15.75" hidden="false" customHeight="true" outlineLevel="0" collapsed="false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</row>
    <row r="342" customFormat="false" ht="15.75" hidden="false" customHeight="true" outlineLevel="0" collapsed="false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</row>
    <row r="343" customFormat="false" ht="15.75" hidden="false" customHeight="true" outlineLevel="0" collapsed="false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</row>
    <row r="344" customFormat="false" ht="15.75" hidden="false" customHeight="true" outlineLevel="0" collapsed="false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</row>
    <row r="345" customFormat="false" ht="15.75" hidden="false" customHeight="true" outlineLevel="0" collapsed="false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</row>
    <row r="346" customFormat="false" ht="15.75" hidden="false" customHeight="true" outlineLevel="0" collapsed="false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</row>
    <row r="347" customFormat="false" ht="15.75" hidden="false" customHeight="true" outlineLevel="0" collapsed="false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</row>
    <row r="348" customFormat="false" ht="15.75" hidden="false" customHeight="true" outlineLevel="0" collapsed="false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</row>
    <row r="349" customFormat="false" ht="15.75" hidden="false" customHeight="true" outlineLevel="0" collapsed="false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</row>
    <row r="350" customFormat="false" ht="15.75" hidden="false" customHeight="true" outlineLevel="0" collapsed="false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</row>
    <row r="351" customFormat="false" ht="15.75" hidden="false" customHeight="true" outlineLevel="0" collapsed="false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</row>
    <row r="352" customFormat="false" ht="15.75" hidden="false" customHeight="true" outlineLevel="0" collapsed="false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</row>
    <row r="353" customFormat="false" ht="15.75" hidden="false" customHeight="true" outlineLevel="0" collapsed="false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</row>
    <row r="354" customFormat="false" ht="15.75" hidden="false" customHeight="true" outlineLevel="0" collapsed="false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</row>
    <row r="355" customFormat="false" ht="15.75" hidden="false" customHeight="true" outlineLevel="0" collapsed="false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</row>
    <row r="356" customFormat="false" ht="15.75" hidden="false" customHeight="true" outlineLevel="0" collapsed="false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</row>
    <row r="357" customFormat="false" ht="15.75" hidden="false" customHeight="true" outlineLevel="0" collapsed="false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</row>
    <row r="358" customFormat="false" ht="15.75" hidden="false" customHeight="true" outlineLevel="0" collapsed="false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</row>
    <row r="359" customFormat="false" ht="15.75" hidden="false" customHeight="true" outlineLevel="0" collapsed="false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</row>
    <row r="360" customFormat="false" ht="15.75" hidden="false" customHeight="true" outlineLevel="0" collapsed="false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</row>
    <row r="361" customFormat="false" ht="15.75" hidden="false" customHeight="true" outlineLevel="0" collapsed="false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</row>
    <row r="362" customFormat="false" ht="15.75" hidden="false" customHeight="true" outlineLevel="0" collapsed="false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</row>
    <row r="363" customFormat="false" ht="15.75" hidden="false" customHeight="true" outlineLevel="0" collapsed="false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</row>
    <row r="364" customFormat="false" ht="15.75" hidden="false" customHeight="true" outlineLevel="0" collapsed="false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</row>
    <row r="365" customFormat="false" ht="15.75" hidden="false" customHeight="true" outlineLevel="0" collapsed="false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</row>
    <row r="366" customFormat="false" ht="15.75" hidden="false" customHeight="true" outlineLevel="0" collapsed="false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</row>
    <row r="367" customFormat="false" ht="15.75" hidden="false" customHeight="true" outlineLevel="0" collapsed="false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</row>
    <row r="368" customFormat="false" ht="15.75" hidden="false" customHeight="true" outlineLevel="0" collapsed="false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</row>
    <row r="369" customFormat="false" ht="15.75" hidden="false" customHeight="true" outlineLevel="0" collapsed="false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</row>
    <row r="370" customFormat="false" ht="15.75" hidden="false" customHeight="true" outlineLevel="0" collapsed="false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</row>
    <row r="371" customFormat="false" ht="15.75" hidden="false" customHeight="true" outlineLevel="0" collapsed="false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</row>
    <row r="372" customFormat="false" ht="15.75" hidden="false" customHeight="true" outlineLevel="0" collapsed="false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</row>
    <row r="373" customFormat="false" ht="15.75" hidden="false" customHeight="true" outlineLevel="0" collapsed="false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</row>
    <row r="374" customFormat="false" ht="15.75" hidden="false" customHeight="true" outlineLevel="0" collapsed="false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</row>
    <row r="375" customFormat="false" ht="15.75" hidden="false" customHeight="true" outlineLevel="0" collapsed="false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</row>
    <row r="376" customFormat="false" ht="15.75" hidden="false" customHeight="true" outlineLevel="0" collapsed="false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</row>
    <row r="377" customFormat="false" ht="15.75" hidden="false" customHeight="true" outlineLevel="0" collapsed="false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</row>
    <row r="378" customFormat="false" ht="15.75" hidden="false" customHeight="true" outlineLevel="0" collapsed="false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</row>
    <row r="379" customFormat="false" ht="15.75" hidden="false" customHeight="true" outlineLevel="0" collapsed="false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</row>
    <row r="380" customFormat="false" ht="15.75" hidden="false" customHeight="true" outlineLevel="0" collapsed="false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</row>
    <row r="381" customFormat="false" ht="15.75" hidden="false" customHeight="true" outlineLevel="0" collapsed="false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</row>
    <row r="382" customFormat="false" ht="15.75" hidden="false" customHeight="true" outlineLevel="0" collapsed="false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</row>
    <row r="383" customFormat="false" ht="15.75" hidden="false" customHeight="true" outlineLevel="0" collapsed="false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</row>
    <row r="384" customFormat="false" ht="15.75" hidden="false" customHeight="true" outlineLevel="0" collapsed="false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</row>
    <row r="385" customFormat="false" ht="15.75" hidden="false" customHeight="true" outlineLevel="0" collapsed="false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</row>
    <row r="386" customFormat="false" ht="15.75" hidden="false" customHeight="true" outlineLevel="0" collapsed="false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</row>
    <row r="387" customFormat="false" ht="15.75" hidden="false" customHeight="true" outlineLevel="0" collapsed="false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</row>
    <row r="388" customFormat="false" ht="15.75" hidden="false" customHeight="true" outlineLevel="0" collapsed="false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</row>
    <row r="389" customFormat="false" ht="15.75" hidden="false" customHeight="true" outlineLevel="0" collapsed="false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</row>
    <row r="390" customFormat="false" ht="15.75" hidden="false" customHeight="true" outlineLevel="0" collapsed="false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</row>
    <row r="391" customFormat="false" ht="15.75" hidden="false" customHeight="true" outlineLevel="0" collapsed="false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</row>
    <row r="392" customFormat="false" ht="15.75" hidden="false" customHeight="true" outlineLevel="0" collapsed="false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</row>
    <row r="393" customFormat="false" ht="15.75" hidden="false" customHeight="true" outlineLevel="0" collapsed="false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</row>
    <row r="394" customFormat="false" ht="15.75" hidden="false" customHeight="true" outlineLevel="0" collapsed="false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</row>
    <row r="395" customFormat="false" ht="15.75" hidden="false" customHeight="true" outlineLevel="0" collapsed="false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</row>
    <row r="396" customFormat="false" ht="15.75" hidden="false" customHeight="true" outlineLevel="0" collapsed="false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</row>
    <row r="397" customFormat="false" ht="15.75" hidden="false" customHeight="true" outlineLevel="0" collapsed="false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</row>
    <row r="398" customFormat="false" ht="15.75" hidden="false" customHeight="true" outlineLevel="0" collapsed="false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</row>
    <row r="399" customFormat="false" ht="15.75" hidden="false" customHeight="true" outlineLevel="0" collapsed="false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</row>
    <row r="400" customFormat="false" ht="15.75" hidden="false" customHeight="true" outlineLevel="0" collapsed="false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</row>
    <row r="401" customFormat="false" ht="15.75" hidden="false" customHeight="true" outlineLevel="0" collapsed="false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</row>
    <row r="402" customFormat="false" ht="15.75" hidden="false" customHeight="true" outlineLevel="0" collapsed="false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</row>
    <row r="403" customFormat="false" ht="15.75" hidden="false" customHeight="true" outlineLevel="0" collapsed="false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</row>
    <row r="404" customFormat="false" ht="15.75" hidden="false" customHeight="true" outlineLevel="0" collapsed="false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</row>
    <row r="405" customFormat="false" ht="15.75" hidden="false" customHeight="true" outlineLevel="0" collapsed="false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</row>
    <row r="406" customFormat="false" ht="15.75" hidden="false" customHeight="true" outlineLevel="0" collapsed="false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</row>
    <row r="407" customFormat="false" ht="15.75" hidden="false" customHeight="true" outlineLevel="0" collapsed="false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</row>
    <row r="408" customFormat="false" ht="15.75" hidden="false" customHeight="true" outlineLevel="0" collapsed="false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</row>
    <row r="409" customFormat="false" ht="15.75" hidden="false" customHeight="true" outlineLevel="0" collapsed="false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</row>
    <row r="410" customFormat="false" ht="15.75" hidden="false" customHeight="true" outlineLevel="0" collapsed="false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</row>
    <row r="411" customFormat="false" ht="15.75" hidden="false" customHeight="true" outlineLevel="0" collapsed="false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</row>
    <row r="412" customFormat="false" ht="15.75" hidden="false" customHeight="true" outlineLevel="0" collapsed="false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</row>
    <row r="413" customFormat="false" ht="15.75" hidden="false" customHeight="true" outlineLevel="0" collapsed="false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</row>
    <row r="414" customFormat="false" ht="15.75" hidden="false" customHeight="true" outlineLevel="0" collapsed="false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</row>
    <row r="415" customFormat="false" ht="15.75" hidden="false" customHeight="true" outlineLevel="0" collapsed="false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</row>
    <row r="416" customFormat="false" ht="15.75" hidden="false" customHeight="true" outlineLevel="0" collapsed="false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</row>
    <row r="417" customFormat="false" ht="15.75" hidden="false" customHeight="true" outlineLevel="0" collapsed="false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</row>
    <row r="418" customFormat="false" ht="15.75" hidden="false" customHeight="true" outlineLevel="0" collapsed="false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</row>
    <row r="419" customFormat="false" ht="15.75" hidden="false" customHeight="true" outlineLevel="0" collapsed="false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</row>
    <row r="420" customFormat="false" ht="15.75" hidden="false" customHeight="true" outlineLevel="0" collapsed="false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</row>
    <row r="421" customFormat="false" ht="15.75" hidden="false" customHeight="true" outlineLevel="0" collapsed="false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</row>
    <row r="422" customFormat="false" ht="15.75" hidden="false" customHeight="true" outlineLevel="0" collapsed="false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</row>
    <row r="423" customFormat="false" ht="15.75" hidden="false" customHeight="true" outlineLevel="0" collapsed="false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</row>
    <row r="424" customFormat="false" ht="15.75" hidden="false" customHeight="true" outlineLevel="0" collapsed="false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</row>
    <row r="425" customFormat="false" ht="15.75" hidden="false" customHeight="true" outlineLevel="0" collapsed="false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</row>
    <row r="426" customFormat="false" ht="15.75" hidden="false" customHeight="true" outlineLevel="0" collapsed="false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</row>
    <row r="427" customFormat="false" ht="15.75" hidden="false" customHeight="true" outlineLevel="0" collapsed="false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</row>
    <row r="428" customFormat="false" ht="15.75" hidden="false" customHeight="true" outlineLevel="0" collapsed="false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</row>
    <row r="429" customFormat="false" ht="15.75" hidden="false" customHeight="true" outlineLevel="0" collapsed="false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</row>
    <row r="430" customFormat="false" ht="15.75" hidden="false" customHeight="true" outlineLevel="0" collapsed="false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</row>
    <row r="431" customFormat="false" ht="15.75" hidden="false" customHeight="true" outlineLevel="0" collapsed="false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</row>
    <row r="432" customFormat="false" ht="15.75" hidden="false" customHeight="true" outlineLevel="0" collapsed="false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</row>
    <row r="433" customFormat="false" ht="15.75" hidden="false" customHeight="true" outlineLevel="0" collapsed="false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</row>
    <row r="434" customFormat="false" ht="15.75" hidden="false" customHeight="true" outlineLevel="0" collapsed="false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</row>
    <row r="435" customFormat="false" ht="15.75" hidden="false" customHeight="true" outlineLevel="0" collapsed="false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</row>
    <row r="436" customFormat="false" ht="15.75" hidden="false" customHeight="true" outlineLevel="0" collapsed="false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</row>
    <row r="437" customFormat="false" ht="15.75" hidden="false" customHeight="true" outlineLevel="0" collapsed="false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</row>
    <row r="438" customFormat="false" ht="15.75" hidden="false" customHeight="true" outlineLevel="0" collapsed="false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</row>
    <row r="439" customFormat="false" ht="15.75" hidden="false" customHeight="true" outlineLevel="0" collapsed="false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</row>
    <row r="440" customFormat="false" ht="15.75" hidden="false" customHeight="true" outlineLevel="0" collapsed="false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</row>
    <row r="441" customFormat="false" ht="15.75" hidden="false" customHeight="true" outlineLevel="0" collapsed="false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</row>
    <row r="442" customFormat="false" ht="15.75" hidden="false" customHeight="true" outlineLevel="0" collapsed="false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</row>
    <row r="443" customFormat="false" ht="15.75" hidden="false" customHeight="true" outlineLevel="0" collapsed="false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</row>
    <row r="444" customFormat="false" ht="15.75" hidden="false" customHeight="true" outlineLevel="0" collapsed="false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</row>
    <row r="445" customFormat="false" ht="15.75" hidden="false" customHeight="true" outlineLevel="0" collapsed="false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</row>
    <row r="446" customFormat="false" ht="15.75" hidden="false" customHeight="true" outlineLevel="0" collapsed="false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</row>
    <row r="447" customFormat="false" ht="15.75" hidden="false" customHeight="true" outlineLevel="0" collapsed="false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</row>
    <row r="448" customFormat="false" ht="15.75" hidden="false" customHeight="true" outlineLevel="0" collapsed="false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</row>
    <row r="449" customFormat="false" ht="15.75" hidden="false" customHeight="true" outlineLevel="0" collapsed="false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</row>
    <row r="450" customFormat="false" ht="15.75" hidden="false" customHeight="true" outlineLevel="0" collapsed="false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</row>
    <row r="451" customFormat="false" ht="15.75" hidden="false" customHeight="true" outlineLevel="0" collapsed="false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</row>
    <row r="452" customFormat="false" ht="15.75" hidden="false" customHeight="true" outlineLevel="0" collapsed="false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</row>
    <row r="453" customFormat="false" ht="15.75" hidden="false" customHeight="true" outlineLevel="0" collapsed="false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</row>
    <row r="454" customFormat="false" ht="15.75" hidden="false" customHeight="true" outlineLevel="0" collapsed="false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</row>
    <row r="455" customFormat="false" ht="15.75" hidden="false" customHeight="true" outlineLevel="0" collapsed="false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</row>
    <row r="456" customFormat="false" ht="15.75" hidden="false" customHeight="true" outlineLevel="0" collapsed="false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</row>
    <row r="457" customFormat="false" ht="15.75" hidden="false" customHeight="true" outlineLevel="0" collapsed="false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</row>
    <row r="458" customFormat="false" ht="15.75" hidden="false" customHeight="true" outlineLevel="0" collapsed="false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</row>
    <row r="459" customFormat="false" ht="15.75" hidden="false" customHeight="true" outlineLevel="0" collapsed="false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</row>
    <row r="460" customFormat="false" ht="15.75" hidden="false" customHeight="true" outlineLevel="0" collapsed="false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</row>
    <row r="461" customFormat="false" ht="15.75" hidden="false" customHeight="true" outlineLevel="0" collapsed="false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</row>
    <row r="462" customFormat="false" ht="15.75" hidden="false" customHeight="true" outlineLevel="0" collapsed="false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</row>
    <row r="463" customFormat="false" ht="15.75" hidden="false" customHeight="true" outlineLevel="0" collapsed="false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</row>
    <row r="464" customFormat="false" ht="15.75" hidden="false" customHeight="true" outlineLevel="0" collapsed="false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</row>
    <row r="465" customFormat="false" ht="15.75" hidden="false" customHeight="true" outlineLevel="0" collapsed="false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</row>
    <row r="466" customFormat="false" ht="15.75" hidden="false" customHeight="true" outlineLevel="0" collapsed="false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</row>
    <row r="467" customFormat="false" ht="15.75" hidden="false" customHeight="true" outlineLevel="0" collapsed="false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</row>
    <row r="468" customFormat="false" ht="15.75" hidden="false" customHeight="true" outlineLevel="0" collapsed="false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</row>
    <row r="469" customFormat="false" ht="15.75" hidden="false" customHeight="true" outlineLevel="0" collapsed="false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</row>
    <row r="470" customFormat="false" ht="15.75" hidden="false" customHeight="true" outlineLevel="0" collapsed="false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</row>
    <row r="471" customFormat="false" ht="15.75" hidden="false" customHeight="true" outlineLevel="0" collapsed="false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</row>
    <row r="472" customFormat="false" ht="15.75" hidden="false" customHeight="true" outlineLevel="0" collapsed="false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</row>
    <row r="473" customFormat="false" ht="15.75" hidden="false" customHeight="true" outlineLevel="0" collapsed="false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</row>
    <row r="474" customFormat="false" ht="15.75" hidden="false" customHeight="true" outlineLevel="0" collapsed="false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</row>
    <row r="475" customFormat="false" ht="15.75" hidden="false" customHeight="true" outlineLevel="0" collapsed="false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</row>
    <row r="476" customFormat="false" ht="15.75" hidden="false" customHeight="true" outlineLevel="0" collapsed="false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</row>
    <row r="477" customFormat="false" ht="15.75" hidden="false" customHeight="true" outlineLevel="0" collapsed="false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</row>
    <row r="478" customFormat="false" ht="15.75" hidden="false" customHeight="true" outlineLevel="0" collapsed="false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</row>
    <row r="479" customFormat="false" ht="15.75" hidden="false" customHeight="true" outlineLevel="0" collapsed="false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</row>
    <row r="480" customFormat="false" ht="15.75" hidden="false" customHeight="true" outlineLevel="0" collapsed="false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</row>
    <row r="481" customFormat="false" ht="15.75" hidden="false" customHeight="true" outlineLevel="0" collapsed="false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</row>
    <row r="482" customFormat="false" ht="15.75" hidden="false" customHeight="true" outlineLevel="0" collapsed="false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</row>
    <row r="483" customFormat="false" ht="15.75" hidden="false" customHeight="true" outlineLevel="0" collapsed="false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</row>
    <row r="484" customFormat="false" ht="15.75" hidden="false" customHeight="true" outlineLevel="0" collapsed="false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</row>
    <row r="485" customFormat="false" ht="15.75" hidden="false" customHeight="true" outlineLevel="0" collapsed="false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</row>
    <row r="486" customFormat="false" ht="15.75" hidden="false" customHeight="true" outlineLevel="0" collapsed="false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</row>
    <row r="487" customFormat="false" ht="15.75" hidden="false" customHeight="true" outlineLevel="0" collapsed="false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</row>
    <row r="488" customFormat="false" ht="15.75" hidden="false" customHeight="true" outlineLevel="0" collapsed="false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</row>
    <row r="489" customFormat="false" ht="15.75" hidden="false" customHeight="true" outlineLevel="0" collapsed="false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</row>
    <row r="490" customFormat="false" ht="15.75" hidden="false" customHeight="true" outlineLevel="0" collapsed="false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</row>
    <row r="491" customFormat="false" ht="15.75" hidden="false" customHeight="true" outlineLevel="0" collapsed="false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</row>
    <row r="492" customFormat="false" ht="15.75" hidden="false" customHeight="true" outlineLevel="0" collapsed="false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</row>
    <row r="493" customFormat="false" ht="15.75" hidden="false" customHeight="true" outlineLevel="0" collapsed="false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</row>
    <row r="494" customFormat="false" ht="15.75" hidden="false" customHeight="true" outlineLevel="0" collapsed="false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</row>
    <row r="495" customFormat="false" ht="15.75" hidden="false" customHeight="true" outlineLevel="0" collapsed="false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</row>
    <row r="496" customFormat="false" ht="15.75" hidden="false" customHeight="true" outlineLevel="0" collapsed="false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</row>
    <row r="497" customFormat="false" ht="15.75" hidden="false" customHeight="true" outlineLevel="0" collapsed="false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</row>
    <row r="498" customFormat="false" ht="15.75" hidden="false" customHeight="true" outlineLevel="0" collapsed="false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</row>
    <row r="499" customFormat="false" ht="15.75" hidden="false" customHeight="true" outlineLevel="0" collapsed="false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</row>
    <row r="500" customFormat="false" ht="15.75" hidden="false" customHeight="true" outlineLevel="0" collapsed="false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</row>
    <row r="501" customFormat="false" ht="15.75" hidden="false" customHeight="true" outlineLevel="0" collapsed="false">
      <c r="A501" s="37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</row>
    <row r="502" customFormat="false" ht="15.75" hidden="false" customHeight="true" outlineLevel="0" collapsed="false">
      <c r="A502" s="37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</row>
    <row r="503" customFormat="false" ht="15.75" hidden="false" customHeight="true" outlineLevel="0" collapsed="false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</row>
    <row r="504" customFormat="false" ht="15.75" hidden="false" customHeight="true" outlineLevel="0" collapsed="false">
      <c r="A504" s="37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</row>
    <row r="505" customFormat="false" ht="15.75" hidden="false" customHeight="true" outlineLevel="0" collapsed="false">
      <c r="A505" s="37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</row>
    <row r="506" customFormat="false" ht="15.75" hidden="false" customHeight="true" outlineLevel="0" collapsed="false">
      <c r="A506" s="37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</row>
    <row r="507" customFormat="false" ht="15.75" hidden="false" customHeight="true" outlineLevel="0" collapsed="false">
      <c r="A507" s="37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</row>
    <row r="508" customFormat="false" ht="15.75" hidden="false" customHeight="true" outlineLevel="0" collapsed="false">
      <c r="A508" s="37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</row>
    <row r="509" customFormat="false" ht="15.75" hidden="false" customHeight="true" outlineLevel="0" collapsed="false">
      <c r="A509" s="37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</row>
    <row r="510" customFormat="false" ht="15.75" hidden="false" customHeight="true" outlineLevel="0" collapsed="false">
      <c r="A510" s="37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</row>
    <row r="511" customFormat="false" ht="15.75" hidden="false" customHeight="true" outlineLevel="0" collapsed="false">
      <c r="A511" s="37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</row>
    <row r="512" customFormat="false" ht="15.75" hidden="false" customHeight="true" outlineLevel="0" collapsed="false">
      <c r="A512" s="37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</row>
    <row r="513" customFormat="false" ht="15.75" hidden="false" customHeight="true" outlineLevel="0" collapsed="false">
      <c r="A513" s="37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</row>
    <row r="514" customFormat="false" ht="15.75" hidden="false" customHeight="true" outlineLevel="0" collapsed="false">
      <c r="A514" s="37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</row>
    <row r="515" customFormat="false" ht="15.75" hidden="false" customHeight="true" outlineLevel="0" collapsed="false">
      <c r="A515" s="37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</row>
    <row r="516" customFormat="false" ht="15.75" hidden="false" customHeight="true" outlineLevel="0" collapsed="false">
      <c r="A516" s="37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</row>
    <row r="517" customFormat="false" ht="15.75" hidden="false" customHeight="true" outlineLevel="0" collapsed="false">
      <c r="A517" s="37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</row>
    <row r="518" customFormat="false" ht="15.75" hidden="false" customHeight="true" outlineLevel="0" collapsed="false">
      <c r="A518" s="37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</row>
    <row r="519" customFormat="false" ht="15.75" hidden="false" customHeight="true" outlineLevel="0" collapsed="false">
      <c r="A519" s="37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</row>
    <row r="520" customFormat="false" ht="15.75" hidden="false" customHeight="true" outlineLevel="0" collapsed="false">
      <c r="A520" s="37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</row>
    <row r="521" customFormat="false" ht="15.75" hidden="false" customHeight="true" outlineLevel="0" collapsed="false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</row>
    <row r="522" customFormat="false" ht="15.75" hidden="false" customHeight="true" outlineLevel="0" collapsed="false">
      <c r="A522" s="37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</row>
    <row r="523" customFormat="false" ht="15.75" hidden="false" customHeight="true" outlineLevel="0" collapsed="false">
      <c r="A523" s="37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</row>
    <row r="524" customFormat="false" ht="15.75" hidden="false" customHeight="true" outlineLevel="0" collapsed="false">
      <c r="A524" s="37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</row>
    <row r="525" customFormat="false" ht="15.75" hidden="false" customHeight="true" outlineLevel="0" collapsed="false">
      <c r="A525" s="37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</row>
    <row r="526" customFormat="false" ht="15.75" hidden="false" customHeight="true" outlineLevel="0" collapsed="false">
      <c r="A526" s="37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</row>
    <row r="527" customFormat="false" ht="15.75" hidden="false" customHeight="true" outlineLevel="0" collapsed="false">
      <c r="A527" s="37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</row>
    <row r="528" customFormat="false" ht="15.75" hidden="false" customHeight="true" outlineLevel="0" collapsed="false">
      <c r="A528" s="37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</row>
    <row r="529" customFormat="false" ht="15.75" hidden="false" customHeight="true" outlineLevel="0" collapsed="false">
      <c r="A529" s="37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</row>
    <row r="530" customFormat="false" ht="15.75" hidden="false" customHeight="true" outlineLevel="0" collapsed="false">
      <c r="A530" s="37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</row>
    <row r="531" customFormat="false" ht="15.75" hidden="false" customHeight="true" outlineLevel="0" collapsed="false">
      <c r="A531" s="37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</row>
    <row r="532" customFormat="false" ht="15.75" hidden="false" customHeight="true" outlineLevel="0" collapsed="false">
      <c r="A532" s="37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</row>
    <row r="533" customFormat="false" ht="15.75" hidden="false" customHeight="true" outlineLevel="0" collapsed="false">
      <c r="A533" s="37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</row>
    <row r="534" customFormat="false" ht="15.75" hidden="false" customHeight="true" outlineLevel="0" collapsed="false">
      <c r="A534" s="37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</row>
    <row r="535" customFormat="false" ht="15.75" hidden="false" customHeight="true" outlineLevel="0" collapsed="false">
      <c r="A535" s="37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</row>
    <row r="536" customFormat="false" ht="15.75" hidden="false" customHeight="true" outlineLevel="0" collapsed="false">
      <c r="A536" s="37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</row>
    <row r="537" customFormat="false" ht="15.75" hidden="false" customHeight="true" outlineLevel="0" collapsed="false">
      <c r="A537" s="37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</row>
    <row r="538" customFormat="false" ht="15.75" hidden="false" customHeight="true" outlineLevel="0" collapsed="false">
      <c r="A538" s="37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</row>
    <row r="539" customFormat="false" ht="15.75" hidden="false" customHeight="true" outlineLevel="0" collapsed="false">
      <c r="A539" s="37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</row>
    <row r="540" customFormat="false" ht="15.75" hidden="false" customHeight="true" outlineLevel="0" collapsed="false">
      <c r="A540" s="37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</row>
    <row r="541" customFormat="false" ht="15.75" hidden="false" customHeight="true" outlineLevel="0" collapsed="false">
      <c r="A541" s="37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</row>
    <row r="542" customFormat="false" ht="15.75" hidden="false" customHeight="true" outlineLevel="0" collapsed="false">
      <c r="A542" s="37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</row>
    <row r="543" customFormat="false" ht="15.75" hidden="false" customHeight="true" outlineLevel="0" collapsed="false">
      <c r="A543" s="37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</row>
    <row r="544" customFormat="false" ht="15.75" hidden="false" customHeight="true" outlineLevel="0" collapsed="false">
      <c r="A544" s="37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</row>
    <row r="545" customFormat="false" ht="15.75" hidden="false" customHeight="true" outlineLevel="0" collapsed="false">
      <c r="A545" s="37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</row>
    <row r="546" customFormat="false" ht="15.75" hidden="false" customHeight="true" outlineLevel="0" collapsed="false">
      <c r="A546" s="37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</row>
    <row r="547" customFormat="false" ht="15.75" hidden="false" customHeight="true" outlineLevel="0" collapsed="false">
      <c r="A547" s="37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</row>
    <row r="548" customFormat="false" ht="15.75" hidden="false" customHeight="true" outlineLevel="0" collapsed="false">
      <c r="A548" s="37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</row>
    <row r="549" customFormat="false" ht="15.75" hidden="false" customHeight="true" outlineLevel="0" collapsed="false">
      <c r="A549" s="37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</row>
    <row r="550" customFormat="false" ht="15.75" hidden="false" customHeight="true" outlineLevel="0" collapsed="false">
      <c r="A550" s="37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</row>
    <row r="551" customFormat="false" ht="15.75" hidden="false" customHeight="true" outlineLevel="0" collapsed="false">
      <c r="A551" s="37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</row>
    <row r="552" customFormat="false" ht="15.75" hidden="false" customHeight="true" outlineLevel="0" collapsed="false">
      <c r="A552" s="37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</row>
    <row r="553" customFormat="false" ht="15.75" hidden="false" customHeight="true" outlineLevel="0" collapsed="false">
      <c r="A553" s="37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</row>
    <row r="554" customFormat="false" ht="15.75" hidden="false" customHeight="true" outlineLevel="0" collapsed="false">
      <c r="A554" s="37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</row>
    <row r="555" customFormat="false" ht="15.75" hidden="false" customHeight="true" outlineLevel="0" collapsed="false">
      <c r="A555" s="37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</row>
    <row r="556" customFormat="false" ht="15.75" hidden="false" customHeight="true" outlineLevel="0" collapsed="false">
      <c r="A556" s="37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</row>
    <row r="557" customFormat="false" ht="15.75" hidden="false" customHeight="true" outlineLevel="0" collapsed="false">
      <c r="A557" s="37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</row>
    <row r="558" customFormat="false" ht="15.75" hidden="false" customHeight="true" outlineLevel="0" collapsed="false">
      <c r="A558" s="37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</row>
    <row r="559" customFormat="false" ht="15.75" hidden="false" customHeight="true" outlineLevel="0" collapsed="false">
      <c r="A559" s="37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</row>
    <row r="560" customFormat="false" ht="15.75" hidden="false" customHeight="true" outlineLevel="0" collapsed="false">
      <c r="A560" s="37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</row>
    <row r="561" customFormat="false" ht="15.75" hidden="false" customHeight="true" outlineLevel="0" collapsed="false">
      <c r="A561" s="37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</row>
    <row r="562" customFormat="false" ht="15.75" hidden="false" customHeight="true" outlineLevel="0" collapsed="false">
      <c r="A562" s="37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</row>
    <row r="563" customFormat="false" ht="15.75" hidden="false" customHeight="true" outlineLevel="0" collapsed="false">
      <c r="A563" s="37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</row>
    <row r="564" customFormat="false" ht="15.75" hidden="false" customHeight="true" outlineLevel="0" collapsed="false">
      <c r="A564" s="37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</row>
    <row r="565" customFormat="false" ht="15.75" hidden="false" customHeight="true" outlineLevel="0" collapsed="false">
      <c r="A565" s="37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</row>
    <row r="566" customFormat="false" ht="15.75" hidden="false" customHeight="true" outlineLevel="0" collapsed="false">
      <c r="A566" s="37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</row>
    <row r="567" customFormat="false" ht="15.75" hidden="false" customHeight="true" outlineLevel="0" collapsed="false">
      <c r="A567" s="37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</row>
    <row r="568" customFormat="false" ht="15.75" hidden="false" customHeight="true" outlineLevel="0" collapsed="false">
      <c r="A568" s="37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</row>
    <row r="569" customFormat="false" ht="15.75" hidden="false" customHeight="true" outlineLevel="0" collapsed="false">
      <c r="A569" s="37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</row>
    <row r="570" customFormat="false" ht="15.75" hidden="false" customHeight="true" outlineLevel="0" collapsed="false">
      <c r="A570" s="37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</row>
    <row r="571" customFormat="false" ht="15.75" hidden="false" customHeight="true" outlineLevel="0" collapsed="false">
      <c r="A571" s="37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</row>
    <row r="572" customFormat="false" ht="15.75" hidden="false" customHeight="true" outlineLevel="0" collapsed="false">
      <c r="A572" s="37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</row>
    <row r="573" customFormat="false" ht="15.75" hidden="false" customHeight="true" outlineLevel="0" collapsed="false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</row>
    <row r="574" customFormat="false" ht="15.75" hidden="false" customHeight="true" outlineLevel="0" collapsed="false">
      <c r="A574" s="37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</row>
    <row r="575" customFormat="false" ht="15.75" hidden="false" customHeight="true" outlineLevel="0" collapsed="false">
      <c r="A575" s="37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</row>
    <row r="576" customFormat="false" ht="15.75" hidden="false" customHeight="true" outlineLevel="0" collapsed="false">
      <c r="A576" s="37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</row>
    <row r="577" customFormat="false" ht="15.75" hidden="false" customHeight="true" outlineLevel="0" collapsed="false">
      <c r="A577" s="37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</row>
    <row r="578" customFormat="false" ht="15.75" hidden="false" customHeight="true" outlineLevel="0" collapsed="false">
      <c r="A578" s="37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</row>
    <row r="579" customFormat="false" ht="15.75" hidden="false" customHeight="true" outlineLevel="0" collapsed="false">
      <c r="A579" s="37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</row>
    <row r="580" customFormat="false" ht="15.75" hidden="false" customHeight="true" outlineLevel="0" collapsed="false">
      <c r="A580" s="37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</row>
    <row r="581" customFormat="false" ht="15.75" hidden="false" customHeight="true" outlineLevel="0" collapsed="false">
      <c r="A581" s="37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</row>
    <row r="582" customFormat="false" ht="15.75" hidden="false" customHeight="true" outlineLevel="0" collapsed="false">
      <c r="A582" s="37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</row>
    <row r="583" customFormat="false" ht="15.75" hidden="false" customHeight="true" outlineLevel="0" collapsed="false">
      <c r="A583" s="37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</row>
    <row r="584" customFormat="false" ht="15.75" hidden="false" customHeight="true" outlineLevel="0" collapsed="false">
      <c r="A584" s="37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</row>
    <row r="585" customFormat="false" ht="15.75" hidden="false" customHeight="true" outlineLevel="0" collapsed="false">
      <c r="A585" s="37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</row>
    <row r="586" customFormat="false" ht="15.75" hidden="false" customHeight="true" outlineLevel="0" collapsed="false">
      <c r="A586" s="37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</row>
    <row r="587" customFormat="false" ht="15.75" hidden="false" customHeight="true" outlineLevel="0" collapsed="false">
      <c r="A587" s="37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</row>
    <row r="588" customFormat="false" ht="15.75" hidden="false" customHeight="true" outlineLevel="0" collapsed="false">
      <c r="A588" s="37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</row>
    <row r="589" customFormat="false" ht="15.75" hidden="false" customHeight="true" outlineLevel="0" collapsed="false">
      <c r="A589" s="37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</row>
    <row r="590" customFormat="false" ht="15.75" hidden="false" customHeight="true" outlineLevel="0" collapsed="false">
      <c r="A590" s="37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</row>
    <row r="591" customFormat="false" ht="15.75" hidden="false" customHeight="true" outlineLevel="0" collapsed="false">
      <c r="A591" s="37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</row>
    <row r="592" customFormat="false" ht="15.75" hidden="false" customHeight="true" outlineLevel="0" collapsed="false">
      <c r="A592" s="37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</row>
    <row r="593" customFormat="false" ht="15.75" hidden="false" customHeight="true" outlineLevel="0" collapsed="false">
      <c r="A593" s="37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</row>
    <row r="594" customFormat="false" ht="15.75" hidden="false" customHeight="true" outlineLevel="0" collapsed="false">
      <c r="A594" s="37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</row>
    <row r="595" customFormat="false" ht="15.75" hidden="false" customHeight="true" outlineLevel="0" collapsed="false">
      <c r="A595" s="37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</row>
    <row r="596" customFormat="false" ht="15.75" hidden="false" customHeight="true" outlineLevel="0" collapsed="false">
      <c r="A596" s="37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</row>
    <row r="597" customFormat="false" ht="15.75" hidden="false" customHeight="true" outlineLevel="0" collapsed="false">
      <c r="A597" s="37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</row>
    <row r="598" customFormat="false" ht="15.75" hidden="false" customHeight="true" outlineLevel="0" collapsed="false">
      <c r="A598" s="37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</row>
    <row r="599" customFormat="false" ht="15.75" hidden="false" customHeight="true" outlineLevel="0" collapsed="false">
      <c r="A599" s="37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</row>
    <row r="600" customFormat="false" ht="15.75" hidden="false" customHeight="true" outlineLevel="0" collapsed="false">
      <c r="A600" s="37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</row>
    <row r="601" customFormat="false" ht="15.75" hidden="false" customHeight="true" outlineLevel="0" collapsed="false">
      <c r="A601" s="37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</row>
    <row r="602" customFormat="false" ht="15.75" hidden="false" customHeight="true" outlineLevel="0" collapsed="false">
      <c r="A602" s="37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</row>
    <row r="603" customFormat="false" ht="15.75" hidden="false" customHeight="true" outlineLevel="0" collapsed="false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</row>
    <row r="604" customFormat="false" ht="15.75" hidden="false" customHeight="true" outlineLevel="0" collapsed="false">
      <c r="A604" s="37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</row>
    <row r="605" customFormat="false" ht="15.75" hidden="false" customHeight="true" outlineLevel="0" collapsed="false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</row>
    <row r="606" customFormat="false" ht="15.75" hidden="false" customHeight="true" outlineLevel="0" collapsed="false">
      <c r="A606" s="37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</row>
    <row r="607" customFormat="false" ht="15.75" hidden="false" customHeight="true" outlineLevel="0" collapsed="false">
      <c r="A607" s="37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</row>
    <row r="608" customFormat="false" ht="15.75" hidden="false" customHeight="true" outlineLevel="0" collapsed="false">
      <c r="A608" s="37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</row>
    <row r="609" customFormat="false" ht="15.75" hidden="false" customHeight="true" outlineLevel="0" collapsed="false">
      <c r="A609" s="37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</row>
    <row r="610" customFormat="false" ht="15.75" hidden="false" customHeight="true" outlineLevel="0" collapsed="false">
      <c r="A610" s="37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</row>
    <row r="611" customFormat="false" ht="15.75" hidden="false" customHeight="true" outlineLevel="0" collapsed="false">
      <c r="A611" s="37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</row>
    <row r="612" customFormat="false" ht="15.75" hidden="false" customHeight="true" outlineLevel="0" collapsed="false">
      <c r="A612" s="37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</row>
    <row r="613" customFormat="false" ht="15.75" hidden="false" customHeight="true" outlineLevel="0" collapsed="false">
      <c r="A613" s="37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</row>
    <row r="614" customFormat="false" ht="15.75" hidden="false" customHeight="true" outlineLevel="0" collapsed="false">
      <c r="A614" s="37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</row>
    <row r="615" customFormat="false" ht="15.75" hidden="false" customHeight="true" outlineLevel="0" collapsed="false">
      <c r="A615" s="37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</row>
    <row r="616" customFormat="false" ht="15.75" hidden="false" customHeight="true" outlineLevel="0" collapsed="false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</row>
    <row r="617" customFormat="false" ht="15.75" hidden="false" customHeight="true" outlineLevel="0" collapsed="false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</row>
    <row r="618" customFormat="false" ht="15.75" hidden="false" customHeight="true" outlineLevel="0" collapsed="false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</row>
    <row r="619" customFormat="false" ht="15.75" hidden="false" customHeight="true" outlineLevel="0" collapsed="false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</row>
    <row r="620" customFormat="false" ht="15.75" hidden="false" customHeight="true" outlineLevel="0" collapsed="false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</row>
    <row r="621" customFormat="false" ht="15.75" hidden="false" customHeight="true" outlineLevel="0" collapsed="false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</row>
    <row r="622" customFormat="false" ht="15.75" hidden="false" customHeight="true" outlineLevel="0" collapsed="false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</row>
    <row r="623" customFormat="false" ht="15.75" hidden="false" customHeight="true" outlineLevel="0" collapsed="false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</row>
    <row r="624" customFormat="false" ht="15.75" hidden="false" customHeight="true" outlineLevel="0" collapsed="false">
      <c r="A624" s="37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</row>
    <row r="625" customFormat="false" ht="15.75" hidden="false" customHeight="true" outlineLevel="0" collapsed="false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</row>
    <row r="626" customFormat="false" ht="15.75" hidden="false" customHeight="true" outlineLevel="0" collapsed="false">
      <c r="A626" s="37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</row>
    <row r="627" customFormat="false" ht="15.75" hidden="false" customHeight="true" outlineLevel="0" collapsed="false">
      <c r="A627" s="37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</row>
    <row r="628" customFormat="false" ht="15.75" hidden="false" customHeight="true" outlineLevel="0" collapsed="false">
      <c r="A628" s="37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</row>
    <row r="629" customFormat="false" ht="15.75" hidden="false" customHeight="true" outlineLevel="0" collapsed="false">
      <c r="A629" s="37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</row>
    <row r="630" customFormat="false" ht="15.75" hidden="false" customHeight="true" outlineLevel="0" collapsed="false">
      <c r="A630" s="37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</row>
    <row r="631" customFormat="false" ht="15.75" hidden="false" customHeight="true" outlineLevel="0" collapsed="false">
      <c r="A631" s="37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</row>
    <row r="632" customFormat="false" ht="15.75" hidden="false" customHeight="true" outlineLevel="0" collapsed="false">
      <c r="A632" s="37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</row>
    <row r="633" customFormat="false" ht="15.75" hidden="false" customHeight="true" outlineLevel="0" collapsed="false">
      <c r="A633" s="37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</row>
    <row r="634" customFormat="false" ht="15.75" hidden="false" customHeight="true" outlineLevel="0" collapsed="false">
      <c r="A634" s="37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</row>
    <row r="635" customFormat="false" ht="15.75" hidden="false" customHeight="true" outlineLevel="0" collapsed="false">
      <c r="A635" s="37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</row>
    <row r="636" customFormat="false" ht="15.75" hidden="false" customHeight="true" outlineLevel="0" collapsed="false">
      <c r="A636" s="37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</row>
    <row r="637" customFormat="false" ht="15.75" hidden="false" customHeight="true" outlineLevel="0" collapsed="false">
      <c r="A637" s="37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</row>
    <row r="638" customFormat="false" ht="15.75" hidden="false" customHeight="true" outlineLevel="0" collapsed="false">
      <c r="A638" s="37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</row>
    <row r="639" customFormat="false" ht="15.75" hidden="false" customHeight="true" outlineLevel="0" collapsed="false">
      <c r="A639" s="37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</row>
    <row r="640" customFormat="false" ht="15.75" hidden="false" customHeight="true" outlineLevel="0" collapsed="false">
      <c r="A640" s="37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</row>
    <row r="641" customFormat="false" ht="15.75" hidden="false" customHeight="true" outlineLevel="0" collapsed="false">
      <c r="A641" s="37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</row>
    <row r="642" customFormat="false" ht="15.75" hidden="false" customHeight="true" outlineLevel="0" collapsed="false">
      <c r="A642" s="37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</row>
    <row r="643" customFormat="false" ht="15.75" hidden="false" customHeight="true" outlineLevel="0" collapsed="false">
      <c r="A643" s="37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</row>
    <row r="644" customFormat="false" ht="15.75" hidden="false" customHeight="true" outlineLevel="0" collapsed="false">
      <c r="A644" s="37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</row>
    <row r="645" customFormat="false" ht="15.75" hidden="false" customHeight="true" outlineLevel="0" collapsed="false">
      <c r="A645" s="37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</row>
    <row r="646" customFormat="false" ht="15.75" hidden="false" customHeight="true" outlineLevel="0" collapsed="false">
      <c r="A646" s="37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</row>
    <row r="647" customFormat="false" ht="15.75" hidden="false" customHeight="true" outlineLevel="0" collapsed="false">
      <c r="A647" s="37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</row>
    <row r="648" customFormat="false" ht="15.75" hidden="false" customHeight="true" outlineLevel="0" collapsed="false">
      <c r="A648" s="37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</row>
    <row r="649" customFormat="false" ht="15.75" hidden="false" customHeight="true" outlineLevel="0" collapsed="false">
      <c r="A649" s="37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</row>
    <row r="650" customFormat="false" ht="15.75" hidden="false" customHeight="true" outlineLevel="0" collapsed="false">
      <c r="A650" s="37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</row>
    <row r="651" customFormat="false" ht="15.75" hidden="false" customHeight="true" outlineLevel="0" collapsed="false">
      <c r="A651" s="37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</row>
    <row r="652" customFormat="false" ht="15.75" hidden="false" customHeight="true" outlineLevel="0" collapsed="false">
      <c r="A652" s="37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</row>
    <row r="653" customFormat="false" ht="15.75" hidden="false" customHeight="true" outlineLevel="0" collapsed="false">
      <c r="A653" s="37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</row>
    <row r="654" customFormat="false" ht="15.75" hidden="false" customHeight="true" outlineLevel="0" collapsed="false">
      <c r="A654" s="37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</row>
    <row r="655" customFormat="false" ht="15.75" hidden="false" customHeight="true" outlineLevel="0" collapsed="false">
      <c r="A655" s="37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</row>
    <row r="656" customFormat="false" ht="15.75" hidden="false" customHeight="true" outlineLevel="0" collapsed="false">
      <c r="A656" s="37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</row>
    <row r="657" customFormat="false" ht="15.75" hidden="false" customHeight="true" outlineLevel="0" collapsed="false">
      <c r="A657" s="37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</row>
    <row r="658" customFormat="false" ht="15.75" hidden="false" customHeight="true" outlineLevel="0" collapsed="false">
      <c r="A658" s="37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</row>
    <row r="659" customFormat="false" ht="15.75" hidden="false" customHeight="true" outlineLevel="0" collapsed="false">
      <c r="A659" s="37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</row>
    <row r="660" customFormat="false" ht="15.75" hidden="false" customHeight="true" outlineLevel="0" collapsed="false">
      <c r="A660" s="37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</row>
    <row r="661" customFormat="false" ht="15.75" hidden="false" customHeight="true" outlineLevel="0" collapsed="false">
      <c r="A661" s="37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</row>
    <row r="662" customFormat="false" ht="15.75" hidden="false" customHeight="true" outlineLevel="0" collapsed="false">
      <c r="A662" s="37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</row>
    <row r="663" customFormat="false" ht="15.75" hidden="false" customHeight="true" outlineLevel="0" collapsed="false">
      <c r="A663" s="37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</row>
    <row r="664" customFormat="false" ht="15.75" hidden="false" customHeight="true" outlineLevel="0" collapsed="false">
      <c r="A664" s="37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</row>
    <row r="665" customFormat="false" ht="15.75" hidden="false" customHeight="true" outlineLevel="0" collapsed="false">
      <c r="A665" s="37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</row>
    <row r="666" customFormat="false" ht="15.75" hidden="false" customHeight="true" outlineLevel="0" collapsed="false">
      <c r="A666" s="37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</row>
    <row r="667" customFormat="false" ht="15.75" hidden="false" customHeight="true" outlineLevel="0" collapsed="false">
      <c r="A667" s="37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</row>
    <row r="668" customFormat="false" ht="15.75" hidden="false" customHeight="true" outlineLevel="0" collapsed="false">
      <c r="A668" s="37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</row>
    <row r="669" customFormat="false" ht="15.75" hidden="false" customHeight="true" outlineLevel="0" collapsed="false">
      <c r="A669" s="37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</row>
    <row r="670" customFormat="false" ht="15.75" hidden="false" customHeight="true" outlineLevel="0" collapsed="false">
      <c r="A670" s="37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</row>
    <row r="671" customFormat="false" ht="15.75" hidden="false" customHeight="true" outlineLevel="0" collapsed="false">
      <c r="A671" s="37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</row>
    <row r="672" customFormat="false" ht="15.75" hidden="false" customHeight="true" outlineLevel="0" collapsed="false">
      <c r="A672" s="37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</row>
    <row r="673" customFormat="false" ht="15.75" hidden="false" customHeight="true" outlineLevel="0" collapsed="false">
      <c r="A673" s="37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</row>
    <row r="674" customFormat="false" ht="15.75" hidden="false" customHeight="true" outlineLevel="0" collapsed="false">
      <c r="A674" s="37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</row>
    <row r="675" customFormat="false" ht="15.75" hidden="false" customHeight="true" outlineLevel="0" collapsed="false">
      <c r="A675" s="37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</row>
    <row r="676" customFormat="false" ht="15.75" hidden="false" customHeight="true" outlineLevel="0" collapsed="false">
      <c r="A676" s="37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</row>
    <row r="677" customFormat="false" ht="15.75" hidden="false" customHeight="true" outlineLevel="0" collapsed="false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</row>
    <row r="678" customFormat="false" ht="15.75" hidden="false" customHeight="true" outlineLevel="0" collapsed="false">
      <c r="A678" s="37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</row>
    <row r="679" customFormat="false" ht="15.75" hidden="false" customHeight="true" outlineLevel="0" collapsed="false">
      <c r="A679" s="37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</row>
    <row r="680" customFormat="false" ht="15.75" hidden="false" customHeight="true" outlineLevel="0" collapsed="false">
      <c r="A680" s="37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</row>
    <row r="681" customFormat="false" ht="15.75" hidden="false" customHeight="true" outlineLevel="0" collapsed="false">
      <c r="A681" s="37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</row>
    <row r="682" customFormat="false" ht="15.75" hidden="false" customHeight="true" outlineLevel="0" collapsed="false">
      <c r="A682" s="37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</row>
    <row r="683" customFormat="false" ht="15.75" hidden="false" customHeight="true" outlineLevel="0" collapsed="false">
      <c r="A683" s="37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</row>
    <row r="684" customFormat="false" ht="15.75" hidden="false" customHeight="true" outlineLevel="0" collapsed="false">
      <c r="A684" s="37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</row>
    <row r="685" customFormat="false" ht="15.75" hidden="false" customHeight="true" outlineLevel="0" collapsed="false">
      <c r="A685" s="37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</row>
    <row r="686" customFormat="false" ht="15.75" hidden="false" customHeight="true" outlineLevel="0" collapsed="false">
      <c r="A686" s="37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</row>
    <row r="687" customFormat="false" ht="15.75" hidden="false" customHeight="true" outlineLevel="0" collapsed="false">
      <c r="A687" s="37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</row>
    <row r="688" customFormat="false" ht="15.75" hidden="false" customHeight="true" outlineLevel="0" collapsed="false">
      <c r="A688" s="37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</row>
    <row r="689" customFormat="false" ht="15.75" hidden="false" customHeight="true" outlineLevel="0" collapsed="false">
      <c r="A689" s="37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</row>
    <row r="690" customFormat="false" ht="15.75" hidden="false" customHeight="true" outlineLevel="0" collapsed="false">
      <c r="A690" s="37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</row>
    <row r="691" customFormat="false" ht="15.75" hidden="false" customHeight="true" outlineLevel="0" collapsed="false">
      <c r="A691" s="37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</row>
    <row r="692" customFormat="false" ht="15.75" hidden="false" customHeight="true" outlineLevel="0" collapsed="false">
      <c r="A692" s="37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</row>
    <row r="693" customFormat="false" ht="15.75" hidden="false" customHeight="true" outlineLevel="0" collapsed="false">
      <c r="A693" s="37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</row>
    <row r="694" customFormat="false" ht="15.75" hidden="false" customHeight="true" outlineLevel="0" collapsed="false">
      <c r="A694" s="37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</row>
    <row r="695" customFormat="false" ht="15.75" hidden="false" customHeight="true" outlineLevel="0" collapsed="false">
      <c r="A695" s="37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</row>
    <row r="696" customFormat="false" ht="15.75" hidden="false" customHeight="true" outlineLevel="0" collapsed="false">
      <c r="A696" s="37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</row>
    <row r="697" customFormat="false" ht="15.75" hidden="false" customHeight="true" outlineLevel="0" collapsed="false">
      <c r="A697" s="37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</row>
    <row r="698" customFormat="false" ht="15.75" hidden="false" customHeight="true" outlineLevel="0" collapsed="false">
      <c r="A698" s="37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</row>
    <row r="699" customFormat="false" ht="15.75" hidden="false" customHeight="true" outlineLevel="0" collapsed="false">
      <c r="A699" s="37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</row>
    <row r="700" customFormat="false" ht="15.75" hidden="false" customHeight="true" outlineLevel="0" collapsed="false">
      <c r="A700" s="37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</row>
    <row r="701" customFormat="false" ht="15.75" hidden="false" customHeight="true" outlineLevel="0" collapsed="false">
      <c r="A701" s="37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</row>
    <row r="702" customFormat="false" ht="15.75" hidden="false" customHeight="true" outlineLevel="0" collapsed="false">
      <c r="A702" s="37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</row>
    <row r="703" customFormat="false" ht="15.75" hidden="false" customHeight="true" outlineLevel="0" collapsed="false">
      <c r="A703" s="37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</row>
    <row r="704" customFormat="false" ht="15.75" hidden="false" customHeight="true" outlineLevel="0" collapsed="false">
      <c r="A704" s="37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</row>
    <row r="705" customFormat="false" ht="15.75" hidden="false" customHeight="true" outlineLevel="0" collapsed="false">
      <c r="A705" s="37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</row>
    <row r="706" customFormat="false" ht="15.75" hidden="false" customHeight="true" outlineLevel="0" collapsed="false">
      <c r="A706" s="37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</row>
    <row r="707" customFormat="false" ht="15.75" hidden="false" customHeight="true" outlineLevel="0" collapsed="false">
      <c r="A707" s="37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</row>
    <row r="708" customFormat="false" ht="15.75" hidden="false" customHeight="true" outlineLevel="0" collapsed="false">
      <c r="A708" s="37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</row>
    <row r="709" customFormat="false" ht="15.75" hidden="false" customHeight="true" outlineLevel="0" collapsed="false">
      <c r="A709" s="37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</row>
    <row r="710" customFormat="false" ht="15.75" hidden="false" customHeight="true" outlineLevel="0" collapsed="false">
      <c r="A710" s="37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</row>
    <row r="711" customFormat="false" ht="15.75" hidden="false" customHeight="true" outlineLevel="0" collapsed="false">
      <c r="A711" s="37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</row>
    <row r="712" customFormat="false" ht="15.75" hidden="false" customHeight="true" outlineLevel="0" collapsed="false">
      <c r="A712" s="37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</row>
    <row r="713" customFormat="false" ht="15.75" hidden="false" customHeight="true" outlineLevel="0" collapsed="false">
      <c r="A713" s="37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</row>
    <row r="714" customFormat="false" ht="15.75" hidden="false" customHeight="true" outlineLevel="0" collapsed="false">
      <c r="A714" s="37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</row>
    <row r="715" customFormat="false" ht="15.75" hidden="false" customHeight="true" outlineLevel="0" collapsed="false">
      <c r="A715" s="37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</row>
    <row r="716" customFormat="false" ht="15.75" hidden="false" customHeight="true" outlineLevel="0" collapsed="false">
      <c r="A716" s="37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</row>
    <row r="717" customFormat="false" ht="15.75" hidden="false" customHeight="true" outlineLevel="0" collapsed="false">
      <c r="A717" s="37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</row>
    <row r="718" customFormat="false" ht="15.75" hidden="false" customHeight="true" outlineLevel="0" collapsed="false">
      <c r="A718" s="37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</row>
    <row r="719" customFormat="false" ht="15.75" hidden="false" customHeight="true" outlineLevel="0" collapsed="false">
      <c r="A719" s="37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</row>
    <row r="720" customFormat="false" ht="15.75" hidden="false" customHeight="true" outlineLevel="0" collapsed="false">
      <c r="A720" s="37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</row>
    <row r="721" customFormat="false" ht="15.75" hidden="false" customHeight="true" outlineLevel="0" collapsed="false">
      <c r="A721" s="37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</row>
    <row r="722" customFormat="false" ht="15.75" hidden="false" customHeight="true" outlineLevel="0" collapsed="false">
      <c r="A722" s="37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</row>
    <row r="723" customFormat="false" ht="15.75" hidden="false" customHeight="true" outlineLevel="0" collapsed="false">
      <c r="A723" s="37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</row>
    <row r="724" customFormat="false" ht="15.75" hidden="false" customHeight="true" outlineLevel="0" collapsed="false">
      <c r="A724" s="37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</row>
    <row r="725" customFormat="false" ht="15.75" hidden="false" customHeight="true" outlineLevel="0" collapsed="false">
      <c r="A725" s="37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</row>
    <row r="726" customFormat="false" ht="15.75" hidden="false" customHeight="true" outlineLevel="0" collapsed="false">
      <c r="A726" s="37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</row>
    <row r="727" customFormat="false" ht="15.75" hidden="false" customHeight="true" outlineLevel="0" collapsed="false">
      <c r="A727" s="37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</row>
    <row r="728" customFormat="false" ht="15.75" hidden="false" customHeight="true" outlineLevel="0" collapsed="false">
      <c r="A728" s="37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</row>
    <row r="729" customFormat="false" ht="15.75" hidden="false" customHeight="true" outlineLevel="0" collapsed="false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</row>
    <row r="730" customFormat="false" ht="15.75" hidden="false" customHeight="true" outlineLevel="0" collapsed="false">
      <c r="A730" s="37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</row>
    <row r="731" customFormat="false" ht="15.75" hidden="false" customHeight="true" outlineLevel="0" collapsed="false">
      <c r="A731" s="37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</row>
    <row r="732" customFormat="false" ht="15.75" hidden="false" customHeight="true" outlineLevel="0" collapsed="false">
      <c r="A732" s="37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</row>
    <row r="733" customFormat="false" ht="15.75" hidden="false" customHeight="true" outlineLevel="0" collapsed="false">
      <c r="A733" s="37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</row>
    <row r="734" customFormat="false" ht="15.75" hidden="false" customHeight="true" outlineLevel="0" collapsed="false">
      <c r="A734" s="37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</row>
    <row r="735" customFormat="false" ht="15.75" hidden="false" customHeight="true" outlineLevel="0" collapsed="false">
      <c r="A735" s="37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</row>
    <row r="736" customFormat="false" ht="15.75" hidden="false" customHeight="true" outlineLevel="0" collapsed="false">
      <c r="A736" s="37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</row>
    <row r="737" customFormat="false" ht="15.75" hidden="false" customHeight="true" outlineLevel="0" collapsed="false">
      <c r="A737" s="37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</row>
    <row r="738" customFormat="false" ht="15.75" hidden="false" customHeight="true" outlineLevel="0" collapsed="false">
      <c r="A738" s="37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</row>
    <row r="739" customFormat="false" ht="15.75" hidden="false" customHeight="true" outlineLevel="0" collapsed="false">
      <c r="A739" s="37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</row>
    <row r="740" customFormat="false" ht="15.75" hidden="false" customHeight="true" outlineLevel="0" collapsed="false">
      <c r="A740" s="37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</row>
    <row r="741" customFormat="false" ht="15.75" hidden="false" customHeight="true" outlineLevel="0" collapsed="false">
      <c r="A741" s="37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</row>
    <row r="742" customFormat="false" ht="15.75" hidden="false" customHeight="true" outlineLevel="0" collapsed="false">
      <c r="A742" s="37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</row>
    <row r="743" customFormat="false" ht="15.75" hidden="false" customHeight="true" outlineLevel="0" collapsed="false">
      <c r="A743" s="37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</row>
    <row r="744" customFormat="false" ht="15.75" hidden="false" customHeight="true" outlineLevel="0" collapsed="false">
      <c r="A744" s="37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</row>
    <row r="745" customFormat="false" ht="15.75" hidden="false" customHeight="true" outlineLevel="0" collapsed="false">
      <c r="A745" s="37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</row>
    <row r="746" customFormat="false" ht="15.75" hidden="false" customHeight="true" outlineLevel="0" collapsed="false">
      <c r="A746" s="37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</row>
    <row r="747" customFormat="false" ht="15.75" hidden="false" customHeight="true" outlineLevel="0" collapsed="false">
      <c r="A747" s="37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</row>
    <row r="748" customFormat="false" ht="15.75" hidden="false" customHeight="true" outlineLevel="0" collapsed="false">
      <c r="A748" s="37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</row>
    <row r="749" customFormat="false" ht="15.75" hidden="false" customHeight="true" outlineLevel="0" collapsed="false">
      <c r="A749" s="37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</row>
    <row r="750" customFormat="false" ht="15.75" hidden="false" customHeight="true" outlineLevel="0" collapsed="false">
      <c r="A750" s="37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</row>
    <row r="751" customFormat="false" ht="15.75" hidden="false" customHeight="true" outlineLevel="0" collapsed="false">
      <c r="A751" s="37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</row>
    <row r="752" customFormat="false" ht="15.75" hidden="false" customHeight="true" outlineLevel="0" collapsed="false">
      <c r="A752" s="37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</row>
    <row r="753" customFormat="false" ht="15.75" hidden="false" customHeight="true" outlineLevel="0" collapsed="false">
      <c r="A753" s="37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</row>
    <row r="754" customFormat="false" ht="15.75" hidden="false" customHeight="true" outlineLevel="0" collapsed="false">
      <c r="A754" s="37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</row>
    <row r="755" customFormat="false" ht="15.75" hidden="false" customHeight="true" outlineLevel="0" collapsed="false">
      <c r="A755" s="37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</row>
    <row r="756" customFormat="false" ht="15.75" hidden="false" customHeight="true" outlineLevel="0" collapsed="false">
      <c r="A756" s="37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</row>
    <row r="757" customFormat="false" ht="15.75" hidden="false" customHeight="true" outlineLevel="0" collapsed="false">
      <c r="A757" s="37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</row>
    <row r="758" customFormat="false" ht="15.75" hidden="false" customHeight="true" outlineLevel="0" collapsed="false">
      <c r="A758" s="37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</row>
    <row r="759" customFormat="false" ht="15.75" hidden="false" customHeight="true" outlineLevel="0" collapsed="false">
      <c r="A759" s="37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</row>
    <row r="760" customFormat="false" ht="15.75" hidden="false" customHeight="true" outlineLevel="0" collapsed="false">
      <c r="A760" s="37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</row>
    <row r="761" customFormat="false" ht="15.75" hidden="false" customHeight="true" outlineLevel="0" collapsed="false">
      <c r="A761" s="37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</row>
    <row r="762" customFormat="false" ht="15.75" hidden="false" customHeight="true" outlineLevel="0" collapsed="false">
      <c r="A762" s="37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</row>
    <row r="763" customFormat="false" ht="15.75" hidden="false" customHeight="true" outlineLevel="0" collapsed="false">
      <c r="A763" s="37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</row>
    <row r="764" customFormat="false" ht="15.75" hidden="false" customHeight="true" outlineLevel="0" collapsed="false">
      <c r="A764" s="37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</row>
    <row r="765" customFormat="false" ht="15.75" hidden="false" customHeight="true" outlineLevel="0" collapsed="false">
      <c r="A765" s="37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</row>
    <row r="766" customFormat="false" ht="15.75" hidden="false" customHeight="true" outlineLevel="0" collapsed="false">
      <c r="A766" s="37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</row>
    <row r="767" customFormat="false" ht="15.75" hidden="false" customHeight="true" outlineLevel="0" collapsed="false">
      <c r="A767" s="37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</row>
    <row r="768" customFormat="false" ht="15.75" hidden="false" customHeight="true" outlineLevel="0" collapsed="false">
      <c r="A768" s="37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</row>
    <row r="769" customFormat="false" ht="15.75" hidden="false" customHeight="true" outlineLevel="0" collapsed="false">
      <c r="A769" s="37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</row>
    <row r="770" customFormat="false" ht="15.75" hidden="false" customHeight="true" outlineLevel="0" collapsed="false">
      <c r="A770" s="37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</row>
    <row r="771" customFormat="false" ht="15.75" hidden="false" customHeight="true" outlineLevel="0" collapsed="false">
      <c r="A771" s="37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</row>
    <row r="772" customFormat="false" ht="15.75" hidden="false" customHeight="true" outlineLevel="0" collapsed="false">
      <c r="A772" s="37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</row>
    <row r="773" customFormat="false" ht="15.75" hidden="false" customHeight="true" outlineLevel="0" collapsed="false">
      <c r="A773" s="37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</row>
    <row r="774" customFormat="false" ht="15.75" hidden="false" customHeight="true" outlineLevel="0" collapsed="false">
      <c r="A774" s="37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</row>
    <row r="775" customFormat="false" ht="15.75" hidden="false" customHeight="true" outlineLevel="0" collapsed="false">
      <c r="A775" s="37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</row>
    <row r="776" customFormat="false" ht="15.75" hidden="false" customHeight="true" outlineLevel="0" collapsed="false">
      <c r="A776" s="37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</row>
    <row r="777" customFormat="false" ht="15.75" hidden="false" customHeight="true" outlineLevel="0" collapsed="false">
      <c r="A777" s="37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</row>
    <row r="778" customFormat="false" ht="15.75" hidden="false" customHeight="true" outlineLevel="0" collapsed="false">
      <c r="A778" s="37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</row>
    <row r="779" customFormat="false" ht="15.75" hidden="false" customHeight="true" outlineLevel="0" collapsed="false">
      <c r="A779" s="37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</row>
    <row r="780" customFormat="false" ht="15.75" hidden="false" customHeight="true" outlineLevel="0" collapsed="false">
      <c r="A780" s="37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</row>
    <row r="781" customFormat="false" ht="15.75" hidden="false" customHeight="true" outlineLevel="0" collapsed="false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</row>
    <row r="782" customFormat="false" ht="15.75" hidden="false" customHeight="true" outlineLevel="0" collapsed="false">
      <c r="A782" s="37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</row>
    <row r="783" customFormat="false" ht="15.75" hidden="false" customHeight="true" outlineLevel="0" collapsed="false">
      <c r="A783" s="37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</row>
    <row r="784" customFormat="false" ht="15.75" hidden="false" customHeight="true" outlineLevel="0" collapsed="false">
      <c r="A784" s="37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</row>
    <row r="785" customFormat="false" ht="15.75" hidden="false" customHeight="true" outlineLevel="0" collapsed="false">
      <c r="A785" s="37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</row>
    <row r="786" customFormat="false" ht="15.75" hidden="false" customHeight="true" outlineLevel="0" collapsed="false">
      <c r="A786" s="37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</row>
    <row r="787" customFormat="false" ht="15.75" hidden="false" customHeight="true" outlineLevel="0" collapsed="false">
      <c r="A787" s="37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</row>
    <row r="788" customFormat="false" ht="15.75" hidden="false" customHeight="true" outlineLevel="0" collapsed="false">
      <c r="A788" s="37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</row>
    <row r="789" customFormat="false" ht="15.75" hidden="false" customHeight="true" outlineLevel="0" collapsed="false">
      <c r="A789" s="37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</row>
    <row r="790" customFormat="false" ht="15.75" hidden="false" customHeight="true" outlineLevel="0" collapsed="false">
      <c r="A790" s="37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</row>
    <row r="791" customFormat="false" ht="15.75" hidden="false" customHeight="true" outlineLevel="0" collapsed="false">
      <c r="A791" s="37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</row>
    <row r="792" customFormat="false" ht="15.75" hidden="false" customHeight="true" outlineLevel="0" collapsed="false">
      <c r="A792" s="37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</row>
    <row r="793" customFormat="false" ht="15.75" hidden="false" customHeight="true" outlineLevel="0" collapsed="false">
      <c r="A793" s="37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</row>
    <row r="794" customFormat="false" ht="15.75" hidden="false" customHeight="true" outlineLevel="0" collapsed="false">
      <c r="A794" s="37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</row>
    <row r="795" customFormat="false" ht="15.75" hidden="false" customHeight="true" outlineLevel="0" collapsed="false">
      <c r="A795" s="37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</row>
    <row r="796" customFormat="false" ht="15.75" hidden="false" customHeight="true" outlineLevel="0" collapsed="false">
      <c r="A796" s="37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</row>
    <row r="797" customFormat="false" ht="15.75" hidden="false" customHeight="true" outlineLevel="0" collapsed="false">
      <c r="A797" s="37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</row>
    <row r="798" customFormat="false" ht="15.75" hidden="false" customHeight="true" outlineLevel="0" collapsed="false">
      <c r="A798" s="37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</row>
    <row r="799" customFormat="false" ht="15.75" hidden="false" customHeight="true" outlineLevel="0" collapsed="false">
      <c r="A799" s="37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</row>
    <row r="800" customFormat="false" ht="15.75" hidden="false" customHeight="true" outlineLevel="0" collapsed="false">
      <c r="A800" s="37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</row>
    <row r="801" customFormat="false" ht="15.75" hidden="false" customHeight="true" outlineLevel="0" collapsed="false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</row>
    <row r="802" customFormat="false" ht="15.75" hidden="false" customHeight="true" outlineLevel="0" collapsed="false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</row>
    <row r="803" customFormat="false" ht="15.75" hidden="false" customHeight="true" outlineLevel="0" collapsed="false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</row>
    <row r="804" customFormat="false" ht="15.75" hidden="false" customHeight="true" outlineLevel="0" collapsed="false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</row>
    <row r="805" customFormat="false" ht="15.75" hidden="false" customHeight="true" outlineLevel="0" collapsed="false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</row>
    <row r="806" customFormat="false" ht="15.75" hidden="false" customHeight="true" outlineLevel="0" collapsed="false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</row>
    <row r="807" customFormat="false" ht="15.75" hidden="false" customHeight="true" outlineLevel="0" collapsed="false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</row>
    <row r="808" customFormat="false" ht="15.75" hidden="false" customHeight="true" outlineLevel="0" collapsed="false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</row>
    <row r="809" customFormat="false" ht="15.75" hidden="false" customHeight="true" outlineLevel="0" collapsed="false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</row>
    <row r="810" customFormat="false" ht="15.75" hidden="false" customHeight="true" outlineLevel="0" collapsed="false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</row>
    <row r="811" customFormat="false" ht="15.75" hidden="false" customHeight="true" outlineLevel="0" collapsed="false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</row>
    <row r="812" customFormat="false" ht="15.75" hidden="false" customHeight="true" outlineLevel="0" collapsed="false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</row>
    <row r="813" customFormat="false" ht="15.75" hidden="false" customHeight="true" outlineLevel="0" collapsed="false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</row>
    <row r="814" customFormat="false" ht="15.75" hidden="false" customHeight="true" outlineLevel="0" collapsed="false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</row>
    <row r="815" customFormat="false" ht="15.75" hidden="false" customHeight="true" outlineLevel="0" collapsed="false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</row>
    <row r="816" customFormat="false" ht="15.75" hidden="false" customHeight="true" outlineLevel="0" collapsed="false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</row>
    <row r="817" customFormat="false" ht="15.75" hidden="false" customHeight="true" outlineLevel="0" collapsed="false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</row>
    <row r="818" customFormat="false" ht="15.75" hidden="false" customHeight="true" outlineLevel="0" collapsed="false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</row>
    <row r="819" customFormat="false" ht="15.75" hidden="false" customHeight="true" outlineLevel="0" collapsed="false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</row>
    <row r="820" customFormat="false" ht="15.75" hidden="false" customHeight="true" outlineLevel="0" collapsed="false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</row>
    <row r="821" customFormat="false" ht="15.75" hidden="false" customHeight="true" outlineLevel="0" collapsed="false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</row>
    <row r="822" customFormat="false" ht="15.75" hidden="false" customHeight="true" outlineLevel="0" collapsed="false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</row>
    <row r="823" customFormat="false" ht="15.75" hidden="false" customHeight="true" outlineLevel="0" collapsed="false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</row>
    <row r="824" customFormat="false" ht="15.75" hidden="false" customHeight="true" outlineLevel="0" collapsed="false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</row>
    <row r="825" customFormat="false" ht="15.75" hidden="false" customHeight="true" outlineLevel="0" collapsed="false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</row>
    <row r="826" customFormat="false" ht="15.75" hidden="false" customHeight="true" outlineLevel="0" collapsed="false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</row>
    <row r="827" customFormat="false" ht="15.75" hidden="false" customHeight="true" outlineLevel="0" collapsed="false">
      <c r="A827" s="37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</row>
    <row r="828" customFormat="false" ht="15.75" hidden="false" customHeight="true" outlineLevel="0" collapsed="false">
      <c r="A828" s="37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</row>
    <row r="829" customFormat="false" ht="15.75" hidden="false" customHeight="true" outlineLevel="0" collapsed="false">
      <c r="A829" s="37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</row>
    <row r="830" customFormat="false" ht="15.75" hidden="false" customHeight="true" outlineLevel="0" collapsed="false">
      <c r="A830" s="37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</row>
    <row r="831" customFormat="false" ht="15.75" hidden="false" customHeight="true" outlineLevel="0" collapsed="false">
      <c r="A831" s="37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</row>
    <row r="832" customFormat="false" ht="15.75" hidden="false" customHeight="true" outlineLevel="0" collapsed="false">
      <c r="A832" s="37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</row>
    <row r="833" customFormat="false" ht="15.75" hidden="false" customHeight="true" outlineLevel="0" collapsed="false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</row>
    <row r="834" customFormat="false" ht="15.75" hidden="false" customHeight="true" outlineLevel="0" collapsed="false">
      <c r="A834" s="37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</row>
    <row r="835" customFormat="false" ht="15.75" hidden="false" customHeight="true" outlineLevel="0" collapsed="false">
      <c r="A835" s="37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</row>
    <row r="836" customFormat="false" ht="15.75" hidden="false" customHeight="true" outlineLevel="0" collapsed="false">
      <c r="A836" s="37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</row>
    <row r="837" customFormat="false" ht="15.75" hidden="false" customHeight="true" outlineLevel="0" collapsed="false">
      <c r="A837" s="37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</row>
    <row r="838" customFormat="false" ht="15.75" hidden="false" customHeight="true" outlineLevel="0" collapsed="false">
      <c r="A838" s="37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</row>
    <row r="839" customFormat="false" ht="15.75" hidden="false" customHeight="true" outlineLevel="0" collapsed="false">
      <c r="A839" s="37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</row>
    <row r="840" customFormat="false" ht="15.75" hidden="false" customHeight="true" outlineLevel="0" collapsed="false">
      <c r="A840" s="37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</row>
    <row r="841" customFormat="false" ht="15.75" hidden="false" customHeight="true" outlineLevel="0" collapsed="false">
      <c r="A841" s="37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</row>
    <row r="842" customFormat="false" ht="15.75" hidden="false" customHeight="true" outlineLevel="0" collapsed="false">
      <c r="A842" s="37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</row>
    <row r="843" customFormat="false" ht="15.75" hidden="false" customHeight="true" outlineLevel="0" collapsed="false">
      <c r="A843" s="37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</row>
    <row r="844" customFormat="false" ht="15.75" hidden="false" customHeight="true" outlineLevel="0" collapsed="false">
      <c r="A844" s="37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</row>
    <row r="845" customFormat="false" ht="15.75" hidden="false" customHeight="true" outlineLevel="0" collapsed="false">
      <c r="A845" s="37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</row>
    <row r="846" customFormat="false" ht="15.75" hidden="false" customHeight="true" outlineLevel="0" collapsed="false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</row>
    <row r="847" customFormat="false" ht="15.75" hidden="false" customHeight="true" outlineLevel="0" collapsed="false">
      <c r="A847" s="37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</row>
    <row r="848" customFormat="false" ht="15.75" hidden="false" customHeight="true" outlineLevel="0" collapsed="false">
      <c r="A848" s="37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</row>
    <row r="849" customFormat="false" ht="15.75" hidden="false" customHeight="true" outlineLevel="0" collapsed="false">
      <c r="A849" s="37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</row>
    <row r="850" customFormat="false" ht="15.75" hidden="false" customHeight="true" outlineLevel="0" collapsed="false">
      <c r="A850" s="37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</row>
    <row r="851" customFormat="false" ht="15.75" hidden="false" customHeight="true" outlineLevel="0" collapsed="false">
      <c r="A851" s="37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</row>
    <row r="852" customFormat="false" ht="15.75" hidden="false" customHeight="true" outlineLevel="0" collapsed="false">
      <c r="A852" s="37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</row>
    <row r="853" customFormat="false" ht="15.75" hidden="false" customHeight="true" outlineLevel="0" collapsed="false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</row>
    <row r="854" customFormat="false" ht="15.75" hidden="false" customHeight="true" outlineLevel="0" collapsed="false">
      <c r="A854" s="37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</row>
    <row r="855" customFormat="false" ht="15.75" hidden="false" customHeight="true" outlineLevel="0" collapsed="false">
      <c r="A855" s="37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</row>
    <row r="856" customFormat="false" ht="15.75" hidden="false" customHeight="true" outlineLevel="0" collapsed="false">
      <c r="A856" s="37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</row>
    <row r="857" customFormat="false" ht="15.75" hidden="false" customHeight="true" outlineLevel="0" collapsed="false">
      <c r="A857" s="37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</row>
    <row r="858" customFormat="false" ht="15.75" hidden="false" customHeight="true" outlineLevel="0" collapsed="false">
      <c r="A858" s="37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</row>
    <row r="859" customFormat="false" ht="15.75" hidden="false" customHeight="true" outlineLevel="0" collapsed="false">
      <c r="A859" s="37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</row>
    <row r="860" customFormat="false" ht="15.75" hidden="false" customHeight="true" outlineLevel="0" collapsed="false">
      <c r="A860" s="37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</row>
    <row r="861" customFormat="false" ht="15.75" hidden="false" customHeight="true" outlineLevel="0" collapsed="false">
      <c r="A861" s="37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</row>
    <row r="862" customFormat="false" ht="15.75" hidden="false" customHeight="true" outlineLevel="0" collapsed="false">
      <c r="A862" s="37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</row>
    <row r="863" customFormat="false" ht="15.75" hidden="false" customHeight="true" outlineLevel="0" collapsed="false">
      <c r="A863" s="37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</row>
    <row r="864" customFormat="false" ht="15.75" hidden="false" customHeight="true" outlineLevel="0" collapsed="false">
      <c r="A864" s="37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</row>
    <row r="865" customFormat="false" ht="15.75" hidden="false" customHeight="true" outlineLevel="0" collapsed="false">
      <c r="A865" s="37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</row>
    <row r="866" customFormat="false" ht="15.75" hidden="false" customHeight="true" outlineLevel="0" collapsed="false">
      <c r="A866" s="37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</row>
    <row r="867" customFormat="false" ht="15.75" hidden="false" customHeight="true" outlineLevel="0" collapsed="false">
      <c r="A867" s="37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</row>
    <row r="868" customFormat="false" ht="15.75" hidden="false" customHeight="true" outlineLevel="0" collapsed="false">
      <c r="A868" s="37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</row>
    <row r="869" customFormat="false" ht="15.75" hidden="false" customHeight="true" outlineLevel="0" collapsed="false">
      <c r="A869" s="37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</row>
    <row r="870" customFormat="false" ht="15.75" hidden="false" customHeight="true" outlineLevel="0" collapsed="false">
      <c r="A870" s="37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</row>
    <row r="871" customFormat="false" ht="15.75" hidden="false" customHeight="true" outlineLevel="0" collapsed="false">
      <c r="A871" s="37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</row>
    <row r="872" customFormat="false" ht="15.75" hidden="false" customHeight="true" outlineLevel="0" collapsed="false">
      <c r="A872" s="37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</row>
    <row r="873" customFormat="false" ht="15.75" hidden="false" customHeight="true" outlineLevel="0" collapsed="false">
      <c r="A873" s="37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</row>
    <row r="874" customFormat="false" ht="15.75" hidden="false" customHeight="true" outlineLevel="0" collapsed="false">
      <c r="A874" s="37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</row>
    <row r="875" customFormat="false" ht="15.75" hidden="false" customHeight="true" outlineLevel="0" collapsed="false">
      <c r="A875" s="37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</row>
    <row r="876" customFormat="false" ht="15.75" hidden="false" customHeight="true" outlineLevel="0" collapsed="false">
      <c r="A876" s="37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</row>
    <row r="877" customFormat="false" ht="15.75" hidden="false" customHeight="true" outlineLevel="0" collapsed="false">
      <c r="A877" s="37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</row>
    <row r="878" customFormat="false" ht="15.75" hidden="false" customHeight="true" outlineLevel="0" collapsed="false">
      <c r="A878" s="37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</row>
    <row r="879" customFormat="false" ht="15.75" hidden="false" customHeight="true" outlineLevel="0" collapsed="false">
      <c r="A879" s="37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</row>
    <row r="880" customFormat="false" ht="15.75" hidden="false" customHeight="true" outlineLevel="0" collapsed="false">
      <c r="A880" s="37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</row>
    <row r="881" customFormat="false" ht="15.75" hidden="false" customHeight="true" outlineLevel="0" collapsed="false">
      <c r="A881" s="37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</row>
    <row r="882" customFormat="false" ht="15.75" hidden="false" customHeight="true" outlineLevel="0" collapsed="false">
      <c r="A882" s="37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</row>
    <row r="883" customFormat="false" ht="15.75" hidden="false" customHeight="true" outlineLevel="0" collapsed="false">
      <c r="A883" s="37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</row>
    <row r="884" customFormat="false" ht="15.75" hidden="false" customHeight="true" outlineLevel="0" collapsed="false">
      <c r="A884" s="37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</row>
    <row r="885" customFormat="false" ht="15.75" hidden="false" customHeight="true" outlineLevel="0" collapsed="false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</row>
    <row r="886" customFormat="false" ht="15.75" hidden="false" customHeight="true" outlineLevel="0" collapsed="false">
      <c r="A886" s="37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</row>
    <row r="887" customFormat="false" ht="15.75" hidden="false" customHeight="true" outlineLevel="0" collapsed="false">
      <c r="A887" s="37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</row>
    <row r="888" customFormat="false" ht="15.75" hidden="false" customHeight="true" outlineLevel="0" collapsed="false">
      <c r="A888" s="37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</row>
    <row r="889" customFormat="false" ht="15.75" hidden="false" customHeight="true" outlineLevel="0" collapsed="false">
      <c r="A889" s="37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</row>
    <row r="890" customFormat="false" ht="15.75" hidden="false" customHeight="true" outlineLevel="0" collapsed="false">
      <c r="A890" s="37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</row>
    <row r="891" customFormat="false" ht="15.75" hidden="false" customHeight="true" outlineLevel="0" collapsed="false">
      <c r="A891" s="37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</row>
    <row r="892" customFormat="false" ht="15.75" hidden="false" customHeight="true" outlineLevel="0" collapsed="false">
      <c r="A892" s="37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</row>
    <row r="893" customFormat="false" ht="15.75" hidden="false" customHeight="true" outlineLevel="0" collapsed="false">
      <c r="A893" s="37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</row>
    <row r="894" customFormat="false" ht="15.75" hidden="false" customHeight="true" outlineLevel="0" collapsed="false">
      <c r="A894" s="37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</row>
    <row r="895" customFormat="false" ht="15.75" hidden="false" customHeight="true" outlineLevel="0" collapsed="false">
      <c r="A895" s="37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</row>
    <row r="896" customFormat="false" ht="15.75" hidden="false" customHeight="true" outlineLevel="0" collapsed="false">
      <c r="A896" s="37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</row>
    <row r="897" customFormat="false" ht="15.75" hidden="false" customHeight="true" outlineLevel="0" collapsed="false">
      <c r="A897" s="37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</row>
    <row r="898" customFormat="false" ht="15.75" hidden="false" customHeight="true" outlineLevel="0" collapsed="false">
      <c r="A898" s="37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</row>
    <row r="899" customFormat="false" ht="15.75" hidden="false" customHeight="true" outlineLevel="0" collapsed="false">
      <c r="A899" s="37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</row>
    <row r="900" customFormat="false" ht="15.75" hidden="false" customHeight="true" outlineLevel="0" collapsed="false">
      <c r="A900" s="37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</row>
    <row r="901" customFormat="false" ht="15.75" hidden="false" customHeight="true" outlineLevel="0" collapsed="false">
      <c r="A901" s="37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</row>
    <row r="902" customFormat="false" ht="15.75" hidden="false" customHeight="true" outlineLevel="0" collapsed="false">
      <c r="A902" s="37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</row>
    <row r="903" customFormat="false" ht="15.75" hidden="false" customHeight="true" outlineLevel="0" collapsed="false">
      <c r="A903" s="37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</row>
    <row r="904" customFormat="false" ht="15.75" hidden="false" customHeight="true" outlineLevel="0" collapsed="false">
      <c r="A904" s="37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</row>
    <row r="905" customFormat="false" ht="15.75" hidden="false" customHeight="true" outlineLevel="0" collapsed="false">
      <c r="A905" s="37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</row>
    <row r="906" customFormat="false" ht="15.75" hidden="false" customHeight="true" outlineLevel="0" collapsed="false">
      <c r="A906" s="37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</row>
    <row r="907" customFormat="false" ht="15.75" hidden="false" customHeight="true" outlineLevel="0" collapsed="false">
      <c r="A907" s="37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</row>
    <row r="908" customFormat="false" ht="15.75" hidden="false" customHeight="true" outlineLevel="0" collapsed="false">
      <c r="A908" s="37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</row>
    <row r="909" customFormat="false" ht="15.75" hidden="false" customHeight="true" outlineLevel="0" collapsed="false">
      <c r="A909" s="37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</row>
    <row r="910" customFormat="false" ht="15.75" hidden="false" customHeight="true" outlineLevel="0" collapsed="false">
      <c r="A910" s="37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</row>
    <row r="911" customFormat="false" ht="15.75" hidden="false" customHeight="true" outlineLevel="0" collapsed="false">
      <c r="A911" s="37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</row>
    <row r="912" customFormat="false" ht="15.75" hidden="false" customHeight="true" outlineLevel="0" collapsed="false">
      <c r="A912" s="37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</row>
    <row r="913" customFormat="false" ht="15.75" hidden="false" customHeight="true" outlineLevel="0" collapsed="false">
      <c r="A913" s="37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</row>
    <row r="914" customFormat="false" ht="15.75" hidden="false" customHeight="true" outlineLevel="0" collapsed="false">
      <c r="A914" s="37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</row>
    <row r="915" customFormat="false" ht="15.75" hidden="false" customHeight="true" outlineLevel="0" collapsed="false">
      <c r="A915" s="37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</row>
    <row r="916" customFormat="false" ht="15.75" hidden="false" customHeight="true" outlineLevel="0" collapsed="false">
      <c r="A916" s="37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</row>
    <row r="917" customFormat="false" ht="15.75" hidden="false" customHeight="true" outlineLevel="0" collapsed="false">
      <c r="A917" s="37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</row>
    <row r="918" customFormat="false" ht="15.75" hidden="false" customHeight="true" outlineLevel="0" collapsed="false">
      <c r="A918" s="37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</row>
    <row r="919" customFormat="false" ht="15.75" hidden="false" customHeight="true" outlineLevel="0" collapsed="false">
      <c r="A919" s="37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</row>
    <row r="920" customFormat="false" ht="15.75" hidden="false" customHeight="true" outlineLevel="0" collapsed="false">
      <c r="A920" s="37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</row>
    <row r="921" customFormat="false" ht="15.75" hidden="false" customHeight="true" outlineLevel="0" collapsed="false">
      <c r="A921" s="37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</row>
    <row r="922" customFormat="false" ht="15.75" hidden="false" customHeight="true" outlineLevel="0" collapsed="false">
      <c r="A922" s="37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</row>
    <row r="923" customFormat="false" ht="15.75" hidden="false" customHeight="true" outlineLevel="0" collapsed="false">
      <c r="A923" s="37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</row>
    <row r="924" customFormat="false" ht="15.75" hidden="false" customHeight="true" outlineLevel="0" collapsed="false">
      <c r="A924" s="37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</row>
    <row r="925" customFormat="false" ht="15.75" hidden="false" customHeight="true" outlineLevel="0" collapsed="false">
      <c r="A925" s="37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</row>
    <row r="926" customFormat="false" ht="15.75" hidden="false" customHeight="true" outlineLevel="0" collapsed="false">
      <c r="A926" s="37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</row>
    <row r="927" customFormat="false" ht="15.75" hidden="false" customHeight="true" outlineLevel="0" collapsed="false">
      <c r="A927" s="37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</row>
    <row r="928" customFormat="false" ht="15.75" hidden="false" customHeight="true" outlineLevel="0" collapsed="false">
      <c r="A928" s="37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</row>
    <row r="929" customFormat="false" ht="15.75" hidden="false" customHeight="true" outlineLevel="0" collapsed="false">
      <c r="A929" s="37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</row>
    <row r="930" customFormat="false" ht="15.75" hidden="false" customHeight="true" outlineLevel="0" collapsed="false">
      <c r="A930" s="37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</row>
    <row r="931" customFormat="false" ht="15.75" hidden="false" customHeight="true" outlineLevel="0" collapsed="false">
      <c r="A931" s="37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</row>
    <row r="932" customFormat="false" ht="15.75" hidden="false" customHeight="true" outlineLevel="0" collapsed="false">
      <c r="A932" s="37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</row>
    <row r="933" customFormat="false" ht="15.75" hidden="false" customHeight="true" outlineLevel="0" collapsed="false">
      <c r="A933" s="37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</row>
    <row r="934" customFormat="false" ht="15.75" hidden="false" customHeight="true" outlineLevel="0" collapsed="false">
      <c r="A934" s="37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</row>
    <row r="935" customFormat="false" ht="15.75" hidden="false" customHeight="true" outlineLevel="0" collapsed="false">
      <c r="A935" s="37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</row>
    <row r="936" customFormat="false" ht="15.75" hidden="false" customHeight="true" outlineLevel="0" collapsed="false">
      <c r="A936" s="37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</row>
    <row r="937" customFormat="false" ht="15.75" hidden="false" customHeight="true" outlineLevel="0" collapsed="false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</row>
    <row r="938" customFormat="false" ht="15.75" hidden="false" customHeight="true" outlineLevel="0" collapsed="false">
      <c r="A938" s="37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</row>
    <row r="939" customFormat="false" ht="15.75" hidden="false" customHeight="true" outlineLevel="0" collapsed="false">
      <c r="A939" s="37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</row>
    <row r="940" customFormat="false" ht="15.75" hidden="false" customHeight="true" outlineLevel="0" collapsed="false">
      <c r="A940" s="37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</row>
    <row r="941" customFormat="false" ht="15.75" hidden="false" customHeight="true" outlineLevel="0" collapsed="false">
      <c r="A941" s="37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</row>
    <row r="942" customFormat="false" ht="15.75" hidden="false" customHeight="true" outlineLevel="0" collapsed="false">
      <c r="A942" s="37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</row>
    <row r="943" customFormat="false" ht="15.75" hidden="false" customHeight="true" outlineLevel="0" collapsed="false">
      <c r="A943" s="37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</row>
    <row r="944" customFormat="false" ht="15.75" hidden="false" customHeight="true" outlineLevel="0" collapsed="false">
      <c r="A944" s="37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</row>
    <row r="945" customFormat="false" ht="15.75" hidden="false" customHeight="true" outlineLevel="0" collapsed="false">
      <c r="A945" s="37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</row>
    <row r="946" customFormat="false" ht="15.75" hidden="false" customHeight="true" outlineLevel="0" collapsed="false">
      <c r="A946" s="37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</row>
    <row r="947" customFormat="false" ht="15.75" hidden="false" customHeight="true" outlineLevel="0" collapsed="false">
      <c r="A947" s="37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</row>
    <row r="948" customFormat="false" ht="15.75" hidden="false" customHeight="true" outlineLevel="0" collapsed="false">
      <c r="A948" s="37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</row>
    <row r="949" customFormat="false" ht="15.75" hidden="false" customHeight="true" outlineLevel="0" collapsed="false">
      <c r="A949" s="37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</row>
    <row r="950" customFormat="false" ht="15.75" hidden="false" customHeight="true" outlineLevel="0" collapsed="false">
      <c r="A950" s="37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</row>
    <row r="951" customFormat="false" ht="15.75" hidden="false" customHeight="true" outlineLevel="0" collapsed="false">
      <c r="A951" s="37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</row>
    <row r="952" customFormat="false" ht="15.75" hidden="false" customHeight="true" outlineLevel="0" collapsed="false">
      <c r="A952" s="37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</row>
    <row r="953" customFormat="false" ht="15.75" hidden="false" customHeight="true" outlineLevel="0" collapsed="false">
      <c r="A953" s="37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</row>
    <row r="954" customFormat="false" ht="15.75" hidden="false" customHeight="true" outlineLevel="0" collapsed="false">
      <c r="A954" s="37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</row>
    <row r="955" customFormat="false" ht="15.75" hidden="false" customHeight="true" outlineLevel="0" collapsed="false">
      <c r="A955" s="37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</row>
    <row r="956" customFormat="false" ht="15.75" hidden="false" customHeight="true" outlineLevel="0" collapsed="false">
      <c r="A956" s="37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</row>
    <row r="957" customFormat="false" ht="15.75" hidden="false" customHeight="true" outlineLevel="0" collapsed="false">
      <c r="A957" s="37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</row>
    <row r="958" customFormat="false" ht="15.75" hidden="false" customHeight="true" outlineLevel="0" collapsed="false">
      <c r="A958" s="37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</row>
    <row r="959" customFormat="false" ht="15.75" hidden="false" customHeight="true" outlineLevel="0" collapsed="false">
      <c r="A959" s="37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</row>
    <row r="960" customFormat="false" ht="15.75" hidden="false" customHeight="true" outlineLevel="0" collapsed="false">
      <c r="A960" s="37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</row>
    <row r="961" customFormat="false" ht="15.75" hidden="false" customHeight="true" outlineLevel="0" collapsed="false">
      <c r="A961" s="37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</row>
    <row r="962" customFormat="false" ht="15.75" hidden="false" customHeight="true" outlineLevel="0" collapsed="false">
      <c r="A962" s="37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</row>
    <row r="963" customFormat="false" ht="15.75" hidden="false" customHeight="true" outlineLevel="0" collapsed="false">
      <c r="A963" s="37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</row>
    <row r="964" customFormat="false" ht="15.75" hidden="false" customHeight="true" outlineLevel="0" collapsed="false">
      <c r="A964" s="37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</row>
    <row r="965" customFormat="false" ht="15.75" hidden="false" customHeight="true" outlineLevel="0" collapsed="false">
      <c r="A965" s="37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</row>
    <row r="966" customFormat="false" ht="15.75" hidden="false" customHeight="true" outlineLevel="0" collapsed="false">
      <c r="A966" s="37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</row>
    <row r="967" customFormat="false" ht="15.75" hidden="false" customHeight="true" outlineLevel="0" collapsed="false">
      <c r="A967" s="37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</row>
    <row r="968" customFormat="false" ht="15.75" hidden="false" customHeight="true" outlineLevel="0" collapsed="false">
      <c r="A968" s="37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</row>
    <row r="969" customFormat="false" ht="15.75" hidden="false" customHeight="true" outlineLevel="0" collapsed="false">
      <c r="A969" s="37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</row>
    <row r="970" customFormat="false" ht="15.75" hidden="false" customHeight="true" outlineLevel="0" collapsed="false">
      <c r="A970" s="37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</row>
    <row r="971" customFormat="false" ht="15.75" hidden="false" customHeight="true" outlineLevel="0" collapsed="false">
      <c r="A971" s="37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</row>
    <row r="972" customFormat="false" ht="15.75" hidden="false" customHeight="true" outlineLevel="0" collapsed="false">
      <c r="A972" s="37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</row>
    <row r="973" customFormat="false" ht="15.75" hidden="false" customHeight="true" outlineLevel="0" collapsed="false">
      <c r="A973" s="37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</row>
    <row r="974" customFormat="false" ht="15.75" hidden="false" customHeight="true" outlineLevel="0" collapsed="false">
      <c r="A974" s="37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</row>
    <row r="975" customFormat="false" ht="15.75" hidden="false" customHeight="true" outlineLevel="0" collapsed="false">
      <c r="A975" s="37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</row>
    <row r="976" customFormat="false" ht="15.75" hidden="false" customHeight="true" outlineLevel="0" collapsed="false">
      <c r="A976" s="37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</row>
    <row r="977" customFormat="false" ht="15.75" hidden="false" customHeight="true" outlineLevel="0" collapsed="false">
      <c r="A977" s="37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</row>
    <row r="978" customFormat="false" ht="15.75" hidden="false" customHeight="true" outlineLevel="0" collapsed="false">
      <c r="A978" s="37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</row>
    <row r="979" customFormat="false" ht="15.75" hidden="false" customHeight="true" outlineLevel="0" collapsed="false">
      <c r="A979" s="37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</row>
    <row r="980" customFormat="false" ht="15.75" hidden="false" customHeight="true" outlineLevel="0" collapsed="false">
      <c r="A980" s="37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</row>
    <row r="981" customFormat="false" ht="15.75" hidden="false" customHeight="true" outlineLevel="0" collapsed="false">
      <c r="A981" s="37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</row>
    <row r="982" customFormat="false" ht="15.75" hidden="false" customHeight="true" outlineLevel="0" collapsed="false">
      <c r="A982" s="37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</row>
    <row r="983" customFormat="false" ht="15.75" hidden="false" customHeight="true" outlineLevel="0" collapsed="false">
      <c r="A983" s="37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</row>
    <row r="984" customFormat="false" ht="15.75" hidden="false" customHeight="true" outlineLevel="0" collapsed="false">
      <c r="A984" s="37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</row>
    <row r="985" customFormat="false" ht="15.75" hidden="false" customHeight="true" outlineLevel="0" collapsed="false">
      <c r="A985" s="37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</row>
    <row r="986" customFormat="false" ht="15.75" hidden="false" customHeight="true" outlineLevel="0" collapsed="false">
      <c r="A986" s="37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</row>
    <row r="987" customFormat="false" ht="15.75" hidden="false" customHeight="true" outlineLevel="0" collapsed="false">
      <c r="A987" s="37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</row>
    <row r="988" customFormat="false" ht="15.75" hidden="false" customHeight="true" outlineLevel="0" collapsed="false">
      <c r="A988" s="37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</row>
    <row r="989" customFormat="false" ht="15.75" hidden="false" customHeight="true" outlineLevel="0" collapsed="false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</row>
    <row r="990" customFormat="false" ht="15.75" hidden="false" customHeight="true" outlineLevel="0" collapsed="false">
      <c r="A990" s="37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</row>
    <row r="991" customFormat="false" ht="15.75" hidden="false" customHeight="true" outlineLevel="0" collapsed="false">
      <c r="A991" s="37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</row>
    <row r="992" customFormat="false" ht="15.75" hidden="false" customHeight="true" outlineLevel="0" collapsed="false">
      <c r="A992" s="37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</row>
    <row r="993" customFormat="false" ht="15.75" hidden="false" customHeight="true" outlineLevel="0" collapsed="false">
      <c r="A993" s="37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</row>
    <row r="994" customFormat="false" ht="15.75" hidden="false" customHeight="true" outlineLevel="0" collapsed="false">
      <c r="A994" s="37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</row>
    <row r="995" customFormat="false" ht="15.75" hidden="false" customHeight="true" outlineLevel="0" collapsed="false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</row>
    <row r="996" customFormat="false" ht="15.75" hidden="false" customHeight="true" outlineLevel="0" collapsed="false">
      <c r="A996" s="37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</row>
    <row r="997" customFormat="false" ht="15.75" hidden="false" customHeight="true" outlineLevel="0" collapsed="false">
      <c r="A997" s="37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</row>
    <row r="998" customFormat="false" ht="15.75" hidden="false" customHeight="true" outlineLevel="0" collapsed="false">
      <c r="A998" s="37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</row>
    <row r="999" customFormat="false" ht="15.75" hidden="false" customHeight="true" outlineLevel="0" collapsed="false">
      <c r="A999" s="37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</row>
    <row r="1000" customFormat="false" ht="15.75" hidden="false" customHeight="true" outlineLevel="0" collapsed="false">
      <c r="A1000" s="37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</row>
  </sheetData>
  <sheetProtection sheet="true" password="c626" objects="true" scenarios="true" insertColumns="false" insertRows="false" deleteColumns="false" deleteRows="false"/>
  <mergeCells count="5">
    <mergeCell ref="A1:C1"/>
    <mergeCell ref="D1:F1"/>
    <mergeCell ref="G1:I1"/>
    <mergeCell ref="J1:L1"/>
    <mergeCell ref="M1:O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1" topLeftCell="A2" activePane="bottomLeft" state="frozen"/>
      <selection pane="topLeft" activeCell="A1" activeCellId="0" sqref="A1"/>
      <selection pane="bottomLeft" activeCell="A3" activeCellId="0" sqref="A3"/>
    </sheetView>
  </sheetViews>
  <sheetFormatPr defaultColWidth="12.66796875" defaultRowHeight="12.75" customHeight="true" zeroHeight="false" outlineLevelRow="0" outlineLevelCol="0"/>
  <cols>
    <col collapsed="false" customWidth="true" hidden="false" outlineLevel="0" max="4" min="4" style="34" width="18.44"/>
  </cols>
  <sheetData>
    <row r="1" customFormat="false" ht="15.75" hidden="false" customHeight="true" outlineLevel="0" collapsed="false">
      <c r="A1" s="64" t="s">
        <v>265</v>
      </c>
      <c r="B1" s="64"/>
      <c r="C1" s="64"/>
      <c r="D1" s="64" t="s">
        <v>266</v>
      </c>
      <c r="E1" s="64"/>
      <c r="F1" s="64"/>
      <c r="G1" s="64" t="s">
        <v>267</v>
      </c>
      <c r="H1" s="64"/>
      <c r="I1" s="64"/>
      <c r="J1" s="64" t="s">
        <v>268</v>
      </c>
      <c r="K1" s="64"/>
      <c r="L1" s="64"/>
      <c r="M1" s="64" t="s">
        <v>269</v>
      </c>
      <c r="N1" s="64"/>
      <c r="O1" s="64"/>
      <c r="P1" s="64" t="s">
        <v>270</v>
      </c>
      <c r="Q1" s="64"/>
      <c r="R1" s="64"/>
      <c r="S1" s="64" t="s">
        <v>271</v>
      </c>
      <c r="T1" s="64"/>
      <c r="U1" s="64"/>
      <c r="V1" s="64" t="s">
        <v>272</v>
      </c>
      <c r="W1" s="64"/>
      <c r="X1" s="64"/>
      <c r="Y1" s="37"/>
      <c r="Z1" s="37"/>
    </row>
    <row r="2" customFormat="false" ht="15.75" hidden="false" customHeight="true" outlineLevel="0" collapsed="false">
      <c r="A2" s="65" t="s">
        <v>256</v>
      </c>
      <c r="B2" s="65" t="s">
        <v>257</v>
      </c>
      <c r="C2" s="65" t="s">
        <v>258</v>
      </c>
      <c r="D2" s="65" t="s">
        <v>256</v>
      </c>
      <c r="E2" s="65" t="s">
        <v>257</v>
      </c>
      <c r="F2" s="65" t="s">
        <v>258</v>
      </c>
      <c r="G2" s="65" t="s">
        <v>256</v>
      </c>
      <c r="H2" s="65" t="s">
        <v>257</v>
      </c>
      <c r="I2" s="65" t="s">
        <v>258</v>
      </c>
      <c r="J2" s="65" t="s">
        <v>256</v>
      </c>
      <c r="K2" s="65" t="s">
        <v>257</v>
      </c>
      <c r="L2" s="65" t="s">
        <v>258</v>
      </c>
      <c r="M2" s="65" t="s">
        <v>256</v>
      </c>
      <c r="N2" s="65" t="s">
        <v>257</v>
      </c>
      <c r="O2" s="65" t="s">
        <v>258</v>
      </c>
      <c r="P2" s="65" t="s">
        <v>256</v>
      </c>
      <c r="Q2" s="65" t="s">
        <v>257</v>
      </c>
      <c r="R2" s="65" t="s">
        <v>258</v>
      </c>
      <c r="S2" s="65" t="s">
        <v>256</v>
      </c>
      <c r="T2" s="65" t="s">
        <v>257</v>
      </c>
      <c r="U2" s="65" t="s">
        <v>258</v>
      </c>
      <c r="V2" s="65" t="s">
        <v>256</v>
      </c>
      <c r="W2" s="65" t="s">
        <v>257</v>
      </c>
      <c r="X2" s="65" t="s">
        <v>258</v>
      </c>
      <c r="Y2" s="37"/>
      <c r="Z2" s="37"/>
    </row>
    <row r="3" customFormat="false" ht="15.75" hidden="false" customHeight="true" outlineLevel="0" collapsed="false">
      <c r="A3" s="34" t="s">
        <v>100</v>
      </c>
      <c r="B3" s="67" t="n">
        <f aca="false">IFERROR(INDEX('Data 2'!$L$2:$L$2198,MATCH(A3,'Data 2'!$A$2:$A$2198,0)), 0)</f>
        <v>-49.2966666666667</v>
      </c>
      <c r="C3" s="67" t="n">
        <f aca="false">IFERROR(INDEX('Data 2'!$M$2:$M$2198,MATCH(A3,'Data 2'!$A$2:$A$2198,0)), 0)</f>
        <v>-60.60125</v>
      </c>
      <c r="D3" s="34" t="s">
        <v>273</v>
      </c>
      <c r="E3" s="39" t="n">
        <f aca="false">IFERROR(INDEX('Data 2'!$L$2:$L$2198,MATCH(D3,'Data 2'!$A$2:$A$2198,0)), 0)</f>
        <v>-12.93</v>
      </c>
      <c r="F3" s="39" t="n">
        <f aca="false">IFERROR(INDEX('Data 2'!$M$2:$M$2198,MATCH(D3,'Data 2'!$A$2:$A$2198,0)), 0)</f>
        <v>-4.03875</v>
      </c>
      <c r="G3" s="34" t="s">
        <v>66</v>
      </c>
      <c r="H3" s="39" t="n">
        <f aca="false">IFERROR(INDEX('Data 2'!$L$2:$L$2198,MATCH(G3,'Data 2'!$A$2:$A$2198,0)), 0)</f>
        <v>-56.2566666666667</v>
      </c>
      <c r="I3" s="39" t="n">
        <f aca="false">IFERROR(INDEX('Data 2'!$M$2:$M$2198,MATCH(G3,'Data 2'!$A$2:$A$2198,0)), 0)</f>
        <v>-63.07875</v>
      </c>
      <c r="J3" s="34" t="s">
        <v>274</v>
      </c>
      <c r="K3" s="39" t="n">
        <f aca="false">IFERROR(INDEX('Data 2'!$L$2:$L$2198,MATCH(J3,'Data 2'!$A$2:$A$2198,0)), 0)</f>
        <v>-84.1</v>
      </c>
      <c r="L3" s="39" t="n">
        <f aca="false">IFERROR(INDEX('Data 2'!$M$2:$M$2198,MATCH(J3,'Data 2'!$A$2:$A$2198,0)), 0)</f>
        <v>10.5</v>
      </c>
      <c r="M3" s="34" t="s">
        <v>273</v>
      </c>
      <c r="N3" s="39" t="n">
        <f aca="false">IFERROR(INDEX('Data 2'!$L$2:$L$2198,MATCH(M3,'Data 2'!$A$2:$A$2198,0)), 0)</f>
        <v>-12.93</v>
      </c>
      <c r="O3" s="39" t="n">
        <f aca="false">IFERROR(INDEX('Data 2'!$M$2:$M$2198,MATCH(M3,'Data 2'!$A$2:$A$2198,0)), 0)</f>
        <v>-4.03875</v>
      </c>
      <c r="P3" s="34" t="s">
        <v>273</v>
      </c>
      <c r="Q3" s="39" t="n">
        <f aca="false">IFERROR(INDEX('Data 2'!$L$2:$L$2198,MATCH(P3,'Data 2'!$A$2:$A$2198,0)), 0)</f>
        <v>-12.93</v>
      </c>
      <c r="R3" s="39" t="n">
        <f aca="false">IFERROR(INDEX('Data 2'!$M$2:$M$2198,MATCH(P3,'Data 2'!$A$2:$A$2198,0)), 0)</f>
        <v>-4.03875</v>
      </c>
      <c r="S3" s="34" t="s">
        <v>274</v>
      </c>
      <c r="T3" s="39" t="n">
        <f aca="false">IFERROR(INDEX('Data 2'!$L$2:$L$2198,MATCH(S3,'Data 2'!$A$2:$A$2198,0)), 0)</f>
        <v>-84.1</v>
      </c>
      <c r="U3" s="39" t="n">
        <f aca="false">IFERROR(INDEX('Data 2'!$M$2:$M$2198,MATCH(S3,'Data 2'!$A$2:$A$2198,0)), 0)</f>
        <v>10.5</v>
      </c>
      <c r="V3" s="34" t="s">
        <v>273</v>
      </c>
      <c r="W3" s="39" t="n">
        <f aca="false">IFERROR(INDEX('Data 2'!$L$2:$L$2198,MATCH(V3,'Data 2'!$A$2:$A$2198,0)), 0)</f>
        <v>-12.93</v>
      </c>
      <c r="X3" s="39" t="n">
        <f aca="false">IFERROR(INDEX('Data 2'!$M$2:$M$2198,MATCH(V3,'Data 2'!$A$2:$A$2198,0)), 0)</f>
        <v>-4.03875</v>
      </c>
      <c r="Y3" s="37"/>
      <c r="Z3" s="37"/>
    </row>
    <row r="4" customFormat="false" ht="15.75" hidden="false" customHeight="true" outlineLevel="0" collapsed="false">
      <c r="A4" s="34" t="s">
        <v>176</v>
      </c>
      <c r="B4" s="67" t="n">
        <f aca="false">IFERROR(INDEX('Data 2'!$L$2:$L$2198,MATCH(A4,'Data 2'!$A$2:$A$2198,0)), 0)</f>
        <v>-43.4966666666667</v>
      </c>
      <c r="C4" s="67" t="n">
        <f aca="false">IFERROR(INDEX('Data 2'!$M$2:$M$2198,MATCH(A4,'Data 2'!$A$2:$A$2198,0)), 0)</f>
        <v>-34.07</v>
      </c>
      <c r="D4" s="34" t="s">
        <v>274</v>
      </c>
      <c r="E4" s="39" t="n">
        <f aca="false">IFERROR(INDEX('Data 2'!$L$2:$L$2198,MATCH(D4,'Data 2'!$A$2:$A$2198,0)), 0)</f>
        <v>-84.1</v>
      </c>
      <c r="F4" s="39" t="n">
        <f aca="false">IFERROR(INDEX('Data 2'!$M$2:$M$2198,MATCH(D4,'Data 2'!$A$2:$A$2198,0)), 0)</f>
        <v>10.5</v>
      </c>
      <c r="G4" s="34" t="s">
        <v>235</v>
      </c>
      <c r="H4" s="39" t="n">
        <f aca="false">IFERROR(INDEX('Data 2'!$L$2:$L$2198,MATCH(G4,'Data 2'!$A$2:$A$2198,0)), 0)</f>
        <v>85.78</v>
      </c>
      <c r="I4" s="39" t="n">
        <f aca="false">IFERROR(INDEX('Data 2'!$M$2:$M$2198,MATCH(G4,'Data 2'!$A$2:$A$2198,0)), 0)</f>
        <v>26.8875</v>
      </c>
      <c r="J4" s="34" t="s">
        <v>66</v>
      </c>
      <c r="K4" s="39" t="n">
        <f aca="false">IFERROR(INDEX('Data 2'!$L$2:$L$2198,MATCH(J4,'Data 2'!$A$2:$A$2198,0)), 0)</f>
        <v>-56.2566666666667</v>
      </c>
      <c r="L4" s="39" t="n">
        <f aca="false">IFERROR(INDEX('Data 2'!$M$2:$M$2198,MATCH(J4,'Data 2'!$A$2:$A$2198,0)), 0)</f>
        <v>-63.07875</v>
      </c>
      <c r="M4" s="34" t="s">
        <v>172</v>
      </c>
      <c r="N4" s="39" t="n">
        <f aca="false">IFERROR(INDEX('Data 2'!$L$2:$L$2198,MATCH(M4,'Data 2'!$A$2:$A$2198,0)), 0)</f>
        <v>-42.39</v>
      </c>
      <c r="O4" s="39" t="n">
        <f aca="false">IFERROR(INDEX('Data 2'!$M$2:$M$2198,MATCH(M4,'Data 2'!$A$2:$A$2198,0)), 0)</f>
        <v>-84.63125</v>
      </c>
      <c r="P4" s="34" t="s">
        <v>275</v>
      </c>
      <c r="Q4" s="39" t="n">
        <f aca="false">IFERROR(INDEX('Data 2'!$L$2:$L$2198,MATCH(P4,'Data 2'!$A$2:$A$2198,0)), 0)</f>
        <v>99.0966666666667</v>
      </c>
      <c r="R4" s="39" t="n">
        <f aca="false">IFERROR(INDEX('Data 2'!$M$2:$M$2198,MATCH(P4,'Data 2'!$A$2:$A$2198,0)), 0)</f>
        <v>121.4725</v>
      </c>
      <c r="S4" s="34" t="s">
        <v>65</v>
      </c>
      <c r="T4" s="39" t="n">
        <f aca="false">IFERROR(INDEX('Data 2'!$L$2:$L$2198,MATCH(S4,'Data 2'!$A$2:$A$2198,0)), 0)</f>
        <v>-11.2566666666667</v>
      </c>
      <c r="U4" s="39" t="n">
        <f aca="false">IFERROR(INDEX('Data 2'!$M$2:$M$2198,MATCH(S4,'Data 2'!$A$2:$A$2198,0)), 0)</f>
        <v>-72.91125</v>
      </c>
      <c r="V4" s="34" t="s">
        <v>274</v>
      </c>
      <c r="W4" s="39" t="n">
        <f aca="false">IFERROR(INDEX('Data 2'!$L$2:$L$2198,MATCH(V4,'Data 2'!$A$2:$A$2198,0)), 0)</f>
        <v>-84.1</v>
      </c>
      <c r="X4" s="39" t="n">
        <f aca="false">IFERROR(INDEX('Data 2'!$M$2:$M$2198,MATCH(V4,'Data 2'!$A$2:$A$2198,0)), 0)</f>
        <v>10.5</v>
      </c>
      <c r="Y4" s="37"/>
      <c r="Z4" s="37"/>
    </row>
    <row r="5" customFormat="false" ht="15.75" hidden="false" customHeight="true" outlineLevel="0" collapsed="false">
      <c r="A5" s="34" t="s">
        <v>129</v>
      </c>
      <c r="B5" s="67" t="n">
        <f aca="false">IFERROR(INDEX('Data 2'!$L$2:$L$2198,MATCH(A5,'Data 2'!$A$2:$A$2198,0)), 0)</f>
        <v>71.0833333333333</v>
      </c>
      <c r="C5" s="67" t="n">
        <f aca="false">IFERROR(INDEX('Data 2'!$M$2:$M$2198,MATCH(A5,'Data 2'!$A$2:$A$2198,0)), 0)</f>
        <v>147.7425</v>
      </c>
      <c r="D5" s="34" t="s">
        <v>65</v>
      </c>
      <c r="E5" s="39" t="n">
        <f aca="false">IFERROR(INDEX('Data 2'!$L$2:$L$2198,MATCH(D5,'Data 2'!$A$2:$A$2198,0)), 0)</f>
        <v>-11.2566666666667</v>
      </c>
      <c r="F5" s="39" t="n">
        <f aca="false">IFERROR(INDEX('Data 2'!$M$2:$M$2198,MATCH(D5,'Data 2'!$A$2:$A$2198,0)), 0)</f>
        <v>-72.91125</v>
      </c>
      <c r="G5" s="34" t="s">
        <v>174</v>
      </c>
      <c r="H5" s="39" t="n">
        <f aca="false">IFERROR(INDEX('Data 2'!$L$2:$L$2198,MATCH(G5,'Data 2'!$A$2:$A$2198,0)), 0)</f>
        <v>-69.8</v>
      </c>
      <c r="I5" s="39" t="n">
        <f aca="false">IFERROR(INDEX('Data 2'!$M$2:$M$2198,MATCH(G5,'Data 2'!$A$2:$A$2198,0)), 0)</f>
        <v>-20.9325</v>
      </c>
      <c r="J5" s="34" t="s">
        <v>276</v>
      </c>
      <c r="K5" s="39" t="n">
        <f aca="false">IFERROR(INDEX('Data 2'!$L$2:$L$2198,MATCH(J5,'Data 2'!$A$2:$A$2198,0)), 0)</f>
        <v>-90.4766666666667</v>
      </c>
      <c r="L5" s="39" t="n">
        <f aca="false">IFERROR(INDEX('Data 2'!$M$2:$M$2198,MATCH(J5,'Data 2'!$A$2:$A$2198,0)), 0)</f>
        <v>-96.8525</v>
      </c>
      <c r="M5" s="34" t="s">
        <v>277</v>
      </c>
      <c r="N5" s="39" t="n">
        <f aca="false">IFERROR(INDEX('Data 2'!$L$2:$L$2198,MATCH(M5,'Data 2'!$A$2:$A$2198,0)), 0)</f>
        <v>-82.6766666666667</v>
      </c>
      <c r="O5" s="39" t="n">
        <f aca="false">IFERROR(INDEX('Data 2'!$M$2:$M$2198,MATCH(M5,'Data 2'!$A$2:$A$2198,0)), 0)</f>
        <v>-95.48</v>
      </c>
      <c r="P5" s="34" t="s">
        <v>172</v>
      </c>
      <c r="Q5" s="39" t="n">
        <f aca="false">IFERROR(INDEX('Data 2'!$L$2:$L$2198,MATCH(P5,'Data 2'!$A$2:$A$2198,0)), 0)</f>
        <v>-42.39</v>
      </c>
      <c r="R5" s="39" t="n">
        <f aca="false">IFERROR(INDEX('Data 2'!$M$2:$M$2198,MATCH(P5,'Data 2'!$A$2:$A$2198,0)), 0)</f>
        <v>-84.63125</v>
      </c>
      <c r="S5" s="34" t="s">
        <v>66</v>
      </c>
      <c r="T5" s="39" t="n">
        <f aca="false">IFERROR(INDEX('Data 2'!$L$2:$L$2198,MATCH(S5,'Data 2'!$A$2:$A$2198,0)), 0)</f>
        <v>-56.2566666666667</v>
      </c>
      <c r="U5" s="39" t="n">
        <f aca="false">IFERROR(INDEX('Data 2'!$M$2:$M$2198,MATCH(S5,'Data 2'!$A$2:$A$2198,0)), 0)</f>
        <v>-63.07875</v>
      </c>
      <c r="V5" s="34" t="s">
        <v>66</v>
      </c>
      <c r="W5" s="39" t="n">
        <f aca="false">IFERROR(INDEX('Data 2'!$L$2:$L$2198,MATCH(V5,'Data 2'!$A$2:$A$2198,0)), 0)</f>
        <v>-56.2566666666667</v>
      </c>
      <c r="X5" s="39" t="n">
        <f aca="false">IFERROR(INDEX('Data 2'!$M$2:$M$2198,MATCH(V5,'Data 2'!$A$2:$A$2198,0)), 0)</f>
        <v>-63.07875</v>
      </c>
      <c r="Y5" s="37"/>
      <c r="Z5" s="37"/>
    </row>
    <row r="6" customFormat="false" ht="15.75" hidden="false" customHeight="true" outlineLevel="0" collapsed="false">
      <c r="A6" s="34" t="s">
        <v>119</v>
      </c>
      <c r="B6" s="67" t="n">
        <f aca="false">IFERROR(INDEX('Data 2'!$L$2:$L$2198,MATCH(A6,'Data 2'!$A$2:$A$2198,0)), 0)</f>
        <v>-68.2866666666667</v>
      </c>
      <c r="C6" s="67" t="n">
        <f aca="false">IFERROR(INDEX('Data 2'!$M$2:$M$2198,MATCH(A6,'Data 2'!$A$2:$A$2198,0)), 0)</f>
        <v>52.6675</v>
      </c>
      <c r="D6" s="34" t="s">
        <v>66</v>
      </c>
      <c r="E6" s="39" t="n">
        <f aca="false">IFERROR(INDEX('Data 2'!$L$2:$L$2198,MATCH(D6,'Data 2'!$A$2:$A$2198,0)), 0)</f>
        <v>-56.2566666666667</v>
      </c>
      <c r="F6" s="39" t="n">
        <f aca="false">IFERROR(INDEX('Data 2'!$M$2:$M$2198,MATCH(D6,'Data 2'!$A$2:$A$2198,0)), 0)</f>
        <v>-63.07875</v>
      </c>
      <c r="G6" s="34" t="s">
        <v>69</v>
      </c>
      <c r="H6" s="39" t="n">
        <f aca="false">IFERROR(INDEX('Data 2'!$L$2:$L$2198,MATCH(G6,'Data 2'!$A$2:$A$2198,0)), 0)</f>
        <v>21.6666666666667</v>
      </c>
      <c r="I6" s="39" t="n">
        <f aca="false">IFERROR(INDEX('Data 2'!$M$2:$M$2198,MATCH(G6,'Data 2'!$A$2:$A$2198,0)), 0)</f>
        <v>85.72625</v>
      </c>
      <c r="J6" s="34" t="s">
        <v>235</v>
      </c>
      <c r="K6" s="39" t="n">
        <f aca="false">IFERROR(INDEX('Data 2'!$L$2:$L$2198,MATCH(J6,'Data 2'!$A$2:$A$2198,0)), 0)</f>
        <v>85.78</v>
      </c>
      <c r="L6" s="39" t="n">
        <f aca="false">IFERROR(INDEX('Data 2'!$M$2:$M$2198,MATCH(J6,'Data 2'!$A$2:$A$2198,0)), 0)</f>
        <v>26.8875</v>
      </c>
      <c r="M6" s="34" t="s">
        <v>278</v>
      </c>
      <c r="N6" s="39" t="n">
        <f aca="false">IFERROR(INDEX('Data 2'!$L$2:$L$2198,MATCH(M6,'Data 2'!$A$2:$A$2198,0)), 0)</f>
        <v>5.04666666666666</v>
      </c>
      <c r="O6" s="39" t="n">
        <f aca="false">IFERROR(INDEX('Data 2'!$M$2:$M$2198,MATCH(M6,'Data 2'!$A$2:$A$2198,0)), 0)</f>
        <v>7.70625</v>
      </c>
      <c r="P6" s="34" t="s">
        <v>279</v>
      </c>
      <c r="Q6" s="39" t="n">
        <f aca="false">IFERROR(INDEX('Data 2'!$L$2:$L$2198,MATCH(P6,'Data 2'!$A$2:$A$2198,0)), 0)</f>
        <v>-90.7766666666667</v>
      </c>
      <c r="R6" s="39" t="n">
        <f aca="false">IFERROR(INDEX('Data 2'!$M$2:$M$2198,MATCH(P6,'Data 2'!$A$2:$A$2198,0)), 0)</f>
        <v>-110.7025</v>
      </c>
      <c r="S6" s="34" t="s">
        <v>276</v>
      </c>
      <c r="T6" s="39" t="n">
        <f aca="false">IFERROR(INDEX('Data 2'!$L$2:$L$2198,MATCH(S6,'Data 2'!$A$2:$A$2198,0)), 0)</f>
        <v>-90.4766666666667</v>
      </c>
      <c r="U6" s="39" t="n">
        <f aca="false">IFERROR(INDEX('Data 2'!$M$2:$M$2198,MATCH(S6,'Data 2'!$A$2:$A$2198,0)), 0)</f>
        <v>-96.8525</v>
      </c>
      <c r="V6" s="34" t="s">
        <v>276</v>
      </c>
      <c r="W6" s="39" t="n">
        <f aca="false">IFERROR(INDEX('Data 2'!$L$2:$L$2198,MATCH(V6,'Data 2'!$A$2:$A$2198,0)), 0)</f>
        <v>-90.4766666666667</v>
      </c>
      <c r="X6" s="39" t="n">
        <f aca="false">IFERROR(INDEX('Data 2'!$M$2:$M$2198,MATCH(V6,'Data 2'!$A$2:$A$2198,0)), 0)</f>
        <v>-96.8525</v>
      </c>
      <c r="Y6" s="37"/>
      <c r="Z6" s="37"/>
    </row>
    <row r="7" customFormat="false" ht="15.75" hidden="false" customHeight="true" outlineLevel="0" collapsed="false">
      <c r="A7" s="34" t="s">
        <v>40</v>
      </c>
      <c r="B7" s="67" t="n">
        <f aca="false">IFERROR(INDEX('Data 2'!$L$2:$L$2198,MATCH(A7,'Data 2'!$A$2:$A$2198,0)), 0)</f>
        <v>-70.3533333333333</v>
      </c>
      <c r="C7" s="67" t="n">
        <f aca="false">IFERROR(INDEX('Data 2'!$M$2:$M$2198,MATCH(A7,'Data 2'!$A$2:$A$2198,0)), 0)</f>
        <v>-71.15375</v>
      </c>
      <c r="D7" s="34" t="s">
        <v>276</v>
      </c>
      <c r="E7" s="39" t="n">
        <f aca="false">IFERROR(INDEX('Data 2'!$L$2:$L$2198,MATCH(D7,'Data 2'!$A$2:$A$2198,0)), 0)</f>
        <v>-90.4766666666667</v>
      </c>
      <c r="F7" s="39" t="n">
        <f aca="false">IFERROR(INDEX('Data 2'!$M$2:$M$2198,MATCH(D7,'Data 2'!$A$2:$A$2198,0)), 0)</f>
        <v>-96.8525</v>
      </c>
      <c r="G7" s="34" t="s">
        <v>137</v>
      </c>
      <c r="H7" s="39" t="n">
        <f aca="false">IFERROR(INDEX('Data 2'!$L$2:$L$2198,MATCH(G7,'Data 2'!$A$2:$A$2198,0)), 0)</f>
        <v>76.8033333333333</v>
      </c>
      <c r="I7" s="39" t="n">
        <f aca="false">IFERROR(INDEX('Data 2'!$M$2:$M$2198,MATCH(G7,'Data 2'!$A$2:$A$2198,0)), 0)</f>
        <v>153.40375</v>
      </c>
      <c r="J7" s="34" t="s">
        <v>174</v>
      </c>
      <c r="K7" s="39" t="n">
        <f aca="false">IFERROR(INDEX('Data 2'!$L$2:$L$2198,MATCH(J7,'Data 2'!$A$2:$A$2198,0)), 0)</f>
        <v>-69.8</v>
      </c>
      <c r="L7" s="39" t="n">
        <f aca="false">IFERROR(INDEX('Data 2'!$M$2:$M$2198,MATCH(J7,'Data 2'!$A$2:$A$2198,0)), 0)</f>
        <v>-20.9325</v>
      </c>
      <c r="M7" s="34" t="s">
        <v>229</v>
      </c>
      <c r="N7" s="39" t="n">
        <f aca="false">IFERROR(INDEX('Data 2'!$L$2:$L$2198,MATCH(M7,'Data 2'!$A$2:$A$2198,0)), 0)</f>
        <v>-89.57</v>
      </c>
      <c r="O7" s="39" t="n">
        <f aca="false">IFERROR(INDEX('Data 2'!$M$2:$M$2198,MATCH(M7,'Data 2'!$A$2:$A$2198,0)), 0)</f>
        <v>-74.96375</v>
      </c>
      <c r="P7" s="34" t="s">
        <v>280</v>
      </c>
      <c r="Q7" s="39" t="n">
        <f aca="false">IFERROR(INDEX('Data 2'!$L$2:$L$2198,MATCH(P7,'Data 2'!$A$2:$A$2198,0)), 0)</f>
        <v>-45.7866666666667</v>
      </c>
      <c r="R7" s="39" t="n">
        <f aca="false">IFERROR(INDEX('Data 2'!$M$2:$M$2198,MATCH(P7,'Data 2'!$A$2:$A$2198,0)), 0)</f>
        <v>-127.335</v>
      </c>
      <c r="S7" s="34" t="s">
        <v>235</v>
      </c>
      <c r="T7" s="39" t="n">
        <f aca="false">IFERROR(INDEX('Data 2'!$L$2:$L$2198,MATCH(S7,'Data 2'!$A$2:$A$2198,0)), 0)</f>
        <v>85.78</v>
      </c>
      <c r="U7" s="39" t="n">
        <f aca="false">IFERROR(INDEX('Data 2'!$M$2:$M$2198,MATCH(S7,'Data 2'!$A$2:$A$2198,0)), 0)</f>
        <v>26.8875</v>
      </c>
      <c r="V7" s="34" t="s">
        <v>235</v>
      </c>
      <c r="W7" s="39" t="n">
        <f aca="false">IFERROR(INDEX('Data 2'!$L$2:$L$2198,MATCH(V7,'Data 2'!$A$2:$A$2198,0)), 0)</f>
        <v>85.78</v>
      </c>
      <c r="X7" s="39" t="n">
        <f aca="false">IFERROR(INDEX('Data 2'!$M$2:$M$2198,MATCH(V7,'Data 2'!$A$2:$A$2198,0)), 0)</f>
        <v>26.8875</v>
      </c>
      <c r="Y7" s="37"/>
      <c r="Z7" s="37"/>
    </row>
    <row r="8" customFormat="false" ht="15.75" hidden="false" customHeight="true" outlineLevel="0" collapsed="false">
      <c r="A8" s="34" t="s">
        <v>131</v>
      </c>
      <c r="B8" s="67" t="n">
        <f aca="false">IFERROR(INDEX('Data 2'!$L$2:$L$2198,MATCH(A8,'Data 2'!$A$2:$A$2198,0)), 0)</f>
        <v>-43.1233333333333</v>
      </c>
      <c r="C8" s="67" t="n">
        <f aca="false">IFERROR(INDEX('Data 2'!$M$2:$M$2198,MATCH(A8,'Data 2'!$A$2:$A$2198,0)), 0)</f>
        <v>51.97</v>
      </c>
      <c r="D8" s="34" t="s">
        <v>235</v>
      </c>
      <c r="E8" s="39" t="n">
        <f aca="false">IFERROR(INDEX('Data 2'!$L$2:$L$2198,MATCH(D8,'Data 2'!$A$2:$A$2198,0)), 0)</f>
        <v>85.78</v>
      </c>
      <c r="F8" s="39" t="n">
        <f aca="false">IFERROR(INDEX('Data 2'!$M$2:$M$2198,MATCH(D8,'Data 2'!$A$2:$A$2198,0)), 0)</f>
        <v>26.8875</v>
      </c>
      <c r="G8" s="34" t="s">
        <v>175</v>
      </c>
      <c r="H8" s="39" t="n">
        <f aca="false">IFERROR(INDEX('Data 2'!$L$2:$L$2198,MATCH(G8,'Data 2'!$A$2:$A$2198,0)), 0)</f>
        <v>-29.3333333333333</v>
      </c>
      <c r="I8" s="39" t="n">
        <f aca="false">IFERROR(INDEX('Data 2'!$M$2:$M$2198,MATCH(G8,'Data 2'!$A$2:$A$2198,0)), 0)</f>
        <v>88.9825</v>
      </c>
      <c r="J8" s="34" t="s">
        <v>281</v>
      </c>
      <c r="K8" s="39" t="n">
        <f aca="false">IFERROR(INDEX('Data 2'!$L$2:$L$2198,MATCH(J8,'Data 2'!$A$2:$A$2198,0)), 0)</f>
        <v>-148.19</v>
      </c>
      <c r="L8" s="39" t="n">
        <f aca="false">IFERROR(INDEX('Data 2'!$M$2:$M$2198,MATCH(J8,'Data 2'!$A$2:$A$2198,0)), 0)</f>
        <v>-72.465</v>
      </c>
      <c r="M8" s="34" t="s">
        <v>282</v>
      </c>
      <c r="N8" s="39" t="n">
        <f aca="false">IFERROR(INDEX('Data 2'!$L$2:$L$2198,MATCH(M8,'Data 2'!$A$2:$A$2198,0)), 0)</f>
        <v>-99.58</v>
      </c>
      <c r="O8" s="39" t="n">
        <f aca="false">IFERROR(INDEX('Data 2'!$M$2:$M$2198,MATCH(M8,'Data 2'!$A$2:$A$2198,0)), 0)</f>
        <v>-50.74875</v>
      </c>
      <c r="P8" s="34" t="s">
        <v>277</v>
      </c>
      <c r="Q8" s="39" t="n">
        <f aca="false">IFERROR(INDEX('Data 2'!$L$2:$L$2198,MATCH(P8,'Data 2'!$A$2:$A$2198,0)), 0)</f>
        <v>-82.6766666666667</v>
      </c>
      <c r="R8" s="39" t="n">
        <f aca="false">IFERROR(INDEX('Data 2'!$M$2:$M$2198,MATCH(P8,'Data 2'!$A$2:$A$2198,0)), 0)</f>
        <v>-95.48</v>
      </c>
      <c r="S8" s="34" t="s">
        <v>174</v>
      </c>
      <c r="T8" s="39" t="n">
        <f aca="false">IFERROR(INDEX('Data 2'!$L$2:$L$2198,MATCH(S8,'Data 2'!$A$2:$A$2198,0)), 0)</f>
        <v>-69.8</v>
      </c>
      <c r="U8" s="39" t="n">
        <f aca="false">IFERROR(INDEX('Data 2'!$M$2:$M$2198,MATCH(S8,'Data 2'!$A$2:$A$2198,0)), 0)</f>
        <v>-20.9325</v>
      </c>
      <c r="V8" s="34" t="s">
        <v>174</v>
      </c>
      <c r="W8" s="39" t="n">
        <f aca="false">IFERROR(INDEX('Data 2'!$L$2:$L$2198,MATCH(V8,'Data 2'!$A$2:$A$2198,0)), 0)</f>
        <v>-69.8</v>
      </c>
      <c r="X8" s="39" t="n">
        <f aca="false">IFERROR(INDEX('Data 2'!$M$2:$M$2198,MATCH(V8,'Data 2'!$A$2:$A$2198,0)), 0)</f>
        <v>-20.9325</v>
      </c>
      <c r="Y8" s="37"/>
      <c r="Z8" s="37"/>
    </row>
    <row r="9" customFormat="false" ht="15.75" hidden="false" customHeight="true" outlineLevel="0" collapsed="false">
      <c r="A9" s="34" t="s">
        <v>140</v>
      </c>
      <c r="B9" s="67" t="n">
        <f aca="false">IFERROR(INDEX('Data 2'!$L$2:$L$2198,MATCH(A9,'Data 2'!$A$2:$A$2198,0)), 0)</f>
        <v>51.87</v>
      </c>
      <c r="C9" s="67" t="n">
        <f aca="false">IFERROR(INDEX('Data 2'!$M$2:$M$2198,MATCH(A9,'Data 2'!$A$2:$A$2198,0)), 0)</f>
        <v>6.04</v>
      </c>
      <c r="D9" s="34" t="s">
        <v>174</v>
      </c>
      <c r="E9" s="39" t="n">
        <f aca="false">IFERROR(INDEX('Data 2'!$L$2:$L$2198,MATCH(D9,'Data 2'!$A$2:$A$2198,0)), 0)</f>
        <v>-69.8</v>
      </c>
      <c r="F9" s="39" t="n">
        <f aca="false">IFERROR(INDEX('Data 2'!$M$2:$M$2198,MATCH(D9,'Data 2'!$A$2:$A$2198,0)), 0)</f>
        <v>-20.9325</v>
      </c>
      <c r="G9" s="34" t="s">
        <v>195</v>
      </c>
      <c r="H9" s="39" t="n">
        <f aca="false">IFERROR(INDEX('Data 2'!$L$2:$L$2198,MATCH(G9,'Data 2'!$A$2:$A$2198,0)), 0)</f>
        <v>81.51</v>
      </c>
      <c r="I9" s="39" t="n">
        <f aca="false">IFERROR(INDEX('Data 2'!$M$2:$M$2198,MATCH(G9,'Data 2'!$A$2:$A$2198,0)), 0)</f>
        <v>27.55625</v>
      </c>
      <c r="J9" s="34" t="s">
        <v>283</v>
      </c>
      <c r="K9" s="39" t="n">
        <f aca="false">IFERROR(INDEX('Data 2'!$L$2:$L$2198,MATCH(J9,'Data 2'!$A$2:$A$2198,0)), 0)</f>
        <v>-5.29</v>
      </c>
      <c r="L9" s="39" t="n">
        <f aca="false">IFERROR(INDEX('Data 2'!$M$2:$M$2198,MATCH(J9,'Data 2'!$A$2:$A$2198,0)), 0)</f>
        <v>-29.5925</v>
      </c>
      <c r="M9" s="34" t="s">
        <v>284</v>
      </c>
      <c r="N9" s="39" t="n">
        <f aca="false">IFERROR(INDEX('Data 2'!$L$2:$L$2198,MATCH(M9,'Data 2'!$A$2:$A$2198,0)), 0)</f>
        <v>60.79</v>
      </c>
      <c r="O9" s="39" t="n">
        <f aca="false">IFERROR(INDEX('Data 2'!$M$2:$M$2198,MATCH(M9,'Data 2'!$A$2:$A$2198,0)), 0)</f>
        <v>-11.1025</v>
      </c>
      <c r="P9" s="34" t="s">
        <v>285</v>
      </c>
      <c r="Q9" s="39" t="n">
        <f aca="false">IFERROR(INDEX('Data 2'!$L$2:$L$2198,MATCH(P9,'Data 2'!$A$2:$A$2198,0)), 0)</f>
        <v>-17.1866666666667</v>
      </c>
      <c r="R9" s="39" t="n">
        <f aca="false">IFERROR(INDEX('Data 2'!$M$2:$M$2198,MATCH(P9,'Data 2'!$A$2:$A$2198,0)), 0)</f>
        <v>63.2625</v>
      </c>
      <c r="S9" s="34" t="s">
        <v>281</v>
      </c>
      <c r="T9" s="39" t="n">
        <f aca="false">IFERROR(INDEX('Data 2'!$L$2:$L$2198,MATCH(S9,'Data 2'!$A$2:$A$2198,0)), 0)</f>
        <v>-148.19</v>
      </c>
      <c r="U9" s="39" t="n">
        <f aca="false">IFERROR(INDEX('Data 2'!$M$2:$M$2198,MATCH(S9,'Data 2'!$A$2:$A$2198,0)), 0)</f>
        <v>-72.465</v>
      </c>
      <c r="V9" s="34" t="s">
        <v>275</v>
      </c>
      <c r="W9" s="39" t="n">
        <f aca="false">IFERROR(INDEX('Data 2'!$L$2:$L$2198,MATCH(V9,'Data 2'!$A$2:$A$2198,0)), 0)</f>
        <v>99.0966666666667</v>
      </c>
      <c r="X9" s="39" t="n">
        <f aca="false">IFERROR(INDEX('Data 2'!$M$2:$M$2198,MATCH(V9,'Data 2'!$A$2:$A$2198,0)), 0)</f>
        <v>121.4725</v>
      </c>
      <c r="Y9" s="37"/>
      <c r="Z9" s="37"/>
    </row>
    <row r="10" customFormat="false" ht="15.75" hidden="false" customHeight="true" outlineLevel="0" collapsed="false">
      <c r="A10" s="34" t="s">
        <v>136</v>
      </c>
      <c r="B10" s="67" t="n">
        <f aca="false">IFERROR(INDEX('Data 2'!$L$2:$L$2198,MATCH(A10,'Data 2'!$A$2:$A$2198,0)), 0)</f>
        <v>-17.21</v>
      </c>
      <c r="C10" s="67" t="n">
        <f aca="false">IFERROR(INDEX('Data 2'!$M$2:$M$2198,MATCH(A10,'Data 2'!$A$2:$A$2198,0)), 0)</f>
        <v>-20.43125</v>
      </c>
      <c r="D10" s="34" t="s">
        <v>275</v>
      </c>
      <c r="E10" s="39" t="n">
        <f aca="false">IFERROR(INDEX('Data 2'!$L$2:$L$2198,MATCH(D10,'Data 2'!$A$2:$A$2198,0)), 0)</f>
        <v>99.0966666666667</v>
      </c>
      <c r="F10" s="39" t="n">
        <f aca="false">IFERROR(INDEX('Data 2'!$M$2:$M$2198,MATCH(D10,'Data 2'!$A$2:$A$2198,0)), 0)</f>
        <v>121.4725</v>
      </c>
      <c r="G10" s="34" t="s">
        <v>125</v>
      </c>
      <c r="H10" s="39" t="n">
        <f aca="false">IFERROR(INDEX('Data 2'!$L$2:$L$2198,MATCH(G10,'Data 2'!$A$2:$A$2198,0)), 0)</f>
        <v>-14.7033333333333</v>
      </c>
      <c r="I10" s="39" t="n">
        <f aca="false">IFERROR(INDEX('Data 2'!$M$2:$M$2198,MATCH(G10,'Data 2'!$A$2:$A$2198,0)), 0)</f>
        <v>-100.21</v>
      </c>
      <c r="J10" s="34" t="s">
        <v>69</v>
      </c>
      <c r="K10" s="39" t="n">
        <f aca="false">IFERROR(INDEX('Data 2'!$L$2:$L$2198,MATCH(J10,'Data 2'!$A$2:$A$2198,0)), 0)</f>
        <v>21.6666666666667</v>
      </c>
      <c r="L10" s="39" t="n">
        <f aca="false">IFERROR(INDEX('Data 2'!$M$2:$M$2198,MATCH(J10,'Data 2'!$A$2:$A$2198,0)), 0)</f>
        <v>85.72625</v>
      </c>
      <c r="M10" s="34" t="s">
        <v>168</v>
      </c>
      <c r="N10" s="39" t="n">
        <f aca="false">IFERROR(INDEX('Data 2'!$L$2:$L$2198,MATCH(M10,'Data 2'!$A$2:$A$2198,0)), 0)</f>
        <v>-2.94666666666667</v>
      </c>
      <c r="O10" s="39" t="n">
        <f aca="false">IFERROR(INDEX('Data 2'!$M$2:$M$2198,MATCH(M10,'Data 2'!$A$2:$A$2198,0)), 0)</f>
        <v>-61.92875</v>
      </c>
      <c r="P10" s="34" t="s">
        <v>286</v>
      </c>
      <c r="Q10" s="39" t="n">
        <f aca="false">IFERROR(INDEX('Data 2'!$L$2:$L$2198,MATCH(P10,'Data 2'!$A$2:$A$2198,0)), 0)</f>
        <v>31.3533333333333</v>
      </c>
      <c r="R10" s="39" t="n">
        <f aca="false">IFERROR(INDEX('Data 2'!$M$2:$M$2198,MATCH(P10,'Data 2'!$A$2:$A$2198,0)), 0)</f>
        <v>-19.5425</v>
      </c>
      <c r="S10" s="34" t="s">
        <v>238</v>
      </c>
      <c r="T10" s="39" t="n">
        <f aca="false">IFERROR(INDEX('Data 2'!$L$2:$L$2198,MATCH(S10,'Data 2'!$A$2:$A$2198,0)), 0)</f>
        <v>-64.89</v>
      </c>
      <c r="U10" s="39" t="n">
        <f aca="false">IFERROR(INDEX('Data 2'!$M$2:$M$2198,MATCH(S10,'Data 2'!$A$2:$A$2198,0)), 0)</f>
        <v>-70.58875</v>
      </c>
      <c r="V10" s="34" t="s">
        <v>172</v>
      </c>
      <c r="W10" s="39" t="n">
        <f aca="false">IFERROR(INDEX('Data 2'!$L$2:$L$2198,MATCH(V10,'Data 2'!$A$2:$A$2198,0)), 0)</f>
        <v>-42.39</v>
      </c>
      <c r="X10" s="39" t="n">
        <f aca="false">IFERROR(INDEX('Data 2'!$M$2:$M$2198,MATCH(V10,'Data 2'!$A$2:$A$2198,0)), 0)</f>
        <v>-84.63125</v>
      </c>
      <c r="Y10" s="37"/>
      <c r="Z10" s="37"/>
    </row>
    <row r="11" customFormat="false" ht="15.75" hidden="false" customHeight="true" outlineLevel="0" collapsed="false">
      <c r="A11" s="34" t="s">
        <v>160</v>
      </c>
      <c r="B11" s="67" t="n">
        <f aca="false">IFERROR(INDEX('Data 2'!$L$2:$L$2198,MATCH(A11,'Data 2'!$A$2:$A$2198,0)), 0)</f>
        <v>-14.9533333333333</v>
      </c>
      <c r="C11" s="67" t="n">
        <f aca="false">IFERROR(INDEX('Data 2'!$M$2:$M$2198,MATCH(A11,'Data 2'!$A$2:$A$2198,0)), 0)</f>
        <v>-24.78625</v>
      </c>
      <c r="D11" s="34" t="s">
        <v>172</v>
      </c>
      <c r="E11" s="39" t="n">
        <f aca="false">IFERROR(INDEX('Data 2'!$L$2:$L$2198,MATCH(D11,'Data 2'!$A$2:$A$2198,0)), 0)</f>
        <v>-42.39</v>
      </c>
      <c r="F11" s="39" t="n">
        <f aca="false">IFERROR(INDEX('Data 2'!$M$2:$M$2198,MATCH(D11,'Data 2'!$A$2:$A$2198,0)), 0)</f>
        <v>-84.63125</v>
      </c>
      <c r="G11" s="34" t="s">
        <v>134</v>
      </c>
      <c r="H11" s="39" t="n">
        <f aca="false">IFERROR(INDEX('Data 2'!$L$2:$L$2198,MATCH(G11,'Data 2'!$A$2:$A$2198,0)), 0)</f>
        <v>-113.886666666667</v>
      </c>
      <c r="I11" s="39" t="n">
        <f aca="false">IFERROR(INDEX('Data 2'!$M$2:$M$2198,MATCH(G11,'Data 2'!$A$2:$A$2198,0)), 0)</f>
        <v>-97.9</v>
      </c>
      <c r="J11" s="34" t="s">
        <v>44</v>
      </c>
      <c r="K11" s="39" t="n">
        <f aca="false">IFERROR(INDEX('Data 2'!$L$2:$L$2198,MATCH(J11,'Data 2'!$A$2:$A$2198,0)), 0)</f>
        <v>131.36</v>
      </c>
      <c r="L11" s="39" t="n">
        <f aca="false">IFERROR(INDEX('Data 2'!$M$2:$M$2198,MATCH(J11,'Data 2'!$A$2:$A$2198,0)), 0)</f>
        <v>88.9675</v>
      </c>
      <c r="M11" s="34" t="s">
        <v>287</v>
      </c>
      <c r="N11" s="39" t="n">
        <f aca="false">IFERROR(INDEX('Data 2'!$L$2:$L$2198,MATCH(M11,'Data 2'!$A$2:$A$2198,0)), 0)</f>
        <v>31.5</v>
      </c>
      <c r="O11" s="39" t="n">
        <f aca="false">IFERROR(INDEX('Data 2'!$M$2:$M$2198,MATCH(M11,'Data 2'!$A$2:$A$2198,0)), 0)</f>
        <v>69.80625</v>
      </c>
      <c r="P11" s="34" t="s">
        <v>288</v>
      </c>
      <c r="Q11" s="39" t="n">
        <f aca="false">IFERROR(INDEX('Data 2'!$L$2:$L$2198,MATCH(P11,'Data 2'!$A$2:$A$2198,0)), 0)</f>
        <v>-98.5633333333333</v>
      </c>
      <c r="R11" s="39" t="n">
        <f aca="false">IFERROR(INDEX('Data 2'!$M$2:$M$2198,MATCH(P11,'Data 2'!$A$2:$A$2198,0)), 0)</f>
        <v>-7.50125</v>
      </c>
      <c r="S11" s="34" t="s">
        <v>100</v>
      </c>
      <c r="T11" s="39" t="n">
        <f aca="false">IFERROR(INDEX('Data 2'!$L$2:$L$2198,MATCH(S11,'Data 2'!$A$2:$A$2198,0)), 0)</f>
        <v>-49.2966666666667</v>
      </c>
      <c r="U11" s="39" t="n">
        <f aca="false">IFERROR(INDEX('Data 2'!$M$2:$M$2198,MATCH(S11,'Data 2'!$A$2:$A$2198,0)), 0)</f>
        <v>-60.60125</v>
      </c>
      <c r="V11" s="34" t="s">
        <v>279</v>
      </c>
      <c r="W11" s="39" t="n">
        <f aca="false">IFERROR(INDEX('Data 2'!$L$2:$L$2198,MATCH(V11,'Data 2'!$A$2:$A$2198,0)), 0)</f>
        <v>-90.7766666666667</v>
      </c>
      <c r="X11" s="39" t="n">
        <f aca="false">IFERROR(INDEX('Data 2'!$M$2:$M$2198,MATCH(V11,'Data 2'!$A$2:$A$2198,0)), 0)</f>
        <v>-110.7025</v>
      </c>
      <c r="Y11" s="37"/>
      <c r="Z11" s="37"/>
    </row>
    <row r="12" customFormat="false" ht="15.75" hidden="false" customHeight="true" outlineLevel="0" collapsed="false">
      <c r="A12" s="34" t="s">
        <v>198</v>
      </c>
      <c r="B12" s="67" t="n">
        <f aca="false">IFERROR(INDEX('Data 2'!$L$2:$L$2198,MATCH(A12,'Data 2'!$A$2:$A$2198,0)), 0)</f>
        <v>-84.5966666666667</v>
      </c>
      <c r="C12" s="67" t="n">
        <f aca="false">IFERROR(INDEX('Data 2'!$M$2:$M$2198,MATCH(A12,'Data 2'!$A$2:$A$2198,0)), 0)</f>
        <v>-43.54625</v>
      </c>
      <c r="D12" s="34" t="s">
        <v>279</v>
      </c>
      <c r="E12" s="39" t="n">
        <f aca="false">IFERROR(INDEX('Data 2'!$L$2:$L$2198,MATCH(D12,'Data 2'!$A$2:$A$2198,0)), 0)</f>
        <v>-90.7766666666667</v>
      </c>
      <c r="F12" s="39" t="n">
        <f aca="false">IFERROR(INDEX('Data 2'!$M$2:$M$2198,MATCH(D12,'Data 2'!$A$2:$A$2198,0)), 0)</f>
        <v>-110.7025</v>
      </c>
      <c r="G12" s="34" t="s">
        <v>224</v>
      </c>
      <c r="H12" s="39" t="n">
        <f aca="false">IFERROR(INDEX('Data 2'!$L$2:$L$2198,MATCH(G12,'Data 2'!$A$2:$A$2198,0)), 0)</f>
        <v>103.873333333333</v>
      </c>
      <c r="I12" s="39" t="n">
        <f aca="false">IFERROR(INDEX('Data 2'!$M$2:$M$2198,MATCH(G12,'Data 2'!$A$2:$A$2198,0)), 0)</f>
        <v>75.925</v>
      </c>
      <c r="J12" s="34" t="s">
        <v>289</v>
      </c>
      <c r="K12" s="39" t="n">
        <f aca="false">IFERROR(INDEX('Data 2'!$L$2:$L$2198,MATCH(J12,'Data 2'!$A$2:$A$2198,0)), 0)</f>
        <v>-91.2733333333333</v>
      </c>
      <c r="L12" s="39" t="n">
        <f aca="false">IFERROR(INDEX('Data 2'!$M$2:$M$2198,MATCH(J12,'Data 2'!$A$2:$A$2198,0)), 0)</f>
        <v>-42.996375</v>
      </c>
      <c r="M12" s="34" t="s">
        <v>290</v>
      </c>
      <c r="N12" s="39" t="n">
        <f aca="false">IFERROR(INDEX('Data 2'!$L$2:$L$2198,MATCH(M12,'Data 2'!$A$2:$A$2198,0)), 0)</f>
        <v>79.8133333333333</v>
      </c>
      <c r="O12" s="39" t="n">
        <f aca="false">IFERROR(INDEX('Data 2'!$M$2:$M$2198,MATCH(M12,'Data 2'!$A$2:$A$2198,0)), 0)</f>
        <v>-22.8875</v>
      </c>
      <c r="P12" s="34" t="s">
        <v>291</v>
      </c>
      <c r="Q12" s="39" t="n">
        <f aca="false">IFERROR(INDEX('Data 2'!$L$2:$L$2198,MATCH(P12,'Data 2'!$A$2:$A$2198,0)), 0)</f>
        <v>-39.3633333333333</v>
      </c>
      <c r="R12" s="39" t="n">
        <f aca="false">IFERROR(INDEX('Data 2'!$M$2:$M$2198,MATCH(P12,'Data 2'!$A$2:$A$2198,0)), 0)</f>
        <v>-82.145</v>
      </c>
      <c r="S12" s="34" t="s">
        <v>242</v>
      </c>
      <c r="T12" s="39" t="n">
        <f aca="false">IFERROR(INDEX('Data 2'!$L$2:$L$2198,MATCH(S12,'Data 2'!$A$2:$A$2198,0)), 0)</f>
        <v>-28.8833333333333</v>
      </c>
      <c r="U12" s="39" t="n">
        <f aca="false">IFERROR(INDEX('Data 2'!$M$2:$M$2198,MATCH(S12,'Data 2'!$A$2:$A$2198,0)), 0)</f>
        <v>-32.350375</v>
      </c>
      <c r="V12" s="34" t="s">
        <v>281</v>
      </c>
      <c r="W12" s="39" t="n">
        <f aca="false">IFERROR(INDEX('Data 2'!$L$2:$L$2198,MATCH(V12,'Data 2'!$A$2:$A$2198,0)), 0)</f>
        <v>-148.19</v>
      </c>
      <c r="X12" s="39" t="n">
        <f aca="false">IFERROR(INDEX('Data 2'!$M$2:$M$2198,MATCH(V12,'Data 2'!$A$2:$A$2198,0)), 0)</f>
        <v>-72.465</v>
      </c>
      <c r="Y12" s="37"/>
      <c r="Z12" s="37"/>
    </row>
    <row r="13" customFormat="false" ht="15.75" hidden="false" customHeight="true" outlineLevel="0" collapsed="false">
      <c r="A13" s="34" t="s">
        <v>123</v>
      </c>
      <c r="B13" s="67" t="n">
        <f aca="false">IFERROR(INDEX('Data 2'!$L$2:$L$2198,MATCH(A13,'Data 2'!$A$2:$A$2198,0)), 0)</f>
        <v>20.8033333333333</v>
      </c>
      <c r="C13" s="67" t="n">
        <f aca="false">IFERROR(INDEX('Data 2'!$M$2:$M$2198,MATCH(A13,'Data 2'!$A$2:$A$2198,0)), 0)</f>
        <v>43.575</v>
      </c>
      <c r="D13" s="34" t="s">
        <v>281</v>
      </c>
      <c r="E13" s="39" t="n">
        <f aca="false">IFERROR(INDEX('Data 2'!$L$2:$L$2198,MATCH(D13,'Data 2'!$A$2:$A$2198,0)), 0)</f>
        <v>-148.19</v>
      </c>
      <c r="F13" s="39" t="n">
        <f aca="false">IFERROR(INDEX('Data 2'!$M$2:$M$2198,MATCH(D13,'Data 2'!$A$2:$A$2198,0)), 0)</f>
        <v>-72.465</v>
      </c>
      <c r="G13" s="34" t="s">
        <v>121</v>
      </c>
      <c r="H13" s="39" t="n">
        <f aca="false">IFERROR(INDEX('Data 2'!$L$2:$L$2198,MATCH(G13,'Data 2'!$A$2:$A$2198,0)), 0)</f>
        <v>11.3</v>
      </c>
      <c r="I13" s="39" t="n">
        <f aca="false">IFERROR(INDEX('Data 2'!$M$2:$M$2198,MATCH(G13,'Data 2'!$A$2:$A$2198,0)), 0)</f>
        <v>-25.17125</v>
      </c>
      <c r="J13" s="34" t="s">
        <v>137</v>
      </c>
      <c r="K13" s="39" t="n">
        <f aca="false">IFERROR(INDEX('Data 2'!$L$2:$L$2198,MATCH(J13,'Data 2'!$A$2:$A$2198,0)), 0)</f>
        <v>76.8033333333333</v>
      </c>
      <c r="L13" s="39" t="n">
        <f aca="false">IFERROR(INDEX('Data 2'!$M$2:$M$2198,MATCH(J13,'Data 2'!$A$2:$A$2198,0)), 0)</f>
        <v>153.40375</v>
      </c>
      <c r="M13" s="34" t="s">
        <v>244</v>
      </c>
      <c r="N13" s="39" t="n">
        <f aca="false">IFERROR(INDEX('Data 2'!$L$2:$L$2198,MATCH(M13,'Data 2'!$A$2:$A$2198,0)), 0)</f>
        <v>119.433333333333</v>
      </c>
      <c r="O13" s="39" t="n">
        <f aca="false">IFERROR(INDEX('Data 2'!$M$2:$M$2198,MATCH(M13,'Data 2'!$A$2:$A$2198,0)), 0)</f>
        <v>36.765</v>
      </c>
      <c r="P13" s="34" t="s">
        <v>292</v>
      </c>
      <c r="Q13" s="39" t="n">
        <f aca="false">IFERROR(INDEX('Data 2'!$L$2:$L$2198,MATCH(P13,'Data 2'!$A$2:$A$2198,0)), 0)</f>
        <v>-34.6033333333333</v>
      </c>
      <c r="R13" s="39" t="n">
        <f aca="false">IFERROR(INDEX('Data 2'!$M$2:$M$2198,MATCH(P13,'Data 2'!$A$2:$A$2198,0)), 0)</f>
        <v>-9.70375</v>
      </c>
      <c r="S13" s="34" t="s">
        <v>176</v>
      </c>
      <c r="T13" s="39" t="n">
        <f aca="false">IFERROR(INDEX('Data 2'!$L$2:$L$2198,MATCH(S13,'Data 2'!$A$2:$A$2198,0)), 0)</f>
        <v>-43.4966666666667</v>
      </c>
      <c r="U13" s="39" t="n">
        <f aca="false">IFERROR(INDEX('Data 2'!$M$2:$M$2198,MATCH(S13,'Data 2'!$A$2:$A$2198,0)), 0)</f>
        <v>-34.07</v>
      </c>
      <c r="V13" s="34" t="s">
        <v>280</v>
      </c>
      <c r="W13" s="39" t="n">
        <f aca="false">IFERROR(INDEX('Data 2'!$L$2:$L$2198,MATCH(V13,'Data 2'!$A$2:$A$2198,0)), 0)</f>
        <v>-45.7866666666667</v>
      </c>
      <c r="X13" s="39" t="n">
        <f aca="false">IFERROR(INDEX('Data 2'!$M$2:$M$2198,MATCH(V13,'Data 2'!$A$2:$A$2198,0)), 0)</f>
        <v>-127.335</v>
      </c>
      <c r="Y13" s="37"/>
      <c r="Z13" s="37"/>
    </row>
    <row r="14" customFormat="false" ht="15.75" hidden="false" customHeight="true" outlineLevel="0" collapsed="false">
      <c r="A14" s="34" t="s">
        <v>153</v>
      </c>
      <c r="B14" s="67" t="n">
        <f aca="false">IFERROR(INDEX('Data 2'!$L$2:$L$2198,MATCH(A14,'Data 2'!$A$2:$A$2198,0)), 0)</f>
        <v>6.94</v>
      </c>
      <c r="C14" s="67" t="n">
        <f aca="false">IFERROR(INDEX('Data 2'!$M$2:$M$2198,MATCH(A14,'Data 2'!$A$2:$A$2198,0)), 0)</f>
        <v>8.3325</v>
      </c>
      <c r="D14" s="34" t="s">
        <v>280</v>
      </c>
      <c r="E14" s="39" t="n">
        <f aca="false">IFERROR(INDEX('Data 2'!$L$2:$L$2198,MATCH(D14,'Data 2'!$A$2:$A$2198,0)), 0)</f>
        <v>-45.7866666666667</v>
      </c>
      <c r="F14" s="39" t="n">
        <f aca="false">IFERROR(INDEX('Data 2'!$M$2:$M$2198,MATCH(D14,'Data 2'!$A$2:$A$2198,0)), 0)</f>
        <v>-127.335</v>
      </c>
      <c r="G14" s="34" t="s">
        <v>152</v>
      </c>
      <c r="H14" s="39" t="n">
        <f aca="false">IFERROR(INDEX('Data 2'!$L$2:$L$2198,MATCH(G14,'Data 2'!$A$2:$A$2198,0)), 0)</f>
        <v>-31.75</v>
      </c>
      <c r="I14" s="39" t="n">
        <f aca="false">IFERROR(INDEX('Data 2'!$M$2:$M$2198,MATCH(G14,'Data 2'!$A$2:$A$2198,0)), 0)</f>
        <v>-62.4425</v>
      </c>
      <c r="J14" s="34" t="s">
        <v>86</v>
      </c>
      <c r="K14" s="39" t="n">
        <f aca="false">IFERROR(INDEX('Data 2'!$L$2:$L$2198,MATCH(J14,'Data 2'!$A$2:$A$2198,0)), 0)</f>
        <v>-21.0866666666667</v>
      </c>
      <c r="L14" s="39" t="n">
        <f aca="false">IFERROR(INDEX('Data 2'!$M$2:$M$2198,MATCH(J14,'Data 2'!$A$2:$A$2198,0)), 0)</f>
        <v>24.30875</v>
      </c>
      <c r="M14" s="34" t="s">
        <v>293</v>
      </c>
      <c r="N14" s="39" t="n">
        <f aca="false">IFERROR(INDEX('Data 2'!$L$2:$L$2198,MATCH(M14,'Data 2'!$A$2:$A$2198,0)), 0)</f>
        <v>-59.95</v>
      </c>
      <c r="O14" s="39" t="n">
        <f aca="false">IFERROR(INDEX('Data 2'!$M$2:$M$2198,MATCH(M14,'Data 2'!$A$2:$A$2198,0)), 0)</f>
        <v>-69.39</v>
      </c>
      <c r="P14" s="34" t="s">
        <v>294</v>
      </c>
      <c r="Q14" s="39" t="n">
        <f aca="false">IFERROR(INDEX('Data 2'!$L$2:$L$2198,MATCH(P14,'Data 2'!$A$2:$A$2198,0)), 0)</f>
        <v>36.61</v>
      </c>
      <c r="R14" s="39" t="n">
        <f aca="false">IFERROR(INDEX('Data 2'!$M$2:$M$2198,MATCH(P14,'Data 2'!$A$2:$A$2198,0)), 0)</f>
        <v>28.175</v>
      </c>
      <c r="S14" s="34" t="s">
        <v>259</v>
      </c>
      <c r="T14" s="39" t="n">
        <f aca="false">IFERROR(INDEX('Data 2'!$L$2:$L$2198,MATCH(S14,'Data 2'!$A$2:$A$2198,0)), 0)</f>
        <v>-41.1633333333333</v>
      </c>
      <c r="U14" s="39" t="n">
        <f aca="false">IFERROR(INDEX('Data 2'!$M$2:$M$2198,MATCH(S14,'Data 2'!$A$2:$A$2198,0)), 0)</f>
        <v>34.05</v>
      </c>
      <c r="V14" s="34" t="s">
        <v>283</v>
      </c>
      <c r="W14" s="39" t="n">
        <f aca="false">IFERROR(INDEX('Data 2'!$L$2:$L$2198,MATCH(V14,'Data 2'!$A$2:$A$2198,0)), 0)</f>
        <v>-5.29</v>
      </c>
      <c r="X14" s="39" t="n">
        <f aca="false">IFERROR(INDEX('Data 2'!$M$2:$M$2198,MATCH(V14,'Data 2'!$A$2:$A$2198,0)), 0)</f>
        <v>-29.5925</v>
      </c>
      <c r="Y14" s="37"/>
      <c r="Z14" s="37"/>
    </row>
    <row r="15" customFormat="false" ht="15.75" hidden="false" customHeight="true" outlineLevel="0" collapsed="false">
      <c r="A15" s="34" t="s">
        <v>84</v>
      </c>
      <c r="B15" s="67" t="n">
        <f aca="false">IFERROR(INDEX('Data 2'!$L$2:$L$2198,MATCH(A15,'Data 2'!$A$2:$A$2198,0)), 0)</f>
        <v>95.9866666666667</v>
      </c>
      <c r="C15" s="67" t="n">
        <f aca="false">IFERROR(INDEX('Data 2'!$M$2:$M$2198,MATCH(A15,'Data 2'!$A$2:$A$2198,0)), 0)</f>
        <v>175.51</v>
      </c>
      <c r="D15" s="34" t="s">
        <v>238</v>
      </c>
      <c r="E15" s="39" t="n">
        <f aca="false">IFERROR(INDEX('Data 2'!$L$2:$L$2198,MATCH(D15,'Data 2'!$A$2:$A$2198,0)), 0)</f>
        <v>-64.89</v>
      </c>
      <c r="F15" s="39" t="n">
        <f aca="false">IFERROR(INDEX('Data 2'!$M$2:$M$2198,MATCH(D15,'Data 2'!$A$2:$A$2198,0)), 0)</f>
        <v>-70.58875</v>
      </c>
      <c r="G15" s="34" t="s">
        <v>96</v>
      </c>
      <c r="H15" s="39" t="n">
        <f aca="false">IFERROR(INDEX('Data 2'!$L$2:$L$2198,MATCH(G15,'Data 2'!$A$2:$A$2198,0)), 0)</f>
        <v>122.496666666667</v>
      </c>
      <c r="I15" s="39" t="n">
        <f aca="false">IFERROR(INDEX('Data 2'!$M$2:$M$2198,MATCH(G15,'Data 2'!$A$2:$A$2198,0)), 0)</f>
        <v>149.74</v>
      </c>
      <c r="J15" s="34" t="s">
        <v>175</v>
      </c>
      <c r="K15" s="39" t="n">
        <f aca="false">IFERROR(INDEX('Data 2'!$L$2:$L$2198,MATCH(J15,'Data 2'!$A$2:$A$2198,0)), 0)</f>
        <v>-29.3333333333333</v>
      </c>
      <c r="L15" s="39" t="n">
        <f aca="false">IFERROR(INDEX('Data 2'!$M$2:$M$2198,MATCH(J15,'Data 2'!$A$2:$A$2198,0)), 0)</f>
        <v>88.9825</v>
      </c>
      <c r="M15" s="34" t="s">
        <v>214</v>
      </c>
      <c r="N15" s="39" t="n">
        <f aca="false">IFERROR(INDEX('Data 2'!$L$2:$L$2198,MATCH(M15,'Data 2'!$A$2:$A$2198,0)), 0)</f>
        <v>-51.1466666666667</v>
      </c>
      <c r="O15" s="39" t="n">
        <f aca="false">IFERROR(INDEX('Data 2'!$M$2:$M$2198,MATCH(M15,'Data 2'!$A$2:$A$2198,0)), 0)</f>
        <v>-20.8325</v>
      </c>
      <c r="P15" s="34" t="s">
        <v>295</v>
      </c>
      <c r="Q15" s="39" t="n">
        <f aca="false">IFERROR(INDEX('Data 2'!$L$2:$L$2198,MATCH(P15,'Data 2'!$A$2:$A$2198,0)), 0)</f>
        <v>-51.7966666666667</v>
      </c>
      <c r="R15" s="39" t="n">
        <f aca="false">IFERROR(INDEX('Data 2'!$M$2:$M$2198,MATCH(P15,'Data 2'!$A$2:$A$2198,0)), 0)</f>
        <v>-48.165875</v>
      </c>
      <c r="S15" s="34" t="s">
        <v>210</v>
      </c>
      <c r="T15" s="39" t="n">
        <f aca="false">IFERROR(INDEX('Data 2'!$L$2:$L$2198,MATCH(S15,'Data 2'!$A$2:$A$2198,0)), 0)</f>
        <v>-45.7133333333333</v>
      </c>
      <c r="U15" s="39" t="n">
        <f aca="false">IFERROR(INDEX('Data 2'!$M$2:$M$2198,MATCH(S15,'Data 2'!$A$2:$A$2198,0)), 0)</f>
        <v>-44.9425</v>
      </c>
      <c r="V15" s="34" t="s">
        <v>69</v>
      </c>
      <c r="W15" s="39" t="n">
        <f aca="false">IFERROR(INDEX('Data 2'!$L$2:$L$2198,MATCH(V15,'Data 2'!$A$2:$A$2198,0)), 0)</f>
        <v>21.6666666666667</v>
      </c>
      <c r="X15" s="39" t="n">
        <f aca="false">IFERROR(INDEX('Data 2'!$M$2:$M$2198,MATCH(V15,'Data 2'!$A$2:$A$2198,0)), 0)</f>
        <v>85.72625</v>
      </c>
      <c r="Y15" s="37"/>
      <c r="Z15" s="37"/>
    </row>
    <row r="16" customFormat="false" ht="15.75" hidden="false" customHeight="true" outlineLevel="0" collapsed="false">
      <c r="A16" s="34" t="s">
        <v>161</v>
      </c>
      <c r="B16" s="67" t="n">
        <f aca="false">IFERROR(INDEX('Data 2'!$L$2:$L$2198,MATCH(A16,'Data 2'!$A$2:$A$2198,0)), 0)</f>
        <v>-103.4</v>
      </c>
      <c r="C16" s="67" t="n">
        <f aca="false">IFERROR(INDEX('Data 2'!$M$2:$M$2198,MATCH(A16,'Data 2'!$A$2:$A$2198,0)), 0)</f>
        <v>-110.97875</v>
      </c>
      <c r="D16" s="34" t="s">
        <v>100</v>
      </c>
      <c r="E16" s="39" t="n">
        <f aca="false">IFERROR(INDEX('Data 2'!$L$2:$L$2198,MATCH(D16,'Data 2'!$A$2:$A$2198,0)), 0)</f>
        <v>-49.2966666666667</v>
      </c>
      <c r="F16" s="39" t="n">
        <f aca="false">IFERROR(INDEX('Data 2'!$M$2:$M$2198,MATCH(D16,'Data 2'!$A$2:$A$2198,0)), 0)</f>
        <v>-60.60125</v>
      </c>
      <c r="G16" s="34" t="s">
        <v>36</v>
      </c>
      <c r="H16" s="39" t="n">
        <f aca="false">IFERROR(INDEX('Data 2'!$L$2:$L$2198,MATCH(G16,'Data 2'!$A$2:$A$2198,0)), 0)</f>
        <v>51.71</v>
      </c>
      <c r="I16" s="39" t="n">
        <f aca="false">IFERROR(INDEX('Data 2'!$M$2:$M$2198,MATCH(G16,'Data 2'!$A$2:$A$2198,0)), 0)</f>
        <v>81.9225</v>
      </c>
      <c r="J16" s="34" t="s">
        <v>195</v>
      </c>
      <c r="K16" s="39" t="n">
        <f aca="false">IFERROR(INDEX('Data 2'!$L$2:$L$2198,MATCH(J16,'Data 2'!$A$2:$A$2198,0)), 0)</f>
        <v>81.51</v>
      </c>
      <c r="L16" s="39" t="n">
        <f aca="false">IFERROR(INDEX('Data 2'!$M$2:$M$2198,MATCH(J16,'Data 2'!$A$2:$A$2198,0)), 0)</f>
        <v>27.55625</v>
      </c>
      <c r="M16" s="34" t="s">
        <v>208</v>
      </c>
      <c r="N16" s="39" t="n">
        <f aca="false">IFERROR(INDEX('Data 2'!$L$2:$L$2198,MATCH(M16,'Data 2'!$A$2:$A$2198,0)), 0)</f>
        <v>85.1433333333333</v>
      </c>
      <c r="O16" s="39" t="n">
        <f aca="false">IFERROR(INDEX('Data 2'!$M$2:$M$2198,MATCH(M16,'Data 2'!$A$2:$A$2198,0)), 0)</f>
        <v>17.8525</v>
      </c>
      <c r="P16" s="34" t="s">
        <v>278</v>
      </c>
      <c r="Q16" s="39" t="n">
        <f aca="false">IFERROR(INDEX('Data 2'!$L$2:$L$2198,MATCH(P16,'Data 2'!$A$2:$A$2198,0)), 0)</f>
        <v>5.04666666666666</v>
      </c>
      <c r="R16" s="39" t="n">
        <f aca="false">IFERROR(INDEX('Data 2'!$M$2:$M$2198,MATCH(P16,'Data 2'!$A$2:$A$2198,0)), 0)</f>
        <v>7.70625</v>
      </c>
      <c r="S16" s="34" t="s">
        <v>283</v>
      </c>
      <c r="T16" s="39" t="n">
        <f aca="false">IFERROR(INDEX('Data 2'!$L$2:$L$2198,MATCH(S16,'Data 2'!$A$2:$A$2198,0)), 0)</f>
        <v>-5.29</v>
      </c>
      <c r="U16" s="39" t="n">
        <f aca="false">IFERROR(INDEX('Data 2'!$M$2:$M$2198,MATCH(S16,'Data 2'!$A$2:$A$2198,0)), 0)</f>
        <v>-29.5925</v>
      </c>
      <c r="V16" s="34" t="s">
        <v>44</v>
      </c>
      <c r="W16" s="39" t="n">
        <f aca="false">IFERROR(INDEX('Data 2'!$L$2:$L$2198,MATCH(V16,'Data 2'!$A$2:$A$2198,0)), 0)</f>
        <v>131.36</v>
      </c>
      <c r="X16" s="39" t="n">
        <f aca="false">IFERROR(INDEX('Data 2'!$M$2:$M$2198,MATCH(V16,'Data 2'!$A$2:$A$2198,0)), 0)</f>
        <v>88.9675</v>
      </c>
      <c r="Y16" s="37"/>
      <c r="Z16" s="37"/>
    </row>
    <row r="17" customFormat="false" ht="15.75" hidden="false" customHeight="true" outlineLevel="0" collapsed="false">
      <c r="A17" s="34" t="s">
        <v>177</v>
      </c>
      <c r="B17" s="67" t="n">
        <f aca="false">IFERROR(INDEX('Data 2'!$L$2:$L$2198,MATCH(A17,'Data 2'!$A$2:$A$2198,0)), 0)</f>
        <v>93.15</v>
      </c>
      <c r="C17" s="67" t="n">
        <f aca="false">IFERROR(INDEX('Data 2'!$M$2:$M$2198,MATCH(A17,'Data 2'!$A$2:$A$2198,0)), 0)</f>
        <v>66.21</v>
      </c>
      <c r="D17" s="34" t="s">
        <v>242</v>
      </c>
      <c r="E17" s="39" t="n">
        <f aca="false">IFERROR(INDEX('Data 2'!$L$2:$L$2198,MATCH(D17,'Data 2'!$A$2:$A$2198,0)), 0)</f>
        <v>-28.8833333333333</v>
      </c>
      <c r="F17" s="39" t="n">
        <f aca="false">IFERROR(INDEX('Data 2'!$M$2:$M$2198,MATCH(D17,'Data 2'!$A$2:$A$2198,0)), 0)</f>
        <v>-32.350375</v>
      </c>
      <c r="G17" s="34" t="s">
        <v>155</v>
      </c>
      <c r="H17" s="39" t="n">
        <f aca="false">IFERROR(INDEX('Data 2'!$L$2:$L$2198,MATCH(G17,'Data 2'!$A$2:$A$2198,0)), 0)</f>
        <v>-63.4633333333333</v>
      </c>
      <c r="I17" s="39" t="n">
        <f aca="false">IFERROR(INDEX('Data 2'!$M$2:$M$2198,MATCH(G17,'Data 2'!$A$2:$A$2198,0)), 0)</f>
        <v>-55.61125</v>
      </c>
      <c r="J17" s="34" t="s">
        <v>125</v>
      </c>
      <c r="K17" s="39" t="n">
        <f aca="false">IFERROR(INDEX('Data 2'!$L$2:$L$2198,MATCH(J17,'Data 2'!$A$2:$A$2198,0)), 0)</f>
        <v>-14.7033333333333</v>
      </c>
      <c r="L17" s="39" t="n">
        <f aca="false">IFERROR(INDEX('Data 2'!$M$2:$M$2198,MATCH(J17,'Data 2'!$A$2:$A$2198,0)), 0)</f>
        <v>-100.21</v>
      </c>
      <c r="M17" s="34" t="s">
        <v>205</v>
      </c>
      <c r="N17" s="39" t="n">
        <f aca="false">IFERROR(INDEX('Data 2'!$L$2:$L$2198,MATCH(M17,'Data 2'!$A$2:$A$2198,0)), 0)</f>
        <v>-75.23</v>
      </c>
      <c r="O17" s="39" t="n">
        <f aca="false">IFERROR(INDEX('Data 2'!$M$2:$M$2198,MATCH(M17,'Data 2'!$A$2:$A$2198,0)), 0)</f>
        <v>-103.5975</v>
      </c>
      <c r="P17" s="34" t="s">
        <v>296</v>
      </c>
      <c r="Q17" s="39" t="n">
        <f aca="false">IFERROR(INDEX('Data 2'!$L$2:$L$2198,MATCH(P17,'Data 2'!$A$2:$A$2198,0)), 0)</f>
        <v>-55.6233333333333</v>
      </c>
      <c r="R17" s="39" t="n">
        <f aca="false">IFERROR(INDEX('Data 2'!$M$2:$M$2198,MATCH(P17,'Data 2'!$A$2:$A$2198,0)), 0)</f>
        <v>2.6875</v>
      </c>
      <c r="S17" s="34" t="s">
        <v>69</v>
      </c>
      <c r="T17" s="39" t="n">
        <f aca="false">IFERROR(INDEX('Data 2'!$L$2:$L$2198,MATCH(S17,'Data 2'!$A$2:$A$2198,0)), 0)</f>
        <v>21.6666666666667</v>
      </c>
      <c r="U17" s="39" t="n">
        <f aca="false">IFERROR(INDEX('Data 2'!$M$2:$M$2198,MATCH(S17,'Data 2'!$A$2:$A$2198,0)), 0)</f>
        <v>85.72625</v>
      </c>
      <c r="V17" s="34" t="s">
        <v>277</v>
      </c>
      <c r="W17" s="39" t="n">
        <f aca="false">IFERROR(INDEX('Data 2'!$L$2:$L$2198,MATCH(V17,'Data 2'!$A$2:$A$2198,0)), 0)</f>
        <v>-82.6766666666667</v>
      </c>
      <c r="X17" s="39" t="n">
        <f aca="false">IFERROR(INDEX('Data 2'!$M$2:$M$2198,MATCH(V17,'Data 2'!$A$2:$A$2198,0)), 0)</f>
        <v>-95.48</v>
      </c>
      <c r="Y17" s="37"/>
      <c r="Z17" s="37"/>
    </row>
    <row r="18" customFormat="false" ht="15.75" hidden="false" customHeight="true" outlineLevel="0" collapsed="false">
      <c r="A18" s="34" t="s">
        <v>73</v>
      </c>
      <c r="B18" s="67" t="n">
        <f aca="false">IFERROR(INDEX('Data 2'!$L$2:$L$2198,MATCH(A18,'Data 2'!$A$2:$A$2198,0)), 0)</f>
        <v>-21.05</v>
      </c>
      <c r="C18" s="67" t="n">
        <f aca="false">IFERROR(INDEX('Data 2'!$M$2:$M$2198,MATCH(A18,'Data 2'!$A$2:$A$2198,0)), 0)</f>
        <v>101.3275</v>
      </c>
      <c r="D18" s="34" t="s">
        <v>176</v>
      </c>
      <c r="E18" s="39" t="n">
        <f aca="false">IFERROR(INDEX('Data 2'!$L$2:$L$2198,MATCH(D18,'Data 2'!$A$2:$A$2198,0)), 0)</f>
        <v>-43.4966666666667</v>
      </c>
      <c r="F18" s="39" t="n">
        <f aca="false">IFERROR(INDEX('Data 2'!$M$2:$M$2198,MATCH(D18,'Data 2'!$A$2:$A$2198,0)), 0)</f>
        <v>-34.07</v>
      </c>
      <c r="G18" s="34" t="s">
        <v>297</v>
      </c>
      <c r="H18" s="39" t="n">
        <f aca="false">IFERROR(INDEX('Data 2'!$L$2:$L$2198,MATCH(G18,'Data 2'!$A$2:$A$2198,0)), 0)</f>
        <v>-51.7133333333333</v>
      </c>
      <c r="I18" s="39" t="n">
        <f aca="false">IFERROR(INDEX('Data 2'!$M$2:$M$2198,MATCH(G18,'Data 2'!$A$2:$A$2198,0)), 0)</f>
        <v>-2.8625</v>
      </c>
      <c r="J18" s="34" t="s">
        <v>232</v>
      </c>
      <c r="K18" s="39" t="n">
        <f aca="false">IFERROR(INDEX('Data 2'!$L$2:$L$2198,MATCH(J18,'Data 2'!$A$2:$A$2198,0)), 0)</f>
        <v>-100.76</v>
      </c>
      <c r="L18" s="39" t="n">
        <f aca="false">IFERROR(INDEX('Data 2'!$M$2:$M$2198,MATCH(J18,'Data 2'!$A$2:$A$2198,0)), 0)</f>
        <v>-79.82</v>
      </c>
      <c r="M18" s="34" t="s">
        <v>233</v>
      </c>
      <c r="N18" s="39" t="n">
        <f aca="false">IFERROR(INDEX('Data 2'!$L$2:$L$2198,MATCH(M18,'Data 2'!$A$2:$A$2198,0)), 0)</f>
        <v>32.1466666666667</v>
      </c>
      <c r="O18" s="39" t="n">
        <f aca="false">IFERROR(INDEX('Data 2'!$M$2:$M$2198,MATCH(M18,'Data 2'!$A$2:$A$2198,0)), 0)</f>
        <v>-12.21375</v>
      </c>
      <c r="P18" s="34" t="s">
        <v>298</v>
      </c>
      <c r="Q18" s="39" t="n">
        <f aca="false">IFERROR(INDEX('Data 2'!$L$2:$L$2198,MATCH(P18,'Data 2'!$A$2:$A$2198,0)), 0)</f>
        <v>-33.84</v>
      </c>
      <c r="R18" s="39" t="n">
        <f aca="false">IFERROR(INDEX('Data 2'!$M$2:$M$2198,MATCH(P18,'Data 2'!$A$2:$A$2198,0)), 0)</f>
        <v>78.3875</v>
      </c>
      <c r="S18" s="34" t="s">
        <v>44</v>
      </c>
      <c r="T18" s="39" t="n">
        <f aca="false">IFERROR(INDEX('Data 2'!$L$2:$L$2198,MATCH(S18,'Data 2'!$A$2:$A$2198,0)), 0)</f>
        <v>131.36</v>
      </c>
      <c r="U18" s="39" t="n">
        <f aca="false">IFERROR(INDEX('Data 2'!$M$2:$M$2198,MATCH(S18,'Data 2'!$A$2:$A$2198,0)), 0)</f>
        <v>88.9675</v>
      </c>
      <c r="V18" s="34" t="s">
        <v>285</v>
      </c>
      <c r="W18" s="39" t="n">
        <f aca="false">IFERROR(INDEX('Data 2'!$L$2:$L$2198,MATCH(V18,'Data 2'!$A$2:$A$2198,0)), 0)</f>
        <v>-17.1866666666667</v>
      </c>
      <c r="X18" s="39" t="n">
        <f aca="false">IFERROR(INDEX('Data 2'!$M$2:$M$2198,MATCH(V18,'Data 2'!$A$2:$A$2198,0)), 0)</f>
        <v>63.2625</v>
      </c>
      <c r="Y18" s="37"/>
      <c r="Z18" s="37"/>
    </row>
    <row r="19" customFormat="false" ht="15.75" hidden="false" customHeight="true" outlineLevel="0" collapsed="false">
      <c r="A19" s="34" t="s">
        <v>81</v>
      </c>
      <c r="B19" s="67" t="n">
        <f aca="false">IFERROR(INDEX('Data 2'!$L$2:$L$2198,MATCH(A19,'Data 2'!$A$2:$A$2198,0)), 0)</f>
        <v>-25.0066666666667</v>
      </c>
      <c r="C19" s="67" t="n">
        <f aca="false">IFERROR(INDEX('Data 2'!$M$2:$M$2198,MATCH(A19,'Data 2'!$A$2:$A$2198,0)), 0)</f>
        <v>58.935</v>
      </c>
      <c r="D19" s="34" t="s">
        <v>259</v>
      </c>
      <c r="E19" s="39" t="n">
        <f aca="false">IFERROR(INDEX('Data 2'!$L$2:$L$2198,MATCH(D19,'Data 2'!$A$2:$A$2198,0)), 0)</f>
        <v>-41.1633333333333</v>
      </c>
      <c r="F19" s="39" t="n">
        <f aca="false">IFERROR(INDEX('Data 2'!$M$2:$M$2198,MATCH(D19,'Data 2'!$A$2:$A$2198,0)), 0)</f>
        <v>34.05</v>
      </c>
      <c r="G19" s="34" t="s">
        <v>165</v>
      </c>
      <c r="H19" s="39" t="n">
        <f aca="false">IFERROR(INDEX('Data 2'!$L$2:$L$2198,MATCH(G19,'Data 2'!$A$2:$A$2198,0)), 0)</f>
        <v>35.1866666666667</v>
      </c>
      <c r="I19" s="39" t="n">
        <f aca="false">IFERROR(INDEX('Data 2'!$M$2:$M$2198,MATCH(G19,'Data 2'!$A$2:$A$2198,0)), 0)</f>
        <v>-31.80375</v>
      </c>
      <c r="J19" s="34" t="s">
        <v>154</v>
      </c>
      <c r="K19" s="39" t="n">
        <f aca="false">IFERROR(INDEX('Data 2'!$L$2:$L$2198,MATCH(J19,'Data 2'!$A$2:$A$2198,0)), 0)</f>
        <v>-94.6633333333333</v>
      </c>
      <c r="L19" s="39" t="n">
        <f aca="false">IFERROR(INDEX('Data 2'!$M$2:$M$2198,MATCH(J19,'Data 2'!$A$2:$A$2198,0)), 0)</f>
        <v>-94.76625</v>
      </c>
      <c r="M19" s="34" t="s">
        <v>299</v>
      </c>
      <c r="N19" s="39" t="n">
        <f aca="false">IFERROR(INDEX('Data 2'!$L$2:$L$2198,MATCH(M19,'Data 2'!$A$2:$A$2198,0)), 0)</f>
        <v>117.413333333333</v>
      </c>
      <c r="O19" s="39" t="n">
        <f aca="false">IFERROR(INDEX('Data 2'!$M$2:$M$2198,MATCH(M19,'Data 2'!$A$2:$A$2198,0)), 0)</f>
        <v>-0.816249999999998</v>
      </c>
      <c r="P19" s="34" t="s">
        <v>300</v>
      </c>
      <c r="Q19" s="39" t="n">
        <f aca="false">IFERROR(INDEX('Data 2'!$L$2:$L$2198,MATCH(P19,'Data 2'!$A$2:$A$2198,0)), 0)</f>
        <v>39.3233333333333</v>
      </c>
      <c r="R19" s="39" t="n">
        <f aca="false">IFERROR(INDEX('Data 2'!$M$2:$M$2198,MATCH(P19,'Data 2'!$A$2:$A$2198,0)), 0)</f>
        <v>13.7575</v>
      </c>
      <c r="S19" s="34" t="s">
        <v>289</v>
      </c>
      <c r="T19" s="39" t="n">
        <f aca="false">IFERROR(INDEX('Data 2'!$L$2:$L$2198,MATCH(S19,'Data 2'!$A$2:$A$2198,0)), 0)</f>
        <v>-91.2733333333333</v>
      </c>
      <c r="U19" s="39" t="n">
        <f aca="false">IFERROR(INDEX('Data 2'!$M$2:$M$2198,MATCH(S19,'Data 2'!$A$2:$A$2198,0)), 0)</f>
        <v>-42.996375</v>
      </c>
      <c r="V19" s="34" t="s">
        <v>286</v>
      </c>
      <c r="W19" s="39" t="n">
        <f aca="false">IFERROR(INDEX('Data 2'!$L$2:$L$2198,MATCH(V19,'Data 2'!$A$2:$A$2198,0)), 0)</f>
        <v>31.3533333333333</v>
      </c>
      <c r="X19" s="39" t="n">
        <f aca="false">IFERROR(INDEX('Data 2'!$M$2:$M$2198,MATCH(V19,'Data 2'!$A$2:$A$2198,0)), 0)</f>
        <v>-19.5425</v>
      </c>
      <c r="Y19" s="37"/>
      <c r="Z19" s="37"/>
    </row>
    <row r="20" customFormat="false" ht="15.75" hidden="false" customHeight="true" outlineLevel="0" collapsed="false">
      <c r="A20" s="34" t="s">
        <v>75</v>
      </c>
      <c r="B20" s="67" t="n">
        <f aca="false">IFERROR(INDEX('Data 2'!$L$2:$L$2198,MATCH(A20,'Data 2'!$A$2:$A$2198,0)), 0)</f>
        <v>-81.87</v>
      </c>
      <c r="C20" s="67" t="n">
        <f aca="false">IFERROR(INDEX('Data 2'!$M$2:$M$2198,MATCH(A20,'Data 2'!$A$2:$A$2198,0)), 0)</f>
        <v>-86.44</v>
      </c>
      <c r="D20" s="34" t="s">
        <v>210</v>
      </c>
      <c r="E20" s="39" t="n">
        <f aca="false">IFERROR(INDEX('Data 2'!$L$2:$L$2198,MATCH(D20,'Data 2'!$A$2:$A$2198,0)), 0)</f>
        <v>-45.7133333333333</v>
      </c>
      <c r="F20" s="39" t="n">
        <f aca="false">IFERROR(INDEX('Data 2'!$M$2:$M$2198,MATCH(D20,'Data 2'!$A$2:$A$2198,0)), 0)</f>
        <v>-44.9425</v>
      </c>
      <c r="G20" s="34" t="s">
        <v>108</v>
      </c>
      <c r="H20" s="39" t="n">
        <f aca="false">IFERROR(INDEX('Data 2'!$L$2:$L$2198,MATCH(G20,'Data 2'!$A$2:$A$2198,0)), 0)</f>
        <v>102.713333333333</v>
      </c>
      <c r="I20" s="39" t="n">
        <f aca="false">IFERROR(INDEX('Data 2'!$M$2:$M$2198,MATCH(G20,'Data 2'!$A$2:$A$2198,0)), 0)</f>
        <v>125.28625</v>
      </c>
      <c r="J20" s="34" t="s">
        <v>67</v>
      </c>
      <c r="K20" s="39" t="n">
        <f aca="false">IFERROR(INDEX('Data 2'!$L$2:$L$2198,MATCH(J20,'Data 2'!$A$2:$A$2198,0)), 0)</f>
        <v>13.2466666666667</v>
      </c>
      <c r="L20" s="39" t="n">
        <f aca="false">IFERROR(INDEX('Data 2'!$M$2:$M$2198,MATCH(J20,'Data 2'!$A$2:$A$2198,0)), 0)</f>
        <v>20.1475</v>
      </c>
      <c r="M20" s="34" t="s">
        <v>95</v>
      </c>
      <c r="N20" s="39" t="n">
        <f aca="false">IFERROR(INDEX('Data 2'!$L$2:$L$2198,MATCH(M20,'Data 2'!$A$2:$A$2198,0)), 0)</f>
        <v>1.26666666666667</v>
      </c>
      <c r="O20" s="39" t="n">
        <f aca="false">IFERROR(INDEX('Data 2'!$M$2:$M$2198,MATCH(M20,'Data 2'!$A$2:$A$2198,0)), 0)</f>
        <v>15.28625</v>
      </c>
      <c r="P20" s="34" t="s">
        <v>229</v>
      </c>
      <c r="Q20" s="39" t="n">
        <f aca="false">IFERROR(INDEX('Data 2'!$L$2:$L$2198,MATCH(P20,'Data 2'!$A$2:$A$2198,0)), 0)</f>
        <v>-89.57</v>
      </c>
      <c r="R20" s="39" t="n">
        <f aca="false">IFERROR(INDEX('Data 2'!$M$2:$M$2198,MATCH(P20,'Data 2'!$A$2:$A$2198,0)), 0)</f>
        <v>-74.96375</v>
      </c>
      <c r="S20" s="34" t="s">
        <v>137</v>
      </c>
      <c r="T20" s="39" t="n">
        <f aca="false">IFERROR(INDEX('Data 2'!$L$2:$L$2198,MATCH(S20,'Data 2'!$A$2:$A$2198,0)), 0)</f>
        <v>76.8033333333333</v>
      </c>
      <c r="U20" s="39" t="n">
        <f aca="false">IFERROR(INDEX('Data 2'!$M$2:$M$2198,MATCH(S20,'Data 2'!$A$2:$A$2198,0)), 0)</f>
        <v>153.40375</v>
      </c>
      <c r="V20" s="34" t="s">
        <v>288</v>
      </c>
      <c r="W20" s="39" t="n">
        <f aca="false">IFERROR(INDEX('Data 2'!$L$2:$L$2198,MATCH(V20,'Data 2'!$A$2:$A$2198,0)), 0)</f>
        <v>-98.5633333333333</v>
      </c>
      <c r="X20" s="39" t="n">
        <f aca="false">IFERROR(INDEX('Data 2'!$M$2:$M$2198,MATCH(V20,'Data 2'!$A$2:$A$2198,0)), 0)</f>
        <v>-7.50125</v>
      </c>
      <c r="Y20" s="37"/>
      <c r="Z20" s="37"/>
    </row>
    <row r="21" customFormat="false" ht="15.75" hidden="false" customHeight="true" outlineLevel="0" collapsed="false">
      <c r="A21" s="34" t="s">
        <v>59</v>
      </c>
      <c r="B21" s="67" t="n">
        <f aca="false">IFERROR(INDEX('Data 2'!$L$2:$L$2198,MATCH(A21,'Data 2'!$A$2:$A$2198,0)), 0)</f>
        <v>-109.336666666667</v>
      </c>
      <c r="C21" s="67" t="n">
        <f aca="false">IFERROR(INDEX('Data 2'!$M$2:$M$2198,MATCH(A21,'Data 2'!$A$2:$A$2198,0)), 0)</f>
        <v>-42.04375</v>
      </c>
      <c r="D21" s="34" t="s">
        <v>283</v>
      </c>
      <c r="E21" s="39" t="n">
        <f aca="false">IFERROR(INDEX('Data 2'!$L$2:$L$2198,MATCH(D21,'Data 2'!$A$2:$A$2198,0)), 0)</f>
        <v>-5.29</v>
      </c>
      <c r="F21" s="39" t="n">
        <f aca="false">IFERROR(INDEX('Data 2'!$M$2:$M$2198,MATCH(D21,'Data 2'!$A$2:$A$2198,0)), 0)</f>
        <v>-29.5925</v>
      </c>
      <c r="G21" s="34" t="s">
        <v>193</v>
      </c>
      <c r="H21" s="39" t="n">
        <f aca="false">IFERROR(INDEX('Data 2'!$L$2:$L$2198,MATCH(G21,'Data 2'!$A$2:$A$2198,0)), 0)</f>
        <v>-91.0833333333333</v>
      </c>
      <c r="I21" s="39" t="n">
        <f aca="false">IFERROR(INDEX('Data 2'!$M$2:$M$2198,MATCH(G21,'Data 2'!$A$2:$A$2198,0)), 0)</f>
        <v>-69.4225</v>
      </c>
      <c r="J21" s="34" t="s">
        <v>227</v>
      </c>
      <c r="K21" s="39" t="n">
        <f aca="false">IFERROR(INDEX('Data 2'!$L$2:$L$2198,MATCH(J21,'Data 2'!$A$2:$A$2198,0)), 0)</f>
        <v>-22.5566666666667</v>
      </c>
      <c r="L21" s="39" t="n">
        <f aca="false">IFERROR(INDEX('Data 2'!$M$2:$M$2198,MATCH(J21,'Data 2'!$A$2:$A$2198,0)), 0)</f>
        <v>7.9675</v>
      </c>
      <c r="M21" s="34" t="s">
        <v>301</v>
      </c>
      <c r="N21" s="39" t="n">
        <f aca="false">IFERROR(INDEX('Data 2'!$L$2:$L$2198,MATCH(M21,'Data 2'!$A$2:$A$2198,0)), 0)</f>
        <v>-52.5533333333333</v>
      </c>
      <c r="O21" s="39" t="n">
        <f aca="false">IFERROR(INDEX('Data 2'!$M$2:$M$2198,MATCH(M21,'Data 2'!$A$2:$A$2198,0)), 0)</f>
        <v>0.891249999999998</v>
      </c>
      <c r="P21" s="34" t="s">
        <v>282</v>
      </c>
      <c r="Q21" s="39" t="n">
        <f aca="false">IFERROR(INDEX('Data 2'!$L$2:$L$2198,MATCH(P21,'Data 2'!$A$2:$A$2198,0)), 0)</f>
        <v>-99.58</v>
      </c>
      <c r="R21" s="39" t="n">
        <f aca="false">IFERROR(INDEX('Data 2'!$M$2:$M$2198,MATCH(P21,'Data 2'!$A$2:$A$2198,0)), 0)</f>
        <v>-50.74875</v>
      </c>
      <c r="S21" s="34" t="s">
        <v>143</v>
      </c>
      <c r="T21" s="39" t="n">
        <f aca="false">IFERROR(INDEX('Data 2'!$L$2:$L$2198,MATCH(S21,'Data 2'!$A$2:$A$2198,0)), 0)</f>
        <v>-95.64</v>
      </c>
      <c r="U21" s="39" t="n">
        <f aca="false">IFERROR(INDEX('Data 2'!$M$2:$M$2198,MATCH(S21,'Data 2'!$A$2:$A$2198,0)), 0)</f>
        <v>-29.11625</v>
      </c>
      <c r="V21" s="34" t="s">
        <v>289</v>
      </c>
      <c r="W21" s="39" t="n">
        <f aca="false">IFERROR(INDEX('Data 2'!$L$2:$L$2198,MATCH(V21,'Data 2'!$A$2:$A$2198,0)), 0)</f>
        <v>-91.2733333333333</v>
      </c>
      <c r="X21" s="39" t="n">
        <f aca="false">IFERROR(INDEX('Data 2'!$M$2:$M$2198,MATCH(V21,'Data 2'!$A$2:$A$2198,0)), 0)</f>
        <v>-42.996375</v>
      </c>
      <c r="Y21" s="37"/>
      <c r="Z21" s="37"/>
    </row>
    <row r="22" customFormat="false" ht="15.75" hidden="false" customHeight="true" outlineLevel="0" collapsed="false">
      <c r="A22" s="34" t="s">
        <v>184</v>
      </c>
      <c r="B22" s="67" t="n">
        <f aca="false">IFERROR(INDEX('Data 2'!$L$2:$L$2198,MATCH(A22,'Data 2'!$A$2:$A$2198,0)), 0)</f>
        <v>-36.83</v>
      </c>
      <c r="C22" s="67" t="n">
        <f aca="false">IFERROR(INDEX('Data 2'!$M$2:$M$2198,MATCH(A22,'Data 2'!$A$2:$A$2198,0)), 0)</f>
        <v>50.1</v>
      </c>
      <c r="D22" s="34" t="s">
        <v>69</v>
      </c>
      <c r="E22" s="39" t="n">
        <f aca="false">IFERROR(INDEX('Data 2'!$L$2:$L$2198,MATCH(D22,'Data 2'!$A$2:$A$2198,0)), 0)</f>
        <v>21.6666666666667</v>
      </c>
      <c r="F22" s="39" t="n">
        <f aca="false">IFERROR(INDEX('Data 2'!$M$2:$M$2198,MATCH(D22,'Data 2'!$A$2:$A$2198,0)), 0)</f>
        <v>85.72625</v>
      </c>
      <c r="G22" s="34" t="s">
        <v>106</v>
      </c>
      <c r="H22" s="39" t="n">
        <f aca="false">IFERROR(INDEX('Data 2'!$L$2:$L$2198,MATCH(G22,'Data 2'!$A$2:$A$2198,0)), 0)</f>
        <v>-61.0133333333333</v>
      </c>
      <c r="I22" s="39" t="n">
        <f aca="false">IFERROR(INDEX('Data 2'!$M$2:$M$2198,MATCH(G22,'Data 2'!$A$2:$A$2198,0)), 0)</f>
        <v>-23.73875</v>
      </c>
      <c r="J22" s="34" t="s">
        <v>302</v>
      </c>
      <c r="K22" s="39" t="n">
        <f aca="false">IFERROR(INDEX('Data 2'!$L$2:$L$2198,MATCH(J22,'Data 2'!$A$2:$A$2198,0)), 0)</f>
        <v>-83.54</v>
      </c>
      <c r="L22" s="39" t="n">
        <f aca="false">IFERROR(INDEX('Data 2'!$M$2:$M$2198,MATCH(J22,'Data 2'!$A$2:$A$2198,0)), 0)</f>
        <v>-27.4525</v>
      </c>
      <c r="M22" s="34" t="s">
        <v>303</v>
      </c>
      <c r="N22" s="39" t="n">
        <f aca="false">IFERROR(INDEX('Data 2'!$L$2:$L$2198,MATCH(M22,'Data 2'!$A$2:$A$2198,0)), 0)</f>
        <v>-6.21466666666667</v>
      </c>
      <c r="O22" s="39" t="n">
        <f aca="false">IFERROR(INDEX('Data 2'!$M$2:$M$2198,MATCH(M22,'Data 2'!$A$2:$A$2198,0)), 0)</f>
        <v>-51.14675</v>
      </c>
      <c r="P22" s="34" t="s">
        <v>304</v>
      </c>
      <c r="Q22" s="39" t="n">
        <f aca="false">IFERROR(INDEX('Data 2'!$L$2:$L$2198,MATCH(P22,'Data 2'!$A$2:$A$2198,0)), 0)</f>
        <v>-65.67</v>
      </c>
      <c r="R22" s="39" t="n">
        <f aca="false">IFERROR(INDEX('Data 2'!$M$2:$M$2198,MATCH(P22,'Data 2'!$A$2:$A$2198,0)), 0)</f>
        <v>33.08875</v>
      </c>
      <c r="S22" s="34" t="s">
        <v>129</v>
      </c>
      <c r="T22" s="39" t="n">
        <f aca="false">IFERROR(INDEX('Data 2'!$L$2:$L$2198,MATCH(S22,'Data 2'!$A$2:$A$2198,0)), 0)</f>
        <v>71.0833333333333</v>
      </c>
      <c r="U22" s="39" t="n">
        <f aca="false">IFERROR(INDEX('Data 2'!$M$2:$M$2198,MATCH(S22,'Data 2'!$A$2:$A$2198,0)), 0)</f>
        <v>147.7425</v>
      </c>
      <c r="V22" s="34" t="s">
        <v>291</v>
      </c>
      <c r="W22" s="39" t="n">
        <f aca="false">IFERROR(INDEX('Data 2'!$L$2:$L$2198,MATCH(V22,'Data 2'!$A$2:$A$2198,0)), 0)</f>
        <v>-39.3633333333333</v>
      </c>
      <c r="X22" s="39" t="n">
        <f aca="false">IFERROR(INDEX('Data 2'!$M$2:$M$2198,MATCH(V22,'Data 2'!$A$2:$A$2198,0)), 0)</f>
        <v>-82.145</v>
      </c>
      <c r="Y22" s="37"/>
      <c r="Z22" s="37"/>
    </row>
    <row r="23" customFormat="false" ht="15.75" hidden="false" customHeight="true" outlineLevel="0" collapsed="false">
      <c r="A23" s="34" t="s">
        <v>139</v>
      </c>
      <c r="B23" s="67" t="n">
        <f aca="false">IFERROR(INDEX('Data 2'!$L$2:$L$2198,MATCH(A23,'Data 2'!$A$2:$A$2198,0)), 0)</f>
        <v>-42.98</v>
      </c>
      <c r="C23" s="67" t="n">
        <f aca="false">IFERROR(INDEX('Data 2'!$M$2:$M$2198,MATCH(A23,'Data 2'!$A$2:$A$2198,0)), 0)</f>
        <v>115.09875</v>
      </c>
      <c r="D23" s="34" t="s">
        <v>44</v>
      </c>
      <c r="E23" s="39" t="n">
        <f aca="false">IFERROR(INDEX('Data 2'!$L$2:$L$2198,MATCH(D23,'Data 2'!$A$2:$A$2198,0)), 0)</f>
        <v>131.36</v>
      </c>
      <c r="F23" s="39" t="n">
        <f aca="false">IFERROR(INDEX('Data 2'!$M$2:$M$2198,MATCH(D23,'Data 2'!$A$2:$A$2198,0)), 0)</f>
        <v>88.9675</v>
      </c>
      <c r="G23" s="34" t="s">
        <v>150</v>
      </c>
      <c r="H23" s="39" t="n">
        <f aca="false">IFERROR(INDEX('Data 2'!$L$2:$L$2198,MATCH(G23,'Data 2'!$A$2:$A$2198,0)), 0)</f>
        <v>9.21333333333333</v>
      </c>
      <c r="I23" s="39" t="n">
        <f aca="false">IFERROR(INDEX('Data 2'!$M$2:$M$2198,MATCH(G23,'Data 2'!$A$2:$A$2198,0)), 0)</f>
        <v>74.71125</v>
      </c>
      <c r="J23" s="34" t="s">
        <v>305</v>
      </c>
      <c r="K23" s="39" t="n">
        <f aca="false">IFERROR(INDEX('Data 2'!$L$2:$L$2198,MATCH(J23,'Data 2'!$A$2:$A$2198,0)), 0)</f>
        <v>-80.0066666666667</v>
      </c>
      <c r="L23" s="39" t="n">
        <f aca="false">IFERROR(INDEX('Data 2'!$M$2:$M$2198,MATCH(J23,'Data 2'!$A$2:$A$2198,0)), 0)</f>
        <v>-47.76375</v>
      </c>
      <c r="M23" s="34" t="s">
        <v>218</v>
      </c>
      <c r="N23" s="39" t="n">
        <f aca="false">IFERROR(INDEX('Data 2'!$L$2:$L$2198,MATCH(M23,'Data 2'!$A$2:$A$2198,0)), 0)</f>
        <v>-36.2733333333333</v>
      </c>
      <c r="O23" s="39" t="n">
        <f aca="false">IFERROR(INDEX('Data 2'!$M$2:$M$2198,MATCH(M23,'Data 2'!$A$2:$A$2198,0)), 0)</f>
        <v>-83.11125</v>
      </c>
      <c r="P23" s="34" t="s">
        <v>306</v>
      </c>
      <c r="Q23" s="39" t="n">
        <f aca="false">IFERROR(INDEX('Data 2'!$L$2:$L$2198,MATCH(P23,'Data 2'!$A$2:$A$2198,0)), 0)</f>
        <v>-56.9733333333333</v>
      </c>
      <c r="R23" s="39" t="n">
        <f aca="false">IFERROR(INDEX('Data 2'!$M$2:$M$2198,MATCH(P23,'Data 2'!$A$2:$A$2198,0)), 0)</f>
        <v>33.9025</v>
      </c>
      <c r="S23" s="34" t="s">
        <v>86</v>
      </c>
      <c r="T23" s="39" t="n">
        <f aca="false">IFERROR(INDEX('Data 2'!$L$2:$L$2198,MATCH(S23,'Data 2'!$A$2:$A$2198,0)), 0)</f>
        <v>-21.0866666666667</v>
      </c>
      <c r="U23" s="39" t="n">
        <f aca="false">IFERROR(INDEX('Data 2'!$M$2:$M$2198,MATCH(S23,'Data 2'!$A$2:$A$2198,0)), 0)</f>
        <v>24.30875</v>
      </c>
      <c r="V23" s="34" t="s">
        <v>292</v>
      </c>
      <c r="W23" s="39" t="n">
        <f aca="false">IFERROR(INDEX('Data 2'!$L$2:$L$2198,MATCH(V23,'Data 2'!$A$2:$A$2198,0)), 0)</f>
        <v>-34.6033333333333</v>
      </c>
      <c r="X23" s="39" t="n">
        <f aca="false">IFERROR(INDEX('Data 2'!$M$2:$M$2198,MATCH(V23,'Data 2'!$A$2:$A$2198,0)), 0)</f>
        <v>-9.70375</v>
      </c>
      <c r="Y23" s="37"/>
      <c r="Z23" s="37"/>
    </row>
    <row r="24" customFormat="false" ht="15.75" hidden="false" customHeight="true" outlineLevel="0" collapsed="false">
      <c r="A24" s="34" t="s">
        <v>72</v>
      </c>
      <c r="B24" s="67" t="n">
        <f aca="false">IFERROR(INDEX('Data 2'!$L$2:$L$2198,MATCH(A24,'Data 2'!$A$2:$A$2198,0)), 0)</f>
        <v>-5.29333333333333</v>
      </c>
      <c r="C24" s="67" t="n">
        <f aca="false">IFERROR(INDEX('Data 2'!$M$2:$M$2198,MATCH(A24,'Data 2'!$A$2:$A$2198,0)), 0)</f>
        <v>70.68875</v>
      </c>
      <c r="D24" s="34" t="s">
        <v>277</v>
      </c>
      <c r="E24" s="39" t="n">
        <f aca="false">IFERROR(INDEX('Data 2'!$L$2:$L$2198,MATCH(D24,'Data 2'!$A$2:$A$2198,0)), 0)</f>
        <v>-82.6766666666667</v>
      </c>
      <c r="F24" s="39" t="n">
        <f aca="false">IFERROR(INDEX('Data 2'!$M$2:$M$2198,MATCH(D24,'Data 2'!$A$2:$A$2198,0)), 0)</f>
        <v>-95.48</v>
      </c>
      <c r="G24" s="34" t="s">
        <v>190</v>
      </c>
      <c r="H24" s="39" t="n">
        <f aca="false">IFERROR(INDEX('Data 2'!$L$2:$L$2198,MATCH(G24,'Data 2'!$A$2:$A$2198,0)), 0)</f>
        <v>104.733333333333</v>
      </c>
      <c r="I24" s="39" t="n">
        <f aca="false">IFERROR(INDEX('Data 2'!$M$2:$M$2198,MATCH(G24,'Data 2'!$A$2:$A$2198,0)), 0)</f>
        <v>-5.6225</v>
      </c>
      <c r="J24" s="34" t="s">
        <v>77</v>
      </c>
      <c r="K24" s="39" t="n">
        <f aca="false">IFERROR(INDEX('Data 2'!$L$2:$L$2198,MATCH(J24,'Data 2'!$A$2:$A$2198,0)), 0)</f>
        <v>-97.6333333333333</v>
      </c>
      <c r="L24" s="39" t="n">
        <f aca="false">IFERROR(INDEX('Data 2'!$M$2:$M$2198,MATCH(J24,'Data 2'!$A$2:$A$2198,0)), 0)</f>
        <v>-110.6275</v>
      </c>
      <c r="M24" s="34" t="s">
        <v>41</v>
      </c>
      <c r="N24" s="39" t="n">
        <f aca="false">IFERROR(INDEX('Data 2'!$L$2:$L$2198,MATCH(M24,'Data 2'!$A$2:$A$2198,0)), 0)</f>
        <v>-94.76</v>
      </c>
      <c r="O24" s="39" t="n">
        <f aca="false">IFERROR(INDEX('Data 2'!$M$2:$M$2198,MATCH(M24,'Data 2'!$A$2:$A$2198,0)), 0)</f>
        <v>-63.075</v>
      </c>
      <c r="P24" s="34" t="s">
        <v>307</v>
      </c>
      <c r="Q24" s="39" t="n">
        <f aca="false">IFERROR(INDEX('Data 2'!$L$2:$L$2198,MATCH(P24,'Data 2'!$A$2:$A$2198,0)), 0)</f>
        <v>95.0433333333333</v>
      </c>
      <c r="R24" s="39" t="n">
        <f aca="false">IFERROR(INDEX('Data 2'!$M$2:$M$2198,MATCH(P24,'Data 2'!$A$2:$A$2198,0)), 0)</f>
        <v>122.57375</v>
      </c>
      <c r="S24" s="34" t="s">
        <v>175</v>
      </c>
      <c r="T24" s="39" t="n">
        <f aca="false">IFERROR(INDEX('Data 2'!$L$2:$L$2198,MATCH(S24,'Data 2'!$A$2:$A$2198,0)), 0)</f>
        <v>-29.3333333333333</v>
      </c>
      <c r="U24" s="39" t="n">
        <f aca="false">IFERROR(INDEX('Data 2'!$M$2:$M$2198,MATCH(S24,'Data 2'!$A$2:$A$2198,0)), 0)</f>
        <v>88.9825</v>
      </c>
      <c r="V24" s="34" t="s">
        <v>137</v>
      </c>
      <c r="W24" s="39" t="n">
        <f aca="false">IFERROR(INDEX('Data 2'!$L$2:$L$2198,MATCH(V24,'Data 2'!$A$2:$A$2198,0)), 0)</f>
        <v>76.8033333333333</v>
      </c>
      <c r="X24" s="39" t="n">
        <f aca="false">IFERROR(INDEX('Data 2'!$M$2:$M$2198,MATCH(V24,'Data 2'!$A$2:$A$2198,0)), 0)</f>
        <v>153.40375</v>
      </c>
      <c r="Y24" s="37"/>
      <c r="Z24" s="37"/>
    </row>
    <row r="25" customFormat="false" ht="15.75" hidden="false" customHeight="true" outlineLevel="0" collapsed="false">
      <c r="A25" s="34" t="s">
        <v>187</v>
      </c>
      <c r="B25" s="67" t="n">
        <f aca="false">IFERROR(INDEX('Data 2'!$L$2:$L$2198,MATCH(A25,'Data 2'!$A$2:$A$2198,0)), 0)</f>
        <v>13.29</v>
      </c>
      <c r="C25" s="67" t="n">
        <f aca="false">IFERROR(INDEX('Data 2'!$M$2:$M$2198,MATCH(A25,'Data 2'!$A$2:$A$2198,0)), 0)</f>
        <v>128.03375</v>
      </c>
      <c r="D25" s="34" t="s">
        <v>285</v>
      </c>
      <c r="E25" s="39" t="n">
        <f aca="false">IFERROR(INDEX('Data 2'!$L$2:$L$2198,MATCH(D25,'Data 2'!$A$2:$A$2198,0)), 0)</f>
        <v>-17.1866666666667</v>
      </c>
      <c r="F25" s="39" t="n">
        <f aca="false">IFERROR(INDEX('Data 2'!$M$2:$M$2198,MATCH(D25,'Data 2'!$A$2:$A$2198,0)), 0)</f>
        <v>63.2625</v>
      </c>
      <c r="G25" s="34" t="s">
        <v>237</v>
      </c>
      <c r="H25" s="39" t="n">
        <f aca="false">IFERROR(INDEX('Data 2'!$L$2:$L$2198,MATCH(G25,'Data 2'!$A$2:$A$2198,0)), 0)</f>
        <v>-60.82</v>
      </c>
      <c r="I25" s="39" t="n">
        <f aca="false">IFERROR(INDEX('Data 2'!$M$2:$M$2198,MATCH(G25,'Data 2'!$A$2:$A$2198,0)), 0)</f>
        <v>-76.8025</v>
      </c>
      <c r="J25" s="34" t="s">
        <v>308</v>
      </c>
      <c r="K25" s="39" t="n">
        <f aca="false">IFERROR(INDEX('Data 2'!$L$2:$L$2198,MATCH(J25,'Data 2'!$A$2:$A$2198,0)), 0)</f>
        <v>-67.1766666666667</v>
      </c>
      <c r="L25" s="39" t="n">
        <f aca="false">IFERROR(INDEX('Data 2'!$M$2:$M$2198,MATCH(J25,'Data 2'!$A$2:$A$2198,0)), 0)</f>
        <v>-63.739125</v>
      </c>
      <c r="M25" s="34" t="s">
        <v>309</v>
      </c>
      <c r="N25" s="39" t="n">
        <f aca="false">IFERROR(INDEX('Data 2'!$L$2:$L$2198,MATCH(M25,'Data 2'!$A$2:$A$2198,0)), 0)</f>
        <v>-66.4163333333333</v>
      </c>
      <c r="O25" s="39" t="n">
        <f aca="false">IFERROR(INDEX('Data 2'!$M$2:$M$2198,MATCH(M25,'Data 2'!$A$2:$A$2198,0)), 0)</f>
        <v>-26.506125</v>
      </c>
      <c r="P25" s="34" t="s">
        <v>310</v>
      </c>
      <c r="Q25" s="39" t="n">
        <f aca="false">IFERROR(INDEX('Data 2'!$L$2:$L$2198,MATCH(P25,'Data 2'!$A$2:$A$2198,0)), 0)</f>
        <v>-67.82</v>
      </c>
      <c r="R25" s="39" t="n">
        <f aca="false">IFERROR(INDEX('Data 2'!$M$2:$M$2198,MATCH(P25,'Data 2'!$A$2:$A$2198,0)), 0)</f>
        <v>11.7125</v>
      </c>
      <c r="S25" s="34" t="s">
        <v>119</v>
      </c>
      <c r="T25" s="39" t="n">
        <f aca="false">IFERROR(INDEX('Data 2'!$L$2:$L$2198,MATCH(S25,'Data 2'!$A$2:$A$2198,0)), 0)</f>
        <v>-68.2866666666667</v>
      </c>
      <c r="U25" s="39" t="n">
        <f aca="false">IFERROR(INDEX('Data 2'!$M$2:$M$2198,MATCH(S25,'Data 2'!$A$2:$A$2198,0)), 0)</f>
        <v>52.6675</v>
      </c>
      <c r="V25" s="34" t="s">
        <v>294</v>
      </c>
      <c r="W25" s="39" t="n">
        <f aca="false">IFERROR(INDEX('Data 2'!$L$2:$L$2198,MATCH(V25,'Data 2'!$A$2:$A$2198,0)), 0)</f>
        <v>36.61</v>
      </c>
      <c r="X25" s="39" t="n">
        <f aca="false">IFERROR(INDEX('Data 2'!$M$2:$M$2198,MATCH(V25,'Data 2'!$A$2:$A$2198,0)), 0)</f>
        <v>28.175</v>
      </c>
      <c r="Y25" s="37"/>
      <c r="Z25" s="37"/>
    </row>
    <row r="26" customFormat="false" ht="15.75" hidden="false" customHeight="true" outlineLevel="0" collapsed="false">
      <c r="A26" s="34" t="s">
        <v>42</v>
      </c>
      <c r="B26" s="67" t="n">
        <f aca="false">IFERROR(INDEX('Data 2'!$L$2:$L$2198,MATCH(A26,'Data 2'!$A$2:$A$2198,0)), 0)</f>
        <v>2.00666666666667</v>
      </c>
      <c r="C26" s="67" t="n">
        <f aca="false">IFERROR(INDEX('Data 2'!$M$2:$M$2198,MATCH(A26,'Data 2'!$A$2:$A$2198,0)), 0)</f>
        <v>7.39</v>
      </c>
      <c r="D26" s="34" t="s">
        <v>286</v>
      </c>
      <c r="E26" s="39" t="n">
        <f aca="false">IFERROR(INDEX('Data 2'!$L$2:$L$2198,MATCH(D26,'Data 2'!$A$2:$A$2198,0)), 0)</f>
        <v>31.3533333333333</v>
      </c>
      <c r="F26" s="39" t="n">
        <f aca="false">IFERROR(INDEX('Data 2'!$M$2:$M$2198,MATCH(D26,'Data 2'!$A$2:$A$2198,0)), 0)</f>
        <v>-19.5425</v>
      </c>
      <c r="G26" s="34" t="s">
        <v>118</v>
      </c>
      <c r="H26" s="39" t="n">
        <f aca="false">IFERROR(INDEX('Data 2'!$L$2:$L$2198,MATCH(G26,'Data 2'!$A$2:$A$2198,0)), 0)</f>
        <v>92.7166666666667</v>
      </c>
      <c r="I26" s="39" t="n">
        <f aca="false">IFERROR(INDEX('Data 2'!$M$2:$M$2198,MATCH(G26,'Data 2'!$A$2:$A$2198,0)), 0)</f>
        <v>142.18625</v>
      </c>
      <c r="J26" s="34" t="s">
        <v>134</v>
      </c>
      <c r="K26" s="39" t="n">
        <f aca="false">IFERROR(INDEX('Data 2'!$L$2:$L$2198,MATCH(J26,'Data 2'!$A$2:$A$2198,0)), 0)</f>
        <v>-113.886666666667</v>
      </c>
      <c r="L26" s="39" t="n">
        <f aca="false">IFERROR(INDEX('Data 2'!$M$2:$M$2198,MATCH(J26,'Data 2'!$A$2:$A$2198,0)), 0)</f>
        <v>-97.9</v>
      </c>
      <c r="M26" s="34" t="s">
        <v>156</v>
      </c>
      <c r="N26" s="39" t="n">
        <f aca="false">IFERROR(INDEX('Data 2'!$L$2:$L$2198,MATCH(M26,'Data 2'!$A$2:$A$2198,0)), 0)</f>
        <v>92.8766666666667</v>
      </c>
      <c r="O26" s="39" t="n">
        <f aca="false">IFERROR(INDEX('Data 2'!$M$2:$M$2198,MATCH(M26,'Data 2'!$A$2:$A$2198,0)), 0)</f>
        <v>103.41375</v>
      </c>
      <c r="P26" s="34" t="s">
        <v>311</v>
      </c>
      <c r="Q26" s="39" t="n">
        <f aca="false">IFERROR(INDEX('Data 2'!$L$2:$L$2198,MATCH(P26,'Data 2'!$A$2:$A$2198,0)), 0)</f>
        <v>-74.3433333333334</v>
      </c>
      <c r="R26" s="39" t="n">
        <f aca="false">IFERROR(INDEX('Data 2'!$M$2:$M$2198,MATCH(P26,'Data 2'!$A$2:$A$2198,0)), 0)</f>
        <v>-70.91375</v>
      </c>
      <c r="S26" s="34" t="s">
        <v>195</v>
      </c>
      <c r="T26" s="39" t="n">
        <f aca="false">IFERROR(INDEX('Data 2'!$L$2:$L$2198,MATCH(S26,'Data 2'!$A$2:$A$2198,0)), 0)</f>
        <v>81.51</v>
      </c>
      <c r="U26" s="39" t="n">
        <f aca="false">IFERROR(INDEX('Data 2'!$M$2:$M$2198,MATCH(S26,'Data 2'!$A$2:$A$2198,0)), 0)</f>
        <v>27.55625</v>
      </c>
      <c r="V26" s="34" t="s">
        <v>295</v>
      </c>
      <c r="W26" s="39" t="n">
        <f aca="false">IFERROR(INDEX('Data 2'!$L$2:$L$2198,MATCH(V26,'Data 2'!$A$2:$A$2198,0)), 0)</f>
        <v>-51.7966666666667</v>
      </c>
      <c r="X26" s="39" t="n">
        <f aca="false">IFERROR(INDEX('Data 2'!$M$2:$M$2198,MATCH(V26,'Data 2'!$A$2:$A$2198,0)), 0)</f>
        <v>-48.165875</v>
      </c>
      <c r="Y26" s="37"/>
      <c r="Z26" s="37"/>
    </row>
    <row r="27" customFormat="false" ht="15.75" hidden="false" customHeight="true" outlineLevel="0" collapsed="false">
      <c r="A27" s="34" t="s">
        <v>178</v>
      </c>
      <c r="B27" s="67" t="n">
        <f aca="false">IFERROR(INDEX('Data 2'!$L$2:$L$2198,MATCH(A27,'Data 2'!$A$2:$A$2198,0)), 0)</f>
        <v>-113.566666666667</v>
      </c>
      <c r="C27" s="67" t="n">
        <f aca="false">IFERROR(INDEX('Data 2'!$M$2:$M$2198,MATCH(A27,'Data 2'!$A$2:$A$2198,0)), 0)</f>
        <v>-157.91625</v>
      </c>
      <c r="D27" s="34" t="s">
        <v>288</v>
      </c>
      <c r="E27" s="39" t="n">
        <f aca="false">IFERROR(INDEX('Data 2'!$L$2:$L$2198,MATCH(D27,'Data 2'!$A$2:$A$2198,0)), 0)</f>
        <v>-98.5633333333333</v>
      </c>
      <c r="F27" s="39" t="n">
        <f aca="false">IFERROR(INDEX('Data 2'!$M$2:$M$2198,MATCH(D27,'Data 2'!$A$2:$A$2198,0)), 0)</f>
        <v>-7.50125</v>
      </c>
      <c r="G27" s="34" t="s">
        <v>146</v>
      </c>
      <c r="H27" s="39" t="n">
        <f aca="false">IFERROR(INDEX('Data 2'!$L$2:$L$2198,MATCH(G27,'Data 2'!$A$2:$A$2198,0)), 0)</f>
        <v>64.1</v>
      </c>
      <c r="I27" s="39" t="n">
        <f aca="false">IFERROR(INDEX('Data 2'!$M$2:$M$2198,MATCH(G27,'Data 2'!$A$2:$A$2198,0)), 0)</f>
        <v>37.375</v>
      </c>
      <c r="J27" s="34" t="s">
        <v>312</v>
      </c>
      <c r="K27" s="39" t="n">
        <f aca="false">IFERROR(INDEX('Data 2'!$L$2:$L$2198,MATCH(J27,'Data 2'!$A$2:$A$2198,0)), 0)</f>
        <v>124.383333333333</v>
      </c>
      <c r="L27" s="39" t="n">
        <f aca="false">IFERROR(INDEX('Data 2'!$M$2:$M$2198,MATCH(J27,'Data 2'!$A$2:$A$2198,0)), 0)</f>
        <v>89.6575</v>
      </c>
      <c r="M27" s="34" t="s">
        <v>76</v>
      </c>
      <c r="N27" s="39" t="n">
        <f aca="false">IFERROR(INDEX('Data 2'!$L$2:$L$2198,MATCH(M27,'Data 2'!$A$2:$A$2198,0)), 0)</f>
        <v>42.42</v>
      </c>
      <c r="O27" s="39" t="n">
        <f aca="false">IFERROR(INDEX('Data 2'!$M$2:$M$2198,MATCH(M27,'Data 2'!$A$2:$A$2198,0)), 0)</f>
        <v>-43.9075</v>
      </c>
      <c r="P27" s="34" t="s">
        <v>284</v>
      </c>
      <c r="Q27" s="39" t="n">
        <f aca="false">IFERROR(INDEX('Data 2'!$L$2:$L$2198,MATCH(P27,'Data 2'!$A$2:$A$2198,0)), 0)</f>
        <v>60.79</v>
      </c>
      <c r="R27" s="39" t="n">
        <f aca="false">IFERROR(INDEX('Data 2'!$M$2:$M$2198,MATCH(P27,'Data 2'!$A$2:$A$2198,0)), 0)</f>
        <v>-11.1025</v>
      </c>
      <c r="S27" s="34" t="s">
        <v>125</v>
      </c>
      <c r="T27" s="39" t="n">
        <f aca="false">IFERROR(INDEX('Data 2'!$L$2:$L$2198,MATCH(S27,'Data 2'!$A$2:$A$2198,0)), 0)</f>
        <v>-14.7033333333333</v>
      </c>
      <c r="U27" s="39" t="n">
        <f aca="false">IFERROR(INDEX('Data 2'!$M$2:$M$2198,MATCH(S27,'Data 2'!$A$2:$A$2198,0)), 0)</f>
        <v>-100.21</v>
      </c>
      <c r="V27" s="34" t="s">
        <v>278</v>
      </c>
      <c r="W27" s="39" t="n">
        <f aca="false">IFERROR(INDEX('Data 2'!$L$2:$L$2198,MATCH(V27,'Data 2'!$A$2:$A$2198,0)), 0)</f>
        <v>5.04666666666666</v>
      </c>
      <c r="X27" s="39" t="n">
        <f aca="false">IFERROR(INDEX('Data 2'!$M$2:$M$2198,MATCH(V27,'Data 2'!$A$2:$A$2198,0)), 0)</f>
        <v>7.70625</v>
      </c>
      <c r="Y27" s="37"/>
      <c r="Z27" s="37"/>
    </row>
    <row r="28" customFormat="false" ht="15.75" hidden="false" customHeight="true" outlineLevel="0" collapsed="false">
      <c r="A28" s="34" t="s">
        <v>47</v>
      </c>
      <c r="B28" s="67" t="n">
        <f aca="false">IFERROR(INDEX('Data 2'!$L$2:$L$2198,MATCH(A28,'Data 2'!$A$2:$A$2198,0)), 0)</f>
        <v>-105.66</v>
      </c>
      <c r="C28" s="67" t="n">
        <f aca="false">IFERROR(INDEX('Data 2'!$M$2:$M$2198,MATCH(A28,'Data 2'!$A$2:$A$2198,0)), 0)</f>
        <v>-105.14625</v>
      </c>
      <c r="D28" s="34" t="s">
        <v>289</v>
      </c>
      <c r="E28" s="39" t="n">
        <f aca="false">IFERROR(INDEX('Data 2'!$L$2:$L$2198,MATCH(D28,'Data 2'!$A$2:$A$2198,0)), 0)</f>
        <v>-91.2733333333333</v>
      </c>
      <c r="F28" s="39" t="n">
        <f aca="false">IFERROR(INDEX('Data 2'!$M$2:$M$2198,MATCH(D28,'Data 2'!$A$2:$A$2198,0)), 0)</f>
        <v>-42.996375</v>
      </c>
      <c r="G28" s="34" t="s">
        <v>83</v>
      </c>
      <c r="H28" s="39" t="n">
        <f aca="false">IFERROR(INDEX('Data 2'!$L$2:$L$2198,MATCH(G28,'Data 2'!$A$2:$A$2198,0)), 0)</f>
        <v>11.0933333333333</v>
      </c>
      <c r="I28" s="39" t="n">
        <f aca="false">IFERROR(INDEX('Data 2'!$M$2:$M$2198,MATCH(G28,'Data 2'!$A$2:$A$2198,0)), 0)</f>
        <v>45.75125</v>
      </c>
      <c r="J28" s="34" t="s">
        <v>91</v>
      </c>
      <c r="K28" s="39" t="n">
        <f aca="false">IFERROR(INDEX('Data 2'!$L$2:$L$2198,MATCH(J28,'Data 2'!$A$2:$A$2198,0)), 0)</f>
        <v>15.82</v>
      </c>
      <c r="L28" s="39" t="n">
        <f aca="false">IFERROR(INDEX('Data 2'!$M$2:$M$2198,MATCH(J28,'Data 2'!$A$2:$A$2198,0)), 0)</f>
        <v>3.95875</v>
      </c>
      <c r="M28" s="34" t="s">
        <v>313</v>
      </c>
      <c r="N28" s="39" t="n">
        <f aca="false">IFERROR(INDEX('Data 2'!$L$2:$L$2198,MATCH(M28,'Data 2'!$A$2:$A$2198,0)), 0)</f>
        <v>31.5366666666667</v>
      </c>
      <c r="O28" s="39" t="n">
        <f aca="false">IFERROR(INDEX('Data 2'!$M$2:$M$2198,MATCH(M28,'Data 2'!$A$2:$A$2198,0)), 0)</f>
        <v>108.4825</v>
      </c>
      <c r="P28" s="34" t="s">
        <v>314</v>
      </c>
      <c r="Q28" s="39" t="n">
        <f aca="false">IFERROR(INDEX('Data 2'!$L$2:$L$2198,MATCH(P28,'Data 2'!$A$2:$A$2198,0)), 0)</f>
        <v>-85.7433333333333</v>
      </c>
      <c r="R28" s="39" t="n">
        <f aca="false">IFERROR(INDEX('Data 2'!$M$2:$M$2198,MATCH(P28,'Data 2'!$A$2:$A$2198,0)), 0)</f>
        <v>-103.71625</v>
      </c>
      <c r="S28" s="34" t="s">
        <v>246</v>
      </c>
      <c r="T28" s="39" t="n">
        <f aca="false">IFERROR(INDEX('Data 2'!$L$2:$L$2198,MATCH(S28,'Data 2'!$A$2:$A$2198,0)), 0)</f>
        <v>9.61</v>
      </c>
      <c r="U28" s="39" t="n">
        <f aca="false">IFERROR(INDEX('Data 2'!$M$2:$M$2198,MATCH(S28,'Data 2'!$A$2:$A$2198,0)), 0)</f>
        <v>138.3625</v>
      </c>
      <c r="V28" s="34" t="s">
        <v>296</v>
      </c>
      <c r="W28" s="39" t="n">
        <f aca="false">IFERROR(INDEX('Data 2'!$L$2:$L$2198,MATCH(V28,'Data 2'!$A$2:$A$2198,0)), 0)</f>
        <v>-55.6233333333333</v>
      </c>
      <c r="X28" s="39" t="n">
        <f aca="false">IFERROR(INDEX('Data 2'!$M$2:$M$2198,MATCH(V28,'Data 2'!$A$2:$A$2198,0)), 0)</f>
        <v>2.6875</v>
      </c>
      <c r="Y28" s="37"/>
      <c r="Z28" s="37"/>
    </row>
    <row r="29" customFormat="false" ht="15.75" hidden="false" customHeight="true" outlineLevel="0" collapsed="false">
      <c r="A29" s="34" t="s">
        <v>132</v>
      </c>
      <c r="B29" s="67" t="n">
        <f aca="false">IFERROR(INDEX('Data 2'!$L$2:$L$2198,MATCH(A29,'Data 2'!$A$2:$A$2198,0)), 0)</f>
        <v>37.1933333333333</v>
      </c>
      <c r="C29" s="67" t="n">
        <f aca="false">IFERROR(INDEX('Data 2'!$M$2:$M$2198,MATCH(A29,'Data 2'!$A$2:$A$2198,0)), 0)</f>
        <v>-21.66125</v>
      </c>
      <c r="D29" s="34" t="s">
        <v>291</v>
      </c>
      <c r="E29" s="39" t="n">
        <f aca="false">IFERROR(INDEX('Data 2'!$L$2:$L$2198,MATCH(D29,'Data 2'!$A$2:$A$2198,0)), 0)</f>
        <v>-39.3633333333333</v>
      </c>
      <c r="F29" s="39" t="n">
        <f aca="false">IFERROR(INDEX('Data 2'!$M$2:$M$2198,MATCH(D29,'Data 2'!$A$2:$A$2198,0)), 0)</f>
        <v>-82.145</v>
      </c>
      <c r="G29" s="34" t="s">
        <v>63</v>
      </c>
      <c r="H29" s="39" t="n">
        <f aca="false">IFERROR(INDEX('Data 2'!$L$2:$L$2198,MATCH(G29,'Data 2'!$A$2:$A$2198,0)), 0)</f>
        <v>-9.14666666666667</v>
      </c>
      <c r="I29" s="39" t="n">
        <f aca="false">IFERROR(INDEX('Data 2'!$M$2:$M$2198,MATCH(G29,'Data 2'!$A$2:$A$2198,0)), 0)</f>
        <v>56.78875</v>
      </c>
      <c r="J29" s="34" t="s">
        <v>224</v>
      </c>
      <c r="K29" s="39" t="n">
        <f aca="false">IFERROR(INDEX('Data 2'!$L$2:$L$2198,MATCH(J29,'Data 2'!$A$2:$A$2198,0)), 0)</f>
        <v>103.873333333333</v>
      </c>
      <c r="L29" s="39" t="n">
        <f aca="false">IFERROR(INDEX('Data 2'!$M$2:$M$2198,MATCH(J29,'Data 2'!$A$2:$A$2198,0)), 0)</f>
        <v>75.925</v>
      </c>
      <c r="M29" s="34" t="s">
        <v>315</v>
      </c>
      <c r="N29" s="39" t="n">
        <f aca="false">IFERROR(INDEX('Data 2'!$L$2:$L$2198,MATCH(M29,'Data 2'!$A$2:$A$2198,0)), 0)</f>
        <v>-16.6166666666667</v>
      </c>
      <c r="O29" s="39" t="n">
        <f aca="false">IFERROR(INDEX('Data 2'!$M$2:$M$2198,MATCH(M29,'Data 2'!$A$2:$A$2198,0)), 0)</f>
        <v>11.73125</v>
      </c>
      <c r="P29" s="34" t="s">
        <v>316</v>
      </c>
      <c r="Q29" s="39" t="n">
        <f aca="false">IFERROR(INDEX('Data 2'!$L$2:$L$2198,MATCH(P29,'Data 2'!$A$2:$A$2198,0)), 0)</f>
        <v>4.55333333333334</v>
      </c>
      <c r="R29" s="39" t="n">
        <f aca="false">IFERROR(INDEX('Data 2'!$M$2:$M$2198,MATCH(P29,'Data 2'!$A$2:$A$2198,0)), 0)</f>
        <v>-43.68</v>
      </c>
      <c r="S29" s="34" t="s">
        <v>40</v>
      </c>
      <c r="T29" s="39" t="n">
        <f aca="false">IFERROR(INDEX('Data 2'!$L$2:$L$2198,MATCH(S29,'Data 2'!$A$2:$A$2198,0)), 0)</f>
        <v>-70.3533333333333</v>
      </c>
      <c r="U29" s="39" t="n">
        <f aca="false">IFERROR(INDEX('Data 2'!$M$2:$M$2198,MATCH(S29,'Data 2'!$A$2:$A$2198,0)), 0)</f>
        <v>-71.15375</v>
      </c>
      <c r="V29" s="34" t="s">
        <v>298</v>
      </c>
      <c r="W29" s="39" t="n">
        <f aca="false">IFERROR(INDEX('Data 2'!$L$2:$L$2198,MATCH(V29,'Data 2'!$A$2:$A$2198,0)), 0)</f>
        <v>-33.84</v>
      </c>
      <c r="X29" s="39" t="n">
        <f aca="false">IFERROR(INDEX('Data 2'!$M$2:$M$2198,MATCH(V29,'Data 2'!$A$2:$A$2198,0)), 0)</f>
        <v>78.3875</v>
      </c>
      <c r="Y29" s="37"/>
      <c r="Z29" s="37"/>
    </row>
    <row r="30" customFormat="false" ht="15.75" hidden="false" customHeight="true" outlineLevel="0" collapsed="false">
      <c r="A30" s="34" t="s">
        <v>45</v>
      </c>
      <c r="B30" s="67" t="n">
        <f aca="false">IFERROR(INDEX('Data 2'!$L$2:$L$2198,MATCH(A30,'Data 2'!$A$2:$A$2198,0)), 0)</f>
        <v>-73.7066666666667</v>
      </c>
      <c r="C30" s="67" t="n">
        <f aca="false">IFERROR(INDEX('Data 2'!$M$2:$M$2198,MATCH(A30,'Data 2'!$A$2:$A$2198,0)), 0)</f>
        <v>30.4225</v>
      </c>
      <c r="D30" s="34" t="s">
        <v>292</v>
      </c>
      <c r="E30" s="39" t="n">
        <f aca="false">IFERROR(INDEX('Data 2'!$L$2:$L$2198,MATCH(D30,'Data 2'!$A$2:$A$2198,0)), 0)</f>
        <v>-34.6033333333333</v>
      </c>
      <c r="F30" s="39" t="n">
        <f aca="false">IFERROR(INDEX('Data 2'!$M$2:$M$2198,MATCH(D30,'Data 2'!$A$2:$A$2198,0)), 0)</f>
        <v>-9.70375</v>
      </c>
      <c r="G30" s="34" t="s">
        <v>249</v>
      </c>
      <c r="H30" s="39" t="n">
        <f aca="false">IFERROR(INDEX('Data 2'!$L$2:$L$2198,MATCH(G30,'Data 2'!$A$2:$A$2198,0)), 0)</f>
        <v>-12.81</v>
      </c>
      <c r="I30" s="39" t="n">
        <f aca="false">IFERROR(INDEX('Data 2'!$M$2:$M$2198,MATCH(G30,'Data 2'!$A$2:$A$2198,0)), 0)</f>
        <v>16.07</v>
      </c>
      <c r="J30" s="34" t="s">
        <v>317</v>
      </c>
      <c r="K30" s="39" t="n">
        <f aca="false">IFERROR(INDEX('Data 2'!$L$2:$L$2198,MATCH(J30,'Data 2'!$A$2:$A$2198,0)), 0)</f>
        <v>-51.6166666666667</v>
      </c>
      <c r="L30" s="39" t="n">
        <f aca="false">IFERROR(INDEX('Data 2'!$M$2:$M$2198,MATCH(J30,'Data 2'!$A$2:$A$2198,0)), 0)</f>
        <v>-22.982375</v>
      </c>
      <c r="M30" s="34" t="s">
        <v>138</v>
      </c>
      <c r="N30" s="39" t="n">
        <f aca="false">IFERROR(INDEX('Data 2'!$L$2:$L$2198,MATCH(M30,'Data 2'!$A$2:$A$2198,0)), 0)</f>
        <v>80.2633333333333</v>
      </c>
      <c r="O30" s="39" t="n">
        <f aca="false">IFERROR(INDEX('Data 2'!$M$2:$M$2198,MATCH(M30,'Data 2'!$A$2:$A$2198,0)), 0)</f>
        <v>107.23375</v>
      </c>
      <c r="P30" s="34" t="s">
        <v>318</v>
      </c>
      <c r="Q30" s="39" t="n">
        <f aca="false">IFERROR(INDEX('Data 2'!$L$2:$L$2198,MATCH(P30,'Data 2'!$A$2:$A$2198,0)), 0)</f>
        <v>-44.9533333333333</v>
      </c>
      <c r="R30" s="39" t="n">
        <f aca="false">IFERROR(INDEX('Data 2'!$M$2:$M$2198,MATCH(P30,'Data 2'!$A$2:$A$2198,0)), 0)</f>
        <v>-20.875</v>
      </c>
      <c r="S30" s="34" t="s">
        <v>232</v>
      </c>
      <c r="T30" s="39" t="n">
        <f aca="false">IFERROR(INDEX('Data 2'!$L$2:$L$2198,MATCH(S30,'Data 2'!$A$2:$A$2198,0)), 0)</f>
        <v>-100.76</v>
      </c>
      <c r="U30" s="39" t="n">
        <f aca="false">IFERROR(INDEX('Data 2'!$M$2:$M$2198,MATCH(S30,'Data 2'!$A$2:$A$2198,0)), 0)</f>
        <v>-79.82</v>
      </c>
      <c r="V30" s="34" t="s">
        <v>300</v>
      </c>
      <c r="W30" s="39" t="n">
        <f aca="false">IFERROR(INDEX('Data 2'!$L$2:$L$2198,MATCH(V30,'Data 2'!$A$2:$A$2198,0)), 0)</f>
        <v>39.3233333333333</v>
      </c>
      <c r="X30" s="39" t="n">
        <f aca="false">IFERROR(INDEX('Data 2'!$M$2:$M$2198,MATCH(V30,'Data 2'!$A$2:$A$2198,0)), 0)</f>
        <v>13.7575</v>
      </c>
      <c r="Y30" s="37"/>
      <c r="Z30" s="37"/>
    </row>
    <row r="31" customFormat="false" ht="15.75" hidden="false" customHeight="true" outlineLevel="0" collapsed="false">
      <c r="A31" s="34" t="s">
        <v>58</v>
      </c>
      <c r="B31" s="67" t="n">
        <f aca="false">IFERROR(INDEX('Data 2'!$L$2:$L$2198,MATCH(A31,'Data 2'!$A$2:$A$2198,0)), 0)</f>
        <v>-65.79</v>
      </c>
      <c r="C31" s="67" t="n">
        <f aca="false">IFERROR(INDEX('Data 2'!$M$2:$M$2198,MATCH(A31,'Data 2'!$A$2:$A$2198,0)), 0)</f>
        <v>-73.055</v>
      </c>
      <c r="D31" s="34" t="s">
        <v>137</v>
      </c>
      <c r="E31" s="39" t="n">
        <f aca="false">IFERROR(INDEX('Data 2'!$L$2:$L$2198,MATCH(D31,'Data 2'!$A$2:$A$2198,0)), 0)</f>
        <v>76.8033333333333</v>
      </c>
      <c r="F31" s="39" t="n">
        <f aca="false">IFERROR(INDEX('Data 2'!$M$2:$M$2198,MATCH(D31,'Data 2'!$A$2:$A$2198,0)), 0)</f>
        <v>153.40375</v>
      </c>
      <c r="G31" s="34" t="s">
        <v>122</v>
      </c>
      <c r="H31" s="39" t="n">
        <f aca="false">IFERROR(INDEX('Data 2'!$L$2:$L$2198,MATCH(G31,'Data 2'!$A$2:$A$2198,0)), 0)</f>
        <v>43.86</v>
      </c>
      <c r="I31" s="39" t="n">
        <f aca="false">IFERROR(INDEX('Data 2'!$M$2:$M$2198,MATCH(G31,'Data 2'!$A$2:$A$2198,0)), 0)</f>
        <v>76.56</v>
      </c>
      <c r="J31" s="34" t="s">
        <v>319</v>
      </c>
      <c r="K31" s="39" t="n">
        <f aca="false">IFERROR(INDEX('Data 2'!$L$2:$L$2198,MATCH(J31,'Data 2'!$A$2:$A$2198,0)), 0)</f>
        <v>6.56333333333333</v>
      </c>
      <c r="L31" s="39" t="n">
        <f aca="false">IFERROR(INDEX('Data 2'!$M$2:$M$2198,MATCH(J31,'Data 2'!$A$2:$A$2198,0)), 0)</f>
        <v>-24.7375</v>
      </c>
      <c r="M31" s="34" t="s">
        <v>167</v>
      </c>
      <c r="N31" s="39" t="n">
        <f aca="false">IFERROR(INDEX('Data 2'!$L$2:$L$2198,MATCH(M31,'Data 2'!$A$2:$A$2198,0)), 0)</f>
        <v>-83.95</v>
      </c>
      <c r="O31" s="39" t="n">
        <f aca="false">IFERROR(INDEX('Data 2'!$M$2:$M$2198,MATCH(M31,'Data 2'!$A$2:$A$2198,0)), 0)</f>
        <v>-70.52125</v>
      </c>
      <c r="P31" s="34" t="s">
        <v>320</v>
      </c>
      <c r="Q31" s="39" t="n">
        <f aca="false">IFERROR(INDEX('Data 2'!$L$2:$L$2198,MATCH(P31,'Data 2'!$A$2:$A$2198,0)), 0)</f>
        <v>-74.23</v>
      </c>
      <c r="R31" s="39" t="n">
        <f aca="false">IFERROR(INDEX('Data 2'!$M$2:$M$2198,MATCH(P31,'Data 2'!$A$2:$A$2198,0)), 0)</f>
        <v>-62.18625</v>
      </c>
      <c r="S31" s="34" t="s">
        <v>131</v>
      </c>
      <c r="T31" s="39" t="n">
        <f aca="false">IFERROR(INDEX('Data 2'!$L$2:$L$2198,MATCH(S31,'Data 2'!$A$2:$A$2198,0)), 0)</f>
        <v>-43.1233333333333</v>
      </c>
      <c r="U31" s="39" t="n">
        <f aca="false">IFERROR(INDEX('Data 2'!$M$2:$M$2198,MATCH(S31,'Data 2'!$A$2:$A$2198,0)), 0)</f>
        <v>51.97</v>
      </c>
      <c r="V31" s="34" t="s">
        <v>229</v>
      </c>
      <c r="W31" s="39" t="n">
        <f aca="false">IFERROR(INDEX('Data 2'!$L$2:$L$2198,MATCH(V31,'Data 2'!$A$2:$A$2198,0)), 0)</f>
        <v>-89.57</v>
      </c>
      <c r="X31" s="39" t="n">
        <f aca="false">IFERROR(INDEX('Data 2'!$M$2:$M$2198,MATCH(V31,'Data 2'!$A$2:$A$2198,0)), 0)</f>
        <v>-74.96375</v>
      </c>
      <c r="Y31" s="37"/>
      <c r="Z31" s="37"/>
    </row>
    <row r="32" customFormat="false" ht="15.75" hidden="false" customHeight="true" outlineLevel="0" collapsed="false">
      <c r="A32" s="34" t="s">
        <v>93</v>
      </c>
      <c r="B32" s="67" t="n">
        <f aca="false">IFERROR(INDEX('Data 2'!$L$2:$L$2198,MATCH(A32,'Data 2'!$A$2:$A$2198,0)), 0)</f>
        <v>-65.85</v>
      </c>
      <c r="C32" s="67" t="n">
        <f aca="false">IFERROR(INDEX('Data 2'!$M$2:$M$2198,MATCH(A32,'Data 2'!$A$2:$A$2198,0)), 0)</f>
        <v>-1.4225</v>
      </c>
      <c r="D32" s="34" t="s">
        <v>294</v>
      </c>
      <c r="E32" s="39" t="n">
        <f aca="false">IFERROR(INDEX('Data 2'!$L$2:$L$2198,MATCH(D32,'Data 2'!$A$2:$A$2198,0)), 0)</f>
        <v>36.61</v>
      </c>
      <c r="F32" s="39" t="n">
        <f aca="false">IFERROR(INDEX('Data 2'!$M$2:$M$2198,MATCH(D32,'Data 2'!$A$2:$A$2198,0)), 0)</f>
        <v>28.175</v>
      </c>
      <c r="G32" s="34" t="s">
        <v>117</v>
      </c>
      <c r="H32" s="39" t="n">
        <f aca="false">IFERROR(INDEX('Data 2'!$L$2:$L$2198,MATCH(G32,'Data 2'!$A$2:$A$2198,0)), 0)</f>
        <v>10.9333333333333</v>
      </c>
      <c r="I32" s="39" t="n">
        <f aca="false">IFERROR(INDEX('Data 2'!$M$2:$M$2198,MATCH(G32,'Data 2'!$A$2:$A$2198,0)), 0)</f>
        <v>53.91</v>
      </c>
      <c r="J32" s="34" t="s">
        <v>260</v>
      </c>
      <c r="K32" s="39" t="n">
        <f aca="false">IFERROR(INDEX('Data 2'!$L$2:$L$2198,MATCH(J32,'Data 2'!$A$2:$A$2198,0)), 0)</f>
        <v>-39.9166666666667</v>
      </c>
      <c r="L32" s="39" t="n">
        <f aca="false">IFERROR(INDEX('Data 2'!$M$2:$M$2198,MATCH(J32,'Data 2'!$A$2:$A$2198,0)), 0)</f>
        <v>-40.01375</v>
      </c>
      <c r="M32" s="34" t="s">
        <v>97</v>
      </c>
      <c r="N32" s="39" t="n">
        <f aca="false">IFERROR(INDEX('Data 2'!$L$2:$L$2198,MATCH(M32,'Data 2'!$A$2:$A$2198,0)), 0)</f>
        <v>32.2433333333333</v>
      </c>
      <c r="O32" s="39" t="n">
        <f aca="false">IFERROR(INDEX('Data 2'!$M$2:$M$2198,MATCH(M32,'Data 2'!$A$2:$A$2198,0)), 0)</f>
        <v>46.7875</v>
      </c>
      <c r="P32" s="34" t="s">
        <v>321</v>
      </c>
      <c r="Q32" s="39" t="n">
        <f aca="false">IFERROR(INDEX('Data 2'!$L$2:$L$2198,MATCH(P32,'Data 2'!$A$2:$A$2198,0)), 0)</f>
        <v>-44.3966666666667</v>
      </c>
      <c r="R32" s="39" t="n">
        <f aca="false">IFERROR(INDEX('Data 2'!$M$2:$M$2198,MATCH(P32,'Data 2'!$A$2:$A$2198,0)), 0)</f>
        <v>-23.26</v>
      </c>
      <c r="S32" s="34" t="s">
        <v>140</v>
      </c>
      <c r="T32" s="39" t="n">
        <f aca="false">IFERROR(INDEX('Data 2'!$L$2:$L$2198,MATCH(S32,'Data 2'!$A$2:$A$2198,0)), 0)</f>
        <v>51.87</v>
      </c>
      <c r="U32" s="39" t="n">
        <f aca="false">IFERROR(INDEX('Data 2'!$M$2:$M$2198,MATCH(S32,'Data 2'!$A$2:$A$2198,0)), 0)</f>
        <v>6.04</v>
      </c>
      <c r="V32" s="34" t="s">
        <v>282</v>
      </c>
      <c r="W32" s="39" t="n">
        <f aca="false">IFERROR(INDEX('Data 2'!$L$2:$L$2198,MATCH(V32,'Data 2'!$A$2:$A$2198,0)), 0)</f>
        <v>-99.58</v>
      </c>
      <c r="X32" s="39" t="n">
        <f aca="false">IFERROR(INDEX('Data 2'!$M$2:$M$2198,MATCH(V32,'Data 2'!$A$2:$A$2198,0)), 0)</f>
        <v>-50.74875</v>
      </c>
      <c r="Y32" s="37"/>
      <c r="Z32" s="37"/>
    </row>
    <row r="33" customFormat="false" ht="15.75" hidden="false" customHeight="true" outlineLevel="0" collapsed="false">
      <c r="A33" s="34" t="s">
        <v>94</v>
      </c>
      <c r="B33" s="67" t="n">
        <f aca="false">IFERROR(INDEX('Data 2'!$L$2:$L$2198,MATCH(A33,'Data 2'!$A$2:$A$2198,0)), 0)</f>
        <v>87.2033333333333</v>
      </c>
      <c r="C33" s="67" t="n">
        <f aca="false">IFERROR(INDEX('Data 2'!$M$2:$M$2198,MATCH(A33,'Data 2'!$A$2:$A$2198,0)), 0)</f>
        <v>139.43875</v>
      </c>
      <c r="D33" s="34" t="s">
        <v>295</v>
      </c>
      <c r="E33" s="39" t="n">
        <f aca="false">IFERROR(INDEX('Data 2'!$L$2:$L$2198,MATCH(D33,'Data 2'!$A$2:$A$2198,0)), 0)</f>
        <v>-51.7966666666667</v>
      </c>
      <c r="F33" s="39" t="n">
        <f aca="false">IFERROR(INDEX('Data 2'!$M$2:$M$2198,MATCH(D33,'Data 2'!$A$2:$A$2198,0)), 0)</f>
        <v>-48.165875</v>
      </c>
      <c r="G33" s="34" t="s">
        <v>64</v>
      </c>
      <c r="H33" s="39" t="n">
        <f aca="false">IFERROR(INDEX('Data 2'!$L$2:$L$2198,MATCH(G33,'Data 2'!$A$2:$A$2198,0)), 0)</f>
        <v>-54.1166666666667</v>
      </c>
      <c r="I33" s="39" t="n">
        <f aca="false">IFERROR(INDEX('Data 2'!$M$2:$M$2198,MATCH(G33,'Data 2'!$A$2:$A$2198,0)), 0)</f>
        <v>-5.7575</v>
      </c>
      <c r="J33" s="34" t="s">
        <v>85</v>
      </c>
      <c r="K33" s="39" t="n">
        <f aca="false">IFERROR(INDEX('Data 2'!$L$2:$L$2198,MATCH(J33,'Data 2'!$A$2:$A$2198,0)), 0)</f>
        <v>110.623333333333</v>
      </c>
      <c r="L33" s="39" t="n">
        <f aca="false">IFERROR(INDEX('Data 2'!$M$2:$M$2198,MATCH(J33,'Data 2'!$A$2:$A$2198,0)), 0)</f>
        <v>49.206875</v>
      </c>
      <c r="M33" s="34" t="s">
        <v>27</v>
      </c>
      <c r="N33" s="39" t="n">
        <f aca="false">IFERROR(INDEX('Data 2'!$L$2:$L$2198,MATCH(M33,'Data 2'!$A$2:$A$2198,0)), 0)</f>
        <v>-64.4466666666667</v>
      </c>
      <c r="O33" s="39" t="n">
        <f aca="false">IFERROR(INDEX('Data 2'!$M$2:$M$2198,MATCH(M33,'Data 2'!$A$2:$A$2198,0)), 0)</f>
        <v>-5.2</v>
      </c>
      <c r="P33" s="34" t="s">
        <v>322</v>
      </c>
      <c r="Q33" s="39" t="n">
        <f aca="false">IFERROR(INDEX('Data 2'!$L$2:$L$2198,MATCH(P33,'Data 2'!$A$2:$A$2198,0)), 0)</f>
        <v>90.21</v>
      </c>
      <c r="R33" s="39" t="n">
        <f aca="false">IFERROR(INDEX('Data 2'!$M$2:$M$2198,MATCH(P33,'Data 2'!$A$2:$A$2198,0)), 0)</f>
        <v>47.96</v>
      </c>
      <c r="S33" s="34" t="s">
        <v>136</v>
      </c>
      <c r="T33" s="39" t="n">
        <f aca="false">IFERROR(INDEX('Data 2'!$L$2:$L$2198,MATCH(S33,'Data 2'!$A$2:$A$2198,0)), 0)</f>
        <v>-17.21</v>
      </c>
      <c r="U33" s="39" t="n">
        <f aca="false">IFERROR(INDEX('Data 2'!$M$2:$M$2198,MATCH(S33,'Data 2'!$A$2:$A$2198,0)), 0)</f>
        <v>-20.43125</v>
      </c>
      <c r="V33" s="34" t="s">
        <v>86</v>
      </c>
      <c r="W33" s="39" t="n">
        <f aca="false">IFERROR(INDEX('Data 2'!$L$2:$L$2198,MATCH(V33,'Data 2'!$A$2:$A$2198,0)), 0)</f>
        <v>-21.0866666666667</v>
      </c>
      <c r="X33" s="39" t="n">
        <f aca="false">IFERROR(INDEX('Data 2'!$M$2:$M$2198,MATCH(V33,'Data 2'!$A$2:$A$2198,0)), 0)</f>
        <v>24.30875</v>
      </c>
      <c r="Y33" s="37"/>
      <c r="Z33" s="37"/>
    </row>
    <row r="34" customFormat="false" ht="15.75" hidden="false" customHeight="true" outlineLevel="0" collapsed="false">
      <c r="A34" s="34" t="s">
        <v>158</v>
      </c>
      <c r="B34" s="67" t="n">
        <f aca="false">IFERROR(INDEX('Data 2'!$L$2:$L$2198,MATCH(A34,'Data 2'!$A$2:$A$2198,0)), 0)</f>
        <v>78.3733333333333</v>
      </c>
      <c r="C34" s="67" t="n">
        <f aca="false">IFERROR(INDEX('Data 2'!$M$2:$M$2198,MATCH(A34,'Data 2'!$A$2:$A$2198,0)), 0)</f>
        <v>232.9675</v>
      </c>
      <c r="D34" s="34" t="s">
        <v>278</v>
      </c>
      <c r="E34" s="39" t="n">
        <f aca="false">IFERROR(INDEX('Data 2'!$L$2:$L$2198,MATCH(D34,'Data 2'!$A$2:$A$2198,0)), 0)</f>
        <v>5.04666666666666</v>
      </c>
      <c r="F34" s="39" t="n">
        <f aca="false">IFERROR(INDEX('Data 2'!$M$2:$M$2198,MATCH(D34,'Data 2'!$A$2:$A$2198,0)), 0)</f>
        <v>7.70625</v>
      </c>
      <c r="G34" s="34" t="s">
        <v>53</v>
      </c>
      <c r="H34" s="39" t="n">
        <f aca="false">IFERROR(INDEX('Data 2'!$L$2:$L$2198,MATCH(G34,'Data 2'!$A$2:$A$2198,0)), 0)</f>
        <v>-2.34333333333333</v>
      </c>
      <c r="I34" s="39" t="n">
        <f aca="false">IFERROR(INDEX('Data 2'!$M$2:$M$2198,MATCH(G34,'Data 2'!$A$2:$A$2198,0)), 0)</f>
        <v>-29.05625</v>
      </c>
      <c r="J34" s="34" t="s">
        <v>121</v>
      </c>
      <c r="K34" s="39" t="n">
        <f aca="false">IFERROR(INDEX('Data 2'!$L$2:$L$2198,MATCH(J34,'Data 2'!$A$2:$A$2198,0)), 0)</f>
        <v>11.3</v>
      </c>
      <c r="L34" s="39" t="n">
        <f aca="false">IFERROR(INDEX('Data 2'!$M$2:$M$2198,MATCH(J34,'Data 2'!$A$2:$A$2198,0)), 0)</f>
        <v>-25.17125</v>
      </c>
      <c r="M34" s="34" t="s">
        <v>323</v>
      </c>
      <c r="N34" s="39" t="n">
        <f aca="false">IFERROR(INDEX('Data 2'!$L$2:$L$2198,MATCH(M34,'Data 2'!$A$2:$A$2198,0)), 0)</f>
        <v>-68.01</v>
      </c>
      <c r="O34" s="39" t="n">
        <f aca="false">IFERROR(INDEX('Data 2'!$M$2:$M$2198,MATCH(M34,'Data 2'!$A$2:$A$2198,0)), 0)</f>
        <v>-51.59625</v>
      </c>
      <c r="P34" s="34" t="s">
        <v>324</v>
      </c>
      <c r="Q34" s="39" t="n">
        <f aca="false">IFERROR(INDEX('Data 2'!$L$2:$L$2198,MATCH(P34,'Data 2'!$A$2:$A$2198,0)), 0)</f>
        <v>-76.45</v>
      </c>
      <c r="R34" s="39" t="n">
        <f aca="false">IFERROR(INDEX('Data 2'!$M$2:$M$2198,MATCH(P34,'Data 2'!$A$2:$A$2198,0)), 0)</f>
        <v>-170.41875</v>
      </c>
      <c r="S34" s="34" t="s">
        <v>325</v>
      </c>
      <c r="T34" s="39" t="n">
        <f aca="false">IFERROR(INDEX('Data 2'!$L$2:$L$2198,MATCH(S34,'Data 2'!$A$2:$A$2198,0)), 0)</f>
        <v>-82.3266666666667</v>
      </c>
      <c r="U34" s="39" t="n">
        <f aca="false">IFERROR(INDEX('Data 2'!$M$2:$M$2198,MATCH(S34,'Data 2'!$A$2:$A$2198,0)), 0)</f>
        <v>-53.78875</v>
      </c>
      <c r="V34" s="34" t="s">
        <v>304</v>
      </c>
      <c r="W34" s="39" t="n">
        <f aca="false">IFERROR(INDEX('Data 2'!$L$2:$L$2198,MATCH(V34,'Data 2'!$A$2:$A$2198,0)), 0)</f>
        <v>-65.67</v>
      </c>
      <c r="X34" s="39" t="n">
        <f aca="false">IFERROR(INDEX('Data 2'!$M$2:$M$2198,MATCH(V34,'Data 2'!$A$2:$A$2198,0)), 0)</f>
        <v>33.08875</v>
      </c>
      <c r="Y34" s="37"/>
      <c r="Z34" s="37"/>
    </row>
    <row r="35" customFormat="false" ht="15.75" hidden="false" customHeight="true" outlineLevel="0" collapsed="false">
      <c r="A35" s="34" t="s">
        <v>74</v>
      </c>
      <c r="B35" s="67" t="n">
        <f aca="false">IFERROR(INDEX('Data 2'!$L$2:$L$2198,MATCH(A35,'Data 2'!$A$2:$A$2198,0)), 0)</f>
        <v>-53.6766666666667</v>
      </c>
      <c r="C35" s="67" t="n">
        <f aca="false">IFERROR(INDEX('Data 2'!$M$2:$M$2198,MATCH(A35,'Data 2'!$A$2:$A$2198,0)), 0)</f>
        <v>-26.51875</v>
      </c>
      <c r="D35" s="34" t="s">
        <v>296</v>
      </c>
      <c r="E35" s="39" t="n">
        <f aca="false">IFERROR(INDEX('Data 2'!$L$2:$L$2198,MATCH(D35,'Data 2'!$A$2:$A$2198,0)), 0)</f>
        <v>-55.6233333333333</v>
      </c>
      <c r="F35" s="39" t="n">
        <f aca="false">IFERROR(INDEX('Data 2'!$M$2:$M$2198,MATCH(D35,'Data 2'!$A$2:$A$2198,0)), 0)</f>
        <v>2.6875</v>
      </c>
      <c r="G35" s="34" t="s">
        <v>54</v>
      </c>
      <c r="H35" s="39" t="n">
        <f aca="false">IFERROR(INDEX('Data 2'!$L$2:$L$2198,MATCH(G35,'Data 2'!$A$2:$A$2198,0)), 0)</f>
        <v>-8.38666666666667</v>
      </c>
      <c r="I35" s="39" t="n">
        <f aca="false">IFERROR(INDEX('Data 2'!$M$2:$M$2198,MATCH(G35,'Data 2'!$A$2:$A$2198,0)), 0)</f>
        <v>-5.17875</v>
      </c>
      <c r="J35" s="34" t="s">
        <v>152</v>
      </c>
      <c r="K35" s="39" t="n">
        <f aca="false">IFERROR(INDEX('Data 2'!$L$2:$L$2198,MATCH(J35,'Data 2'!$A$2:$A$2198,0)), 0)</f>
        <v>-31.75</v>
      </c>
      <c r="L35" s="39" t="n">
        <f aca="false">IFERROR(INDEX('Data 2'!$M$2:$M$2198,MATCH(J35,'Data 2'!$A$2:$A$2198,0)), 0)</f>
        <v>-62.4425</v>
      </c>
      <c r="M35" s="34" t="s">
        <v>261</v>
      </c>
      <c r="N35" s="39" t="n">
        <f aca="false">IFERROR(INDEX('Data 2'!$L$2:$L$2198,MATCH(M35,'Data 2'!$A$2:$A$2198,0)), 0)</f>
        <v>-99.9266666666667</v>
      </c>
      <c r="O35" s="39" t="n">
        <f aca="false">IFERROR(INDEX('Data 2'!$M$2:$M$2198,MATCH(M35,'Data 2'!$A$2:$A$2198,0)), 0)</f>
        <v>-75.5825</v>
      </c>
      <c r="P35" s="34" t="s">
        <v>326</v>
      </c>
      <c r="Q35" s="39" t="n">
        <f aca="false">IFERROR(INDEX('Data 2'!$L$2:$L$2198,MATCH(P35,'Data 2'!$A$2:$A$2198,0)), 0)</f>
        <v>-18.61</v>
      </c>
      <c r="R35" s="39" t="n">
        <f aca="false">IFERROR(INDEX('Data 2'!$M$2:$M$2198,MATCH(P35,'Data 2'!$A$2:$A$2198,0)), 0)</f>
        <v>59.81375</v>
      </c>
      <c r="S35" s="34" t="s">
        <v>154</v>
      </c>
      <c r="T35" s="39" t="n">
        <f aca="false">IFERROR(INDEX('Data 2'!$L$2:$L$2198,MATCH(S35,'Data 2'!$A$2:$A$2198,0)), 0)</f>
        <v>-94.6633333333333</v>
      </c>
      <c r="U35" s="39" t="n">
        <f aca="false">IFERROR(INDEX('Data 2'!$M$2:$M$2198,MATCH(S35,'Data 2'!$A$2:$A$2198,0)), 0)</f>
        <v>-94.76625</v>
      </c>
      <c r="V35" s="34" t="s">
        <v>306</v>
      </c>
      <c r="W35" s="39" t="n">
        <f aca="false">IFERROR(INDEX('Data 2'!$L$2:$L$2198,MATCH(V35,'Data 2'!$A$2:$A$2198,0)), 0)</f>
        <v>-56.9733333333333</v>
      </c>
      <c r="X35" s="39" t="n">
        <f aca="false">IFERROR(INDEX('Data 2'!$M$2:$M$2198,MATCH(V35,'Data 2'!$A$2:$A$2198,0)), 0)</f>
        <v>33.9025</v>
      </c>
      <c r="Y35" s="37"/>
      <c r="Z35" s="37"/>
    </row>
    <row r="36" customFormat="false" ht="15.75" hidden="false" customHeight="true" outlineLevel="0" collapsed="false">
      <c r="A36" s="34" t="s">
        <v>147</v>
      </c>
      <c r="B36" s="67" t="n">
        <f aca="false">IFERROR(INDEX('Data 2'!$L$2:$L$2198,MATCH(A36,'Data 2'!$A$2:$A$2198,0)), 0)</f>
        <v>2.83333333333333</v>
      </c>
      <c r="C36" s="67" t="n">
        <f aca="false">IFERROR(INDEX('Data 2'!$M$2:$M$2198,MATCH(A36,'Data 2'!$A$2:$A$2198,0)), 0)</f>
        <v>1.0425</v>
      </c>
      <c r="D36" s="34" t="s">
        <v>143</v>
      </c>
      <c r="E36" s="39" t="n">
        <f aca="false">IFERROR(INDEX('Data 2'!$L$2:$L$2198,MATCH(D36,'Data 2'!$A$2:$A$2198,0)), 0)</f>
        <v>-95.64</v>
      </c>
      <c r="F36" s="39" t="n">
        <f aca="false">IFERROR(INDEX('Data 2'!$M$2:$M$2198,MATCH(D36,'Data 2'!$A$2:$A$2198,0)), 0)</f>
        <v>-29.11625</v>
      </c>
      <c r="G36" s="34" t="s">
        <v>211</v>
      </c>
      <c r="H36" s="39" t="n">
        <f aca="false">IFERROR(INDEX('Data 2'!$L$2:$L$2198,MATCH(G36,'Data 2'!$A$2:$A$2198,0)), 0)</f>
        <v>7.07</v>
      </c>
      <c r="I36" s="39" t="n">
        <f aca="false">IFERROR(INDEX('Data 2'!$M$2:$M$2198,MATCH(G36,'Data 2'!$A$2:$A$2198,0)), 0)</f>
        <v>80.28125</v>
      </c>
      <c r="J36" s="34" t="s">
        <v>327</v>
      </c>
      <c r="K36" s="39" t="n">
        <f aca="false">IFERROR(INDEX('Data 2'!$L$2:$L$2198,MATCH(J36,'Data 2'!$A$2:$A$2198,0)), 0)</f>
        <v>11.0166666666667</v>
      </c>
      <c r="L36" s="39" t="n">
        <f aca="false">IFERROR(INDEX('Data 2'!$M$2:$M$2198,MATCH(J36,'Data 2'!$A$2:$A$2198,0)), 0)</f>
        <v>37.13125</v>
      </c>
      <c r="M36" s="34" t="s">
        <v>223</v>
      </c>
      <c r="N36" s="39" t="n">
        <f aca="false">IFERROR(INDEX('Data 2'!$L$2:$L$2198,MATCH(M36,'Data 2'!$A$2:$A$2198,0)), 0)</f>
        <v>-113.16</v>
      </c>
      <c r="O36" s="39" t="n">
        <f aca="false">IFERROR(INDEX('Data 2'!$M$2:$M$2198,MATCH(M36,'Data 2'!$A$2:$A$2198,0)), 0)</f>
        <v>-73.36475</v>
      </c>
      <c r="P36" s="34" t="s">
        <v>328</v>
      </c>
      <c r="Q36" s="39" t="n">
        <f aca="false">IFERROR(INDEX('Data 2'!$L$2:$L$2198,MATCH(P36,'Data 2'!$A$2:$A$2198,0)), 0)</f>
        <v>80.57</v>
      </c>
      <c r="R36" s="39" t="n">
        <f aca="false">IFERROR(INDEX('Data 2'!$M$2:$M$2198,MATCH(P36,'Data 2'!$A$2:$A$2198,0)), 0)</f>
        <v>22.45125</v>
      </c>
      <c r="S36" s="34" t="s">
        <v>67</v>
      </c>
      <c r="T36" s="39" t="n">
        <f aca="false">IFERROR(INDEX('Data 2'!$L$2:$L$2198,MATCH(S36,'Data 2'!$A$2:$A$2198,0)), 0)</f>
        <v>13.2466666666667</v>
      </c>
      <c r="U36" s="39" t="n">
        <f aca="false">IFERROR(INDEX('Data 2'!$M$2:$M$2198,MATCH(S36,'Data 2'!$A$2:$A$2198,0)), 0)</f>
        <v>20.1475</v>
      </c>
      <c r="V36" s="34" t="s">
        <v>307</v>
      </c>
      <c r="W36" s="39" t="n">
        <f aca="false">IFERROR(INDEX('Data 2'!$L$2:$L$2198,MATCH(V36,'Data 2'!$A$2:$A$2198,0)), 0)</f>
        <v>95.0433333333333</v>
      </c>
      <c r="X36" s="39" t="n">
        <f aca="false">IFERROR(INDEX('Data 2'!$M$2:$M$2198,MATCH(V36,'Data 2'!$A$2:$A$2198,0)), 0)</f>
        <v>122.57375</v>
      </c>
      <c r="Y36" s="37"/>
      <c r="Z36" s="37"/>
    </row>
    <row r="37" customFormat="false" ht="15.75" hidden="false" customHeight="true" outlineLevel="0" collapsed="false">
      <c r="A37" s="34" t="s">
        <v>166</v>
      </c>
      <c r="B37" s="67" t="n">
        <f aca="false">IFERROR(INDEX('Data 2'!$L$2:$L$2198,MATCH(A37,'Data 2'!$A$2:$A$2198,0)), 0)</f>
        <v>-55.7866666666667</v>
      </c>
      <c r="C37" s="67" t="n">
        <f aca="false">IFERROR(INDEX('Data 2'!$M$2:$M$2198,MATCH(A37,'Data 2'!$A$2:$A$2198,0)), 0)</f>
        <v>-61.745</v>
      </c>
      <c r="D37" s="34" t="s">
        <v>298</v>
      </c>
      <c r="E37" s="39" t="n">
        <f aca="false">IFERROR(INDEX('Data 2'!$L$2:$L$2198,MATCH(D37,'Data 2'!$A$2:$A$2198,0)), 0)</f>
        <v>-33.84</v>
      </c>
      <c r="F37" s="39" t="n">
        <f aca="false">IFERROR(INDEX('Data 2'!$M$2:$M$2198,MATCH(D37,'Data 2'!$A$2:$A$2198,0)), 0)</f>
        <v>78.3875</v>
      </c>
      <c r="G37" s="34" t="s">
        <v>148</v>
      </c>
      <c r="H37" s="39" t="n">
        <f aca="false">IFERROR(INDEX('Data 2'!$L$2:$L$2198,MATCH(G37,'Data 2'!$A$2:$A$2198,0)), 0)</f>
        <v>69.39</v>
      </c>
      <c r="I37" s="39" t="n">
        <f aca="false">IFERROR(INDEX('Data 2'!$M$2:$M$2198,MATCH(G37,'Data 2'!$A$2:$A$2198,0)), 0)</f>
        <v>9.4825</v>
      </c>
      <c r="J37" s="34" t="s">
        <v>96</v>
      </c>
      <c r="K37" s="39" t="n">
        <f aca="false">IFERROR(INDEX('Data 2'!$L$2:$L$2198,MATCH(J37,'Data 2'!$A$2:$A$2198,0)), 0)</f>
        <v>122.496666666667</v>
      </c>
      <c r="L37" s="39" t="n">
        <f aca="false">IFERROR(INDEX('Data 2'!$M$2:$M$2198,MATCH(J37,'Data 2'!$A$2:$A$2198,0)), 0)</f>
        <v>149.74</v>
      </c>
      <c r="M37" s="34" t="s">
        <v>329</v>
      </c>
      <c r="N37" s="39" t="n">
        <f aca="false">IFERROR(INDEX('Data 2'!$L$2:$L$2198,MATCH(M37,'Data 2'!$A$2:$A$2198,0)), 0)</f>
        <v>-56.4566666666667</v>
      </c>
      <c r="O37" s="39" t="n">
        <f aca="false">IFERROR(INDEX('Data 2'!$M$2:$M$2198,MATCH(M37,'Data 2'!$A$2:$A$2198,0)), 0)</f>
        <v>-33.78625</v>
      </c>
      <c r="P37" s="34" t="s">
        <v>168</v>
      </c>
      <c r="Q37" s="39" t="n">
        <f aca="false">IFERROR(INDEX('Data 2'!$L$2:$L$2198,MATCH(P37,'Data 2'!$A$2:$A$2198,0)), 0)</f>
        <v>-2.94666666666667</v>
      </c>
      <c r="R37" s="39" t="n">
        <f aca="false">IFERROR(INDEX('Data 2'!$M$2:$M$2198,MATCH(P37,'Data 2'!$A$2:$A$2198,0)), 0)</f>
        <v>-61.92875</v>
      </c>
      <c r="S37" s="34" t="s">
        <v>111</v>
      </c>
      <c r="T37" s="39" t="n">
        <f aca="false">IFERROR(INDEX('Data 2'!$L$2:$L$2198,MATCH(S37,'Data 2'!$A$2:$A$2198,0)), 0)</f>
        <v>-94.6133333333333</v>
      </c>
      <c r="U37" s="39" t="n">
        <f aca="false">IFERROR(INDEX('Data 2'!$M$2:$M$2198,MATCH(S37,'Data 2'!$A$2:$A$2198,0)), 0)</f>
        <v>-30.34375</v>
      </c>
      <c r="V37" s="34" t="s">
        <v>175</v>
      </c>
      <c r="W37" s="39" t="n">
        <f aca="false">IFERROR(INDEX('Data 2'!$L$2:$L$2198,MATCH(V37,'Data 2'!$A$2:$A$2198,0)), 0)</f>
        <v>-29.3333333333333</v>
      </c>
      <c r="X37" s="39" t="n">
        <f aca="false">IFERROR(INDEX('Data 2'!$M$2:$M$2198,MATCH(V37,'Data 2'!$A$2:$A$2198,0)), 0)</f>
        <v>88.9825</v>
      </c>
      <c r="Y37" s="37"/>
      <c r="Z37" s="37"/>
    </row>
    <row r="38" customFormat="false" ht="15.75" hidden="false" customHeight="true" outlineLevel="0" collapsed="false">
      <c r="A38" s="34" t="s">
        <v>80</v>
      </c>
      <c r="B38" s="67" t="n">
        <f aca="false">IFERROR(INDEX('Data 2'!$L$2:$L$2198,MATCH(A38,'Data 2'!$A$2:$A$2198,0)), 0)</f>
        <v>-100.336666666667</v>
      </c>
      <c r="C38" s="67" t="n">
        <f aca="false">IFERROR(INDEX('Data 2'!$M$2:$M$2198,MATCH(A38,'Data 2'!$A$2:$A$2198,0)), 0)</f>
        <v>-99.655</v>
      </c>
      <c r="D38" s="34" t="s">
        <v>300</v>
      </c>
      <c r="E38" s="39" t="n">
        <f aca="false">IFERROR(INDEX('Data 2'!$L$2:$L$2198,MATCH(D38,'Data 2'!$A$2:$A$2198,0)), 0)</f>
        <v>39.3233333333333</v>
      </c>
      <c r="F38" s="39" t="n">
        <f aca="false">IFERROR(INDEX('Data 2'!$M$2:$M$2198,MATCH(D38,'Data 2'!$A$2:$A$2198,0)), 0)</f>
        <v>13.7575</v>
      </c>
      <c r="G38" s="34" t="s">
        <v>149</v>
      </c>
      <c r="H38" s="39" t="n">
        <f aca="false">IFERROR(INDEX('Data 2'!$L$2:$L$2198,MATCH(G38,'Data 2'!$A$2:$A$2198,0)), 0)</f>
        <v>100.756666666667</v>
      </c>
      <c r="I38" s="39" t="n">
        <f aca="false">IFERROR(INDEX('Data 2'!$M$2:$M$2198,MATCH(G38,'Data 2'!$A$2:$A$2198,0)), 0)</f>
        <v>21.885</v>
      </c>
      <c r="J38" s="34" t="s">
        <v>200</v>
      </c>
      <c r="K38" s="39" t="n">
        <f aca="false">IFERROR(INDEX('Data 2'!$L$2:$L$2198,MATCH(J38,'Data 2'!$A$2:$A$2198,0)), 0)</f>
        <v>-37.3566666666667</v>
      </c>
      <c r="L38" s="39" t="n">
        <f aca="false">IFERROR(INDEX('Data 2'!$M$2:$M$2198,MATCH(J38,'Data 2'!$A$2:$A$2198,0)), 0)</f>
        <v>67.6425</v>
      </c>
      <c r="M38" s="34" t="s">
        <v>39</v>
      </c>
      <c r="N38" s="39" t="n">
        <f aca="false">IFERROR(INDEX('Data 2'!$L$2:$L$2198,MATCH(M38,'Data 2'!$A$2:$A$2198,0)), 0)</f>
        <v>-41.7433333333333</v>
      </c>
      <c r="O38" s="39" t="n">
        <f aca="false">IFERROR(INDEX('Data 2'!$M$2:$M$2198,MATCH(M38,'Data 2'!$A$2:$A$2198,0)), 0)</f>
        <v>7.44125</v>
      </c>
      <c r="P38" s="34" t="s">
        <v>330</v>
      </c>
      <c r="Q38" s="39" t="n">
        <f aca="false">IFERROR(INDEX('Data 2'!$L$2:$L$2198,MATCH(P38,'Data 2'!$A$2:$A$2198,0)), 0)</f>
        <v>-106.42</v>
      </c>
      <c r="R38" s="39" t="n">
        <f aca="false">IFERROR(INDEX('Data 2'!$M$2:$M$2198,MATCH(P38,'Data 2'!$A$2:$A$2198,0)), 0)</f>
        <v>-110.11875</v>
      </c>
      <c r="S38" s="34" t="s">
        <v>227</v>
      </c>
      <c r="T38" s="39" t="n">
        <f aca="false">IFERROR(INDEX('Data 2'!$L$2:$L$2198,MATCH(S38,'Data 2'!$A$2:$A$2198,0)), 0)</f>
        <v>-22.5566666666667</v>
      </c>
      <c r="U38" s="39" t="n">
        <f aca="false">IFERROR(INDEX('Data 2'!$M$2:$M$2198,MATCH(S38,'Data 2'!$A$2:$A$2198,0)), 0)</f>
        <v>7.9675</v>
      </c>
      <c r="V38" s="34" t="s">
        <v>310</v>
      </c>
      <c r="W38" s="39" t="n">
        <f aca="false">IFERROR(INDEX('Data 2'!$L$2:$L$2198,MATCH(V38,'Data 2'!$A$2:$A$2198,0)), 0)</f>
        <v>-67.82</v>
      </c>
      <c r="X38" s="39" t="n">
        <f aca="false">IFERROR(INDEX('Data 2'!$M$2:$M$2198,MATCH(V38,'Data 2'!$A$2:$A$2198,0)), 0)</f>
        <v>11.7125</v>
      </c>
      <c r="Y38" s="37"/>
      <c r="Z38" s="37"/>
    </row>
    <row r="39" customFormat="false" ht="15.75" hidden="false" customHeight="true" outlineLevel="0" collapsed="false">
      <c r="A39" s="34" t="s">
        <v>162</v>
      </c>
      <c r="B39" s="67" t="n">
        <f aca="false">IFERROR(INDEX('Data 2'!$L$2:$L$2198,MATCH(A39,'Data 2'!$A$2:$A$2198,0)), 0)</f>
        <v>-11.3766666666667</v>
      </c>
      <c r="C39" s="67" t="n">
        <f aca="false">IFERROR(INDEX('Data 2'!$M$2:$M$2198,MATCH(A39,'Data 2'!$A$2:$A$2198,0)), 0)</f>
        <v>-4.32375</v>
      </c>
      <c r="D39" s="34" t="s">
        <v>229</v>
      </c>
      <c r="E39" s="39" t="n">
        <f aca="false">IFERROR(INDEX('Data 2'!$L$2:$L$2198,MATCH(D39,'Data 2'!$A$2:$A$2198,0)), 0)</f>
        <v>-89.57</v>
      </c>
      <c r="F39" s="39" t="n">
        <f aca="false">IFERROR(INDEX('Data 2'!$M$2:$M$2198,MATCH(D39,'Data 2'!$A$2:$A$2198,0)), 0)</f>
        <v>-74.96375</v>
      </c>
      <c r="G39" s="34" t="s">
        <v>189</v>
      </c>
      <c r="H39" s="39" t="n">
        <f aca="false">IFERROR(INDEX('Data 2'!$L$2:$L$2198,MATCH(G39,'Data 2'!$A$2:$A$2198,0)), 0)</f>
        <v>-57.4466666666667</v>
      </c>
      <c r="I39" s="39" t="n">
        <f aca="false">IFERROR(INDEX('Data 2'!$M$2:$M$2198,MATCH(G39,'Data 2'!$A$2:$A$2198,0)), 0)</f>
        <v>-98.99125</v>
      </c>
      <c r="J39" s="34" t="s">
        <v>188</v>
      </c>
      <c r="K39" s="39" t="n">
        <f aca="false">IFERROR(INDEX('Data 2'!$L$2:$L$2198,MATCH(J39,'Data 2'!$A$2:$A$2198,0)), 0)</f>
        <v>-73.2266666666667</v>
      </c>
      <c r="L39" s="39" t="n">
        <f aca="false">IFERROR(INDEX('Data 2'!$M$2:$M$2198,MATCH(J39,'Data 2'!$A$2:$A$2198,0)), 0)</f>
        <v>-106.525</v>
      </c>
      <c r="M39" s="34" t="s">
        <v>191</v>
      </c>
      <c r="N39" s="39" t="n">
        <f aca="false">IFERROR(INDEX('Data 2'!$L$2:$L$2198,MATCH(M39,'Data 2'!$A$2:$A$2198,0)), 0)</f>
        <v>26.37</v>
      </c>
      <c r="O39" s="39" t="n">
        <f aca="false">IFERROR(INDEX('Data 2'!$M$2:$M$2198,MATCH(M39,'Data 2'!$A$2:$A$2198,0)), 0)</f>
        <v>52.25125</v>
      </c>
      <c r="P39" s="34" t="s">
        <v>287</v>
      </c>
      <c r="Q39" s="39" t="n">
        <f aca="false">IFERROR(INDEX('Data 2'!$L$2:$L$2198,MATCH(P39,'Data 2'!$A$2:$A$2198,0)), 0)</f>
        <v>31.5</v>
      </c>
      <c r="R39" s="39" t="n">
        <f aca="false">IFERROR(INDEX('Data 2'!$M$2:$M$2198,MATCH(P39,'Data 2'!$A$2:$A$2198,0)), 0)</f>
        <v>69.80625</v>
      </c>
      <c r="S39" s="34" t="s">
        <v>302</v>
      </c>
      <c r="T39" s="39" t="n">
        <f aca="false">IFERROR(INDEX('Data 2'!$L$2:$L$2198,MATCH(S39,'Data 2'!$A$2:$A$2198,0)), 0)</f>
        <v>-83.54</v>
      </c>
      <c r="U39" s="39" t="n">
        <f aca="false">IFERROR(INDEX('Data 2'!$M$2:$M$2198,MATCH(S39,'Data 2'!$A$2:$A$2198,0)), 0)</f>
        <v>-27.4525</v>
      </c>
      <c r="V39" s="34" t="s">
        <v>311</v>
      </c>
      <c r="W39" s="39" t="n">
        <f aca="false">IFERROR(INDEX('Data 2'!$L$2:$L$2198,MATCH(V39,'Data 2'!$A$2:$A$2198,0)), 0)</f>
        <v>-74.3433333333334</v>
      </c>
      <c r="X39" s="39" t="n">
        <f aca="false">IFERROR(INDEX('Data 2'!$M$2:$M$2198,MATCH(V39,'Data 2'!$A$2:$A$2198,0)), 0)</f>
        <v>-70.91375</v>
      </c>
      <c r="Y39" s="37"/>
      <c r="Z39" s="37"/>
    </row>
    <row r="40" customFormat="false" ht="15.75" hidden="false" customHeight="true" outlineLevel="0" collapsed="false">
      <c r="A40" s="34" t="s">
        <v>204</v>
      </c>
      <c r="B40" s="67" t="n">
        <f aca="false">IFERROR(INDEX('Data 2'!$L$2:$L$2198,MATCH(A40,'Data 2'!$A$2:$A$2198,0)), 0)</f>
        <v>-18.29</v>
      </c>
      <c r="C40" s="67" t="n">
        <f aca="false">IFERROR(INDEX('Data 2'!$M$2:$M$2198,MATCH(A40,'Data 2'!$A$2:$A$2198,0)), 0)</f>
        <v>49.62125</v>
      </c>
      <c r="D40" s="34" t="s">
        <v>282</v>
      </c>
      <c r="E40" s="39" t="n">
        <f aca="false">IFERROR(INDEX('Data 2'!$L$2:$L$2198,MATCH(D40,'Data 2'!$A$2:$A$2198,0)), 0)</f>
        <v>-99.58</v>
      </c>
      <c r="F40" s="39" t="n">
        <f aca="false">IFERROR(INDEX('Data 2'!$M$2:$M$2198,MATCH(D40,'Data 2'!$A$2:$A$2198,0)), 0)</f>
        <v>-50.74875</v>
      </c>
      <c r="G40" s="34" t="s">
        <v>331</v>
      </c>
      <c r="H40" s="39" t="n">
        <f aca="false">IFERROR(INDEX('Data 2'!$L$2:$L$2198,MATCH(G40,'Data 2'!$A$2:$A$2198,0)), 0)</f>
        <v>88.51</v>
      </c>
      <c r="I40" s="39" t="n">
        <f aca="false">IFERROR(INDEX('Data 2'!$M$2:$M$2198,MATCH(G40,'Data 2'!$A$2:$A$2198,0)), 0)</f>
        <v>75.1225</v>
      </c>
      <c r="J40" s="34" t="s">
        <v>247</v>
      </c>
      <c r="K40" s="39" t="n">
        <f aca="false">IFERROR(INDEX('Data 2'!$L$2:$L$2198,MATCH(J40,'Data 2'!$A$2:$A$2198,0)), 0)</f>
        <v>80.6433333333333</v>
      </c>
      <c r="L40" s="39" t="n">
        <f aca="false">IFERROR(INDEX('Data 2'!$M$2:$M$2198,MATCH(J40,'Data 2'!$A$2:$A$2198,0)), 0)</f>
        <v>109.85375</v>
      </c>
      <c r="M40" s="34" t="s">
        <v>332</v>
      </c>
      <c r="N40" s="39" t="n">
        <f aca="false">IFERROR(INDEX('Data 2'!$L$2:$L$2198,MATCH(M40,'Data 2'!$A$2:$A$2198,0)), 0)</f>
        <v>-47.7433333333333</v>
      </c>
      <c r="O40" s="39" t="n">
        <f aca="false">IFERROR(INDEX('Data 2'!$M$2:$M$2198,MATCH(M40,'Data 2'!$A$2:$A$2198,0)), 0)</f>
        <v>-87.935</v>
      </c>
      <c r="P40" s="34" t="s">
        <v>333</v>
      </c>
      <c r="Q40" s="39" t="n">
        <f aca="false">IFERROR(INDEX('Data 2'!$L$2:$L$2198,MATCH(P40,'Data 2'!$A$2:$A$2198,0)), 0)</f>
        <v>-112.35</v>
      </c>
      <c r="R40" s="39" t="n">
        <f aca="false">IFERROR(INDEX('Data 2'!$M$2:$M$2198,MATCH(P40,'Data 2'!$A$2:$A$2198,0)), 0)</f>
        <v>-97.6025</v>
      </c>
      <c r="S40" s="34" t="s">
        <v>305</v>
      </c>
      <c r="T40" s="39" t="n">
        <f aca="false">IFERROR(INDEX('Data 2'!$L$2:$L$2198,MATCH(S40,'Data 2'!$A$2:$A$2198,0)), 0)</f>
        <v>-80.0066666666667</v>
      </c>
      <c r="U40" s="39" t="n">
        <f aca="false">IFERROR(INDEX('Data 2'!$M$2:$M$2198,MATCH(S40,'Data 2'!$A$2:$A$2198,0)), 0)</f>
        <v>-47.76375</v>
      </c>
      <c r="V40" s="34" t="s">
        <v>195</v>
      </c>
      <c r="W40" s="39" t="n">
        <f aca="false">IFERROR(INDEX('Data 2'!$L$2:$L$2198,MATCH(V40,'Data 2'!$A$2:$A$2198,0)), 0)</f>
        <v>81.51</v>
      </c>
      <c r="X40" s="39" t="n">
        <f aca="false">IFERROR(INDEX('Data 2'!$M$2:$M$2198,MATCH(V40,'Data 2'!$A$2:$A$2198,0)), 0)</f>
        <v>27.55625</v>
      </c>
      <c r="Y40" s="37"/>
      <c r="Z40" s="37"/>
    </row>
    <row r="41" customFormat="false" ht="15.75" hidden="false" customHeight="true" outlineLevel="0" collapsed="false">
      <c r="A41" s="34" t="s">
        <v>70</v>
      </c>
      <c r="B41" s="67" t="n">
        <f aca="false">IFERROR(INDEX('Data 2'!$L$2:$L$2198,MATCH(A41,'Data 2'!$A$2:$A$2198,0)), 0)</f>
        <v>-62.53</v>
      </c>
      <c r="C41" s="67" t="n">
        <f aca="false">IFERROR(INDEX('Data 2'!$M$2:$M$2198,MATCH(A41,'Data 2'!$A$2:$A$2198,0)), 0)</f>
        <v>-74.62125</v>
      </c>
      <c r="D41" s="34" t="s">
        <v>129</v>
      </c>
      <c r="E41" s="39" t="n">
        <f aca="false">IFERROR(INDEX('Data 2'!$L$2:$L$2198,MATCH(D41,'Data 2'!$A$2:$A$2198,0)), 0)</f>
        <v>71.0833333333333</v>
      </c>
      <c r="F41" s="39" t="n">
        <f aca="false">IFERROR(INDEX('Data 2'!$M$2:$M$2198,MATCH(D41,'Data 2'!$A$2:$A$2198,0)), 0)</f>
        <v>147.7425</v>
      </c>
      <c r="G41" s="34" t="s">
        <v>173</v>
      </c>
      <c r="H41" s="39" t="n">
        <f aca="false">IFERROR(INDEX('Data 2'!$L$2:$L$2198,MATCH(G41,'Data 2'!$A$2:$A$2198,0)), 0)</f>
        <v>38.0766666666667</v>
      </c>
      <c r="I41" s="39" t="n">
        <f aca="false">IFERROR(INDEX('Data 2'!$M$2:$M$2198,MATCH(G41,'Data 2'!$A$2:$A$2198,0)), 0)</f>
        <v>91.0825</v>
      </c>
      <c r="J41" s="34" t="s">
        <v>36</v>
      </c>
      <c r="K41" s="39" t="n">
        <f aca="false">IFERROR(INDEX('Data 2'!$L$2:$L$2198,MATCH(J41,'Data 2'!$A$2:$A$2198,0)), 0)</f>
        <v>51.71</v>
      </c>
      <c r="L41" s="39" t="n">
        <f aca="false">IFERROR(INDEX('Data 2'!$M$2:$M$2198,MATCH(J41,'Data 2'!$A$2:$A$2198,0)), 0)</f>
        <v>81.9225</v>
      </c>
      <c r="M41" s="34" t="s">
        <v>37</v>
      </c>
      <c r="N41" s="39" t="n">
        <f aca="false">IFERROR(INDEX('Data 2'!$L$2:$L$2198,MATCH(M41,'Data 2'!$A$2:$A$2198,0)), 0)</f>
        <v>127.333333333333</v>
      </c>
      <c r="O41" s="39" t="n">
        <f aca="false">IFERROR(INDEX('Data 2'!$M$2:$M$2198,MATCH(M41,'Data 2'!$A$2:$A$2198,0)), 0)</f>
        <v>187.25625</v>
      </c>
      <c r="P41" s="34" t="s">
        <v>290</v>
      </c>
      <c r="Q41" s="39" t="n">
        <f aca="false">IFERROR(INDEX('Data 2'!$L$2:$L$2198,MATCH(P41,'Data 2'!$A$2:$A$2198,0)), 0)</f>
        <v>79.8133333333333</v>
      </c>
      <c r="R41" s="39" t="n">
        <f aca="false">IFERROR(INDEX('Data 2'!$M$2:$M$2198,MATCH(P41,'Data 2'!$A$2:$A$2198,0)), 0)</f>
        <v>-22.8875</v>
      </c>
      <c r="S41" s="34" t="s">
        <v>77</v>
      </c>
      <c r="T41" s="39" t="n">
        <f aca="false">IFERROR(INDEX('Data 2'!$L$2:$L$2198,MATCH(S41,'Data 2'!$A$2:$A$2198,0)), 0)</f>
        <v>-97.6333333333333</v>
      </c>
      <c r="U41" s="39" t="n">
        <f aca="false">IFERROR(INDEX('Data 2'!$M$2:$M$2198,MATCH(S41,'Data 2'!$A$2:$A$2198,0)), 0)</f>
        <v>-110.6275</v>
      </c>
      <c r="V41" s="34" t="s">
        <v>284</v>
      </c>
      <c r="W41" s="39" t="n">
        <f aca="false">IFERROR(INDEX('Data 2'!$L$2:$L$2198,MATCH(V41,'Data 2'!$A$2:$A$2198,0)), 0)</f>
        <v>60.79</v>
      </c>
      <c r="X41" s="39" t="n">
        <f aca="false">IFERROR(INDEX('Data 2'!$M$2:$M$2198,MATCH(V41,'Data 2'!$A$2:$A$2198,0)), 0)</f>
        <v>-11.1025</v>
      </c>
      <c r="Y41" s="37"/>
      <c r="Z41" s="37"/>
    </row>
    <row r="42" customFormat="false" ht="15.75" hidden="false" customHeight="true" outlineLevel="0" collapsed="false">
      <c r="A42" s="34" t="s">
        <v>159</v>
      </c>
      <c r="B42" s="67" t="n">
        <f aca="false">IFERROR(INDEX('Data 2'!$L$2:$L$2198,MATCH(A42,'Data 2'!$A$2:$A$2198,0)), 0)</f>
        <v>-78.66</v>
      </c>
      <c r="C42" s="67" t="n">
        <f aca="false">IFERROR(INDEX('Data 2'!$M$2:$M$2198,MATCH(A42,'Data 2'!$A$2:$A$2198,0)), 0)</f>
        <v>13.455</v>
      </c>
      <c r="D42" s="34" t="s">
        <v>86</v>
      </c>
      <c r="E42" s="39" t="n">
        <f aca="false">IFERROR(INDEX('Data 2'!$L$2:$L$2198,MATCH(D42,'Data 2'!$A$2:$A$2198,0)), 0)</f>
        <v>-21.0866666666667</v>
      </c>
      <c r="F42" s="39" t="n">
        <f aca="false">IFERROR(INDEX('Data 2'!$M$2:$M$2198,MATCH(D42,'Data 2'!$A$2:$A$2198,0)), 0)</f>
        <v>24.30875</v>
      </c>
      <c r="G42" s="34" t="s">
        <v>163</v>
      </c>
      <c r="H42" s="39" t="n">
        <f aca="false">IFERROR(INDEX('Data 2'!$L$2:$L$2198,MATCH(G42,'Data 2'!$A$2:$A$2198,0)), 0)</f>
        <v>77.0066666666667</v>
      </c>
      <c r="I42" s="39" t="n">
        <f aca="false">IFERROR(INDEX('Data 2'!$M$2:$M$2198,MATCH(G42,'Data 2'!$A$2:$A$2198,0)), 0)</f>
        <v>-19.0025</v>
      </c>
      <c r="J42" s="34" t="s">
        <v>334</v>
      </c>
      <c r="K42" s="39" t="n">
        <f aca="false">IFERROR(INDEX('Data 2'!$L$2:$L$2198,MATCH(J42,'Data 2'!$A$2:$A$2198,0)), 0)</f>
        <v>11.0666666666667</v>
      </c>
      <c r="L42" s="39" t="n">
        <f aca="false">IFERROR(INDEX('Data 2'!$M$2:$M$2198,MATCH(J42,'Data 2'!$A$2:$A$2198,0)), 0)</f>
        <v>75.59375</v>
      </c>
      <c r="M42" s="34" t="s">
        <v>43</v>
      </c>
      <c r="N42" s="39" t="n">
        <f aca="false">IFERROR(INDEX('Data 2'!$L$2:$L$2198,MATCH(M42,'Data 2'!$A$2:$A$2198,0)), 0)</f>
        <v>-79.8366666666667</v>
      </c>
      <c r="O42" s="39" t="n">
        <f aca="false">IFERROR(INDEX('Data 2'!$M$2:$M$2198,MATCH(M42,'Data 2'!$A$2:$A$2198,0)), 0)</f>
        <v>-36.58625</v>
      </c>
      <c r="P42" s="34" t="s">
        <v>335</v>
      </c>
      <c r="Q42" s="39" t="n">
        <f aca="false">IFERROR(INDEX('Data 2'!$L$2:$L$2198,MATCH(P42,'Data 2'!$A$2:$A$2198,0)), 0)</f>
        <v>-121.323333333333</v>
      </c>
      <c r="R42" s="39" t="n">
        <f aca="false">IFERROR(INDEX('Data 2'!$M$2:$M$2198,MATCH(P42,'Data 2'!$A$2:$A$2198,0)), 0)</f>
        <v>-99.55625</v>
      </c>
      <c r="S42" s="34" t="s">
        <v>308</v>
      </c>
      <c r="T42" s="39" t="n">
        <f aca="false">IFERROR(INDEX('Data 2'!$L$2:$L$2198,MATCH(S42,'Data 2'!$A$2:$A$2198,0)), 0)</f>
        <v>-67.1766666666667</v>
      </c>
      <c r="U42" s="39" t="n">
        <f aca="false">IFERROR(INDEX('Data 2'!$M$2:$M$2198,MATCH(S42,'Data 2'!$A$2:$A$2198,0)), 0)</f>
        <v>-63.739125</v>
      </c>
      <c r="V42" s="34" t="s">
        <v>125</v>
      </c>
      <c r="W42" s="39" t="n">
        <f aca="false">IFERROR(INDEX('Data 2'!$L$2:$L$2198,MATCH(V42,'Data 2'!$A$2:$A$2198,0)), 0)</f>
        <v>-14.7033333333333</v>
      </c>
      <c r="X42" s="39" t="n">
        <f aca="false">IFERROR(INDEX('Data 2'!$M$2:$M$2198,MATCH(V42,'Data 2'!$A$2:$A$2198,0)), 0)</f>
        <v>-100.21</v>
      </c>
      <c r="Y42" s="37"/>
      <c r="Z42" s="37"/>
    </row>
    <row r="43" customFormat="false" ht="15.75" hidden="false" customHeight="true" outlineLevel="0" collapsed="false">
      <c r="A43" s="34" t="s">
        <v>82</v>
      </c>
      <c r="B43" s="67" t="n">
        <f aca="false">IFERROR(INDEX('Data 2'!$L$2:$L$2198,MATCH(A43,'Data 2'!$A$2:$A$2198,0)), 0)</f>
        <v>82.12</v>
      </c>
      <c r="C43" s="67" t="n">
        <f aca="false">IFERROR(INDEX('Data 2'!$M$2:$M$2198,MATCH(A43,'Data 2'!$A$2:$A$2198,0)), 0)</f>
        <v>-13.0425</v>
      </c>
      <c r="D43" s="34" t="s">
        <v>304</v>
      </c>
      <c r="E43" s="39" t="n">
        <f aca="false">IFERROR(INDEX('Data 2'!$L$2:$L$2198,MATCH(D43,'Data 2'!$A$2:$A$2198,0)), 0)</f>
        <v>-65.67</v>
      </c>
      <c r="F43" s="39" t="n">
        <f aca="false">IFERROR(INDEX('Data 2'!$M$2:$M$2198,MATCH(D43,'Data 2'!$A$2:$A$2198,0)), 0)</f>
        <v>33.08875</v>
      </c>
      <c r="G43" s="34" t="s">
        <v>203</v>
      </c>
      <c r="H43" s="39" t="n">
        <f aca="false">IFERROR(INDEX('Data 2'!$L$2:$L$2198,MATCH(G43,'Data 2'!$A$2:$A$2198,0)), 0)</f>
        <v>17.7566666666667</v>
      </c>
      <c r="I43" s="39" t="n">
        <f aca="false">IFERROR(INDEX('Data 2'!$M$2:$M$2198,MATCH(G43,'Data 2'!$A$2:$A$2198,0)), 0)</f>
        <v>-35.11125</v>
      </c>
      <c r="J43" s="34" t="s">
        <v>336</v>
      </c>
      <c r="K43" s="39" t="n">
        <f aca="false">IFERROR(INDEX('Data 2'!$L$2:$L$2198,MATCH(J43,'Data 2'!$A$2:$A$2198,0)), 0)</f>
        <v>-21.0266666666667</v>
      </c>
      <c r="L43" s="39" t="n">
        <f aca="false">IFERROR(INDEX('Data 2'!$M$2:$M$2198,MATCH(J43,'Data 2'!$A$2:$A$2198,0)), 0)</f>
        <v>76.4225</v>
      </c>
      <c r="M43" s="34" t="s">
        <v>337</v>
      </c>
      <c r="N43" s="39" t="n">
        <f aca="false">IFERROR(INDEX('Data 2'!$L$2:$L$2198,MATCH(M43,'Data 2'!$A$2:$A$2198,0)), 0)</f>
        <v>57.9633333333333</v>
      </c>
      <c r="O43" s="39" t="n">
        <f aca="false">IFERROR(INDEX('Data 2'!$M$2:$M$2198,MATCH(M43,'Data 2'!$A$2:$A$2198,0)), 0)</f>
        <v>-35.36</v>
      </c>
      <c r="P43" s="34" t="s">
        <v>338</v>
      </c>
      <c r="Q43" s="39" t="n">
        <f aca="false">IFERROR(INDEX('Data 2'!$L$2:$L$2198,MATCH(P43,'Data 2'!$A$2:$A$2198,0)), 0)</f>
        <v>-55.0933333333333</v>
      </c>
      <c r="R43" s="39" t="n">
        <f aca="false">IFERROR(INDEX('Data 2'!$M$2:$M$2198,MATCH(P43,'Data 2'!$A$2:$A$2198,0)), 0)</f>
        <v>19.93</v>
      </c>
      <c r="S43" s="34" t="s">
        <v>160</v>
      </c>
      <c r="T43" s="39" t="n">
        <f aca="false">IFERROR(INDEX('Data 2'!$L$2:$L$2198,MATCH(S43,'Data 2'!$A$2:$A$2198,0)), 0)</f>
        <v>-14.9533333333333</v>
      </c>
      <c r="U43" s="39" t="n">
        <f aca="false">IFERROR(INDEX('Data 2'!$M$2:$M$2198,MATCH(S43,'Data 2'!$A$2:$A$2198,0)), 0)</f>
        <v>-24.78625</v>
      </c>
      <c r="V43" s="34" t="s">
        <v>314</v>
      </c>
      <c r="W43" s="39" t="n">
        <f aca="false">IFERROR(INDEX('Data 2'!$L$2:$L$2198,MATCH(V43,'Data 2'!$A$2:$A$2198,0)), 0)</f>
        <v>-85.7433333333333</v>
      </c>
      <c r="X43" s="39" t="n">
        <f aca="false">IFERROR(INDEX('Data 2'!$M$2:$M$2198,MATCH(V43,'Data 2'!$A$2:$A$2198,0)), 0)</f>
        <v>-103.71625</v>
      </c>
      <c r="Y43" s="37"/>
      <c r="Z43" s="37"/>
    </row>
    <row r="44" customFormat="false" ht="15.75" hidden="false" customHeight="true" outlineLevel="0" collapsed="false">
      <c r="A44" s="34" t="s">
        <v>135</v>
      </c>
      <c r="B44" s="67" t="n">
        <f aca="false">IFERROR(INDEX('Data 2'!$L$2:$L$2198,MATCH(A44,'Data 2'!$A$2:$A$2198,0)), 0)</f>
        <v>-0.933333333333335</v>
      </c>
      <c r="C44" s="67" t="n">
        <f aca="false">IFERROR(INDEX('Data 2'!$M$2:$M$2198,MATCH(A44,'Data 2'!$A$2:$A$2198,0)), 0)</f>
        <v>-62.1075</v>
      </c>
      <c r="D44" s="34" t="s">
        <v>306</v>
      </c>
      <c r="E44" s="39" t="n">
        <f aca="false">IFERROR(INDEX('Data 2'!$L$2:$L$2198,MATCH(D44,'Data 2'!$A$2:$A$2198,0)), 0)</f>
        <v>-56.9733333333333</v>
      </c>
      <c r="F44" s="39" t="n">
        <f aca="false">IFERROR(INDEX('Data 2'!$M$2:$M$2198,MATCH(D44,'Data 2'!$A$2:$A$2198,0)), 0)</f>
        <v>33.9025</v>
      </c>
      <c r="G44" s="34" t="s">
        <v>88</v>
      </c>
      <c r="H44" s="39" t="n">
        <f aca="false">IFERROR(INDEX('Data 2'!$L$2:$L$2198,MATCH(G44,'Data 2'!$A$2:$A$2198,0)), 0)</f>
        <v>-68.9233333333333</v>
      </c>
      <c r="I44" s="39" t="n">
        <f aca="false">IFERROR(INDEX('Data 2'!$M$2:$M$2198,MATCH(G44,'Data 2'!$A$2:$A$2198,0)), 0)</f>
        <v>-49.989</v>
      </c>
      <c r="J44" s="34" t="s">
        <v>55</v>
      </c>
      <c r="K44" s="39" t="n">
        <f aca="false">IFERROR(INDEX('Data 2'!$L$2:$L$2198,MATCH(J44,'Data 2'!$A$2:$A$2198,0)), 0)</f>
        <v>-41.9266666666667</v>
      </c>
      <c r="L44" s="39" t="n">
        <f aca="false">IFERROR(INDEX('Data 2'!$M$2:$M$2198,MATCH(J44,'Data 2'!$A$2:$A$2198,0)), 0)</f>
        <v>77.64125</v>
      </c>
      <c r="M44" s="34" t="s">
        <v>112</v>
      </c>
      <c r="N44" s="39" t="n">
        <f aca="false">IFERROR(INDEX('Data 2'!$L$2:$L$2198,MATCH(M44,'Data 2'!$A$2:$A$2198,0)), 0)</f>
        <v>-72.08</v>
      </c>
      <c r="O44" s="39" t="n">
        <f aca="false">IFERROR(INDEX('Data 2'!$M$2:$M$2198,MATCH(M44,'Data 2'!$A$2:$A$2198,0)), 0)</f>
        <v>-4.94125</v>
      </c>
      <c r="P44" s="34" t="s">
        <v>244</v>
      </c>
      <c r="Q44" s="39" t="n">
        <f aca="false">IFERROR(INDEX('Data 2'!$L$2:$L$2198,MATCH(P44,'Data 2'!$A$2:$A$2198,0)), 0)</f>
        <v>119.433333333333</v>
      </c>
      <c r="R44" s="39" t="n">
        <f aca="false">IFERROR(INDEX('Data 2'!$M$2:$M$2198,MATCH(P44,'Data 2'!$A$2:$A$2198,0)), 0)</f>
        <v>36.765</v>
      </c>
      <c r="S44" s="34" t="s">
        <v>134</v>
      </c>
      <c r="T44" s="39" t="n">
        <f aca="false">IFERROR(INDEX('Data 2'!$L$2:$L$2198,MATCH(S44,'Data 2'!$A$2:$A$2198,0)), 0)</f>
        <v>-113.886666666667</v>
      </c>
      <c r="U44" s="39" t="n">
        <f aca="false">IFERROR(INDEX('Data 2'!$M$2:$M$2198,MATCH(S44,'Data 2'!$A$2:$A$2198,0)), 0)</f>
        <v>-97.9</v>
      </c>
      <c r="V44" s="34" t="s">
        <v>316</v>
      </c>
      <c r="W44" s="39" t="n">
        <f aca="false">IFERROR(INDEX('Data 2'!$L$2:$L$2198,MATCH(V44,'Data 2'!$A$2:$A$2198,0)), 0)</f>
        <v>4.55333333333334</v>
      </c>
      <c r="X44" s="39" t="n">
        <f aca="false">IFERROR(INDEX('Data 2'!$M$2:$M$2198,MATCH(V44,'Data 2'!$A$2:$A$2198,0)), 0)</f>
        <v>-43.68</v>
      </c>
      <c r="Y44" s="37"/>
      <c r="Z44" s="37"/>
    </row>
    <row r="45" customFormat="false" ht="15.75" hidden="false" customHeight="true" outlineLevel="0" collapsed="false">
      <c r="A45" s="34" t="s">
        <v>99</v>
      </c>
      <c r="B45" s="67" t="n">
        <f aca="false">IFERROR(INDEX('Data 2'!$L$2:$L$2198,MATCH(A45,'Data 2'!$A$2:$A$2198,0)), 0)</f>
        <v>-18.05</v>
      </c>
      <c r="C45" s="67" t="n">
        <f aca="false">IFERROR(INDEX('Data 2'!$M$2:$M$2198,MATCH(A45,'Data 2'!$A$2:$A$2198,0)), 0)</f>
        <v>0.0824999999999978</v>
      </c>
      <c r="D45" s="34" t="s">
        <v>307</v>
      </c>
      <c r="E45" s="39" t="n">
        <f aca="false">IFERROR(INDEX('Data 2'!$L$2:$L$2198,MATCH(D45,'Data 2'!$A$2:$A$2198,0)), 0)</f>
        <v>95.0433333333333</v>
      </c>
      <c r="F45" s="39" t="n">
        <f aca="false">IFERROR(INDEX('Data 2'!$M$2:$M$2198,MATCH(D45,'Data 2'!$A$2:$A$2198,0)), 0)</f>
        <v>122.57375</v>
      </c>
      <c r="G45" s="34" t="s">
        <v>339</v>
      </c>
      <c r="H45" s="39" t="n">
        <f aca="false">IFERROR(INDEX('Data 2'!$L$2:$L$2198,MATCH(G45,'Data 2'!$A$2:$A$2198,0)), 0)</f>
        <v>90.8533333333333</v>
      </c>
      <c r="I45" s="39" t="n">
        <f aca="false">IFERROR(INDEX('Data 2'!$M$2:$M$2198,MATCH(G45,'Data 2'!$A$2:$A$2198,0)), 0)</f>
        <v>97.425</v>
      </c>
      <c r="J45" s="34" t="s">
        <v>98</v>
      </c>
      <c r="K45" s="39" t="n">
        <f aca="false">IFERROR(INDEX('Data 2'!$L$2:$L$2198,MATCH(J45,'Data 2'!$A$2:$A$2198,0)), 0)</f>
        <v>24.0533333333333</v>
      </c>
      <c r="L45" s="39" t="n">
        <f aca="false">IFERROR(INDEX('Data 2'!$M$2:$M$2198,MATCH(J45,'Data 2'!$A$2:$A$2198,0)), 0)</f>
        <v>91.96375</v>
      </c>
      <c r="M45" s="34" t="s">
        <v>340</v>
      </c>
      <c r="N45" s="39" t="n">
        <f aca="false">IFERROR(INDEX('Data 2'!$L$2:$L$2198,MATCH(M45,'Data 2'!$A$2:$A$2198,0)), 0)</f>
        <v>95.6066666666667</v>
      </c>
      <c r="O45" s="39" t="n">
        <f aca="false">IFERROR(INDEX('Data 2'!$M$2:$M$2198,MATCH(M45,'Data 2'!$A$2:$A$2198,0)), 0)</f>
        <v>123.05125</v>
      </c>
      <c r="P45" s="34" t="s">
        <v>341</v>
      </c>
      <c r="Q45" s="39" t="n">
        <f aca="false">IFERROR(INDEX('Data 2'!$L$2:$L$2198,MATCH(P45,'Data 2'!$A$2:$A$2198,0)), 0)</f>
        <v>-58.8766666666667</v>
      </c>
      <c r="R45" s="39" t="n">
        <f aca="false">IFERROR(INDEX('Data 2'!$M$2:$M$2198,MATCH(P45,'Data 2'!$A$2:$A$2198,0)), 0)</f>
        <v>-73.3875</v>
      </c>
      <c r="S45" s="34" t="s">
        <v>107</v>
      </c>
      <c r="T45" s="39" t="n">
        <f aca="false">IFERROR(INDEX('Data 2'!$L$2:$L$2198,MATCH(S45,'Data 2'!$A$2:$A$2198,0)), 0)</f>
        <v>-79.1866666666667</v>
      </c>
      <c r="U45" s="39" t="n">
        <f aca="false">IFERROR(INDEX('Data 2'!$M$2:$M$2198,MATCH(S45,'Data 2'!$A$2:$A$2198,0)), 0)</f>
        <v>-89.76125</v>
      </c>
      <c r="V45" s="34" t="s">
        <v>318</v>
      </c>
      <c r="W45" s="39" t="n">
        <f aca="false">IFERROR(INDEX('Data 2'!$L$2:$L$2198,MATCH(V45,'Data 2'!$A$2:$A$2198,0)), 0)</f>
        <v>-44.9533333333333</v>
      </c>
      <c r="X45" s="39" t="n">
        <f aca="false">IFERROR(INDEX('Data 2'!$M$2:$M$2198,MATCH(V45,'Data 2'!$A$2:$A$2198,0)), 0)</f>
        <v>-20.875</v>
      </c>
      <c r="Y45" s="37"/>
      <c r="Z45" s="37"/>
    </row>
    <row r="46" customFormat="false" ht="15.75" hidden="false" customHeight="true" outlineLevel="0" collapsed="false">
      <c r="A46" s="34" t="s">
        <v>170</v>
      </c>
      <c r="B46" s="67" t="n">
        <f aca="false">IFERROR(INDEX('Data 2'!$L$2:$L$2198,MATCH(A46,'Data 2'!$A$2:$A$2198,0)), 0)</f>
        <v>-43.3633333333333</v>
      </c>
      <c r="C46" s="67" t="n">
        <f aca="false">IFERROR(INDEX('Data 2'!$M$2:$M$2198,MATCH(A46,'Data 2'!$A$2:$A$2198,0)), 0)</f>
        <v>-9.286125</v>
      </c>
      <c r="D46" s="34" t="s">
        <v>175</v>
      </c>
      <c r="E46" s="39" t="n">
        <f aca="false">IFERROR(INDEX('Data 2'!$L$2:$L$2198,MATCH(D46,'Data 2'!$A$2:$A$2198,0)), 0)</f>
        <v>-29.3333333333333</v>
      </c>
      <c r="F46" s="39" t="n">
        <f aca="false">IFERROR(INDEX('Data 2'!$M$2:$M$2198,MATCH(D46,'Data 2'!$A$2:$A$2198,0)), 0)</f>
        <v>88.9825</v>
      </c>
      <c r="G46" s="34" t="s">
        <v>226</v>
      </c>
      <c r="H46" s="39" t="n">
        <f aca="false">IFERROR(INDEX('Data 2'!$L$2:$L$2198,MATCH(G46,'Data 2'!$A$2:$A$2198,0)), 0)</f>
        <v>96.33</v>
      </c>
      <c r="I46" s="39" t="n">
        <f aca="false">IFERROR(INDEX('Data 2'!$M$2:$M$2198,MATCH(G46,'Data 2'!$A$2:$A$2198,0)), 0)</f>
        <v>132.71</v>
      </c>
      <c r="J46" s="34" t="s">
        <v>243</v>
      </c>
      <c r="K46" s="39" t="n">
        <f aca="false">IFERROR(INDEX('Data 2'!$L$2:$L$2198,MATCH(J46,'Data 2'!$A$2:$A$2198,0)), 0)</f>
        <v>62.8033333333333</v>
      </c>
      <c r="L46" s="39" t="n">
        <f aca="false">IFERROR(INDEX('Data 2'!$M$2:$M$2198,MATCH(J46,'Data 2'!$A$2:$A$2198,0)), 0)</f>
        <v>122.18125</v>
      </c>
      <c r="M46" s="34" t="s">
        <v>342</v>
      </c>
      <c r="N46" s="39" t="n">
        <f aca="false">IFERROR(INDEX('Data 2'!$L$2:$L$2198,MATCH(M46,'Data 2'!$A$2:$A$2198,0)), 0)</f>
        <v>-88.5633333333333</v>
      </c>
      <c r="O46" s="39" t="n">
        <f aca="false">IFERROR(INDEX('Data 2'!$M$2:$M$2198,MATCH(M46,'Data 2'!$A$2:$A$2198,0)), 0)</f>
        <v>-94.3</v>
      </c>
      <c r="P46" s="34" t="s">
        <v>343</v>
      </c>
      <c r="Q46" s="39" t="n">
        <f aca="false">IFERROR(INDEX('Data 2'!$L$2:$L$2198,MATCH(P46,'Data 2'!$A$2:$A$2198,0)), 0)</f>
        <v>-34.9433333333333</v>
      </c>
      <c r="R46" s="39" t="n">
        <f aca="false">IFERROR(INDEX('Data 2'!$M$2:$M$2198,MATCH(P46,'Data 2'!$A$2:$A$2198,0)), 0)</f>
        <v>-34.50375</v>
      </c>
      <c r="S46" s="34" t="s">
        <v>198</v>
      </c>
      <c r="T46" s="39" t="n">
        <f aca="false">IFERROR(INDEX('Data 2'!$L$2:$L$2198,MATCH(S46,'Data 2'!$A$2:$A$2198,0)), 0)</f>
        <v>-84.5966666666667</v>
      </c>
      <c r="U46" s="39" t="n">
        <f aca="false">IFERROR(INDEX('Data 2'!$M$2:$M$2198,MATCH(S46,'Data 2'!$A$2:$A$2198,0)), 0)</f>
        <v>-43.54625</v>
      </c>
      <c r="V46" s="34" t="s">
        <v>320</v>
      </c>
      <c r="W46" s="39" t="n">
        <f aca="false">IFERROR(INDEX('Data 2'!$L$2:$L$2198,MATCH(V46,'Data 2'!$A$2:$A$2198,0)), 0)</f>
        <v>-74.23</v>
      </c>
      <c r="X46" s="39" t="n">
        <f aca="false">IFERROR(INDEX('Data 2'!$M$2:$M$2198,MATCH(V46,'Data 2'!$A$2:$A$2198,0)), 0)</f>
        <v>-62.18625</v>
      </c>
      <c r="Y46" s="37"/>
      <c r="Z46" s="37"/>
    </row>
    <row r="47" customFormat="false" ht="15.75" hidden="false" customHeight="true" outlineLevel="0" collapsed="false">
      <c r="A47" s="34" t="s">
        <v>61</v>
      </c>
      <c r="B47" s="67" t="n">
        <f aca="false">IFERROR(INDEX('Data 2'!$L$2:$L$2198,MATCH(A47,'Data 2'!$A$2:$A$2198,0)), 0)</f>
        <v>-36.36</v>
      </c>
      <c r="C47" s="67" t="n">
        <f aca="false">IFERROR(INDEX('Data 2'!$M$2:$M$2198,MATCH(A47,'Data 2'!$A$2:$A$2198,0)), 0)</f>
        <v>4.43125</v>
      </c>
      <c r="D47" s="34" t="s">
        <v>119</v>
      </c>
      <c r="E47" s="39" t="n">
        <f aca="false">IFERROR(INDEX('Data 2'!$L$2:$L$2198,MATCH(D47,'Data 2'!$A$2:$A$2198,0)), 0)</f>
        <v>-68.2866666666667</v>
      </c>
      <c r="F47" s="39" t="n">
        <f aca="false">IFERROR(INDEX('Data 2'!$M$2:$M$2198,MATCH(D47,'Data 2'!$A$2:$A$2198,0)), 0)</f>
        <v>52.6675</v>
      </c>
      <c r="G47" s="34" t="s">
        <v>344</v>
      </c>
      <c r="H47" s="39" t="n">
        <f aca="false">IFERROR(INDEX('Data 2'!$L$2:$L$2198,MATCH(G47,'Data 2'!$A$2:$A$2198,0)), 0)</f>
        <v>-74.62</v>
      </c>
      <c r="I47" s="39" t="n">
        <f aca="false">IFERROR(INDEX('Data 2'!$M$2:$M$2198,MATCH(G47,'Data 2'!$A$2:$A$2198,0)), 0)</f>
        <v>-85.1225</v>
      </c>
      <c r="J47" s="34" t="s">
        <v>155</v>
      </c>
      <c r="K47" s="39" t="n">
        <f aca="false">IFERROR(INDEX('Data 2'!$L$2:$L$2198,MATCH(J47,'Data 2'!$A$2:$A$2198,0)), 0)</f>
        <v>-63.4633333333333</v>
      </c>
      <c r="L47" s="39" t="n">
        <f aca="false">IFERROR(INDEX('Data 2'!$M$2:$M$2198,MATCH(J47,'Data 2'!$A$2:$A$2198,0)), 0)</f>
        <v>-55.61125</v>
      </c>
      <c r="M47" s="34" t="s">
        <v>345</v>
      </c>
      <c r="N47" s="39" t="n">
        <f aca="false">IFERROR(INDEX('Data 2'!$L$2:$L$2198,MATCH(M47,'Data 2'!$A$2:$A$2198,0)), 0)</f>
        <v>-51.8233333333333</v>
      </c>
      <c r="O47" s="39" t="n">
        <f aca="false">IFERROR(INDEX('Data 2'!$M$2:$M$2198,MATCH(M47,'Data 2'!$A$2:$A$2198,0)), 0)</f>
        <v>-63.8825</v>
      </c>
      <c r="P47" s="34" t="s">
        <v>346</v>
      </c>
      <c r="Q47" s="39" t="n">
        <f aca="false">IFERROR(INDEX('Data 2'!$L$2:$L$2198,MATCH(P47,'Data 2'!$A$2:$A$2198,0)), 0)</f>
        <v>8.31666666666667</v>
      </c>
      <c r="R47" s="39" t="n">
        <f aca="false">IFERROR(INDEX('Data 2'!$M$2:$M$2198,MATCH(P47,'Data 2'!$A$2:$A$2198,0)), 0)</f>
        <v>18.87375</v>
      </c>
      <c r="S47" s="34" t="s">
        <v>123</v>
      </c>
      <c r="T47" s="39" t="n">
        <f aca="false">IFERROR(INDEX('Data 2'!$L$2:$L$2198,MATCH(S47,'Data 2'!$A$2:$A$2198,0)), 0)</f>
        <v>20.8033333333333</v>
      </c>
      <c r="U47" s="39" t="n">
        <f aca="false">IFERROR(INDEX('Data 2'!$M$2:$M$2198,MATCH(S47,'Data 2'!$A$2:$A$2198,0)), 0)</f>
        <v>43.575</v>
      </c>
      <c r="V47" s="34" t="s">
        <v>232</v>
      </c>
      <c r="W47" s="39" t="n">
        <f aca="false">IFERROR(INDEX('Data 2'!$L$2:$L$2198,MATCH(V47,'Data 2'!$A$2:$A$2198,0)), 0)</f>
        <v>-100.76</v>
      </c>
      <c r="X47" s="39" t="n">
        <f aca="false">IFERROR(INDEX('Data 2'!$M$2:$M$2198,MATCH(V47,'Data 2'!$A$2:$A$2198,0)), 0)</f>
        <v>-79.82</v>
      </c>
      <c r="Y47" s="37"/>
      <c r="Z47" s="37"/>
    </row>
    <row r="48" customFormat="false" ht="15.75" hidden="false" customHeight="true" outlineLevel="0" collapsed="false">
      <c r="A48" s="34" t="s">
        <v>89</v>
      </c>
      <c r="B48" s="67" t="n">
        <f aca="false">IFERROR(INDEX('Data 2'!$L$2:$L$2198,MATCH(A48,'Data 2'!$A$2:$A$2198,0)), 0)</f>
        <v>5.30666666666667</v>
      </c>
      <c r="C48" s="67" t="n">
        <f aca="false">IFERROR(INDEX('Data 2'!$M$2:$M$2198,MATCH(A48,'Data 2'!$A$2:$A$2198,0)), 0)</f>
        <v>-14.10125</v>
      </c>
      <c r="D48" s="34" t="s">
        <v>310</v>
      </c>
      <c r="E48" s="39" t="n">
        <f aca="false">IFERROR(INDEX('Data 2'!$L$2:$L$2198,MATCH(D48,'Data 2'!$A$2:$A$2198,0)), 0)</f>
        <v>-67.82</v>
      </c>
      <c r="F48" s="39" t="n">
        <f aca="false">IFERROR(INDEX('Data 2'!$M$2:$M$2198,MATCH(D48,'Data 2'!$A$2:$A$2198,0)), 0)</f>
        <v>11.7125</v>
      </c>
      <c r="G48" s="34" t="s">
        <v>71</v>
      </c>
      <c r="H48" s="39" t="n">
        <f aca="false">IFERROR(INDEX('Data 2'!$L$2:$L$2198,MATCH(G48,'Data 2'!$A$2:$A$2198,0)), 0)</f>
        <v>-96.8233333333333</v>
      </c>
      <c r="I48" s="39" t="n">
        <f aca="false">IFERROR(INDEX('Data 2'!$M$2:$M$2198,MATCH(G48,'Data 2'!$A$2:$A$2198,0)), 0)</f>
        <v>-96.975</v>
      </c>
      <c r="J48" s="34" t="s">
        <v>347</v>
      </c>
      <c r="K48" s="39" t="n">
        <f aca="false">IFERROR(INDEX('Data 2'!$L$2:$L$2198,MATCH(J48,'Data 2'!$A$2:$A$2198,0)), 0)</f>
        <v>35.0766666666667</v>
      </c>
      <c r="L48" s="39" t="n">
        <f aca="false">IFERROR(INDEX('Data 2'!$M$2:$M$2198,MATCH(J48,'Data 2'!$A$2:$A$2198,0)), 0)</f>
        <v>78.63375</v>
      </c>
      <c r="M48" s="34" t="s">
        <v>348</v>
      </c>
      <c r="N48" s="39" t="n">
        <f aca="false">IFERROR(INDEX('Data 2'!$L$2:$L$2198,MATCH(M48,'Data 2'!$A$2:$A$2198,0)), 0)</f>
        <v>20.5233333333333</v>
      </c>
      <c r="O48" s="39" t="n">
        <f aca="false">IFERROR(INDEX('Data 2'!$M$2:$M$2198,MATCH(M48,'Data 2'!$A$2:$A$2198,0)), 0)</f>
        <v>-26.33625</v>
      </c>
      <c r="P48" s="34" t="s">
        <v>349</v>
      </c>
      <c r="Q48" s="39" t="n">
        <f aca="false">IFERROR(INDEX('Data 2'!$L$2:$L$2198,MATCH(P48,'Data 2'!$A$2:$A$2198,0)), 0)</f>
        <v>102.23</v>
      </c>
      <c r="R48" s="39" t="n">
        <f aca="false">IFERROR(INDEX('Data 2'!$M$2:$M$2198,MATCH(P48,'Data 2'!$A$2:$A$2198,0)), 0)</f>
        <v>123.415</v>
      </c>
      <c r="S48" s="34" t="s">
        <v>312</v>
      </c>
      <c r="T48" s="39" t="n">
        <f aca="false">IFERROR(INDEX('Data 2'!$L$2:$L$2198,MATCH(S48,'Data 2'!$A$2:$A$2198,0)), 0)</f>
        <v>124.383333333333</v>
      </c>
      <c r="U48" s="39" t="n">
        <f aca="false">IFERROR(INDEX('Data 2'!$M$2:$M$2198,MATCH(S48,'Data 2'!$A$2:$A$2198,0)), 0)</f>
        <v>89.6575</v>
      </c>
      <c r="V48" s="34" t="s">
        <v>321</v>
      </c>
      <c r="W48" s="39" t="n">
        <f aca="false">IFERROR(INDEX('Data 2'!$L$2:$L$2198,MATCH(V48,'Data 2'!$A$2:$A$2198,0)), 0)</f>
        <v>-44.3966666666667</v>
      </c>
      <c r="X48" s="39" t="n">
        <f aca="false">IFERROR(INDEX('Data 2'!$M$2:$M$2198,MATCH(V48,'Data 2'!$A$2:$A$2198,0)), 0)</f>
        <v>-23.26</v>
      </c>
      <c r="Y48" s="37"/>
      <c r="Z48" s="37"/>
    </row>
    <row r="49" customFormat="false" ht="15.75" hidden="false" customHeight="true" outlineLevel="0" collapsed="false">
      <c r="A49" s="34" t="s">
        <v>142</v>
      </c>
      <c r="B49" s="67" t="n">
        <f aca="false">IFERROR(INDEX('Data 2'!$L$2:$L$2198,MATCH(A49,'Data 2'!$A$2:$A$2198,0)), 0)</f>
        <v>89.1066666666667</v>
      </c>
      <c r="C49" s="67" t="n">
        <f aca="false">IFERROR(INDEX('Data 2'!$M$2:$M$2198,MATCH(A49,'Data 2'!$A$2:$A$2198,0)), 0)</f>
        <v>109.275</v>
      </c>
      <c r="D49" s="34" t="s">
        <v>311</v>
      </c>
      <c r="E49" s="39" t="n">
        <f aca="false">IFERROR(INDEX('Data 2'!$L$2:$L$2198,MATCH(D49,'Data 2'!$A$2:$A$2198,0)), 0)</f>
        <v>-74.3433333333334</v>
      </c>
      <c r="F49" s="39" t="n">
        <f aca="false">IFERROR(INDEX('Data 2'!$M$2:$M$2198,MATCH(D49,'Data 2'!$A$2:$A$2198,0)), 0)</f>
        <v>-70.91375</v>
      </c>
      <c r="G49" s="34" t="s">
        <v>181</v>
      </c>
      <c r="H49" s="39" t="n">
        <f aca="false">IFERROR(INDEX('Data 2'!$L$2:$L$2198,MATCH(G49,'Data 2'!$A$2:$A$2198,0)), 0)</f>
        <v>76.9766666666667</v>
      </c>
      <c r="I49" s="39" t="n">
        <f aca="false">IFERROR(INDEX('Data 2'!$M$2:$M$2198,MATCH(G49,'Data 2'!$A$2:$A$2198,0)), 0)</f>
        <v>100.7175</v>
      </c>
      <c r="J49" s="34" t="s">
        <v>350</v>
      </c>
      <c r="K49" s="39" t="n">
        <f aca="false">IFERROR(INDEX('Data 2'!$L$2:$L$2198,MATCH(J49,'Data 2'!$A$2:$A$2198,0)), 0)</f>
        <v>-50.9733333333333</v>
      </c>
      <c r="L49" s="39" t="n">
        <f aca="false">IFERROR(INDEX('Data 2'!$M$2:$M$2198,MATCH(J49,'Data 2'!$A$2:$A$2198,0)), 0)</f>
        <v>77.4975</v>
      </c>
      <c r="M49" s="34" t="s">
        <v>351</v>
      </c>
      <c r="N49" s="39" t="n">
        <f aca="false">IFERROR(INDEX('Data 2'!$L$2:$L$2198,MATCH(M49,'Data 2'!$A$2:$A$2198,0)), 0)</f>
        <v>98.2466666666667</v>
      </c>
      <c r="O49" s="39" t="n">
        <f aca="false">IFERROR(INDEX('Data 2'!$M$2:$M$2198,MATCH(M49,'Data 2'!$A$2:$A$2198,0)), 0)</f>
        <v>2.04125</v>
      </c>
      <c r="P49" s="34" t="s">
        <v>352</v>
      </c>
      <c r="Q49" s="39" t="n">
        <f aca="false">IFERROR(INDEX('Data 2'!$L$2:$L$2198,MATCH(P49,'Data 2'!$A$2:$A$2198,0)), 0)</f>
        <v>-30.1866666666667</v>
      </c>
      <c r="R49" s="39" t="n">
        <f aca="false">IFERROR(INDEX('Data 2'!$M$2:$M$2198,MATCH(P49,'Data 2'!$A$2:$A$2198,0)), 0)</f>
        <v>63.405</v>
      </c>
      <c r="S49" s="34" t="s">
        <v>91</v>
      </c>
      <c r="T49" s="39" t="n">
        <f aca="false">IFERROR(INDEX('Data 2'!$L$2:$L$2198,MATCH(S49,'Data 2'!$A$2:$A$2198,0)), 0)</f>
        <v>15.82</v>
      </c>
      <c r="U49" s="39" t="n">
        <f aca="false">IFERROR(INDEX('Data 2'!$M$2:$M$2198,MATCH(S49,'Data 2'!$A$2:$A$2198,0)), 0)</f>
        <v>3.95875</v>
      </c>
      <c r="V49" s="34" t="s">
        <v>154</v>
      </c>
      <c r="W49" s="39" t="n">
        <f aca="false">IFERROR(INDEX('Data 2'!$L$2:$L$2198,MATCH(V49,'Data 2'!$A$2:$A$2198,0)), 0)</f>
        <v>-94.6633333333333</v>
      </c>
      <c r="X49" s="39" t="n">
        <f aca="false">IFERROR(INDEX('Data 2'!$M$2:$M$2198,MATCH(V49,'Data 2'!$A$2:$A$2198,0)), 0)</f>
        <v>-94.76625</v>
      </c>
      <c r="Y49" s="37"/>
      <c r="Z49" s="37"/>
    </row>
    <row r="50" customFormat="false" ht="15.75" hidden="false" customHeight="true" outlineLevel="0" collapsed="false">
      <c r="A50" s="34" t="s">
        <v>38</v>
      </c>
      <c r="B50" s="67" t="n">
        <f aca="false">IFERROR(INDEX('Data 2'!$L$2:$L$2198,MATCH(A50,'Data 2'!$A$2:$A$2198,0)), 0)</f>
        <v>-56.29</v>
      </c>
      <c r="C50" s="67" t="n">
        <f aca="false">IFERROR(INDEX('Data 2'!$M$2:$M$2198,MATCH(A50,'Data 2'!$A$2:$A$2198,0)), 0)</f>
        <v>-16.265</v>
      </c>
      <c r="D50" s="34" t="s">
        <v>195</v>
      </c>
      <c r="E50" s="39" t="n">
        <f aca="false">IFERROR(INDEX('Data 2'!$L$2:$L$2198,MATCH(D50,'Data 2'!$A$2:$A$2198,0)), 0)</f>
        <v>81.51</v>
      </c>
      <c r="F50" s="39" t="n">
        <f aca="false">IFERROR(INDEX('Data 2'!$M$2:$M$2198,MATCH(D50,'Data 2'!$A$2:$A$2198,0)), 0)</f>
        <v>27.55625</v>
      </c>
      <c r="G50" s="34" t="s">
        <v>353</v>
      </c>
      <c r="H50" s="39" t="n">
        <f aca="false">IFERROR(INDEX('Data 2'!$L$2:$L$2198,MATCH(G50,'Data 2'!$A$2:$A$2198,0)), 0)</f>
        <v>0</v>
      </c>
      <c r="I50" s="39" t="n">
        <f aca="false">IFERROR(INDEX('Data 2'!$M$2:$M$2198,MATCH(G50,'Data 2'!$A$2:$A$2198,0)), 0)</f>
        <v>0</v>
      </c>
      <c r="J50" s="34" t="s">
        <v>297</v>
      </c>
      <c r="K50" s="39" t="n">
        <f aca="false">IFERROR(INDEX('Data 2'!$L$2:$L$2198,MATCH(J50,'Data 2'!$A$2:$A$2198,0)), 0)</f>
        <v>-51.7133333333333</v>
      </c>
      <c r="L50" s="39" t="n">
        <f aca="false">IFERROR(INDEX('Data 2'!$M$2:$M$2198,MATCH(J50,'Data 2'!$A$2:$A$2198,0)), 0)</f>
        <v>-2.8625</v>
      </c>
      <c r="M50" s="34" t="s">
        <v>62</v>
      </c>
      <c r="N50" s="39" t="n">
        <f aca="false">IFERROR(INDEX('Data 2'!$L$2:$L$2198,MATCH(M50,'Data 2'!$A$2:$A$2198,0)), 0)</f>
        <v>-38.9566666666667</v>
      </c>
      <c r="O50" s="39" t="n">
        <f aca="false">IFERROR(INDEX('Data 2'!$M$2:$M$2198,MATCH(M50,'Data 2'!$A$2:$A$2198,0)), 0)</f>
        <v>-6.4175</v>
      </c>
      <c r="P50" s="34" t="s">
        <v>293</v>
      </c>
      <c r="Q50" s="39" t="n">
        <f aca="false">IFERROR(INDEX('Data 2'!$L$2:$L$2198,MATCH(P50,'Data 2'!$A$2:$A$2198,0)), 0)</f>
        <v>-59.95</v>
      </c>
      <c r="R50" s="39" t="n">
        <f aca="false">IFERROR(INDEX('Data 2'!$M$2:$M$2198,MATCH(P50,'Data 2'!$A$2:$A$2198,0)), 0)</f>
        <v>-69.39</v>
      </c>
      <c r="S50" s="34" t="s">
        <v>141</v>
      </c>
      <c r="T50" s="39" t="n">
        <f aca="false">IFERROR(INDEX('Data 2'!$L$2:$L$2198,MATCH(S50,'Data 2'!$A$2:$A$2198,0)), 0)</f>
        <v>-45.04</v>
      </c>
      <c r="U50" s="39" t="n">
        <f aca="false">IFERROR(INDEX('Data 2'!$M$2:$M$2198,MATCH(S50,'Data 2'!$A$2:$A$2198,0)), 0)</f>
        <v>47.615</v>
      </c>
      <c r="V50" s="34" t="s">
        <v>322</v>
      </c>
      <c r="W50" s="39" t="n">
        <f aca="false">IFERROR(INDEX('Data 2'!$L$2:$L$2198,MATCH(V50,'Data 2'!$A$2:$A$2198,0)), 0)</f>
        <v>90.21</v>
      </c>
      <c r="X50" s="39" t="n">
        <f aca="false">IFERROR(INDEX('Data 2'!$M$2:$M$2198,MATCH(V50,'Data 2'!$A$2:$A$2198,0)), 0)</f>
        <v>47.96</v>
      </c>
      <c r="Y50" s="37"/>
      <c r="Z50" s="37"/>
    </row>
    <row r="51" customFormat="false" ht="15.75" hidden="false" customHeight="true" outlineLevel="0" collapsed="false">
      <c r="A51" s="34" t="s">
        <v>127</v>
      </c>
      <c r="B51" s="67" t="n">
        <f aca="false">IFERROR(INDEX('Data 2'!$L$2:$L$2198,MATCH(A51,'Data 2'!$A$2:$A$2198,0)), 0)</f>
        <v>-54.8133333333333</v>
      </c>
      <c r="C51" s="67" t="n">
        <f aca="false">IFERROR(INDEX('Data 2'!$M$2:$M$2198,MATCH(A51,'Data 2'!$A$2:$A$2198,0)), 0)</f>
        <v>50.4375</v>
      </c>
      <c r="D51" s="34" t="s">
        <v>284</v>
      </c>
      <c r="E51" s="39" t="n">
        <f aca="false">IFERROR(INDEX('Data 2'!$L$2:$L$2198,MATCH(D51,'Data 2'!$A$2:$A$2198,0)), 0)</f>
        <v>60.79</v>
      </c>
      <c r="F51" s="39" t="n">
        <f aca="false">IFERROR(INDEX('Data 2'!$M$2:$M$2198,MATCH(D51,'Data 2'!$A$2:$A$2198,0)), 0)</f>
        <v>-11.1025</v>
      </c>
      <c r="G51" s="34" t="s">
        <v>56</v>
      </c>
      <c r="H51" s="39" t="n">
        <f aca="false">IFERROR(INDEX('Data 2'!$L$2:$L$2198,MATCH(G51,'Data 2'!$A$2:$A$2198,0)), 0)</f>
        <v>29.0366666666667</v>
      </c>
      <c r="I51" s="39" t="n">
        <f aca="false">IFERROR(INDEX('Data 2'!$M$2:$M$2198,MATCH(G51,'Data 2'!$A$2:$A$2198,0)), 0)</f>
        <v>50.28375</v>
      </c>
      <c r="J51" s="34" t="s">
        <v>354</v>
      </c>
      <c r="K51" s="39" t="n">
        <f aca="false">IFERROR(INDEX('Data 2'!$L$2:$L$2198,MATCH(J51,'Data 2'!$A$2:$A$2198,0)), 0)</f>
        <v>-127.8</v>
      </c>
      <c r="L51" s="39" t="n">
        <f aca="false">IFERROR(INDEX('Data 2'!$M$2:$M$2198,MATCH(J51,'Data 2'!$A$2:$A$2198,0)), 0)</f>
        <v>-84.26375</v>
      </c>
      <c r="M51" s="34" t="s">
        <v>179</v>
      </c>
      <c r="N51" s="39" t="n">
        <f aca="false">IFERROR(INDEX('Data 2'!$L$2:$L$2198,MATCH(M51,'Data 2'!$A$2:$A$2198,0)), 0)</f>
        <v>126.683333333333</v>
      </c>
      <c r="O51" s="39" t="n">
        <f aca="false">IFERROR(INDEX('Data 2'!$M$2:$M$2198,MATCH(M51,'Data 2'!$A$2:$A$2198,0)), 0)</f>
        <v>35.9875</v>
      </c>
      <c r="P51" s="34" t="s">
        <v>355</v>
      </c>
      <c r="Q51" s="39" t="n">
        <f aca="false">IFERROR(INDEX('Data 2'!$L$2:$L$2198,MATCH(P51,'Data 2'!$A$2:$A$2198,0)), 0)</f>
        <v>-36.6233333333333</v>
      </c>
      <c r="R51" s="39" t="n">
        <f aca="false">IFERROR(INDEX('Data 2'!$M$2:$M$2198,MATCH(P51,'Data 2'!$A$2:$A$2198,0)), 0)</f>
        <v>-49.90625</v>
      </c>
      <c r="S51" s="34" t="s">
        <v>153</v>
      </c>
      <c r="T51" s="39" t="n">
        <f aca="false">IFERROR(INDEX('Data 2'!$L$2:$L$2198,MATCH(S51,'Data 2'!$A$2:$A$2198,0)), 0)</f>
        <v>6.94</v>
      </c>
      <c r="U51" s="39" t="n">
        <f aca="false">IFERROR(INDEX('Data 2'!$M$2:$M$2198,MATCH(S51,'Data 2'!$A$2:$A$2198,0)), 0)</f>
        <v>8.3325</v>
      </c>
      <c r="V51" s="34" t="s">
        <v>67</v>
      </c>
      <c r="W51" s="39" t="n">
        <f aca="false">IFERROR(INDEX('Data 2'!$L$2:$L$2198,MATCH(V51,'Data 2'!$A$2:$A$2198,0)), 0)</f>
        <v>13.2466666666667</v>
      </c>
      <c r="X51" s="39" t="n">
        <f aca="false">IFERROR(INDEX('Data 2'!$M$2:$M$2198,MATCH(V51,'Data 2'!$A$2:$A$2198,0)), 0)</f>
        <v>20.1475</v>
      </c>
      <c r="Y51" s="37"/>
      <c r="Z51" s="37"/>
    </row>
    <row r="52" customFormat="false" ht="15.75" hidden="false" customHeight="true" outlineLevel="0" collapsed="false">
      <c r="A52" s="34" t="s">
        <v>48</v>
      </c>
      <c r="B52" s="67" t="n">
        <f aca="false">IFERROR(INDEX('Data 2'!$L$2:$L$2198,MATCH(A52,'Data 2'!$A$2:$A$2198,0)), 0)</f>
        <v>17.56</v>
      </c>
      <c r="C52" s="67" t="n">
        <f aca="false">IFERROR(INDEX('Data 2'!$M$2:$M$2198,MATCH(A52,'Data 2'!$A$2:$A$2198,0)), 0)</f>
        <v>-16.93</v>
      </c>
      <c r="D52" s="34" t="s">
        <v>125</v>
      </c>
      <c r="E52" s="39" t="n">
        <f aca="false">IFERROR(INDEX('Data 2'!$L$2:$L$2198,MATCH(D52,'Data 2'!$A$2:$A$2198,0)), 0)</f>
        <v>-14.7033333333333</v>
      </c>
      <c r="F52" s="39" t="n">
        <f aca="false">IFERROR(INDEX('Data 2'!$M$2:$M$2198,MATCH(D52,'Data 2'!$A$2:$A$2198,0)), 0)</f>
        <v>-100.21</v>
      </c>
      <c r="G52" s="34" t="s">
        <v>234</v>
      </c>
      <c r="H52" s="39" t="n">
        <f aca="false">IFERROR(INDEX('Data 2'!$L$2:$L$2198,MATCH(G52,'Data 2'!$A$2:$A$2198,0)), 0)</f>
        <v>-7.70666666666667</v>
      </c>
      <c r="I52" s="39" t="n">
        <f aca="false">IFERROR(INDEX('Data 2'!$M$2:$M$2198,MATCH(G52,'Data 2'!$A$2:$A$2198,0)), 0)</f>
        <v>-11.97375</v>
      </c>
      <c r="J52" s="34" t="s">
        <v>356</v>
      </c>
      <c r="K52" s="39" t="n">
        <f aca="false">IFERROR(INDEX('Data 2'!$L$2:$L$2198,MATCH(J52,'Data 2'!$A$2:$A$2198,0)), 0)</f>
        <v>-23.19</v>
      </c>
      <c r="L52" s="39" t="n">
        <f aca="false">IFERROR(INDEX('Data 2'!$M$2:$M$2198,MATCH(J52,'Data 2'!$A$2:$A$2198,0)), 0)</f>
        <v>25.69125</v>
      </c>
      <c r="M52" s="34" t="s">
        <v>357</v>
      </c>
      <c r="N52" s="39" t="n">
        <f aca="false">IFERROR(INDEX('Data 2'!$L$2:$L$2198,MATCH(M52,'Data 2'!$A$2:$A$2198,0)), 0)</f>
        <v>-64.33</v>
      </c>
      <c r="O52" s="39" t="n">
        <f aca="false">IFERROR(INDEX('Data 2'!$M$2:$M$2198,MATCH(M52,'Data 2'!$A$2:$A$2198,0)), 0)</f>
        <v>-39.66</v>
      </c>
      <c r="P52" s="34" t="s">
        <v>358</v>
      </c>
      <c r="Q52" s="39" t="n">
        <f aca="false">IFERROR(INDEX('Data 2'!$L$2:$L$2198,MATCH(P52,'Data 2'!$A$2:$A$2198,0)), 0)</f>
        <v>-46.8633333333333</v>
      </c>
      <c r="R52" s="39" t="n">
        <f aca="false">IFERROR(INDEX('Data 2'!$M$2:$M$2198,MATCH(P52,'Data 2'!$A$2:$A$2198,0)), 0)</f>
        <v>-93.80375</v>
      </c>
      <c r="S52" s="34" t="s">
        <v>224</v>
      </c>
      <c r="T52" s="39" t="n">
        <f aca="false">IFERROR(INDEX('Data 2'!$L$2:$L$2198,MATCH(S52,'Data 2'!$A$2:$A$2198,0)), 0)</f>
        <v>103.873333333333</v>
      </c>
      <c r="U52" s="39" t="n">
        <f aca="false">IFERROR(INDEX('Data 2'!$M$2:$M$2198,MATCH(S52,'Data 2'!$A$2:$A$2198,0)), 0)</f>
        <v>75.925</v>
      </c>
      <c r="V52" s="34" t="s">
        <v>227</v>
      </c>
      <c r="W52" s="39" t="n">
        <f aca="false">IFERROR(INDEX('Data 2'!$L$2:$L$2198,MATCH(V52,'Data 2'!$A$2:$A$2198,0)), 0)</f>
        <v>-22.5566666666667</v>
      </c>
      <c r="X52" s="39" t="n">
        <f aca="false">IFERROR(INDEX('Data 2'!$M$2:$M$2198,MATCH(V52,'Data 2'!$A$2:$A$2198,0)), 0)</f>
        <v>7.9675</v>
      </c>
      <c r="Y52" s="37"/>
      <c r="Z52" s="37"/>
    </row>
    <row r="53" customFormat="false" ht="15.75" hidden="false" customHeight="true" outlineLevel="0" collapsed="false">
      <c r="A53" s="37"/>
      <c r="B53" s="37"/>
      <c r="C53" s="37"/>
      <c r="D53" s="34" t="s">
        <v>314</v>
      </c>
      <c r="E53" s="39" t="n">
        <f aca="false">IFERROR(INDEX('Data 2'!$L$2:$L$2198,MATCH(D53,'Data 2'!$A$2:$A$2198,0)), 0)</f>
        <v>-85.7433333333333</v>
      </c>
      <c r="F53" s="39" t="n">
        <f aca="false">IFERROR(INDEX('Data 2'!$M$2:$M$2198,MATCH(D53,'Data 2'!$A$2:$A$2198,0)), 0)</f>
        <v>-103.71625</v>
      </c>
      <c r="H53" s="36"/>
      <c r="I53" s="36"/>
      <c r="J53" s="34" t="s">
        <v>359</v>
      </c>
      <c r="K53" s="39" t="n">
        <f aca="false">IFERROR(INDEX('Data 2'!$L$2:$L$2198,MATCH(J53,'Data 2'!$A$2:$A$2198,0)), 0)</f>
        <v>-44.11</v>
      </c>
      <c r="L53" s="39" t="n">
        <f aca="false">IFERROR(INDEX('Data 2'!$M$2:$M$2198,MATCH(J53,'Data 2'!$A$2:$A$2198,0)), 0)</f>
        <v>-60.4075</v>
      </c>
      <c r="M53" s="36"/>
      <c r="N53" s="36"/>
      <c r="O53" s="36"/>
      <c r="P53" s="34" t="s">
        <v>360</v>
      </c>
      <c r="Q53" s="39" t="n">
        <f aca="false">IFERROR(INDEX('Data 2'!$L$2:$L$2198,MATCH(P53,'Data 2'!$A$2:$A$2198,0)), 0)</f>
        <v>-82.19</v>
      </c>
      <c r="R53" s="39" t="n">
        <f aca="false">IFERROR(INDEX('Data 2'!$M$2:$M$2198,MATCH(P53,'Data 2'!$A$2:$A$2198,0)), 0)</f>
        <v>-82.43375</v>
      </c>
      <c r="S53" s="34" t="s">
        <v>317</v>
      </c>
      <c r="T53" s="39" t="n">
        <f aca="false">IFERROR(INDEX('Data 2'!$L$2:$L$2198,MATCH(S53,'Data 2'!$A$2:$A$2198,0)), 0)</f>
        <v>-51.6166666666667</v>
      </c>
      <c r="U53" s="39" t="n">
        <f aca="false">IFERROR(INDEX('Data 2'!$M$2:$M$2198,MATCH(S53,'Data 2'!$A$2:$A$2198,0)), 0)</f>
        <v>-22.982375</v>
      </c>
      <c r="V53" s="34" t="s">
        <v>302</v>
      </c>
      <c r="W53" s="39" t="n">
        <f aca="false">IFERROR(INDEX('Data 2'!$L$2:$L$2198,MATCH(V53,'Data 2'!$A$2:$A$2198,0)), 0)</f>
        <v>-83.54</v>
      </c>
      <c r="X53" s="39" t="n">
        <f aca="false">IFERROR(INDEX('Data 2'!$M$2:$M$2198,MATCH(V53,'Data 2'!$A$2:$A$2198,0)), 0)</f>
        <v>-27.4525</v>
      </c>
      <c r="Y53" s="37"/>
      <c r="Z53" s="37"/>
    </row>
    <row r="54" customFormat="false" ht="15.75" hidden="false" customHeight="true" outlineLevel="0" collapsed="false">
      <c r="A54" s="37"/>
      <c r="B54" s="37"/>
      <c r="C54" s="37"/>
      <c r="D54" s="34" t="s">
        <v>246</v>
      </c>
      <c r="E54" s="39" t="n">
        <f aca="false">IFERROR(INDEX('Data 2'!$L$2:$L$2198,MATCH(D54,'Data 2'!$A$2:$A$2198,0)), 0)</f>
        <v>9.61</v>
      </c>
      <c r="F54" s="39" t="n">
        <f aca="false">IFERROR(INDEX('Data 2'!$M$2:$M$2198,MATCH(D54,'Data 2'!$A$2:$A$2198,0)), 0)</f>
        <v>138.3625</v>
      </c>
      <c r="H54" s="36"/>
      <c r="I54" s="36"/>
      <c r="J54" s="34" t="s">
        <v>361</v>
      </c>
      <c r="K54" s="39" t="n">
        <f aca="false">IFERROR(INDEX('Data 2'!$L$2:$L$2198,MATCH(J54,'Data 2'!$A$2:$A$2198,0)), 0)</f>
        <v>49.73</v>
      </c>
      <c r="L54" s="39" t="n">
        <f aca="false">IFERROR(INDEX('Data 2'!$M$2:$M$2198,MATCH(J54,'Data 2'!$A$2:$A$2198,0)), 0)</f>
        <v>106.49875</v>
      </c>
      <c r="M54" s="36"/>
      <c r="N54" s="36"/>
      <c r="O54" s="36"/>
      <c r="P54" s="34" t="s">
        <v>214</v>
      </c>
      <c r="Q54" s="39" t="n">
        <f aca="false">IFERROR(INDEX('Data 2'!$L$2:$L$2198,MATCH(P54,'Data 2'!$A$2:$A$2198,0)), 0)</f>
        <v>-51.1466666666667</v>
      </c>
      <c r="R54" s="39" t="n">
        <f aca="false">IFERROR(INDEX('Data 2'!$M$2:$M$2198,MATCH(P54,'Data 2'!$A$2:$A$2198,0)), 0)</f>
        <v>-20.8325</v>
      </c>
      <c r="S54" s="34" t="s">
        <v>104</v>
      </c>
      <c r="T54" s="39" t="n">
        <f aca="false">IFERROR(INDEX('Data 2'!$L$2:$L$2198,MATCH(S54,'Data 2'!$A$2:$A$2198,0)), 0)</f>
        <v>-40.48</v>
      </c>
      <c r="U54" s="39" t="n">
        <f aca="false">IFERROR(INDEX('Data 2'!$M$2:$M$2198,MATCH(S54,'Data 2'!$A$2:$A$2198,0)), 0)</f>
        <v>-1.3775</v>
      </c>
      <c r="V54" s="34" t="s">
        <v>324</v>
      </c>
      <c r="W54" s="39" t="n">
        <f aca="false">IFERROR(INDEX('Data 2'!$L$2:$L$2198,MATCH(V54,'Data 2'!$A$2:$A$2198,0)), 0)</f>
        <v>-76.45</v>
      </c>
      <c r="X54" s="39" t="n">
        <f aca="false">IFERROR(INDEX('Data 2'!$M$2:$M$2198,MATCH(V54,'Data 2'!$A$2:$A$2198,0)), 0)</f>
        <v>-170.41875</v>
      </c>
      <c r="Y54" s="37"/>
      <c r="Z54" s="37"/>
    </row>
    <row r="55" customFormat="false" ht="15.75" hidden="false" customHeight="true" outlineLevel="0" collapsed="false">
      <c r="A55" s="37"/>
      <c r="B55" s="37"/>
      <c r="C55" s="37"/>
      <c r="D55" s="34" t="s">
        <v>40</v>
      </c>
      <c r="E55" s="39" t="n">
        <f aca="false">IFERROR(INDEX('Data 2'!$L$2:$L$2198,MATCH(D55,'Data 2'!$A$2:$A$2198,0)), 0)</f>
        <v>-70.3533333333333</v>
      </c>
      <c r="F55" s="39" t="n">
        <f aca="false">IFERROR(INDEX('Data 2'!$M$2:$M$2198,MATCH(D55,'Data 2'!$A$2:$A$2198,0)), 0)</f>
        <v>-71.15375</v>
      </c>
      <c r="H55" s="36"/>
      <c r="I55" s="36"/>
      <c r="J55" s="34" t="s">
        <v>362</v>
      </c>
      <c r="K55" s="39" t="n">
        <f aca="false">IFERROR(INDEX('Data 2'!$L$2:$L$2198,MATCH(J55,'Data 2'!$A$2:$A$2198,0)), 0)</f>
        <v>55.4933333333333</v>
      </c>
      <c r="L55" s="39" t="n">
        <f aca="false">IFERROR(INDEX('Data 2'!$M$2:$M$2198,MATCH(J55,'Data 2'!$A$2:$A$2198,0)), 0)</f>
        <v>108.7275</v>
      </c>
      <c r="M55" s="36"/>
      <c r="N55" s="36"/>
      <c r="O55" s="36"/>
      <c r="P55" s="34" t="s">
        <v>363</v>
      </c>
      <c r="Q55" s="39" t="n">
        <f aca="false">IFERROR(INDEX('Data 2'!$L$2:$L$2198,MATCH(P55,'Data 2'!$A$2:$A$2198,0)), 0)</f>
        <v>-47.8033333333333</v>
      </c>
      <c r="R55" s="39" t="n">
        <f aca="false">IFERROR(INDEX('Data 2'!$M$2:$M$2198,MATCH(P55,'Data 2'!$A$2:$A$2198,0)), 0)</f>
        <v>-21.0425</v>
      </c>
      <c r="S55" s="34" t="s">
        <v>319</v>
      </c>
      <c r="T55" s="39" t="n">
        <f aca="false">IFERROR(INDEX('Data 2'!$L$2:$L$2198,MATCH(S55,'Data 2'!$A$2:$A$2198,0)), 0)</f>
        <v>6.56333333333333</v>
      </c>
      <c r="U55" s="39" t="n">
        <f aca="false">IFERROR(INDEX('Data 2'!$M$2:$M$2198,MATCH(S55,'Data 2'!$A$2:$A$2198,0)), 0)</f>
        <v>-24.7375</v>
      </c>
      <c r="V55" s="34" t="s">
        <v>305</v>
      </c>
      <c r="W55" s="39" t="n">
        <f aca="false">IFERROR(INDEX('Data 2'!$L$2:$L$2198,MATCH(V55,'Data 2'!$A$2:$A$2198,0)), 0)</f>
        <v>-80.0066666666667</v>
      </c>
      <c r="X55" s="39" t="n">
        <f aca="false">IFERROR(INDEX('Data 2'!$M$2:$M$2198,MATCH(V55,'Data 2'!$A$2:$A$2198,0)), 0)</f>
        <v>-47.76375</v>
      </c>
      <c r="Y55" s="37"/>
      <c r="Z55" s="37"/>
    </row>
    <row r="56" customFormat="false" ht="15.75" hidden="false" customHeight="true" outlineLevel="0" collapsed="false">
      <c r="A56" s="37"/>
      <c r="B56" s="37"/>
      <c r="C56" s="37"/>
      <c r="D56" s="34" t="s">
        <v>316</v>
      </c>
      <c r="E56" s="39" t="n">
        <f aca="false">IFERROR(INDEX('Data 2'!$L$2:$L$2198,MATCH(D56,'Data 2'!$A$2:$A$2198,0)), 0)</f>
        <v>4.55333333333334</v>
      </c>
      <c r="F56" s="39" t="n">
        <f aca="false">IFERROR(INDEX('Data 2'!$M$2:$M$2198,MATCH(D56,'Data 2'!$A$2:$A$2198,0)), 0)</f>
        <v>-43.68</v>
      </c>
      <c r="H56" s="36"/>
      <c r="I56" s="36"/>
      <c r="J56" s="34" t="s">
        <v>165</v>
      </c>
      <c r="K56" s="39" t="n">
        <f aca="false">IFERROR(INDEX('Data 2'!$L$2:$L$2198,MATCH(J56,'Data 2'!$A$2:$A$2198,0)), 0)</f>
        <v>35.1866666666667</v>
      </c>
      <c r="L56" s="39" t="n">
        <f aca="false">IFERROR(INDEX('Data 2'!$M$2:$M$2198,MATCH(J56,'Data 2'!$A$2:$A$2198,0)), 0)</f>
        <v>-31.80375</v>
      </c>
      <c r="M56" s="36"/>
      <c r="N56" s="36"/>
      <c r="O56" s="36"/>
      <c r="P56" s="34" t="s">
        <v>364</v>
      </c>
      <c r="Q56" s="39" t="n">
        <f aca="false">IFERROR(INDEX('Data 2'!$L$2:$L$2198,MATCH(P56,'Data 2'!$A$2:$A$2198,0)), 0)</f>
        <v>36.0033333333333</v>
      </c>
      <c r="R56" s="39" t="n">
        <f aca="false">IFERROR(INDEX('Data 2'!$M$2:$M$2198,MATCH(P56,'Data 2'!$A$2:$A$2198,0)), 0)</f>
        <v>13.88125</v>
      </c>
      <c r="S56" s="34" t="s">
        <v>130</v>
      </c>
      <c r="T56" s="39" t="n">
        <f aca="false">IFERROR(INDEX('Data 2'!$L$2:$L$2198,MATCH(S56,'Data 2'!$A$2:$A$2198,0)), 0)</f>
        <v>42.7666666666667</v>
      </c>
      <c r="U56" s="39" t="n">
        <f aca="false">IFERROR(INDEX('Data 2'!$M$2:$M$2198,MATCH(S56,'Data 2'!$A$2:$A$2198,0)), 0)</f>
        <v>11.0225</v>
      </c>
      <c r="V56" s="34" t="s">
        <v>77</v>
      </c>
      <c r="W56" s="39" t="n">
        <f aca="false">IFERROR(INDEX('Data 2'!$L$2:$L$2198,MATCH(V56,'Data 2'!$A$2:$A$2198,0)), 0)</f>
        <v>-97.6333333333333</v>
      </c>
      <c r="X56" s="39" t="n">
        <f aca="false">IFERROR(INDEX('Data 2'!$M$2:$M$2198,MATCH(V56,'Data 2'!$A$2:$A$2198,0)), 0)</f>
        <v>-110.6275</v>
      </c>
      <c r="Y56" s="37"/>
      <c r="Z56" s="37"/>
    </row>
    <row r="57" customFormat="false" ht="15.75" hidden="false" customHeight="true" outlineLevel="0" collapsed="false">
      <c r="A57" s="37"/>
      <c r="B57" s="37"/>
      <c r="C57" s="37"/>
      <c r="D57" s="34" t="s">
        <v>318</v>
      </c>
      <c r="E57" s="39" t="n">
        <f aca="false">IFERROR(INDEX('Data 2'!$L$2:$L$2198,MATCH(D57,'Data 2'!$A$2:$A$2198,0)), 0)</f>
        <v>-44.9533333333333</v>
      </c>
      <c r="F57" s="39" t="n">
        <f aca="false">IFERROR(INDEX('Data 2'!$M$2:$M$2198,MATCH(D57,'Data 2'!$A$2:$A$2198,0)), 0)</f>
        <v>-20.875</v>
      </c>
      <c r="H57" s="36"/>
      <c r="I57" s="36"/>
      <c r="J57" s="34" t="s">
        <v>365</v>
      </c>
      <c r="K57" s="39" t="n">
        <f aca="false">IFERROR(INDEX('Data 2'!$L$2:$L$2198,MATCH(J57,'Data 2'!$A$2:$A$2198,0)), 0)</f>
        <v>127.636666666667</v>
      </c>
      <c r="L57" s="39" t="n">
        <f aca="false">IFERROR(INDEX('Data 2'!$M$2:$M$2198,MATCH(J57,'Data 2'!$A$2:$A$2198,0)), 0)</f>
        <v>5.075</v>
      </c>
      <c r="M57" s="36"/>
      <c r="N57" s="36"/>
      <c r="O57" s="36"/>
      <c r="P57" s="34" t="s">
        <v>366</v>
      </c>
      <c r="Q57" s="39" t="n">
        <f aca="false">IFERROR(INDEX('Data 2'!$L$2:$L$2198,MATCH(P57,'Data 2'!$A$2:$A$2198,0)), 0)</f>
        <v>84.1333333333333</v>
      </c>
      <c r="R57" s="39" t="n">
        <f aca="false">IFERROR(INDEX('Data 2'!$M$2:$M$2198,MATCH(P57,'Data 2'!$A$2:$A$2198,0)), 0)</f>
        <v>180.12625</v>
      </c>
      <c r="S57" s="34" t="s">
        <v>84</v>
      </c>
      <c r="T57" s="39" t="n">
        <f aca="false">IFERROR(INDEX('Data 2'!$L$2:$L$2198,MATCH(S57,'Data 2'!$A$2:$A$2198,0)), 0)</f>
        <v>95.9866666666667</v>
      </c>
      <c r="U57" s="39" t="n">
        <f aca="false">IFERROR(INDEX('Data 2'!$M$2:$M$2198,MATCH(S57,'Data 2'!$A$2:$A$2198,0)), 0)</f>
        <v>175.51</v>
      </c>
      <c r="V57" s="34" t="s">
        <v>308</v>
      </c>
      <c r="W57" s="39" t="n">
        <f aca="false">IFERROR(INDEX('Data 2'!$L$2:$L$2198,MATCH(V57,'Data 2'!$A$2:$A$2198,0)), 0)</f>
        <v>-67.1766666666667</v>
      </c>
      <c r="X57" s="39" t="n">
        <f aca="false">IFERROR(INDEX('Data 2'!$M$2:$M$2198,MATCH(V57,'Data 2'!$A$2:$A$2198,0)), 0)</f>
        <v>-63.739125</v>
      </c>
      <c r="Y57" s="37"/>
      <c r="Z57" s="37"/>
    </row>
    <row r="58" customFormat="false" ht="15.75" hidden="false" customHeight="true" outlineLevel="0" collapsed="false">
      <c r="A58" s="37"/>
      <c r="B58" s="37"/>
      <c r="C58" s="37"/>
      <c r="D58" s="34" t="s">
        <v>320</v>
      </c>
      <c r="E58" s="39" t="n">
        <f aca="false">IFERROR(INDEX('Data 2'!$L$2:$L$2198,MATCH(D58,'Data 2'!$A$2:$A$2198,0)), 0)</f>
        <v>-74.23</v>
      </c>
      <c r="F58" s="39" t="n">
        <f aca="false">IFERROR(INDEX('Data 2'!$M$2:$M$2198,MATCH(D58,'Data 2'!$A$2:$A$2198,0)), 0)</f>
        <v>-62.18625</v>
      </c>
      <c r="H58" s="36"/>
      <c r="I58" s="36"/>
      <c r="J58" s="34" t="s">
        <v>367</v>
      </c>
      <c r="K58" s="39" t="n">
        <f aca="false">IFERROR(INDEX('Data 2'!$L$2:$L$2198,MATCH(J58,'Data 2'!$A$2:$A$2198,0)), 0)</f>
        <v>-87.3433333333334</v>
      </c>
      <c r="L58" s="39" t="n">
        <f aca="false">IFERROR(INDEX('Data 2'!$M$2:$M$2198,MATCH(J58,'Data 2'!$A$2:$A$2198,0)), 0)</f>
        <v>-96.39</v>
      </c>
      <c r="M58" s="36"/>
      <c r="N58" s="36"/>
      <c r="O58" s="36"/>
      <c r="P58" s="34" t="s">
        <v>103</v>
      </c>
      <c r="Q58" s="39" t="n">
        <f aca="false">IFERROR(INDEX('Data 2'!$L$2:$L$2198,MATCH(P58,'Data 2'!$A$2:$A$2198,0)), 0)</f>
        <v>28.71</v>
      </c>
      <c r="R58" s="39" t="n">
        <f aca="false">IFERROR(INDEX('Data 2'!$M$2:$M$2198,MATCH(P58,'Data 2'!$A$2:$A$2198,0)), 0)</f>
        <v>19.7575</v>
      </c>
      <c r="S58" s="34" t="s">
        <v>161</v>
      </c>
      <c r="T58" s="39" t="n">
        <f aca="false">IFERROR(INDEX('Data 2'!$L$2:$L$2198,MATCH(S58,'Data 2'!$A$2:$A$2198,0)), 0)</f>
        <v>-103.4</v>
      </c>
      <c r="U58" s="39" t="n">
        <f aca="false">IFERROR(INDEX('Data 2'!$M$2:$M$2198,MATCH(S58,'Data 2'!$A$2:$A$2198,0)), 0)</f>
        <v>-110.97875</v>
      </c>
      <c r="V58" s="34" t="s">
        <v>134</v>
      </c>
      <c r="W58" s="39" t="n">
        <f aca="false">IFERROR(INDEX('Data 2'!$L$2:$L$2198,MATCH(V58,'Data 2'!$A$2:$A$2198,0)), 0)</f>
        <v>-113.886666666667</v>
      </c>
      <c r="X58" s="39" t="n">
        <f aca="false">IFERROR(INDEX('Data 2'!$M$2:$M$2198,MATCH(V58,'Data 2'!$A$2:$A$2198,0)), 0)</f>
        <v>-97.9</v>
      </c>
      <c r="Y58" s="37"/>
      <c r="Z58" s="37"/>
    </row>
    <row r="59" customFormat="false" ht="15.75" hidden="false" customHeight="true" outlineLevel="0" collapsed="false">
      <c r="A59" s="37"/>
      <c r="B59" s="37"/>
      <c r="C59" s="37"/>
      <c r="D59" s="34" t="s">
        <v>232</v>
      </c>
      <c r="E59" s="39" t="n">
        <f aca="false">IFERROR(INDEX('Data 2'!$L$2:$L$2198,MATCH(D59,'Data 2'!$A$2:$A$2198,0)), 0)</f>
        <v>-100.76</v>
      </c>
      <c r="F59" s="39" t="n">
        <f aca="false">IFERROR(INDEX('Data 2'!$M$2:$M$2198,MATCH(D59,'Data 2'!$A$2:$A$2198,0)), 0)</f>
        <v>-79.82</v>
      </c>
      <c r="H59" s="36"/>
      <c r="I59" s="36"/>
      <c r="J59" s="34" t="s">
        <v>202</v>
      </c>
      <c r="K59" s="39" t="n">
        <f aca="false">IFERROR(INDEX('Data 2'!$L$2:$L$2198,MATCH(J59,'Data 2'!$A$2:$A$2198,0)), 0)</f>
        <v>-3.69333333333333</v>
      </c>
      <c r="L59" s="39" t="n">
        <f aca="false">IFERROR(INDEX('Data 2'!$M$2:$M$2198,MATCH(J59,'Data 2'!$A$2:$A$2198,0)), 0)</f>
        <v>-41.2025</v>
      </c>
      <c r="M59" s="36"/>
      <c r="N59" s="36"/>
      <c r="O59" s="36"/>
      <c r="P59" s="34" t="s">
        <v>368</v>
      </c>
      <c r="Q59" s="39" t="n">
        <f aca="false">IFERROR(INDEX('Data 2'!$L$2:$L$2198,MATCH(P59,'Data 2'!$A$2:$A$2198,0)), 0)</f>
        <v>-37.9533333333333</v>
      </c>
      <c r="R59" s="39" t="n">
        <f aca="false">IFERROR(INDEX('Data 2'!$M$2:$M$2198,MATCH(P59,'Data 2'!$A$2:$A$2198,0)), 0)</f>
        <v>26.84125</v>
      </c>
      <c r="S59" s="34" t="s">
        <v>260</v>
      </c>
      <c r="T59" s="39" t="n">
        <f aca="false">IFERROR(INDEX('Data 2'!$L$2:$L$2198,MATCH(S59,'Data 2'!$A$2:$A$2198,0)), 0)</f>
        <v>-39.9166666666667</v>
      </c>
      <c r="U59" s="39" t="n">
        <f aca="false">IFERROR(INDEX('Data 2'!$M$2:$M$2198,MATCH(S59,'Data 2'!$A$2:$A$2198,0)), 0)</f>
        <v>-40.01375</v>
      </c>
      <c r="V59" s="34" t="s">
        <v>312</v>
      </c>
      <c r="W59" s="39" t="n">
        <f aca="false">IFERROR(INDEX('Data 2'!$L$2:$L$2198,MATCH(V59,'Data 2'!$A$2:$A$2198,0)), 0)</f>
        <v>124.383333333333</v>
      </c>
      <c r="X59" s="39" t="n">
        <f aca="false">IFERROR(INDEX('Data 2'!$M$2:$M$2198,MATCH(V59,'Data 2'!$A$2:$A$2198,0)), 0)</f>
        <v>89.6575</v>
      </c>
      <c r="Y59" s="37"/>
      <c r="Z59" s="37"/>
    </row>
    <row r="60" customFormat="false" ht="15.75" hidden="false" customHeight="true" outlineLevel="0" collapsed="false">
      <c r="A60" s="37"/>
      <c r="B60" s="37"/>
      <c r="C60" s="37"/>
      <c r="D60" s="34" t="s">
        <v>131</v>
      </c>
      <c r="E60" s="39" t="n">
        <f aca="false">IFERROR(INDEX('Data 2'!$L$2:$L$2198,MATCH(D60,'Data 2'!$A$2:$A$2198,0)), 0)</f>
        <v>-43.1233333333333</v>
      </c>
      <c r="F60" s="39" t="n">
        <f aca="false">IFERROR(INDEX('Data 2'!$M$2:$M$2198,MATCH(D60,'Data 2'!$A$2:$A$2198,0)), 0)</f>
        <v>51.97</v>
      </c>
      <c r="H60" s="36"/>
      <c r="I60" s="36"/>
      <c r="J60" s="34" t="s">
        <v>108</v>
      </c>
      <c r="K60" s="39" t="n">
        <f aca="false">IFERROR(INDEX('Data 2'!$L$2:$L$2198,MATCH(J60,'Data 2'!$A$2:$A$2198,0)), 0)</f>
        <v>102.713333333333</v>
      </c>
      <c r="L60" s="39" t="n">
        <f aca="false">IFERROR(INDEX('Data 2'!$M$2:$M$2198,MATCH(J60,'Data 2'!$A$2:$A$2198,0)), 0)</f>
        <v>125.28625</v>
      </c>
      <c r="M60" s="36"/>
      <c r="N60" s="36"/>
      <c r="O60" s="36"/>
      <c r="P60" s="34" t="s">
        <v>369</v>
      </c>
      <c r="Q60" s="39" t="n">
        <f aca="false">IFERROR(INDEX('Data 2'!$L$2:$L$2198,MATCH(P60,'Data 2'!$A$2:$A$2198,0)), 0)</f>
        <v>-1.14666666666667</v>
      </c>
      <c r="R60" s="39" t="n">
        <f aca="false">IFERROR(INDEX('Data 2'!$M$2:$M$2198,MATCH(P60,'Data 2'!$A$2:$A$2198,0)), 0)</f>
        <v>-7.6325</v>
      </c>
      <c r="S60" s="34" t="s">
        <v>85</v>
      </c>
      <c r="T60" s="39" t="n">
        <f aca="false">IFERROR(INDEX('Data 2'!$L$2:$L$2198,MATCH(S60,'Data 2'!$A$2:$A$2198,0)), 0)</f>
        <v>110.623333333333</v>
      </c>
      <c r="U60" s="39" t="n">
        <f aca="false">IFERROR(INDEX('Data 2'!$M$2:$M$2198,MATCH(S60,'Data 2'!$A$2:$A$2198,0)), 0)</f>
        <v>49.206875</v>
      </c>
      <c r="V60" s="34" t="s">
        <v>326</v>
      </c>
      <c r="W60" s="39" t="n">
        <f aca="false">IFERROR(INDEX('Data 2'!$L$2:$L$2198,MATCH(V60,'Data 2'!$A$2:$A$2198,0)), 0)</f>
        <v>-18.61</v>
      </c>
      <c r="X60" s="39" t="n">
        <f aca="false">IFERROR(INDEX('Data 2'!$M$2:$M$2198,MATCH(V60,'Data 2'!$A$2:$A$2198,0)), 0)</f>
        <v>59.81375</v>
      </c>
      <c r="Y60" s="37"/>
      <c r="Z60" s="37"/>
    </row>
    <row r="61" customFormat="false" ht="15.75" hidden="false" customHeight="true" outlineLevel="0" collapsed="false">
      <c r="A61" s="37"/>
      <c r="B61" s="37"/>
      <c r="C61" s="37"/>
      <c r="D61" s="34" t="s">
        <v>140</v>
      </c>
      <c r="E61" s="39" t="n">
        <f aca="false">IFERROR(INDEX('Data 2'!$L$2:$L$2198,MATCH(D61,'Data 2'!$A$2:$A$2198,0)), 0)</f>
        <v>51.87</v>
      </c>
      <c r="F61" s="39" t="n">
        <f aca="false">IFERROR(INDEX('Data 2'!$M$2:$M$2198,MATCH(D61,'Data 2'!$A$2:$A$2198,0)), 0)</f>
        <v>6.04</v>
      </c>
      <c r="H61" s="36"/>
      <c r="I61" s="36"/>
      <c r="J61" s="34" t="s">
        <v>193</v>
      </c>
      <c r="K61" s="39" t="n">
        <f aca="false">IFERROR(INDEX('Data 2'!$L$2:$L$2198,MATCH(J61,'Data 2'!$A$2:$A$2198,0)), 0)</f>
        <v>-91.0833333333333</v>
      </c>
      <c r="L61" s="39" t="n">
        <f aca="false">IFERROR(INDEX('Data 2'!$M$2:$M$2198,MATCH(J61,'Data 2'!$A$2:$A$2198,0)), 0)</f>
        <v>-69.4225</v>
      </c>
      <c r="M61" s="36"/>
      <c r="N61" s="36"/>
      <c r="O61" s="36"/>
      <c r="P61" s="34" t="s">
        <v>370</v>
      </c>
      <c r="Q61" s="39" t="n">
        <f aca="false">IFERROR(INDEX('Data 2'!$L$2:$L$2198,MATCH(P61,'Data 2'!$A$2:$A$2198,0)), 0)</f>
        <v>-35.9733333333333</v>
      </c>
      <c r="R61" s="39" t="n">
        <f aca="false">IFERROR(INDEX('Data 2'!$M$2:$M$2198,MATCH(P61,'Data 2'!$A$2:$A$2198,0)), 0)</f>
        <v>-33.74625</v>
      </c>
      <c r="S61" s="34" t="s">
        <v>121</v>
      </c>
      <c r="T61" s="39" t="n">
        <f aca="false">IFERROR(INDEX('Data 2'!$L$2:$L$2198,MATCH(S61,'Data 2'!$A$2:$A$2198,0)), 0)</f>
        <v>11.3</v>
      </c>
      <c r="U61" s="39" t="n">
        <f aca="false">IFERROR(INDEX('Data 2'!$M$2:$M$2198,MATCH(S61,'Data 2'!$A$2:$A$2198,0)), 0)</f>
        <v>-25.17125</v>
      </c>
      <c r="V61" s="34" t="s">
        <v>91</v>
      </c>
      <c r="W61" s="39" t="n">
        <f aca="false">IFERROR(INDEX('Data 2'!$L$2:$L$2198,MATCH(V61,'Data 2'!$A$2:$A$2198,0)), 0)</f>
        <v>15.82</v>
      </c>
      <c r="X61" s="39" t="n">
        <f aca="false">IFERROR(INDEX('Data 2'!$M$2:$M$2198,MATCH(V61,'Data 2'!$A$2:$A$2198,0)), 0)</f>
        <v>3.95875</v>
      </c>
      <c r="Y61" s="37"/>
      <c r="Z61" s="37"/>
    </row>
    <row r="62" customFormat="false" ht="15.75" hidden="false" customHeight="true" outlineLevel="0" collapsed="false">
      <c r="A62" s="37"/>
      <c r="B62" s="37"/>
      <c r="C62" s="37"/>
      <c r="D62" s="34" t="s">
        <v>136</v>
      </c>
      <c r="E62" s="39" t="n">
        <f aca="false">IFERROR(INDEX('Data 2'!$L$2:$L$2198,MATCH(D62,'Data 2'!$A$2:$A$2198,0)), 0)</f>
        <v>-17.21</v>
      </c>
      <c r="F62" s="39" t="n">
        <f aca="false">IFERROR(INDEX('Data 2'!$M$2:$M$2198,MATCH(D62,'Data 2'!$A$2:$A$2198,0)), 0)</f>
        <v>-20.43125</v>
      </c>
      <c r="H62" s="36"/>
      <c r="I62" s="36"/>
      <c r="J62" s="34" t="s">
        <v>371</v>
      </c>
      <c r="K62" s="39" t="n">
        <f aca="false">IFERROR(INDEX('Data 2'!$L$2:$L$2198,MATCH(J62,'Data 2'!$A$2:$A$2198,0)), 0)</f>
        <v>-62.21</v>
      </c>
      <c r="L62" s="39" t="n">
        <f aca="false">IFERROR(INDEX('Data 2'!$M$2:$M$2198,MATCH(J62,'Data 2'!$A$2:$A$2198,0)), 0)</f>
        <v>-59.4625</v>
      </c>
      <c r="M62" s="36"/>
      <c r="N62" s="36"/>
      <c r="O62" s="36"/>
      <c r="P62" s="34" t="s">
        <v>102</v>
      </c>
      <c r="Q62" s="39" t="n">
        <f aca="false">IFERROR(INDEX('Data 2'!$L$2:$L$2198,MATCH(P62,'Data 2'!$A$2:$A$2198,0)), 0)</f>
        <v>-9.54333333333333</v>
      </c>
      <c r="R62" s="39" t="n">
        <f aca="false">IFERROR(INDEX('Data 2'!$M$2:$M$2198,MATCH(P62,'Data 2'!$A$2:$A$2198,0)), 0)</f>
        <v>38.0375</v>
      </c>
      <c r="S62" s="34" t="s">
        <v>152</v>
      </c>
      <c r="T62" s="39" t="n">
        <f aca="false">IFERROR(INDEX('Data 2'!$L$2:$L$2198,MATCH(S62,'Data 2'!$A$2:$A$2198,0)), 0)</f>
        <v>-31.75</v>
      </c>
      <c r="U62" s="39" t="n">
        <f aca="false">IFERROR(INDEX('Data 2'!$M$2:$M$2198,MATCH(S62,'Data 2'!$A$2:$A$2198,0)), 0)</f>
        <v>-62.4425</v>
      </c>
      <c r="V62" s="34" t="s">
        <v>328</v>
      </c>
      <c r="W62" s="39" t="n">
        <f aca="false">IFERROR(INDEX('Data 2'!$L$2:$L$2198,MATCH(V62,'Data 2'!$A$2:$A$2198,0)), 0)</f>
        <v>80.57</v>
      </c>
      <c r="X62" s="39" t="n">
        <f aca="false">IFERROR(INDEX('Data 2'!$M$2:$M$2198,MATCH(V62,'Data 2'!$A$2:$A$2198,0)), 0)</f>
        <v>22.45125</v>
      </c>
      <c r="Y62" s="37"/>
      <c r="Z62" s="37"/>
    </row>
    <row r="63" customFormat="false" ht="15.75" hidden="false" customHeight="true" outlineLevel="0" collapsed="false">
      <c r="A63" s="37"/>
      <c r="B63" s="37"/>
      <c r="C63" s="37"/>
      <c r="D63" s="34" t="s">
        <v>325</v>
      </c>
      <c r="E63" s="39" t="n">
        <f aca="false">IFERROR(INDEX('Data 2'!$L$2:$L$2198,MATCH(D63,'Data 2'!$A$2:$A$2198,0)), 0)</f>
        <v>-82.3266666666667</v>
      </c>
      <c r="F63" s="39" t="n">
        <f aca="false">IFERROR(INDEX('Data 2'!$M$2:$M$2198,MATCH(D63,'Data 2'!$A$2:$A$2198,0)), 0)</f>
        <v>-53.78875</v>
      </c>
      <c r="H63" s="36"/>
      <c r="I63" s="36"/>
      <c r="J63" s="34" t="s">
        <v>372</v>
      </c>
      <c r="K63" s="39" t="n">
        <f aca="false">IFERROR(INDEX('Data 2'!$L$2:$L$2198,MATCH(J63,'Data 2'!$A$2:$A$2198,0)), 0)</f>
        <v>-36.98</v>
      </c>
      <c r="L63" s="39" t="n">
        <f aca="false">IFERROR(INDEX('Data 2'!$M$2:$M$2198,MATCH(J63,'Data 2'!$A$2:$A$2198,0)), 0)</f>
        <v>20.765</v>
      </c>
      <c r="M63" s="36"/>
      <c r="N63" s="36"/>
      <c r="O63" s="36"/>
      <c r="P63" s="34" t="s">
        <v>373</v>
      </c>
      <c r="Q63" s="39" t="n">
        <f aca="false">IFERROR(INDEX('Data 2'!$L$2:$L$2198,MATCH(P63,'Data 2'!$A$2:$A$2198,0)), 0)</f>
        <v>-103.343333333333</v>
      </c>
      <c r="R63" s="39" t="n">
        <f aca="false">IFERROR(INDEX('Data 2'!$M$2:$M$2198,MATCH(P63,'Data 2'!$A$2:$A$2198,0)), 0)</f>
        <v>-102.7625</v>
      </c>
      <c r="S63" s="34" t="s">
        <v>327</v>
      </c>
      <c r="T63" s="39" t="n">
        <f aca="false">IFERROR(INDEX('Data 2'!$L$2:$L$2198,MATCH(S63,'Data 2'!$A$2:$A$2198,0)), 0)</f>
        <v>11.0166666666667</v>
      </c>
      <c r="U63" s="39" t="n">
        <f aca="false">IFERROR(INDEX('Data 2'!$M$2:$M$2198,MATCH(S63,'Data 2'!$A$2:$A$2198,0)), 0)</f>
        <v>37.13125</v>
      </c>
      <c r="V63" s="34" t="s">
        <v>168</v>
      </c>
      <c r="W63" s="39" t="n">
        <f aca="false">IFERROR(INDEX('Data 2'!$L$2:$L$2198,MATCH(V63,'Data 2'!$A$2:$A$2198,0)), 0)</f>
        <v>-2.94666666666667</v>
      </c>
      <c r="X63" s="39" t="n">
        <f aca="false">IFERROR(INDEX('Data 2'!$M$2:$M$2198,MATCH(V63,'Data 2'!$A$2:$A$2198,0)), 0)</f>
        <v>-61.92875</v>
      </c>
      <c r="Y63" s="37"/>
      <c r="Z63" s="37"/>
    </row>
    <row r="64" customFormat="false" ht="15.75" hidden="false" customHeight="true" outlineLevel="0" collapsed="false">
      <c r="A64" s="37"/>
      <c r="B64" s="37"/>
      <c r="C64" s="37"/>
      <c r="D64" s="34" t="s">
        <v>321</v>
      </c>
      <c r="E64" s="39" t="n">
        <f aca="false">IFERROR(INDEX('Data 2'!$L$2:$L$2198,MATCH(D64,'Data 2'!$A$2:$A$2198,0)), 0)</f>
        <v>-44.3966666666667</v>
      </c>
      <c r="F64" s="39" t="n">
        <f aca="false">IFERROR(INDEX('Data 2'!$M$2:$M$2198,MATCH(D64,'Data 2'!$A$2:$A$2198,0)), 0)</f>
        <v>-23.26</v>
      </c>
      <c r="H64" s="36"/>
      <c r="I64" s="36"/>
      <c r="J64" s="34" t="s">
        <v>374</v>
      </c>
      <c r="K64" s="39" t="n">
        <f aca="false">IFERROR(INDEX('Data 2'!$L$2:$L$2198,MATCH(J64,'Data 2'!$A$2:$A$2198,0)), 0)</f>
        <v>0.726666666666669</v>
      </c>
      <c r="L64" s="39" t="n">
        <f aca="false">IFERROR(INDEX('Data 2'!$M$2:$M$2198,MATCH(J64,'Data 2'!$A$2:$A$2198,0)), 0)</f>
        <v>0.278749999999999</v>
      </c>
      <c r="M64" s="36"/>
      <c r="N64" s="36"/>
      <c r="O64" s="36"/>
      <c r="P64" s="34" t="s">
        <v>208</v>
      </c>
      <c r="Q64" s="39" t="n">
        <f aca="false">IFERROR(INDEX('Data 2'!$L$2:$L$2198,MATCH(P64,'Data 2'!$A$2:$A$2198,0)), 0)</f>
        <v>85.1433333333333</v>
      </c>
      <c r="R64" s="39" t="n">
        <f aca="false">IFERROR(INDEX('Data 2'!$M$2:$M$2198,MATCH(P64,'Data 2'!$A$2:$A$2198,0)), 0)</f>
        <v>17.8525</v>
      </c>
      <c r="S64" s="34" t="s">
        <v>96</v>
      </c>
      <c r="T64" s="39" t="n">
        <f aca="false">IFERROR(INDEX('Data 2'!$L$2:$L$2198,MATCH(S64,'Data 2'!$A$2:$A$2198,0)), 0)</f>
        <v>122.496666666667</v>
      </c>
      <c r="U64" s="39" t="n">
        <f aca="false">IFERROR(INDEX('Data 2'!$M$2:$M$2198,MATCH(S64,'Data 2'!$A$2:$A$2198,0)), 0)</f>
        <v>149.74</v>
      </c>
      <c r="V64" s="34" t="s">
        <v>330</v>
      </c>
      <c r="W64" s="39" t="n">
        <f aca="false">IFERROR(INDEX('Data 2'!$L$2:$L$2198,MATCH(V64,'Data 2'!$A$2:$A$2198,0)), 0)</f>
        <v>-106.42</v>
      </c>
      <c r="X64" s="39" t="n">
        <f aca="false">IFERROR(INDEX('Data 2'!$M$2:$M$2198,MATCH(V64,'Data 2'!$A$2:$A$2198,0)), 0)</f>
        <v>-110.11875</v>
      </c>
      <c r="Y64" s="37"/>
      <c r="Z64" s="37"/>
    </row>
    <row r="65" customFormat="false" ht="15.75" hidden="false" customHeight="true" outlineLevel="0" collapsed="false">
      <c r="A65" s="37"/>
      <c r="B65" s="37"/>
      <c r="C65" s="37"/>
      <c r="D65" s="34" t="s">
        <v>154</v>
      </c>
      <c r="E65" s="39" t="n">
        <f aca="false">IFERROR(INDEX('Data 2'!$L$2:$L$2198,MATCH(D65,'Data 2'!$A$2:$A$2198,0)), 0)</f>
        <v>-94.6633333333333</v>
      </c>
      <c r="F65" s="39" t="n">
        <f aca="false">IFERROR(INDEX('Data 2'!$M$2:$M$2198,MATCH(D65,'Data 2'!$A$2:$A$2198,0)), 0)</f>
        <v>-94.76625</v>
      </c>
      <c r="H65" s="36"/>
      <c r="I65" s="36"/>
      <c r="J65" s="34" t="s">
        <v>212</v>
      </c>
      <c r="K65" s="39" t="n">
        <f aca="false">IFERROR(INDEX('Data 2'!$L$2:$L$2198,MATCH(J65,'Data 2'!$A$2:$A$2198,0)), 0)</f>
        <v>-33.8</v>
      </c>
      <c r="L65" s="39" t="n">
        <f aca="false">IFERROR(INDEX('Data 2'!$M$2:$M$2198,MATCH(J65,'Data 2'!$A$2:$A$2198,0)), 0)</f>
        <v>-49.33625</v>
      </c>
      <c r="M65" s="36"/>
      <c r="N65" s="36"/>
      <c r="O65" s="36"/>
      <c r="P65" s="34" t="s">
        <v>375</v>
      </c>
      <c r="Q65" s="39" t="n">
        <f aca="false">IFERROR(INDEX('Data 2'!$L$2:$L$2198,MATCH(P65,'Data 2'!$A$2:$A$2198,0)), 0)</f>
        <v>100.093333333333</v>
      </c>
      <c r="R65" s="39" t="n">
        <f aca="false">IFERROR(INDEX('Data 2'!$M$2:$M$2198,MATCH(P65,'Data 2'!$A$2:$A$2198,0)), 0)</f>
        <v>36.14375</v>
      </c>
      <c r="S65" s="34" t="s">
        <v>60</v>
      </c>
      <c r="T65" s="39" t="n">
        <f aca="false">IFERROR(INDEX('Data 2'!$L$2:$L$2198,MATCH(S65,'Data 2'!$A$2:$A$2198,0)), 0)</f>
        <v>-63.4233333333333</v>
      </c>
      <c r="U65" s="39" t="n">
        <f aca="false">IFERROR(INDEX('Data 2'!$M$2:$M$2198,MATCH(S65,'Data 2'!$A$2:$A$2198,0)), 0)</f>
        <v>-45.195</v>
      </c>
      <c r="V65" s="34" t="s">
        <v>287</v>
      </c>
      <c r="W65" s="39" t="n">
        <f aca="false">IFERROR(INDEX('Data 2'!$L$2:$L$2198,MATCH(V65,'Data 2'!$A$2:$A$2198,0)), 0)</f>
        <v>31.5</v>
      </c>
      <c r="X65" s="39" t="n">
        <f aca="false">IFERROR(INDEX('Data 2'!$M$2:$M$2198,MATCH(V65,'Data 2'!$A$2:$A$2198,0)), 0)</f>
        <v>69.80625</v>
      </c>
      <c r="Y65" s="37"/>
      <c r="Z65" s="37"/>
    </row>
    <row r="66" customFormat="false" ht="15.75" hidden="false" customHeight="true" outlineLevel="0" collapsed="false">
      <c r="A66" s="37"/>
      <c r="B66" s="37"/>
      <c r="C66" s="37"/>
      <c r="D66" s="34" t="s">
        <v>322</v>
      </c>
      <c r="E66" s="39" t="n">
        <f aca="false">IFERROR(INDEX('Data 2'!$L$2:$L$2198,MATCH(D66,'Data 2'!$A$2:$A$2198,0)), 0)</f>
        <v>90.21</v>
      </c>
      <c r="F66" s="39" t="n">
        <f aca="false">IFERROR(INDEX('Data 2'!$M$2:$M$2198,MATCH(D66,'Data 2'!$A$2:$A$2198,0)), 0)</f>
        <v>47.96</v>
      </c>
      <c r="H66" s="36"/>
      <c r="I66" s="36"/>
      <c r="J66" s="34" t="s">
        <v>376</v>
      </c>
      <c r="K66" s="39" t="n">
        <f aca="false">IFERROR(INDEX('Data 2'!$L$2:$L$2198,MATCH(J66,'Data 2'!$A$2:$A$2198,0)), 0)</f>
        <v>103.706666666667</v>
      </c>
      <c r="L66" s="39" t="n">
        <f aca="false">IFERROR(INDEX('Data 2'!$M$2:$M$2198,MATCH(J66,'Data 2'!$A$2:$A$2198,0)), 0)</f>
        <v>65.0225</v>
      </c>
      <c r="M66" s="36"/>
      <c r="N66" s="36"/>
      <c r="O66" s="36"/>
      <c r="P66" s="34" t="s">
        <v>377</v>
      </c>
      <c r="Q66" s="39" t="n">
        <f aca="false">IFERROR(INDEX('Data 2'!$L$2:$L$2198,MATCH(P66,'Data 2'!$A$2:$A$2198,0)), 0)</f>
        <v>-56.65</v>
      </c>
      <c r="R66" s="39" t="n">
        <f aca="false">IFERROR(INDEX('Data 2'!$M$2:$M$2198,MATCH(P66,'Data 2'!$A$2:$A$2198,0)), 0)</f>
        <v>57.13375</v>
      </c>
      <c r="S66" s="34" t="s">
        <v>126</v>
      </c>
      <c r="T66" s="39" t="n">
        <f aca="false">IFERROR(INDEX('Data 2'!$L$2:$L$2198,MATCH(S66,'Data 2'!$A$2:$A$2198,0)), 0)</f>
        <v>-43.37</v>
      </c>
      <c r="U66" s="39" t="n">
        <f aca="false">IFERROR(INDEX('Data 2'!$M$2:$M$2198,MATCH(S66,'Data 2'!$A$2:$A$2198,0)), 0)</f>
        <v>16.2675</v>
      </c>
      <c r="V66" s="34" t="s">
        <v>333</v>
      </c>
      <c r="W66" s="39" t="n">
        <f aca="false">IFERROR(INDEX('Data 2'!$L$2:$L$2198,MATCH(V66,'Data 2'!$A$2:$A$2198,0)), 0)</f>
        <v>-112.35</v>
      </c>
      <c r="X66" s="39" t="n">
        <f aca="false">IFERROR(INDEX('Data 2'!$M$2:$M$2198,MATCH(V66,'Data 2'!$A$2:$A$2198,0)), 0)</f>
        <v>-97.6025</v>
      </c>
      <c r="Y66" s="37"/>
      <c r="Z66" s="37"/>
    </row>
    <row r="67" customFormat="false" ht="15.75" hidden="false" customHeight="true" outlineLevel="0" collapsed="false">
      <c r="A67" s="37"/>
      <c r="B67" s="37"/>
      <c r="C67" s="37"/>
      <c r="D67" s="34" t="s">
        <v>67</v>
      </c>
      <c r="E67" s="39" t="n">
        <f aca="false">IFERROR(INDEX('Data 2'!$L$2:$L$2198,MATCH(D67,'Data 2'!$A$2:$A$2198,0)), 0)</f>
        <v>13.2466666666667</v>
      </c>
      <c r="F67" s="39" t="n">
        <f aca="false">IFERROR(INDEX('Data 2'!$M$2:$M$2198,MATCH(D67,'Data 2'!$A$2:$A$2198,0)), 0)</f>
        <v>20.1475</v>
      </c>
      <c r="H67" s="36"/>
      <c r="I67" s="36"/>
      <c r="J67" s="34" t="s">
        <v>106</v>
      </c>
      <c r="K67" s="39" t="n">
        <f aca="false">IFERROR(INDEX('Data 2'!$L$2:$L$2198,MATCH(J67,'Data 2'!$A$2:$A$2198,0)), 0)</f>
        <v>-61.0133333333333</v>
      </c>
      <c r="L67" s="39" t="n">
        <f aca="false">IFERROR(INDEX('Data 2'!$M$2:$M$2198,MATCH(J67,'Data 2'!$A$2:$A$2198,0)), 0)</f>
        <v>-23.73875</v>
      </c>
      <c r="M67" s="36"/>
      <c r="N67" s="36"/>
      <c r="O67" s="36"/>
      <c r="P67" s="34" t="s">
        <v>378</v>
      </c>
      <c r="Q67" s="39" t="n">
        <f aca="false">IFERROR(INDEX('Data 2'!$L$2:$L$2198,MATCH(P67,'Data 2'!$A$2:$A$2198,0)), 0)</f>
        <v>89.28</v>
      </c>
      <c r="R67" s="39" t="n">
        <f aca="false">IFERROR(INDEX('Data 2'!$M$2:$M$2198,MATCH(P67,'Data 2'!$A$2:$A$2198,0)), 0)</f>
        <v>139.29</v>
      </c>
      <c r="S67" s="34" t="s">
        <v>200</v>
      </c>
      <c r="T67" s="39" t="n">
        <f aca="false">IFERROR(INDEX('Data 2'!$L$2:$L$2198,MATCH(S67,'Data 2'!$A$2:$A$2198,0)), 0)</f>
        <v>-37.3566666666667</v>
      </c>
      <c r="U67" s="39" t="n">
        <f aca="false">IFERROR(INDEX('Data 2'!$M$2:$M$2198,MATCH(S67,'Data 2'!$A$2:$A$2198,0)), 0)</f>
        <v>67.6425</v>
      </c>
      <c r="V67" s="34" t="s">
        <v>290</v>
      </c>
      <c r="W67" s="39" t="n">
        <f aca="false">IFERROR(INDEX('Data 2'!$L$2:$L$2198,MATCH(V67,'Data 2'!$A$2:$A$2198,0)), 0)</f>
        <v>79.8133333333333</v>
      </c>
      <c r="X67" s="39" t="n">
        <f aca="false">IFERROR(INDEX('Data 2'!$M$2:$M$2198,MATCH(V67,'Data 2'!$A$2:$A$2198,0)), 0)</f>
        <v>-22.8875</v>
      </c>
      <c r="Y67" s="37"/>
      <c r="Z67" s="37"/>
    </row>
    <row r="68" customFormat="false" ht="15.75" hidden="false" customHeight="true" outlineLevel="0" collapsed="false">
      <c r="A68" s="37"/>
      <c r="B68" s="37"/>
      <c r="C68" s="37"/>
      <c r="D68" s="34" t="s">
        <v>111</v>
      </c>
      <c r="E68" s="39" t="n">
        <f aca="false">IFERROR(INDEX('Data 2'!$L$2:$L$2198,MATCH(D68,'Data 2'!$A$2:$A$2198,0)), 0)</f>
        <v>-94.6133333333333</v>
      </c>
      <c r="F68" s="39" t="n">
        <f aca="false">IFERROR(INDEX('Data 2'!$M$2:$M$2198,MATCH(D68,'Data 2'!$A$2:$A$2198,0)), 0)</f>
        <v>-30.34375</v>
      </c>
      <c r="H68" s="36"/>
      <c r="I68" s="36"/>
      <c r="J68" s="34" t="s">
        <v>221</v>
      </c>
      <c r="K68" s="39" t="n">
        <f aca="false">IFERROR(INDEX('Data 2'!$L$2:$L$2198,MATCH(J68,'Data 2'!$A$2:$A$2198,0)), 0)</f>
        <v>-100.68</v>
      </c>
      <c r="L68" s="39" t="n">
        <f aca="false">IFERROR(INDEX('Data 2'!$M$2:$M$2198,MATCH(J68,'Data 2'!$A$2:$A$2198,0)), 0)</f>
        <v>-108.3125</v>
      </c>
      <c r="M68" s="36"/>
      <c r="N68" s="36"/>
      <c r="O68" s="36"/>
      <c r="P68" s="34" t="s">
        <v>205</v>
      </c>
      <c r="Q68" s="39" t="n">
        <f aca="false">IFERROR(INDEX('Data 2'!$L$2:$L$2198,MATCH(P68,'Data 2'!$A$2:$A$2198,0)), 0)</f>
        <v>-75.23</v>
      </c>
      <c r="R68" s="39" t="n">
        <f aca="false">IFERROR(INDEX('Data 2'!$M$2:$M$2198,MATCH(P68,'Data 2'!$A$2:$A$2198,0)), 0)</f>
        <v>-103.5975</v>
      </c>
      <c r="S68" s="34" t="s">
        <v>188</v>
      </c>
      <c r="T68" s="39" t="n">
        <f aca="false">IFERROR(INDEX('Data 2'!$L$2:$L$2198,MATCH(S68,'Data 2'!$A$2:$A$2198,0)), 0)</f>
        <v>-73.2266666666667</v>
      </c>
      <c r="U68" s="39" t="n">
        <f aca="false">IFERROR(INDEX('Data 2'!$M$2:$M$2198,MATCH(S68,'Data 2'!$A$2:$A$2198,0)), 0)</f>
        <v>-106.525</v>
      </c>
      <c r="V68" s="34" t="s">
        <v>335</v>
      </c>
      <c r="W68" s="39" t="n">
        <f aca="false">IFERROR(INDEX('Data 2'!$L$2:$L$2198,MATCH(V68,'Data 2'!$A$2:$A$2198,0)), 0)</f>
        <v>-121.323333333333</v>
      </c>
      <c r="X68" s="39" t="n">
        <f aca="false">IFERROR(INDEX('Data 2'!$M$2:$M$2198,MATCH(V68,'Data 2'!$A$2:$A$2198,0)), 0)</f>
        <v>-99.55625</v>
      </c>
      <c r="Y68" s="37"/>
      <c r="Z68" s="37"/>
    </row>
    <row r="69" customFormat="false" ht="15.75" hidden="false" customHeight="true" outlineLevel="0" collapsed="false">
      <c r="A69" s="37"/>
      <c r="B69" s="37"/>
      <c r="C69" s="37"/>
      <c r="D69" s="34" t="s">
        <v>227</v>
      </c>
      <c r="E69" s="39" t="n">
        <f aca="false">IFERROR(INDEX('Data 2'!$L$2:$L$2198,MATCH(D69,'Data 2'!$A$2:$A$2198,0)), 0)</f>
        <v>-22.5566666666667</v>
      </c>
      <c r="F69" s="39" t="n">
        <f aca="false">IFERROR(INDEX('Data 2'!$M$2:$M$2198,MATCH(D69,'Data 2'!$A$2:$A$2198,0)), 0)</f>
        <v>7.9675</v>
      </c>
      <c r="H69" s="36"/>
      <c r="I69" s="36"/>
      <c r="J69" s="34" t="s">
        <v>225</v>
      </c>
      <c r="K69" s="39" t="n">
        <f aca="false">IFERROR(INDEX('Data 2'!$L$2:$L$2198,MATCH(J69,'Data 2'!$A$2:$A$2198,0)), 0)</f>
        <v>16.1233333333333</v>
      </c>
      <c r="L69" s="39" t="n">
        <f aca="false">IFERROR(INDEX('Data 2'!$M$2:$M$2198,MATCH(J69,'Data 2'!$A$2:$A$2198,0)), 0)</f>
        <v>85.945</v>
      </c>
      <c r="M69" s="36"/>
      <c r="N69" s="36"/>
      <c r="O69" s="36"/>
      <c r="P69" s="34" t="s">
        <v>233</v>
      </c>
      <c r="Q69" s="39" t="n">
        <f aca="false">IFERROR(INDEX('Data 2'!$L$2:$L$2198,MATCH(P69,'Data 2'!$A$2:$A$2198,0)), 0)</f>
        <v>32.1466666666667</v>
      </c>
      <c r="R69" s="39" t="n">
        <f aca="false">IFERROR(INDEX('Data 2'!$M$2:$M$2198,MATCH(P69,'Data 2'!$A$2:$A$2198,0)), 0)</f>
        <v>-12.21375</v>
      </c>
      <c r="S69" s="34" t="s">
        <v>247</v>
      </c>
      <c r="T69" s="39" t="n">
        <f aca="false">IFERROR(INDEX('Data 2'!$L$2:$L$2198,MATCH(S69,'Data 2'!$A$2:$A$2198,0)), 0)</f>
        <v>80.6433333333333</v>
      </c>
      <c r="U69" s="39" t="n">
        <f aca="false">IFERROR(INDEX('Data 2'!$M$2:$M$2198,MATCH(S69,'Data 2'!$A$2:$A$2198,0)), 0)</f>
        <v>109.85375</v>
      </c>
      <c r="V69" s="34" t="s">
        <v>338</v>
      </c>
      <c r="W69" s="39" t="n">
        <f aca="false">IFERROR(INDEX('Data 2'!$L$2:$L$2198,MATCH(V69,'Data 2'!$A$2:$A$2198,0)), 0)</f>
        <v>-55.0933333333333</v>
      </c>
      <c r="X69" s="39" t="n">
        <f aca="false">IFERROR(INDEX('Data 2'!$M$2:$M$2198,MATCH(V69,'Data 2'!$A$2:$A$2198,0)), 0)</f>
        <v>19.93</v>
      </c>
      <c r="Y69" s="37"/>
      <c r="Z69" s="37"/>
    </row>
    <row r="70" customFormat="false" ht="15.75" hidden="false" customHeight="true" outlineLevel="0" collapsed="false">
      <c r="A70" s="37"/>
      <c r="B70" s="37"/>
      <c r="C70" s="37"/>
      <c r="D70" s="34" t="s">
        <v>302</v>
      </c>
      <c r="E70" s="39" t="n">
        <f aca="false">IFERROR(INDEX('Data 2'!$L$2:$L$2198,MATCH(D70,'Data 2'!$A$2:$A$2198,0)), 0)</f>
        <v>-83.54</v>
      </c>
      <c r="F70" s="39" t="n">
        <f aca="false">IFERROR(INDEX('Data 2'!$M$2:$M$2198,MATCH(D70,'Data 2'!$A$2:$A$2198,0)), 0)</f>
        <v>-27.4525</v>
      </c>
      <c r="H70" s="36"/>
      <c r="I70" s="36"/>
      <c r="J70" s="34" t="s">
        <v>150</v>
      </c>
      <c r="K70" s="39" t="n">
        <f aca="false">IFERROR(INDEX('Data 2'!$L$2:$L$2198,MATCH(J70,'Data 2'!$A$2:$A$2198,0)), 0)</f>
        <v>9.21333333333333</v>
      </c>
      <c r="L70" s="39" t="n">
        <f aca="false">IFERROR(INDEX('Data 2'!$M$2:$M$2198,MATCH(J70,'Data 2'!$A$2:$A$2198,0)), 0)</f>
        <v>74.71125</v>
      </c>
      <c r="M70" s="36"/>
      <c r="N70" s="36"/>
      <c r="O70" s="36"/>
      <c r="P70" s="34" t="s">
        <v>379</v>
      </c>
      <c r="Q70" s="39" t="n">
        <f aca="false">IFERROR(INDEX('Data 2'!$L$2:$L$2198,MATCH(P70,'Data 2'!$A$2:$A$2198,0)), 0)</f>
        <v>-5.97333333333333</v>
      </c>
      <c r="R70" s="39" t="n">
        <f aca="false">IFERROR(INDEX('Data 2'!$M$2:$M$2198,MATCH(P70,'Data 2'!$A$2:$A$2198,0)), 0)</f>
        <v>18.19875</v>
      </c>
      <c r="S70" s="34" t="s">
        <v>90</v>
      </c>
      <c r="T70" s="39" t="n">
        <f aca="false">IFERROR(INDEX('Data 2'!$L$2:$L$2198,MATCH(S70,'Data 2'!$A$2:$A$2198,0)), 0)</f>
        <v>79.8433333333334</v>
      </c>
      <c r="U70" s="39" t="n">
        <f aca="false">IFERROR(INDEX('Data 2'!$M$2:$M$2198,MATCH(S70,'Data 2'!$A$2:$A$2198,0)), 0)</f>
        <v>-5.90375</v>
      </c>
      <c r="V70" s="34" t="s">
        <v>244</v>
      </c>
      <c r="W70" s="39" t="n">
        <f aca="false">IFERROR(INDEX('Data 2'!$L$2:$L$2198,MATCH(V70,'Data 2'!$A$2:$A$2198,0)), 0)</f>
        <v>119.433333333333</v>
      </c>
      <c r="X70" s="39" t="n">
        <f aca="false">IFERROR(INDEX('Data 2'!$M$2:$M$2198,MATCH(V70,'Data 2'!$A$2:$A$2198,0)), 0)</f>
        <v>36.765</v>
      </c>
      <c r="Y70" s="37"/>
      <c r="Z70" s="37"/>
    </row>
    <row r="71" customFormat="false" ht="15.75" hidden="false" customHeight="true" outlineLevel="0" collapsed="false">
      <c r="A71" s="37"/>
      <c r="B71" s="37"/>
      <c r="C71" s="37"/>
      <c r="D71" s="34" t="s">
        <v>324</v>
      </c>
      <c r="E71" s="39" t="n">
        <f aca="false">IFERROR(INDEX('Data 2'!$L$2:$L$2198,MATCH(D71,'Data 2'!$A$2:$A$2198,0)), 0)</f>
        <v>-76.45</v>
      </c>
      <c r="F71" s="39" t="n">
        <f aca="false">IFERROR(INDEX('Data 2'!$M$2:$M$2198,MATCH(D71,'Data 2'!$A$2:$A$2198,0)), 0)</f>
        <v>-170.41875</v>
      </c>
      <c r="H71" s="36"/>
      <c r="I71" s="36"/>
      <c r="J71" s="34" t="s">
        <v>380</v>
      </c>
      <c r="K71" s="39" t="n">
        <f aca="false">IFERROR(INDEX('Data 2'!$L$2:$L$2198,MATCH(J71,'Data 2'!$A$2:$A$2198,0)), 0)</f>
        <v>28.65</v>
      </c>
      <c r="L71" s="39" t="n">
        <f aca="false">IFERROR(INDEX('Data 2'!$M$2:$M$2198,MATCH(J71,'Data 2'!$A$2:$A$2198,0)), 0)</f>
        <v>3.62875</v>
      </c>
      <c r="M71" s="36"/>
      <c r="N71" s="36"/>
      <c r="O71" s="36"/>
      <c r="P71" s="34" t="s">
        <v>381</v>
      </c>
      <c r="Q71" s="39" t="n">
        <f aca="false">IFERROR(INDEX('Data 2'!$L$2:$L$2198,MATCH(P71,'Data 2'!$A$2:$A$2198,0)), 0)</f>
        <v>99.1133333333333</v>
      </c>
      <c r="R71" s="39" t="n">
        <f aca="false">IFERROR(INDEX('Data 2'!$M$2:$M$2198,MATCH(P71,'Data 2'!$A$2:$A$2198,0)), 0)</f>
        <v>28.86375</v>
      </c>
      <c r="S71" s="34" t="s">
        <v>36</v>
      </c>
      <c r="T71" s="39" t="n">
        <f aca="false">IFERROR(INDEX('Data 2'!$L$2:$L$2198,MATCH(S71,'Data 2'!$A$2:$A$2198,0)), 0)</f>
        <v>51.71</v>
      </c>
      <c r="U71" s="39" t="n">
        <f aca="false">IFERROR(INDEX('Data 2'!$M$2:$M$2198,MATCH(S71,'Data 2'!$A$2:$A$2198,0)), 0)</f>
        <v>81.9225</v>
      </c>
      <c r="V71" s="34" t="s">
        <v>224</v>
      </c>
      <c r="W71" s="39" t="n">
        <f aca="false">IFERROR(INDEX('Data 2'!$L$2:$L$2198,MATCH(V71,'Data 2'!$A$2:$A$2198,0)), 0)</f>
        <v>103.873333333333</v>
      </c>
      <c r="X71" s="39" t="n">
        <f aca="false">IFERROR(INDEX('Data 2'!$M$2:$M$2198,MATCH(V71,'Data 2'!$A$2:$A$2198,0)), 0)</f>
        <v>75.925</v>
      </c>
      <c r="Y71" s="37"/>
      <c r="Z71" s="37"/>
    </row>
    <row r="72" customFormat="false" ht="15.75" hidden="false" customHeight="true" outlineLevel="0" collapsed="false">
      <c r="A72" s="37"/>
      <c r="B72" s="37"/>
      <c r="C72" s="37"/>
      <c r="D72" s="34" t="s">
        <v>305</v>
      </c>
      <c r="E72" s="39" t="n">
        <f aca="false">IFERROR(INDEX('Data 2'!$L$2:$L$2198,MATCH(D72,'Data 2'!$A$2:$A$2198,0)), 0)</f>
        <v>-80.0066666666667</v>
      </c>
      <c r="F72" s="39" t="n">
        <f aca="false">IFERROR(INDEX('Data 2'!$M$2:$M$2198,MATCH(D72,'Data 2'!$A$2:$A$2198,0)), 0)</f>
        <v>-47.76375</v>
      </c>
      <c r="H72" s="36"/>
      <c r="I72" s="36"/>
      <c r="J72" s="34" t="s">
        <v>382</v>
      </c>
      <c r="K72" s="39" t="n">
        <f aca="false">IFERROR(INDEX('Data 2'!$L$2:$L$2198,MATCH(J72,'Data 2'!$A$2:$A$2198,0)), 0)</f>
        <v>-39.29</v>
      </c>
      <c r="L72" s="39" t="n">
        <f aca="false">IFERROR(INDEX('Data 2'!$M$2:$M$2198,MATCH(J72,'Data 2'!$A$2:$A$2198,0)), 0)</f>
        <v>-70.49</v>
      </c>
      <c r="M72" s="36"/>
      <c r="N72" s="36"/>
      <c r="O72" s="36"/>
      <c r="P72" s="34" t="s">
        <v>383</v>
      </c>
      <c r="Q72" s="39" t="n">
        <f aca="false">IFERROR(INDEX('Data 2'!$L$2:$L$2198,MATCH(P72,'Data 2'!$A$2:$A$2198,0)), 0)</f>
        <v>108.013333333333</v>
      </c>
      <c r="R72" s="39" t="n">
        <f aca="false">IFERROR(INDEX('Data 2'!$M$2:$M$2198,MATCH(P72,'Data 2'!$A$2:$A$2198,0)), 0)</f>
        <v>50.36375</v>
      </c>
      <c r="S72" s="34" t="s">
        <v>177</v>
      </c>
      <c r="T72" s="39" t="n">
        <f aca="false">IFERROR(INDEX('Data 2'!$L$2:$L$2198,MATCH(S72,'Data 2'!$A$2:$A$2198,0)), 0)</f>
        <v>93.15</v>
      </c>
      <c r="U72" s="39" t="n">
        <f aca="false">IFERROR(INDEX('Data 2'!$M$2:$M$2198,MATCH(S72,'Data 2'!$A$2:$A$2198,0)), 0)</f>
        <v>66.21</v>
      </c>
      <c r="V72" s="34" t="s">
        <v>341</v>
      </c>
      <c r="W72" s="39" t="n">
        <f aca="false">IFERROR(INDEX('Data 2'!$L$2:$L$2198,MATCH(V72,'Data 2'!$A$2:$A$2198,0)), 0)</f>
        <v>-58.8766666666667</v>
      </c>
      <c r="X72" s="39" t="n">
        <f aca="false">IFERROR(INDEX('Data 2'!$M$2:$M$2198,MATCH(V72,'Data 2'!$A$2:$A$2198,0)), 0)</f>
        <v>-73.3875</v>
      </c>
      <c r="Y72" s="37"/>
      <c r="Z72" s="37"/>
    </row>
    <row r="73" customFormat="false" ht="15.75" hidden="false" customHeight="true" outlineLevel="0" collapsed="false">
      <c r="A73" s="37"/>
      <c r="B73" s="37"/>
      <c r="C73" s="37"/>
      <c r="D73" s="34" t="s">
        <v>77</v>
      </c>
      <c r="E73" s="39" t="n">
        <f aca="false">IFERROR(INDEX('Data 2'!$L$2:$L$2198,MATCH(D73,'Data 2'!$A$2:$A$2198,0)), 0)</f>
        <v>-97.6333333333333</v>
      </c>
      <c r="F73" s="39" t="n">
        <f aca="false">IFERROR(INDEX('Data 2'!$M$2:$M$2198,MATCH(D73,'Data 2'!$A$2:$A$2198,0)), 0)</f>
        <v>-110.6275</v>
      </c>
      <c r="H73" s="36"/>
      <c r="I73" s="36"/>
      <c r="J73" s="34" t="s">
        <v>151</v>
      </c>
      <c r="K73" s="39" t="n">
        <f aca="false">IFERROR(INDEX('Data 2'!$L$2:$L$2198,MATCH(J73,'Data 2'!$A$2:$A$2198,0)), 0)</f>
        <v>86.2033333333333</v>
      </c>
      <c r="L73" s="39" t="n">
        <f aca="false">IFERROR(INDEX('Data 2'!$M$2:$M$2198,MATCH(J73,'Data 2'!$A$2:$A$2198,0)), 0)</f>
        <v>35.47</v>
      </c>
      <c r="M73" s="36"/>
      <c r="N73" s="36"/>
      <c r="O73" s="36"/>
      <c r="P73" s="34" t="s">
        <v>384</v>
      </c>
      <c r="Q73" s="39" t="n">
        <f aca="false">IFERROR(INDEX('Data 2'!$L$2:$L$2198,MATCH(P73,'Data 2'!$A$2:$A$2198,0)), 0)</f>
        <v>28.1266666666667</v>
      </c>
      <c r="R73" s="39" t="n">
        <f aca="false">IFERROR(INDEX('Data 2'!$M$2:$M$2198,MATCH(P73,'Data 2'!$A$2:$A$2198,0)), 0)</f>
        <v>34.0775</v>
      </c>
      <c r="S73" s="34" t="s">
        <v>73</v>
      </c>
      <c r="T73" s="39" t="n">
        <f aca="false">IFERROR(INDEX('Data 2'!$L$2:$L$2198,MATCH(S73,'Data 2'!$A$2:$A$2198,0)), 0)</f>
        <v>-21.05</v>
      </c>
      <c r="U73" s="39" t="n">
        <f aca="false">IFERROR(INDEX('Data 2'!$M$2:$M$2198,MATCH(S73,'Data 2'!$A$2:$A$2198,0)), 0)</f>
        <v>101.3275</v>
      </c>
      <c r="V73" s="34" t="s">
        <v>317</v>
      </c>
      <c r="W73" s="39" t="n">
        <f aca="false">IFERROR(INDEX('Data 2'!$L$2:$L$2198,MATCH(V73,'Data 2'!$A$2:$A$2198,0)), 0)</f>
        <v>-51.6166666666667</v>
      </c>
      <c r="X73" s="39" t="n">
        <f aca="false">IFERROR(INDEX('Data 2'!$M$2:$M$2198,MATCH(V73,'Data 2'!$A$2:$A$2198,0)), 0)</f>
        <v>-22.982375</v>
      </c>
      <c r="Y73" s="37"/>
      <c r="Z73" s="37"/>
    </row>
    <row r="74" customFormat="false" ht="15.75" hidden="false" customHeight="true" outlineLevel="0" collapsed="false">
      <c r="A74" s="37"/>
      <c r="B74" s="37"/>
      <c r="C74" s="37"/>
      <c r="D74" s="34" t="s">
        <v>308</v>
      </c>
      <c r="E74" s="39" t="n">
        <f aca="false">IFERROR(INDEX('Data 2'!$L$2:$L$2198,MATCH(D74,'Data 2'!$A$2:$A$2198,0)), 0)</f>
        <v>-67.1766666666667</v>
      </c>
      <c r="F74" s="39" t="n">
        <f aca="false">IFERROR(INDEX('Data 2'!$M$2:$M$2198,MATCH(D74,'Data 2'!$A$2:$A$2198,0)), 0)</f>
        <v>-63.739125</v>
      </c>
      <c r="H74" s="36"/>
      <c r="I74" s="36"/>
      <c r="J74" s="34" t="s">
        <v>190</v>
      </c>
      <c r="K74" s="39" t="n">
        <f aca="false">IFERROR(INDEX('Data 2'!$L$2:$L$2198,MATCH(J74,'Data 2'!$A$2:$A$2198,0)), 0)</f>
        <v>104.733333333333</v>
      </c>
      <c r="L74" s="39" t="n">
        <f aca="false">IFERROR(INDEX('Data 2'!$M$2:$M$2198,MATCH(J74,'Data 2'!$A$2:$A$2198,0)), 0)</f>
        <v>-5.6225</v>
      </c>
      <c r="M74" s="36"/>
      <c r="N74" s="36"/>
      <c r="O74" s="36"/>
      <c r="P74" s="34" t="s">
        <v>206</v>
      </c>
      <c r="Q74" s="39" t="n">
        <f aca="false">IFERROR(INDEX('Data 2'!$L$2:$L$2198,MATCH(P74,'Data 2'!$A$2:$A$2198,0)), 0)</f>
        <v>-35.94</v>
      </c>
      <c r="R74" s="39" t="n">
        <f aca="false">IFERROR(INDEX('Data 2'!$M$2:$M$2198,MATCH(P74,'Data 2'!$A$2:$A$2198,0)), 0)</f>
        <v>101.60875</v>
      </c>
      <c r="S74" s="34" t="s">
        <v>334</v>
      </c>
      <c r="T74" s="39" t="n">
        <f aca="false">IFERROR(INDEX('Data 2'!$L$2:$L$2198,MATCH(S74,'Data 2'!$A$2:$A$2198,0)), 0)</f>
        <v>11.0666666666667</v>
      </c>
      <c r="U74" s="39" t="n">
        <f aca="false">IFERROR(INDEX('Data 2'!$M$2:$M$2198,MATCH(S74,'Data 2'!$A$2:$A$2198,0)), 0)</f>
        <v>75.59375</v>
      </c>
      <c r="V74" s="34" t="s">
        <v>343</v>
      </c>
      <c r="W74" s="39" t="n">
        <f aca="false">IFERROR(INDEX('Data 2'!$L$2:$L$2198,MATCH(V74,'Data 2'!$A$2:$A$2198,0)), 0)</f>
        <v>-34.9433333333333</v>
      </c>
      <c r="X74" s="39" t="n">
        <f aca="false">IFERROR(INDEX('Data 2'!$M$2:$M$2198,MATCH(V74,'Data 2'!$A$2:$A$2198,0)), 0)</f>
        <v>-34.50375</v>
      </c>
      <c r="Y74" s="37"/>
      <c r="Z74" s="37"/>
    </row>
    <row r="75" customFormat="false" ht="15.75" hidden="false" customHeight="true" outlineLevel="0" collapsed="false">
      <c r="A75" s="37"/>
      <c r="B75" s="37"/>
      <c r="C75" s="37"/>
      <c r="D75" s="34" t="s">
        <v>160</v>
      </c>
      <c r="E75" s="39" t="n">
        <f aca="false">IFERROR(INDEX('Data 2'!$L$2:$L$2198,MATCH(D75,'Data 2'!$A$2:$A$2198,0)), 0)</f>
        <v>-14.9533333333333</v>
      </c>
      <c r="F75" s="39" t="n">
        <f aca="false">IFERROR(INDEX('Data 2'!$M$2:$M$2198,MATCH(D75,'Data 2'!$A$2:$A$2198,0)), 0)</f>
        <v>-24.78625</v>
      </c>
      <c r="H75" s="36"/>
      <c r="I75" s="36"/>
      <c r="J75" s="34" t="s">
        <v>120</v>
      </c>
      <c r="K75" s="39" t="n">
        <f aca="false">IFERROR(INDEX('Data 2'!$L$2:$L$2198,MATCH(J75,'Data 2'!$A$2:$A$2198,0)), 0)</f>
        <v>112.243333333333</v>
      </c>
      <c r="L75" s="39" t="n">
        <f aca="false">IFERROR(INDEX('Data 2'!$M$2:$M$2198,MATCH(J75,'Data 2'!$A$2:$A$2198,0)), 0)</f>
        <v>24.6175</v>
      </c>
      <c r="M75" s="36"/>
      <c r="N75" s="36"/>
      <c r="O75" s="36"/>
      <c r="P75" s="34" t="s">
        <v>385</v>
      </c>
      <c r="Q75" s="39" t="n">
        <f aca="false">IFERROR(INDEX('Data 2'!$L$2:$L$2198,MATCH(P75,'Data 2'!$A$2:$A$2198,0)), 0)</f>
        <v>82.7966666666667</v>
      </c>
      <c r="R75" s="39" t="n">
        <f aca="false">IFERROR(INDEX('Data 2'!$M$2:$M$2198,MATCH(P75,'Data 2'!$A$2:$A$2198,0)), 0)</f>
        <v>77.565</v>
      </c>
      <c r="S75" s="34" t="s">
        <v>336</v>
      </c>
      <c r="T75" s="39" t="n">
        <f aca="false">IFERROR(INDEX('Data 2'!$L$2:$L$2198,MATCH(S75,'Data 2'!$A$2:$A$2198,0)), 0)</f>
        <v>-21.0266666666667</v>
      </c>
      <c r="U75" s="39" t="n">
        <f aca="false">IFERROR(INDEX('Data 2'!$M$2:$M$2198,MATCH(S75,'Data 2'!$A$2:$A$2198,0)), 0)</f>
        <v>76.4225</v>
      </c>
      <c r="V75" s="34" t="s">
        <v>346</v>
      </c>
      <c r="W75" s="39" t="n">
        <f aca="false">IFERROR(INDEX('Data 2'!$L$2:$L$2198,MATCH(V75,'Data 2'!$A$2:$A$2198,0)), 0)</f>
        <v>8.31666666666667</v>
      </c>
      <c r="X75" s="39" t="n">
        <f aca="false">IFERROR(INDEX('Data 2'!$M$2:$M$2198,MATCH(V75,'Data 2'!$A$2:$A$2198,0)), 0)</f>
        <v>18.87375</v>
      </c>
      <c r="Y75" s="37"/>
      <c r="Z75" s="37"/>
    </row>
    <row r="76" customFormat="false" ht="15.75" hidden="false" customHeight="true" outlineLevel="0" collapsed="false">
      <c r="A76" s="37"/>
      <c r="B76" s="37"/>
      <c r="C76" s="37"/>
      <c r="D76" s="34" t="s">
        <v>134</v>
      </c>
      <c r="E76" s="39" t="n">
        <f aca="false">IFERROR(INDEX('Data 2'!$L$2:$L$2198,MATCH(D76,'Data 2'!$A$2:$A$2198,0)), 0)</f>
        <v>-113.886666666667</v>
      </c>
      <c r="F76" s="39" t="n">
        <f aca="false">IFERROR(INDEX('Data 2'!$M$2:$M$2198,MATCH(D76,'Data 2'!$A$2:$A$2198,0)), 0)</f>
        <v>-97.9</v>
      </c>
      <c r="H76" s="36"/>
      <c r="I76" s="36"/>
      <c r="J76" s="34" t="s">
        <v>57</v>
      </c>
      <c r="K76" s="39" t="n">
        <f aca="false">IFERROR(INDEX('Data 2'!$L$2:$L$2198,MATCH(J76,'Data 2'!$A$2:$A$2198,0)), 0)</f>
        <v>-88.5066666666667</v>
      </c>
      <c r="L76" s="39" t="n">
        <f aca="false">IFERROR(INDEX('Data 2'!$M$2:$M$2198,MATCH(J76,'Data 2'!$A$2:$A$2198,0)), 0)</f>
        <v>29.98125</v>
      </c>
      <c r="M76" s="36"/>
      <c r="N76" s="36"/>
      <c r="O76" s="36"/>
      <c r="P76" s="34" t="s">
        <v>386</v>
      </c>
      <c r="Q76" s="39" t="n">
        <f aca="false">IFERROR(INDEX('Data 2'!$L$2:$L$2198,MATCH(P76,'Data 2'!$A$2:$A$2198,0)), 0)</f>
        <v>89.5966666666667</v>
      </c>
      <c r="R76" s="39" t="n">
        <f aca="false">IFERROR(INDEX('Data 2'!$M$2:$M$2198,MATCH(P76,'Data 2'!$A$2:$A$2198,0)), 0)</f>
        <v>175.14125</v>
      </c>
      <c r="S76" s="34" t="s">
        <v>55</v>
      </c>
      <c r="T76" s="39" t="n">
        <f aca="false">IFERROR(INDEX('Data 2'!$L$2:$L$2198,MATCH(S76,'Data 2'!$A$2:$A$2198,0)), 0)</f>
        <v>-41.9266666666667</v>
      </c>
      <c r="U76" s="39" t="n">
        <f aca="false">IFERROR(INDEX('Data 2'!$M$2:$M$2198,MATCH(S76,'Data 2'!$A$2:$A$2198,0)), 0)</f>
        <v>77.64125</v>
      </c>
      <c r="V76" s="34" t="s">
        <v>349</v>
      </c>
      <c r="W76" s="39" t="n">
        <f aca="false">IFERROR(INDEX('Data 2'!$L$2:$L$2198,MATCH(V76,'Data 2'!$A$2:$A$2198,0)), 0)</f>
        <v>102.23</v>
      </c>
      <c r="X76" s="39" t="n">
        <f aca="false">IFERROR(INDEX('Data 2'!$M$2:$M$2198,MATCH(V76,'Data 2'!$A$2:$A$2198,0)), 0)</f>
        <v>123.415</v>
      </c>
      <c r="Y76" s="37"/>
      <c r="Z76" s="37"/>
    </row>
    <row r="77" customFormat="false" ht="15.75" hidden="false" customHeight="true" outlineLevel="0" collapsed="false">
      <c r="A77" s="37"/>
      <c r="B77" s="37"/>
      <c r="C77" s="37"/>
      <c r="D77" s="34" t="s">
        <v>107</v>
      </c>
      <c r="E77" s="39" t="n">
        <f aca="false">IFERROR(INDEX('Data 2'!$L$2:$L$2198,MATCH(D77,'Data 2'!$A$2:$A$2198,0)), 0)</f>
        <v>-79.1866666666667</v>
      </c>
      <c r="F77" s="39" t="n">
        <f aca="false">IFERROR(INDEX('Data 2'!$M$2:$M$2198,MATCH(D77,'Data 2'!$A$2:$A$2198,0)), 0)</f>
        <v>-89.76125</v>
      </c>
      <c r="H77" s="36"/>
      <c r="I77" s="36"/>
      <c r="J77" s="34" t="s">
        <v>387</v>
      </c>
      <c r="K77" s="39" t="n">
        <f aca="false">IFERROR(INDEX('Data 2'!$L$2:$L$2198,MATCH(J77,'Data 2'!$A$2:$A$2198,0)), 0)</f>
        <v>-56.72</v>
      </c>
      <c r="L77" s="39" t="n">
        <f aca="false">IFERROR(INDEX('Data 2'!$M$2:$M$2198,MATCH(J77,'Data 2'!$A$2:$A$2198,0)), 0)</f>
        <v>-9.8875</v>
      </c>
      <c r="M77" s="36"/>
      <c r="N77" s="36"/>
      <c r="O77" s="36"/>
      <c r="P77" s="34" t="s">
        <v>388</v>
      </c>
      <c r="Q77" s="39" t="n">
        <f aca="false">IFERROR(INDEX('Data 2'!$L$2:$L$2198,MATCH(P77,'Data 2'!$A$2:$A$2198,0)), 0)</f>
        <v>0</v>
      </c>
      <c r="R77" s="39" t="n">
        <f aca="false">IFERROR(INDEX('Data 2'!$M$2:$M$2198,MATCH(P77,'Data 2'!$A$2:$A$2198,0)), 0)</f>
        <v>0</v>
      </c>
      <c r="S77" s="34" t="s">
        <v>98</v>
      </c>
      <c r="T77" s="39" t="n">
        <f aca="false">IFERROR(INDEX('Data 2'!$L$2:$L$2198,MATCH(S77,'Data 2'!$A$2:$A$2198,0)), 0)</f>
        <v>24.0533333333333</v>
      </c>
      <c r="U77" s="39" t="n">
        <f aca="false">IFERROR(INDEX('Data 2'!$M$2:$M$2198,MATCH(S77,'Data 2'!$A$2:$A$2198,0)), 0)</f>
        <v>91.96375</v>
      </c>
      <c r="V77" s="34" t="s">
        <v>352</v>
      </c>
      <c r="W77" s="39" t="n">
        <f aca="false">IFERROR(INDEX('Data 2'!$L$2:$L$2198,MATCH(V77,'Data 2'!$A$2:$A$2198,0)), 0)</f>
        <v>-30.1866666666667</v>
      </c>
      <c r="X77" s="39" t="n">
        <f aca="false">IFERROR(INDEX('Data 2'!$M$2:$M$2198,MATCH(V77,'Data 2'!$A$2:$A$2198,0)), 0)</f>
        <v>63.405</v>
      </c>
      <c r="Y77" s="37"/>
      <c r="Z77" s="37"/>
    </row>
    <row r="78" customFormat="false" ht="15.75" hidden="false" customHeight="true" outlineLevel="0" collapsed="false">
      <c r="A78" s="37"/>
      <c r="B78" s="37"/>
      <c r="C78" s="37"/>
      <c r="D78" s="34" t="s">
        <v>198</v>
      </c>
      <c r="E78" s="39" t="n">
        <f aca="false">IFERROR(INDEX('Data 2'!$L$2:$L$2198,MATCH(D78,'Data 2'!$A$2:$A$2198,0)), 0)</f>
        <v>-84.5966666666667</v>
      </c>
      <c r="F78" s="39" t="n">
        <f aca="false">IFERROR(INDEX('Data 2'!$M$2:$M$2198,MATCH(D78,'Data 2'!$A$2:$A$2198,0)), 0)</f>
        <v>-43.54625</v>
      </c>
      <c r="H78" s="36"/>
      <c r="I78" s="36"/>
      <c r="J78" s="34" t="s">
        <v>239</v>
      </c>
      <c r="K78" s="39" t="n">
        <f aca="false">IFERROR(INDEX('Data 2'!$L$2:$L$2198,MATCH(J78,'Data 2'!$A$2:$A$2198,0)), 0)</f>
        <v>28.43</v>
      </c>
      <c r="L78" s="39" t="n">
        <f aca="false">IFERROR(INDEX('Data 2'!$M$2:$M$2198,MATCH(J78,'Data 2'!$A$2:$A$2198,0)), 0)</f>
        <v>133.5325</v>
      </c>
      <c r="M78" s="36"/>
      <c r="N78" s="36"/>
      <c r="O78" s="36"/>
      <c r="P78" s="34" t="s">
        <v>389</v>
      </c>
      <c r="Q78" s="39" t="n">
        <f aca="false">IFERROR(INDEX('Data 2'!$L$2:$L$2198,MATCH(P78,'Data 2'!$A$2:$A$2198,0)), 0)</f>
        <v>-63.3166666666667</v>
      </c>
      <c r="R78" s="39" t="n">
        <f aca="false">IFERROR(INDEX('Data 2'!$M$2:$M$2198,MATCH(P78,'Data 2'!$A$2:$A$2198,0)), 0)</f>
        <v>-53.87875</v>
      </c>
      <c r="S78" s="34" t="s">
        <v>243</v>
      </c>
      <c r="T78" s="39" t="n">
        <f aca="false">IFERROR(INDEX('Data 2'!$L$2:$L$2198,MATCH(S78,'Data 2'!$A$2:$A$2198,0)), 0)</f>
        <v>62.8033333333333</v>
      </c>
      <c r="U78" s="39" t="n">
        <f aca="false">IFERROR(INDEX('Data 2'!$M$2:$M$2198,MATCH(S78,'Data 2'!$A$2:$A$2198,0)), 0)</f>
        <v>122.18125</v>
      </c>
      <c r="V78" s="34" t="s">
        <v>319</v>
      </c>
      <c r="W78" s="39" t="n">
        <f aca="false">IFERROR(INDEX('Data 2'!$L$2:$L$2198,MATCH(V78,'Data 2'!$A$2:$A$2198,0)), 0)</f>
        <v>6.56333333333333</v>
      </c>
      <c r="X78" s="39" t="n">
        <f aca="false">IFERROR(INDEX('Data 2'!$M$2:$M$2198,MATCH(V78,'Data 2'!$A$2:$A$2198,0)), 0)</f>
        <v>-24.7375</v>
      </c>
      <c r="Y78" s="37"/>
      <c r="Z78" s="37"/>
    </row>
    <row r="79" customFormat="false" ht="15.75" hidden="false" customHeight="true" outlineLevel="0" collapsed="false">
      <c r="A79" s="37"/>
      <c r="B79" s="37"/>
      <c r="C79" s="37"/>
      <c r="D79" s="34" t="s">
        <v>123</v>
      </c>
      <c r="E79" s="39" t="n">
        <f aca="false">IFERROR(INDEX('Data 2'!$L$2:$L$2198,MATCH(D79,'Data 2'!$A$2:$A$2198,0)), 0)</f>
        <v>20.8033333333333</v>
      </c>
      <c r="F79" s="39" t="n">
        <f aca="false">IFERROR(INDEX('Data 2'!$M$2:$M$2198,MATCH(D79,'Data 2'!$A$2:$A$2198,0)), 0)</f>
        <v>43.575</v>
      </c>
      <c r="H79" s="36"/>
      <c r="I79" s="36"/>
      <c r="J79" s="34" t="s">
        <v>145</v>
      </c>
      <c r="K79" s="39" t="n">
        <f aca="false">IFERROR(INDEX('Data 2'!$L$2:$L$2198,MATCH(J79,'Data 2'!$A$2:$A$2198,0)), 0)</f>
        <v>-114.863333333333</v>
      </c>
      <c r="L79" s="39" t="n">
        <f aca="false">IFERROR(INDEX('Data 2'!$M$2:$M$2198,MATCH(J79,'Data 2'!$A$2:$A$2198,0)), 0)</f>
        <v>-129.15875</v>
      </c>
      <c r="M79" s="36"/>
      <c r="N79" s="36"/>
      <c r="O79" s="36"/>
      <c r="P79" s="34" t="s">
        <v>390</v>
      </c>
      <c r="Q79" s="39" t="n">
        <f aca="false">IFERROR(INDEX('Data 2'!$L$2:$L$2198,MATCH(P79,'Data 2'!$A$2:$A$2198,0)), 0)</f>
        <v>-91.0966666666667</v>
      </c>
      <c r="R79" s="39" t="n">
        <f aca="false">IFERROR(INDEX('Data 2'!$M$2:$M$2198,MATCH(P79,'Data 2'!$A$2:$A$2198,0)), 0)</f>
        <v>-69.45625</v>
      </c>
      <c r="S79" s="34" t="s">
        <v>155</v>
      </c>
      <c r="T79" s="39" t="n">
        <f aca="false">IFERROR(INDEX('Data 2'!$L$2:$L$2198,MATCH(S79,'Data 2'!$A$2:$A$2198,0)), 0)</f>
        <v>-63.4633333333333</v>
      </c>
      <c r="U79" s="39" t="n">
        <f aca="false">IFERROR(INDEX('Data 2'!$M$2:$M$2198,MATCH(S79,'Data 2'!$A$2:$A$2198,0)), 0)</f>
        <v>-55.61125</v>
      </c>
      <c r="V79" s="34" t="s">
        <v>293</v>
      </c>
      <c r="W79" s="39" t="n">
        <f aca="false">IFERROR(INDEX('Data 2'!$L$2:$L$2198,MATCH(V79,'Data 2'!$A$2:$A$2198,0)), 0)</f>
        <v>-59.95</v>
      </c>
      <c r="X79" s="39" t="n">
        <f aca="false">IFERROR(INDEX('Data 2'!$M$2:$M$2198,MATCH(V79,'Data 2'!$A$2:$A$2198,0)), 0)</f>
        <v>-69.39</v>
      </c>
      <c r="Y79" s="37"/>
      <c r="Z79" s="37"/>
    </row>
    <row r="80" customFormat="false" ht="15.75" hidden="false" customHeight="true" outlineLevel="0" collapsed="false">
      <c r="A80" s="37"/>
      <c r="B80" s="37"/>
      <c r="C80" s="37"/>
      <c r="D80" s="34" t="s">
        <v>312</v>
      </c>
      <c r="E80" s="39" t="n">
        <f aca="false">IFERROR(INDEX('Data 2'!$L$2:$L$2198,MATCH(D80,'Data 2'!$A$2:$A$2198,0)), 0)</f>
        <v>124.383333333333</v>
      </c>
      <c r="F80" s="39" t="n">
        <f aca="false">IFERROR(INDEX('Data 2'!$M$2:$M$2198,MATCH(D80,'Data 2'!$A$2:$A$2198,0)), 0)</f>
        <v>89.6575</v>
      </c>
      <c r="H80" s="36"/>
      <c r="I80" s="36"/>
      <c r="J80" s="34" t="s">
        <v>391</v>
      </c>
      <c r="K80" s="39" t="n">
        <f aca="false">IFERROR(INDEX('Data 2'!$L$2:$L$2198,MATCH(J80,'Data 2'!$A$2:$A$2198,0)), 0)</f>
        <v>78.85</v>
      </c>
      <c r="L80" s="39" t="n">
        <f aca="false">IFERROR(INDEX('Data 2'!$M$2:$M$2198,MATCH(J80,'Data 2'!$A$2:$A$2198,0)), 0)</f>
        <v>-7.79</v>
      </c>
      <c r="M80" s="36"/>
      <c r="N80" s="36"/>
      <c r="O80" s="36"/>
      <c r="P80" s="34" t="s">
        <v>392</v>
      </c>
      <c r="Q80" s="39" t="n">
        <f aca="false">IFERROR(INDEX('Data 2'!$L$2:$L$2198,MATCH(P80,'Data 2'!$A$2:$A$2198,0)), 0)</f>
        <v>58.18</v>
      </c>
      <c r="R80" s="39" t="n">
        <f aca="false">IFERROR(INDEX('Data 2'!$M$2:$M$2198,MATCH(P80,'Data 2'!$A$2:$A$2198,0)), 0)</f>
        <v>103.35625</v>
      </c>
      <c r="S80" s="34" t="s">
        <v>347</v>
      </c>
      <c r="T80" s="39" t="n">
        <f aca="false">IFERROR(INDEX('Data 2'!$L$2:$L$2198,MATCH(S80,'Data 2'!$A$2:$A$2198,0)), 0)</f>
        <v>35.0766666666667</v>
      </c>
      <c r="U80" s="39" t="n">
        <f aca="false">IFERROR(INDEX('Data 2'!$M$2:$M$2198,MATCH(S80,'Data 2'!$A$2:$A$2198,0)), 0)</f>
        <v>78.63375</v>
      </c>
      <c r="V80" s="34" t="s">
        <v>355</v>
      </c>
      <c r="W80" s="39" t="n">
        <f aca="false">IFERROR(INDEX('Data 2'!$L$2:$L$2198,MATCH(V80,'Data 2'!$A$2:$A$2198,0)), 0)</f>
        <v>-36.6233333333333</v>
      </c>
      <c r="X80" s="39" t="n">
        <f aca="false">IFERROR(INDEX('Data 2'!$M$2:$M$2198,MATCH(V80,'Data 2'!$A$2:$A$2198,0)), 0)</f>
        <v>-49.90625</v>
      </c>
      <c r="Y80" s="37"/>
      <c r="Z80" s="37"/>
    </row>
    <row r="81" customFormat="false" ht="15.75" hidden="false" customHeight="true" outlineLevel="0" collapsed="false">
      <c r="A81" s="37"/>
      <c r="B81" s="37"/>
      <c r="C81" s="37"/>
      <c r="D81" s="34" t="s">
        <v>326</v>
      </c>
      <c r="E81" s="39" t="n">
        <f aca="false">IFERROR(INDEX('Data 2'!$L$2:$L$2198,MATCH(D81,'Data 2'!$A$2:$A$2198,0)), 0)</f>
        <v>-18.61</v>
      </c>
      <c r="F81" s="39" t="n">
        <f aca="false">IFERROR(INDEX('Data 2'!$M$2:$M$2198,MATCH(D81,'Data 2'!$A$2:$A$2198,0)), 0)</f>
        <v>59.81375</v>
      </c>
      <c r="H81" s="36"/>
      <c r="I81" s="36"/>
      <c r="J81" s="34" t="s">
        <v>209</v>
      </c>
      <c r="K81" s="39" t="n">
        <f aca="false">IFERROR(INDEX('Data 2'!$L$2:$L$2198,MATCH(J81,'Data 2'!$A$2:$A$2198,0)), 0)</f>
        <v>62.0766666666667</v>
      </c>
      <c r="L81" s="39" t="n">
        <f aca="false">IFERROR(INDEX('Data 2'!$M$2:$M$2198,MATCH(J81,'Data 2'!$A$2:$A$2198,0)), 0)</f>
        <v>86.5</v>
      </c>
      <c r="M81" s="36"/>
      <c r="N81" s="36"/>
      <c r="O81" s="36"/>
      <c r="P81" s="34" t="s">
        <v>393</v>
      </c>
      <c r="Q81" s="39" t="n">
        <f aca="false">IFERROR(INDEX('Data 2'!$L$2:$L$2198,MATCH(P81,'Data 2'!$A$2:$A$2198,0)), 0)</f>
        <v>-92.8833333333333</v>
      </c>
      <c r="R81" s="39" t="n">
        <f aca="false">IFERROR(INDEX('Data 2'!$M$2:$M$2198,MATCH(P81,'Data 2'!$A$2:$A$2198,0)), 0)</f>
        <v>-75.73575</v>
      </c>
      <c r="S81" s="34" t="s">
        <v>350</v>
      </c>
      <c r="T81" s="39" t="n">
        <f aca="false">IFERROR(INDEX('Data 2'!$L$2:$L$2198,MATCH(S81,'Data 2'!$A$2:$A$2198,0)), 0)</f>
        <v>-50.9733333333333</v>
      </c>
      <c r="U81" s="39" t="n">
        <f aca="false">IFERROR(INDEX('Data 2'!$M$2:$M$2198,MATCH(S81,'Data 2'!$A$2:$A$2198,0)), 0)</f>
        <v>77.4975</v>
      </c>
      <c r="V81" s="34" t="s">
        <v>358</v>
      </c>
      <c r="W81" s="39" t="n">
        <f aca="false">IFERROR(INDEX('Data 2'!$L$2:$L$2198,MATCH(V81,'Data 2'!$A$2:$A$2198,0)), 0)</f>
        <v>-46.8633333333333</v>
      </c>
      <c r="X81" s="39" t="n">
        <f aca="false">IFERROR(INDEX('Data 2'!$M$2:$M$2198,MATCH(V81,'Data 2'!$A$2:$A$2198,0)), 0)</f>
        <v>-93.80375</v>
      </c>
      <c r="Y81" s="37"/>
      <c r="Z81" s="37"/>
    </row>
    <row r="82" customFormat="false" ht="15.75" hidden="false" customHeight="true" outlineLevel="0" collapsed="false">
      <c r="A82" s="37"/>
      <c r="B82" s="37"/>
      <c r="C82" s="37"/>
      <c r="D82" s="34" t="s">
        <v>91</v>
      </c>
      <c r="E82" s="39" t="n">
        <f aca="false">IFERROR(INDEX('Data 2'!$L$2:$L$2198,MATCH(D82,'Data 2'!$A$2:$A$2198,0)), 0)</f>
        <v>15.82</v>
      </c>
      <c r="F82" s="39" t="n">
        <f aca="false">IFERROR(INDEX('Data 2'!$M$2:$M$2198,MATCH(D82,'Data 2'!$A$2:$A$2198,0)), 0)</f>
        <v>3.95875</v>
      </c>
      <c r="H82" s="36"/>
      <c r="I82" s="36"/>
      <c r="J82" s="34" t="s">
        <v>237</v>
      </c>
      <c r="K82" s="39" t="n">
        <f aca="false">IFERROR(INDEX('Data 2'!$L$2:$L$2198,MATCH(J82,'Data 2'!$A$2:$A$2198,0)), 0)</f>
        <v>-60.82</v>
      </c>
      <c r="L82" s="39" t="n">
        <f aca="false">IFERROR(INDEX('Data 2'!$M$2:$M$2198,MATCH(J82,'Data 2'!$A$2:$A$2198,0)), 0)</f>
        <v>-76.8025</v>
      </c>
      <c r="M82" s="36"/>
      <c r="N82" s="36"/>
      <c r="O82" s="36"/>
      <c r="P82" s="34" t="s">
        <v>394</v>
      </c>
      <c r="Q82" s="39" t="n">
        <f aca="false">IFERROR(INDEX('Data 2'!$L$2:$L$2198,MATCH(P82,'Data 2'!$A$2:$A$2198,0)), 0)</f>
        <v>-44.3633333333333</v>
      </c>
      <c r="R82" s="39" t="n">
        <f aca="false">IFERROR(INDEX('Data 2'!$M$2:$M$2198,MATCH(P82,'Data 2'!$A$2:$A$2198,0)), 0)</f>
        <v>-95.0675</v>
      </c>
      <c r="S82" s="34" t="s">
        <v>180</v>
      </c>
      <c r="T82" s="39" t="n">
        <f aca="false">IFERROR(INDEX('Data 2'!$L$2:$L$2198,MATCH(S82,'Data 2'!$A$2:$A$2198,0)), 0)</f>
        <v>10.3266666666667</v>
      </c>
      <c r="U82" s="39" t="n">
        <f aca="false">IFERROR(INDEX('Data 2'!$M$2:$M$2198,MATCH(S82,'Data 2'!$A$2:$A$2198,0)), 0)</f>
        <v>-29.3425</v>
      </c>
      <c r="V82" s="34" t="s">
        <v>360</v>
      </c>
      <c r="W82" s="39" t="n">
        <f aca="false">IFERROR(INDEX('Data 2'!$L$2:$L$2198,MATCH(V82,'Data 2'!$A$2:$A$2198,0)), 0)</f>
        <v>-82.19</v>
      </c>
      <c r="X82" s="39" t="n">
        <f aca="false">IFERROR(INDEX('Data 2'!$M$2:$M$2198,MATCH(V82,'Data 2'!$A$2:$A$2198,0)), 0)</f>
        <v>-82.43375</v>
      </c>
      <c r="Y82" s="37"/>
      <c r="Z82" s="37"/>
    </row>
    <row r="83" customFormat="false" ht="15.75" hidden="false" customHeight="true" outlineLevel="0" collapsed="false">
      <c r="A83" s="37"/>
      <c r="B83" s="37"/>
      <c r="C83" s="37"/>
      <c r="D83" s="34" t="s">
        <v>328</v>
      </c>
      <c r="E83" s="39" t="n">
        <f aca="false">IFERROR(INDEX('Data 2'!$L$2:$L$2198,MATCH(D83,'Data 2'!$A$2:$A$2198,0)), 0)</f>
        <v>80.57</v>
      </c>
      <c r="F83" s="39" t="n">
        <f aca="false">IFERROR(INDEX('Data 2'!$M$2:$M$2198,MATCH(D83,'Data 2'!$A$2:$A$2198,0)), 0)</f>
        <v>22.45125</v>
      </c>
      <c r="H83" s="36"/>
      <c r="I83" s="36"/>
      <c r="J83" s="34" t="s">
        <v>216</v>
      </c>
      <c r="K83" s="39" t="n">
        <f aca="false">IFERROR(INDEX('Data 2'!$L$2:$L$2198,MATCH(J83,'Data 2'!$A$2:$A$2198,0)), 0)</f>
        <v>-29.8333333333333</v>
      </c>
      <c r="L83" s="39" t="n">
        <f aca="false">IFERROR(INDEX('Data 2'!$M$2:$M$2198,MATCH(J83,'Data 2'!$A$2:$A$2198,0)), 0)</f>
        <v>-60.56</v>
      </c>
      <c r="M83" s="36"/>
      <c r="N83" s="36"/>
      <c r="O83" s="36"/>
      <c r="P83" s="34" t="s">
        <v>395</v>
      </c>
      <c r="Q83" s="39" t="n">
        <f aca="false">IFERROR(INDEX('Data 2'!$L$2:$L$2198,MATCH(P83,'Data 2'!$A$2:$A$2198,0)), 0)</f>
        <v>83.06</v>
      </c>
      <c r="R83" s="39" t="n">
        <f aca="false">IFERROR(INDEX('Data 2'!$M$2:$M$2198,MATCH(P83,'Data 2'!$A$2:$A$2198,0)), 0)</f>
        <v>69.95625</v>
      </c>
      <c r="S83" s="34" t="s">
        <v>297</v>
      </c>
      <c r="T83" s="39" t="n">
        <f aca="false">IFERROR(INDEX('Data 2'!$L$2:$L$2198,MATCH(S83,'Data 2'!$A$2:$A$2198,0)), 0)</f>
        <v>-51.7133333333333</v>
      </c>
      <c r="U83" s="39" t="n">
        <f aca="false">IFERROR(INDEX('Data 2'!$M$2:$M$2198,MATCH(S83,'Data 2'!$A$2:$A$2198,0)), 0)</f>
        <v>-2.8625</v>
      </c>
      <c r="V83" s="34" t="s">
        <v>214</v>
      </c>
      <c r="W83" s="39" t="n">
        <f aca="false">IFERROR(INDEX('Data 2'!$L$2:$L$2198,MATCH(V83,'Data 2'!$A$2:$A$2198,0)), 0)</f>
        <v>-51.1466666666667</v>
      </c>
      <c r="X83" s="39" t="n">
        <f aca="false">IFERROR(INDEX('Data 2'!$M$2:$M$2198,MATCH(V83,'Data 2'!$A$2:$A$2198,0)), 0)</f>
        <v>-20.8325</v>
      </c>
      <c r="Y83" s="37"/>
      <c r="Z83" s="37"/>
    </row>
    <row r="84" customFormat="false" ht="15.75" hidden="false" customHeight="true" outlineLevel="0" collapsed="false">
      <c r="A84" s="37"/>
      <c r="B84" s="37"/>
      <c r="C84" s="37"/>
      <c r="D84" s="34" t="s">
        <v>168</v>
      </c>
      <c r="E84" s="39" t="n">
        <f aca="false">IFERROR(INDEX('Data 2'!$L$2:$L$2198,MATCH(D84,'Data 2'!$A$2:$A$2198,0)), 0)</f>
        <v>-2.94666666666667</v>
      </c>
      <c r="F84" s="39" t="n">
        <f aca="false">IFERROR(INDEX('Data 2'!$M$2:$M$2198,MATCH(D84,'Data 2'!$A$2:$A$2198,0)), 0)</f>
        <v>-61.92875</v>
      </c>
      <c r="H84" s="36"/>
      <c r="I84" s="36"/>
      <c r="J84" s="34" t="s">
        <v>118</v>
      </c>
      <c r="K84" s="39" t="n">
        <f aca="false">IFERROR(INDEX('Data 2'!$L$2:$L$2198,MATCH(J84,'Data 2'!$A$2:$A$2198,0)), 0)</f>
        <v>92.7166666666667</v>
      </c>
      <c r="L84" s="39" t="n">
        <f aca="false">IFERROR(INDEX('Data 2'!$M$2:$M$2198,MATCH(J84,'Data 2'!$A$2:$A$2198,0)), 0)</f>
        <v>142.18625</v>
      </c>
      <c r="M84" s="36"/>
      <c r="N84" s="36"/>
      <c r="O84" s="36"/>
      <c r="P84" s="34" t="s">
        <v>396</v>
      </c>
      <c r="Q84" s="39" t="n">
        <f aca="false">IFERROR(INDEX('Data 2'!$L$2:$L$2198,MATCH(P84,'Data 2'!$A$2:$A$2198,0)), 0)</f>
        <v>-129.753333333333</v>
      </c>
      <c r="R84" s="39" t="n">
        <f aca="false">IFERROR(INDEX('Data 2'!$M$2:$M$2198,MATCH(P84,'Data 2'!$A$2:$A$2198,0)), 0)</f>
        <v>-60.40375</v>
      </c>
      <c r="S84" s="34" t="s">
        <v>354</v>
      </c>
      <c r="T84" s="39" t="n">
        <f aca="false">IFERROR(INDEX('Data 2'!$L$2:$L$2198,MATCH(S84,'Data 2'!$A$2:$A$2198,0)), 0)</f>
        <v>-127.8</v>
      </c>
      <c r="U84" s="39" t="n">
        <f aca="false">IFERROR(INDEX('Data 2'!$M$2:$M$2198,MATCH(S84,'Data 2'!$A$2:$A$2198,0)), 0)</f>
        <v>-84.26375</v>
      </c>
      <c r="V84" s="34" t="s">
        <v>363</v>
      </c>
      <c r="W84" s="39" t="n">
        <f aca="false">IFERROR(INDEX('Data 2'!$L$2:$L$2198,MATCH(V84,'Data 2'!$A$2:$A$2198,0)), 0)</f>
        <v>-47.8033333333333</v>
      </c>
      <c r="X84" s="39" t="n">
        <f aca="false">IFERROR(INDEX('Data 2'!$M$2:$M$2198,MATCH(V84,'Data 2'!$A$2:$A$2198,0)), 0)</f>
        <v>-21.0425</v>
      </c>
      <c r="Y84" s="37"/>
      <c r="Z84" s="37"/>
    </row>
    <row r="85" customFormat="false" ht="15.75" hidden="false" customHeight="true" outlineLevel="0" collapsed="false">
      <c r="A85" s="37"/>
      <c r="B85" s="37"/>
      <c r="C85" s="37"/>
      <c r="D85" s="34" t="s">
        <v>330</v>
      </c>
      <c r="E85" s="39" t="n">
        <f aca="false">IFERROR(INDEX('Data 2'!$L$2:$L$2198,MATCH(D85,'Data 2'!$A$2:$A$2198,0)), 0)</f>
        <v>-106.42</v>
      </c>
      <c r="F85" s="39" t="n">
        <f aca="false">IFERROR(INDEX('Data 2'!$M$2:$M$2198,MATCH(D85,'Data 2'!$A$2:$A$2198,0)), 0)</f>
        <v>-110.11875</v>
      </c>
      <c r="H85" s="36"/>
      <c r="I85" s="36"/>
      <c r="J85" s="34" t="s">
        <v>133</v>
      </c>
      <c r="K85" s="39" t="n">
        <f aca="false">IFERROR(INDEX('Data 2'!$L$2:$L$2198,MATCH(J85,'Data 2'!$A$2:$A$2198,0)), 0)</f>
        <v>49.7733333333333</v>
      </c>
      <c r="L85" s="39" t="n">
        <f aca="false">IFERROR(INDEX('Data 2'!$M$2:$M$2198,MATCH(J85,'Data 2'!$A$2:$A$2198,0)), 0)</f>
        <v>-6.99375</v>
      </c>
      <c r="M85" s="36"/>
      <c r="N85" s="36"/>
      <c r="O85" s="36"/>
      <c r="P85" s="34" t="s">
        <v>299</v>
      </c>
      <c r="Q85" s="39" t="n">
        <f aca="false">IFERROR(INDEX('Data 2'!$L$2:$L$2198,MATCH(P85,'Data 2'!$A$2:$A$2198,0)), 0)</f>
        <v>117.413333333333</v>
      </c>
      <c r="R85" s="39" t="n">
        <f aca="false">IFERROR(INDEX('Data 2'!$M$2:$M$2198,MATCH(P85,'Data 2'!$A$2:$A$2198,0)), 0)</f>
        <v>-0.816249999999998</v>
      </c>
      <c r="S85" s="34" t="s">
        <v>356</v>
      </c>
      <c r="T85" s="39" t="n">
        <f aca="false">IFERROR(INDEX('Data 2'!$L$2:$L$2198,MATCH(S85,'Data 2'!$A$2:$A$2198,0)), 0)</f>
        <v>-23.19</v>
      </c>
      <c r="U85" s="39" t="n">
        <f aca="false">IFERROR(INDEX('Data 2'!$M$2:$M$2198,MATCH(S85,'Data 2'!$A$2:$A$2198,0)), 0)</f>
        <v>25.69125</v>
      </c>
      <c r="V85" s="34" t="s">
        <v>364</v>
      </c>
      <c r="W85" s="39" t="n">
        <f aca="false">IFERROR(INDEX('Data 2'!$L$2:$L$2198,MATCH(V85,'Data 2'!$A$2:$A$2198,0)), 0)</f>
        <v>36.0033333333333</v>
      </c>
      <c r="X85" s="39" t="n">
        <f aca="false">IFERROR(INDEX('Data 2'!$M$2:$M$2198,MATCH(V85,'Data 2'!$A$2:$A$2198,0)), 0)</f>
        <v>13.88125</v>
      </c>
      <c r="Y85" s="37"/>
      <c r="Z85" s="37"/>
    </row>
    <row r="86" customFormat="false" ht="15.75" hidden="false" customHeight="true" outlineLevel="0" collapsed="false">
      <c r="A86" s="37"/>
      <c r="B86" s="37"/>
      <c r="C86" s="37"/>
      <c r="D86" s="34" t="s">
        <v>287</v>
      </c>
      <c r="E86" s="39" t="n">
        <f aca="false">IFERROR(INDEX('Data 2'!$L$2:$L$2198,MATCH(D86,'Data 2'!$A$2:$A$2198,0)), 0)</f>
        <v>31.5</v>
      </c>
      <c r="F86" s="39" t="n">
        <f aca="false">IFERROR(INDEX('Data 2'!$M$2:$M$2198,MATCH(D86,'Data 2'!$A$2:$A$2198,0)), 0)</f>
        <v>69.80625</v>
      </c>
      <c r="H86" s="36"/>
      <c r="I86" s="36"/>
      <c r="J86" s="34" t="s">
        <v>164</v>
      </c>
      <c r="K86" s="39" t="n">
        <f aca="false">IFERROR(INDEX('Data 2'!$L$2:$L$2198,MATCH(J86,'Data 2'!$A$2:$A$2198,0)), 0)</f>
        <v>-125.086666666667</v>
      </c>
      <c r="L86" s="39" t="n">
        <f aca="false">IFERROR(INDEX('Data 2'!$M$2:$M$2198,MATCH(J86,'Data 2'!$A$2:$A$2198,0)), 0)</f>
        <v>-114.465</v>
      </c>
      <c r="M86" s="36"/>
      <c r="N86" s="36"/>
      <c r="O86" s="36"/>
      <c r="P86" s="34" t="s">
        <v>397</v>
      </c>
      <c r="Q86" s="39" t="n">
        <f aca="false">IFERROR(INDEX('Data 2'!$L$2:$L$2198,MATCH(P86,'Data 2'!$A$2:$A$2198,0)), 0)</f>
        <v>96.53</v>
      </c>
      <c r="R86" s="39" t="n">
        <f aca="false">IFERROR(INDEX('Data 2'!$M$2:$M$2198,MATCH(P86,'Data 2'!$A$2:$A$2198,0)), 0)</f>
        <v>65.40375</v>
      </c>
      <c r="S86" s="34" t="s">
        <v>359</v>
      </c>
      <c r="T86" s="39" t="n">
        <f aca="false">IFERROR(INDEX('Data 2'!$L$2:$L$2198,MATCH(S86,'Data 2'!$A$2:$A$2198,0)), 0)</f>
        <v>-44.11</v>
      </c>
      <c r="U86" s="39" t="n">
        <f aca="false">IFERROR(INDEX('Data 2'!$M$2:$M$2198,MATCH(S86,'Data 2'!$A$2:$A$2198,0)), 0)</f>
        <v>-60.4075</v>
      </c>
      <c r="V86" s="34" t="s">
        <v>366</v>
      </c>
      <c r="W86" s="39" t="n">
        <f aca="false">IFERROR(INDEX('Data 2'!$L$2:$L$2198,MATCH(V86,'Data 2'!$A$2:$A$2198,0)), 0)</f>
        <v>84.1333333333333</v>
      </c>
      <c r="X86" s="39" t="n">
        <f aca="false">IFERROR(INDEX('Data 2'!$M$2:$M$2198,MATCH(V86,'Data 2'!$A$2:$A$2198,0)), 0)</f>
        <v>180.12625</v>
      </c>
      <c r="Y86" s="37"/>
      <c r="Z86" s="37"/>
    </row>
    <row r="87" customFormat="false" ht="15.75" hidden="false" customHeight="true" outlineLevel="0" collapsed="false">
      <c r="A87" s="37"/>
      <c r="B87" s="37"/>
      <c r="C87" s="37"/>
      <c r="D87" s="34" t="s">
        <v>333</v>
      </c>
      <c r="E87" s="39" t="n">
        <f aca="false">IFERROR(INDEX('Data 2'!$L$2:$L$2198,MATCH(D87,'Data 2'!$A$2:$A$2198,0)), 0)</f>
        <v>-112.35</v>
      </c>
      <c r="F87" s="39" t="n">
        <f aca="false">IFERROR(INDEX('Data 2'!$M$2:$M$2198,MATCH(D87,'Data 2'!$A$2:$A$2198,0)), 0)</f>
        <v>-97.6025</v>
      </c>
      <c r="H87" s="36"/>
      <c r="I87" s="36"/>
      <c r="J87" s="34" t="s">
        <v>398</v>
      </c>
      <c r="K87" s="39" t="n">
        <f aca="false">IFERROR(INDEX('Data 2'!$L$2:$L$2198,MATCH(J87,'Data 2'!$A$2:$A$2198,0)), 0)</f>
        <v>-59</v>
      </c>
      <c r="L87" s="39" t="n">
        <f aca="false">IFERROR(INDEX('Data 2'!$M$2:$M$2198,MATCH(J87,'Data 2'!$A$2:$A$2198,0)), 0)</f>
        <v>-66.46125</v>
      </c>
      <c r="M87" s="36"/>
      <c r="N87" s="36"/>
      <c r="O87" s="36"/>
      <c r="P87" s="34" t="s">
        <v>399</v>
      </c>
      <c r="Q87" s="39" t="n">
        <f aca="false">IFERROR(INDEX('Data 2'!$L$2:$L$2198,MATCH(P87,'Data 2'!$A$2:$A$2198,0)), 0)</f>
        <v>23.39</v>
      </c>
      <c r="R87" s="39" t="n">
        <f aca="false">IFERROR(INDEX('Data 2'!$M$2:$M$2198,MATCH(P87,'Data 2'!$A$2:$A$2198,0)), 0)</f>
        <v>45.45125</v>
      </c>
      <c r="S87" s="34" t="s">
        <v>361</v>
      </c>
      <c r="T87" s="39" t="n">
        <f aca="false">IFERROR(INDEX('Data 2'!$L$2:$L$2198,MATCH(S87,'Data 2'!$A$2:$A$2198,0)), 0)</f>
        <v>49.73</v>
      </c>
      <c r="U87" s="39" t="n">
        <f aca="false">IFERROR(INDEX('Data 2'!$M$2:$M$2198,MATCH(S87,'Data 2'!$A$2:$A$2198,0)), 0)</f>
        <v>106.49875</v>
      </c>
      <c r="V87" s="34" t="s">
        <v>103</v>
      </c>
      <c r="W87" s="39" t="n">
        <f aca="false">IFERROR(INDEX('Data 2'!$L$2:$L$2198,MATCH(V87,'Data 2'!$A$2:$A$2198,0)), 0)</f>
        <v>28.71</v>
      </c>
      <c r="X87" s="39" t="n">
        <f aca="false">IFERROR(INDEX('Data 2'!$M$2:$M$2198,MATCH(V87,'Data 2'!$A$2:$A$2198,0)), 0)</f>
        <v>19.7575</v>
      </c>
      <c r="Y87" s="37"/>
      <c r="Z87" s="37"/>
    </row>
    <row r="88" customFormat="false" ht="15.75" hidden="false" customHeight="true" outlineLevel="0" collapsed="false">
      <c r="A88" s="37"/>
      <c r="B88" s="37"/>
      <c r="C88" s="37"/>
      <c r="D88" s="34" t="s">
        <v>141</v>
      </c>
      <c r="E88" s="39" t="n">
        <f aca="false">IFERROR(INDEX('Data 2'!$L$2:$L$2198,MATCH(D88,'Data 2'!$A$2:$A$2198,0)), 0)</f>
        <v>-45.04</v>
      </c>
      <c r="F88" s="39" t="n">
        <f aca="false">IFERROR(INDEX('Data 2'!$M$2:$M$2198,MATCH(D88,'Data 2'!$A$2:$A$2198,0)), 0)</f>
        <v>47.615</v>
      </c>
      <c r="H88" s="36"/>
      <c r="I88" s="36"/>
      <c r="J88" s="34" t="s">
        <v>400</v>
      </c>
      <c r="K88" s="39" t="n">
        <f aca="false">IFERROR(INDEX('Data 2'!$L$2:$L$2198,MATCH(J88,'Data 2'!$A$2:$A$2198,0)), 0)</f>
        <v>-115.23</v>
      </c>
      <c r="L88" s="39" t="n">
        <f aca="false">IFERROR(INDEX('Data 2'!$M$2:$M$2198,MATCH(J88,'Data 2'!$A$2:$A$2198,0)), 0)</f>
        <v>-85.77875</v>
      </c>
      <c r="M88" s="36"/>
      <c r="N88" s="36"/>
      <c r="O88" s="36"/>
      <c r="P88" s="34" t="s">
        <v>401</v>
      </c>
      <c r="Q88" s="39" t="n">
        <f aca="false">IFERROR(INDEX('Data 2'!$L$2:$L$2198,MATCH(P88,'Data 2'!$A$2:$A$2198,0)), 0)</f>
        <v>29.7133333333333</v>
      </c>
      <c r="R88" s="39" t="n">
        <f aca="false">IFERROR(INDEX('Data 2'!$M$2:$M$2198,MATCH(P88,'Data 2'!$A$2:$A$2198,0)), 0)</f>
        <v>-72.135</v>
      </c>
      <c r="S88" s="34" t="s">
        <v>197</v>
      </c>
      <c r="T88" s="39" t="n">
        <f aca="false">IFERROR(INDEX('Data 2'!$L$2:$L$2198,MATCH(S88,'Data 2'!$A$2:$A$2198,0)), 0)</f>
        <v>109.083333333333</v>
      </c>
      <c r="U88" s="39" t="n">
        <f aca="false">IFERROR(INDEX('Data 2'!$M$2:$M$2198,MATCH(S88,'Data 2'!$A$2:$A$2198,0)), 0)</f>
        <v>80.93875</v>
      </c>
      <c r="V88" s="34" t="s">
        <v>368</v>
      </c>
      <c r="W88" s="39" t="n">
        <f aca="false">IFERROR(INDEX('Data 2'!$L$2:$L$2198,MATCH(V88,'Data 2'!$A$2:$A$2198,0)), 0)</f>
        <v>-37.9533333333333</v>
      </c>
      <c r="X88" s="39" t="n">
        <f aca="false">IFERROR(INDEX('Data 2'!$M$2:$M$2198,MATCH(V88,'Data 2'!$A$2:$A$2198,0)), 0)</f>
        <v>26.84125</v>
      </c>
      <c r="Y88" s="37"/>
      <c r="Z88" s="37"/>
    </row>
    <row r="89" customFormat="false" ht="15.75" hidden="false" customHeight="true" outlineLevel="0" collapsed="false">
      <c r="A89" s="37"/>
      <c r="B89" s="37"/>
      <c r="C89" s="37"/>
      <c r="D89" s="34" t="s">
        <v>290</v>
      </c>
      <c r="E89" s="39" t="n">
        <f aca="false">IFERROR(INDEX('Data 2'!$L$2:$L$2198,MATCH(D89,'Data 2'!$A$2:$A$2198,0)), 0)</f>
        <v>79.8133333333333</v>
      </c>
      <c r="F89" s="39" t="n">
        <f aca="false">IFERROR(INDEX('Data 2'!$M$2:$M$2198,MATCH(D89,'Data 2'!$A$2:$A$2198,0)), 0)</f>
        <v>-22.8875</v>
      </c>
      <c r="H89" s="36"/>
      <c r="I89" s="36"/>
      <c r="J89" s="34" t="s">
        <v>146</v>
      </c>
      <c r="K89" s="39" t="n">
        <f aca="false">IFERROR(INDEX('Data 2'!$L$2:$L$2198,MATCH(J89,'Data 2'!$A$2:$A$2198,0)), 0)</f>
        <v>64.1</v>
      </c>
      <c r="L89" s="39" t="n">
        <f aca="false">IFERROR(INDEX('Data 2'!$M$2:$M$2198,MATCH(J89,'Data 2'!$A$2:$A$2198,0)), 0)</f>
        <v>37.375</v>
      </c>
      <c r="M89" s="36"/>
      <c r="N89" s="36"/>
      <c r="O89" s="36"/>
      <c r="P89" s="34" t="s">
        <v>402</v>
      </c>
      <c r="Q89" s="39" t="n">
        <f aca="false">IFERROR(INDEX('Data 2'!$L$2:$L$2198,MATCH(P89,'Data 2'!$A$2:$A$2198,0)), 0)</f>
        <v>82.6066666666667</v>
      </c>
      <c r="R89" s="39" t="n">
        <f aca="false">IFERROR(INDEX('Data 2'!$M$2:$M$2198,MATCH(P89,'Data 2'!$A$2:$A$2198,0)), 0)</f>
        <v>59.71125</v>
      </c>
      <c r="S89" s="34" t="s">
        <v>362</v>
      </c>
      <c r="T89" s="39" t="n">
        <f aca="false">IFERROR(INDEX('Data 2'!$L$2:$L$2198,MATCH(S89,'Data 2'!$A$2:$A$2198,0)), 0)</f>
        <v>55.4933333333333</v>
      </c>
      <c r="U89" s="39" t="n">
        <f aca="false">IFERROR(INDEX('Data 2'!$M$2:$M$2198,MATCH(S89,'Data 2'!$A$2:$A$2198,0)), 0)</f>
        <v>108.7275</v>
      </c>
      <c r="V89" s="34" t="s">
        <v>369</v>
      </c>
      <c r="W89" s="39" t="n">
        <f aca="false">IFERROR(INDEX('Data 2'!$L$2:$L$2198,MATCH(V89,'Data 2'!$A$2:$A$2198,0)), 0)</f>
        <v>-1.14666666666667</v>
      </c>
      <c r="X89" s="39" t="n">
        <f aca="false">IFERROR(INDEX('Data 2'!$M$2:$M$2198,MATCH(V89,'Data 2'!$A$2:$A$2198,0)), 0)</f>
        <v>-7.6325</v>
      </c>
      <c r="Y89" s="37"/>
      <c r="Z89" s="37"/>
    </row>
    <row r="90" customFormat="false" ht="15.75" hidden="false" customHeight="true" outlineLevel="0" collapsed="false">
      <c r="A90" s="37"/>
      <c r="B90" s="37"/>
      <c r="C90" s="37"/>
      <c r="D90" s="34" t="s">
        <v>153</v>
      </c>
      <c r="E90" s="39" t="n">
        <f aca="false">IFERROR(INDEX('Data 2'!$L$2:$L$2198,MATCH(D90,'Data 2'!$A$2:$A$2198,0)), 0)</f>
        <v>6.94</v>
      </c>
      <c r="F90" s="39" t="n">
        <f aca="false">IFERROR(INDEX('Data 2'!$M$2:$M$2198,MATCH(D90,'Data 2'!$A$2:$A$2198,0)), 0)</f>
        <v>8.3325</v>
      </c>
      <c r="H90" s="36"/>
      <c r="I90" s="36"/>
      <c r="J90" s="34" t="s">
        <v>83</v>
      </c>
      <c r="K90" s="39" t="n">
        <f aca="false">IFERROR(INDEX('Data 2'!$L$2:$L$2198,MATCH(J90,'Data 2'!$A$2:$A$2198,0)), 0)</f>
        <v>11.0933333333333</v>
      </c>
      <c r="L90" s="39" t="n">
        <f aca="false">IFERROR(INDEX('Data 2'!$M$2:$M$2198,MATCH(J90,'Data 2'!$A$2:$A$2198,0)), 0)</f>
        <v>45.75125</v>
      </c>
      <c r="M90" s="36"/>
      <c r="N90" s="36"/>
      <c r="O90" s="36"/>
      <c r="P90" s="34" t="s">
        <v>403</v>
      </c>
      <c r="Q90" s="39" t="n">
        <f aca="false">IFERROR(INDEX('Data 2'!$L$2:$L$2198,MATCH(P90,'Data 2'!$A$2:$A$2198,0)), 0)</f>
        <v>-26.0766666666667</v>
      </c>
      <c r="R90" s="39" t="n">
        <f aca="false">IFERROR(INDEX('Data 2'!$M$2:$M$2198,MATCH(P90,'Data 2'!$A$2:$A$2198,0)), 0)</f>
        <v>50.505</v>
      </c>
      <c r="S90" s="34" t="s">
        <v>165</v>
      </c>
      <c r="T90" s="39" t="n">
        <f aca="false">IFERROR(INDEX('Data 2'!$L$2:$L$2198,MATCH(S90,'Data 2'!$A$2:$A$2198,0)), 0)</f>
        <v>35.1866666666667</v>
      </c>
      <c r="U90" s="39" t="n">
        <f aca="false">IFERROR(INDEX('Data 2'!$M$2:$M$2198,MATCH(S90,'Data 2'!$A$2:$A$2198,0)), 0)</f>
        <v>-31.80375</v>
      </c>
      <c r="V90" s="34" t="s">
        <v>370</v>
      </c>
      <c r="W90" s="39" t="n">
        <f aca="false">IFERROR(INDEX('Data 2'!$L$2:$L$2198,MATCH(V90,'Data 2'!$A$2:$A$2198,0)), 0)</f>
        <v>-35.9733333333333</v>
      </c>
      <c r="X90" s="39" t="n">
        <f aca="false">IFERROR(INDEX('Data 2'!$M$2:$M$2198,MATCH(V90,'Data 2'!$A$2:$A$2198,0)), 0)</f>
        <v>-33.74625</v>
      </c>
      <c r="Y90" s="37"/>
      <c r="Z90" s="37"/>
    </row>
    <row r="91" customFormat="false" ht="15.75" hidden="false" customHeight="true" outlineLevel="0" collapsed="false">
      <c r="A91" s="37"/>
      <c r="B91" s="37"/>
      <c r="C91" s="37"/>
      <c r="D91" s="34" t="s">
        <v>335</v>
      </c>
      <c r="E91" s="39" t="n">
        <f aca="false">IFERROR(INDEX('Data 2'!$L$2:$L$2198,MATCH(D91,'Data 2'!$A$2:$A$2198,0)), 0)</f>
        <v>-121.323333333333</v>
      </c>
      <c r="F91" s="39" t="n">
        <f aca="false">IFERROR(INDEX('Data 2'!$M$2:$M$2198,MATCH(D91,'Data 2'!$A$2:$A$2198,0)), 0)</f>
        <v>-99.55625</v>
      </c>
      <c r="H91" s="36"/>
      <c r="I91" s="36"/>
      <c r="J91" s="34" t="s">
        <v>116</v>
      </c>
      <c r="K91" s="39" t="n">
        <f aca="false">IFERROR(INDEX('Data 2'!$L$2:$L$2198,MATCH(J91,'Data 2'!$A$2:$A$2198,0)), 0)</f>
        <v>-30.3066666666667</v>
      </c>
      <c r="L91" s="39" t="n">
        <f aca="false">IFERROR(INDEX('Data 2'!$M$2:$M$2198,MATCH(J91,'Data 2'!$A$2:$A$2198,0)), 0)</f>
        <v>-16.89125</v>
      </c>
      <c r="M91" s="36"/>
      <c r="N91" s="36"/>
      <c r="O91" s="36"/>
      <c r="P91" s="34" t="s">
        <v>404</v>
      </c>
      <c r="Q91" s="39" t="n">
        <f aca="false">IFERROR(INDEX('Data 2'!$L$2:$L$2198,MATCH(P91,'Data 2'!$A$2:$A$2198,0)), 0)</f>
        <v>-48.14</v>
      </c>
      <c r="R91" s="39" t="n">
        <f aca="false">IFERROR(INDEX('Data 2'!$M$2:$M$2198,MATCH(P91,'Data 2'!$A$2:$A$2198,0)), 0)</f>
        <v>-23.93875</v>
      </c>
      <c r="S91" s="34" t="s">
        <v>81</v>
      </c>
      <c r="T91" s="39" t="n">
        <f aca="false">IFERROR(INDEX('Data 2'!$L$2:$L$2198,MATCH(S91,'Data 2'!$A$2:$A$2198,0)), 0)</f>
        <v>-25.0066666666667</v>
      </c>
      <c r="U91" s="39" t="n">
        <f aca="false">IFERROR(INDEX('Data 2'!$M$2:$M$2198,MATCH(S91,'Data 2'!$A$2:$A$2198,0)), 0)</f>
        <v>58.935</v>
      </c>
      <c r="V91" s="34" t="s">
        <v>102</v>
      </c>
      <c r="W91" s="39" t="n">
        <f aca="false">IFERROR(INDEX('Data 2'!$L$2:$L$2198,MATCH(V91,'Data 2'!$A$2:$A$2198,0)), 0)</f>
        <v>-9.54333333333333</v>
      </c>
      <c r="X91" s="39" t="n">
        <f aca="false">IFERROR(INDEX('Data 2'!$M$2:$M$2198,MATCH(V91,'Data 2'!$A$2:$A$2198,0)), 0)</f>
        <v>38.0375</v>
      </c>
      <c r="Y91" s="37"/>
      <c r="Z91" s="37"/>
    </row>
    <row r="92" customFormat="false" ht="15.75" hidden="false" customHeight="true" outlineLevel="0" collapsed="false">
      <c r="A92" s="37"/>
      <c r="B92" s="37"/>
      <c r="C92" s="37"/>
      <c r="D92" s="34" t="s">
        <v>338</v>
      </c>
      <c r="E92" s="39" t="n">
        <f aca="false">IFERROR(INDEX('Data 2'!$L$2:$L$2198,MATCH(D92,'Data 2'!$A$2:$A$2198,0)), 0)</f>
        <v>-55.0933333333333</v>
      </c>
      <c r="F92" s="39" t="n">
        <f aca="false">IFERROR(INDEX('Data 2'!$M$2:$M$2198,MATCH(D92,'Data 2'!$A$2:$A$2198,0)), 0)</f>
        <v>19.93</v>
      </c>
      <c r="H92" s="36"/>
      <c r="I92" s="36"/>
      <c r="J92" s="34" t="s">
        <v>405</v>
      </c>
      <c r="K92" s="39" t="n">
        <f aca="false">IFERROR(INDEX('Data 2'!$L$2:$L$2198,MATCH(J92,'Data 2'!$A$2:$A$2198,0)), 0)</f>
        <v>-40.87</v>
      </c>
      <c r="L92" s="39" t="n">
        <f aca="false">IFERROR(INDEX('Data 2'!$M$2:$M$2198,MATCH(J92,'Data 2'!$A$2:$A$2198,0)), 0)</f>
        <v>-67.4275</v>
      </c>
      <c r="M92" s="36"/>
      <c r="N92" s="36"/>
      <c r="O92" s="36"/>
      <c r="P92" s="34" t="s">
        <v>406</v>
      </c>
      <c r="Q92" s="39" t="n">
        <f aca="false">IFERROR(INDEX('Data 2'!$L$2:$L$2198,MATCH(P92,'Data 2'!$A$2:$A$2198,0)), 0)</f>
        <v>-57.3933333333333</v>
      </c>
      <c r="R92" s="39" t="n">
        <f aca="false">IFERROR(INDEX('Data 2'!$M$2:$M$2198,MATCH(P92,'Data 2'!$A$2:$A$2198,0)), 0)</f>
        <v>-12.63</v>
      </c>
      <c r="S92" s="34" t="s">
        <v>365</v>
      </c>
      <c r="T92" s="39" t="n">
        <f aca="false">IFERROR(INDEX('Data 2'!$L$2:$L$2198,MATCH(S92,'Data 2'!$A$2:$A$2198,0)), 0)</f>
        <v>127.636666666667</v>
      </c>
      <c r="U92" s="39" t="n">
        <f aca="false">IFERROR(INDEX('Data 2'!$M$2:$M$2198,MATCH(S92,'Data 2'!$A$2:$A$2198,0)), 0)</f>
        <v>5.075</v>
      </c>
      <c r="V92" s="34" t="s">
        <v>373</v>
      </c>
      <c r="W92" s="39" t="n">
        <f aca="false">IFERROR(INDEX('Data 2'!$L$2:$L$2198,MATCH(V92,'Data 2'!$A$2:$A$2198,0)), 0)</f>
        <v>-103.343333333333</v>
      </c>
      <c r="X92" s="39" t="n">
        <f aca="false">IFERROR(INDEX('Data 2'!$M$2:$M$2198,MATCH(V92,'Data 2'!$A$2:$A$2198,0)), 0)</f>
        <v>-102.7625</v>
      </c>
      <c r="Y92" s="37"/>
      <c r="Z92" s="37"/>
    </row>
    <row r="93" customFormat="false" ht="15.75" hidden="false" customHeight="true" outlineLevel="0" collapsed="false">
      <c r="A93" s="37"/>
      <c r="B93" s="37"/>
      <c r="C93" s="37"/>
      <c r="D93" s="34" t="s">
        <v>244</v>
      </c>
      <c r="E93" s="39" t="n">
        <f aca="false">IFERROR(INDEX('Data 2'!$L$2:$L$2198,MATCH(D93,'Data 2'!$A$2:$A$2198,0)), 0)</f>
        <v>119.433333333333</v>
      </c>
      <c r="F93" s="39" t="n">
        <f aca="false">IFERROR(INDEX('Data 2'!$M$2:$M$2198,MATCH(D93,'Data 2'!$A$2:$A$2198,0)), 0)</f>
        <v>36.765</v>
      </c>
      <c r="H93" s="36"/>
      <c r="I93" s="36"/>
      <c r="J93" s="34" t="s">
        <v>407</v>
      </c>
      <c r="K93" s="39" t="n">
        <f aca="false">IFERROR(INDEX('Data 2'!$L$2:$L$2198,MATCH(J93,'Data 2'!$A$2:$A$2198,0)), 0)</f>
        <v>121.163333333333</v>
      </c>
      <c r="L93" s="39" t="n">
        <f aca="false">IFERROR(INDEX('Data 2'!$M$2:$M$2198,MATCH(J93,'Data 2'!$A$2:$A$2198,0)), 0)</f>
        <v>104.09375</v>
      </c>
      <c r="M93" s="36"/>
      <c r="N93" s="36"/>
      <c r="O93" s="36"/>
      <c r="P93" s="34" t="s">
        <v>95</v>
      </c>
      <c r="Q93" s="39" t="n">
        <f aca="false">IFERROR(INDEX('Data 2'!$L$2:$L$2198,MATCH(P93,'Data 2'!$A$2:$A$2198,0)), 0)</f>
        <v>1.26666666666667</v>
      </c>
      <c r="R93" s="39" t="n">
        <f aca="false">IFERROR(INDEX('Data 2'!$M$2:$M$2198,MATCH(P93,'Data 2'!$A$2:$A$2198,0)), 0)</f>
        <v>15.28625</v>
      </c>
      <c r="S93" s="34" t="s">
        <v>367</v>
      </c>
      <c r="T93" s="39" t="n">
        <f aca="false">IFERROR(INDEX('Data 2'!$L$2:$L$2198,MATCH(S93,'Data 2'!$A$2:$A$2198,0)), 0)</f>
        <v>-87.3433333333334</v>
      </c>
      <c r="U93" s="39" t="n">
        <f aca="false">IFERROR(INDEX('Data 2'!$M$2:$M$2198,MATCH(S93,'Data 2'!$A$2:$A$2198,0)), 0)</f>
        <v>-96.39</v>
      </c>
      <c r="V93" s="34" t="s">
        <v>260</v>
      </c>
      <c r="W93" s="39" t="n">
        <f aca="false">IFERROR(INDEX('Data 2'!$L$2:$L$2198,MATCH(V93,'Data 2'!$A$2:$A$2198,0)), 0)</f>
        <v>-39.9166666666667</v>
      </c>
      <c r="X93" s="39" t="n">
        <f aca="false">IFERROR(INDEX('Data 2'!$M$2:$M$2198,MATCH(V93,'Data 2'!$A$2:$A$2198,0)), 0)</f>
        <v>-40.01375</v>
      </c>
      <c r="Y93" s="37"/>
      <c r="Z93" s="37"/>
    </row>
    <row r="94" customFormat="false" ht="15.75" hidden="false" customHeight="true" outlineLevel="0" collapsed="false">
      <c r="A94" s="37"/>
      <c r="B94" s="37"/>
      <c r="C94" s="37"/>
      <c r="D94" s="34" t="s">
        <v>224</v>
      </c>
      <c r="E94" s="39" t="n">
        <f aca="false">IFERROR(INDEX('Data 2'!$L$2:$L$2198,MATCH(D94,'Data 2'!$A$2:$A$2198,0)), 0)</f>
        <v>103.873333333333</v>
      </c>
      <c r="F94" s="39" t="n">
        <f aca="false">IFERROR(INDEX('Data 2'!$M$2:$M$2198,MATCH(D94,'Data 2'!$A$2:$A$2198,0)), 0)</f>
        <v>75.925</v>
      </c>
      <c r="H94" s="36"/>
      <c r="I94" s="36"/>
      <c r="J94" s="34" t="s">
        <v>63</v>
      </c>
      <c r="K94" s="39" t="n">
        <f aca="false">IFERROR(INDEX('Data 2'!$L$2:$L$2198,MATCH(J94,'Data 2'!$A$2:$A$2198,0)), 0)</f>
        <v>-9.14666666666667</v>
      </c>
      <c r="L94" s="39" t="n">
        <f aca="false">IFERROR(INDEX('Data 2'!$M$2:$M$2198,MATCH(J94,'Data 2'!$A$2:$A$2198,0)), 0)</f>
        <v>56.78875</v>
      </c>
      <c r="M94" s="36"/>
      <c r="N94" s="36"/>
      <c r="O94" s="36"/>
      <c r="P94" s="34" t="s">
        <v>408</v>
      </c>
      <c r="Q94" s="39" t="n">
        <f aca="false">IFERROR(INDEX('Data 2'!$L$2:$L$2198,MATCH(P94,'Data 2'!$A$2:$A$2198,0)), 0)</f>
        <v>35.24</v>
      </c>
      <c r="R94" s="39" t="n">
        <f aca="false">IFERROR(INDEX('Data 2'!$M$2:$M$2198,MATCH(P94,'Data 2'!$A$2:$A$2198,0)), 0)</f>
        <v>91.09125</v>
      </c>
      <c r="S94" s="34" t="s">
        <v>202</v>
      </c>
      <c r="T94" s="39" t="n">
        <f aca="false">IFERROR(INDEX('Data 2'!$L$2:$L$2198,MATCH(S94,'Data 2'!$A$2:$A$2198,0)), 0)</f>
        <v>-3.69333333333333</v>
      </c>
      <c r="U94" s="39" t="n">
        <f aca="false">IFERROR(INDEX('Data 2'!$M$2:$M$2198,MATCH(S94,'Data 2'!$A$2:$A$2198,0)), 0)</f>
        <v>-41.2025</v>
      </c>
      <c r="V94" s="34" t="s">
        <v>85</v>
      </c>
      <c r="W94" s="39" t="n">
        <f aca="false">IFERROR(INDEX('Data 2'!$L$2:$L$2198,MATCH(V94,'Data 2'!$A$2:$A$2198,0)), 0)</f>
        <v>110.623333333333</v>
      </c>
      <c r="X94" s="39" t="n">
        <f aca="false">IFERROR(INDEX('Data 2'!$M$2:$M$2198,MATCH(V94,'Data 2'!$A$2:$A$2198,0)), 0)</f>
        <v>49.206875</v>
      </c>
      <c r="Y94" s="37"/>
      <c r="Z94" s="37"/>
    </row>
    <row r="95" customFormat="false" ht="15.75" hidden="false" customHeight="true" outlineLevel="0" collapsed="false">
      <c r="A95" s="37"/>
      <c r="B95" s="37"/>
      <c r="C95" s="37"/>
      <c r="D95" s="34" t="s">
        <v>341</v>
      </c>
      <c r="E95" s="39" t="n">
        <f aca="false">IFERROR(INDEX('Data 2'!$L$2:$L$2198,MATCH(D95,'Data 2'!$A$2:$A$2198,0)), 0)</f>
        <v>-58.8766666666667</v>
      </c>
      <c r="F95" s="39" t="n">
        <f aca="false">IFERROR(INDEX('Data 2'!$M$2:$M$2198,MATCH(D95,'Data 2'!$A$2:$A$2198,0)), 0)</f>
        <v>-73.3875</v>
      </c>
      <c r="H95" s="36"/>
      <c r="I95" s="36"/>
      <c r="J95" s="34" t="s">
        <v>183</v>
      </c>
      <c r="K95" s="39" t="n">
        <f aca="false">IFERROR(INDEX('Data 2'!$L$2:$L$2198,MATCH(J95,'Data 2'!$A$2:$A$2198,0)), 0)</f>
        <v>1.88</v>
      </c>
      <c r="L95" s="39" t="n">
        <f aca="false">IFERROR(INDEX('Data 2'!$M$2:$M$2198,MATCH(J95,'Data 2'!$A$2:$A$2198,0)), 0)</f>
        <v>71.27375</v>
      </c>
      <c r="M95" s="36"/>
      <c r="N95" s="36"/>
      <c r="O95" s="36"/>
      <c r="P95" s="34" t="s">
        <v>409</v>
      </c>
      <c r="Q95" s="39" t="n">
        <f aca="false">IFERROR(INDEX('Data 2'!$L$2:$L$2198,MATCH(P95,'Data 2'!$A$2:$A$2198,0)), 0)</f>
        <v>118.203333333333</v>
      </c>
      <c r="R95" s="39" t="n">
        <f aca="false">IFERROR(INDEX('Data 2'!$M$2:$M$2198,MATCH(P95,'Data 2'!$A$2:$A$2198,0)), 0)</f>
        <v>278.65</v>
      </c>
      <c r="S95" s="34" t="s">
        <v>75</v>
      </c>
      <c r="T95" s="39" t="n">
        <f aca="false">IFERROR(INDEX('Data 2'!$L$2:$L$2198,MATCH(S95,'Data 2'!$A$2:$A$2198,0)), 0)</f>
        <v>-81.87</v>
      </c>
      <c r="U95" s="39" t="n">
        <f aca="false">IFERROR(INDEX('Data 2'!$M$2:$M$2198,MATCH(S95,'Data 2'!$A$2:$A$2198,0)), 0)</f>
        <v>-86.44</v>
      </c>
      <c r="V95" s="34" t="s">
        <v>121</v>
      </c>
      <c r="W95" s="39" t="n">
        <f aca="false">IFERROR(INDEX('Data 2'!$L$2:$L$2198,MATCH(V95,'Data 2'!$A$2:$A$2198,0)), 0)</f>
        <v>11.3</v>
      </c>
      <c r="X95" s="39" t="n">
        <f aca="false">IFERROR(INDEX('Data 2'!$M$2:$M$2198,MATCH(V95,'Data 2'!$A$2:$A$2198,0)), 0)</f>
        <v>-25.17125</v>
      </c>
      <c r="Y95" s="37"/>
      <c r="Z95" s="37"/>
    </row>
    <row r="96" customFormat="false" ht="15.75" hidden="false" customHeight="true" outlineLevel="0" collapsed="false">
      <c r="A96" s="37"/>
      <c r="B96" s="37"/>
      <c r="C96" s="37"/>
      <c r="D96" s="34" t="s">
        <v>317</v>
      </c>
      <c r="E96" s="39" t="n">
        <f aca="false">IFERROR(INDEX('Data 2'!$L$2:$L$2198,MATCH(D96,'Data 2'!$A$2:$A$2198,0)), 0)</f>
        <v>-51.6166666666667</v>
      </c>
      <c r="F96" s="39" t="n">
        <f aca="false">IFERROR(INDEX('Data 2'!$M$2:$M$2198,MATCH(D96,'Data 2'!$A$2:$A$2198,0)), 0)</f>
        <v>-22.982375</v>
      </c>
      <c r="H96" s="36"/>
      <c r="I96" s="36"/>
      <c r="J96" s="34" t="s">
        <v>249</v>
      </c>
      <c r="K96" s="39" t="n">
        <f aca="false">IFERROR(INDEX('Data 2'!$L$2:$L$2198,MATCH(J96,'Data 2'!$A$2:$A$2198,0)), 0)</f>
        <v>-12.81</v>
      </c>
      <c r="L96" s="39" t="n">
        <f aca="false">IFERROR(INDEX('Data 2'!$M$2:$M$2198,MATCH(J96,'Data 2'!$A$2:$A$2198,0)), 0)</f>
        <v>16.07</v>
      </c>
      <c r="M96" s="36"/>
      <c r="N96" s="36"/>
      <c r="O96" s="36"/>
      <c r="P96" s="34" t="s">
        <v>410</v>
      </c>
      <c r="Q96" s="39" t="n">
        <f aca="false">IFERROR(INDEX('Data 2'!$L$2:$L$2198,MATCH(P96,'Data 2'!$A$2:$A$2198,0)), 0)</f>
        <v>14.6566666666667</v>
      </c>
      <c r="R96" s="39" t="n">
        <f aca="false">IFERROR(INDEX('Data 2'!$M$2:$M$2198,MATCH(P96,'Data 2'!$A$2:$A$2198,0)), 0)</f>
        <v>113.60875</v>
      </c>
      <c r="S96" s="34" t="s">
        <v>108</v>
      </c>
      <c r="T96" s="39" t="n">
        <f aca="false">IFERROR(INDEX('Data 2'!$L$2:$L$2198,MATCH(S96,'Data 2'!$A$2:$A$2198,0)), 0)</f>
        <v>102.713333333333</v>
      </c>
      <c r="U96" s="39" t="n">
        <f aca="false">IFERROR(INDEX('Data 2'!$M$2:$M$2198,MATCH(S96,'Data 2'!$A$2:$A$2198,0)), 0)</f>
        <v>125.28625</v>
      </c>
      <c r="V96" s="34" t="s">
        <v>208</v>
      </c>
      <c r="W96" s="39" t="n">
        <f aca="false">IFERROR(INDEX('Data 2'!$L$2:$L$2198,MATCH(V96,'Data 2'!$A$2:$A$2198,0)), 0)</f>
        <v>85.1433333333333</v>
      </c>
      <c r="X96" s="39" t="n">
        <f aca="false">IFERROR(INDEX('Data 2'!$M$2:$M$2198,MATCH(V96,'Data 2'!$A$2:$A$2198,0)), 0)</f>
        <v>17.8525</v>
      </c>
      <c r="Y96" s="37"/>
      <c r="Z96" s="37"/>
    </row>
    <row r="97" customFormat="false" ht="15.75" hidden="false" customHeight="true" outlineLevel="0" collapsed="false">
      <c r="A97" s="37"/>
      <c r="B97" s="37"/>
      <c r="C97" s="37"/>
      <c r="D97" s="34" t="s">
        <v>343</v>
      </c>
      <c r="E97" s="39" t="n">
        <f aca="false">IFERROR(INDEX('Data 2'!$L$2:$L$2198,MATCH(D97,'Data 2'!$A$2:$A$2198,0)), 0)</f>
        <v>-34.9433333333333</v>
      </c>
      <c r="F97" s="39" t="n">
        <f aca="false">IFERROR(INDEX('Data 2'!$M$2:$M$2198,MATCH(D97,'Data 2'!$A$2:$A$2198,0)), 0)</f>
        <v>-34.50375</v>
      </c>
      <c r="H97" s="36"/>
      <c r="I97" s="36"/>
      <c r="J97" s="34" t="s">
        <v>411</v>
      </c>
      <c r="K97" s="39" t="n">
        <f aca="false">IFERROR(INDEX('Data 2'!$L$2:$L$2198,MATCH(J97,'Data 2'!$A$2:$A$2198,0)), 0)</f>
        <v>-61.89</v>
      </c>
      <c r="L97" s="39" t="n">
        <f aca="false">IFERROR(INDEX('Data 2'!$M$2:$M$2198,MATCH(J97,'Data 2'!$A$2:$A$2198,0)), 0)</f>
        <v>-63.4625</v>
      </c>
      <c r="M97" s="36"/>
      <c r="N97" s="36"/>
      <c r="O97" s="36"/>
      <c r="P97" s="34" t="s">
        <v>412</v>
      </c>
      <c r="Q97" s="39" t="n">
        <f aca="false">IFERROR(INDEX('Data 2'!$L$2:$L$2198,MATCH(P97,'Data 2'!$A$2:$A$2198,0)), 0)</f>
        <v>-93.3566666666667</v>
      </c>
      <c r="R97" s="39" t="n">
        <f aca="false">IFERROR(INDEX('Data 2'!$M$2:$M$2198,MATCH(P97,'Data 2'!$A$2:$A$2198,0)), 0)</f>
        <v>-81.895</v>
      </c>
      <c r="S97" s="34" t="s">
        <v>59</v>
      </c>
      <c r="T97" s="39" t="n">
        <f aca="false">IFERROR(INDEX('Data 2'!$L$2:$L$2198,MATCH(S97,'Data 2'!$A$2:$A$2198,0)), 0)</f>
        <v>-109.336666666667</v>
      </c>
      <c r="U97" s="39" t="n">
        <f aca="false">IFERROR(INDEX('Data 2'!$M$2:$M$2198,MATCH(S97,'Data 2'!$A$2:$A$2198,0)), 0)</f>
        <v>-42.04375</v>
      </c>
      <c r="V97" s="34" t="s">
        <v>375</v>
      </c>
      <c r="W97" s="39" t="n">
        <f aca="false">IFERROR(INDEX('Data 2'!$L$2:$L$2198,MATCH(V97,'Data 2'!$A$2:$A$2198,0)), 0)</f>
        <v>100.093333333333</v>
      </c>
      <c r="X97" s="39" t="n">
        <f aca="false">IFERROR(INDEX('Data 2'!$M$2:$M$2198,MATCH(V97,'Data 2'!$A$2:$A$2198,0)), 0)</f>
        <v>36.14375</v>
      </c>
      <c r="Y97" s="37"/>
      <c r="Z97" s="37"/>
    </row>
    <row r="98" customFormat="false" ht="15.75" hidden="false" customHeight="true" outlineLevel="0" collapsed="false">
      <c r="A98" s="37"/>
      <c r="B98" s="37"/>
      <c r="C98" s="37"/>
      <c r="D98" s="34" t="s">
        <v>346</v>
      </c>
      <c r="E98" s="39" t="n">
        <f aca="false">IFERROR(INDEX('Data 2'!$L$2:$L$2198,MATCH(D98,'Data 2'!$A$2:$A$2198,0)), 0)</f>
        <v>8.31666666666667</v>
      </c>
      <c r="F98" s="39" t="n">
        <f aca="false">IFERROR(INDEX('Data 2'!$M$2:$M$2198,MATCH(D98,'Data 2'!$A$2:$A$2198,0)), 0)</f>
        <v>18.87375</v>
      </c>
      <c r="H98" s="36"/>
      <c r="I98" s="36"/>
      <c r="J98" s="34" t="s">
        <v>413</v>
      </c>
      <c r="K98" s="39" t="n">
        <f aca="false">IFERROR(INDEX('Data 2'!$L$2:$L$2198,MATCH(J98,'Data 2'!$A$2:$A$2198,0)), 0)</f>
        <v>79.25</v>
      </c>
      <c r="L98" s="39" t="n">
        <f aca="false">IFERROR(INDEX('Data 2'!$M$2:$M$2198,MATCH(J98,'Data 2'!$A$2:$A$2198,0)), 0)</f>
        <v>22.1725</v>
      </c>
      <c r="M98" s="36"/>
      <c r="N98" s="36"/>
      <c r="O98" s="36"/>
      <c r="P98" s="34" t="s">
        <v>194</v>
      </c>
      <c r="Q98" s="39" t="n">
        <f aca="false">IFERROR(INDEX('Data 2'!$L$2:$L$2198,MATCH(P98,'Data 2'!$A$2:$A$2198,0)), 0)</f>
        <v>5.59666666666667</v>
      </c>
      <c r="R98" s="39" t="n">
        <f aca="false">IFERROR(INDEX('Data 2'!$M$2:$M$2198,MATCH(P98,'Data 2'!$A$2:$A$2198,0)), 0)</f>
        <v>-43.44625</v>
      </c>
      <c r="S98" s="34" t="s">
        <v>184</v>
      </c>
      <c r="T98" s="39" t="n">
        <f aca="false">IFERROR(INDEX('Data 2'!$L$2:$L$2198,MATCH(S98,'Data 2'!$A$2:$A$2198,0)), 0)</f>
        <v>-36.83</v>
      </c>
      <c r="U98" s="39" t="n">
        <f aca="false">IFERROR(INDEX('Data 2'!$M$2:$M$2198,MATCH(S98,'Data 2'!$A$2:$A$2198,0)), 0)</f>
        <v>50.1</v>
      </c>
      <c r="V98" s="34" t="s">
        <v>152</v>
      </c>
      <c r="W98" s="39" t="n">
        <f aca="false">IFERROR(INDEX('Data 2'!$L$2:$L$2198,MATCH(V98,'Data 2'!$A$2:$A$2198,0)), 0)</f>
        <v>-31.75</v>
      </c>
      <c r="X98" s="39" t="n">
        <f aca="false">IFERROR(INDEX('Data 2'!$M$2:$M$2198,MATCH(V98,'Data 2'!$A$2:$A$2198,0)), 0)</f>
        <v>-62.4425</v>
      </c>
      <c r="Y98" s="37"/>
      <c r="Z98" s="37"/>
    </row>
    <row r="99" customFormat="false" ht="15.75" hidden="false" customHeight="true" outlineLevel="0" collapsed="false">
      <c r="A99" s="37"/>
      <c r="B99" s="37"/>
      <c r="C99" s="37"/>
      <c r="D99" s="34" t="s">
        <v>104</v>
      </c>
      <c r="E99" s="39" t="n">
        <f aca="false">IFERROR(INDEX('Data 2'!$L$2:$L$2198,MATCH(D99,'Data 2'!$A$2:$A$2198,0)), 0)</f>
        <v>-40.48</v>
      </c>
      <c r="F99" s="39" t="n">
        <f aca="false">IFERROR(INDEX('Data 2'!$M$2:$M$2198,MATCH(D99,'Data 2'!$A$2:$A$2198,0)), 0)</f>
        <v>-1.3775</v>
      </c>
      <c r="H99" s="36"/>
      <c r="I99" s="36"/>
      <c r="J99" s="34" t="s">
        <v>414</v>
      </c>
      <c r="K99" s="39" t="n">
        <f aca="false">IFERROR(INDEX('Data 2'!$L$2:$L$2198,MATCH(J99,'Data 2'!$A$2:$A$2198,0)), 0)</f>
        <v>-6.24666666666667</v>
      </c>
      <c r="L99" s="39" t="n">
        <f aca="false">IFERROR(INDEX('Data 2'!$M$2:$M$2198,MATCH(J99,'Data 2'!$A$2:$A$2198,0)), 0)</f>
        <v>52.8725</v>
      </c>
      <c r="M99" s="36"/>
      <c r="N99" s="36"/>
      <c r="O99" s="36"/>
      <c r="P99" s="34" t="s">
        <v>415</v>
      </c>
      <c r="Q99" s="39" t="n">
        <f aca="false">IFERROR(INDEX('Data 2'!$L$2:$L$2198,MATCH(P99,'Data 2'!$A$2:$A$2198,0)), 0)</f>
        <v>-59.0066666666667</v>
      </c>
      <c r="R99" s="39" t="n">
        <f aca="false">IFERROR(INDEX('Data 2'!$M$2:$M$2198,MATCH(P99,'Data 2'!$A$2:$A$2198,0)), 0)</f>
        <v>-25.75125</v>
      </c>
      <c r="S99" s="34" t="s">
        <v>128</v>
      </c>
      <c r="T99" s="39" t="n">
        <f aca="false">IFERROR(INDEX('Data 2'!$L$2:$L$2198,MATCH(S99,'Data 2'!$A$2:$A$2198,0)), 0)</f>
        <v>-37.3533333333333</v>
      </c>
      <c r="U99" s="39" t="n">
        <f aca="false">IFERROR(INDEX('Data 2'!$M$2:$M$2198,MATCH(S99,'Data 2'!$A$2:$A$2198,0)), 0)</f>
        <v>14.06125</v>
      </c>
      <c r="V99" s="34" t="s">
        <v>327</v>
      </c>
      <c r="W99" s="39" t="n">
        <f aca="false">IFERROR(INDEX('Data 2'!$L$2:$L$2198,MATCH(V99,'Data 2'!$A$2:$A$2198,0)), 0)</f>
        <v>11.0166666666667</v>
      </c>
      <c r="X99" s="39" t="n">
        <f aca="false">IFERROR(INDEX('Data 2'!$M$2:$M$2198,MATCH(V99,'Data 2'!$A$2:$A$2198,0)), 0)</f>
        <v>37.13125</v>
      </c>
      <c r="Y99" s="37"/>
      <c r="Z99" s="37"/>
    </row>
    <row r="100" customFormat="false" ht="15.75" hidden="false" customHeight="true" outlineLevel="0" collapsed="false">
      <c r="A100" s="37"/>
      <c r="B100" s="37"/>
      <c r="C100" s="37"/>
      <c r="D100" s="34" t="s">
        <v>349</v>
      </c>
      <c r="E100" s="39" t="n">
        <f aca="false">IFERROR(INDEX('Data 2'!$L$2:$L$2198,MATCH(D100,'Data 2'!$A$2:$A$2198,0)), 0)</f>
        <v>102.23</v>
      </c>
      <c r="F100" s="39" t="n">
        <f aca="false">IFERROR(INDEX('Data 2'!$M$2:$M$2198,MATCH(D100,'Data 2'!$A$2:$A$2198,0)), 0)</f>
        <v>123.415</v>
      </c>
      <c r="H100" s="36"/>
      <c r="I100" s="36"/>
      <c r="J100" s="34" t="s">
        <v>122</v>
      </c>
      <c r="K100" s="39" t="n">
        <f aca="false">IFERROR(INDEX('Data 2'!$L$2:$L$2198,MATCH(J100,'Data 2'!$A$2:$A$2198,0)), 0)</f>
        <v>43.86</v>
      </c>
      <c r="L100" s="39" t="n">
        <f aca="false">IFERROR(INDEX('Data 2'!$M$2:$M$2198,MATCH(J100,'Data 2'!$A$2:$A$2198,0)), 0)</f>
        <v>76.56</v>
      </c>
      <c r="M100" s="36"/>
      <c r="N100" s="36"/>
      <c r="O100" s="36"/>
      <c r="P100" s="34" t="s">
        <v>301</v>
      </c>
      <c r="Q100" s="39" t="n">
        <f aca="false">IFERROR(INDEX('Data 2'!$L$2:$L$2198,MATCH(P100,'Data 2'!$A$2:$A$2198,0)), 0)</f>
        <v>-52.5533333333333</v>
      </c>
      <c r="R100" s="39" t="n">
        <f aca="false">IFERROR(INDEX('Data 2'!$M$2:$M$2198,MATCH(P100,'Data 2'!$A$2:$A$2198,0)), 0)</f>
        <v>0.891249999999998</v>
      </c>
      <c r="S100" s="34" t="s">
        <v>139</v>
      </c>
      <c r="T100" s="39" t="n">
        <f aca="false">IFERROR(INDEX('Data 2'!$L$2:$L$2198,MATCH(S100,'Data 2'!$A$2:$A$2198,0)), 0)</f>
        <v>-42.98</v>
      </c>
      <c r="U100" s="39" t="n">
        <f aca="false">IFERROR(INDEX('Data 2'!$M$2:$M$2198,MATCH(S100,'Data 2'!$A$2:$A$2198,0)), 0)</f>
        <v>115.09875</v>
      </c>
      <c r="V100" s="34" t="s">
        <v>377</v>
      </c>
      <c r="W100" s="39" t="n">
        <f aca="false">IFERROR(INDEX('Data 2'!$L$2:$L$2198,MATCH(V100,'Data 2'!$A$2:$A$2198,0)), 0)</f>
        <v>-56.65</v>
      </c>
      <c r="X100" s="39" t="n">
        <f aca="false">IFERROR(INDEX('Data 2'!$M$2:$M$2198,MATCH(V100,'Data 2'!$A$2:$A$2198,0)), 0)</f>
        <v>57.13375</v>
      </c>
      <c r="Y100" s="37"/>
      <c r="Z100" s="37"/>
    </row>
    <row r="101" customFormat="false" ht="15.75" hidden="false" customHeight="true" outlineLevel="0" collapsed="false">
      <c r="A101" s="37"/>
      <c r="B101" s="37"/>
      <c r="C101" s="37"/>
      <c r="D101" s="34" t="s">
        <v>352</v>
      </c>
      <c r="E101" s="39" t="n">
        <f aca="false">IFERROR(INDEX('Data 2'!$L$2:$L$2198,MATCH(D101,'Data 2'!$A$2:$A$2198,0)), 0)</f>
        <v>-30.1866666666667</v>
      </c>
      <c r="F101" s="39" t="n">
        <f aca="false">IFERROR(INDEX('Data 2'!$M$2:$M$2198,MATCH(D101,'Data 2'!$A$2:$A$2198,0)), 0)</f>
        <v>63.405</v>
      </c>
      <c r="H101" s="36"/>
      <c r="I101" s="36"/>
      <c r="J101" s="34" t="s">
        <v>117</v>
      </c>
      <c r="K101" s="39" t="n">
        <f aca="false">IFERROR(INDEX('Data 2'!$L$2:$L$2198,MATCH(J101,'Data 2'!$A$2:$A$2198,0)), 0)</f>
        <v>10.9333333333333</v>
      </c>
      <c r="L101" s="39" t="n">
        <f aca="false">IFERROR(INDEX('Data 2'!$M$2:$M$2198,MATCH(J101,'Data 2'!$A$2:$A$2198,0)), 0)</f>
        <v>53.91</v>
      </c>
      <c r="M101" s="36"/>
      <c r="N101" s="36"/>
      <c r="O101" s="36"/>
      <c r="P101" s="34" t="s">
        <v>416</v>
      </c>
      <c r="Q101" s="39" t="n">
        <f aca="false">IFERROR(INDEX('Data 2'!$L$2:$L$2198,MATCH(P101,'Data 2'!$A$2:$A$2198,0)), 0)</f>
        <v>-49.3833333333333</v>
      </c>
      <c r="R101" s="39" t="n">
        <f aca="false">IFERROR(INDEX('Data 2'!$M$2:$M$2198,MATCH(P101,'Data 2'!$A$2:$A$2198,0)), 0)</f>
        <v>-87.24</v>
      </c>
      <c r="S101" s="34" t="s">
        <v>72</v>
      </c>
      <c r="T101" s="39" t="n">
        <f aca="false">IFERROR(INDEX('Data 2'!$L$2:$L$2198,MATCH(S101,'Data 2'!$A$2:$A$2198,0)), 0)</f>
        <v>-5.29333333333333</v>
      </c>
      <c r="U101" s="39" t="n">
        <f aca="false">IFERROR(INDEX('Data 2'!$M$2:$M$2198,MATCH(S101,'Data 2'!$A$2:$A$2198,0)), 0)</f>
        <v>70.68875</v>
      </c>
      <c r="V101" s="34" t="s">
        <v>378</v>
      </c>
      <c r="W101" s="39" t="n">
        <f aca="false">IFERROR(INDEX('Data 2'!$L$2:$L$2198,MATCH(V101,'Data 2'!$A$2:$A$2198,0)), 0)</f>
        <v>89.28</v>
      </c>
      <c r="X101" s="39" t="n">
        <f aca="false">IFERROR(INDEX('Data 2'!$M$2:$M$2198,MATCH(V101,'Data 2'!$A$2:$A$2198,0)), 0)</f>
        <v>139.29</v>
      </c>
      <c r="Y101" s="37"/>
      <c r="Z101" s="37"/>
    </row>
    <row r="102" customFormat="false" ht="15.75" hidden="false" customHeight="true" outlineLevel="0" collapsed="false">
      <c r="A102" s="37"/>
      <c r="B102" s="37"/>
      <c r="C102" s="37"/>
      <c r="D102" s="34" t="s">
        <v>319</v>
      </c>
      <c r="E102" s="39" t="n">
        <f aca="false">IFERROR(INDEX('Data 2'!$L$2:$L$2198,MATCH(D102,'Data 2'!$A$2:$A$2198,0)), 0)</f>
        <v>6.56333333333333</v>
      </c>
      <c r="F102" s="39" t="n">
        <f aca="false">IFERROR(INDEX('Data 2'!$M$2:$M$2198,MATCH(D102,'Data 2'!$A$2:$A$2198,0)), 0)</f>
        <v>-24.7375</v>
      </c>
      <c r="H102" s="36"/>
      <c r="I102" s="36"/>
      <c r="J102" s="34" t="s">
        <v>262</v>
      </c>
      <c r="K102" s="39" t="n">
        <f aca="false">IFERROR(INDEX('Data 2'!$L$2:$L$2198,MATCH(J102,'Data 2'!$A$2:$A$2198,0)), 0)</f>
        <v>-84.06</v>
      </c>
      <c r="L102" s="39" t="n">
        <f aca="false">IFERROR(INDEX('Data 2'!$M$2:$M$2198,MATCH(J102,'Data 2'!$A$2:$A$2198,0)), 0)</f>
        <v>-28.10375</v>
      </c>
      <c r="M102" s="36"/>
      <c r="N102" s="36"/>
      <c r="O102" s="36"/>
      <c r="P102" s="34" t="s">
        <v>417</v>
      </c>
      <c r="Q102" s="39" t="n">
        <f aca="false">IFERROR(INDEX('Data 2'!$L$2:$L$2198,MATCH(P102,'Data 2'!$A$2:$A$2198,0)), 0)</f>
        <v>-6.87333333333334</v>
      </c>
      <c r="R102" s="39" t="n">
        <f aca="false">IFERROR(INDEX('Data 2'!$M$2:$M$2198,MATCH(P102,'Data 2'!$A$2:$A$2198,0)), 0)</f>
        <v>53.02125</v>
      </c>
      <c r="S102" s="34" t="s">
        <v>192</v>
      </c>
      <c r="T102" s="39" t="n">
        <f aca="false">IFERROR(INDEX('Data 2'!$L$2:$L$2198,MATCH(S102,'Data 2'!$A$2:$A$2198,0)), 0)</f>
        <v>29.87</v>
      </c>
      <c r="U102" s="39" t="n">
        <f aca="false">IFERROR(INDEX('Data 2'!$M$2:$M$2198,MATCH(S102,'Data 2'!$A$2:$A$2198,0)), 0)</f>
        <v>-15.08125</v>
      </c>
      <c r="V102" s="34" t="s">
        <v>205</v>
      </c>
      <c r="W102" s="39" t="n">
        <f aca="false">IFERROR(INDEX('Data 2'!$L$2:$L$2198,MATCH(V102,'Data 2'!$A$2:$A$2198,0)), 0)</f>
        <v>-75.23</v>
      </c>
      <c r="X102" s="39" t="n">
        <f aca="false">IFERROR(INDEX('Data 2'!$M$2:$M$2198,MATCH(V102,'Data 2'!$A$2:$A$2198,0)), 0)</f>
        <v>-103.5975</v>
      </c>
      <c r="Y102" s="37"/>
      <c r="Z102" s="37"/>
    </row>
    <row r="103" customFormat="false" ht="15.75" hidden="false" customHeight="true" outlineLevel="0" collapsed="false">
      <c r="A103" s="37"/>
      <c r="B103" s="37"/>
      <c r="C103" s="37"/>
      <c r="D103" s="34" t="s">
        <v>293</v>
      </c>
      <c r="E103" s="39" t="n">
        <f aca="false">IFERROR(INDEX('Data 2'!$L$2:$L$2198,MATCH(D103,'Data 2'!$A$2:$A$2198,0)), 0)</f>
        <v>-59.95</v>
      </c>
      <c r="F103" s="39" t="n">
        <f aca="false">IFERROR(INDEX('Data 2'!$M$2:$M$2198,MATCH(D103,'Data 2'!$A$2:$A$2198,0)), 0)</f>
        <v>-69.39</v>
      </c>
      <c r="H103" s="36"/>
      <c r="I103" s="36"/>
      <c r="J103" s="34" t="s">
        <v>64</v>
      </c>
      <c r="K103" s="39" t="n">
        <f aca="false">IFERROR(INDEX('Data 2'!$L$2:$L$2198,MATCH(J103,'Data 2'!$A$2:$A$2198,0)), 0)</f>
        <v>-54.1166666666667</v>
      </c>
      <c r="L103" s="39" t="n">
        <f aca="false">IFERROR(INDEX('Data 2'!$M$2:$M$2198,MATCH(J103,'Data 2'!$A$2:$A$2198,0)), 0)</f>
        <v>-5.7575</v>
      </c>
      <c r="M103" s="36"/>
      <c r="N103" s="36"/>
      <c r="O103" s="36"/>
      <c r="P103" s="34" t="s">
        <v>185</v>
      </c>
      <c r="Q103" s="39" t="n">
        <f aca="false">IFERROR(INDEX('Data 2'!$L$2:$L$2198,MATCH(P103,'Data 2'!$A$2:$A$2198,0)), 0)</f>
        <v>83.96</v>
      </c>
      <c r="R103" s="39" t="n">
        <f aca="false">IFERROR(INDEX('Data 2'!$M$2:$M$2198,MATCH(P103,'Data 2'!$A$2:$A$2198,0)), 0)</f>
        <v>36.61875</v>
      </c>
      <c r="S103" s="34" t="s">
        <v>193</v>
      </c>
      <c r="T103" s="39" t="n">
        <f aca="false">IFERROR(INDEX('Data 2'!$L$2:$L$2198,MATCH(S103,'Data 2'!$A$2:$A$2198,0)), 0)</f>
        <v>-91.0833333333333</v>
      </c>
      <c r="U103" s="39" t="n">
        <f aca="false">IFERROR(INDEX('Data 2'!$M$2:$M$2198,MATCH(S103,'Data 2'!$A$2:$A$2198,0)), 0)</f>
        <v>-69.4225</v>
      </c>
      <c r="V103" s="34" t="s">
        <v>96</v>
      </c>
      <c r="W103" s="39" t="n">
        <f aca="false">IFERROR(INDEX('Data 2'!$L$2:$L$2198,MATCH(V103,'Data 2'!$A$2:$A$2198,0)), 0)</f>
        <v>122.496666666667</v>
      </c>
      <c r="X103" s="39" t="n">
        <f aca="false">IFERROR(INDEX('Data 2'!$M$2:$M$2198,MATCH(V103,'Data 2'!$A$2:$A$2198,0)), 0)</f>
        <v>149.74</v>
      </c>
      <c r="Y103" s="37"/>
      <c r="Z103" s="37"/>
    </row>
    <row r="104" customFormat="false" ht="15.75" hidden="false" customHeight="true" outlineLevel="0" collapsed="false">
      <c r="A104" s="37"/>
      <c r="B104" s="37"/>
      <c r="C104" s="37"/>
      <c r="D104" s="34" t="s">
        <v>355</v>
      </c>
      <c r="E104" s="39" t="n">
        <f aca="false">IFERROR(INDEX('Data 2'!$L$2:$L$2198,MATCH(D104,'Data 2'!$A$2:$A$2198,0)), 0)</f>
        <v>-36.6233333333333</v>
      </c>
      <c r="F104" s="39" t="n">
        <f aca="false">IFERROR(INDEX('Data 2'!$M$2:$M$2198,MATCH(D104,'Data 2'!$A$2:$A$2198,0)), 0)</f>
        <v>-49.90625</v>
      </c>
      <c r="H104" s="36"/>
      <c r="I104" s="36"/>
      <c r="J104" s="34" t="s">
        <v>418</v>
      </c>
      <c r="K104" s="39" t="n">
        <f aca="false">IFERROR(INDEX('Data 2'!$L$2:$L$2198,MATCH(J104,'Data 2'!$A$2:$A$2198,0)), 0)</f>
        <v>81.9566666666667</v>
      </c>
      <c r="L104" s="39" t="n">
        <f aca="false">IFERROR(INDEX('Data 2'!$M$2:$M$2198,MATCH(J104,'Data 2'!$A$2:$A$2198,0)), 0)</f>
        <v>113.425</v>
      </c>
      <c r="M104" s="36"/>
      <c r="N104" s="36"/>
      <c r="O104" s="36"/>
      <c r="P104" s="34" t="s">
        <v>419</v>
      </c>
      <c r="Q104" s="39" t="n">
        <f aca="false">IFERROR(INDEX('Data 2'!$L$2:$L$2198,MATCH(P104,'Data 2'!$A$2:$A$2198,0)), 0)</f>
        <v>14.93</v>
      </c>
      <c r="R104" s="39" t="n">
        <f aca="false">IFERROR(INDEX('Data 2'!$M$2:$M$2198,MATCH(P104,'Data 2'!$A$2:$A$2198,0)), 0)</f>
        <v>7.26875</v>
      </c>
      <c r="S104" s="34" t="s">
        <v>187</v>
      </c>
      <c r="T104" s="39" t="n">
        <f aca="false">IFERROR(INDEX('Data 2'!$L$2:$L$2198,MATCH(S104,'Data 2'!$A$2:$A$2198,0)), 0)</f>
        <v>13.29</v>
      </c>
      <c r="U104" s="39" t="n">
        <f aca="false">IFERROR(INDEX('Data 2'!$M$2:$M$2198,MATCH(S104,'Data 2'!$A$2:$A$2198,0)), 0)</f>
        <v>128.03375</v>
      </c>
      <c r="V104" s="34" t="s">
        <v>233</v>
      </c>
      <c r="W104" s="39" t="n">
        <f aca="false">IFERROR(INDEX('Data 2'!$L$2:$L$2198,MATCH(V104,'Data 2'!$A$2:$A$2198,0)), 0)</f>
        <v>32.1466666666667</v>
      </c>
      <c r="X104" s="39" t="n">
        <f aca="false">IFERROR(INDEX('Data 2'!$M$2:$M$2198,MATCH(V104,'Data 2'!$A$2:$A$2198,0)), 0)</f>
        <v>-12.21375</v>
      </c>
      <c r="Y104" s="37"/>
      <c r="Z104" s="37"/>
    </row>
    <row r="105" customFormat="false" ht="15.75" hidden="false" customHeight="true" outlineLevel="0" collapsed="false">
      <c r="A105" s="37"/>
      <c r="B105" s="37"/>
      <c r="C105" s="37"/>
      <c r="D105" s="34" t="s">
        <v>358</v>
      </c>
      <c r="E105" s="39" t="n">
        <f aca="false">IFERROR(INDEX('Data 2'!$L$2:$L$2198,MATCH(D105,'Data 2'!$A$2:$A$2198,0)), 0)</f>
        <v>-46.8633333333333</v>
      </c>
      <c r="F105" s="39" t="n">
        <f aca="false">IFERROR(INDEX('Data 2'!$M$2:$M$2198,MATCH(D105,'Data 2'!$A$2:$A$2198,0)), 0)</f>
        <v>-93.80375</v>
      </c>
      <c r="H105" s="36"/>
      <c r="I105" s="36"/>
      <c r="J105" s="34" t="s">
        <v>53</v>
      </c>
      <c r="K105" s="39" t="n">
        <f aca="false">IFERROR(INDEX('Data 2'!$L$2:$L$2198,MATCH(J105,'Data 2'!$A$2:$A$2198,0)), 0)</f>
        <v>-2.34333333333333</v>
      </c>
      <c r="L105" s="39" t="n">
        <f aca="false">IFERROR(INDEX('Data 2'!$M$2:$M$2198,MATCH(J105,'Data 2'!$A$2:$A$2198,0)), 0)</f>
        <v>-29.05625</v>
      </c>
      <c r="M105" s="36"/>
      <c r="N105" s="36"/>
      <c r="O105" s="36"/>
      <c r="P105" s="34" t="s">
        <v>420</v>
      </c>
      <c r="Q105" s="39" t="n">
        <f aca="false">IFERROR(INDEX('Data 2'!$L$2:$L$2198,MATCH(P105,'Data 2'!$A$2:$A$2198,0)), 0)</f>
        <v>-12.84</v>
      </c>
      <c r="R105" s="39" t="n">
        <f aca="false">IFERROR(INDEX('Data 2'!$M$2:$M$2198,MATCH(P105,'Data 2'!$A$2:$A$2198,0)), 0)</f>
        <v>66.17</v>
      </c>
      <c r="S105" s="34" t="s">
        <v>371</v>
      </c>
      <c r="T105" s="39" t="n">
        <f aca="false">IFERROR(INDEX('Data 2'!$L$2:$L$2198,MATCH(S105,'Data 2'!$A$2:$A$2198,0)), 0)</f>
        <v>-62.21</v>
      </c>
      <c r="U105" s="39" t="n">
        <f aca="false">IFERROR(INDEX('Data 2'!$M$2:$M$2198,MATCH(S105,'Data 2'!$A$2:$A$2198,0)), 0)</f>
        <v>-59.4625</v>
      </c>
      <c r="V105" s="34" t="s">
        <v>379</v>
      </c>
      <c r="W105" s="39" t="n">
        <f aca="false">IFERROR(INDEX('Data 2'!$L$2:$L$2198,MATCH(V105,'Data 2'!$A$2:$A$2198,0)), 0)</f>
        <v>-5.97333333333333</v>
      </c>
      <c r="X105" s="39" t="n">
        <f aca="false">IFERROR(INDEX('Data 2'!$M$2:$M$2198,MATCH(V105,'Data 2'!$A$2:$A$2198,0)), 0)</f>
        <v>18.19875</v>
      </c>
      <c r="Y105" s="37"/>
      <c r="Z105" s="37"/>
    </row>
    <row r="106" customFormat="false" ht="15.75" hidden="false" customHeight="true" outlineLevel="0" collapsed="false">
      <c r="A106" s="37"/>
      <c r="B106" s="37"/>
      <c r="C106" s="37"/>
      <c r="D106" s="34" t="s">
        <v>360</v>
      </c>
      <c r="E106" s="39" t="n">
        <f aca="false">IFERROR(INDEX('Data 2'!$L$2:$L$2198,MATCH(D106,'Data 2'!$A$2:$A$2198,0)), 0)</f>
        <v>-82.19</v>
      </c>
      <c r="F106" s="39" t="n">
        <f aca="false">IFERROR(INDEX('Data 2'!$M$2:$M$2198,MATCH(D106,'Data 2'!$A$2:$A$2198,0)), 0)</f>
        <v>-82.43375</v>
      </c>
      <c r="H106" s="36"/>
      <c r="I106" s="36"/>
      <c r="J106" s="34" t="s">
        <v>236</v>
      </c>
      <c r="K106" s="39" t="n">
        <f aca="false">IFERROR(INDEX('Data 2'!$L$2:$L$2198,MATCH(J106,'Data 2'!$A$2:$A$2198,0)), 0)</f>
        <v>-10.8966666666667</v>
      </c>
      <c r="L106" s="39" t="n">
        <f aca="false">IFERROR(INDEX('Data 2'!$M$2:$M$2198,MATCH(J106,'Data 2'!$A$2:$A$2198,0)), 0)</f>
        <v>-48.05875</v>
      </c>
      <c r="M106" s="36"/>
      <c r="N106" s="36"/>
      <c r="O106" s="36"/>
      <c r="P106" s="34" t="s">
        <v>303</v>
      </c>
      <c r="Q106" s="39" t="n">
        <f aca="false">IFERROR(INDEX('Data 2'!$L$2:$L$2198,MATCH(P106,'Data 2'!$A$2:$A$2198,0)), 0)</f>
        <v>-6.21466666666667</v>
      </c>
      <c r="R106" s="39" t="n">
        <f aca="false">IFERROR(INDEX('Data 2'!$M$2:$M$2198,MATCH(P106,'Data 2'!$A$2:$A$2198,0)), 0)</f>
        <v>-51.14675</v>
      </c>
      <c r="S106" s="34" t="s">
        <v>372</v>
      </c>
      <c r="T106" s="39" t="n">
        <f aca="false">IFERROR(INDEX('Data 2'!$L$2:$L$2198,MATCH(S106,'Data 2'!$A$2:$A$2198,0)), 0)</f>
        <v>-36.98</v>
      </c>
      <c r="U106" s="39" t="n">
        <f aca="false">IFERROR(INDEX('Data 2'!$M$2:$M$2198,MATCH(S106,'Data 2'!$A$2:$A$2198,0)), 0)</f>
        <v>20.765</v>
      </c>
      <c r="V106" s="34" t="s">
        <v>200</v>
      </c>
      <c r="W106" s="39" t="n">
        <f aca="false">IFERROR(INDEX('Data 2'!$L$2:$L$2198,MATCH(V106,'Data 2'!$A$2:$A$2198,0)), 0)</f>
        <v>-37.3566666666667</v>
      </c>
      <c r="X106" s="39" t="n">
        <f aca="false">IFERROR(INDEX('Data 2'!$M$2:$M$2198,MATCH(V106,'Data 2'!$A$2:$A$2198,0)), 0)</f>
        <v>67.6425</v>
      </c>
      <c r="Y106" s="37"/>
      <c r="Z106" s="37"/>
    </row>
    <row r="107" customFormat="false" ht="15.75" hidden="false" customHeight="true" outlineLevel="0" collapsed="false">
      <c r="A107" s="37"/>
      <c r="B107" s="37"/>
      <c r="C107" s="37"/>
      <c r="D107" s="34" t="s">
        <v>214</v>
      </c>
      <c r="E107" s="39" t="n">
        <f aca="false">IFERROR(INDEX('Data 2'!$L$2:$L$2198,MATCH(D107,'Data 2'!$A$2:$A$2198,0)), 0)</f>
        <v>-51.1466666666667</v>
      </c>
      <c r="F107" s="39" t="n">
        <f aca="false">IFERROR(INDEX('Data 2'!$M$2:$M$2198,MATCH(D107,'Data 2'!$A$2:$A$2198,0)), 0)</f>
        <v>-20.8325</v>
      </c>
      <c r="H107" s="36"/>
      <c r="I107" s="36"/>
      <c r="J107" s="34" t="s">
        <v>215</v>
      </c>
      <c r="K107" s="39" t="n">
        <f aca="false">IFERROR(INDEX('Data 2'!$L$2:$L$2198,MATCH(J107,'Data 2'!$A$2:$A$2198,0)), 0)</f>
        <v>96.4633333333334</v>
      </c>
      <c r="L107" s="39" t="n">
        <f aca="false">IFERROR(INDEX('Data 2'!$M$2:$M$2198,MATCH(J107,'Data 2'!$A$2:$A$2198,0)), 0)</f>
        <v>176.52125</v>
      </c>
      <c r="M107" s="36"/>
      <c r="N107" s="36"/>
      <c r="O107" s="36"/>
      <c r="P107" s="34" t="s">
        <v>421</v>
      </c>
      <c r="Q107" s="39" t="n">
        <f aca="false">IFERROR(INDEX('Data 2'!$L$2:$L$2198,MATCH(P107,'Data 2'!$A$2:$A$2198,0)), 0)</f>
        <v>-130.86</v>
      </c>
      <c r="R107" s="39" t="n">
        <f aca="false">IFERROR(INDEX('Data 2'!$M$2:$M$2198,MATCH(P107,'Data 2'!$A$2:$A$2198,0)), 0)</f>
        <v>-80.10125</v>
      </c>
      <c r="S107" s="34" t="s">
        <v>374</v>
      </c>
      <c r="T107" s="39" t="n">
        <f aca="false">IFERROR(INDEX('Data 2'!$L$2:$L$2198,MATCH(S107,'Data 2'!$A$2:$A$2198,0)), 0)</f>
        <v>0.726666666666669</v>
      </c>
      <c r="U107" s="39" t="n">
        <f aca="false">IFERROR(INDEX('Data 2'!$M$2:$M$2198,MATCH(S107,'Data 2'!$A$2:$A$2198,0)), 0)</f>
        <v>0.278749999999999</v>
      </c>
      <c r="V107" s="34" t="s">
        <v>381</v>
      </c>
      <c r="W107" s="39" t="n">
        <f aca="false">IFERROR(INDEX('Data 2'!$L$2:$L$2198,MATCH(V107,'Data 2'!$A$2:$A$2198,0)), 0)</f>
        <v>99.1133333333333</v>
      </c>
      <c r="X107" s="39" t="n">
        <f aca="false">IFERROR(INDEX('Data 2'!$M$2:$M$2198,MATCH(V107,'Data 2'!$A$2:$A$2198,0)), 0)</f>
        <v>28.86375</v>
      </c>
      <c r="Y107" s="37"/>
      <c r="Z107" s="37"/>
    </row>
    <row r="108" customFormat="false" ht="15.75" hidden="false" customHeight="true" outlineLevel="0" collapsed="false">
      <c r="A108" s="37"/>
      <c r="B108" s="37"/>
      <c r="C108" s="37"/>
      <c r="D108" s="34" t="s">
        <v>363</v>
      </c>
      <c r="E108" s="39" t="n">
        <f aca="false">IFERROR(INDEX('Data 2'!$L$2:$L$2198,MATCH(D108,'Data 2'!$A$2:$A$2198,0)), 0)</f>
        <v>-47.8033333333333</v>
      </c>
      <c r="F108" s="39" t="n">
        <f aca="false">IFERROR(INDEX('Data 2'!$M$2:$M$2198,MATCH(D108,'Data 2'!$A$2:$A$2198,0)), 0)</f>
        <v>-21.0425</v>
      </c>
      <c r="H108" s="36"/>
      <c r="I108" s="36"/>
      <c r="J108" s="34" t="s">
        <v>54</v>
      </c>
      <c r="K108" s="39" t="n">
        <f aca="false">IFERROR(INDEX('Data 2'!$L$2:$L$2198,MATCH(J108,'Data 2'!$A$2:$A$2198,0)), 0)</f>
        <v>-8.38666666666667</v>
      </c>
      <c r="L108" s="39" t="n">
        <f aca="false">IFERROR(INDEX('Data 2'!$M$2:$M$2198,MATCH(J108,'Data 2'!$A$2:$A$2198,0)), 0)</f>
        <v>-5.17875</v>
      </c>
      <c r="M108" s="36"/>
      <c r="N108" s="36"/>
      <c r="O108" s="36"/>
      <c r="P108" s="34" t="s">
        <v>422</v>
      </c>
      <c r="Q108" s="39" t="n">
        <f aca="false">IFERROR(INDEX('Data 2'!$L$2:$L$2198,MATCH(P108,'Data 2'!$A$2:$A$2198,0)), 0)</f>
        <v>75.28</v>
      </c>
      <c r="R108" s="39" t="n">
        <f aca="false">IFERROR(INDEX('Data 2'!$M$2:$M$2198,MATCH(P108,'Data 2'!$A$2:$A$2198,0)), 0)</f>
        <v>184.3775</v>
      </c>
      <c r="S108" s="34" t="s">
        <v>212</v>
      </c>
      <c r="T108" s="39" t="n">
        <f aca="false">IFERROR(INDEX('Data 2'!$L$2:$L$2198,MATCH(S108,'Data 2'!$A$2:$A$2198,0)), 0)</f>
        <v>-33.8</v>
      </c>
      <c r="U108" s="39" t="n">
        <f aca="false">IFERROR(INDEX('Data 2'!$M$2:$M$2198,MATCH(S108,'Data 2'!$A$2:$A$2198,0)), 0)</f>
        <v>-49.33625</v>
      </c>
      <c r="V108" s="34" t="s">
        <v>383</v>
      </c>
      <c r="W108" s="39" t="n">
        <f aca="false">IFERROR(INDEX('Data 2'!$L$2:$L$2198,MATCH(V108,'Data 2'!$A$2:$A$2198,0)), 0)</f>
        <v>108.013333333333</v>
      </c>
      <c r="X108" s="39" t="n">
        <f aca="false">IFERROR(INDEX('Data 2'!$M$2:$M$2198,MATCH(V108,'Data 2'!$A$2:$A$2198,0)), 0)</f>
        <v>50.36375</v>
      </c>
      <c r="Y108" s="37"/>
      <c r="Z108" s="37"/>
    </row>
    <row r="109" customFormat="false" ht="15.75" hidden="false" customHeight="true" outlineLevel="0" collapsed="false">
      <c r="A109" s="37"/>
      <c r="B109" s="37"/>
      <c r="C109" s="37"/>
      <c r="D109" s="34" t="s">
        <v>364</v>
      </c>
      <c r="E109" s="39" t="n">
        <f aca="false">IFERROR(INDEX('Data 2'!$L$2:$L$2198,MATCH(D109,'Data 2'!$A$2:$A$2198,0)), 0)</f>
        <v>36.0033333333333</v>
      </c>
      <c r="F109" s="39" t="n">
        <f aca="false">IFERROR(INDEX('Data 2'!$M$2:$M$2198,MATCH(D109,'Data 2'!$A$2:$A$2198,0)), 0)</f>
        <v>13.88125</v>
      </c>
      <c r="H109" s="36"/>
      <c r="I109" s="36"/>
      <c r="J109" s="34" t="s">
        <v>211</v>
      </c>
      <c r="K109" s="39" t="n">
        <f aca="false">IFERROR(INDEX('Data 2'!$L$2:$L$2198,MATCH(J109,'Data 2'!$A$2:$A$2198,0)), 0)</f>
        <v>7.07</v>
      </c>
      <c r="L109" s="39" t="n">
        <f aca="false">IFERROR(INDEX('Data 2'!$M$2:$M$2198,MATCH(J109,'Data 2'!$A$2:$A$2198,0)), 0)</f>
        <v>80.28125</v>
      </c>
      <c r="M109" s="36"/>
      <c r="N109" s="36"/>
      <c r="O109" s="36"/>
      <c r="P109" s="34" t="s">
        <v>218</v>
      </c>
      <c r="Q109" s="39" t="n">
        <f aca="false">IFERROR(INDEX('Data 2'!$L$2:$L$2198,MATCH(P109,'Data 2'!$A$2:$A$2198,0)), 0)</f>
        <v>-36.2733333333333</v>
      </c>
      <c r="R109" s="39" t="n">
        <f aca="false">IFERROR(INDEX('Data 2'!$M$2:$M$2198,MATCH(P109,'Data 2'!$A$2:$A$2198,0)), 0)</f>
        <v>-83.11125</v>
      </c>
      <c r="S109" s="34" t="s">
        <v>42</v>
      </c>
      <c r="T109" s="39" t="n">
        <f aca="false">IFERROR(INDEX('Data 2'!$L$2:$L$2198,MATCH(S109,'Data 2'!$A$2:$A$2198,0)), 0)</f>
        <v>2.00666666666667</v>
      </c>
      <c r="U109" s="39" t="n">
        <f aca="false">IFERROR(INDEX('Data 2'!$M$2:$M$2198,MATCH(S109,'Data 2'!$A$2:$A$2198,0)), 0)</f>
        <v>7.39</v>
      </c>
      <c r="V109" s="34" t="s">
        <v>188</v>
      </c>
      <c r="W109" s="39" t="n">
        <f aca="false">IFERROR(INDEX('Data 2'!$L$2:$L$2198,MATCH(V109,'Data 2'!$A$2:$A$2198,0)), 0)</f>
        <v>-73.2266666666667</v>
      </c>
      <c r="X109" s="39" t="n">
        <f aca="false">IFERROR(INDEX('Data 2'!$M$2:$M$2198,MATCH(V109,'Data 2'!$A$2:$A$2198,0)), 0)</f>
        <v>-106.525</v>
      </c>
      <c r="Y109" s="37"/>
      <c r="Z109" s="37"/>
    </row>
    <row r="110" customFormat="false" ht="15.75" hidden="false" customHeight="true" outlineLevel="0" collapsed="false">
      <c r="A110" s="37"/>
      <c r="B110" s="37"/>
      <c r="C110" s="37"/>
      <c r="D110" s="34" t="s">
        <v>366</v>
      </c>
      <c r="E110" s="39" t="n">
        <f aca="false">IFERROR(INDEX('Data 2'!$L$2:$L$2198,MATCH(D110,'Data 2'!$A$2:$A$2198,0)), 0)</f>
        <v>84.1333333333333</v>
      </c>
      <c r="F110" s="39" t="n">
        <f aca="false">IFERROR(INDEX('Data 2'!$M$2:$M$2198,MATCH(D110,'Data 2'!$A$2:$A$2198,0)), 0)</f>
        <v>180.12625</v>
      </c>
      <c r="H110" s="36"/>
      <c r="I110" s="36"/>
      <c r="J110" s="34" t="s">
        <v>148</v>
      </c>
      <c r="K110" s="39" t="n">
        <f aca="false">IFERROR(INDEX('Data 2'!$L$2:$L$2198,MATCH(J110,'Data 2'!$A$2:$A$2198,0)), 0)</f>
        <v>69.39</v>
      </c>
      <c r="L110" s="39" t="n">
        <f aca="false">IFERROR(INDEX('Data 2'!$M$2:$M$2198,MATCH(J110,'Data 2'!$A$2:$A$2198,0)), 0)</f>
        <v>9.4825</v>
      </c>
      <c r="M110" s="36"/>
      <c r="N110" s="36"/>
      <c r="O110" s="36"/>
      <c r="P110" s="34" t="s">
        <v>423</v>
      </c>
      <c r="Q110" s="39" t="n">
        <f aca="false">IFERROR(INDEX('Data 2'!$L$2:$L$2198,MATCH(P110,'Data 2'!$A$2:$A$2198,0)), 0)</f>
        <v>-5.86</v>
      </c>
      <c r="R110" s="39" t="n">
        <f aca="false">IFERROR(INDEX('Data 2'!$M$2:$M$2198,MATCH(P110,'Data 2'!$A$2:$A$2198,0)), 0)</f>
        <v>-41.27125</v>
      </c>
      <c r="S110" s="34" t="s">
        <v>199</v>
      </c>
      <c r="T110" s="39" t="n">
        <f aca="false">IFERROR(INDEX('Data 2'!$L$2:$L$2198,MATCH(S110,'Data 2'!$A$2:$A$2198,0)), 0)</f>
        <v>-50.6866666666667</v>
      </c>
      <c r="U110" s="39" t="n">
        <f aca="false">IFERROR(INDEX('Data 2'!$M$2:$M$2198,MATCH(S110,'Data 2'!$A$2:$A$2198,0)), 0)</f>
        <v>-6.45625</v>
      </c>
      <c r="V110" s="34" t="s">
        <v>247</v>
      </c>
      <c r="W110" s="39" t="n">
        <f aca="false">IFERROR(INDEX('Data 2'!$L$2:$L$2198,MATCH(V110,'Data 2'!$A$2:$A$2198,0)), 0)</f>
        <v>80.6433333333333</v>
      </c>
      <c r="X110" s="39" t="n">
        <f aca="false">IFERROR(INDEX('Data 2'!$M$2:$M$2198,MATCH(V110,'Data 2'!$A$2:$A$2198,0)), 0)</f>
        <v>109.85375</v>
      </c>
      <c r="Y110" s="37"/>
      <c r="Z110" s="37"/>
    </row>
    <row r="111" customFormat="false" ht="15.75" hidden="false" customHeight="true" outlineLevel="0" collapsed="false">
      <c r="A111" s="37"/>
      <c r="B111" s="37"/>
      <c r="C111" s="37"/>
      <c r="D111" s="34" t="s">
        <v>103</v>
      </c>
      <c r="E111" s="39" t="n">
        <f aca="false">IFERROR(INDEX('Data 2'!$L$2:$L$2198,MATCH(D111,'Data 2'!$A$2:$A$2198,0)), 0)</f>
        <v>28.71</v>
      </c>
      <c r="F111" s="39" t="n">
        <f aca="false">IFERROR(INDEX('Data 2'!$M$2:$M$2198,MATCH(D111,'Data 2'!$A$2:$A$2198,0)), 0)</f>
        <v>19.7575</v>
      </c>
      <c r="H111" s="36"/>
      <c r="I111" s="36"/>
      <c r="J111" s="34" t="s">
        <v>124</v>
      </c>
      <c r="K111" s="39" t="n">
        <f aca="false">IFERROR(INDEX('Data 2'!$L$2:$L$2198,MATCH(J111,'Data 2'!$A$2:$A$2198,0)), 0)</f>
        <v>13.7066666666667</v>
      </c>
      <c r="L111" s="39" t="n">
        <f aca="false">IFERROR(INDEX('Data 2'!$M$2:$M$2198,MATCH(J111,'Data 2'!$A$2:$A$2198,0)), 0)</f>
        <v>-9.18125</v>
      </c>
      <c r="M111" s="36"/>
      <c r="N111" s="36"/>
      <c r="O111" s="36"/>
      <c r="P111" s="34" t="s">
        <v>424</v>
      </c>
      <c r="Q111" s="39" t="n">
        <f aca="false">IFERROR(INDEX('Data 2'!$L$2:$L$2198,MATCH(P111,'Data 2'!$A$2:$A$2198,0)), 0)</f>
        <v>-58.9533333333333</v>
      </c>
      <c r="R111" s="39" t="n">
        <f aca="false">IFERROR(INDEX('Data 2'!$M$2:$M$2198,MATCH(P111,'Data 2'!$A$2:$A$2198,0)), 0)</f>
        <v>-29.48875</v>
      </c>
      <c r="S111" s="34" t="s">
        <v>186</v>
      </c>
      <c r="T111" s="39" t="n">
        <f aca="false">IFERROR(INDEX('Data 2'!$L$2:$L$2198,MATCH(S111,'Data 2'!$A$2:$A$2198,0)), 0)</f>
        <v>-62.5766666666667</v>
      </c>
      <c r="U111" s="39" t="n">
        <f aca="false">IFERROR(INDEX('Data 2'!$M$2:$M$2198,MATCH(S111,'Data 2'!$A$2:$A$2198,0)), 0)</f>
        <v>-21.6625</v>
      </c>
      <c r="V111" s="34" t="s">
        <v>384</v>
      </c>
      <c r="W111" s="39" t="n">
        <f aca="false">IFERROR(INDEX('Data 2'!$L$2:$L$2198,MATCH(V111,'Data 2'!$A$2:$A$2198,0)), 0)</f>
        <v>28.1266666666667</v>
      </c>
      <c r="X111" s="39" t="n">
        <f aca="false">IFERROR(INDEX('Data 2'!$M$2:$M$2198,MATCH(V111,'Data 2'!$A$2:$A$2198,0)), 0)</f>
        <v>34.0775</v>
      </c>
      <c r="Y111" s="37"/>
      <c r="Z111" s="37"/>
    </row>
    <row r="112" customFormat="false" ht="15.75" hidden="false" customHeight="true" outlineLevel="0" collapsed="false">
      <c r="A112" s="37"/>
      <c r="B112" s="37"/>
      <c r="C112" s="37"/>
      <c r="D112" s="34" t="s">
        <v>368</v>
      </c>
      <c r="E112" s="39" t="n">
        <f aca="false">IFERROR(INDEX('Data 2'!$L$2:$L$2198,MATCH(D112,'Data 2'!$A$2:$A$2198,0)), 0)</f>
        <v>-37.9533333333333</v>
      </c>
      <c r="F112" s="39" t="n">
        <f aca="false">IFERROR(INDEX('Data 2'!$M$2:$M$2198,MATCH(D112,'Data 2'!$A$2:$A$2198,0)), 0)</f>
        <v>26.84125</v>
      </c>
      <c r="H112" s="36"/>
      <c r="I112" s="36"/>
      <c r="J112" s="34" t="s">
        <v>425</v>
      </c>
      <c r="K112" s="39" t="n">
        <f aca="false">IFERROR(INDEX('Data 2'!$L$2:$L$2198,MATCH(J112,'Data 2'!$A$2:$A$2198,0)), 0)</f>
        <v>0.49</v>
      </c>
      <c r="L112" s="39" t="n">
        <f aca="false">IFERROR(INDEX('Data 2'!$M$2:$M$2198,MATCH(J112,'Data 2'!$A$2:$A$2198,0)), 0)</f>
        <v>8.0325</v>
      </c>
      <c r="M112" s="36"/>
      <c r="N112" s="36"/>
      <c r="O112" s="36"/>
      <c r="P112" s="34" t="s">
        <v>41</v>
      </c>
      <c r="Q112" s="39" t="n">
        <f aca="false">IFERROR(INDEX('Data 2'!$L$2:$L$2198,MATCH(P112,'Data 2'!$A$2:$A$2198,0)), 0)</f>
        <v>-94.76</v>
      </c>
      <c r="R112" s="39" t="n">
        <f aca="false">IFERROR(INDEX('Data 2'!$M$2:$M$2198,MATCH(P112,'Data 2'!$A$2:$A$2198,0)), 0)</f>
        <v>-63.075</v>
      </c>
      <c r="S112" s="34" t="s">
        <v>376</v>
      </c>
      <c r="T112" s="39" t="n">
        <f aca="false">IFERROR(INDEX('Data 2'!$L$2:$L$2198,MATCH(S112,'Data 2'!$A$2:$A$2198,0)), 0)</f>
        <v>103.706666666667</v>
      </c>
      <c r="U112" s="39" t="n">
        <f aca="false">IFERROR(INDEX('Data 2'!$M$2:$M$2198,MATCH(S112,'Data 2'!$A$2:$A$2198,0)), 0)</f>
        <v>65.0225</v>
      </c>
      <c r="V112" s="34" t="s">
        <v>36</v>
      </c>
      <c r="W112" s="39" t="n">
        <f aca="false">IFERROR(INDEX('Data 2'!$L$2:$L$2198,MATCH(V112,'Data 2'!$A$2:$A$2198,0)), 0)</f>
        <v>51.71</v>
      </c>
      <c r="X112" s="39" t="n">
        <f aca="false">IFERROR(INDEX('Data 2'!$M$2:$M$2198,MATCH(V112,'Data 2'!$A$2:$A$2198,0)), 0)</f>
        <v>81.9225</v>
      </c>
      <c r="Y112" s="37"/>
      <c r="Z112" s="37"/>
    </row>
    <row r="113" customFormat="false" ht="15.75" hidden="false" customHeight="true" outlineLevel="0" collapsed="false">
      <c r="A113" s="37"/>
      <c r="B113" s="37"/>
      <c r="C113" s="37"/>
      <c r="D113" s="34" t="s">
        <v>369</v>
      </c>
      <c r="E113" s="39" t="n">
        <f aca="false">IFERROR(INDEX('Data 2'!$L$2:$L$2198,MATCH(D113,'Data 2'!$A$2:$A$2198,0)), 0)</f>
        <v>-1.14666666666667</v>
      </c>
      <c r="F113" s="39" t="n">
        <f aca="false">IFERROR(INDEX('Data 2'!$M$2:$M$2198,MATCH(D113,'Data 2'!$A$2:$A$2198,0)), 0)</f>
        <v>-7.6325</v>
      </c>
      <c r="H113" s="36"/>
      <c r="I113" s="36"/>
      <c r="J113" s="34" t="s">
        <v>149</v>
      </c>
      <c r="K113" s="39" t="n">
        <f aca="false">IFERROR(INDEX('Data 2'!$L$2:$L$2198,MATCH(J113,'Data 2'!$A$2:$A$2198,0)), 0)</f>
        <v>100.756666666667</v>
      </c>
      <c r="L113" s="39" t="n">
        <f aca="false">IFERROR(INDEX('Data 2'!$M$2:$M$2198,MATCH(J113,'Data 2'!$A$2:$A$2198,0)), 0)</f>
        <v>21.885</v>
      </c>
      <c r="M113" s="36"/>
      <c r="N113" s="36"/>
      <c r="O113" s="36"/>
      <c r="P113" s="34" t="s">
        <v>426</v>
      </c>
      <c r="Q113" s="39" t="n">
        <f aca="false">IFERROR(INDEX('Data 2'!$L$2:$L$2198,MATCH(P113,'Data 2'!$A$2:$A$2198,0)), 0)</f>
        <v>119.12</v>
      </c>
      <c r="R113" s="39" t="n">
        <f aca="false">IFERROR(INDEX('Data 2'!$M$2:$M$2198,MATCH(P113,'Data 2'!$A$2:$A$2198,0)), 0)</f>
        <v>60.6625</v>
      </c>
      <c r="S113" s="34" t="s">
        <v>106</v>
      </c>
      <c r="T113" s="39" t="n">
        <f aca="false">IFERROR(INDEX('Data 2'!$L$2:$L$2198,MATCH(S113,'Data 2'!$A$2:$A$2198,0)), 0)</f>
        <v>-61.0133333333333</v>
      </c>
      <c r="U113" s="39" t="n">
        <f aca="false">IFERROR(INDEX('Data 2'!$M$2:$M$2198,MATCH(S113,'Data 2'!$A$2:$A$2198,0)), 0)</f>
        <v>-23.73875</v>
      </c>
      <c r="V113" s="34" t="s">
        <v>206</v>
      </c>
      <c r="W113" s="39" t="n">
        <f aca="false">IFERROR(INDEX('Data 2'!$L$2:$L$2198,MATCH(V113,'Data 2'!$A$2:$A$2198,0)), 0)</f>
        <v>-35.94</v>
      </c>
      <c r="X113" s="39" t="n">
        <f aca="false">IFERROR(INDEX('Data 2'!$M$2:$M$2198,MATCH(V113,'Data 2'!$A$2:$A$2198,0)), 0)</f>
        <v>101.60875</v>
      </c>
      <c r="Y113" s="37"/>
      <c r="Z113" s="37"/>
    </row>
    <row r="114" customFormat="false" ht="15.75" hidden="false" customHeight="true" outlineLevel="0" collapsed="false">
      <c r="A114" s="37"/>
      <c r="B114" s="37"/>
      <c r="C114" s="37"/>
      <c r="D114" s="34" t="s">
        <v>370</v>
      </c>
      <c r="E114" s="39" t="n">
        <f aca="false">IFERROR(INDEX('Data 2'!$L$2:$L$2198,MATCH(D114,'Data 2'!$A$2:$A$2198,0)), 0)</f>
        <v>-35.9733333333333</v>
      </c>
      <c r="F114" s="39" t="n">
        <f aca="false">IFERROR(INDEX('Data 2'!$M$2:$M$2198,MATCH(D114,'Data 2'!$A$2:$A$2198,0)), 0)</f>
        <v>-33.74625</v>
      </c>
      <c r="H114" s="36"/>
      <c r="I114" s="36"/>
      <c r="J114" s="34" t="s">
        <v>189</v>
      </c>
      <c r="K114" s="39" t="n">
        <f aca="false">IFERROR(INDEX('Data 2'!$L$2:$L$2198,MATCH(J114,'Data 2'!$A$2:$A$2198,0)), 0)</f>
        <v>-57.4466666666667</v>
      </c>
      <c r="L114" s="39" t="n">
        <f aca="false">IFERROR(INDEX('Data 2'!$M$2:$M$2198,MATCH(J114,'Data 2'!$A$2:$A$2198,0)), 0)</f>
        <v>-98.99125</v>
      </c>
      <c r="M114" s="36"/>
      <c r="N114" s="36"/>
      <c r="O114" s="36"/>
      <c r="P114" s="34" t="s">
        <v>427</v>
      </c>
      <c r="Q114" s="39" t="n">
        <f aca="false">IFERROR(INDEX('Data 2'!$L$2:$L$2198,MATCH(P114,'Data 2'!$A$2:$A$2198,0)), 0)</f>
        <v>89.0733333333333</v>
      </c>
      <c r="R114" s="39" t="n">
        <f aca="false">IFERROR(INDEX('Data 2'!$M$2:$M$2198,MATCH(P114,'Data 2'!$A$2:$A$2198,0)), 0)</f>
        <v>81.06875</v>
      </c>
      <c r="S114" s="34" t="s">
        <v>221</v>
      </c>
      <c r="T114" s="39" t="n">
        <f aca="false">IFERROR(INDEX('Data 2'!$L$2:$L$2198,MATCH(S114,'Data 2'!$A$2:$A$2198,0)), 0)</f>
        <v>-100.68</v>
      </c>
      <c r="U114" s="39" t="n">
        <f aca="false">IFERROR(INDEX('Data 2'!$M$2:$M$2198,MATCH(S114,'Data 2'!$A$2:$A$2198,0)), 0)</f>
        <v>-108.3125</v>
      </c>
      <c r="V114" s="34" t="s">
        <v>385</v>
      </c>
      <c r="W114" s="39" t="n">
        <f aca="false">IFERROR(INDEX('Data 2'!$L$2:$L$2198,MATCH(V114,'Data 2'!$A$2:$A$2198,0)), 0)</f>
        <v>82.7966666666667</v>
      </c>
      <c r="X114" s="39" t="n">
        <f aca="false">IFERROR(INDEX('Data 2'!$M$2:$M$2198,MATCH(V114,'Data 2'!$A$2:$A$2198,0)), 0)</f>
        <v>77.565</v>
      </c>
      <c r="Y114" s="37"/>
      <c r="Z114" s="37"/>
    </row>
    <row r="115" customFormat="false" ht="15.75" hidden="false" customHeight="true" outlineLevel="0" collapsed="false">
      <c r="A115" s="37"/>
      <c r="B115" s="37"/>
      <c r="C115" s="37"/>
      <c r="D115" s="34" t="s">
        <v>130</v>
      </c>
      <c r="E115" s="39" t="n">
        <f aca="false">IFERROR(INDEX('Data 2'!$L$2:$L$2198,MATCH(D115,'Data 2'!$A$2:$A$2198,0)), 0)</f>
        <v>42.7666666666667</v>
      </c>
      <c r="F115" s="39" t="n">
        <f aca="false">IFERROR(INDEX('Data 2'!$M$2:$M$2198,MATCH(D115,'Data 2'!$A$2:$A$2198,0)), 0)</f>
        <v>11.0225</v>
      </c>
      <c r="H115" s="36"/>
      <c r="I115" s="36"/>
      <c r="J115" s="34" t="s">
        <v>331</v>
      </c>
      <c r="K115" s="39" t="n">
        <f aca="false">IFERROR(INDEX('Data 2'!$L$2:$L$2198,MATCH(J115,'Data 2'!$A$2:$A$2198,0)), 0)</f>
        <v>88.51</v>
      </c>
      <c r="L115" s="39" t="n">
        <f aca="false">IFERROR(INDEX('Data 2'!$M$2:$M$2198,MATCH(J115,'Data 2'!$A$2:$A$2198,0)), 0)</f>
        <v>75.1225</v>
      </c>
      <c r="M115" s="36"/>
      <c r="N115" s="36"/>
      <c r="O115" s="36"/>
      <c r="P115" s="34" t="s">
        <v>428</v>
      </c>
      <c r="Q115" s="39" t="n">
        <f aca="false">IFERROR(INDEX('Data 2'!$L$2:$L$2198,MATCH(P115,'Data 2'!$A$2:$A$2198,0)), 0)</f>
        <v>0</v>
      </c>
      <c r="R115" s="39" t="n">
        <f aca="false">IFERROR(INDEX('Data 2'!$M$2:$M$2198,MATCH(P115,'Data 2'!$A$2:$A$2198,0)), 0)</f>
        <v>0</v>
      </c>
      <c r="S115" s="34" t="s">
        <v>178</v>
      </c>
      <c r="T115" s="39" t="n">
        <f aca="false">IFERROR(INDEX('Data 2'!$L$2:$L$2198,MATCH(S115,'Data 2'!$A$2:$A$2198,0)), 0)</f>
        <v>-113.566666666667</v>
      </c>
      <c r="U115" s="39" t="n">
        <f aca="false">IFERROR(INDEX('Data 2'!$M$2:$M$2198,MATCH(S115,'Data 2'!$A$2:$A$2198,0)), 0)</f>
        <v>-157.91625</v>
      </c>
      <c r="V115" s="34" t="s">
        <v>386</v>
      </c>
      <c r="W115" s="39" t="n">
        <f aca="false">IFERROR(INDEX('Data 2'!$L$2:$L$2198,MATCH(V115,'Data 2'!$A$2:$A$2198,0)), 0)</f>
        <v>89.5966666666667</v>
      </c>
      <c r="X115" s="39" t="n">
        <f aca="false">IFERROR(INDEX('Data 2'!$M$2:$M$2198,MATCH(V115,'Data 2'!$A$2:$A$2198,0)), 0)</f>
        <v>175.14125</v>
      </c>
      <c r="Y115" s="37"/>
      <c r="Z115" s="37"/>
    </row>
    <row r="116" customFormat="false" ht="15.75" hidden="false" customHeight="true" outlineLevel="0" collapsed="false">
      <c r="A116" s="37"/>
      <c r="B116" s="37"/>
      <c r="C116" s="37"/>
      <c r="D116" s="34" t="s">
        <v>84</v>
      </c>
      <c r="E116" s="39" t="n">
        <f aca="false">IFERROR(INDEX('Data 2'!$L$2:$L$2198,MATCH(D116,'Data 2'!$A$2:$A$2198,0)), 0)</f>
        <v>95.9866666666667</v>
      </c>
      <c r="F116" s="39" t="n">
        <f aca="false">IFERROR(INDEX('Data 2'!$M$2:$M$2198,MATCH(D116,'Data 2'!$A$2:$A$2198,0)), 0)</f>
        <v>175.51</v>
      </c>
      <c r="H116" s="36"/>
      <c r="I116" s="36"/>
      <c r="J116" s="34" t="s">
        <v>173</v>
      </c>
      <c r="K116" s="39" t="n">
        <f aca="false">IFERROR(INDEX('Data 2'!$L$2:$L$2198,MATCH(J116,'Data 2'!$A$2:$A$2198,0)), 0)</f>
        <v>38.0766666666667</v>
      </c>
      <c r="L116" s="39" t="n">
        <f aca="false">IFERROR(INDEX('Data 2'!$M$2:$M$2198,MATCH(J116,'Data 2'!$A$2:$A$2198,0)), 0)</f>
        <v>91.0825</v>
      </c>
      <c r="M116" s="36"/>
      <c r="N116" s="36"/>
      <c r="O116" s="36"/>
      <c r="P116" s="34" t="s">
        <v>429</v>
      </c>
      <c r="Q116" s="39" t="n">
        <f aca="false">IFERROR(INDEX('Data 2'!$L$2:$L$2198,MATCH(P116,'Data 2'!$A$2:$A$2198,0)), 0)</f>
        <v>-33.9866666666667</v>
      </c>
      <c r="R116" s="39" t="n">
        <f aca="false">IFERROR(INDEX('Data 2'!$M$2:$M$2198,MATCH(P116,'Data 2'!$A$2:$A$2198,0)), 0)</f>
        <v>-37.2425</v>
      </c>
      <c r="S116" s="34" t="s">
        <v>225</v>
      </c>
      <c r="T116" s="39" t="n">
        <f aca="false">IFERROR(INDEX('Data 2'!$L$2:$L$2198,MATCH(S116,'Data 2'!$A$2:$A$2198,0)), 0)</f>
        <v>16.1233333333333</v>
      </c>
      <c r="U116" s="39" t="n">
        <f aca="false">IFERROR(INDEX('Data 2'!$M$2:$M$2198,MATCH(S116,'Data 2'!$A$2:$A$2198,0)), 0)</f>
        <v>85.945</v>
      </c>
      <c r="V116" s="34" t="s">
        <v>388</v>
      </c>
      <c r="W116" s="39" t="n">
        <f aca="false">IFERROR(INDEX('Data 2'!$L$2:$L$2198,MATCH(V116,'Data 2'!$A$2:$A$2198,0)), 0)</f>
        <v>0</v>
      </c>
      <c r="X116" s="39" t="n">
        <f aca="false">IFERROR(INDEX('Data 2'!$M$2:$M$2198,MATCH(V116,'Data 2'!$A$2:$A$2198,0)), 0)</f>
        <v>0</v>
      </c>
      <c r="Y116" s="37"/>
      <c r="Z116" s="37"/>
    </row>
    <row r="117" customFormat="false" ht="15.75" hidden="false" customHeight="true" outlineLevel="0" collapsed="false">
      <c r="A117" s="37"/>
      <c r="B117" s="37"/>
      <c r="C117" s="37"/>
      <c r="D117" s="34" t="s">
        <v>102</v>
      </c>
      <c r="E117" s="39" t="n">
        <f aca="false">IFERROR(INDEX('Data 2'!$L$2:$L$2198,MATCH(D117,'Data 2'!$A$2:$A$2198,0)), 0)</f>
        <v>-9.54333333333333</v>
      </c>
      <c r="F117" s="39" t="n">
        <f aca="false">IFERROR(INDEX('Data 2'!$M$2:$M$2198,MATCH(D117,'Data 2'!$A$2:$A$2198,0)), 0)</f>
        <v>38.0375</v>
      </c>
      <c r="H117" s="36"/>
      <c r="I117" s="36"/>
      <c r="J117" s="34" t="s">
        <v>245</v>
      </c>
      <c r="K117" s="39" t="n">
        <f aca="false">IFERROR(INDEX('Data 2'!$L$2:$L$2198,MATCH(J117,'Data 2'!$A$2:$A$2198,0)), 0)</f>
        <v>30.24</v>
      </c>
      <c r="L117" s="39" t="n">
        <f aca="false">IFERROR(INDEX('Data 2'!$M$2:$M$2198,MATCH(J117,'Data 2'!$A$2:$A$2198,0)), 0)</f>
        <v>68.2475</v>
      </c>
      <c r="M117" s="36"/>
      <c r="N117" s="36"/>
      <c r="O117" s="36"/>
      <c r="P117" s="34" t="s">
        <v>309</v>
      </c>
      <c r="Q117" s="39" t="n">
        <f aca="false">IFERROR(INDEX('Data 2'!$L$2:$L$2198,MATCH(P117,'Data 2'!$A$2:$A$2198,0)), 0)</f>
        <v>-66.4163333333333</v>
      </c>
      <c r="R117" s="39" t="n">
        <f aca="false">IFERROR(INDEX('Data 2'!$M$2:$M$2198,MATCH(P117,'Data 2'!$A$2:$A$2198,0)), 0)</f>
        <v>-26.506125</v>
      </c>
      <c r="S117" s="34" t="s">
        <v>150</v>
      </c>
      <c r="T117" s="39" t="n">
        <f aca="false">IFERROR(INDEX('Data 2'!$L$2:$L$2198,MATCH(S117,'Data 2'!$A$2:$A$2198,0)), 0)</f>
        <v>9.21333333333333</v>
      </c>
      <c r="U117" s="39" t="n">
        <f aca="false">IFERROR(INDEX('Data 2'!$M$2:$M$2198,MATCH(S117,'Data 2'!$A$2:$A$2198,0)), 0)</f>
        <v>74.71125</v>
      </c>
      <c r="V117" s="34" t="s">
        <v>389</v>
      </c>
      <c r="W117" s="39" t="n">
        <f aca="false">IFERROR(INDEX('Data 2'!$L$2:$L$2198,MATCH(V117,'Data 2'!$A$2:$A$2198,0)), 0)</f>
        <v>-63.3166666666667</v>
      </c>
      <c r="X117" s="39" t="n">
        <f aca="false">IFERROR(INDEX('Data 2'!$M$2:$M$2198,MATCH(V117,'Data 2'!$A$2:$A$2198,0)), 0)</f>
        <v>-53.87875</v>
      </c>
      <c r="Y117" s="37"/>
      <c r="Z117" s="37"/>
    </row>
    <row r="118" customFormat="false" ht="15.75" hidden="false" customHeight="true" outlineLevel="0" collapsed="false">
      <c r="A118" s="37"/>
      <c r="B118" s="37"/>
      <c r="C118" s="37"/>
      <c r="D118" s="34" t="s">
        <v>373</v>
      </c>
      <c r="E118" s="39" t="n">
        <f aca="false">IFERROR(INDEX('Data 2'!$L$2:$L$2198,MATCH(D118,'Data 2'!$A$2:$A$2198,0)), 0)</f>
        <v>-103.343333333333</v>
      </c>
      <c r="F118" s="39" t="n">
        <f aca="false">IFERROR(INDEX('Data 2'!$M$2:$M$2198,MATCH(D118,'Data 2'!$A$2:$A$2198,0)), 0)</f>
        <v>-102.7625</v>
      </c>
      <c r="H118" s="36"/>
      <c r="I118" s="36"/>
      <c r="J118" s="34" t="s">
        <v>228</v>
      </c>
      <c r="K118" s="39" t="n">
        <f aca="false">IFERROR(INDEX('Data 2'!$L$2:$L$2198,MATCH(J118,'Data 2'!$A$2:$A$2198,0)), 0)</f>
        <v>-0.579999999999998</v>
      </c>
      <c r="L118" s="39" t="n">
        <f aca="false">IFERROR(INDEX('Data 2'!$M$2:$M$2198,MATCH(J118,'Data 2'!$A$2:$A$2198,0)), 0)</f>
        <v>12.17125</v>
      </c>
      <c r="M118" s="36"/>
      <c r="N118" s="36"/>
      <c r="O118" s="36"/>
      <c r="P118" s="34" t="s">
        <v>430</v>
      </c>
      <c r="Q118" s="39" t="n">
        <f aca="false">IFERROR(INDEX('Data 2'!$L$2:$L$2198,MATCH(P118,'Data 2'!$A$2:$A$2198,0)), 0)</f>
        <v>78.76</v>
      </c>
      <c r="R118" s="39" t="n">
        <f aca="false">IFERROR(INDEX('Data 2'!$M$2:$M$2198,MATCH(P118,'Data 2'!$A$2:$A$2198,0)), 0)</f>
        <v>19.41625</v>
      </c>
      <c r="S118" s="34" t="s">
        <v>182</v>
      </c>
      <c r="T118" s="39" t="n">
        <f aca="false">IFERROR(INDEX('Data 2'!$L$2:$L$2198,MATCH(S118,'Data 2'!$A$2:$A$2198,0)), 0)</f>
        <v>-87.9033333333333</v>
      </c>
      <c r="U118" s="39" t="n">
        <f aca="false">IFERROR(INDEX('Data 2'!$M$2:$M$2198,MATCH(S118,'Data 2'!$A$2:$A$2198,0)), 0)</f>
        <v>-55.84875</v>
      </c>
      <c r="V118" s="34" t="s">
        <v>390</v>
      </c>
      <c r="W118" s="39" t="n">
        <f aca="false">IFERROR(INDEX('Data 2'!$L$2:$L$2198,MATCH(V118,'Data 2'!$A$2:$A$2198,0)), 0)</f>
        <v>-91.0966666666667</v>
      </c>
      <c r="X118" s="39" t="n">
        <f aca="false">IFERROR(INDEX('Data 2'!$M$2:$M$2198,MATCH(V118,'Data 2'!$A$2:$A$2198,0)), 0)</f>
        <v>-69.45625</v>
      </c>
      <c r="Y118" s="37"/>
      <c r="Z118" s="37"/>
    </row>
    <row r="119" customFormat="false" ht="15.75" hidden="false" customHeight="true" outlineLevel="0" collapsed="false">
      <c r="A119" s="37"/>
      <c r="B119" s="37"/>
      <c r="C119" s="37"/>
      <c r="D119" s="34" t="s">
        <v>161</v>
      </c>
      <c r="E119" s="39" t="n">
        <f aca="false">IFERROR(INDEX('Data 2'!$L$2:$L$2198,MATCH(D119,'Data 2'!$A$2:$A$2198,0)), 0)</f>
        <v>-103.4</v>
      </c>
      <c r="F119" s="39" t="n">
        <f aca="false">IFERROR(INDEX('Data 2'!$M$2:$M$2198,MATCH(D119,'Data 2'!$A$2:$A$2198,0)), 0)</f>
        <v>-110.97875</v>
      </c>
      <c r="H119" s="36"/>
      <c r="I119" s="36"/>
      <c r="J119" s="34" t="s">
        <v>431</v>
      </c>
      <c r="K119" s="39" t="n">
        <f aca="false">IFERROR(INDEX('Data 2'!$L$2:$L$2198,MATCH(J119,'Data 2'!$A$2:$A$2198,0)), 0)</f>
        <v>-27.08</v>
      </c>
      <c r="L119" s="39" t="n">
        <f aca="false">IFERROR(INDEX('Data 2'!$M$2:$M$2198,MATCH(J119,'Data 2'!$A$2:$A$2198,0)), 0)</f>
        <v>-31.54875</v>
      </c>
      <c r="M119" s="36"/>
      <c r="N119" s="36"/>
      <c r="O119" s="36"/>
      <c r="P119" s="34" t="s">
        <v>432</v>
      </c>
      <c r="Q119" s="39" t="n">
        <f aca="false">IFERROR(INDEX('Data 2'!$L$2:$L$2198,MATCH(P119,'Data 2'!$A$2:$A$2198,0)), 0)</f>
        <v>24.6966666666667</v>
      </c>
      <c r="R119" s="39" t="n">
        <f aca="false">IFERROR(INDEX('Data 2'!$M$2:$M$2198,MATCH(P119,'Data 2'!$A$2:$A$2198,0)), 0)</f>
        <v>-22.24625</v>
      </c>
      <c r="S119" s="34" t="s">
        <v>380</v>
      </c>
      <c r="T119" s="39" t="n">
        <f aca="false">IFERROR(INDEX('Data 2'!$L$2:$L$2198,MATCH(S119,'Data 2'!$A$2:$A$2198,0)), 0)</f>
        <v>28.65</v>
      </c>
      <c r="U119" s="39" t="n">
        <f aca="false">IFERROR(INDEX('Data 2'!$M$2:$M$2198,MATCH(S119,'Data 2'!$A$2:$A$2198,0)), 0)</f>
        <v>3.62875</v>
      </c>
      <c r="V119" s="34" t="s">
        <v>334</v>
      </c>
      <c r="W119" s="39" t="n">
        <f aca="false">IFERROR(INDEX('Data 2'!$L$2:$L$2198,MATCH(V119,'Data 2'!$A$2:$A$2198,0)), 0)</f>
        <v>11.0666666666667</v>
      </c>
      <c r="X119" s="39" t="n">
        <f aca="false">IFERROR(INDEX('Data 2'!$M$2:$M$2198,MATCH(V119,'Data 2'!$A$2:$A$2198,0)), 0)</f>
        <v>75.59375</v>
      </c>
      <c r="Y119" s="37"/>
      <c r="Z119" s="37"/>
    </row>
    <row r="120" customFormat="false" ht="15.75" hidden="false" customHeight="true" outlineLevel="0" collapsed="false">
      <c r="A120" s="37"/>
      <c r="B120" s="37"/>
      <c r="C120" s="37"/>
      <c r="D120" s="34" t="s">
        <v>260</v>
      </c>
      <c r="E120" s="39" t="n">
        <f aca="false">IFERROR(INDEX('Data 2'!$L$2:$L$2198,MATCH(D120,'Data 2'!$A$2:$A$2198,0)), 0)</f>
        <v>-39.9166666666667</v>
      </c>
      <c r="F120" s="39" t="n">
        <f aca="false">IFERROR(INDEX('Data 2'!$M$2:$M$2198,MATCH(D120,'Data 2'!$A$2:$A$2198,0)), 0)</f>
        <v>-40.01375</v>
      </c>
      <c r="H120" s="36"/>
      <c r="I120" s="36"/>
      <c r="J120" s="34" t="s">
        <v>433</v>
      </c>
      <c r="K120" s="39" t="n">
        <f aca="false">IFERROR(INDEX('Data 2'!$L$2:$L$2198,MATCH(J120,'Data 2'!$A$2:$A$2198,0)), 0)</f>
        <v>-75.43</v>
      </c>
      <c r="L120" s="39" t="n">
        <f aca="false">IFERROR(INDEX('Data 2'!$M$2:$M$2198,MATCH(J120,'Data 2'!$A$2:$A$2198,0)), 0)</f>
        <v>-107.055</v>
      </c>
      <c r="M120" s="36"/>
      <c r="N120" s="36"/>
      <c r="O120" s="36"/>
      <c r="P120" s="34" t="s">
        <v>434</v>
      </c>
      <c r="Q120" s="39" t="n">
        <f aca="false">IFERROR(INDEX('Data 2'!$L$2:$L$2198,MATCH(P120,'Data 2'!$A$2:$A$2198,0)), 0)</f>
        <v>-27.7366666666667</v>
      </c>
      <c r="R120" s="39" t="n">
        <f aca="false">IFERROR(INDEX('Data 2'!$M$2:$M$2198,MATCH(P120,'Data 2'!$A$2:$A$2198,0)), 0)</f>
        <v>-27.5575</v>
      </c>
      <c r="S120" s="34" t="s">
        <v>157</v>
      </c>
      <c r="T120" s="39" t="n">
        <f aca="false">IFERROR(INDEX('Data 2'!$L$2:$L$2198,MATCH(S120,'Data 2'!$A$2:$A$2198,0)), 0)</f>
        <v>-60.99</v>
      </c>
      <c r="U120" s="39" t="n">
        <f aca="false">IFERROR(INDEX('Data 2'!$M$2:$M$2198,MATCH(S120,'Data 2'!$A$2:$A$2198,0)), 0)</f>
        <v>-76.92875</v>
      </c>
      <c r="V120" s="34" t="s">
        <v>392</v>
      </c>
      <c r="W120" s="39" t="n">
        <f aca="false">IFERROR(INDEX('Data 2'!$L$2:$L$2198,MATCH(V120,'Data 2'!$A$2:$A$2198,0)), 0)</f>
        <v>58.18</v>
      </c>
      <c r="X120" s="39" t="n">
        <f aca="false">IFERROR(INDEX('Data 2'!$M$2:$M$2198,MATCH(V120,'Data 2'!$A$2:$A$2198,0)), 0)</f>
        <v>103.35625</v>
      </c>
      <c r="Y120" s="37"/>
      <c r="Z120" s="37"/>
    </row>
    <row r="121" customFormat="false" ht="15.75" hidden="false" customHeight="true" outlineLevel="0" collapsed="false">
      <c r="A121" s="37"/>
      <c r="B121" s="37"/>
      <c r="C121" s="37"/>
      <c r="D121" s="34" t="s">
        <v>85</v>
      </c>
      <c r="E121" s="39" t="n">
        <f aca="false">IFERROR(INDEX('Data 2'!$L$2:$L$2198,MATCH(D121,'Data 2'!$A$2:$A$2198,0)), 0)</f>
        <v>110.623333333333</v>
      </c>
      <c r="F121" s="39" t="n">
        <f aca="false">IFERROR(INDEX('Data 2'!$M$2:$M$2198,MATCH(D121,'Data 2'!$A$2:$A$2198,0)), 0)</f>
        <v>49.206875</v>
      </c>
      <c r="H121" s="36"/>
      <c r="I121" s="36"/>
      <c r="J121" s="34" t="s">
        <v>163</v>
      </c>
      <c r="K121" s="39" t="n">
        <f aca="false">IFERROR(INDEX('Data 2'!$L$2:$L$2198,MATCH(J121,'Data 2'!$A$2:$A$2198,0)), 0)</f>
        <v>77.0066666666667</v>
      </c>
      <c r="L121" s="39" t="n">
        <f aca="false">IFERROR(INDEX('Data 2'!$M$2:$M$2198,MATCH(J121,'Data 2'!$A$2:$A$2198,0)), 0)</f>
        <v>-19.0025</v>
      </c>
      <c r="M121" s="36"/>
      <c r="N121" s="36"/>
      <c r="O121" s="36"/>
      <c r="P121" s="34" t="s">
        <v>435</v>
      </c>
      <c r="Q121" s="39" t="n">
        <f aca="false">IFERROR(INDEX('Data 2'!$L$2:$L$2198,MATCH(P121,'Data 2'!$A$2:$A$2198,0)), 0)</f>
        <v>-72.9866666666667</v>
      </c>
      <c r="R121" s="39" t="n">
        <f aca="false">IFERROR(INDEX('Data 2'!$M$2:$M$2198,MATCH(P121,'Data 2'!$A$2:$A$2198,0)), 0)</f>
        <v>-25.8925</v>
      </c>
      <c r="S121" s="34" t="s">
        <v>230</v>
      </c>
      <c r="T121" s="39" t="n">
        <f aca="false">IFERROR(INDEX('Data 2'!$L$2:$L$2198,MATCH(S121,'Data 2'!$A$2:$A$2198,0)), 0)</f>
        <v>-87.33</v>
      </c>
      <c r="U121" s="39" t="n">
        <f aca="false">IFERROR(INDEX('Data 2'!$M$2:$M$2198,MATCH(S121,'Data 2'!$A$2:$A$2198,0)), 0)</f>
        <v>-85.78125</v>
      </c>
      <c r="V121" s="34" t="s">
        <v>336</v>
      </c>
      <c r="W121" s="39" t="n">
        <f aca="false">IFERROR(INDEX('Data 2'!$L$2:$L$2198,MATCH(V121,'Data 2'!$A$2:$A$2198,0)), 0)</f>
        <v>-21.0266666666667</v>
      </c>
      <c r="X121" s="39" t="n">
        <f aca="false">IFERROR(INDEX('Data 2'!$M$2:$M$2198,MATCH(V121,'Data 2'!$A$2:$A$2198,0)), 0)</f>
        <v>76.4225</v>
      </c>
      <c r="Y121" s="37"/>
      <c r="Z121" s="37"/>
    </row>
    <row r="122" customFormat="false" ht="15.75" hidden="false" customHeight="true" outlineLevel="0" collapsed="false">
      <c r="A122" s="37"/>
      <c r="B122" s="37"/>
      <c r="C122" s="37"/>
      <c r="D122" s="34" t="s">
        <v>121</v>
      </c>
      <c r="E122" s="39" t="n">
        <f aca="false">IFERROR(INDEX('Data 2'!$L$2:$L$2198,MATCH(D122,'Data 2'!$A$2:$A$2198,0)), 0)</f>
        <v>11.3</v>
      </c>
      <c r="F122" s="39" t="n">
        <f aca="false">IFERROR(INDEX('Data 2'!$M$2:$M$2198,MATCH(D122,'Data 2'!$A$2:$A$2198,0)), 0)</f>
        <v>-25.17125</v>
      </c>
      <c r="H122" s="36"/>
      <c r="I122" s="36"/>
      <c r="J122" s="34" t="s">
        <v>220</v>
      </c>
      <c r="K122" s="39" t="n">
        <f aca="false">IFERROR(INDEX('Data 2'!$L$2:$L$2198,MATCH(J122,'Data 2'!$A$2:$A$2198,0)), 0)</f>
        <v>94.6966666666667</v>
      </c>
      <c r="L122" s="39" t="n">
        <f aca="false">IFERROR(INDEX('Data 2'!$M$2:$M$2198,MATCH(J122,'Data 2'!$A$2:$A$2198,0)), 0)</f>
        <v>72.03125</v>
      </c>
      <c r="M122" s="36"/>
      <c r="N122" s="36"/>
      <c r="O122" s="36"/>
      <c r="P122" s="34" t="s">
        <v>436</v>
      </c>
      <c r="Q122" s="39" t="n">
        <f aca="false">IFERROR(INDEX('Data 2'!$L$2:$L$2198,MATCH(P122,'Data 2'!$A$2:$A$2198,0)), 0)</f>
        <v>24.57</v>
      </c>
      <c r="R122" s="39" t="n">
        <f aca="false">IFERROR(INDEX('Data 2'!$M$2:$M$2198,MATCH(P122,'Data 2'!$A$2:$A$2198,0)), 0)</f>
        <v>101.07625</v>
      </c>
      <c r="S122" s="34" t="s">
        <v>382</v>
      </c>
      <c r="T122" s="39" t="n">
        <f aca="false">IFERROR(INDEX('Data 2'!$L$2:$L$2198,MATCH(S122,'Data 2'!$A$2:$A$2198,0)), 0)</f>
        <v>-39.29</v>
      </c>
      <c r="U122" s="39" t="n">
        <f aca="false">IFERROR(INDEX('Data 2'!$M$2:$M$2198,MATCH(S122,'Data 2'!$A$2:$A$2198,0)), 0)</f>
        <v>-70.49</v>
      </c>
      <c r="V122" s="34" t="s">
        <v>393</v>
      </c>
      <c r="W122" s="39" t="n">
        <f aca="false">IFERROR(INDEX('Data 2'!$L$2:$L$2198,MATCH(V122,'Data 2'!$A$2:$A$2198,0)), 0)</f>
        <v>-92.8833333333333</v>
      </c>
      <c r="X122" s="39" t="n">
        <f aca="false">IFERROR(INDEX('Data 2'!$M$2:$M$2198,MATCH(V122,'Data 2'!$A$2:$A$2198,0)), 0)</f>
        <v>-75.73575</v>
      </c>
      <c r="Y122" s="37"/>
      <c r="Z122" s="37"/>
    </row>
    <row r="123" customFormat="false" ht="15.75" hidden="false" customHeight="true" outlineLevel="0" collapsed="false">
      <c r="A123" s="37"/>
      <c r="B123" s="37"/>
      <c r="C123" s="37"/>
      <c r="D123" s="34" t="s">
        <v>208</v>
      </c>
      <c r="E123" s="39" t="n">
        <f aca="false">IFERROR(INDEX('Data 2'!$L$2:$L$2198,MATCH(D123,'Data 2'!$A$2:$A$2198,0)), 0)</f>
        <v>85.1433333333333</v>
      </c>
      <c r="F123" s="39" t="n">
        <f aca="false">IFERROR(INDEX('Data 2'!$M$2:$M$2198,MATCH(D123,'Data 2'!$A$2:$A$2198,0)), 0)</f>
        <v>17.8525</v>
      </c>
      <c r="H123" s="36"/>
      <c r="I123" s="36"/>
      <c r="J123" s="34" t="s">
        <v>437</v>
      </c>
      <c r="K123" s="39" t="n">
        <f aca="false">IFERROR(INDEX('Data 2'!$L$2:$L$2198,MATCH(J123,'Data 2'!$A$2:$A$2198,0)), 0)</f>
        <v>16.36</v>
      </c>
      <c r="L123" s="39" t="n">
        <f aca="false">IFERROR(INDEX('Data 2'!$M$2:$M$2198,MATCH(J123,'Data 2'!$A$2:$A$2198,0)), 0)</f>
        <v>-12.60875</v>
      </c>
      <c r="M123" s="36"/>
      <c r="N123" s="36"/>
      <c r="O123" s="36"/>
      <c r="P123" s="34" t="s">
        <v>156</v>
      </c>
      <c r="Q123" s="39" t="n">
        <f aca="false">IFERROR(INDEX('Data 2'!$L$2:$L$2198,MATCH(P123,'Data 2'!$A$2:$A$2198,0)), 0)</f>
        <v>92.8766666666667</v>
      </c>
      <c r="R123" s="39" t="n">
        <f aca="false">IFERROR(INDEX('Data 2'!$M$2:$M$2198,MATCH(P123,'Data 2'!$A$2:$A$2198,0)), 0)</f>
        <v>103.41375</v>
      </c>
      <c r="S123" s="34" t="s">
        <v>151</v>
      </c>
      <c r="T123" s="39" t="n">
        <f aca="false">IFERROR(INDEX('Data 2'!$L$2:$L$2198,MATCH(S123,'Data 2'!$A$2:$A$2198,0)), 0)</f>
        <v>86.2033333333333</v>
      </c>
      <c r="U123" s="39" t="n">
        <f aca="false">IFERROR(INDEX('Data 2'!$M$2:$M$2198,MATCH(S123,'Data 2'!$A$2:$A$2198,0)), 0)</f>
        <v>35.47</v>
      </c>
      <c r="V123" s="34" t="s">
        <v>394</v>
      </c>
      <c r="W123" s="39" t="n">
        <f aca="false">IFERROR(INDEX('Data 2'!$L$2:$L$2198,MATCH(V123,'Data 2'!$A$2:$A$2198,0)), 0)</f>
        <v>-44.3633333333333</v>
      </c>
      <c r="X123" s="39" t="n">
        <f aca="false">IFERROR(INDEX('Data 2'!$M$2:$M$2198,MATCH(V123,'Data 2'!$A$2:$A$2198,0)), 0)</f>
        <v>-95.0675</v>
      </c>
      <c r="Y123" s="37"/>
      <c r="Z123" s="37"/>
    </row>
    <row r="124" customFormat="false" ht="15.75" hidden="false" customHeight="true" outlineLevel="0" collapsed="false">
      <c r="A124" s="37"/>
      <c r="B124" s="37"/>
      <c r="C124" s="37"/>
      <c r="D124" s="34" t="s">
        <v>375</v>
      </c>
      <c r="E124" s="39" t="n">
        <f aca="false">IFERROR(INDEX('Data 2'!$L$2:$L$2198,MATCH(D124,'Data 2'!$A$2:$A$2198,0)), 0)</f>
        <v>100.093333333333</v>
      </c>
      <c r="F124" s="39" t="n">
        <f aca="false">IFERROR(INDEX('Data 2'!$M$2:$M$2198,MATCH(D124,'Data 2'!$A$2:$A$2198,0)), 0)</f>
        <v>36.14375</v>
      </c>
      <c r="H124" s="36"/>
      <c r="I124" s="36"/>
      <c r="J124" s="34" t="s">
        <v>203</v>
      </c>
      <c r="K124" s="39" t="n">
        <f aca="false">IFERROR(INDEX('Data 2'!$L$2:$L$2198,MATCH(J124,'Data 2'!$A$2:$A$2198,0)), 0)</f>
        <v>17.7566666666667</v>
      </c>
      <c r="L124" s="39" t="n">
        <f aca="false">IFERROR(INDEX('Data 2'!$M$2:$M$2198,MATCH(J124,'Data 2'!$A$2:$A$2198,0)), 0)</f>
        <v>-35.11125</v>
      </c>
      <c r="M124" s="36"/>
      <c r="N124" s="36"/>
      <c r="O124" s="36"/>
      <c r="P124" s="34" t="s">
        <v>76</v>
      </c>
      <c r="Q124" s="39" t="n">
        <f aca="false">IFERROR(INDEX('Data 2'!$L$2:$L$2198,MATCH(P124,'Data 2'!$A$2:$A$2198,0)), 0)</f>
        <v>42.42</v>
      </c>
      <c r="R124" s="39" t="n">
        <f aca="false">IFERROR(INDEX('Data 2'!$M$2:$M$2198,MATCH(P124,'Data 2'!$A$2:$A$2198,0)), 0)</f>
        <v>-43.9075</v>
      </c>
      <c r="S124" s="34" t="s">
        <v>190</v>
      </c>
      <c r="T124" s="39" t="n">
        <f aca="false">IFERROR(INDEX('Data 2'!$L$2:$L$2198,MATCH(S124,'Data 2'!$A$2:$A$2198,0)), 0)</f>
        <v>104.733333333333</v>
      </c>
      <c r="U124" s="39" t="n">
        <f aca="false">IFERROR(INDEX('Data 2'!$M$2:$M$2198,MATCH(S124,'Data 2'!$A$2:$A$2198,0)), 0)</f>
        <v>-5.6225</v>
      </c>
      <c r="V124" s="34" t="s">
        <v>395</v>
      </c>
      <c r="W124" s="39" t="n">
        <f aca="false">IFERROR(INDEX('Data 2'!$L$2:$L$2198,MATCH(V124,'Data 2'!$A$2:$A$2198,0)), 0)</f>
        <v>83.06</v>
      </c>
      <c r="X124" s="39" t="n">
        <f aca="false">IFERROR(INDEX('Data 2'!$M$2:$M$2198,MATCH(V124,'Data 2'!$A$2:$A$2198,0)), 0)</f>
        <v>69.95625</v>
      </c>
      <c r="Y124" s="37"/>
      <c r="Z124" s="37"/>
    </row>
    <row r="125" customFormat="false" ht="15.75" hidden="false" customHeight="true" outlineLevel="0" collapsed="false">
      <c r="A125" s="37"/>
      <c r="B125" s="37"/>
      <c r="C125" s="37"/>
      <c r="D125" s="34" t="s">
        <v>152</v>
      </c>
      <c r="E125" s="39" t="n">
        <f aca="false">IFERROR(INDEX('Data 2'!$L$2:$L$2198,MATCH(D125,'Data 2'!$A$2:$A$2198,0)), 0)</f>
        <v>-31.75</v>
      </c>
      <c r="F125" s="39" t="n">
        <f aca="false">IFERROR(INDEX('Data 2'!$M$2:$M$2198,MATCH(D125,'Data 2'!$A$2:$A$2198,0)), 0)</f>
        <v>-62.4425</v>
      </c>
      <c r="H125" s="36"/>
      <c r="I125" s="36"/>
      <c r="J125" s="34" t="s">
        <v>438</v>
      </c>
      <c r="K125" s="39" t="n">
        <f aca="false">IFERROR(INDEX('Data 2'!$L$2:$L$2198,MATCH(J125,'Data 2'!$A$2:$A$2198,0)), 0)</f>
        <v>-2.72</v>
      </c>
      <c r="L125" s="39" t="n">
        <f aca="false">IFERROR(INDEX('Data 2'!$M$2:$M$2198,MATCH(J125,'Data 2'!$A$2:$A$2198,0)), 0)</f>
        <v>-6.77375</v>
      </c>
      <c r="M125" s="36"/>
      <c r="N125" s="36"/>
      <c r="O125" s="36"/>
      <c r="P125" s="34" t="s">
        <v>439</v>
      </c>
      <c r="Q125" s="39" t="n">
        <f aca="false">IFERROR(INDEX('Data 2'!$L$2:$L$2198,MATCH(P125,'Data 2'!$A$2:$A$2198,0)), 0)</f>
        <v>98.0566666666667</v>
      </c>
      <c r="R125" s="39" t="n">
        <f aca="false">IFERROR(INDEX('Data 2'!$M$2:$M$2198,MATCH(P125,'Data 2'!$A$2:$A$2198,0)), 0)</f>
        <v>-38.69125</v>
      </c>
      <c r="S125" s="34" t="s">
        <v>47</v>
      </c>
      <c r="T125" s="39" t="n">
        <f aca="false">IFERROR(INDEX('Data 2'!$L$2:$L$2198,MATCH(S125,'Data 2'!$A$2:$A$2198,0)), 0)</f>
        <v>-105.66</v>
      </c>
      <c r="U125" s="39" t="n">
        <f aca="false">IFERROR(INDEX('Data 2'!$M$2:$M$2198,MATCH(S125,'Data 2'!$A$2:$A$2198,0)), 0)</f>
        <v>-105.14625</v>
      </c>
      <c r="V125" s="34" t="s">
        <v>55</v>
      </c>
      <c r="W125" s="39" t="n">
        <f aca="false">IFERROR(INDEX('Data 2'!$L$2:$L$2198,MATCH(V125,'Data 2'!$A$2:$A$2198,0)), 0)</f>
        <v>-41.9266666666667</v>
      </c>
      <c r="X125" s="39" t="n">
        <f aca="false">IFERROR(INDEX('Data 2'!$M$2:$M$2198,MATCH(V125,'Data 2'!$A$2:$A$2198,0)), 0)</f>
        <v>77.64125</v>
      </c>
      <c r="Y125" s="37"/>
      <c r="Z125" s="37"/>
    </row>
    <row r="126" customFormat="false" ht="15.75" hidden="false" customHeight="true" outlineLevel="0" collapsed="false">
      <c r="A126" s="37"/>
      <c r="B126" s="37"/>
      <c r="C126" s="37"/>
      <c r="D126" s="34" t="s">
        <v>327</v>
      </c>
      <c r="E126" s="39" t="n">
        <f aca="false">IFERROR(INDEX('Data 2'!$L$2:$L$2198,MATCH(D126,'Data 2'!$A$2:$A$2198,0)), 0)</f>
        <v>11.0166666666667</v>
      </c>
      <c r="F126" s="39" t="n">
        <f aca="false">IFERROR(INDEX('Data 2'!$M$2:$M$2198,MATCH(D126,'Data 2'!$A$2:$A$2198,0)), 0)</f>
        <v>37.13125</v>
      </c>
      <c r="H126" s="36"/>
      <c r="I126" s="36"/>
      <c r="J126" s="34" t="s">
        <v>440</v>
      </c>
      <c r="K126" s="39" t="n">
        <f aca="false">IFERROR(INDEX('Data 2'!$L$2:$L$2198,MATCH(J126,'Data 2'!$A$2:$A$2198,0)), 0)</f>
        <v>52.1666666666667</v>
      </c>
      <c r="L126" s="39" t="n">
        <f aca="false">IFERROR(INDEX('Data 2'!$M$2:$M$2198,MATCH(J126,'Data 2'!$A$2:$A$2198,0)), 0)</f>
        <v>19.395</v>
      </c>
      <c r="M126" s="36"/>
      <c r="N126" s="36"/>
      <c r="O126" s="36"/>
      <c r="P126" s="34" t="s">
        <v>441</v>
      </c>
      <c r="Q126" s="39" t="n">
        <f aca="false">IFERROR(INDEX('Data 2'!$L$2:$L$2198,MATCH(P126,'Data 2'!$A$2:$A$2198,0)), 0)</f>
        <v>30.2833333333333</v>
      </c>
      <c r="R126" s="39" t="n">
        <f aca="false">IFERROR(INDEX('Data 2'!$M$2:$M$2198,MATCH(P126,'Data 2'!$A$2:$A$2198,0)), 0)</f>
        <v>-9.74875</v>
      </c>
      <c r="S126" s="34" t="s">
        <v>46</v>
      </c>
      <c r="T126" s="39" t="n">
        <f aca="false">IFERROR(INDEX('Data 2'!$L$2:$L$2198,MATCH(S126,'Data 2'!$A$2:$A$2198,0)), 0)</f>
        <v>7.12</v>
      </c>
      <c r="U126" s="39" t="n">
        <f aca="false">IFERROR(INDEX('Data 2'!$M$2:$M$2198,MATCH(S126,'Data 2'!$A$2:$A$2198,0)), 0)</f>
        <v>-16.55375</v>
      </c>
      <c r="V126" s="34" t="s">
        <v>98</v>
      </c>
      <c r="W126" s="39" t="n">
        <f aca="false">IFERROR(INDEX('Data 2'!$L$2:$L$2198,MATCH(V126,'Data 2'!$A$2:$A$2198,0)), 0)</f>
        <v>24.0533333333333</v>
      </c>
      <c r="X126" s="39" t="n">
        <f aca="false">IFERROR(INDEX('Data 2'!$M$2:$M$2198,MATCH(V126,'Data 2'!$A$2:$A$2198,0)), 0)</f>
        <v>91.96375</v>
      </c>
      <c r="Y126" s="37"/>
      <c r="Z126" s="37"/>
    </row>
    <row r="127" customFormat="false" ht="15.75" hidden="false" customHeight="true" outlineLevel="0" collapsed="false">
      <c r="A127" s="37"/>
      <c r="B127" s="37"/>
      <c r="C127" s="37"/>
      <c r="D127" s="34" t="s">
        <v>377</v>
      </c>
      <c r="E127" s="39" t="n">
        <f aca="false">IFERROR(INDEX('Data 2'!$L$2:$L$2198,MATCH(D127,'Data 2'!$A$2:$A$2198,0)), 0)</f>
        <v>-56.65</v>
      </c>
      <c r="F127" s="39" t="n">
        <f aca="false">IFERROR(INDEX('Data 2'!$M$2:$M$2198,MATCH(D127,'Data 2'!$A$2:$A$2198,0)), 0)</f>
        <v>57.13375</v>
      </c>
      <c r="H127" s="36"/>
      <c r="I127" s="36"/>
      <c r="J127" s="34" t="s">
        <v>250</v>
      </c>
      <c r="K127" s="39" t="n">
        <f aca="false">IFERROR(INDEX('Data 2'!$L$2:$L$2198,MATCH(J127,'Data 2'!$A$2:$A$2198,0)), 0)</f>
        <v>9.18333333333334</v>
      </c>
      <c r="L127" s="39" t="n">
        <f aca="false">IFERROR(INDEX('Data 2'!$M$2:$M$2198,MATCH(J127,'Data 2'!$A$2:$A$2198,0)), 0)</f>
        <v>-48.7</v>
      </c>
      <c r="M127" s="36"/>
      <c r="N127" s="36"/>
      <c r="O127" s="36"/>
      <c r="P127" s="34" t="s">
        <v>442</v>
      </c>
      <c r="Q127" s="39" t="n">
        <f aca="false">IFERROR(INDEX('Data 2'!$L$2:$L$2198,MATCH(P127,'Data 2'!$A$2:$A$2198,0)), 0)</f>
        <v>120.24</v>
      </c>
      <c r="R127" s="39" t="n">
        <f aca="false">IFERROR(INDEX('Data 2'!$M$2:$M$2198,MATCH(P127,'Data 2'!$A$2:$A$2198,0)), 0)</f>
        <v>101.32875</v>
      </c>
      <c r="S127" s="34" t="s">
        <v>132</v>
      </c>
      <c r="T127" s="39" t="n">
        <f aca="false">IFERROR(INDEX('Data 2'!$L$2:$L$2198,MATCH(S127,'Data 2'!$A$2:$A$2198,0)), 0)</f>
        <v>37.1933333333333</v>
      </c>
      <c r="U127" s="39" t="n">
        <f aca="false">IFERROR(INDEX('Data 2'!$M$2:$M$2198,MATCH(S127,'Data 2'!$A$2:$A$2198,0)), 0)</f>
        <v>-21.66125</v>
      </c>
      <c r="V127" s="34" t="s">
        <v>243</v>
      </c>
      <c r="W127" s="39" t="n">
        <f aca="false">IFERROR(INDEX('Data 2'!$L$2:$L$2198,MATCH(V127,'Data 2'!$A$2:$A$2198,0)), 0)</f>
        <v>62.8033333333333</v>
      </c>
      <c r="X127" s="39" t="n">
        <f aca="false">IFERROR(INDEX('Data 2'!$M$2:$M$2198,MATCH(V127,'Data 2'!$A$2:$A$2198,0)), 0)</f>
        <v>122.18125</v>
      </c>
      <c r="Y127" s="37"/>
      <c r="Z127" s="37"/>
    </row>
    <row r="128" customFormat="false" ht="15.75" hidden="false" customHeight="true" outlineLevel="0" collapsed="false">
      <c r="A128" s="37"/>
      <c r="B128" s="37"/>
      <c r="C128" s="37"/>
      <c r="D128" s="34" t="s">
        <v>378</v>
      </c>
      <c r="E128" s="39" t="n">
        <f aca="false">IFERROR(INDEX('Data 2'!$L$2:$L$2198,MATCH(D128,'Data 2'!$A$2:$A$2198,0)), 0)</f>
        <v>89.28</v>
      </c>
      <c r="F128" s="39" t="n">
        <f aca="false">IFERROR(INDEX('Data 2'!$M$2:$M$2198,MATCH(D128,'Data 2'!$A$2:$A$2198,0)), 0)</f>
        <v>139.29</v>
      </c>
      <c r="H128" s="36"/>
      <c r="I128" s="36"/>
      <c r="J128" s="34" t="s">
        <v>443</v>
      </c>
      <c r="K128" s="39" t="n">
        <f aca="false">IFERROR(INDEX('Data 2'!$L$2:$L$2198,MATCH(J128,'Data 2'!$A$2:$A$2198,0)), 0)</f>
        <v>46.7233333333333</v>
      </c>
      <c r="L128" s="39" t="n">
        <f aca="false">IFERROR(INDEX('Data 2'!$M$2:$M$2198,MATCH(J128,'Data 2'!$A$2:$A$2198,0)), 0)</f>
        <v>48.77625</v>
      </c>
      <c r="M128" s="36"/>
      <c r="N128" s="36"/>
      <c r="O128" s="36"/>
      <c r="P128" s="34" t="s">
        <v>444</v>
      </c>
      <c r="Q128" s="39" t="n">
        <f aca="false">IFERROR(INDEX('Data 2'!$L$2:$L$2198,MATCH(P128,'Data 2'!$A$2:$A$2198,0)), 0)</f>
        <v>-15.3433333333333</v>
      </c>
      <c r="R128" s="39" t="n">
        <f aca="false">IFERROR(INDEX('Data 2'!$M$2:$M$2198,MATCH(P128,'Data 2'!$A$2:$A$2198,0)), 0)</f>
        <v>-20.1775</v>
      </c>
      <c r="S128" s="34" t="s">
        <v>144</v>
      </c>
      <c r="T128" s="39" t="n">
        <f aca="false">IFERROR(INDEX('Data 2'!$L$2:$L$2198,MATCH(S128,'Data 2'!$A$2:$A$2198,0)), 0)</f>
        <v>57.1933333333333</v>
      </c>
      <c r="U128" s="39" t="n">
        <f aca="false">IFERROR(INDEX('Data 2'!$M$2:$M$2198,MATCH(S128,'Data 2'!$A$2:$A$2198,0)), 0)</f>
        <v>105.1825</v>
      </c>
      <c r="V128" s="34" t="s">
        <v>155</v>
      </c>
      <c r="W128" s="39" t="n">
        <f aca="false">IFERROR(INDEX('Data 2'!$L$2:$L$2198,MATCH(V128,'Data 2'!$A$2:$A$2198,0)), 0)</f>
        <v>-63.4633333333333</v>
      </c>
      <c r="X128" s="39" t="n">
        <f aca="false">IFERROR(INDEX('Data 2'!$M$2:$M$2198,MATCH(V128,'Data 2'!$A$2:$A$2198,0)), 0)</f>
        <v>-55.61125</v>
      </c>
      <c r="Y128" s="37"/>
      <c r="Z128" s="37"/>
    </row>
    <row r="129" customFormat="false" ht="15.75" hidden="false" customHeight="true" outlineLevel="0" collapsed="false">
      <c r="A129" s="37"/>
      <c r="B129" s="37"/>
      <c r="C129" s="37"/>
      <c r="D129" s="34" t="s">
        <v>205</v>
      </c>
      <c r="E129" s="39" t="n">
        <f aca="false">IFERROR(INDEX('Data 2'!$L$2:$L$2198,MATCH(D129,'Data 2'!$A$2:$A$2198,0)), 0)</f>
        <v>-75.23</v>
      </c>
      <c r="F129" s="39" t="n">
        <f aca="false">IFERROR(INDEX('Data 2'!$M$2:$M$2198,MATCH(D129,'Data 2'!$A$2:$A$2198,0)), 0)</f>
        <v>-103.5975</v>
      </c>
      <c r="H129" s="36"/>
      <c r="I129" s="36"/>
      <c r="J129" s="34" t="s">
        <v>88</v>
      </c>
      <c r="K129" s="39" t="n">
        <f aca="false">IFERROR(INDEX('Data 2'!$L$2:$L$2198,MATCH(J129,'Data 2'!$A$2:$A$2198,0)), 0)</f>
        <v>-68.9233333333333</v>
      </c>
      <c r="L129" s="39" t="n">
        <f aca="false">IFERROR(INDEX('Data 2'!$M$2:$M$2198,MATCH(J129,'Data 2'!$A$2:$A$2198,0)), 0)</f>
        <v>-49.989</v>
      </c>
      <c r="M129" s="36"/>
      <c r="N129" s="36"/>
      <c r="O129" s="36"/>
      <c r="P129" s="34" t="s">
        <v>445</v>
      </c>
      <c r="Q129" s="39" t="n">
        <f aca="false">IFERROR(INDEX('Data 2'!$L$2:$L$2198,MATCH(P129,'Data 2'!$A$2:$A$2198,0)), 0)</f>
        <v>-54.98</v>
      </c>
      <c r="R129" s="39" t="n">
        <f aca="false">IFERROR(INDEX('Data 2'!$M$2:$M$2198,MATCH(P129,'Data 2'!$A$2:$A$2198,0)), 0)</f>
        <v>1.66875</v>
      </c>
      <c r="S129" s="34" t="s">
        <v>120</v>
      </c>
      <c r="T129" s="39" t="n">
        <f aca="false">IFERROR(INDEX('Data 2'!$L$2:$L$2198,MATCH(S129,'Data 2'!$A$2:$A$2198,0)), 0)</f>
        <v>112.243333333333</v>
      </c>
      <c r="U129" s="39" t="n">
        <f aca="false">IFERROR(INDEX('Data 2'!$M$2:$M$2198,MATCH(S129,'Data 2'!$A$2:$A$2198,0)), 0)</f>
        <v>24.6175</v>
      </c>
      <c r="V129" s="34" t="s">
        <v>347</v>
      </c>
      <c r="W129" s="39" t="n">
        <f aca="false">IFERROR(INDEX('Data 2'!$L$2:$L$2198,MATCH(V129,'Data 2'!$A$2:$A$2198,0)), 0)</f>
        <v>35.0766666666667</v>
      </c>
      <c r="X129" s="39" t="n">
        <f aca="false">IFERROR(INDEX('Data 2'!$M$2:$M$2198,MATCH(V129,'Data 2'!$A$2:$A$2198,0)), 0)</f>
        <v>78.63375</v>
      </c>
      <c r="Y129" s="37"/>
      <c r="Z129" s="37"/>
    </row>
    <row r="130" customFormat="false" ht="15.75" hidden="false" customHeight="true" outlineLevel="0" collapsed="false">
      <c r="A130" s="37"/>
      <c r="B130" s="37"/>
      <c r="C130" s="37"/>
      <c r="D130" s="34" t="s">
        <v>96</v>
      </c>
      <c r="E130" s="39" t="n">
        <f aca="false">IFERROR(INDEX('Data 2'!$L$2:$L$2198,MATCH(D130,'Data 2'!$A$2:$A$2198,0)), 0)</f>
        <v>122.496666666667</v>
      </c>
      <c r="F130" s="39" t="n">
        <f aca="false">IFERROR(INDEX('Data 2'!$M$2:$M$2198,MATCH(D130,'Data 2'!$A$2:$A$2198,0)), 0)</f>
        <v>149.74</v>
      </c>
      <c r="H130" s="36"/>
      <c r="I130" s="36"/>
      <c r="J130" s="34" t="s">
        <v>35</v>
      </c>
      <c r="K130" s="39" t="n">
        <f aca="false">IFERROR(INDEX('Data 2'!$L$2:$L$2198,MATCH(J130,'Data 2'!$A$2:$A$2198,0)), 0)</f>
        <v>-57.4266666666667</v>
      </c>
      <c r="L130" s="39" t="n">
        <f aca="false">IFERROR(INDEX('Data 2'!$M$2:$M$2198,MATCH(J130,'Data 2'!$A$2:$A$2198,0)), 0)</f>
        <v>-56.64375</v>
      </c>
      <c r="M130" s="36"/>
      <c r="N130" s="36"/>
      <c r="O130" s="36"/>
      <c r="P130" s="34" t="s">
        <v>446</v>
      </c>
      <c r="Q130" s="39" t="n">
        <f aca="false">IFERROR(INDEX('Data 2'!$L$2:$L$2198,MATCH(P130,'Data 2'!$A$2:$A$2198,0)), 0)</f>
        <v>-54.1333333333333</v>
      </c>
      <c r="R130" s="39" t="n">
        <f aca="false">IFERROR(INDEX('Data 2'!$M$2:$M$2198,MATCH(P130,'Data 2'!$A$2:$A$2198,0)), 0)</f>
        <v>-50.78</v>
      </c>
      <c r="S130" s="34" t="s">
        <v>57</v>
      </c>
      <c r="T130" s="39" t="n">
        <f aca="false">IFERROR(INDEX('Data 2'!$L$2:$L$2198,MATCH(S130,'Data 2'!$A$2:$A$2198,0)), 0)</f>
        <v>-88.5066666666667</v>
      </c>
      <c r="U130" s="39" t="n">
        <f aca="false">IFERROR(INDEX('Data 2'!$M$2:$M$2198,MATCH(S130,'Data 2'!$A$2:$A$2198,0)), 0)</f>
        <v>29.98125</v>
      </c>
      <c r="V130" s="34" t="s">
        <v>396</v>
      </c>
      <c r="W130" s="39" t="n">
        <f aca="false">IFERROR(INDEX('Data 2'!$L$2:$L$2198,MATCH(V130,'Data 2'!$A$2:$A$2198,0)), 0)</f>
        <v>-129.753333333333</v>
      </c>
      <c r="X130" s="39" t="n">
        <f aca="false">IFERROR(INDEX('Data 2'!$M$2:$M$2198,MATCH(V130,'Data 2'!$A$2:$A$2198,0)), 0)</f>
        <v>-60.40375</v>
      </c>
      <c r="Y130" s="37"/>
      <c r="Z130" s="37"/>
    </row>
    <row r="131" customFormat="false" ht="15.75" hidden="false" customHeight="true" outlineLevel="0" collapsed="false">
      <c r="A131" s="37"/>
      <c r="B131" s="37"/>
      <c r="C131" s="37"/>
      <c r="D131" s="34" t="s">
        <v>233</v>
      </c>
      <c r="E131" s="39" t="n">
        <f aca="false">IFERROR(INDEX('Data 2'!$L$2:$L$2198,MATCH(D131,'Data 2'!$A$2:$A$2198,0)), 0)</f>
        <v>32.1466666666667</v>
      </c>
      <c r="F131" s="39" t="n">
        <f aca="false">IFERROR(INDEX('Data 2'!$M$2:$M$2198,MATCH(D131,'Data 2'!$A$2:$A$2198,0)), 0)</f>
        <v>-12.21375</v>
      </c>
      <c r="H131" s="36"/>
      <c r="I131" s="36"/>
      <c r="J131" s="34" t="s">
        <v>339</v>
      </c>
      <c r="K131" s="39" t="n">
        <f aca="false">IFERROR(INDEX('Data 2'!$L$2:$L$2198,MATCH(J131,'Data 2'!$A$2:$A$2198,0)), 0)</f>
        <v>90.8533333333333</v>
      </c>
      <c r="L131" s="39" t="n">
        <f aca="false">IFERROR(INDEX('Data 2'!$M$2:$M$2198,MATCH(J131,'Data 2'!$A$2:$A$2198,0)), 0)</f>
        <v>97.425</v>
      </c>
      <c r="M131" s="36"/>
      <c r="N131" s="36"/>
      <c r="O131" s="36"/>
      <c r="P131" s="34" t="s">
        <v>447</v>
      </c>
      <c r="Q131" s="39" t="n">
        <f aca="false">IFERROR(INDEX('Data 2'!$L$2:$L$2198,MATCH(P131,'Data 2'!$A$2:$A$2198,0)), 0)</f>
        <v>88.17</v>
      </c>
      <c r="R131" s="39" t="n">
        <f aca="false">IFERROR(INDEX('Data 2'!$M$2:$M$2198,MATCH(P131,'Data 2'!$A$2:$A$2198,0)), 0)</f>
        <v>132.67625</v>
      </c>
      <c r="S131" s="34" t="s">
        <v>248</v>
      </c>
      <c r="T131" s="39" t="n">
        <f aca="false">IFERROR(INDEX('Data 2'!$L$2:$L$2198,MATCH(S131,'Data 2'!$A$2:$A$2198,0)), 0)</f>
        <v>-110.906666666667</v>
      </c>
      <c r="U131" s="39" t="n">
        <f aca="false">IFERROR(INDEX('Data 2'!$M$2:$M$2198,MATCH(S131,'Data 2'!$A$2:$A$2198,0)), 0)</f>
        <v>-53.11875</v>
      </c>
      <c r="V131" s="34" t="s">
        <v>299</v>
      </c>
      <c r="W131" s="39" t="n">
        <f aca="false">IFERROR(INDEX('Data 2'!$L$2:$L$2198,MATCH(V131,'Data 2'!$A$2:$A$2198,0)), 0)</f>
        <v>117.413333333333</v>
      </c>
      <c r="X131" s="39" t="n">
        <f aca="false">IFERROR(INDEX('Data 2'!$M$2:$M$2198,MATCH(V131,'Data 2'!$A$2:$A$2198,0)), 0)</f>
        <v>-0.816249999999998</v>
      </c>
      <c r="Y131" s="37"/>
      <c r="Z131" s="37"/>
    </row>
    <row r="132" customFormat="false" ht="15.75" hidden="false" customHeight="true" outlineLevel="0" collapsed="false">
      <c r="A132" s="37"/>
      <c r="B132" s="37"/>
      <c r="C132" s="37"/>
      <c r="D132" s="34" t="s">
        <v>60</v>
      </c>
      <c r="E132" s="39" t="n">
        <f aca="false">IFERROR(INDEX('Data 2'!$L$2:$L$2198,MATCH(D132,'Data 2'!$A$2:$A$2198,0)), 0)</f>
        <v>-63.4233333333333</v>
      </c>
      <c r="F132" s="39" t="n">
        <f aca="false">IFERROR(INDEX('Data 2'!$M$2:$M$2198,MATCH(D132,'Data 2'!$A$2:$A$2198,0)), 0)</f>
        <v>-45.195</v>
      </c>
      <c r="H132" s="36"/>
      <c r="I132" s="36"/>
      <c r="J132" s="34" t="s">
        <v>448</v>
      </c>
      <c r="K132" s="39" t="n">
        <f aca="false">IFERROR(INDEX('Data 2'!$L$2:$L$2198,MATCH(J132,'Data 2'!$A$2:$A$2198,0)), 0)</f>
        <v>37.61</v>
      </c>
      <c r="L132" s="39" t="n">
        <f aca="false">IFERROR(INDEX('Data 2'!$M$2:$M$2198,MATCH(J132,'Data 2'!$A$2:$A$2198,0)), 0)</f>
        <v>25.8375</v>
      </c>
      <c r="M132" s="36"/>
      <c r="N132" s="36"/>
      <c r="O132" s="36"/>
      <c r="P132" s="34" t="s">
        <v>449</v>
      </c>
      <c r="Q132" s="39" t="n">
        <f aca="false">IFERROR(INDEX('Data 2'!$L$2:$L$2198,MATCH(P132,'Data 2'!$A$2:$A$2198,0)), 0)</f>
        <v>-40.0866666666667</v>
      </c>
      <c r="R132" s="39" t="n">
        <f aca="false">IFERROR(INDEX('Data 2'!$M$2:$M$2198,MATCH(P132,'Data 2'!$A$2:$A$2198,0)), 0)</f>
        <v>-7.62625</v>
      </c>
      <c r="S132" s="34" t="s">
        <v>387</v>
      </c>
      <c r="T132" s="39" t="n">
        <f aca="false">IFERROR(INDEX('Data 2'!$L$2:$L$2198,MATCH(S132,'Data 2'!$A$2:$A$2198,0)), 0)</f>
        <v>-56.72</v>
      </c>
      <c r="U132" s="39" t="n">
        <f aca="false">IFERROR(INDEX('Data 2'!$M$2:$M$2198,MATCH(S132,'Data 2'!$A$2:$A$2198,0)), 0)</f>
        <v>-9.8875</v>
      </c>
      <c r="V132" s="34" t="s">
        <v>397</v>
      </c>
      <c r="W132" s="39" t="n">
        <f aca="false">IFERROR(INDEX('Data 2'!$L$2:$L$2198,MATCH(V132,'Data 2'!$A$2:$A$2198,0)), 0)</f>
        <v>96.53</v>
      </c>
      <c r="X132" s="39" t="n">
        <f aca="false">IFERROR(INDEX('Data 2'!$M$2:$M$2198,MATCH(V132,'Data 2'!$A$2:$A$2198,0)), 0)</f>
        <v>65.40375</v>
      </c>
      <c r="Y132" s="37"/>
      <c r="Z132" s="37"/>
    </row>
    <row r="133" customFormat="false" ht="15.75" hidden="false" customHeight="true" outlineLevel="0" collapsed="false">
      <c r="A133" s="37"/>
      <c r="B133" s="37"/>
      <c r="C133" s="37"/>
      <c r="D133" s="34" t="s">
        <v>379</v>
      </c>
      <c r="E133" s="39" t="n">
        <f aca="false">IFERROR(INDEX('Data 2'!$L$2:$L$2198,MATCH(D133,'Data 2'!$A$2:$A$2198,0)), 0)</f>
        <v>-5.97333333333333</v>
      </c>
      <c r="F133" s="39" t="n">
        <f aca="false">IFERROR(INDEX('Data 2'!$M$2:$M$2198,MATCH(D133,'Data 2'!$A$2:$A$2198,0)), 0)</f>
        <v>18.19875</v>
      </c>
      <c r="H133" s="36"/>
      <c r="I133" s="36"/>
      <c r="J133" s="34" t="s">
        <v>226</v>
      </c>
      <c r="K133" s="39" t="n">
        <f aca="false">IFERROR(INDEX('Data 2'!$L$2:$L$2198,MATCH(J133,'Data 2'!$A$2:$A$2198,0)), 0)</f>
        <v>96.33</v>
      </c>
      <c r="L133" s="39" t="n">
        <f aca="false">IFERROR(INDEX('Data 2'!$M$2:$M$2198,MATCH(J133,'Data 2'!$A$2:$A$2198,0)), 0)</f>
        <v>132.71</v>
      </c>
      <c r="M133" s="36"/>
      <c r="N133" s="36"/>
      <c r="O133" s="36"/>
      <c r="P133" s="34" t="s">
        <v>450</v>
      </c>
      <c r="Q133" s="39" t="n">
        <f aca="false">IFERROR(INDEX('Data 2'!$L$2:$L$2198,MATCH(P133,'Data 2'!$A$2:$A$2198,0)), 0)</f>
        <v>-96.1166666666667</v>
      </c>
      <c r="R133" s="39" t="n">
        <f aca="false">IFERROR(INDEX('Data 2'!$M$2:$M$2198,MATCH(P133,'Data 2'!$A$2:$A$2198,0)), 0)</f>
        <v>-51.55125</v>
      </c>
      <c r="S133" s="34" t="s">
        <v>45</v>
      </c>
      <c r="T133" s="39" t="n">
        <f aca="false">IFERROR(INDEX('Data 2'!$L$2:$L$2198,MATCH(S133,'Data 2'!$A$2:$A$2198,0)), 0)</f>
        <v>-73.7066666666667</v>
      </c>
      <c r="U133" s="39" t="n">
        <f aca="false">IFERROR(INDEX('Data 2'!$M$2:$M$2198,MATCH(S133,'Data 2'!$A$2:$A$2198,0)), 0)</f>
        <v>30.4225</v>
      </c>
      <c r="V133" s="34" t="s">
        <v>399</v>
      </c>
      <c r="W133" s="39" t="n">
        <f aca="false">IFERROR(INDEX('Data 2'!$L$2:$L$2198,MATCH(V133,'Data 2'!$A$2:$A$2198,0)), 0)</f>
        <v>23.39</v>
      </c>
      <c r="X133" s="39" t="n">
        <f aca="false">IFERROR(INDEX('Data 2'!$M$2:$M$2198,MATCH(V133,'Data 2'!$A$2:$A$2198,0)), 0)</f>
        <v>45.45125</v>
      </c>
      <c r="Y133" s="37"/>
      <c r="Z133" s="37"/>
    </row>
    <row r="134" customFormat="false" ht="15.75" hidden="false" customHeight="true" outlineLevel="0" collapsed="false">
      <c r="A134" s="37"/>
      <c r="B134" s="37"/>
      <c r="C134" s="37"/>
      <c r="D134" s="34" t="s">
        <v>126</v>
      </c>
      <c r="E134" s="39" t="n">
        <f aca="false">IFERROR(INDEX('Data 2'!$L$2:$L$2198,MATCH(D134,'Data 2'!$A$2:$A$2198,0)), 0)</f>
        <v>-43.37</v>
      </c>
      <c r="F134" s="39" t="n">
        <f aca="false">IFERROR(INDEX('Data 2'!$M$2:$M$2198,MATCH(D134,'Data 2'!$A$2:$A$2198,0)), 0)</f>
        <v>16.2675</v>
      </c>
      <c r="H134" s="36"/>
      <c r="I134" s="36"/>
      <c r="J134" s="34" t="s">
        <v>344</v>
      </c>
      <c r="K134" s="39" t="n">
        <f aca="false">IFERROR(INDEX('Data 2'!$L$2:$L$2198,MATCH(J134,'Data 2'!$A$2:$A$2198,0)), 0)</f>
        <v>-74.62</v>
      </c>
      <c r="L134" s="39" t="n">
        <f aca="false">IFERROR(INDEX('Data 2'!$M$2:$M$2198,MATCH(J134,'Data 2'!$A$2:$A$2198,0)), 0)</f>
        <v>-85.1225</v>
      </c>
      <c r="M134" s="36"/>
      <c r="N134" s="36"/>
      <c r="O134" s="36"/>
      <c r="P134" s="34" t="s">
        <v>451</v>
      </c>
      <c r="Q134" s="39" t="n">
        <f aca="false">IFERROR(INDEX('Data 2'!$L$2:$L$2198,MATCH(P134,'Data 2'!$A$2:$A$2198,0)), 0)</f>
        <v>-47.03</v>
      </c>
      <c r="R134" s="39" t="n">
        <f aca="false">IFERROR(INDEX('Data 2'!$M$2:$M$2198,MATCH(P134,'Data 2'!$A$2:$A$2198,0)), 0)</f>
        <v>-82.5075</v>
      </c>
      <c r="S134" s="34" t="s">
        <v>239</v>
      </c>
      <c r="T134" s="39" t="n">
        <f aca="false">IFERROR(INDEX('Data 2'!$L$2:$L$2198,MATCH(S134,'Data 2'!$A$2:$A$2198,0)), 0)</f>
        <v>28.43</v>
      </c>
      <c r="U134" s="39" t="n">
        <f aca="false">IFERROR(INDEX('Data 2'!$M$2:$M$2198,MATCH(S134,'Data 2'!$A$2:$A$2198,0)), 0)</f>
        <v>133.5325</v>
      </c>
      <c r="V134" s="34" t="s">
        <v>401</v>
      </c>
      <c r="W134" s="39" t="n">
        <f aca="false">IFERROR(INDEX('Data 2'!$L$2:$L$2198,MATCH(V134,'Data 2'!$A$2:$A$2198,0)), 0)</f>
        <v>29.7133333333333</v>
      </c>
      <c r="X134" s="39" t="n">
        <f aca="false">IFERROR(INDEX('Data 2'!$M$2:$M$2198,MATCH(V134,'Data 2'!$A$2:$A$2198,0)), 0)</f>
        <v>-72.135</v>
      </c>
      <c r="Y134" s="37"/>
      <c r="Z134" s="37"/>
    </row>
    <row r="135" customFormat="false" ht="15.75" hidden="false" customHeight="true" outlineLevel="0" collapsed="false">
      <c r="A135" s="37"/>
      <c r="B135" s="37"/>
      <c r="C135" s="37"/>
      <c r="D135" s="34" t="s">
        <v>200</v>
      </c>
      <c r="E135" s="39" t="n">
        <f aca="false">IFERROR(INDEX('Data 2'!$L$2:$L$2198,MATCH(D135,'Data 2'!$A$2:$A$2198,0)), 0)</f>
        <v>-37.3566666666667</v>
      </c>
      <c r="F135" s="39" t="n">
        <f aca="false">IFERROR(INDEX('Data 2'!$M$2:$M$2198,MATCH(D135,'Data 2'!$A$2:$A$2198,0)), 0)</f>
        <v>67.6425</v>
      </c>
      <c r="H135" s="36"/>
      <c r="I135" s="36"/>
      <c r="J135" s="34" t="s">
        <v>51</v>
      </c>
      <c r="K135" s="39" t="n">
        <f aca="false">IFERROR(INDEX('Data 2'!$L$2:$L$2198,MATCH(J135,'Data 2'!$A$2:$A$2198,0)), 0)</f>
        <v>-35.4266666666667</v>
      </c>
      <c r="L135" s="39" t="n">
        <f aca="false">IFERROR(INDEX('Data 2'!$M$2:$M$2198,MATCH(J135,'Data 2'!$A$2:$A$2198,0)), 0)</f>
        <v>-8.76</v>
      </c>
      <c r="M135" s="36"/>
      <c r="N135" s="36"/>
      <c r="O135" s="36"/>
      <c r="P135" s="34" t="s">
        <v>452</v>
      </c>
      <c r="Q135" s="39" t="n">
        <f aca="false">IFERROR(INDEX('Data 2'!$L$2:$L$2198,MATCH(P135,'Data 2'!$A$2:$A$2198,0)), 0)</f>
        <v>101.916666666667</v>
      </c>
      <c r="R135" s="39" t="n">
        <f aca="false">IFERROR(INDEX('Data 2'!$M$2:$M$2198,MATCH(P135,'Data 2'!$A$2:$A$2198,0)), 0)</f>
        <v>21.2375</v>
      </c>
      <c r="S135" s="34" t="s">
        <v>263</v>
      </c>
      <c r="T135" s="39" t="n">
        <f aca="false">IFERROR(INDEX('Data 2'!$L$2:$L$2198,MATCH(S135,'Data 2'!$A$2:$A$2198,0)), 0)</f>
        <v>-36.11</v>
      </c>
      <c r="U135" s="39" t="n">
        <f aca="false">IFERROR(INDEX('Data 2'!$M$2:$M$2198,MATCH(S135,'Data 2'!$A$2:$A$2198,0)), 0)</f>
        <v>57.59125</v>
      </c>
      <c r="V135" s="34" t="s">
        <v>350</v>
      </c>
      <c r="W135" s="39" t="n">
        <f aca="false">IFERROR(INDEX('Data 2'!$L$2:$L$2198,MATCH(V135,'Data 2'!$A$2:$A$2198,0)), 0)</f>
        <v>-50.9733333333333</v>
      </c>
      <c r="X135" s="39" t="n">
        <f aca="false">IFERROR(INDEX('Data 2'!$M$2:$M$2198,MATCH(V135,'Data 2'!$A$2:$A$2198,0)), 0)</f>
        <v>77.4975</v>
      </c>
      <c r="Y135" s="37"/>
      <c r="Z135" s="37"/>
    </row>
    <row r="136" customFormat="false" ht="15.75" hidden="false" customHeight="true" outlineLevel="0" collapsed="false">
      <c r="A136" s="37"/>
      <c r="B136" s="37"/>
      <c r="C136" s="37"/>
      <c r="D136" s="34" t="s">
        <v>381</v>
      </c>
      <c r="E136" s="39" t="n">
        <f aca="false">IFERROR(INDEX('Data 2'!$L$2:$L$2198,MATCH(D136,'Data 2'!$A$2:$A$2198,0)), 0)</f>
        <v>99.1133333333333</v>
      </c>
      <c r="F136" s="39" t="n">
        <f aca="false">IFERROR(INDEX('Data 2'!$M$2:$M$2198,MATCH(D136,'Data 2'!$A$2:$A$2198,0)), 0)</f>
        <v>28.86375</v>
      </c>
      <c r="H136" s="36"/>
      <c r="I136" s="36"/>
      <c r="J136" s="34" t="s">
        <v>169</v>
      </c>
      <c r="K136" s="39" t="n">
        <f aca="false">IFERROR(INDEX('Data 2'!$L$2:$L$2198,MATCH(J136,'Data 2'!$A$2:$A$2198,0)), 0)</f>
        <v>-78.8333333333333</v>
      </c>
      <c r="L136" s="39" t="n">
        <f aca="false">IFERROR(INDEX('Data 2'!$M$2:$M$2198,MATCH(J136,'Data 2'!$A$2:$A$2198,0)), 0)</f>
        <v>-13.07875</v>
      </c>
      <c r="M136" s="36"/>
      <c r="N136" s="36"/>
      <c r="O136" s="36"/>
      <c r="P136" s="34" t="s">
        <v>453</v>
      </c>
      <c r="Q136" s="39" t="n">
        <f aca="false">IFERROR(INDEX('Data 2'!$L$2:$L$2198,MATCH(P136,'Data 2'!$A$2:$A$2198,0)), 0)</f>
        <v>3.96666666666667</v>
      </c>
      <c r="R136" s="39" t="n">
        <f aca="false">IFERROR(INDEX('Data 2'!$M$2:$M$2198,MATCH(P136,'Data 2'!$A$2:$A$2198,0)), 0)</f>
        <v>-20.91125</v>
      </c>
      <c r="S136" s="34" t="s">
        <v>217</v>
      </c>
      <c r="T136" s="39" t="n">
        <f aca="false">IFERROR(INDEX('Data 2'!$L$2:$L$2198,MATCH(S136,'Data 2'!$A$2:$A$2198,0)), 0)</f>
        <v>-96.1433333333333</v>
      </c>
      <c r="U136" s="39" t="n">
        <f aca="false">IFERROR(INDEX('Data 2'!$M$2:$M$2198,MATCH(S136,'Data 2'!$A$2:$A$2198,0)), 0)</f>
        <v>-2.09125</v>
      </c>
      <c r="V136" s="34" t="s">
        <v>402</v>
      </c>
      <c r="W136" s="39" t="n">
        <f aca="false">IFERROR(INDEX('Data 2'!$L$2:$L$2198,MATCH(V136,'Data 2'!$A$2:$A$2198,0)), 0)</f>
        <v>82.6066666666667</v>
      </c>
      <c r="X136" s="39" t="n">
        <f aca="false">IFERROR(INDEX('Data 2'!$M$2:$M$2198,MATCH(V136,'Data 2'!$A$2:$A$2198,0)), 0)</f>
        <v>59.71125</v>
      </c>
      <c r="Y136" s="37"/>
      <c r="Z136" s="37"/>
    </row>
    <row r="137" customFormat="false" ht="15.75" hidden="false" customHeight="true" outlineLevel="0" collapsed="false">
      <c r="A137" s="37"/>
      <c r="B137" s="37"/>
      <c r="C137" s="37"/>
      <c r="D137" s="34" t="s">
        <v>383</v>
      </c>
      <c r="E137" s="39" t="n">
        <f aca="false">IFERROR(INDEX('Data 2'!$L$2:$L$2198,MATCH(D137,'Data 2'!$A$2:$A$2198,0)), 0)</f>
        <v>108.013333333333</v>
      </c>
      <c r="F137" s="39" t="n">
        <f aca="false">IFERROR(INDEX('Data 2'!$M$2:$M$2198,MATCH(D137,'Data 2'!$A$2:$A$2198,0)), 0)</f>
        <v>50.36375</v>
      </c>
      <c r="H137" s="36"/>
      <c r="I137" s="36"/>
      <c r="J137" s="34" t="s">
        <v>71</v>
      </c>
      <c r="K137" s="39" t="n">
        <f aca="false">IFERROR(INDEX('Data 2'!$L$2:$L$2198,MATCH(J137,'Data 2'!$A$2:$A$2198,0)), 0)</f>
        <v>-96.8233333333333</v>
      </c>
      <c r="L137" s="39" t="n">
        <f aca="false">IFERROR(INDEX('Data 2'!$M$2:$M$2198,MATCH(J137,'Data 2'!$A$2:$A$2198,0)), 0)</f>
        <v>-96.975</v>
      </c>
      <c r="M137" s="36"/>
      <c r="N137" s="36"/>
      <c r="O137" s="36"/>
      <c r="P137" s="34" t="s">
        <v>454</v>
      </c>
      <c r="Q137" s="39" t="n">
        <f aca="false">IFERROR(INDEX('Data 2'!$L$2:$L$2198,MATCH(P137,'Data 2'!$A$2:$A$2198,0)), 0)</f>
        <v>21.0366666666667</v>
      </c>
      <c r="R137" s="39" t="n">
        <f aca="false">IFERROR(INDEX('Data 2'!$M$2:$M$2198,MATCH(P137,'Data 2'!$A$2:$A$2198,0)), 0)</f>
        <v>-31.0125</v>
      </c>
      <c r="S137" s="34" t="s">
        <v>145</v>
      </c>
      <c r="T137" s="39" t="n">
        <f aca="false">IFERROR(INDEX('Data 2'!$L$2:$L$2198,MATCH(S137,'Data 2'!$A$2:$A$2198,0)), 0)</f>
        <v>-114.863333333333</v>
      </c>
      <c r="U137" s="39" t="n">
        <f aca="false">IFERROR(INDEX('Data 2'!$M$2:$M$2198,MATCH(S137,'Data 2'!$A$2:$A$2198,0)), 0)</f>
        <v>-129.15875</v>
      </c>
      <c r="V137" s="34" t="s">
        <v>403</v>
      </c>
      <c r="W137" s="39" t="n">
        <f aca="false">IFERROR(INDEX('Data 2'!$L$2:$L$2198,MATCH(V137,'Data 2'!$A$2:$A$2198,0)), 0)</f>
        <v>-26.0766666666667</v>
      </c>
      <c r="X137" s="39" t="n">
        <f aca="false">IFERROR(INDEX('Data 2'!$M$2:$M$2198,MATCH(V137,'Data 2'!$A$2:$A$2198,0)), 0)</f>
        <v>50.505</v>
      </c>
      <c r="Y137" s="37"/>
      <c r="Z137" s="37"/>
    </row>
    <row r="138" customFormat="false" ht="15.75" hidden="false" customHeight="true" outlineLevel="0" collapsed="false">
      <c r="A138" s="37"/>
      <c r="B138" s="37"/>
      <c r="C138" s="37"/>
      <c r="D138" s="34" t="s">
        <v>188</v>
      </c>
      <c r="E138" s="39" t="n">
        <f aca="false">IFERROR(INDEX('Data 2'!$L$2:$L$2198,MATCH(D138,'Data 2'!$A$2:$A$2198,0)), 0)</f>
        <v>-73.2266666666667</v>
      </c>
      <c r="F138" s="39" t="n">
        <f aca="false">IFERROR(INDEX('Data 2'!$M$2:$M$2198,MATCH(D138,'Data 2'!$A$2:$A$2198,0)), 0)</f>
        <v>-106.525</v>
      </c>
      <c r="H138" s="36"/>
      <c r="I138" s="36"/>
      <c r="J138" s="34" t="s">
        <v>240</v>
      </c>
      <c r="K138" s="39" t="n">
        <f aca="false">IFERROR(INDEX('Data 2'!$L$2:$L$2198,MATCH(J138,'Data 2'!$A$2:$A$2198,0)), 0)</f>
        <v>-127.08</v>
      </c>
      <c r="L138" s="39" t="n">
        <f aca="false">IFERROR(INDEX('Data 2'!$M$2:$M$2198,MATCH(J138,'Data 2'!$A$2:$A$2198,0)), 0)</f>
        <v>-112.8225</v>
      </c>
      <c r="M138" s="36"/>
      <c r="N138" s="36"/>
      <c r="O138" s="36"/>
      <c r="P138" s="34" t="s">
        <v>455</v>
      </c>
      <c r="Q138" s="39" t="n">
        <f aca="false">IFERROR(INDEX('Data 2'!$L$2:$L$2198,MATCH(P138,'Data 2'!$A$2:$A$2198,0)), 0)</f>
        <v>-26.83</v>
      </c>
      <c r="R138" s="39" t="n">
        <f aca="false">IFERROR(INDEX('Data 2'!$M$2:$M$2198,MATCH(P138,'Data 2'!$A$2:$A$2198,0)), 0)</f>
        <v>-61.3225</v>
      </c>
      <c r="S138" s="34" t="s">
        <v>391</v>
      </c>
      <c r="T138" s="39" t="n">
        <f aca="false">IFERROR(INDEX('Data 2'!$L$2:$L$2198,MATCH(S138,'Data 2'!$A$2:$A$2198,0)), 0)</f>
        <v>78.85</v>
      </c>
      <c r="U138" s="39" t="n">
        <f aca="false">IFERROR(INDEX('Data 2'!$M$2:$M$2198,MATCH(S138,'Data 2'!$A$2:$A$2198,0)), 0)</f>
        <v>-7.79</v>
      </c>
      <c r="V138" s="34" t="s">
        <v>297</v>
      </c>
      <c r="W138" s="39" t="n">
        <f aca="false">IFERROR(INDEX('Data 2'!$L$2:$L$2198,MATCH(V138,'Data 2'!$A$2:$A$2198,0)), 0)</f>
        <v>-51.7133333333333</v>
      </c>
      <c r="X138" s="39" t="n">
        <f aca="false">IFERROR(INDEX('Data 2'!$M$2:$M$2198,MATCH(V138,'Data 2'!$A$2:$A$2198,0)), 0)</f>
        <v>-2.8625</v>
      </c>
      <c r="Y138" s="37"/>
      <c r="Z138" s="37"/>
    </row>
    <row r="139" customFormat="false" ht="15.75" hidden="false" customHeight="true" outlineLevel="0" collapsed="false">
      <c r="A139" s="37"/>
      <c r="B139" s="37"/>
      <c r="C139" s="37"/>
      <c r="D139" s="34" t="s">
        <v>247</v>
      </c>
      <c r="E139" s="39" t="n">
        <f aca="false">IFERROR(INDEX('Data 2'!$L$2:$L$2198,MATCH(D139,'Data 2'!$A$2:$A$2198,0)), 0)</f>
        <v>80.6433333333333</v>
      </c>
      <c r="F139" s="39" t="n">
        <f aca="false">IFERROR(INDEX('Data 2'!$M$2:$M$2198,MATCH(D139,'Data 2'!$A$2:$A$2198,0)), 0)</f>
        <v>109.85375</v>
      </c>
      <c r="H139" s="36"/>
      <c r="I139" s="36"/>
      <c r="J139" s="34" t="s">
        <v>456</v>
      </c>
      <c r="K139" s="39" t="n">
        <f aca="false">IFERROR(INDEX('Data 2'!$L$2:$L$2198,MATCH(J139,'Data 2'!$A$2:$A$2198,0)), 0)</f>
        <v>-30.0866666666667</v>
      </c>
      <c r="L139" s="39" t="n">
        <f aca="false">IFERROR(INDEX('Data 2'!$M$2:$M$2198,MATCH(J139,'Data 2'!$A$2:$A$2198,0)), 0)</f>
        <v>39.65125</v>
      </c>
      <c r="M139" s="36"/>
      <c r="N139" s="36"/>
      <c r="O139" s="36"/>
      <c r="P139" s="34" t="s">
        <v>457</v>
      </c>
      <c r="Q139" s="39" t="n">
        <f aca="false">IFERROR(INDEX('Data 2'!$L$2:$L$2198,MATCH(P139,'Data 2'!$A$2:$A$2198,0)), 0)</f>
        <v>-15.7133333333333</v>
      </c>
      <c r="R139" s="39" t="n">
        <f aca="false">IFERROR(INDEX('Data 2'!$M$2:$M$2198,MATCH(P139,'Data 2'!$A$2:$A$2198,0)), 0)</f>
        <v>-10.79125</v>
      </c>
      <c r="S139" s="34" t="s">
        <v>209</v>
      </c>
      <c r="T139" s="39" t="n">
        <f aca="false">IFERROR(INDEX('Data 2'!$L$2:$L$2198,MATCH(S139,'Data 2'!$A$2:$A$2198,0)), 0)</f>
        <v>62.0766666666667</v>
      </c>
      <c r="U139" s="39" t="n">
        <f aca="false">IFERROR(INDEX('Data 2'!$M$2:$M$2198,MATCH(S139,'Data 2'!$A$2:$A$2198,0)), 0)</f>
        <v>86.5</v>
      </c>
      <c r="V139" s="34" t="s">
        <v>404</v>
      </c>
      <c r="W139" s="39" t="n">
        <f aca="false">IFERROR(INDEX('Data 2'!$L$2:$L$2198,MATCH(V139,'Data 2'!$A$2:$A$2198,0)), 0)</f>
        <v>-48.14</v>
      </c>
      <c r="X139" s="39" t="n">
        <f aca="false">IFERROR(INDEX('Data 2'!$M$2:$M$2198,MATCH(V139,'Data 2'!$A$2:$A$2198,0)), 0)</f>
        <v>-23.93875</v>
      </c>
      <c r="Y139" s="37"/>
      <c r="Z139" s="37"/>
    </row>
    <row r="140" customFormat="false" ht="15.75" hidden="false" customHeight="true" outlineLevel="0" collapsed="false">
      <c r="A140" s="37"/>
      <c r="B140" s="37"/>
      <c r="C140" s="37"/>
      <c r="D140" s="34" t="s">
        <v>384</v>
      </c>
      <c r="E140" s="39" t="n">
        <f aca="false">IFERROR(INDEX('Data 2'!$L$2:$L$2198,MATCH(D140,'Data 2'!$A$2:$A$2198,0)), 0)</f>
        <v>28.1266666666667</v>
      </c>
      <c r="F140" s="39" t="n">
        <f aca="false">IFERROR(INDEX('Data 2'!$M$2:$M$2198,MATCH(D140,'Data 2'!$A$2:$A$2198,0)), 0)</f>
        <v>34.0775</v>
      </c>
      <c r="H140" s="36"/>
      <c r="I140" s="36"/>
      <c r="J140" s="34" t="s">
        <v>458</v>
      </c>
      <c r="K140" s="39" t="n">
        <f aca="false">IFERROR(INDEX('Data 2'!$L$2:$L$2198,MATCH(J140,'Data 2'!$A$2:$A$2198,0)), 0)</f>
        <v>4.51333333333334</v>
      </c>
      <c r="L140" s="39" t="n">
        <f aca="false">IFERROR(INDEX('Data 2'!$M$2:$M$2198,MATCH(J140,'Data 2'!$A$2:$A$2198,0)), 0)</f>
        <v>-30.79375</v>
      </c>
      <c r="M140" s="36"/>
      <c r="N140" s="36"/>
      <c r="O140" s="36"/>
      <c r="P140" s="34" t="s">
        <v>459</v>
      </c>
      <c r="Q140" s="39" t="n">
        <f aca="false">IFERROR(INDEX('Data 2'!$L$2:$L$2198,MATCH(P140,'Data 2'!$A$2:$A$2198,0)), 0)</f>
        <v>17.3833333333333</v>
      </c>
      <c r="R140" s="39" t="n">
        <f aca="false">IFERROR(INDEX('Data 2'!$M$2:$M$2198,MATCH(P140,'Data 2'!$A$2:$A$2198,0)), 0)</f>
        <v>-49.76375</v>
      </c>
      <c r="S140" s="34" t="s">
        <v>237</v>
      </c>
      <c r="T140" s="39" t="n">
        <f aca="false">IFERROR(INDEX('Data 2'!$L$2:$L$2198,MATCH(S140,'Data 2'!$A$2:$A$2198,0)), 0)</f>
        <v>-60.82</v>
      </c>
      <c r="U140" s="39" t="n">
        <f aca="false">IFERROR(INDEX('Data 2'!$M$2:$M$2198,MATCH(S140,'Data 2'!$A$2:$A$2198,0)), 0)</f>
        <v>-76.8025</v>
      </c>
      <c r="V140" s="34" t="s">
        <v>354</v>
      </c>
      <c r="W140" s="39" t="n">
        <f aca="false">IFERROR(INDEX('Data 2'!$L$2:$L$2198,MATCH(V140,'Data 2'!$A$2:$A$2198,0)), 0)</f>
        <v>-127.8</v>
      </c>
      <c r="X140" s="39" t="n">
        <f aca="false">IFERROR(INDEX('Data 2'!$M$2:$M$2198,MATCH(V140,'Data 2'!$A$2:$A$2198,0)), 0)</f>
        <v>-84.26375</v>
      </c>
      <c r="Y140" s="37"/>
      <c r="Z140" s="37"/>
    </row>
    <row r="141" customFormat="false" ht="15.75" hidden="false" customHeight="true" outlineLevel="0" collapsed="false">
      <c r="A141" s="37"/>
      <c r="B141" s="37"/>
      <c r="C141" s="37"/>
      <c r="D141" s="34" t="s">
        <v>90</v>
      </c>
      <c r="E141" s="39" t="n">
        <f aca="false">IFERROR(INDEX('Data 2'!$L$2:$L$2198,MATCH(D141,'Data 2'!$A$2:$A$2198,0)), 0)</f>
        <v>79.8433333333334</v>
      </c>
      <c r="F141" s="39" t="n">
        <f aca="false">IFERROR(INDEX('Data 2'!$M$2:$M$2198,MATCH(D141,'Data 2'!$A$2:$A$2198,0)), 0)</f>
        <v>-5.90375</v>
      </c>
      <c r="H141" s="36"/>
      <c r="I141" s="36"/>
      <c r="J141" s="34" t="s">
        <v>460</v>
      </c>
      <c r="K141" s="39" t="n">
        <f aca="false">IFERROR(INDEX('Data 2'!$L$2:$L$2198,MATCH(J141,'Data 2'!$A$2:$A$2198,0)), 0)</f>
        <v>4.76666666666667</v>
      </c>
      <c r="L141" s="39" t="n">
        <f aca="false">IFERROR(INDEX('Data 2'!$M$2:$M$2198,MATCH(J141,'Data 2'!$A$2:$A$2198,0)), 0)</f>
        <v>72.1525</v>
      </c>
      <c r="M141" s="36"/>
      <c r="N141" s="36"/>
      <c r="O141" s="36"/>
      <c r="P141" s="34" t="s">
        <v>461</v>
      </c>
      <c r="Q141" s="39" t="n">
        <f aca="false">IFERROR(INDEX('Data 2'!$L$2:$L$2198,MATCH(P141,'Data 2'!$A$2:$A$2198,0)), 0)</f>
        <v>-79.76</v>
      </c>
      <c r="R141" s="39" t="n">
        <f aca="false">IFERROR(INDEX('Data 2'!$M$2:$M$2198,MATCH(P141,'Data 2'!$A$2:$A$2198,0)), 0)</f>
        <v>-114.74875</v>
      </c>
      <c r="S141" s="34" t="s">
        <v>216</v>
      </c>
      <c r="T141" s="39" t="n">
        <f aca="false">IFERROR(INDEX('Data 2'!$L$2:$L$2198,MATCH(S141,'Data 2'!$A$2:$A$2198,0)), 0)</f>
        <v>-29.8333333333333</v>
      </c>
      <c r="U141" s="39" t="n">
        <f aca="false">IFERROR(INDEX('Data 2'!$M$2:$M$2198,MATCH(S141,'Data 2'!$A$2:$A$2198,0)), 0)</f>
        <v>-60.56</v>
      </c>
      <c r="V141" s="34" t="s">
        <v>406</v>
      </c>
      <c r="W141" s="39" t="n">
        <f aca="false">IFERROR(INDEX('Data 2'!$L$2:$L$2198,MATCH(V141,'Data 2'!$A$2:$A$2198,0)), 0)</f>
        <v>-57.3933333333333</v>
      </c>
      <c r="X141" s="39" t="n">
        <f aca="false">IFERROR(INDEX('Data 2'!$M$2:$M$2198,MATCH(V141,'Data 2'!$A$2:$A$2198,0)), 0)</f>
        <v>-12.63</v>
      </c>
      <c r="Y141" s="37"/>
      <c r="Z141" s="37"/>
    </row>
    <row r="142" customFormat="false" ht="15.75" hidden="false" customHeight="true" outlineLevel="0" collapsed="false">
      <c r="A142" s="37"/>
      <c r="B142" s="37"/>
      <c r="C142" s="37"/>
      <c r="D142" s="34" t="s">
        <v>36</v>
      </c>
      <c r="E142" s="39" t="n">
        <f aca="false">IFERROR(INDEX('Data 2'!$L$2:$L$2198,MATCH(D142,'Data 2'!$A$2:$A$2198,0)), 0)</f>
        <v>51.71</v>
      </c>
      <c r="F142" s="39" t="n">
        <f aca="false">IFERROR(INDEX('Data 2'!$M$2:$M$2198,MATCH(D142,'Data 2'!$A$2:$A$2198,0)), 0)</f>
        <v>81.9225</v>
      </c>
      <c r="H142" s="36"/>
      <c r="I142" s="36"/>
      <c r="J142" s="34" t="s">
        <v>462</v>
      </c>
      <c r="K142" s="39" t="n">
        <f aca="false">IFERROR(INDEX('Data 2'!$L$2:$L$2198,MATCH(J142,'Data 2'!$A$2:$A$2198,0)), 0)</f>
        <v>-2.06</v>
      </c>
      <c r="L142" s="39" t="n">
        <f aca="false">IFERROR(INDEX('Data 2'!$M$2:$M$2198,MATCH(J142,'Data 2'!$A$2:$A$2198,0)), 0)</f>
        <v>-64.1375</v>
      </c>
      <c r="M142" s="36"/>
      <c r="N142" s="36"/>
      <c r="O142" s="36"/>
      <c r="P142" s="34" t="s">
        <v>463</v>
      </c>
      <c r="Q142" s="39" t="n">
        <f aca="false">IFERROR(INDEX('Data 2'!$L$2:$L$2198,MATCH(P142,'Data 2'!$A$2:$A$2198,0)), 0)</f>
        <v>32.9333333333333</v>
      </c>
      <c r="R142" s="39" t="n">
        <f aca="false">IFERROR(INDEX('Data 2'!$M$2:$M$2198,MATCH(P142,'Data 2'!$A$2:$A$2198,0)), 0)</f>
        <v>-5.19125</v>
      </c>
      <c r="S142" s="34" t="s">
        <v>58</v>
      </c>
      <c r="T142" s="39" t="n">
        <f aca="false">IFERROR(INDEX('Data 2'!$L$2:$L$2198,MATCH(S142,'Data 2'!$A$2:$A$2198,0)), 0)</f>
        <v>-65.79</v>
      </c>
      <c r="U142" s="39" t="n">
        <f aca="false">IFERROR(INDEX('Data 2'!$M$2:$M$2198,MATCH(S142,'Data 2'!$A$2:$A$2198,0)), 0)</f>
        <v>-73.055</v>
      </c>
      <c r="V142" s="34" t="s">
        <v>356</v>
      </c>
      <c r="W142" s="39" t="n">
        <f aca="false">IFERROR(INDEX('Data 2'!$L$2:$L$2198,MATCH(V142,'Data 2'!$A$2:$A$2198,0)), 0)</f>
        <v>-23.19</v>
      </c>
      <c r="X142" s="39" t="n">
        <f aca="false">IFERROR(INDEX('Data 2'!$M$2:$M$2198,MATCH(V142,'Data 2'!$A$2:$A$2198,0)), 0)</f>
        <v>25.69125</v>
      </c>
      <c r="Y142" s="37"/>
      <c r="Z142" s="37"/>
    </row>
    <row r="143" customFormat="false" ht="15.75" hidden="false" customHeight="true" outlineLevel="0" collapsed="false">
      <c r="A143" s="37"/>
      <c r="B143" s="37"/>
      <c r="C143" s="37"/>
      <c r="D143" s="34" t="s">
        <v>206</v>
      </c>
      <c r="E143" s="39" t="n">
        <f aca="false">IFERROR(INDEX('Data 2'!$L$2:$L$2198,MATCH(D143,'Data 2'!$A$2:$A$2198,0)), 0)</f>
        <v>-35.94</v>
      </c>
      <c r="F143" s="39" t="n">
        <f aca="false">IFERROR(INDEX('Data 2'!$M$2:$M$2198,MATCH(D143,'Data 2'!$A$2:$A$2198,0)), 0)</f>
        <v>101.60875</v>
      </c>
      <c r="H143" s="36"/>
      <c r="I143" s="36"/>
      <c r="J143" s="34" t="s">
        <v>464</v>
      </c>
      <c r="K143" s="39" t="n">
        <f aca="false">IFERROR(INDEX('Data 2'!$L$2:$L$2198,MATCH(J143,'Data 2'!$A$2:$A$2198,0)), 0)</f>
        <v>101.43</v>
      </c>
      <c r="L143" s="39" t="n">
        <f aca="false">IFERROR(INDEX('Data 2'!$M$2:$M$2198,MATCH(J143,'Data 2'!$A$2:$A$2198,0)), 0)</f>
        <v>19.62625</v>
      </c>
      <c r="M143" s="36"/>
      <c r="N143" s="36"/>
      <c r="O143" s="36"/>
      <c r="P143" s="34" t="s">
        <v>465</v>
      </c>
      <c r="Q143" s="39" t="n">
        <f aca="false">IFERROR(INDEX('Data 2'!$L$2:$L$2198,MATCH(P143,'Data 2'!$A$2:$A$2198,0)), 0)</f>
        <v>-84.5</v>
      </c>
      <c r="R143" s="39" t="n">
        <f aca="false">IFERROR(INDEX('Data 2'!$M$2:$M$2198,MATCH(P143,'Data 2'!$A$2:$A$2198,0)), 0)</f>
        <v>38.75375</v>
      </c>
      <c r="S143" s="34" t="s">
        <v>118</v>
      </c>
      <c r="T143" s="39" t="n">
        <f aca="false">IFERROR(INDEX('Data 2'!$L$2:$L$2198,MATCH(S143,'Data 2'!$A$2:$A$2198,0)), 0)</f>
        <v>92.7166666666667</v>
      </c>
      <c r="U143" s="39" t="n">
        <f aca="false">IFERROR(INDEX('Data 2'!$M$2:$M$2198,MATCH(S143,'Data 2'!$A$2:$A$2198,0)), 0)</f>
        <v>142.18625</v>
      </c>
      <c r="V143" s="34" t="s">
        <v>359</v>
      </c>
      <c r="W143" s="39" t="n">
        <f aca="false">IFERROR(INDEX('Data 2'!$L$2:$L$2198,MATCH(V143,'Data 2'!$A$2:$A$2198,0)), 0)</f>
        <v>-44.11</v>
      </c>
      <c r="X143" s="39" t="n">
        <f aca="false">IFERROR(INDEX('Data 2'!$M$2:$M$2198,MATCH(V143,'Data 2'!$A$2:$A$2198,0)), 0)</f>
        <v>-60.4075</v>
      </c>
      <c r="Y143" s="37"/>
      <c r="Z143" s="37"/>
    </row>
    <row r="144" customFormat="false" ht="15.75" hidden="false" customHeight="true" outlineLevel="0" collapsed="false">
      <c r="A144" s="37"/>
      <c r="B144" s="37"/>
      <c r="C144" s="37"/>
      <c r="D144" s="34" t="s">
        <v>177</v>
      </c>
      <c r="E144" s="39" t="n">
        <f aca="false">IFERROR(INDEX('Data 2'!$L$2:$L$2198,MATCH(D144,'Data 2'!$A$2:$A$2198,0)), 0)</f>
        <v>93.15</v>
      </c>
      <c r="F144" s="39" t="n">
        <f aca="false">IFERROR(INDEX('Data 2'!$M$2:$M$2198,MATCH(D144,'Data 2'!$A$2:$A$2198,0)), 0)</f>
        <v>66.21</v>
      </c>
      <c r="H144" s="36"/>
      <c r="I144" s="36"/>
      <c r="J144" s="34" t="s">
        <v>264</v>
      </c>
      <c r="K144" s="39" t="n">
        <f aca="false">IFERROR(INDEX('Data 2'!$L$2:$L$2198,MATCH(J144,'Data 2'!$A$2:$A$2198,0)), 0)</f>
        <v>-93.3566666666667</v>
      </c>
      <c r="L144" s="39" t="n">
        <f aca="false">IFERROR(INDEX('Data 2'!$M$2:$M$2198,MATCH(J144,'Data 2'!$A$2:$A$2198,0)), 0)</f>
        <v>-121.41625</v>
      </c>
      <c r="M144" s="36"/>
      <c r="N144" s="36"/>
      <c r="O144" s="36"/>
      <c r="P144" s="34" t="s">
        <v>313</v>
      </c>
      <c r="Q144" s="39" t="n">
        <f aca="false">IFERROR(INDEX('Data 2'!$L$2:$L$2198,MATCH(P144,'Data 2'!$A$2:$A$2198,0)), 0)</f>
        <v>31.5366666666667</v>
      </c>
      <c r="R144" s="39" t="n">
        <f aca="false">IFERROR(INDEX('Data 2'!$M$2:$M$2198,MATCH(P144,'Data 2'!$A$2:$A$2198,0)), 0)</f>
        <v>108.4825</v>
      </c>
      <c r="S144" s="34" t="s">
        <v>133</v>
      </c>
      <c r="T144" s="39" t="n">
        <f aca="false">IFERROR(INDEX('Data 2'!$L$2:$L$2198,MATCH(S144,'Data 2'!$A$2:$A$2198,0)), 0)</f>
        <v>49.7733333333333</v>
      </c>
      <c r="U144" s="39" t="n">
        <f aca="false">IFERROR(INDEX('Data 2'!$M$2:$M$2198,MATCH(S144,'Data 2'!$A$2:$A$2198,0)), 0)</f>
        <v>-6.99375</v>
      </c>
      <c r="V144" s="34" t="s">
        <v>95</v>
      </c>
      <c r="W144" s="39" t="n">
        <f aca="false">IFERROR(INDEX('Data 2'!$L$2:$L$2198,MATCH(V144,'Data 2'!$A$2:$A$2198,0)), 0)</f>
        <v>1.26666666666667</v>
      </c>
      <c r="X144" s="39" t="n">
        <f aca="false">IFERROR(INDEX('Data 2'!$M$2:$M$2198,MATCH(V144,'Data 2'!$A$2:$A$2198,0)), 0)</f>
        <v>15.28625</v>
      </c>
      <c r="Y144" s="37"/>
      <c r="Z144" s="37"/>
    </row>
    <row r="145" customFormat="false" ht="15.75" hidden="false" customHeight="true" outlineLevel="0" collapsed="false">
      <c r="A145" s="37"/>
      <c r="B145" s="37"/>
      <c r="C145" s="37"/>
      <c r="D145" s="34" t="s">
        <v>385</v>
      </c>
      <c r="E145" s="39" t="n">
        <f aca="false">IFERROR(INDEX('Data 2'!$L$2:$L$2198,MATCH(D145,'Data 2'!$A$2:$A$2198,0)), 0)</f>
        <v>82.7966666666667</v>
      </c>
      <c r="F145" s="39" t="n">
        <f aca="false">IFERROR(INDEX('Data 2'!$M$2:$M$2198,MATCH(D145,'Data 2'!$A$2:$A$2198,0)), 0)</f>
        <v>77.565</v>
      </c>
      <c r="H145" s="36"/>
      <c r="I145" s="36"/>
      <c r="J145" s="34" t="s">
        <v>241</v>
      </c>
      <c r="K145" s="39" t="n">
        <f aca="false">IFERROR(INDEX('Data 2'!$L$2:$L$2198,MATCH(J145,'Data 2'!$A$2:$A$2198,0)), 0)</f>
        <v>-31.2566666666667</v>
      </c>
      <c r="L145" s="39" t="n">
        <f aca="false">IFERROR(INDEX('Data 2'!$M$2:$M$2198,MATCH(J145,'Data 2'!$A$2:$A$2198,0)), 0)</f>
        <v>60.3325</v>
      </c>
      <c r="M145" s="36"/>
      <c r="N145" s="36"/>
      <c r="O145" s="36"/>
      <c r="P145" s="34" t="s">
        <v>466</v>
      </c>
      <c r="Q145" s="39" t="n">
        <f aca="false">IFERROR(INDEX('Data 2'!$L$2:$L$2198,MATCH(P145,'Data 2'!$A$2:$A$2198,0)), 0)</f>
        <v>-92.79</v>
      </c>
      <c r="R145" s="39" t="n">
        <f aca="false">IFERROR(INDEX('Data 2'!$M$2:$M$2198,MATCH(P145,'Data 2'!$A$2:$A$2198,0)), 0)</f>
        <v>-109.9625</v>
      </c>
      <c r="S145" s="34" t="s">
        <v>164</v>
      </c>
      <c r="T145" s="39" t="n">
        <f aca="false">IFERROR(INDEX('Data 2'!$L$2:$L$2198,MATCH(S145,'Data 2'!$A$2:$A$2198,0)), 0)</f>
        <v>-125.086666666667</v>
      </c>
      <c r="U145" s="39" t="n">
        <f aca="false">IFERROR(INDEX('Data 2'!$M$2:$M$2198,MATCH(S145,'Data 2'!$A$2:$A$2198,0)), 0)</f>
        <v>-114.465</v>
      </c>
      <c r="V145" s="34" t="s">
        <v>361</v>
      </c>
      <c r="W145" s="39" t="n">
        <f aca="false">IFERROR(INDEX('Data 2'!$L$2:$L$2198,MATCH(V145,'Data 2'!$A$2:$A$2198,0)), 0)</f>
        <v>49.73</v>
      </c>
      <c r="X145" s="39" t="n">
        <f aca="false">IFERROR(INDEX('Data 2'!$M$2:$M$2198,MATCH(V145,'Data 2'!$A$2:$A$2198,0)), 0)</f>
        <v>106.49875</v>
      </c>
      <c r="Y145" s="37"/>
      <c r="Z145" s="37"/>
    </row>
    <row r="146" customFormat="false" ht="15.75" hidden="false" customHeight="true" outlineLevel="0" collapsed="false">
      <c r="A146" s="37"/>
      <c r="B146" s="37"/>
      <c r="C146" s="37"/>
      <c r="D146" s="34" t="s">
        <v>386</v>
      </c>
      <c r="E146" s="39" t="n">
        <f aca="false">IFERROR(INDEX('Data 2'!$L$2:$L$2198,MATCH(D146,'Data 2'!$A$2:$A$2198,0)), 0)</f>
        <v>89.5966666666667</v>
      </c>
      <c r="F146" s="39" t="n">
        <f aca="false">IFERROR(INDEX('Data 2'!$M$2:$M$2198,MATCH(D146,'Data 2'!$A$2:$A$2198,0)), 0)</f>
        <v>175.14125</v>
      </c>
      <c r="H146" s="36"/>
      <c r="I146" s="36"/>
      <c r="J146" s="34" t="s">
        <v>467</v>
      </c>
      <c r="K146" s="39" t="n">
        <f aca="false">IFERROR(INDEX('Data 2'!$L$2:$L$2198,MATCH(J146,'Data 2'!$A$2:$A$2198,0)), 0)</f>
        <v>94.13</v>
      </c>
      <c r="L146" s="39" t="n">
        <f aca="false">IFERROR(INDEX('Data 2'!$M$2:$M$2198,MATCH(J146,'Data 2'!$A$2:$A$2198,0)), 0)</f>
        <v>180.25375</v>
      </c>
      <c r="M146" s="36"/>
      <c r="N146" s="36"/>
      <c r="O146" s="36"/>
      <c r="P146" s="34" t="s">
        <v>315</v>
      </c>
      <c r="Q146" s="39" t="n">
        <f aca="false">IFERROR(INDEX('Data 2'!$L$2:$L$2198,MATCH(P146,'Data 2'!$A$2:$A$2198,0)), 0)</f>
        <v>-16.6166666666667</v>
      </c>
      <c r="R146" s="39" t="n">
        <f aca="false">IFERROR(INDEX('Data 2'!$M$2:$M$2198,MATCH(P146,'Data 2'!$A$2:$A$2198,0)), 0)</f>
        <v>11.73125</v>
      </c>
      <c r="S146" s="34" t="s">
        <v>87</v>
      </c>
      <c r="T146" s="39" t="n">
        <f aca="false">IFERROR(INDEX('Data 2'!$L$2:$L$2198,MATCH(S146,'Data 2'!$A$2:$A$2198,0)), 0)</f>
        <v>91.2033333333333</v>
      </c>
      <c r="U146" s="39" t="n">
        <f aca="false">IFERROR(INDEX('Data 2'!$M$2:$M$2198,MATCH(S146,'Data 2'!$A$2:$A$2198,0)), 0)</f>
        <v>63.67125</v>
      </c>
      <c r="V146" s="34" t="s">
        <v>408</v>
      </c>
      <c r="W146" s="39" t="n">
        <f aca="false">IFERROR(INDEX('Data 2'!$L$2:$L$2198,MATCH(V146,'Data 2'!$A$2:$A$2198,0)), 0)</f>
        <v>35.24</v>
      </c>
      <c r="X146" s="39" t="n">
        <f aca="false">IFERROR(INDEX('Data 2'!$M$2:$M$2198,MATCH(V146,'Data 2'!$A$2:$A$2198,0)), 0)</f>
        <v>91.09125</v>
      </c>
      <c r="Y146" s="37"/>
      <c r="Z146" s="37"/>
    </row>
    <row r="147" customFormat="false" ht="15.75" hidden="false" customHeight="true" outlineLevel="0" collapsed="false">
      <c r="A147" s="37"/>
      <c r="B147" s="37"/>
      <c r="C147" s="37"/>
      <c r="D147" s="34" t="s">
        <v>388</v>
      </c>
      <c r="E147" s="39" t="n">
        <f aca="false">IFERROR(INDEX('Data 2'!$L$2:$L$2198,MATCH(D147,'Data 2'!$A$2:$A$2198,0)), 0)</f>
        <v>0</v>
      </c>
      <c r="F147" s="39" t="n">
        <f aca="false">IFERROR(INDEX('Data 2'!$M$2:$M$2198,MATCH(D147,'Data 2'!$A$2:$A$2198,0)), 0)</f>
        <v>0</v>
      </c>
      <c r="H147" s="36"/>
      <c r="I147" s="36"/>
      <c r="J147" s="34" t="s">
        <v>181</v>
      </c>
      <c r="K147" s="39" t="n">
        <f aca="false">IFERROR(INDEX('Data 2'!$L$2:$L$2198,MATCH(J147,'Data 2'!$A$2:$A$2198,0)), 0)</f>
        <v>76.9766666666667</v>
      </c>
      <c r="L147" s="39" t="n">
        <f aca="false">IFERROR(INDEX('Data 2'!$M$2:$M$2198,MATCH(J147,'Data 2'!$A$2:$A$2198,0)), 0)</f>
        <v>100.7175</v>
      </c>
      <c r="M147" s="36"/>
      <c r="N147" s="36"/>
      <c r="O147" s="36"/>
      <c r="P147" s="34" t="s">
        <v>468</v>
      </c>
      <c r="Q147" s="39" t="n">
        <f aca="false">IFERROR(INDEX('Data 2'!$L$2:$L$2198,MATCH(P147,'Data 2'!$A$2:$A$2198,0)), 0)</f>
        <v>16.9366666666667</v>
      </c>
      <c r="R147" s="39" t="n">
        <f aca="false">IFERROR(INDEX('Data 2'!$M$2:$M$2198,MATCH(P147,'Data 2'!$A$2:$A$2198,0)), 0)</f>
        <v>56.39875</v>
      </c>
      <c r="S147" s="34" t="s">
        <v>93</v>
      </c>
      <c r="T147" s="39" t="n">
        <f aca="false">IFERROR(INDEX('Data 2'!$L$2:$L$2198,MATCH(S147,'Data 2'!$A$2:$A$2198,0)), 0)</f>
        <v>-65.85</v>
      </c>
      <c r="U147" s="39" t="n">
        <f aca="false">IFERROR(INDEX('Data 2'!$M$2:$M$2198,MATCH(S147,'Data 2'!$A$2:$A$2198,0)), 0)</f>
        <v>-1.4225</v>
      </c>
      <c r="V147" s="34" t="s">
        <v>409</v>
      </c>
      <c r="W147" s="39" t="n">
        <f aca="false">IFERROR(INDEX('Data 2'!$L$2:$L$2198,MATCH(V147,'Data 2'!$A$2:$A$2198,0)), 0)</f>
        <v>118.203333333333</v>
      </c>
      <c r="X147" s="39" t="n">
        <f aca="false">IFERROR(INDEX('Data 2'!$M$2:$M$2198,MATCH(V147,'Data 2'!$A$2:$A$2198,0)), 0)</f>
        <v>278.65</v>
      </c>
      <c r="Y147" s="37"/>
      <c r="Z147" s="37"/>
    </row>
    <row r="148" customFormat="false" ht="15.75" hidden="false" customHeight="true" outlineLevel="0" collapsed="false">
      <c r="A148" s="37"/>
      <c r="B148" s="37"/>
      <c r="C148" s="37"/>
      <c r="D148" s="34" t="s">
        <v>73</v>
      </c>
      <c r="E148" s="39" t="n">
        <f aca="false">IFERROR(INDEX('Data 2'!$L$2:$L$2198,MATCH(D148,'Data 2'!$A$2:$A$2198,0)), 0)</f>
        <v>-21.05</v>
      </c>
      <c r="F148" s="39" t="n">
        <f aca="false">IFERROR(INDEX('Data 2'!$M$2:$M$2198,MATCH(D148,'Data 2'!$A$2:$A$2198,0)), 0)</f>
        <v>101.3275</v>
      </c>
      <c r="H148" s="36"/>
      <c r="I148" s="36"/>
      <c r="J148" s="34" t="s">
        <v>50</v>
      </c>
      <c r="K148" s="39" t="n">
        <f aca="false">IFERROR(INDEX('Data 2'!$L$2:$L$2198,MATCH(J148,'Data 2'!$A$2:$A$2198,0)), 0)</f>
        <v>-130.666666666667</v>
      </c>
      <c r="L148" s="39" t="n">
        <f aca="false">IFERROR(INDEX('Data 2'!$M$2:$M$2198,MATCH(J148,'Data 2'!$A$2:$A$2198,0)), 0)</f>
        <v>-131.56</v>
      </c>
      <c r="M148" s="36"/>
      <c r="N148" s="36"/>
      <c r="O148" s="36"/>
      <c r="P148" s="34" t="s">
        <v>469</v>
      </c>
      <c r="Q148" s="39" t="n">
        <f aca="false">IFERROR(INDEX('Data 2'!$L$2:$L$2198,MATCH(P148,'Data 2'!$A$2:$A$2198,0)), 0)</f>
        <v>25.46</v>
      </c>
      <c r="R148" s="39" t="n">
        <f aca="false">IFERROR(INDEX('Data 2'!$M$2:$M$2198,MATCH(P148,'Data 2'!$A$2:$A$2198,0)), 0)</f>
        <v>-9.98125000000001</v>
      </c>
      <c r="S148" s="34" t="s">
        <v>207</v>
      </c>
      <c r="T148" s="39" t="n">
        <f aca="false">IFERROR(INDEX('Data 2'!$L$2:$L$2198,MATCH(S148,'Data 2'!$A$2:$A$2198,0)), 0)</f>
        <v>-66.46</v>
      </c>
      <c r="U148" s="39" t="n">
        <f aca="false">IFERROR(INDEX('Data 2'!$M$2:$M$2198,MATCH(S148,'Data 2'!$A$2:$A$2198,0)), 0)</f>
        <v>-38.2925</v>
      </c>
      <c r="V148" s="34" t="s">
        <v>410</v>
      </c>
      <c r="W148" s="39" t="n">
        <f aca="false">IFERROR(INDEX('Data 2'!$L$2:$L$2198,MATCH(V148,'Data 2'!$A$2:$A$2198,0)), 0)</f>
        <v>14.6566666666667</v>
      </c>
      <c r="X148" s="39" t="n">
        <f aca="false">IFERROR(INDEX('Data 2'!$M$2:$M$2198,MATCH(V148,'Data 2'!$A$2:$A$2198,0)), 0)</f>
        <v>113.60875</v>
      </c>
      <c r="Y148" s="37"/>
      <c r="Z148" s="37"/>
    </row>
    <row r="149" customFormat="false" ht="15.75" hidden="false" customHeight="true" outlineLevel="0" collapsed="false">
      <c r="A149" s="37"/>
      <c r="B149" s="37"/>
      <c r="C149" s="37"/>
      <c r="D149" s="34" t="s">
        <v>389</v>
      </c>
      <c r="E149" s="39" t="n">
        <f aca="false">IFERROR(INDEX('Data 2'!$L$2:$L$2198,MATCH(D149,'Data 2'!$A$2:$A$2198,0)), 0)</f>
        <v>-63.3166666666667</v>
      </c>
      <c r="F149" s="39" t="n">
        <f aca="false">IFERROR(INDEX('Data 2'!$M$2:$M$2198,MATCH(D149,'Data 2'!$A$2:$A$2198,0)), 0)</f>
        <v>-53.87875</v>
      </c>
      <c r="H149" s="36"/>
      <c r="I149" s="36"/>
      <c r="J149" s="34" t="s">
        <v>353</v>
      </c>
      <c r="K149" s="39" t="n">
        <f aca="false">IFERROR(INDEX('Data 2'!$L$2:$L$2198,MATCH(J149,'Data 2'!$A$2:$A$2198,0)), 0)</f>
        <v>0</v>
      </c>
      <c r="L149" s="39" t="n">
        <f aca="false">IFERROR(INDEX('Data 2'!$M$2:$M$2198,MATCH(J149,'Data 2'!$A$2:$A$2198,0)), 0)</f>
        <v>0</v>
      </c>
      <c r="M149" s="36"/>
      <c r="N149" s="36"/>
      <c r="O149" s="36"/>
      <c r="P149" s="34" t="s">
        <v>470</v>
      </c>
      <c r="Q149" s="39" t="n">
        <f aca="false">IFERROR(INDEX('Data 2'!$L$2:$L$2198,MATCH(P149,'Data 2'!$A$2:$A$2198,0)), 0)</f>
        <v>89.96</v>
      </c>
      <c r="R149" s="39" t="n">
        <f aca="false">IFERROR(INDEX('Data 2'!$M$2:$M$2198,MATCH(P149,'Data 2'!$A$2:$A$2198,0)), 0)</f>
        <v>15.48875</v>
      </c>
      <c r="S149" s="34" t="s">
        <v>398</v>
      </c>
      <c r="T149" s="39" t="n">
        <f aca="false">IFERROR(INDEX('Data 2'!$L$2:$L$2198,MATCH(S149,'Data 2'!$A$2:$A$2198,0)), 0)</f>
        <v>-59</v>
      </c>
      <c r="U149" s="39" t="n">
        <f aca="false">IFERROR(INDEX('Data 2'!$M$2:$M$2198,MATCH(S149,'Data 2'!$A$2:$A$2198,0)), 0)</f>
        <v>-66.46125</v>
      </c>
      <c r="V149" s="34" t="s">
        <v>412</v>
      </c>
      <c r="W149" s="39" t="n">
        <f aca="false">IFERROR(INDEX('Data 2'!$L$2:$L$2198,MATCH(V149,'Data 2'!$A$2:$A$2198,0)), 0)</f>
        <v>-93.3566666666667</v>
      </c>
      <c r="X149" s="39" t="n">
        <f aca="false">IFERROR(INDEX('Data 2'!$M$2:$M$2198,MATCH(V149,'Data 2'!$A$2:$A$2198,0)), 0)</f>
        <v>-81.895</v>
      </c>
      <c r="Y149" s="37"/>
      <c r="Z149" s="37"/>
    </row>
    <row r="150" customFormat="false" ht="15.75" hidden="false" customHeight="true" outlineLevel="0" collapsed="false">
      <c r="A150" s="37"/>
      <c r="B150" s="37"/>
      <c r="C150" s="37"/>
      <c r="D150" s="34" t="s">
        <v>390</v>
      </c>
      <c r="E150" s="39" t="n">
        <f aca="false">IFERROR(INDEX('Data 2'!$L$2:$L$2198,MATCH(D150,'Data 2'!$A$2:$A$2198,0)), 0)</f>
        <v>-91.0966666666667</v>
      </c>
      <c r="F150" s="39" t="n">
        <f aca="false">IFERROR(INDEX('Data 2'!$M$2:$M$2198,MATCH(D150,'Data 2'!$A$2:$A$2198,0)), 0)</f>
        <v>-69.45625</v>
      </c>
      <c r="H150" s="36"/>
      <c r="I150" s="36"/>
      <c r="J150" s="34" t="s">
        <v>56</v>
      </c>
      <c r="K150" s="39" t="n">
        <f aca="false">IFERROR(INDEX('Data 2'!$L$2:$L$2198,MATCH(J150,'Data 2'!$A$2:$A$2198,0)), 0)</f>
        <v>29.0366666666667</v>
      </c>
      <c r="L150" s="39" t="n">
        <f aca="false">IFERROR(INDEX('Data 2'!$M$2:$M$2198,MATCH(J150,'Data 2'!$A$2:$A$2198,0)), 0)</f>
        <v>50.28375</v>
      </c>
      <c r="M150" s="36"/>
      <c r="N150" s="36"/>
      <c r="O150" s="36"/>
      <c r="P150" s="34" t="s">
        <v>471</v>
      </c>
      <c r="Q150" s="39" t="n">
        <f aca="false">IFERROR(INDEX('Data 2'!$L$2:$L$2198,MATCH(P150,'Data 2'!$A$2:$A$2198,0)), 0)</f>
        <v>6.83333333333333</v>
      </c>
      <c r="R150" s="39" t="n">
        <f aca="false">IFERROR(INDEX('Data 2'!$M$2:$M$2198,MATCH(P150,'Data 2'!$A$2:$A$2198,0)), 0)</f>
        <v>12.05125</v>
      </c>
      <c r="S150" s="34" t="s">
        <v>400</v>
      </c>
      <c r="T150" s="39" t="n">
        <f aca="false">IFERROR(INDEX('Data 2'!$L$2:$L$2198,MATCH(S150,'Data 2'!$A$2:$A$2198,0)), 0)</f>
        <v>-115.23</v>
      </c>
      <c r="U150" s="39" t="n">
        <f aca="false">IFERROR(INDEX('Data 2'!$M$2:$M$2198,MATCH(S150,'Data 2'!$A$2:$A$2198,0)), 0)</f>
        <v>-85.77875</v>
      </c>
      <c r="V150" s="34" t="s">
        <v>362</v>
      </c>
      <c r="W150" s="39" t="n">
        <f aca="false">IFERROR(INDEX('Data 2'!$L$2:$L$2198,MATCH(V150,'Data 2'!$A$2:$A$2198,0)), 0)</f>
        <v>55.4933333333333</v>
      </c>
      <c r="X150" s="39" t="n">
        <f aca="false">IFERROR(INDEX('Data 2'!$M$2:$M$2198,MATCH(V150,'Data 2'!$A$2:$A$2198,0)), 0)</f>
        <v>108.7275</v>
      </c>
      <c r="Y150" s="37"/>
      <c r="Z150" s="37"/>
    </row>
    <row r="151" customFormat="false" ht="15.75" hidden="false" customHeight="true" outlineLevel="0" collapsed="false">
      <c r="A151" s="37"/>
      <c r="B151" s="37"/>
      <c r="C151" s="37"/>
      <c r="D151" s="34" t="s">
        <v>334</v>
      </c>
      <c r="E151" s="39" t="n">
        <f aca="false">IFERROR(INDEX('Data 2'!$L$2:$L$2198,MATCH(D151,'Data 2'!$A$2:$A$2198,0)), 0)</f>
        <v>11.0666666666667</v>
      </c>
      <c r="F151" s="39" t="n">
        <f aca="false">IFERROR(INDEX('Data 2'!$M$2:$M$2198,MATCH(D151,'Data 2'!$A$2:$A$2198,0)), 0)</f>
        <v>75.59375</v>
      </c>
      <c r="H151" s="36"/>
      <c r="I151" s="36"/>
      <c r="J151" s="34" t="s">
        <v>234</v>
      </c>
      <c r="K151" s="39" t="n">
        <f aca="false">IFERROR(INDEX('Data 2'!$L$2:$L$2198,MATCH(J151,'Data 2'!$A$2:$A$2198,0)), 0)</f>
        <v>-7.70666666666667</v>
      </c>
      <c r="L151" s="39" t="n">
        <f aca="false">IFERROR(INDEX('Data 2'!$M$2:$M$2198,MATCH(J151,'Data 2'!$A$2:$A$2198,0)), 0)</f>
        <v>-11.97375</v>
      </c>
      <c r="M151" s="36"/>
      <c r="N151" s="36"/>
      <c r="O151" s="36"/>
      <c r="P151" s="34" t="s">
        <v>472</v>
      </c>
      <c r="Q151" s="39" t="n">
        <f aca="false">IFERROR(INDEX('Data 2'!$L$2:$L$2198,MATCH(P151,'Data 2'!$A$2:$A$2198,0)), 0)</f>
        <v>24.7066666666667</v>
      </c>
      <c r="R151" s="39" t="n">
        <f aca="false">IFERROR(INDEX('Data 2'!$M$2:$M$2198,MATCH(P151,'Data 2'!$A$2:$A$2198,0)), 0)</f>
        <v>81.7675</v>
      </c>
      <c r="S151" s="34" t="s">
        <v>146</v>
      </c>
      <c r="T151" s="39" t="n">
        <f aca="false">IFERROR(INDEX('Data 2'!$L$2:$L$2198,MATCH(S151,'Data 2'!$A$2:$A$2198,0)), 0)</f>
        <v>64.1</v>
      </c>
      <c r="U151" s="39" t="n">
        <f aca="false">IFERROR(INDEX('Data 2'!$M$2:$M$2198,MATCH(S151,'Data 2'!$A$2:$A$2198,0)), 0)</f>
        <v>37.375</v>
      </c>
      <c r="V151" s="34" t="s">
        <v>165</v>
      </c>
      <c r="W151" s="39" t="n">
        <f aca="false">IFERROR(INDEX('Data 2'!$L$2:$L$2198,MATCH(V151,'Data 2'!$A$2:$A$2198,0)), 0)</f>
        <v>35.1866666666667</v>
      </c>
      <c r="X151" s="39" t="n">
        <f aca="false">IFERROR(INDEX('Data 2'!$M$2:$M$2198,MATCH(V151,'Data 2'!$A$2:$A$2198,0)), 0)</f>
        <v>-31.80375</v>
      </c>
      <c r="Y151" s="37"/>
      <c r="Z151" s="37"/>
    </row>
    <row r="152" customFormat="false" ht="15.75" hidden="false" customHeight="true" outlineLevel="0" collapsed="false">
      <c r="A152" s="37"/>
      <c r="B152" s="37"/>
      <c r="C152" s="37"/>
      <c r="D152" s="34" t="s">
        <v>392</v>
      </c>
      <c r="E152" s="39" t="n">
        <f aca="false">IFERROR(INDEX('Data 2'!$L$2:$L$2198,MATCH(D152,'Data 2'!$A$2:$A$2198,0)), 0)</f>
        <v>58.18</v>
      </c>
      <c r="F152" s="39" t="n">
        <f aca="false">IFERROR(INDEX('Data 2'!$M$2:$M$2198,MATCH(D152,'Data 2'!$A$2:$A$2198,0)), 0)</f>
        <v>103.35625</v>
      </c>
      <c r="H152" s="36"/>
      <c r="I152" s="36"/>
      <c r="J152" s="34" t="s">
        <v>473</v>
      </c>
      <c r="K152" s="39" t="n">
        <f aca="false">IFERROR(INDEX('Data 2'!$L$2:$L$2198,MATCH(J152,'Data 2'!$A$2:$A$2198,0)), 0)</f>
        <v>16.5233333333333</v>
      </c>
      <c r="L152" s="39" t="n">
        <f aca="false">IFERROR(INDEX('Data 2'!$M$2:$M$2198,MATCH(J152,'Data 2'!$A$2:$A$2198,0)), 0)</f>
        <v>137.69625</v>
      </c>
      <c r="M152" s="36"/>
      <c r="N152" s="36"/>
      <c r="O152" s="36"/>
      <c r="P152" s="34" t="s">
        <v>474</v>
      </c>
      <c r="Q152" s="39" t="n">
        <f aca="false">IFERROR(INDEX('Data 2'!$L$2:$L$2198,MATCH(P152,'Data 2'!$A$2:$A$2198,0)), 0)</f>
        <v>-54.5816666666667</v>
      </c>
      <c r="R152" s="39" t="n">
        <f aca="false">IFERROR(INDEX('Data 2'!$M$2:$M$2198,MATCH(P152,'Data 2'!$A$2:$A$2198,0)), 0)</f>
        <v>24.385625</v>
      </c>
      <c r="S152" s="34" t="s">
        <v>83</v>
      </c>
      <c r="T152" s="39" t="n">
        <f aca="false">IFERROR(INDEX('Data 2'!$L$2:$L$2198,MATCH(S152,'Data 2'!$A$2:$A$2198,0)), 0)</f>
        <v>11.0933333333333</v>
      </c>
      <c r="U152" s="39" t="n">
        <f aca="false">IFERROR(INDEX('Data 2'!$M$2:$M$2198,MATCH(S152,'Data 2'!$A$2:$A$2198,0)), 0)</f>
        <v>45.75125</v>
      </c>
      <c r="V152" s="34" t="s">
        <v>194</v>
      </c>
      <c r="W152" s="39" t="n">
        <f aca="false">IFERROR(INDEX('Data 2'!$L$2:$L$2198,MATCH(V152,'Data 2'!$A$2:$A$2198,0)), 0)</f>
        <v>5.59666666666667</v>
      </c>
      <c r="X152" s="39" t="n">
        <f aca="false">IFERROR(INDEX('Data 2'!$M$2:$M$2198,MATCH(V152,'Data 2'!$A$2:$A$2198,0)), 0)</f>
        <v>-43.44625</v>
      </c>
      <c r="Y152" s="37"/>
      <c r="Z152" s="37"/>
    </row>
    <row r="153" customFormat="false" ht="15.75" hidden="false" customHeight="true" outlineLevel="0" collapsed="false">
      <c r="A153" s="37"/>
      <c r="B153" s="37"/>
      <c r="C153" s="37"/>
      <c r="D153" s="34" t="s">
        <v>336</v>
      </c>
      <c r="E153" s="39" t="n">
        <f aca="false">IFERROR(INDEX('Data 2'!$L$2:$L$2198,MATCH(D153,'Data 2'!$A$2:$A$2198,0)), 0)</f>
        <v>-21.0266666666667</v>
      </c>
      <c r="F153" s="39" t="n">
        <f aca="false">IFERROR(INDEX('Data 2'!$M$2:$M$2198,MATCH(D153,'Data 2'!$A$2:$A$2198,0)), 0)</f>
        <v>76.4225</v>
      </c>
      <c r="H153" s="36"/>
      <c r="I153" s="36"/>
      <c r="J153" s="36"/>
      <c r="K153" s="36"/>
      <c r="L153" s="36"/>
      <c r="M153" s="36"/>
      <c r="N153" s="36"/>
      <c r="O153" s="36"/>
      <c r="P153" s="34" t="s">
        <v>475</v>
      </c>
      <c r="Q153" s="39" t="n">
        <f aca="false">IFERROR(INDEX('Data 2'!$L$2:$L$2198,MATCH(P153,'Data 2'!$A$2:$A$2198,0)), 0)</f>
        <v>14.0366666666667</v>
      </c>
      <c r="R153" s="39" t="n">
        <f aca="false">IFERROR(INDEX('Data 2'!$M$2:$M$2198,MATCH(P153,'Data 2'!$A$2:$A$2198,0)), 0)</f>
        <v>30.22</v>
      </c>
      <c r="S153" s="34" t="s">
        <v>222</v>
      </c>
      <c r="T153" s="39" t="n">
        <f aca="false">IFERROR(INDEX('Data 2'!$L$2:$L$2198,MATCH(S153,'Data 2'!$A$2:$A$2198,0)), 0)</f>
        <v>-3.85333333333333</v>
      </c>
      <c r="U153" s="39" t="n">
        <f aca="false">IFERROR(INDEX('Data 2'!$M$2:$M$2198,MATCH(S153,'Data 2'!$A$2:$A$2198,0)), 0)</f>
        <v>-25.76125</v>
      </c>
      <c r="V153" s="34" t="s">
        <v>415</v>
      </c>
      <c r="W153" s="39" t="n">
        <f aca="false">IFERROR(INDEX('Data 2'!$L$2:$L$2198,MATCH(V153,'Data 2'!$A$2:$A$2198,0)), 0)</f>
        <v>-59.0066666666667</v>
      </c>
      <c r="X153" s="39" t="n">
        <f aca="false">IFERROR(INDEX('Data 2'!$M$2:$M$2198,MATCH(V153,'Data 2'!$A$2:$A$2198,0)), 0)</f>
        <v>-25.75125</v>
      </c>
      <c r="Y153" s="37"/>
      <c r="Z153" s="37"/>
    </row>
    <row r="154" customFormat="false" ht="15.75" hidden="false" customHeight="true" outlineLevel="0" collapsed="false">
      <c r="A154" s="37"/>
      <c r="B154" s="37"/>
      <c r="C154" s="37"/>
      <c r="D154" s="34" t="s">
        <v>393</v>
      </c>
      <c r="E154" s="39" t="n">
        <f aca="false">IFERROR(INDEX('Data 2'!$L$2:$L$2198,MATCH(D154,'Data 2'!$A$2:$A$2198,0)), 0)</f>
        <v>-92.8833333333333</v>
      </c>
      <c r="F154" s="39" t="n">
        <f aca="false">IFERROR(INDEX('Data 2'!$M$2:$M$2198,MATCH(D154,'Data 2'!$A$2:$A$2198,0)), 0)</f>
        <v>-75.73575</v>
      </c>
      <c r="H154" s="36"/>
      <c r="I154" s="36"/>
      <c r="J154" s="36"/>
      <c r="K154" s="36"/>
      <c r="L154" s="36"/>
      <c r="M154" s="36"/>
      <c r="N154" s="36"/>
      <c r="O154" s="36"/>
      <c r="P154" s="34" t="s">
        <v>138</v>
      </c>
      <c r="Q154" s="39" t="n">
        <f aca="false">IFERROR(INDEX('Data 2'!$L$2:$L$2198,MATCH(P154,'Data 2'!$A$2:$A$2198,0)), 0)</f>
        <v>80.2633333333333</v>
      </c>
      <c r="R154" s="39" t="n">
        <f aca="false">IFERROR(INDEX('Data 2'!$M$2:$M$2198,MATCH(P154,'Data 2'!$A$2:$A$2198,0)), 0)</f>
        <v>107.23375</v>
      </c>
      <c r="S154" s="34" t="s">
        <v>116</v>
      </c>
      <c r="T154" s="39" t="n">
        <f aca="false">IFERROR(INDEX('Data 2'!$L$2:$L$2198,MATCH(S154,'Data 2'!$A$2:$A$2198,0)), 0)</f>
        <v>-30.3066666666667</v>
      </c>
      <c r="U154" s="39" t="n">
        <f aca="false">IFERROR(INDEX('Data 2'!$M$2:$M$2198,MATCH(S154,'Data 2'!$A$2:$A$2198,0)), 0)</f>
        <v>-16.89125</v>
      </c>
      <c r="V154" s="34" t="s">
        <v>301</v>
      </c>
      <c r="W154" s="39" t="n">
        <f aca="false">IFERROR(INDEX('Data 2'!$L$2:$L$2198,MATCH(V154,'Data 2'!$A$2:$A$2198,0)), 0)</f>
        <v>-52.5533333333333</v>
      </c>
      <c r="X154" s="39" t="n">
        <f aca="false">IFERROR(INDEX('Data 2'!$M$2:$M$2198,MATCH(V154,'Data 2'!$A$2:$A$2198,0)), 0)</f>
        <v>0.891249999999998</v>
      </c>
      <c r="Y154" s="37"/>
      <c r="Z154" s="37"/>
    </row>
    <row r="155" customFormat="false" ht="15.75" hidden="false" customHeight="true" outlineLevel="0" collapsed="false">
      <c r="A155" s="37"/>
      <c r="B155" s="37"/>
      <c r="C155" s="37"/>
      <c r="D155" s="34" t="s">
        <v>394</v>
      </c>
      <c r="E155" s="39" t="n">
        <f aca="false">IFERROR(INDEX('Data 2'!$L$2:$L$2198,MATCH(D155,'Data 2'!$A$2:$A$2198,0)), 0)</f>
        <v>-44.3633333333333</v>
      </c>
      <c r="F155" s="39" t="n">
        <f aca="false">IFERROR(INDEX('Data 2'!$M$2:$M$2198,MATCH(D155,'Data 2'!$A$2:$A$2198,0)), 0)</f>
        <v>-95.0675</v>
      </c>
      <c r="H155" s="36"/>
      <c r="I155" s="36"/>
      <c r="J155" s="36"/>
      <c r="K155" s="36"/>
      <c r="L155" s="36"/>
      <c r="M155" s="36"/>
      <c r="N155" s="36"/>
      <c r="O155" s="36"/>
      <c r="P155" s="34" t="s">
        <v>476</v>
      </c>
      <c r="Q155" s="39" t="n">
        <f aca="false">IFERROR(INDEX('Data 2'!$L$2:$L$2198,MATCH(P155,'Data 2'!$A$2:$A$2198,0)), 0)</f>
        <v>114.603333333333</v>
      </c>
      <c r="R155" s="39" t="n">
        <f aca="false">IFERROR(INDEX('Data 2'!$M$2:$M$2198,MATCH(P155,'Data 2'!$A$2:$A$2198,0)), 0)</f>
        <v>222.48</v>
      </c>
      <c r="S155" s="34" t="s">
        <v>94</v>
      </c>
      <c r="T155" s="39" t="n">
        <f aca="false">IFERROR(INDEX('Data 2'!$L$2:$L$2198,MATCH(S155,'Data 2'!$A$2:$A$2198,0)), 0)</f>
        <v>87.2033333333333</v>
      </c>
      <c r="U155" s="39" t="n">
        <f aca="false">IFERROR(INDEX('Data 2'!$M$2:$M$2198,MATCH(S155,'Data 2'!$A$2:$A$2198,0)), 0)</f>
        <v>139.43875</v>
      </c>
      <c r="V155" s="34" t="s">
        <v>365</v>
      </c>
      <c r="W155" s="39" t="n">
        <f aca="false">IFERROR(INDEX('Data 2'!$L$2:$L$2198,MATCH(V155,'Data 2'!$A$2:$A$2198,0)), 0)</f>
        <v>127.636666666667</v>
      </c>
      <c r="X155" s="39" t="n">
        <f aca="false">IFERROR(INDEX('Data 2'!$M$2:$M$2198,MATCH(V155,'Data 2'!$A$2:$A$2198,0)), 0)</f>
        <v>5.075</v>
      </c>
      <c r="Y155" s="37"/>
      <c r="Z155" s="37"/>
    </row>
    <row r="156" customFormat="false" ht="15.75" hidden="false" customHeight="true" outlineLevel="0" collapsed="false">
      <c r="A156" s="37"/>
      <c r="B156" s="37"/>
      <c r="C156" s="37"/>
      <c r="D156" s="34" t="s">
        <v>395</v>
      </c>
      <c r="E156" s="39" t="n">
        <f aca="false">IFERROR(INDEX('Data 2'!$L$2:$L$2198,MATCH(D156,'Data 2'!$A$2:$A$2198,0)), 0)</f>
        <v>83.06</v>
      </c>
      <c r="F156" s="39" t="n">
        <f aca="false">IFERROR(INDEX('Data 2'!$M$2:$M$2198,MATCH(D156,'Data 2'!$A$2:$A$2198,0)), 0)</f>
        <v>69.95625</v>
      </c>
      <c r="H156" s="36"/>
      <c r="I156" s="36"/>
      <c r="J156" s="36"/>
      <c r="K156" s="36"/>
      <c r="L156" s="36"/>
      <c r="M156" s="36"/>
      <c r="N156" s="36"/>
      <c r="O156" s="36"/>
      <c r="P156" s="34" t="s">
        <v>477</v>
      </c>
      <c r="Q156" s="39" t="n">
        <f aca="false">IFERROR(INDEX('Data 2'!$L$2:$L$2198,MATCH(P156,'Data 2'!$A$2:$A$2198,0)), 0)</f>
        <v>-42.2633333333333</v>
      </c>
      <c r="R156" s="39" t="n">
        <f aca="false">IFERROR(INDEX('Data 2'!$M$2:$M$2198,MATCH(P156,'Data 2'!$A$2:$A$2198,0)), 0)</f>
        <v>-32.24</v>
      </c>
      <c r="S156" s="34" t="s">
        <v>405</v>
      </c>
      <c r="T156" s="39" t="n">
        <f aca="false">IFERROR(INDEX('Data 2'!$L$2:$L$2198,MATCH(S156,'Data 2'!$A$2:$A$2198,0)), 0)</f>
        <v>-40.87</v>
      </c>
      <c r="U156" s="39" t="n">
        <f aca="false">IFERROR(INDEX('Data 2'!$M$2:$M$2198,MATCH(S156,'Data 2'!$A$2:$A$2198,0)), 0)</f>
        <v>-67.4275</v>
      </c>
      <c r="V156" s="34" t="s">
        <v>416</v>
      </c>
      <c r="W156" s="39" t="n">
        <f aca="false">IFERROR(INDEX('Data 2'!$L$2:$L$2198,MATCH(V156,'Data 2'!$A$2:$A$2198,0)), 0)</f>
        <v>-49.3833333333333</v>
      </c>
      <c r="X156" s="39" t="n">
        <f aca="false">IFERROR(INDEX('Data 2'!$M$2:$M$2198,MATCH(V156,'Data 2'!$A$2:$A$2198,0)), 0)</f>
        <v>-87.24</v>
      </c>
      <c r="Y156" s="37"/>
      <c r="Z156" s="37"/>
    </row>
    <row r="157" customFormat="false" ht="15.75" hidden="false" customHeight="true" outlineLevel="0" collapsed="false">
      <c r="A157" s="37"/>
      <c r="B157" s="37"/>
      <c r="C157" s="37"/>
      <c r="D157" s="34" t="s">
        <v>55</v>
      </c>
      <c r="E157" s="39" t="n">
        <f aca="false">IFERROR(INDEX('Data 2'!$L$2:$L$2198,MATCH(D157,'Data 2'!$A$2:$A$2198,0)), 0)</f>
        <v>-41.9266666666667</v>
      </c>
      <c r="F157" s="39" t="n">
        <f aca="false">IFERROR(INDEX('Data 2'!$M$2:$M$2198,MATCH(D157,'Data 2'!$A$2:$A$2198,0)), 0)</f>
        <v>77.64125</v>
      </c>
      <c r="H157" s="36"/>
      <c r="I157" s="36"/>
      <c r="J157" s="36"/>
      <c r="K157" s="36"/>
      <c r="L157" s="36"/>
      <c r="M157" s="36"/>
      <c r="N157" s="36"/>
      <c r="O157" s="36"/>
      <c r="P157" s="34" t="s">
        <v>167</v>
      </c>
      <c r="Q157" s="39" t="n">
        <f aca="false">IFERROR(INDEX('Data 2'!$L$2:$L$2198,MATCH(P157,'Data 2'!$A$2:$A$2198,0)), 0)</f>
        <v>-83.95</v>
      </c>
      <c r="R157" s="39" t="n">
        <f aca="false">IFERROR(INDEX('Data 2'!$M$2:$M$2198,MATCH(P157,'Data 2'!$A$2:$A$2198,0)), 0)</f>
        <v>-70.52125</v>
      </c>
      <c r="S157" s="34" t="s">
        <v>407</v>
      </c>
      <c r="T157" s="39" t="n">
        <f aca="false">IFERROR(INDEX('Data 2'!$L$2:$L$2198,MATCH(S157,'Data 2'!$A$2:$A$2198,0)), 0)</f>
        <v>121.163333333333</v>
      </c>
      <c r="U157" s="39" t="n">
        <f aca="false">IFERROR(INDEX('Data 2'!$M$2:$M$2198,MATCH(S157,'Data 2'!$A$2:$A$2198,0)), 0)</f>
        <v>104.09375</v>
      </c>
      <c r="V157" s="34" t="s">
        <v>367</v>
      </c>
      <c r="W157" s="39" t="n">
        <f aca="false">IFERROR(INDEX('Data 2'!$L$2:$L$2198,MATCH(V157,'Data 2'!$A$2:$A$2198,0)), 0)</f>
        <v>-87.3433333333334</v>
      </c>
      <c r="X157" s="39" t="n">
        <f aca="false">IFERROR(INDEX('Data 2'!$M$2:$M$2198,MATCH(V157,'Data 2'!$A$2:$A$2198,0)), 0)</f>
        <v>-96.39</v>
      </c>
      <c r="Y157" s="37"/>
      <c r="Z157" s="37"/>
    </row>
    <row r="158" customFormat="false" ht="15.75" hidden="false" customHeight="true" outlineLevel="0" collapsed="false">
      <c r="A158" s="37"/>
      <c r="B158" s="37"/>
      <c r="C158" s="37"/>
      <c r="D158" s="34" t="s">
        <v>98</v>
      </c>
      <c r="E158" s="39" t="n">
        <f aca="false">IFERROR(INDEX('Data 2'!$L$2:$L$2198,MATCH(D158,'Data 2'!$A$2:$A$2198,0)), 0)</f>
        <v>24.0533333333333</v>
      </c>
      <c r="F158" s="39" t="n">
        <f aca="false">IFERROR(INDEX('Data 2'!$M$2:$M$2198,MATCH(D158,'Data 2'!$A$2:$A$2198,0)), 0)</f>
        <v>91.96375</v>
      </c>
      <c r="H158" s="36"/>
      <c r="I158" s="36"/>
      <c r="J158" s="36"/>
      <c r="K158" s="36"/>
      <c r="L158" s="36"/>
      <c r="M158" s="36"/>
      <c r="N158" s="36"/>
      <c r="O158" s="36"/>
      <c r="P158" s="34" t="s">
        <v>478</v>
      </c>
      <c r="Q158" s="39" t="n">
        <f aca="false">IFERROR(INDEX('Data 2'!$L$2:$L$2198,MATCH(P158,'Data 2'!$A$2:$A$2198,0)), 0)</f>
        <v>-80.3533333333333</v>
      </c>
      <c r="R158" s="39" t="n">
        <f aca="false">IFERROR(INDEX('Data 2'!$M$2:$M$2198,MATCH(P158,'Data 2'!$A$2:$A$2198,0)), 0)</f>
        <v>-68.88375</v>
      </c>
      <c r="S158" s="34" t="s">
        <v>63</v>
      </c>
      <c r="T158" s="39" t="n">
        <f aca="false">IFERROR(INDEX('Data 2'!$L$2:$L$2198,MATCH(S158,'Data 2'!$A$2:$A$2198,0)), 0)</f>
        <v>-9.14666666666667</v>
      </c>
      <c r="U158" s="39" t="n">
        <f aca="false">IFERROR(INDEX('Data 2'!$M$2:$M$2198,MATCH(S158,'Data 2'!$A$2:$A$2198,0)), 0)</f>
        <v>56.78875</v>
      </c>
      <c r="V158" s="34" t="s">
        <v>202</v>
      </c>
      <c r="W158" s="39" t="n">
        <f aca="false">IFERROR(INDEX('Data 2'!$L$2:$L$2198,MATCH(V158,'Data 2'!$A$2:$A$2198,0)), 0)</f>
        <v>-3.69333333333333</v>
      </c>
      <c r="X158" s="39" t="n">
        <f aca="false">IFERROR(INDEX('Data 2'!$M$2:$M$2198,MATCH(V158,'Data 2'!$A$2:$A$2198,0)), 0)</f>
        <v>-41.2025</v>
      </c>
      <c r="Y158" s="37"/>
      <c r="Z158" s="37"/>
    </row>
    <row r="159" customFormat="false" ht="15.75" hidden="false" customHeight="true" outlineLevel="0" collapsed="false">
      <c r="A159" s="37"/>
      <c r="B159" s="37"/>
      <c r="C159" s="37"/>
      <c r="D159" s="34" t="s">
        <v>243</v>
      </c>
      <c r="E159" s="39" t="n">
        <f aca="false">IFERROR(INDEX('Data 2'!$L$2:$L$2198,MATCH(D159,'Data 2'!$A$2:$A$2198,0)), 0)</f>
        <v>62.8033333333333</v>
      </c>
      <c r="F159" s="39" t="n">
        <f aca="false">IFERROR(INDEX('Data 2'!$M$2:$M$2198,MATCH(D159,'Data 2'!$A$2:$A$2198,0)), 0)</f>
        <v>122.18125</v>
      </c>
      <c r="H159" s="36"/>
      <c r="I159" s="36"/>
      <c r="J159" s="36"/>
      <c r="K159" s="36"/>
      <c r="L159" s="36"/>
      <c r="M159" s="36"/>
      <c r="N159" s="36"/>
      <c r="O159" s="36"/>
      <c r="P159" s="34" t="s">
        <v>479</v>
      </c>
      <c r="Q159" s="39" t="n">
        <f aca="false">IFERROR(INDEX('Data 2'!$L$2:$L$2198,MATCH(P159,'Data 2'!$A$2:$A$2198,0)), 0)</f>
        <v>-56.2266666666667</v>
      </c>
      <c r="R159" s="39" t="n">
        <f aca="false">IFERROR(INDEX('Data 2'!$M$2:$M$2198,MATCH(P159,'Data 2'!$A$2:$A$2198,0)), 0)</f>
        <v>-39.56625</v>
      </c>
      <c r="S159" s="34" t="s">
        <v>158</v>
      </c>
      <c r="T159" s="39" t="n">
        <f aca="false">IFERROR(INDEX('Data 2'!$L$2:$L$2198,MATCH(S159,'Data 2'!$A$2:$A$2198,0)), 0)</f>
        <v>78.3733333333333</v>
      </c>
      <c r="U159" s="39" t="n">
        <f aca="false">IFERROR(INDEX('Data 2'!$M$2:$M$2198,MATCH(S159,'Data 2'!$A$2:$A$2198,0)), 0)</f>
        <v>232.9675</v>
      </c>
      <c r="V159" s="34" t="s">
        <v>417</v>
      </c>
      <c r="W159" s="39" t="n">
        <f aca="false">IFERROR(INDEX('Data 2'!$L$2:$L$2198,MATCH(V159,'Data 2'!$A$2:$A$2198,0)), 0)</f>
        <v>-6.87333333333334</v>
      </c>
      <c r="X159" s="39" t="n">
        <f aca="false">IFERROR(INDEX('Data 2'!$M$2:$M$2198,MATCH(V159,'Data 2'!$A$2:$A$2198,0)), 0)</f>
        <v>53.02125</v>
      </c>
      <c r="Y159" s="37"/>
      <c r="Z159" s="37"/>
    </row>
    <row r="160" customFormat="false" ht="15.75" hidden="false" customHeight="true" outlineLevel="0" collapsed="false">
      <c r="A160" s="37"/>
      <c r="B160" s="37"/>
      <c r="C160" s="37"/>
      <c r="D160" s="34" t="s">
        <v>155</v>
      </c>
      <c r="E160" s="39" t="n">
        <f aca="false">IFERROR(INDEX('Data 2'!$L$2:$L$2198,MATCH(D160,'Data 2'!$A$2:$A$2198,0)), 0)</f>
        <v>-63.4633333333333</v>
      </c>
      <c r="F160" s="39" t="n">
        <f aca="false">IFERROR(INDEX('Data 2'!$M$2:$M$2198,MATCH(D160,'Data 2'!$A$2:$A$2198,0)), 0)</f>
        <v>-55.61125</v>
      </c>
      <c r="H160" s="36"/>
      <c r="I160" s="36"/>
      <c r="J160" s="36"/>
      <c r="K160" s="36"/>
      <c r="L160" s="36"/>
      <c r="M160" s="36"/>
      <c r="N160" s="36"/>
      <c r="O160" s="36"/>
      <c r="P160" s="34" t="s">
        <v>97</v>
      </c>
      <c r="Q160" s="39" t="n">
        <f aca="false">IFERROR(INDEX('Data 2'!$L$2:$L$2198,MATCH(P160,'Data 2'!$A$2:$A$2198,0)), 0)</f>
        <v>32.2433333333333</v>
      </c>
      <c r="R160" s="39" t="n">
        <f aca="false">IFERROR(INDEX('Data 2'!$M$2:$M$2198,MATCH(P160,'Data 2'!$A$2:$A$2198,0)), 0)</f>
        <v>46.7875</v>
      </c>
      <c r="S160" s="34" t="s">
        <v>183</v>
      </c>
      <c r="T160" s="39" t="n">
        <f aca="false">IFERROR(INDEX('Data 2'!$L$2:$L$2198,MATCH(S160,'Data 2'!$A$2:$A$2198,0)), 0)</f>
        <v>1.88</v>
      </c>
      <c r="U160" s="39" t="n">
        <f aca="false">IFERROR(INDEX('Data 2'!$M$2:$M$2198,MATCH(S160,'Data 2'!$A$2:$A$2198,0)), 0)</f>
        <v>71.27375</v>
      </c>
      <c r="V160" s="34" t="s">
        <v>185</v>
      </c>
      <c r="W160" s="39" t="n">
        <f aca="false">IFERROR(INDEX('Data 2'!$L$2:$L$2198,MATCH(V160,'Data 2'!$A$2:$A$2198,0)), 0)</f>
        <v>83.96</v>
      </c>
      <c r="X160" s="39" t="n">
        <f aca="false">IFERROR(INDEX('Data 2'!$M$2:$M$2198,MATCH(V160,'Data 2'!$A$2:$A$2198,0)), 0)</f>
        <v>36.61875</v>
      </c>
      <c r="Y160" s="37"/>
      <c r="Z160" s="37"/>
    </row>
    <row r="161" customFormat="false" ht="15.75" hidden="false" customHeight="true" outlineLevel="0" collapsed="false">
      <c r="A161" s="37"/>
      <c r="B161" s="37"/>
      <c r="C161" s="37"/>
      <c r="D161" s="34" t="s">
        <v>347</v>
      </c>
      <c r="E161" s="39" t="n">
        <f aca="false">IFERROR(INDEX('Data 2'!$L$2:$L$2198,MATCH(D161,'Data 2'!$A$2:$A$2198,0)), 0)</f>
        <v>35.0766666666667</v>
      </c>
      <c r="F161" s="39" t="n">
        <f aca="false">IFERROR(INDEX('Data 2'!$M$2:$M$2198,MATCH(D161,'Data 2'!$A$2:$A$2198,0)), 0)</f>
        <v>78.63375</v>
      </c>
      <c r="H161" s="36"/>
      <c r="I161" s="36"/>
      <c r="J161" s="36"/>
      <c r="K161" s="36"/>
      <c r="L161" s="36"/>
      <c r="M161" s="36"/>
      <c r="N161" s="36"/>
      <c r="O161" s="36"/>
      <c r="P161" s="34" t="s">
        <v>480</v>
      </c>
      <c r="Q161" s="39" t="n">
        <f aca="false">IFERROR(INDEX('Data 2'!$L$2:$L$2198,MATCH(P161,'Data 2'!$A$2:$A$2198,0)), 0)</f>
        <v>-107.153333333333</v>
      </c>
      <c r="R161" s="39" t="n">
        <f aca="false">IFERROR(INDEX('Data 2'!$M$2:$M$2198,MATCH(P161,'Data 2'!$A$2:$A$2198,0)), 0)</f>
        <v>-23.41875</v>
      </c>
      <c r="S161" s="34" t="s">
        <v>249</v>
      </c>
      <c r="T161" s="39" t="n">
        <f aca="false">IFERROR(INDEX('Data 2'!$L$2:$L$2198,MATCH(S161,'Data 2'!$A$2:$A$2198,0)), 0)</f>
        <v>-12.81</v>
      </c>
      <c r="U161" s="39" t="n">
        <f aca="false">IFERROR(INDEX('Data 2'!$M$2:$M$2198,MATCH(S161,'Data 2'!$A$2:$A$2198,0)), 0)</f>
        <v>16.07</v>
      </c>
      <c r="V161" s="34" t="s">
        <v>419</v>
      </c>
      <c r="W161" s="39" t="n">
        <f aca="false">IFERROR(INDEX('Data 2'!$L$2:$L$2198,MATCH(V161,'Data 2'!$A$2:$A$2198,0)), 0)</f>
        <v>14.93</v>
      </c>
      <c r="X161" s="39" t="n">
        <f aca="false">IFERROR(INDEX('Data 2'!$M$2:$M$2198,MATCH(V161,'Data 2'!$A$2:$A$2198,0)), 0)</f>
        <v>7.26875</v>
      </c>
      <c r="Y161" s="37"/>
      <c r="Z161" s="37"/>
    </row>
    <row r="162" customFormat="false" ht="15.75" hidden="false" customHeight="true" outlineLevel="0" collapsed="false">
      <c r="A162" s="37"/>
      <c r="B162" s="37"/>
      <c r="C162" s="37"/>
      <c r="D162" s="34" t="s">
        <v>396</v>
      </c>
      <c r="E162" s="39" t="n">
        <f aca="false">IFERROR(INDEX('Data 2'!$L$2:$L$2198,MATCH(D162,'Data 2'!$A$2:$A$2198,0)), 0)</f>
        <v>-129.753333333333</v>
      </c>
      <c r="F162" s="39" t="n">
        <f aca="false">IFERROR(INDEX('Data 2'!$M$2:$M$2198,MATCH(D162,'Data 2'!$A$2:$A$2198,0)), 0)</f>
        <v>-60.40375</v>
      </c>
      <c r="H162" s="36"/>
      <c r="I162" s="36"/>
      <c r="J162" s="36"/>
      <c r="K162" s="36"/>
      <c r="L162" s="36"/>
      <c r="M162" s="36"/>
      <c r="N162" s="36"/>
      <c r="O162" s="36"/>
      <c r="P162" s="34" t="s">
        <v>105</v>
      </c>
      <c r="Q162" s="39" t="n">
        <f aca="false">IFERROR(INDEX('Data 2'!$L$2:$L$2198,MATCH(P162,'Data 2'!$A$2:$A$2198,0)), 0)</f>
        <v>61.4633333333333</v>
      </c>
      <c r="R162" s="39" t="n">
        <f aca="false">IFERROR(INDEX('Data 2'!$M$2:$M$2198,MATCH(P162,'Data 2'!$A$2:$A$2198,0)), 0)</f>
        <v>125.29125</v>
      </c>
      <c r="S162" s="34" t="s">
        <v>411</v>
      </c>
      <c r="T162" s="39" t="n">
        <f aca="false">IFERROR(INDEX('Data 2'!$L$2:$L$2198,MATCH(S162,'Data 2'!$A$2:$A$2198,0)), 0)</f>
        <v>-61.89</v>
      </c>
      <c r="U162" s="39" t="n">
        <f aca="false">IFERROR(INDEX('Data 2'!$M$2:$M$2198,MATCH(S162,'Data 2'!$A$2:$A$2198,0)), 0)</f>
        <v>-63.4625</v>
      </c>
      <c r="V162" s="34" t="s">
        <v>420</v>
      </c>
      <c r="W162" s="39" t="n">
        <f aca="false">IFERROR(INDEX('Data 2'!$L$2:$L$2198,MATCH(V162,'Data 2'!$A$2:$A$2198,0)), 0)</f>
        <v>-12.84</v>
      </c>
      <c r="X162" s="39" t="n">
        <f aca="false">IFERROR(INDEX('Data 2'!$M$2:$M$2198,MATCH(V162,'Data 2'!$A$2:$A$2198,0)), 0)</f>
        <v>66.17</v>
      </c>
      <c r="Y162" s="37"/>
      <c r="Z162" s="37"/>
    </row>
    <row r="163" customFormat="false" ht="15.75" hidden="false" customHeight="true" outlineLevel="0" collapsed="false">
      <c r="A163" s="37"/>
      <c r="B163" s="37"/>
      <c r="C163" s="37"/>
      <c r="D163" s="34" t="s">
        <v>299</v>
      </c>
      <c r="E163" s="39" t="n">
        <f aca="false">IFERROR(INDEX('Data 2'!$L$2:$L$2198,MATCH(D163,'Data 2'!$A$2:$A$2198,0)), 0)</f>
        <v>117.413333333333</v>
      </c>
      <c r="F163" s="39" t="n">
        <f aca="false">IFERROR(INDEX('Data 2'!$M$2:$M$2198,MATCH(D163,'Data 2'!$A$2:$A$2198,0)), 0)</f>
        <v>-0.816249999999998</v>
      </c>
      <c r="H163" s="36"/>
      <c r="I163" s="36"/>
      <c r="J163" s="36"/>
      <c r="K163" s="36"/>
      <c r="L163" s="36"/>
      <c r="M163" s="36"/>
      <c r="N163" s="36"/>
      <c r="O163" s="36"/>
      <c r="P163" s="34" t="s">
        <v>481</v>
      </c>
      <c r="Q163" s="39" t="n">
        <f aca="false">IFERROR(INDEX('Data 2'!$L$2:$L$2198,MATCH(P163,'Data 2'!$A$2:$A$2198,0)), 0)</f>
        <v>20.9066666666667</v>
      </c>
      <c r="R163" s="39" t="n">
        <f aca="false">IFERROR(INDEX('Data 2'!$M$2:$M$2198,MATCH(P163,'Data 2'!$A$2:$A$2198,0)), 0)</f>
        <v>-10.49125</v>
      </c>
      <c r="S163" s="34" t="s">
        <v>413</v>
      </c>
      <c r="T163" s="39" t="n">
        <f aca="false">IFERROR(INDEX('Data 2'!$L$2:$L$2198,MATCH(S163,'Data 2'!$A$2:$A$2198,0)), 0)</f>
        <v>79.25</v>
      </c>
      <c r="U163" s="39" t="n">
        <f aca="false">IFERROR(INDEX('Data 2'!$M$2:$M$2198,MATCH(S163,'Data 2'!$A$2:$A$2198,0)), 0)</f>
        <v>22.1725</v>
      </c>
      <c r="V163" s="34" t="s">
        <v>303</v>
      </c>
      <c r="W163" s="39" t="n">
        <f aca="false">IFERROR(INDEX('Data 2'!$L$2:$L$2198,MATCH(V163,'Data 2'!$A$2:$A$2198,0)), 0)</f>
        <v>-6.21466666666667</v>
      </c>
      <c r="X163" s="39" t="n">
        <f aca="false">IFERROR(INDEX('Data 2'!$M$2:$M$2198,MATCH(V163,'Data 2'!$A$2:$A$2198,0)), 0)</f>
        <v>-51.14675</v>
      </c>
      <c r="Y163" s="37"/>
      <c r="Z163" s="37"/>
    </row>
    <row r="164" customFormat="false" ht="15.75" hidden="false" customHeight="true" outlineLevel="0" collapsed="false">
      <c r="A164" s="37"/>
      <c r="B164" s="37"/>
      <c r="C164" s="37"/>
      <c r="D164" s="34" t="s">
        <v>397</v>
      </c>
      <c r="E164" s="39" t="n">
        <f aca="false">IFERROR(INDEX('Data 2'!$L$2:$L$2198,MATCH(D164,'Data 2'!$A$2:$A$2198,0)), 0)</f>
        <v>96.53</v>
      </c>
      <c r="F164" s="39" t="n">
        <f aca="false">IFERROR(INDEX('Data 2'!$M$2:$M$2198,MATCH(D164,'Data 2'!$A$2:$A$2198,0)), 0)</f>
        <v>65.40375</v>
      </c>
      <c r="H164" s="36"/>
      <c r="I164" s="36"/>
      <c r="J164" s="36"/>
      <c r="K164" s="36"/>
      <c r="L164" s="36"/>
      <c r="M164" s="36"/>
      <c r="N164" s="36"/>
      <c r="O164" s="36"/>
      <c r="P164" s="34" t="s">
        <v>482</v>
      </c>
      <c r="Q164" s="39" t="n">
        <f aca="false">IFERROR(INDEX('Data 2'!$L$2:$L$2198,MATCH(P164,'Data 2'!$A$2:$A$2198,0)), 0)</f>
        <v>-60.5666666666667</v>
      </c>
      <c r="R164" s="39" t="n">
        <f aca="false">IFERROR(INDEX('Data 2'!$M$2:$M$2198,MATCH(P164,'Data 2'!$A$2:$A$2198,0)), 0)</f>
        <v>25.4375</v>
      </c>
      <c r="S164" s="34" t="s">
        <v>414</v>
      </c>
      <c r="T164" s="39" t="n">
        <f aca="false">IFERROR(INDEX('Data 2'!$L$2:$L$2198,MATCH(S164,'Data 2'!$A$2:$A$2198,0)), 0)</f>
        <v>-6.24666666666667</v>
      </c>
      <c r="U164" s="39" t="n">
        <f aca="false">IFERROR(INDEX('Data 2'!$M$2:$M$2198,MATCH(S164,'Data 2'!$A$2:$A$2198,0)), 0)</f>
        <v>52.8725</v>
      </c>
      <c r="V164" s="34" t="s">
        <v>421</v>
      </c>
      <c r="W164" s="39" t="n">
        <f aca="false">IFERROR(INDEX('Data 2'!$L$2:$L$2198,MATCH(V164,'Data 2'!$A$2:$A$2198,0)), 0)</f>
        <v>-130.86</v>
      </c>
      <c r="X164" s="39" t="n">
        <f aca="false">IFERROR(INDEX('Data 2'!$M$2:$M$2198,MATCH(V164,'Data 2'!$A$2:$A$2198,0)), 0)</f>
        <v>-80.10125</v>
      </c>
      <c r="Y164" s="37"/>
      <c r="Z164" s="37"/>
    </row>
    <row r="165" customFormat="false" ht="15.75" hidden="false" customHeight="true" outlineLevel="0" collapsed="false">
      <c r="A165" s="37"/>
      <c r="B165" s="37"/>
      <c r="C165" s="37"/>
      <c r="D165" s="34" t="s">
        <v>399</v>
      </c>
      <c r="E165" s="39" t="n">
        <f aca="false">IFERROR(INDEX('Data 2'!$L$2:$L$2198,MATCH(D165,'Data 2'!$A$2:$A$2198,0)), 0)</f>
        <v>23.39</v>
      </c>
      <c r="F165" s="39" t="n">
        <f aca="false">IFERROR(INDEX('Data 2'!$M$2:$M$2198,MATCH(D165,'Data 2'!$A$2:$A$2198,0)), 0)</f>
        <v>45.45125</v>
      </c>
      <c r="H165" s="36"/>
      <c r="I165" s="36"/>
      <c r="J165" s="36"/>
      <c r="K165" s="36"/>
      <c r="L165" s="36"/>
      <c r="M165" s="36"/>
      <c r="N165" s="36"/>
      <c r="O165" s="36"/>
      <c r="P165" s="34" t="s">
        <v>27</v>
      </c>
      <c r="Q165" s="39" t="n">
        <f aca="false">IFERROR(INDEX('Data 2'!$L$2:$L$2198,MATCH(P165,'Data 2'!$A$2:$A$2198,0)), 0)</f>
        <v>-64.4466666666667</v>
      </c>
      <c r="R165" s="39" t="n">
        <f aca="false">IFERROR(INDEX('Data 2'!$M$2:$M$2198,MATCH(P165,'Data 2'!$A$2:$A$2198,0)), 0)</f>
        <v>-5.2</v>
      </c>
      <c r="S165" s="34" t="s">
        <v>122</v>
      </c>
      <c r="T165" s="39" t="n">
        <f aca="false">IFERROR(INDEX('Data 2'!$L$2:$L$2198,MATCH(S165,'Data 2'!$A$2:$A$2198,0)), 0)</f>
        <v>43.86</v>
      </c>
      <c r="U165" s="39" t="n">
        <f aca="false">IFERROR(INDEX('Data 2'!$M$2:$M$2198,MATCH(S165,'Data 2'!$A$2:$A$2198,0)), 0)</f>
        <v>76.56</v>
      </c>
      <c r="V165" s="34" t="s">
        <v>422</v>
      </c>
      <c r="W165" s="39" t="n">
        <f aca="false">IFERROR(INDEX('Data 2'!$L$2:$L$2198,MATCH(V165,'Data 2'!$A$2:$A$2198,0)), 0)</f>
        <v>75.28</v>
      </c>
      <c r="X165" s="39" t="n">
        <f aca="false">IFERROR(INDEX('Data 2'!$M$2:$M$2198,MATCH(V165,'Data 2'!$A$2:$A$2198,0)), 0)</f>
        <v>184.3775</v>
      </c>
      <c r="Y165" s="37"/>
      <c r="Z165" s="37"/>
    </row>
    <row r="166" customFormat="false" ht="15.75" hidden="false" customHeight="true" outlineLevel="0" collapsed="false">
      <c r="A166" s="37"/>
      <c r="B166" s="37"/>
      <c r="C166" s="37"/>
      <c r="D166" s="34" t="s">
        <v>401</v>
      </c>
      <c r="E166" s="39" t="n">
        <f aca="false">IFERROR(INDEX('Data 2'!$L$2:$L$2198,MATCH(D166,'Data 2'!$A$2:$A$2198,0)), 0)</f>
        <v>29.7133333333333</v>
      </c>
      <c r="F166" s="39" t="n">
        <f aca="false">IFERROR(INDEX('Data 2'!$M$2:$M$2198,MATCH(D166,'Data 2'!$A$2:$A$2198,0)), 0)</f>
        <v>-72.135</v>
      </c>
      <c r="H166" s="36"/>
      <c r="I166" s="36"/>
      <c r="J166" s="36"/>
      <c r="K166" s="36"/>
      <c r="L166" s="36"/>
      <c r="M166" s="36"/>
      <c r="N166" s="36"/>
      <c r="O166" s="36"/>
      <c r="P166" s="34" t="s">
        <v>323</v>
      </c>
      <c r="Q166" s="39" t="n">
        <f aca="false">IFERROR(INDEX('Data 2'!$L$2:$L$2198,MATCH(P166,'Data 2'!$A$2:$A$2198,0)), 0)</f>
        <v>-68.01</v>
      </c>
      <c r="R166" s="39" t="n">
        <f aca="false">IFERROR(INDEX('Data 2'!$M$2:$M$2198,MATCH(P166,'Data 2'!$A$2:$A$2198,0)), 0)</f>
        <v>-51.59625</v>
      </c>
      <c r="S166" s="34" t="s">
        <v>117</v>
      </c>
      <c r="T166" s="39" t="n">
        <f aca="false">IFERROR(INDEX('Data 2'!$L$2:$L$2198,MATCH(S166,'Data 2'!$A$2:$A$2198,0)), 0)</f>
        <v>10.9333333333333</v>
      </c>
      <c r="U166" s="39" t="n">
        <f aca="false">IFERROR(INDEX('Data 2'!$M$2:$M$2198,MATCH(S166,'Data 2'!$A$2:$A$2198,0)), 0)</f>
        <v>53.91</v>
      </c>
      <c r="V166" s="34" t="s">
        <v>108</v>
      </c>
      <c r="W166" s="39" t="n">
        <f aca="false">IFERROR(INDEX('Data 2'!$L$2:$L$2198,MATCH(V166,'Data 2'!$A$2:$A$2198,0)), 0)</f>
        <v>102.713333333333</v>
      </c>
      <c r="X166" s="39" t="n">
        <f aca="false">IFERROR(INDEX('Data 2'!$M$2:$M$2198,MATCH(V166,'Data 2'!$A$2:$A$2198,0)), 0)</f>
        <v>125.28625</v>
      </c>
      <c r="Y166" s="37"/>
      <c r="Z166" s="37"/>
    </row>
    <row r="167" customFormat="false" ht="15.75" hidden="false" customHeight="true" outlineLevel="0" collapsed="false">
      <c r="A167" s="37"/>
      <c r="B167" s="37"/>
      <c r="C167" s="37"/>
      <c r="D167" s="34" t="s">
        <v>350</v>
      </c>
      <c r="E167" s="39" t="n">
        <f aca="false">IFERROR(INDEX('Data 2'!$L$2:$L$2198,MATCH(D167,'Data 2'!$A$2:$A$2198,0)), 0)</f>
        <v>-50.9733333333333</v>
      </c>
      <c r="F167" s="39" t="n">
        <f aca="false">IFERROR(INDEX('Data 2'!$M$2:$M$2198,MATCH(D167,'Data 2'!$A$2:$A$2198,0)), 0)</f>
        <v>77.4975</v>
      </c>
      <c r="H167" s="36"/>
      <c r="I167" s="36"/>
      <c r="J167" s="36"/>
      <c r="K167" s="36"/>
      <c r="L167" s="36"/>
      <c r="M167" s="36"/>
      <c r="N167" s="36"/>
      <c r="O167" s="36"/>
      <c r="P167" s="34" t="s">
        <v>261</v>
      </c>
      <c r="Q167" s="39" t="n">
        <f aca="false">IFERROR(INDEX('Data 2'!$L$2:$L$2198,MATCH(P167,'Data 2'!$A$2:$A$2198,0)), 0)</f>
        <v>-99.9266666666667</v>
      </c>
      <c r="R167" s="39" t="n">
        <f aca="false">IFERROR(INDEX('Data 2'!$M$2:$M$2198,MATCH(P167,'Data 2'!$A$2:$A$2198,0)), 0)</f>
        <v>-75.5825</v>
      </c>
      <c r="S167" s="34" t="s">
        <v>231</v>
      </c>
      <c r="T167" s="39" t="n">
        <f aca="false">IFERROR(INDEX('Data 2'!$L$2:$L$2198,MATCH(S167,'Data 2'!$A$2:$A$2198,0)), 0)</f>
        <v>-121.166666666667</v>
      </c>
      <c r="U167" s="39" t="n">
        <f aca="false">IFERROR(INDEX('Data 2'!$M$2:$M$2198,MATCH(S167,'Data 2'!$A$2:$A$2198,0)), 0)</f>
        <v>-112.11625</v>
      </c>
      <c r="V167" s="34" t="s">
        <v>218</v>
      </c>
      <c r="W167" s="39" t="n">
        <f aca="false">IFERROR(INDEX('Data 2'!$L$2:$L$2198,MATCH(V167,'Data 2'!$A$2:$A$2198,0)), 0)</f>
        <v>-36.2733333333333</v>
      </c>
      <c r="X167" s="39" t="n">
        <f aca="false">IFERROR(INDEX('Data 2'!$M$2:$M$2198,MATCH(V167,'Data 2'!$A$2:$A$2198,0)), 0)</f>
        <v>-83.11125</v>
      </c>
      <c r="Y167" s="37"/>
      <c r="Z167" s="37"/>
    </row>
    <row r="168" customFormat="false" ht="15.75" hidden="false" customHeight="true" outlineLevel="0" collapsed="false">
      <c r="A168" s="37"/>
      <c r="B168" s="37"/>
      <c r="C168" s="37"/>
      <c r="D168" s="34" t="s">
        <v>402</v>
      </c>
      <c r="E168" s="39" t="n">
        <f aca="false">IFERROR(INDEX('Data 2'!$L$2:$L$2198,MATCH(D168,'Data 2'!$A$2:$A$2198,0)), 0)</f>
        <v>82.6066666666667</v>
      </c>
      <c r="F168" s="39" t="n">
        <f aca="false">IFERROR(INDEX('Data 2'!$M$2:$M$2198,MATCH(D168,'Data 2'!$A$2:$A$2198,0)), 0)</f>
        <v>59.71125</v>
      </c>
      <c r="H168" s="36"/>
      <c r="I168" s="36"/>
      <c r="J168" s="36"/>
      <c r="K168" s="36"/>
      <c r="L168" s="36"/>
      <c r="M168" s="36"/>
      <c r="N168" s="36"/>
      <c r="O168" s="36"/>
      <c r="P168" s="34" t="s">
        <v>223</v>
      </c>
      <c r="Q168" s="39" t="n">
        <f aca="false">IFERROR(INDEX('Data 2'!$L$2:$L$2198,MATCH(P168,'Data 2'!$A$2:$A$2198,0)), 0)</f>
        <v>-113.16</v>
      </c>
      <c r="R168" s="39" t="n">
        <f aca="false">IFERROR(INDEX('Data 2'!$M$2:$M$2198,MATCH(P168,'Data 2'!$A$2:$A$2198,0)), 0)</f>
        <v>-73.36475</v>
      </c>
      <c r="S168" s="34" t="s">
        <v>262</v>
      </c>
      <c r="T168" s="39" t="n">
        <f aca="false">IFERROR(INDEX('Data 2'!$L$2:$L$2198,MATCH(S168,'Data 2'!$A$2:$A$2198,0)), 0)</f>
        <v>-84.06</v>
      </c>
      <c r="U168" s="39" t="n">
        <f aca="false">IFERROR(INDEX('Data 2'!$M$2:$M$2198,MATCH(S168,'Data 2'!$A$2:$A$2198,0)), 0)</f>
        <v>-28.10375</v>
      </c>
      <c r="V168" s="34" t="s">
        <v>423</v>
      </c>
      <c r="W168" s="39" t="n">
        <f aca="false">IFERROR(INDEX('Data 2'!$L$2:$L$2198,MATCH(V168,'Data 2'!$A$2:$A$2198,0)), 0)</f>
        <v>-5.86</v>
      </c>
      <c r="X168" s="39" t="n">
        <f aca="false">IFERROR(INDEX('Data 2'!$M$2:$M$2198,MATCH(V168,'Data 2'!$A$2:$A$2198,0)), 0)</f>
        <v>-41.27125</v>
      </c>
      <c r="Y168" s="37"/>
      <c r="Z168" s="37"/>
    </row>
    <row r="169" customFormat="false" ht="15.75" hidden="false" customHeight="true" outlineLevel="0" collapsed="false">
      <c r="A169" s="37"/>
      <c r="B169" s="37"/>
      <c r="C169" s="37"/>
      <c r="D169" s="34" t="s">
        <v>180</v>
      </c>
      <c r="E169" s="39" t="n">
        <f aca="false">IFERROR(INDEX('Data 2'!$L$2:$L$2198,MATCH(D169,'Data 2'!$A$2:$A$2198,0)), 0)</f>
        <v>10.3266666666667</v>
      </c>
      <c r="F169" s="39" t="n">
        <f aca="false">IFERROR(INDEX('Data 2'!$M$2:$M$2198,MATCH(D169,'Data 2'!$A$2:$A$2198,0)), 0)</f>
        <v>-29.3425</v>
      </c>
      <c r="H169" s="36"/>
      <c r="I169" s="36"/>
      <c r="J169" s="36"/>
      <c r="K169" s="36"/>
      <c r="L169" s="36"/>
      <c r="M169" s="36"/>
      <c r="N169" s="36"/>
      <c r="O169" s="36"/>
      <c r="P169" s="34" t="s">
        <v>483</v>
      </c>
      <c r="Q169" s="39" t="n">
        <f aca="false">IFERROR(INDEX('Data 2'!$L$2:$L$2198,MATCH(P169,'Data 2'!$A$2:$A$2198,0)), 0)</f>
        <v>-60.44</v>
      </c>
      <c r="R169" s="39" t="n">
        <f aca="false">IFERROR(INDEX('Data 2'!$M$2:$M$2198,MATCH(P169,'Data 2'!$A$2:$A$2198,0)), 0)</f>
        <v>-9.51875</v>
      </c>
      <c r="S169" s="34" t="s">
        <v>64</v>
      </c>
      <c r="T169" s="39" t="n">
        <f aca="false">IFERROR(INDEX('Data 2'!$L$2:$L$2198,MATCH(S169,'Data 2'!$A$2:$A$2198,0)), 0)</f>
        <v>-54.1166666666667</v>
      </c>
      <c r="U169" s="39" t="n">
        <f aca="false">IFERROR(INDEX('Data 2'!$M$2:$M$2198,MATCH(S169,'Data 2'!$A$2:$A$2198,0)), 0)</f>
        <v>-5.7575</v>
      </c>
      <c r="V169" s="34" t="s">
        <v>424</v>
      </c>
      <c r="W169" s="39" t="n">
        <f aca="false">IFERROR(INDEX('Data 2'!$L$2:$L$2198,MATCH(V169,'Data 2'!$A$2:$A$2198,0)), 0)</f>
        <v>-58.9533333333333</v>
      </c>
      <c r="X169" s="39" t="n">
        <f aca="false">IFERROR(INDEX('Data 2'!$M$2:$M$2198,MATCH(V169,'Data 2'!$A$2:$A$2198,0)), 0)</f>
        <v>-29.48875</v>
      </c>
      <c r="Y169" s="37"/>
      <c r="Z169" s="37"/>
    </row>
    <row r="170" customFormat="false" ht="15.75" hidden="false" customHeight="true" outlineLevel="0" collapsed="false">
      <c r="A170" s="37"/>
      <c r="B170" s="37"/>
      <c r="C170" s="37"/>
      <c r="D170" s="34" t="s">
        <v>403</v>
      </c>
      <c r="E170" s="39" t="n">
        <f aca="false">IFERROR(INDEX('Data 2'!$L$2:$L$2198,MATCH(D170,'Data 2'!$A$2:$A$2198,0)), 0)</f>
        <v>-26.0766666666667</v>
      </c>
      <c r="F170" s="39" t="n">
        <f aca="false">IFERROR(INDEX('Data 2'!$M$2:$M$2198,MATCH(D170,'Data 2'!$A$2:$A$2198,0)), 0)</f>
        <v>50.505</v>
      </c>
      <c r="H170" s="36"/>
      <c r="I170" s="36"/>
      <c r="J170" s="36"/>
      <c r="K170" s="36"/>
      <c r="L170" s="36"/>
      <c r="M170" s="36"/>
      <c r="N170" s="36"/>
      <c r="O170" s="36"/>
      <c r="P170" s="34" t="s">
        <v>329</v>
      </c>
      <c r="Q170" s="39" t="n">
        <f aca="false">IFERROR(INDEX('Data 2'!$L$2:$L$2198,MATCH(P170,'Data 2'!$A$2:$A$2198,0)), 0)</f>
        <v>-56.4566666666667</v>
      </c>
      <c r="R170" s="39" t="n">
        <f aca="false">IFERROR(INDEX('Data 2'!$M$2:$M$2198,MATCH(P170,'Data 2'!$A$2:$A$2198,0)), 0)</f>
        <v>-33.78625</v>
      </c>
      <c r="S170" s="34" t="s">
        <v>74</v>
      </c>
      <c r="T170" s="39" t="n">
        <f aca="false">IFERROR(INDEX('Data 2'!$L$2:$L$2198,MATCH(S170,'Data 2'!$A$2:$A$2198,0)), 0)</f>
        <v>-53.6766666666667</v>
      </c>
      <c r="U170" s="39" t="n">
        <f aca="false">IFERROR(INDEX('Data 2'!$M$2:$M$2198,MATCH(S170,'Data 2'!$A$2:$A$2198,0)), 0)</f>
        <v>-26.51875</v>
      </c>
      <c r="V170" s="34" t="s">
        <v>41</v>
      </c>
      <c r="W170" s="39" t="n">
        <f aca="false">IFERROR(INDEX('Data 2'!$L$2:$L$2198,MATCH(V170,'Data 2'!$A$2:$A$2198,0)), 0)</f>
        <v>-94.76</v>
      </c>
      <c r="X170" s="39" t="n">
        <f aca="false">IFERROR(INDEX('Data 2'!$M$2:$M$2198,MATCH(V170,'Data 2'!$A$2:$A$2198,0)), 0)</f>
        <v>-63.075</v>
      </c>
      <c r="Y170" s="37"/>
      <c r="Z170" s="37"/>
    </row>
    <row r="171" customFormat="false" ht="15.75" hidden="false" customHeight="true" outlineLevel="0" collapsed="false">
      <c r="A171" s="37"/>
      <c r="B171" s="37"/>
      <c r="C171" s="37"/>
      <c r="D171" s="34" t="s">
        <v>297</v>
      </c>
      <c r="E171" s="39" t="n">
        <f aca="false">IFERROR(INDEX('Data 2'!$L$2:$L$2198,MATCH(D171,'Data 2'!$A$2:$A$2198,0)), 0)</f>
        <v>-51.7133333333333</v>
      </c>
      <c r="F171" s="39" t="n">
        <f aca="false">IFERROR(INDEX('Data 2'!$M$2:$M$2198,MATCH(D171,'Data 2'!$A$2:$A$2198,0)), 0)</f>
        <v>-2.8625</v>
      </c>
      <c r="H171" s="36"/>
      <c r="I171" s="36"/>
      <c r="J171" s="36"/>
      <c r="K171" s="36"/>
      <c r="L171" s="36"/>
      <c r="M171" s="36"/>
      <c r="N171" s="36"/>
      <c r="O171" s="36"/>
      <c r="P171" s="34" t="s">
        <v>39</v>
      </c>
      <c r="Q171" s="39" t="n">
        <f aca="false">IFERROR(INDEX('Data 2'!$L$2:$L$2198,MATCH(P171,'Data 2'!$A$2:$A$2198,0)), 0)</f>
        <v>-41.7433333333333</v>
      </c>
      <c r="R171" s="39" t="n">
        <f aca="false">IFERROR(INDEX('Data 2'!$M$2:$M$2198,MATCH(P171,'Data 2'!$A$2:$A$2198,0)), 0)</f>
        <v>7.44125</v>
      </c>
      <c r="S171" s="34" t="s">
        <v>147</v>
      </c>
      <c r="T171" s="39" t="n">
        <f aca="false">IFERROR(INDEX('Data 2'!$L$2:$L$2198,MATCH(S171,'Data 2'!$A$2:$A$2198,0)), 0)</f>
        <v>2.83333333333333</v>
      </c>
      <c r="U171" s="39" t="n">
        <f aca="false">IFERROR(INDEX('Data 2'!$M$2:$M$2198,MATCH(S171,'Data 2'!$A$2:$A$2198,0)), 0)</f>
        <v>1.0425</v>
      </c>
      <c r="V171" s="34" t="s">
        <v>193</v>
      </c>
      <c r="W171" s="39" t="n">
        <f aca="false">IFERROR(INDEX('Data 2'!$L$2:$L$2198,MATCH(V171,'Data 2'!$A$2:$A$2198,0)), 0)</f>
        <v>-91.0833333333333</v>
      </c>
      <c r="X171" s="39" t="n">
        <f aca="false">IFERROR(INDEX('Data 2'!$M$2:$M$2198,MATCH(V171,'Data 2'!$A$2:$A$2198,0)), 0)</f>
        <v>-69.4225</v>
      </c>
      <c r="Y171" s="37"/>
      <c r="Z171" s="37"/>
    </row>
    <row r="172" customFormat="false" ht="15.75" hidden="false" customHeight="true" outlineLevel="0" collapsed="false">
      <c r="A172" s="37"/>
      <c r="B172" s="37"/>
      <c r="C172" s="37"/>
      <c r="D172" s="34" t="s">
        <v>404</v>
      </c>
      <c r="E172" s="39" t="n">
        <f aca="false">IFERROR(INDEX('Data 2'!$L$2:$L$2198,MATCH(D172,'Data 2'!$A$2:$A$2198,0)), 0)</f>
        <v>-48.14</v>
      </c>
      <c r="F172" s="39" t="n">
        <f aca="false">IFERROR(INDEX('Data 2'!$M$2:$M$2198,MATCH(D172,'Data 2'!$A$2:$A$2198,0)), 0)</f>
        <v>-23.93875</v>
      </c>
      <c r="H172" s="36"/>
      <c r="I172" s="36"/>
      <c r="J172" s="36"/>
      <c r="K172" s="36"/>
      <c r="L172" s="36"/>
      <c r="M172" s="36"/>
      <c r="N172" s="36"/>
      <c r="O172" s="36"/>
      <c r="P172" s="34" t="s">
        <v>191</v>
      </c>
      <c r="Q172" s="39" t="n">
        <f aca="false">IFERROR(INDEX('Data 2'!$L$2:$L$2198,MATCH(P172,'Data 2'!$A$2:$A$2198,0)), 0)</f>
        <v>26.37</v>
      </c>
      <c r="R172" s="39" t="n">
        <f aca="false">IFERROR(INDEX('Data 2'!$M$2:$M$2198,MATCH(P172,'Data 2'!$A$2:$A$2198,0)), 0)</f>
        <v>52.25125</v>
      </c>
      <c r="S172" s="34" t="s">
        <v>418</v>
      </c>
      <c r="T172" s="39" t="n">
        <f aca="false">IFERROR(INDEX('Data 2'!$L$2:$L$2198,MATCH(S172,'Data 2'!$A$2:$A$2198,0)), 0)</f>
        <v>81.9566666666667</v>
      </c>
      <c r="U172" s="39" t="n">
        <f aca="false">IFERROR(INDEX('Data 2'!$M$2:$M$2198,MATCH(S172,'Data 2'!$A$2:$A$2198,0)), 0)</f>
        <v>113.425</v>
      </c>
      <c r="V172" s="34" t="s">
        <v>371</v>
      </c>
      <c r="W172" s="39" t="n">
        <f aca="false">IFERROR(INDEX('Data 2'!$L$2:$L$2198,MATCH(V172,'Data 2'!$A$2:$A$2198,0)), 0)</f>
        <v>-62.21</v>
      </c>
      <c r="X172" s="39" t="n">
        <f aca="false">IFERROR(INDEX('Data 2'!$M$2:$M$2198,MATCH(V172,'Data 2'!$A$2:$A$2198,0)), 0)</f>
        <v>-59.4625</v>
      </c>
      <c r="Y172" s="37"/>
      <c r="Z172" s="37"/>
    </row>
    <row r="173" customFormat="false" ht="15.75" hidden="false" customHeight="true" outlineLevel="0" collapsed="false">
      <c r="A173" s="37"/>
      <c r="B173" s="37"/>
      <c r="C173" s="37"/>
      <c r="D173" s="34" t="s">
        <v>354</v>
      </c>
      <c r="E173" s="39" t="n">
        <f aca="false">IFERROR(INDEX('Data 2'!$L$2:$L$2198,MATCH(D173,'Data 2'!$A$2:$A$2198,0)), 0)</f>
        <v>-127.8</v>
      </c>
      <c r="F173" s="39" t="n">
        <f aca="false">IFERROR(INDEX('Data 2'!$M$2:$M$2198,MATCH(D173,'Data 2'!$A$2:$A$2198,0)), 0)</f>
        <v>-84.26375</v>
      </c>
      <c r="H173" s="36"/>
      <c r="I173" s="36"/>
      <c r="J173" s="36"/>
      <c r="K173" s="36"/>
      <c r="L173" s="36"/>
      <c r="M173" s="36"/>
      <c r="N173" s="36"/>
      <c r="O173" s="36"/>
      <c r="P173" s="34" t="s">
        <v>484</v>
      </c>
      <c r="Q173" s="39" t="n">
        <f aca="false">IFERROR(INDEX('Data 2'!$L$2:$L$2198,MATCH(P173,'Data 2'!$A$2:$A$2198,0)), 0)</f>
        <v>138.29</v>
      </c>
      <c r="R173" s="39" t="n">
        <f aca="false">IFERROR(INDEX('Data 2'!$M$2:$M$2198,MATCH(P173,'Data 2'!$A$2:$A$2198,0)), 0)</f>
        <v>150.8525</v>
      </c>
      <c r="S173" s="34" t="s">
        <v>53</v>
      </c>
      <c r="T173" s="39" t="n">
        <f aca="false">IFERROR(INDEX('Data 2'!$L$2:$L$2198,MATCH(S173,'Data 2'!$A$2:$A$2198,0)), 0)</f>
        <v>-2.34333333333333</v>
      </c>
      <c r="U173" s="39" t="n">
        <f aca="false">IFERROR(INDEX('Data 2'!$M$2:$M$2198,MATCH(S173,'Data 2'!$A$2:$A$2198,0)), 0)</f>
        <v>-29.05625</v>
      </c>
      <c r="V173" s="34" t="s">
        <v>372</v>
      </c>
      <c r="W173" s="39" t="n">
        <f aca="false">IFERROR(INDEX('Data 2'!$L$2:$L$2198,MATCH(V173,'Data 2'!$A$2:$A$2198,0)), 0)</f>
        <v>-36.98</v>
      </c>
      <c r="X173" s="39" t="n">
        <f aca="false">IFERROR(INDEX('Data 2'!$M$2:$M$2198,MATCH(V173,'Data 2'!$A$2:$A$2198,0)), 0)</f>
        <v>20.765</v>
      </c>
      <c r="Y173" s="37"/>
      <c r="Z173" s="37"/>
    </row>
    <row r="174" customFormat="false" ht="15.75" hidden="false" customHeight="true" outlineLevel="0" collapsed="false">
      <c r="A174" s="37"/>
      <c r="B174" s="37"/>
      <c r="C174" s="37"/>
      <c r="D174" s="34" t="s">
        <v>406</v>
      </c>
      <c r="E174" s="39" t="n">
        <f aca="false">IFERROR(INDEX('Data 2'!$L$2:$L$2198,MATCH(D174,'Data 2'!$A$2:$A$2198,0)), 0)</f>
        <v>-57.3933333333333</v>
      </c>
      <c r="F174" s="39" t="n">
        <f aca="false">IFERROR(INDEX('Data 2'!$M$2:$M$2198,MATCH(D174,'Data 2'!$A$2:$A$2198,0)), 0)</f>
        <v>-12.63</v>
      </c>
      <c r="H174" s="36"/>
      <c r="I174" s="36"/>
      <c r="J174" s="36"/>
      <c r="K174" s="36"/>
      <c r="L174" s="36"/>
      <c r="M174" s="36"/>
      <c r="N174" s="36"/>
      <c r="O174" s="36"/>
      <c r="P174" s="34" t="s">
        <v>485</v>
      </c>
      <c r="Q174" s="39" t="n">
        <f aca="false">IFERROR(INDEX('Data 2'!$L$2:$L$2198,MATCH(P174,'Data 2'!$A$2:$A$2198,0)), 0)</f>
        <v>-80.22</v>
      </c>
      <c r="R174" s="39" t="n">
        <f aca="false">IFERROR(INDEX('Data 2'!$M$2:$M$2198,MATCH(P174,'Data 2'!$A$2:$A$2198,0)), 0)</f>
        <v>-19.45</v>
      </c>
      <c r="S174" s="34" t="s">
        <v>166</v>
      </c>
      <c r="T174" s="39" t="n">
        <f aca="false">IFERROR(INDEX('Data 2'!$L$2:$L$2198,MATCH(S174,'Data 2'!$A$2:$A$2198,0)), 0)</f>
        <v>-55.7866666666667</v>
      </c>
      <c r="U174" s="39" t="n">
        <f aca="false">IFERROR(INDEX('Data 2'!$M$2:$M$2198,MATCH(S174,'Data 2'!$A$2:$A$2198,0)), 0)</f>
        <v>-61.745</v>
      </c>
      <c r="V174" s="34" t="s">
        <v>426</v>
      </c>
      <c r="W174" s="39" t="n">
        <f aca="false">IFERROR(INDEX('Data 2'!$L$2:$L$2198,MATCH(V174,'Data 2'!$A$2:$A$2198,0)), 0)</f>
        <v>119.12</v>
      </c>
      <c r="X174" s="39" t="n">
        <f aca="false">IFERROR(INDEX('Data 2'!$M$2:$M$2198,MATCH(V174,'Data 2'!$A$2:$A$2198,0)), 0)</f>
        <v>60.6625</v>
      </c>
      <c r="Y174" s="37"/>
      <c r="Z174" s="37"/>
    </row>
    <row r="175" customFormat="false" ht="15.75" hidden="false" customHeight="true" outlineLevel="0" collapsed="false">
      <c r="A175" s="37"/>
      <c r="B175" s="37"/>
      <c r="C175" s="37"/>
      <c r="D175" s="34" t="s">
        <v>356</v>
      </c>
      <c r="E175" s="39" t="n">
        <f aca="false">IFERROR(INDEX('Data 2'!$L$2:$L$2198,MATCH(D175,'Data 2'!$A$2:$A$2198,0)), 0)</f>
        <v>-23.19</v>
      </c>
      <c r="F175" s="39" t="n">
        <f aca="false">IFERROR(INDEX('Data 2'!$M$2:$M$2198,MATCH(D175,'Data 2'!$A$2:$A$2198,0)), 0)</f>
        <v>25.69125</v>
      </c>
      <c r="H175" s="36"/>
      <c r="I175" s="36"/>
      <c r="J175" s="36"/>
      <c r="K175" s="36"/>
      <c r="L175" s="36"/>
      <c r="M175" s="36"/>
      <c r="N175" s="36"/>
      <c r="O175" s="36"/>
      <c r="P175" s="34" t="s">
        <v>486</v>
      </c>
      <c r="Q175" s="39" t="n">
        <f aca="false">IFERROR(INDEX('Data 2'!$L$2:$L$2198,MATCH(P175,'Data 2'!$A$2:$A$2198,0)), 0)</f>
        <v>-83.6833333333333</v>
      </c>
      <c r="R175" s="39" t="n">
        <f aca="false">IFERROR(INDEX('Data 2'!$M$2:$M$2198,MATCH(P175,'Data 2'!$A$2:$A$2198,0)), 0)</f>
        <v>-87.3425</v>
      </c>
      <c r="S175" s="34" t="s">
        <v>236</v>
      </c>
      <c r="T175" s="39" t="n">
        <f aca="false">IFERROR(INDEX('Data 2'!$L$2:$L$2198,MATCH(S175,'Data 2'!$A$2:$A$2198,0)), 0)</f>
        <v>-10.8966666666667</v>
      </c>
      <c r="U175" s="39" t="n">
        <f aca="false">IFERROR(INDEX('Data 2'!$M$2:$M$2198,MATCH(S175,'Data 2'!$A$2:$A$2198,0)), 0)</f>
        <v>-48.05875</v>
      </c>
      <c r="V175" s="34" t="s">
        <v>427</v>
      </c>
      <c r="W175" s="39" t="n">
        <f aca="false">IFERROR(INDEX('Data 2'!$L$2:$L$2198,MATCH(V175,'Data 2'!$A$2:$A$2198,0)), 0)</f>
        <v>89.0733333333333</v>
      </c>
      <c r="X175" s="39" t="n">
        <f aca="false">IFERROR(INDEX('Data 2'!$M$2:$M$2198,MATCH(V175,'Data 2'!$A$2:$A$2198,0)), 0)</f>
        <v>81.06875</v>
      </c>
      <c r="Y175" s="37"/>
      <c r="Z175" s="37"/>
    </row>
    <row r="176" customFormat="false" ht="15.75" hidden="false" customHeight="true" outlineLevel="0" collapsed="false">
      <c r="A176" s="37"/>
      <c r="B176" s="37"/>
      <c r="C176" s="37"/>
      <c r="D176" s="34" t="s">
        <v>359</v>
      </c>
      <c r="E176" s="39" t="n">
        <f aca="false">IFERROR(INDEX('Data 2'!$L$2:$L$2198,MATCH(D176,'Data 2'!$A$2:$A$2198,0)), 0)</f>
        <v>-44.11</v>
      </c>
      <c r="F176" s="39" t="n">
        <f aca="false">IFERROR(INDEX('Data 2'!$M$2:$M$2198,MATCH(D176,'Data 2'!$A$2:$A$2198,0)), 0)</f>
        <v>-60.4075</v>
      </c>
      <c r="H176" s="36"/>
      <c r="I176" s="36"/>
      <c r="J176" s="36"/>
      <c r="K176" s="36"/>
      <c r="L176" s="36"/>
      <c r="M176" s="36"/>
      <c r="N176" s="36"/>
      <c r="O176" s="36"/>
      <c r="P176" s="34" t="s">
        <v>487</v>
      </c>
      <c r="Q176" s="39" t="n">
        <f aca="false">IFERROR(INDEX('Data 2'!$L$2:$L$2198,MATCH(P176,'Data 2'!$A$2:$A$2198,0)), 0)</f>
        <v>85.6533333333334</v>
      </c>
      <c r="R176" s="39" t="n">
        <f aca="false">IFERROR(INDEX('Data 2'!$M$2:$M$2198,MATCH(P176,'Data 2'!$A$2:$A$2198,0)), 0)</f>
        <v>24.635</v>
      </c>
      <c r="S176" s="34" t="s">
        <v>215</v>
      </c>
      <c r="T176" s="39" t="n">
        <f aca="false">IFERROR(INDEX('Data 2'!$L$2:$L$2198,MATCH(S176,'Data 2'!$A$2:$A$2198,0)), 0)</f>
        <v>96.4633333333334</v>
      </c>
      <c r="U176" s="39" t="n">
        <f aca="false">IFERROR(INDEX('Data 2'!$M$2:$M$2198,MATCH(S176,'Data 2'!$A$2:$A$2198,0)), 0)</f>
        <v>176.52125</v>
      </c>
      <c r="V176" s="34" t="s">
        <v>374</v>
      </c>
      <c r="W176" s="39" t="n">
        <f aca="false">IFERROR(INDEX('Data 2'!$L$2:$L$2198,MATCH(V176,'Data 2'!$A$2:$A$2198,0)), 0)</f>
        <v>0.726666666666669</v>
      </c>
      <c r="X176" s="39" t="n">
        <f aca="false">IFERROR(INDEX('Data 2'!$M$2:$M$2198,MATCH(V176,'Data 2'!$A$2:$A$2198,0)), 0)</f>
        <v>0.278749999999999</v>
      </c>
      <c r="Y176" s="37"/>
      <c r="Z176" s="37"/>
    </row>
    <row r="177" customFormat="false" ht="15.75" hidden="false" customHeight="true" outlineLevel="0" collapsed="false">
      <c r="A177" s="37"/>
      <c r="B177" s="37"/>
      <c r="C177" s="37"/>
      <c r="D177" s="34" t="s">
        <v>95</v>
      </c>
      <c r="E177" s="39" t="n">
        <f aca="false">IFERROR(INDEX('Data 2'!$L$2:$L$2198,MATCH(D177,'Data 2'!$A$2:$A$2198,0)), 0)</f>
        <v>1.26666666666667</v>
      </c>
      <c r="F177" s="39" t="n">
        <f aca="false">IFERROR(INDEX('Data 2'!$M$2:$M$2198,MATCH(D177,'Data 2'!$A$2:$A$2198,0)), 0)</f>
        <v>15.28625</v>
      </c>
      <c r="H177" s="36"/>
      <c r="I177" s="36"/>
      <c r="J177" s="36"/>
      <c r="K177" s="36"/>
      <c r="L177" s="36"/>
      <c r="M177" s="36"/>
      <c r="N177" s="36"/>
      <c r="O177" s="36"/>
      <c r="P177" s="34" t="s">
        <v>488</v>
      </c>
      <c r="Q177" s="39" t="n">
        <f aca="false">IFERROR(INDEX('Data 2'!$L$2:$L$2198,MATCH(P177,'Data 2'!$A$2:$A$2198,0)), 0)</f>
        <v>-8.25666666666667</v>
      </c>
      <c r="R177" s="39" t="n">
        <f aca="false">IFERROR(INDEX('Data 2'!$M$2:$M$2198,MATCH(P177,'Data 2'!$A$2:$A$2198,0)), 0)</f>
        <v>103.62125</v>
      </c>
      <c r="S177" s="34" t="s">
        <v>54</v>
      </c>
      <c r="T177" s="39" t="n">
        <f aca="false">IFERROR(INDEX('Data 2'!$L$2:$L$2198,MATCH(S177,'Data 2'!$A$2:$A$2198,0)), 0)</f>
        <v>-8.38666666666667</v>
      </c>
      <c r="U177" s="39" t="n">
        <f aca="false">IFERROR(INDEX('Data 2'!$M$2:$M$2198,MATCH(S177,'Data 2'!$A$2:$A$2198,0)), 0)</f>
        <v>-5.17875</v>
      </c>
      <c r="V177" s="34" t="s">
        <v>212</v>
      </c>
      <c r="W177" s="39" t="n">
        <f aca="false">IFERROR(INDEX('Data 2'!$L$2:$L$2198,MATCH(V177,'Data 2'!$A$2:$A$2198,0)), 0)</f>
        <v>-33.8</v>
      </c>
      <c r="X177" s="39" t="n">
        <f aca="false">IFERROR(INDEX('Data 2'!$M$2:$M$2198,MATCH(V177,'Data 2'!$A$2:$A$2198,0)), 0)</f>
        <v>-49.33625</v>
      </c>
      <c r="Y177" s="37"/>
      <c r="Z177" s="37"/>
    </row>
    <row r="178" customFormat="false" ht="15.75" hidden="false" customHeight="true" outlineLevel="0" collapsed="false">
      <c r="A178" s="37"/>
      <c r="B178" s="37"/>
      <c r="C178" s="37"/>
      <c r="D178" s="34" t="s">
        <v>361</v>
      </c>
      <c r="E178" s="39" t="n">
        <f aca="false">IFERROR(INDEX('Data 2'!$L$2:$L$2198,MATCH(D178,'Data 2'!$A$2:$A$2198,0)), 0)</f>
        <v>49.73</v>
      </c>
      <c r="F178" s="39" t="n">
        <f aca="false">IFERROR(INDEX('Data 2'!$M$2:$M$2198,MATCH(D178,'Data 2'!$A$2:$A$2198,0)), 0)</f>
        <v>106.49875</v>
      </c>
      <c r="H178" s="36"/>
      <c r="I178" s="36"/>
      <c r="J178" s="36"/>
      <c r="K178" s="36"/>
      <c r="L178" s="36"/>
      <c r="M178" s="36"/>
      <c r="N178" s="36"/>
      <c r="O178" s="36"/>
      <c r="P178" s="34" t="s">
        <v>489</v>
      </c>
      <c r="Q178" s="39" t="n">
        <f aca="false">IFERROR(INDEX('Data 2'!$L$2:$L$2198,MATCH(P178,'Data 2'!$A$2:$A$2198,0)), 0)</f>
        <v>104.853333333333</v>
      </c>
      <c r="R178" s="39" t="n">
        <f aca="false">IFERROR(INDEX('Data 2'!$M$2:$M$2198,MATCH(P178,'Data 2'!$A$2:$A$2198,0)), 0)</f>
        <v>155.4625</v>
      </c>
      <c r="S178" s="34" t="s">
        <v>211</v>
      </c>
      <c r="T178" s="39" t="n">
        <f aca="false">IFERROR(INDEX('Data 2'!$L$2:$L$2198,MATCH(S178,'Data 2'!$A$2:$A$2198,0)), 0)</f>
        <v>7.07</v>
      </c>
      <c r="U178" s="39" t="n">
        <f aca="false">IFERROR(INDEX('Data 2'!$M$2:$M$2198,MATCH(S178,'Data 2'!$A$2:$A$2198,0)), 0)</f>
        <v>80.28125</v>
      </c>
      <c r="V178" s="34" t="s">
        <v>428</v>
      </c>
      <c r="W178" s="39" t="n">
        <f aca="false">IFERROR(INDEX('Data 2'!$L$2:$L$2198,MATCH(V178,'Data 2'!$A$2:$A$2198,0)), 0)</f>
        <v>0</v>
      </c>
      <c r="X178" s="39" t="n">
        <f aca="false">IFERROR(INDEX('Data 2'!$M$2:$M$2198,MATCH(V178,'Data 2'!$A$2:$A$2198,0)), 0)</f>
        <v>0</v>
      </c>
      <c r="Y178" s="37"/>
      <c r="Z178" s="37"/>
    </row>
    <row r="179" customFormat="false" ht="15.75" hidden="false" customHeight="true" outlineLevel="0" collapsed="false">
      <c r="A179" s="37"/>
      <c r="B179" s="37"/>
      <c r="C179" s="37"/>
      <c r="D179" s="34" t="s">
        <v>408</v>
      </c>
      <c r="E179" s="39" t="n">
        <f aca="false">IFERROR(INDEX('Data 2'!$L$2:$L$2198,MATCH(D179,'Data 2'!$A$2:$A$2198,0)), 0)</f>
        <v>35.24</v>
      </c>
      <c r="F179" s="39" t="n">
        <f aca="false">IFERROR(INDEX('Data 2'!$M$2:$M$2198,MATCH(D179,'Data 2'!$A$2:$A$2198,0)), 0)</f>
        <v>91.09125</v>
      </c>
      <c r="H179" s="36"/>
      <c r="I179" s="36"/>
      <c r="J179" s="36"/>
      <c r="K179" s="36"/>
      <c r="L179" s="36"/>
      <c r="M179" s="36"/>
      <c r="N179" s="36"/>
      <c r="O179" s="36"/>
      <c r="P179" s="34" t="s">
        <v>490</v>
      </c>
      <c r="Q179" s="39" t="n">
        <f aca="false">IFERROR(INDEX('Data 2'!$L$2:$L$2198,MATCH(P179,'Data 2'!$A$2:$A$2198,0)), 0)</f>
        <v>-63.05</v>
      </c>
      <c r="R179" s="39" t="n">
        <f aca="false">IFERROR(INDEX('Data 2'!$M$2:$M$2198,MATCH(P179,'Data 2'!$A$2:$A$2198,0)), 0)</f>
        <v>-69.70375</v>
      </c>
      <c r="S179" s="34" t="s">
        <v>148</v>
      </c>
      <c r="T179" s="39" t="n">
        <f aca="false">IFERROR(INDEX('Data 2'!$L$2:$L$2198,MATCH(S179,'Data 2'!$A$2:$A$2198,0)), 0)</f>
        <v>69.39</v>
      </c>
      <c r="U179" s="39" t="n">
        <f aca="false">IFERROR(INDEX('Data 2'!$M$2:$M$2198,MATCH(S179,'Data 2'!$A$2:$A$2198,0)), 0)</f>
        <v>9.4825</v>
      </c>
      <c r="V179" s="34" t="s">
        <v>376</v>
      </c>
      <c r="W179" s="39" t="n">
        <f aca="false">IFERROR(INDEX('Data 2'!$L$2:$L$2198,MATCH(V179,'Data 2'!$A$2:$A$2198,0)), 0)</f>
        <v>103.706666666667</v>
      </c>
      <c r="X179" s="39" t="n">
        <f aca="false">IFERROR(INDEX('Data 2'!$M$2:$M$2198,MATCH(V179,'Data 2'!$A$2:$A$2198,0)), 0)</f>
        <v>65.0225</v>
      </c>
      <c r="Y179" s="37"/>
      <c r="Z179" s="37"/>
    </row>
    <row r="180" customFormat="false" ht="15.75" hidden="false" customHeight="true" outlineLevel="0" collapsed="false">
      <c r="A180" s="37"/>
      <c r="B180" s="37"/>
      <c r="C180" s="37"/>
      <c r="D180" s="34" t="s">
        <v>409</v>
      </c>
      <c r="E180" s="39" t="n">
        <f aca="false">IFERROR(INDEX('Data 2'!$L$2:$L$2198,MATCH(D180,'Data 2'!$A$2:$A$2198,0)), 0)</f>
        <v>118.203333333333</v>
      </c>
      <c r="F180" s="39" t="n">
        <f aca="false">IFERROR(INDEX('Data 2'!$M$2:$M$2198,MATCH(D180,'Data 2'!$A$2:$A$2198,0)), 0)</f>
        <v>278.65</v>
      </c>
      <c r="H180" s="36"/>
      <c r="I180" s="36"/>
      <c r="J180" s="36"/>
      <c r="K180" s="36"/>
      <c r="L180" s="36"/>
      <c r="M180" s="36"/>
      <c r="N180" s="36"/>
      <c r="O180" s="36"/>
      <c r="P180" s="34" t="s">
        <v>332</v>
      </c>
      <c r="Q180" s="39" t="n">
        <f aca="false">IFERROR(INDEX('Data 2'!$L$2:$L$2198,MATCH(P180,'Data 2'!$A$2:$A$2198,0)), 0)</f>
        <v>-47.7433333333333</v>
      </c>
      <c r="R180" s="39" t="n">
        <f aca="false">IFERROR(INDEX('Data 2'!$M$2:$M$2198,MATCH(P180,'Data 2'!$A$2:$A$2198,0)), 0)</f>
        <v>-87.935</v>
      </c>
      <c r="S180" s="34" t="s">
        <v>124</v>
      </c>
      <c r="T180" s="39" t="n">
        <f aca="false">IFERROR(INDEX('Data 2'!$L$2:$L$2198,MATCH(S180,'Data 2'!$A$2:$A$2198,0)), 0)</f>
        <v>13.7066666666667</v>
      </c>
      <c r="U180" s="39" t="n">
        <f aca="false">IFERROR(INDEX('Data 2'!$M$2:$M$2198,MATCH(S180,'Data 2'!$A$2:$A$2198,0)), 0)</f>
        <v>-9.18125</v>
      </c>
      <c r="V180" s="34" t="s">
        <v>106</v>
      </c>
      <c r="W180" s="39" t="n">
        <f aca="false">IFERROR(INDEX('Data 2'!$L$2:$L$2198,MATCH(V180,'Data 2'!$A$2:$A$2198,0)), 0)</f>
        <v>-61.0133333333333</v>
      </c>
      <c r="X180" s="39" t="n">
        <f aca="false">IFERROR(INDEX('Data 2'!$M$2:$M$2198,MATCH(V180,'Data 2'!$A$2:$A$2198,0)), 0)</f>
        <v>-23.73875</v>
      </c>
      <c r="Y180" s="37"/>
      <c r="Z180" s="37"/>
    </row>
    <row r="181" customFormat="false" ht="15.75" hidden="false" customHeight="true" outlineLevel="0" collapsed="false">
      <c r="A181" s="37"/>
      <c r="B181" s="37"/>
      <c r="C181" s="37"/>
      <c r="D181" s="34" t="s">
        <v>410</v>
      </c>
      <c r="E181" s="39" t="n">
        <f aca="false">IFERROR(INDEX('Data 2'!$L$2:$L$2198,MATCH(D181,'Data 2'!$A$2:$A$2198,0)), 0)</f>
        <v>14.6566666666667</v>
      </c>
      <c r="F181" s="39" t="n">
        <f aca="false">IFERROR(INDEX('Data 2'!$M$2:$M$2198,MATCH(D181,'Data 2'!$A$2:$A$2198,0)), 0)</f>
        <v>113.60875</v>
      </c>
      <c r="H181" s="36"/>
      <c r="I181" s="36"/>
      <c r="J181" s="36"/>
      <c r="K181" s="36"/>
      <c r="L181" s="36"/>
      <c r="M181" s="36"/>
      <c r="N181" s="36"/>
      <c r="O181" s="36"/>
      <c r="P181" s="34" t="s">
        <v>491</v>
      </c>
      <c r="Q181" s="39" t="n">
        <f aca="false">IFERROR(INDEX('Data 2'!$L$2:$L$2198,MATCH(P181,'Data 2'!$A$2:$A$2198,0)), 0)</f>
        <v>-52.46</v>
      </c>
      <c r="R181" s="39" t="n">
        <f aca="false">IFERROR(INDEX('Data 2'!$M$2:$M$2198,MATCH(P181,'Data 2'!$A$2:$A$2198,0)), 0)</f>
        <v>14.3525</v>
      </c>
      <c r="S181" s="34" t="s">
        <v>425</v>
      </c>
      <c r="T181" s="39" t="n">
        <f aca="false">IFERROR(INDEX('Data 2'!$L$2:$L$2198,MATCH(S181,'Data 2'!$A$2:$A$2198,0)), 0)</f>
        <v>0.49</v>
      </c>
      <c r="U181" s="39" t="n">
        <f aca="false">IFERROR(INDEX('Data 2'!$M$2:$M$2198,MATCH(S181,'Data 2'!$A$2:$A$2198,0)), 0)</f>
        <v>8.0325</v>
      </c>
      <c r="V181" s="34" t="s">
        <v>429</v>
      </c>
      <c r="W181" s="39" t="n">
        <f aca="false">IFERROR(INDEX('Data 2'!$L$2:$L$2198,MATCH(V181,'Data 2'!$A$2:$A$2198,0)), 0)</f>
        <v>-33.9866666666667</v>
      </c>
      <c r="X181" s="39" t="n">
        <f aca="false">IFERROR(INDEX('Data 2'!$M$2:$M$2198,MATCH(V181,'Data 2'!$A$2:$A$2198,0)), 0)</f>
        <v>-37.2425</v>
      </c>
      <c r="Y181" s="37"/>
      <c r="Z181" s="37"/>
    </row>
    <row r="182" customFormat="false" ht="15.75" hidden="false" customHeight="true" outlineLevel="0" collapsed="false">
      <c r="A182" s="37"/>
      <c r="B182" s="37"/>
      <c r="C182" s="37"/>
      <c r="D182" s="34" t="s">
        <v>412</v>
      </c>
      <c r="E182" s="39" t="n">
        <f aca="false">IFERROR(INDEX('Data 2'!$L$2:$L$2198,MATCH(D182,'Data 2'!$A$2:$A$2198,0)), 0)</f>
        <v>-93.3566666666667</v>
      </c>
      <c r="F182" s="39" t="n">
        <f aca="false">IFERROR(INDEX('Data 2'!$M$2:$M$2198,MATCH(D182,'Data 2'!$A$2:$A$2198,0)), 0)</f>
        <v>-81.895</v>
      </c>
      <c r="H182" s="36"/>
      <c r="I182" s="36"/>
      <c r="J182" s="36"/>
      <c r="K182" s="36"/>
      <c r="L182" s="36"/>
      <c r="M182" s="36"/>
      <c r="N182" s="36"/>
      <c r="O182" s="36"/>
      <c r="P182" s="34" t="s">
        <v>492</v>
      </c>
      <c r="Q182" s="39" t="n">
        <f aca="false">IFERROR(INDEX('Data 2'!$L$2:$L$2198,MATCH(P182,'Data 2'!$A$2:$A$2198,0)), 0)</f>
        <v>64.1533333333333</v>
      </c>
      <c r="R182" s="39" t="n">
        <f aca="false">IFERROR(INDEX('Data 2'!$M$2:$M$2198,MATCH(P182,'Data 2'!$A$2:$A$2198,0)), 0)</f>
        <v>-13.4675</v>
      </c>
      <c r="S182" s="34" t="s">
        <v>149</v>
      </c>
      <c r="T182" s="39" t="n">
        <f aca="false">IFERROR(INDEX('Data 2'!$L$2:$L$2198,MATCH(S182,'Data 2'!$A$2:$A$2198,0)), 0)</f>
        <v>100.756666666667</v>
      </c>
      <c r="U182" s="39" t="n">
        <f aca="false">IFERROR(INDEX('Data 2'!$M$2:$M$2198,MATCH(S182,'Data 2'!$A$2:$A$2198,0)), 0)</f>
        <v>21.885</v>
      </c>
      <c r="V182" s="34" t="s">
        <v>309</v>
      </c>
      <c r="W182" s="39" t="n">
        <f aca="false">IFERROR(INDEX('Data 2'!$L$2:$L$2198,MATCH(V182,'Data 2'!$A$2:$A$2198,0)), 0)</f>
        <v>-66.4163333333333</v>
      </c>
      <c r="X182" s="39" t="n">
        <f aca="false">IFERROR(INDEX('Data 2'!$M$2:$M$2198,MATCH(V182,'Data 2'!$A$2:$A$2198,0)), 0)</f>
        <v>-26.506125</v>
      </c>
      <c r="Y182" s="37"/>
      <c r="Z182" s="37"/>
    </row>
    <row r="183" customFormat="false" ht="15.75" hidden="false" customHeight="true" outlineLevel="0" collapsed="false">
      <c r="A183" s="37"/>
      <c r="B183" s="37"/>
      <c r="C183" s="37"/>
      <c r="D183" s="34" t="s">
        <v>197</v>
      </c>
      <c r="E183" s="39" t="n">
        <f aca="false">IFERROR(INDEX('Data 2'!$L$2:$L$2198,MATCH(D183,'Data 2'!$A$2:$A$2198,0)), 0)</f>
        <v>109.083333333333</v>
      </c>
      <c r="F183" s="39" t="n">
        <f aca="false">IFERROR(INDEX('Data 2'!$M$2:$M$2198,MATCH(D183,'Data 2'!$A$2:$A$2198,0)), 0)</f>
        <v>80.93875</v>
      </c>
      <c r="H183" s="36"/>
      <c r="I183" s="36"/>
      <c r="J183" s="36"/>
      <c r="K183" s="36"/>
      <c r="L183" s="36"/>
      <c r="M183" s="36"/>
      <c r="N183" s="36"/>
      <c r="O183" s="36"/>
      <c r="P183" s="34" t="s">
        <v>37</v>
      </c>
      <c r="Q183" s="39" t="n">
        <f aca="false">IFERROR(INDEX('Data 2'!$L$2:$L$2198,MATCH(P183,'Data 2'!$A$2:$A$2198,0)), 0)</f>
        <v>127.333333333333</v>
      </c>
      <c r="R183" s="39" t="n">
        <f aca="false">IFERROR(INDEX('Data 2'!$M$2:$M$2198,MATCH(P183,'Data 2'!$A$2:$A$2198,0)), 0)</f>
        <v>187.25625</v>
      </c>
      <c r="S183" s="34" t="s">
        <v>189</v>
      </c>
      <c r="T183" s="39" t="n">
        <f aca="false">IFERROR(INDEX('Data 2'!$L$2:$L$2198,MATCH(S183,'Data 2'!$A$2:$A$2198,0)), 0)</f>
        <v>-57.4466666666667</v>
      </c>
      <c r="U183" s="39" t="n">
        <f aca="false">IFERROR(INDEX('Data 2'!$M$2:$M$2198,MATCH(S183,'Data 2'!$A$2:$A$2198,0)), 0)</f>
        <v>-98.99125</v>
      </c>
      <c r="V183" s="34" t="s">
        <v>430</v>
      </c>
      <c r="W183" s="39" t="n">
        <f aca="false">IFERROR(INDEX('Data 2'!$L$2:$L$2198,MATCH(V183,'Data 2'!$A$2:$A$2198,0)), 0)</f>
        <v>78.76</v>
      </c>
      <c r="X183" s="39" t="n">
        <f aca="false">IFERROR(INDEX('Data 2'!$M$2:$M$2198,MATCH(V183,'Data 2'!$A$2:$A$2198,0)), 0)</f>
        <v>19.41625</v>
      </c>
      <c r="Y183" s="37"/>
      <c r="Z183" s="37"/>
    </row>
    <row r="184" customFormat="false" ht="15.75" hidden="false" customHeight="true" outlineLevel="0" collapsed="false">
      <c r="A184" s="37"/>
      <c r="B184" s="37"/>
      <c r="C184" s="37"/>
      <c r="D184" s="34" t="s">
        <v>362</v>
      </c>
      <c r="E184" s="39" t="n">
        <f aca="false">IFERROR(INDEX('Data 2'!$L$2:$L$2198,MATCH(D184,'Data 2'!$A$2:$A$2198,0)), 0)</f>
        <v>55.4933333333333</v>
      </c>
      <c r="F184" s="39" t="n">
        <f aca="false">IFERROR(INDEX('Data 2'!$M$2:$M$2198,MATCH(D184,'Data 2'!$A$2:$A$2198,0)), 0)</f>
        <v>108.7275</v>
      </c>
      <c r="H184" s="36"/>
      <c r="I184" s="36"/>
      <c r="J184" s="36"/>
      <c r="K184" s="36"/>
      <c r="L184" s="36"/>
      <c r="M184" s="36"/>
      <c r="N184" s="36"/>
      <c r="O184" s="36"/>
      <c r="P184" s="34" t="s">
        <v>493</v>
      </c>
      <c r="Q184" s="39" t="n">
        <f aca="false">IFERROR(INDEX('Data 2'!$L$2:$L$2198,MATCH(P184,'Data 2'!$A$2:$A$2198,0)), 0)</f>
        <v>-2.50666666666667</v>
      </c>
      <c r="R184" s="39" t="n">
        <f aca="false">IFERROR(INDEX('Data 2'!$M$2:$M$2198,MATCH(P184,'Data 2'!$A$2:$A$2198,0)), 0)</f>
        <v>53.69875</v>
      </c>
      <c r="S184" s="34" t="s">
        <v>331</v>
      </c>
      <c r="T184" s="39" t="n">
        <f aca="false">IFERROR(INDEX('Data 2'!$L$2:$L$2198,MATCH(S184,'Data 2'!$A$2:$A$2198,0)), 0)</f>
        <v>88.51</v>
      </c>
      <c r="U184" s="39" t="n">
        <f aca="false">IFERROR(INDEX('Data 2'!$M$2:$M$2198,MATCH(S184,'Data 2'!$A$2:$A$2198,0)), 0)</f>
        <v>75.1225</v>
      </c>
      <c r="V184" s="34" t="s">
        <v>221</v>
      </c>
      <c r="W184" s="39" t="n">
        <f aca="false">IFERROR(INDEX('Data 2'!$L$2:$L$2198,MATCH(V184,'Data 2'!$A$2:$A$2198,0)), 0)</f>
        <v>-100.68</v>
      </c>
      <c r="X184" s="39" t="n">
        <f aca="false">IFERROR(INDEX('Data 2'!$M$2:$M$2198,MATCH(V184,'Data 2'!$A$2:$A$2198,0)), 0)</f>
        <v>-108.3125</v>
      </c>
      <c r="Y184" s="37"/>
      <c r="Z184" s="37"/>
    </row>
    <row r="185" customFormat="false" ht="15.75" hidden="false" customHeight="true" outlineLevel="0" collapsed="false">
      <c r="A185" s="37"/>
      <c r="B185" s="37"/>
      <c r="C185" s="37"/>
      <c r="D185" s="34" t="s">
        <v>165</v>
      </c>
      <c r="E185" s="39" t="n">
        <f aca="false">IFERROR(INDEX('Data 2'!$L$2:$L$2198,MATCH(D185,'Data 2'!$A$2:$A$2198,0)), 0)</f>
        <v>35.1866666666667</v>
      </c>
      <c r="F185" s="39" t="n">
        <f aca="false">IFERROR(INDEX('Data 2'!$M$2:$M$2198,MATCH(D185,'Data 2'!$A$2:$A$2198,0)), 0)</f>
        <v>-31.80375</v>
      </c>
      <c r="H185" s="36"/>
      <c r="I185" s="36"/>
      <c r="J185" s="36"/>
      <c r="K185" s="36"/>
      <c r="L185" s="36"/>
      <c r="M185" s="36"/>
      <c r="N185" s="36"/>
      <c r="O185" s="36"/>
      <c r="P185" s="34" t="s">
        <v>43</v>
      </c>
      <c r="Q185" s="39" t="n">
        <f aca="false">IFERROR(INDEX('Data 2'!$L$2:$L$2198,MATCH(P185,'Data 2'!$A$2:$A$2198,0)), 0)</f>
        <v>-79.8366666666667</v>
      </c>
      <c r="R185" s="39" t="n">
        <f aca="false">IFERROR(INDEX('Data 2'!$M$2:$M$2198,MATCH(P185,'Data 2'!$A$2:$A$2198,0)), 0)</f>
        <v>-36.58625</v>
      </c>
      <c r="S185" s="34" t="s">
        <v>79</v>
      </c>
      <c r="T185" s="39" t="n">
        <f aca="false">IFERROR(INDEX('Data 2'!$L$2:$L$2198,MATCH(S185,'Data 2'!$A$2:$A$2198,0)), 0)</f>
        <v>9.98333333333333</v>
      </c>
      <c r="U185" s="39" t="n">
        <f aca="false">IFERROR(INDEX('Data 2'!$M$2:$M$2198,MATCH(S185,'Data 2'!$A$2:$A$2198,0)), 0)</f>
        <v>57.555</v>
      </c>
      <c r="V185" s="34" t="s">
        <v>432</v>
      </c>
      <c r="W185" s="39" t="n">
        <f aca="false">IFERROR(INDEX('Data 2'!$L$2:$L$2198,MATCH(V185,'Data 2'!$A$2:$A$2198,0)), 0)</f>
        <v>24.6966666666667</v>
      </c>
      <c r="X185" s="39" t="n">
        <f aca="false">IFERROR(INDEX('Data 2'!$M$2:$M$2198,MATCH(V185,'Data 2'!$A$2:$A$2198,0)), 0)</f>
        <v>-22.24625</v>
      </c>
      <c r="Y185" s="37"/>
      <c r="Z185" s="37"/>
    </row>
    <row r="186" customFormat="false" ht="15.75" hidden="false" customHeight="true" outlineLevel="0" collapsed="false">
      <c r="A186" s="37"/>
      <c r="B186" s="37"/>
      <c r="C186" s="37"/>
      <c r="D186" s="34" t="s">
        <v>194</v>
      </c>
      <c r="E186" s="39" t="n">
        <f aca="false">IFERROR(INDEX('Data 2'!$L$2:$L$2198,MATCH(D186,'Data 2'!$A$2:$A$2198,0)), 0)</f>
        <v>5.59666666666667</v>
      </c>
      <c r="F186" s="39" t="n">
        <f aca="false">IFERROR(INDEX('Data 2'!$M$2:$M$2198,MATCH(D186,'Data 2'!$A$2:$A$2198,0)), 0)</f>
        <v>-43.44625</v>
      </c>
      <c r="H186" s="36"/>
      <c r="I186" s="36"/>
      <c r="J186" s="36"/>
      <c r="K186" s="36"/>
      <c r="L186" s="36"/>
      <c r="M186" s="36"/>
      <c r="N186" s="36"/>
      <c r="O186" s="36"/>
      <c r="P186" s="34" t="s">
        <v>337</v>
      </c>
      <c r="Q186" s="39" t="n">
        <f aca="false">IFERROR(INDEX('Data 2'!$L$2:$L$2198,MATCH(P186,'Data 2'!$A$2:$A$2198,0)), 0)</f>
        <v>57.9633333333333</v>
      </c>
      <c r="R186" s="39" t="n">
        <f aca="false">IFERROR(INDEX('Data 2'!$M$2:$M$2198,MATCH(P186,'Data 2'!$A$2:$A$2198,0)), 0)</f>
        <v>-35.36</v>
      </c>
      <c r="S186" s="34" t="s">
        <v>173</v>
      </c>
      <c r="T186" s="39" t="n">
        <f aca="false">IFERROR(INDEX('Data 2'!$L$2:$L$2198,MATCH(S186,'Data 2'!$A$2:$A$2198,0)), 0)</f>
        <v>38.0766666666667</v>
      </c>
      <c r="U186" s="39" t="n">
        <f aca="false">IFERROR(INDEX('Data 2'!$M$2:$M$2198,MATCH(S186,'Data 2'!$A$2:$A$2198,0)), 0)</f>
        <v>91.0825</v>
      </c>
      <c r="V186" s="34" t="s">
        <v>434</v>
      </c>
      <c r="W186" s="39" t="n">
        <f aca="false">IFERROR(INDEX('Data 2'!$L$2:$L$2198,MATCH(V186,'Data 2'!$A$2:$A$2198,0)), 0)</f>
        <v>-27.7366666666667</v>
      </c>
      <c r="X186" s="39" t="n">
        <f aca="false">IFERROR(INDEX('Data 2'!$M$2:$M$2198,MATCH(V186,'Data 2'!$A$2:$A$2198,0)), 0)</f>
        <v>-27.5575</v>
      </c>
      <c r="Y186" s="37"/>
      <c r="Z186" s="37"/>
    </row>
    <row r="187" customFormat="false" ht="15.75" hidden="false" customHeight="true" outlineLevel="0" collapsed="false">
      <c r="A187" s="37"/>
      <c r="B187" s="37"/>
      <c r="C187" s="37"/>
      <c r="D187" s="34" t="s">
        <v>415</v>
      </c>
      <c r="E187" s="39" t="n">
        <f aca="false">IFERROR(INDEX('Data 2'!$L$2:$L$2198,MATCH(D187,'Data 2'!$A$2:$A$2198,0)), 0)</f>
        <v>-59.0066666666667</v>
      </c>
      <c r="F187" s="39" t="n">
        <f aca="false">IFERROR(INDEX('Data 2'!$M$2:$M$2198,MATCH(D187,'Data 2'!$A$2:$A$2198,0)), 0)</f>
        <v>-25.75125</v>
      </c>
      <c r="H187" s="36"/>
      <c r="I187" s="36"/>
      <c r="J187" s="36"/>
      <c r="K187" s="36"/>
      <c r="L187" s="36"/>
      <c r="M187" s="36"/>
      <c r="N187" s="36"/>
      <c r="O187" s="36"/>
      <c r="P187" s="34" t="s">
        <v>494</v>
      </c>
      <c r="Q187" s="39" t="n">
        <f aca="false">IFERROR(INDEX('Data 2'!$L$2:$L$2198,MATCH(P187,'Data 2'!$A$2:$A$2198,0)), 0)</f>
        <v>125.17</v>
      </c>
      <c r="R187" s="39" t="n">
        <f aca="false">IFERROR(INDEX('Data 2'!$M$2:$M$2198,MATCH(P187,'Data 2'!$A$2:$A$2198,0)), 0)</f>
        <v>13.32</v>
      </c>
      <c r="S187" s="34" t="s">
        <v>245</v>
      </c>
      <c r="T187" s="39" t="n">
        <f aca="false">IFERROR(INDEX('Data 2'!$L$2:$L$2198,MATCH(S187,'Data 2'!$A$2:$A$2198,0)), 0)</f>
        <v>30.24</v>
      </c>
      <c r="U187" s="39" t="n">
        <f aca="false">IFERROR(INDEX('Data 2'!$M$2:$M$2198,MATCH(S187,'Data 2'!$A$2:$A$2198,0)), 0)</f>
        <v>68.2475</v>
      </c>
      <c r="V187" s="34" t="s">
        <v>435</v>
      </c>
      <c r="W187" s="39" t="n">
        <f aca="false">IFERROR(INDEX('Data 2'!$L$2:$L$2198,MATCH(V187,'Data 2'!$A$2:$A$2198,0)), 0)</f>
        <v>-72.9866666666667</v>
      </c>
      <c r="X187" s="39" t="n">
        <f aca="false">IFERROR(INDEX('Data 2'!$M$2:$M$2198,MATCH(V187,'Data 2'!$A$2:$A$2198,0)), 0)</f>
        <v>-25.8925</v>
      </c>
      <c r="Y187" s="37"/>
      <c r="Z187" s="37"/>
    </row>
    <row r="188" customFormat="false" ht="15.75" hidden="false" customHeight="true" outlineLevel="0" collapsed="false">
      <c r="A188" s="37"/>
      <c r="B188" s="37"/>
      <c r="C188" s="37"/>
      <c r="D188" s="34" t="s">
        <v>81</v>
      </c>
      <c r="E188" s="39" t="n">
        <f aca="false">IFERROR(INDEX('Data 2'!$L$2:$L$2198,MATCH(D188,'Data 2'!$A$2:$A$2198,0)), 0)</f>
        <v>-25.0066666666667</v>
      </c>
      <c r="F188" s="39" t="n">
        <f aca="false">IFERROR(INDEX('Data 2'!$M$2:$M$2198,MATCH(D188,'Data 2'!$A$2:$A$2198,0)), 0)</f>
        <v>58.935</v>
      </c>
      <c r="H188" s="36"/>
      <c r="I188" s="36"/>
      <c r="J188" s="36"/>
      <c r="K188" s="36"/>
      <c r="L188" s="36"/>
      <c r="M188" s="36"/>
      <c r="N188" s="36"/>
      <c r="O188" s="36"/>
      <c r="P188" s="34" t="s">
        <v>495</v>
      </c>
      <c r="Q188" s="39" t="n">
        <f aca="false">IFERROR(INDEX('Data 2'!$L$2:$L$2198,MATCH(P188,'Data 2'!$A$2:$A$2198,0)), 0)</f>
        <v>-81.27</v>
      </c>
      <c r="R188" s="39" t="n">
        <f aca="false">IFERROR(INDEX('Data 2'!$M$2:$M$2198,MATCH(P188,'Data 2'!$A$2:$A$2198,0)), 0)</f>
        <v>-142.69375</v>
      </c>
      <c r="S188" s="34" t="s">
        <v>201</v>
      </c>
      <c r="T188" s="39" t="n">
        <f aca="false">IFERROR(INDEX('Data 2'!$L$2:$L$2198,MATCH(S188,'Data 2'!$A$2:$A$2198,0)), 0)</f>
        <v>-100.29</v>
      </c>
      <c r="U188" s="39" t="n">
        <f aca="false">IFERROR(INDEX('Data 2'!$M$2:$M$2198,MATCH(S188,'Data 2'!$A$2:$A$2198,0)), 0)</f>
        <v>-112.61375</v>
      </c>
      <c r="V188" s="34" t="s">
        <v>436</v>
      </c>
      <c r="W188" s="39" t="n">
        <f aca="false">IFERROR(INDEX('Data 2'!$L$2:$L$2198,MATCH(V188,'Data 2'!$A$2:$A$2198,0)), 0)</f>
        <v>24.57</v>
      </c>
      <c r="X188" s="39" t="n">
        <f aca="false">IFERROR(INDEX('Data 2'!$M$2:$M$2198,MATCH(V188,'Data 2'!$A$2:$A$2198,0)), 0)</f>
        <v>101.07625</v>
      </c>
      <c r="Y188" s="37"/>
      <c r="Z188" s="37"/>
    </row>
    <row r="189" customFormat="false" ht="15.75" hidden="false" customHeight="true" outlineLevel="0" collapsed="false">
      <c r="A189" s="37"/>
      <c r="B189" s="37"/>
      <c r="C189" s="37"/>
      <c r="D189" s="34" t="s">
        <v>301</v>
      </c>
      <c r="E189" s="39" t="n">
        <f aca="false">IFERROR(INDEX('Data 2'!$L$2:$L$2198,MATCH(D189,'Data 2'!$A$2:$A$2198,0)), 0)</f>
        <v>-52.5533333333333</v>
      </c>
      <c r="F189" s="39" t="n">
        <f aca="false">IFERROR(INDEX('Data 2'!$M$2:$M$2198,MATCH(D189,'Data 2'!$A$2:$A$2198,0)), 0)</f>
        <v>0.891249999999998</v>
      </c>
      <c r="H189" s="36"/>
      <c r="I189" s="36"/>
      <c r="J189" s="36"/>
      <c r="K189" s="36"/>
      <c r="L189" s="36"/>
      <c r="M189" s="36"/>
      <c r="N189" s="36"/>
      <c r="O189" s="36"/>
      <c r="P189" s="34" t="s">
        <v>496</v>
      </c>
      <c r="Q189" s="39" t="n">
        <f aca="false">IFERROR(INDEX('Data 2'!$L$2:$L$2198,MATCH(P189,'Data 2'!$A$2:$A$2198,0)), 0)</f>
        <v>80.32</v>
      </c>
      <c r="R189" s="39" t="n">
        <f aca="false">IFERROR(INDEX('Data 2'!$M$2:$M$2198,MATCH(P189,'Data 2'!$A$2:$A$2198,0)), 0)</f>
        <v>-54.7375</v>
      </c>
      <c r="S189" s="34" t="s">
        <v>80</v>
      </c>
      <c r="T189" s="39" t="n">
        <f aca="false">IFERROR(INDEX('Data 2'!$L$2:$L$2198,MATCH(S189,'Data 2'!$A$2:$A$2198,0)), 0)</f>
        <v>-100.336666666667</v>
      </c>
      <c r="U189" s="39" t="n">
        <f aca="false">IFERROR(INDEX('Data 2'!$M$2:$M$2198,MATCH(S189,'Data 2'!$A$2:$A$2198,0)), 0)</f>
        <v>-99.655</v>
      </c>
      <c r="V189" s="34" t="s">
        <v>156</v>
      </c>
      <c r="W189" s="39" t="n">
        <f aca="false">IFERROR(INDEX('Data 2'!$L$2:$L$2198,MATCH(V189,'Data 2'!$A$2:$A$2198,0)), 0)</f>
        <v>92.8766666666667</v>
      </c>
      <c r="X189" s="39" t="n">
        <f aca="false">IFERROR(INDEX('Data 2'!$M$2:$M$2198,MATCH(V189,'Data 2'!$A$2:$A$2198,0)), 0)</f>
        <v>103.41375</v>
      </c>
      <c r="Y189" s="37"/>
      <c r="Z189" s="37"/>
    </row>
    <row r="190" customFormat="false" ht="15.75" hidden="false" customHeight="true" outlineLevel="0" collapsed="false">
      <c r="A190" s="37"/>
      <c r="B190" s="37"/>
      <c r="C190" s="37"/>
      <c r="D190" s="34" t="s">
        <v>365</v>
      </c>
      <c r="E190" s="39" t="n">
        <f aca="false">IFERROR(INDEX('Data 2'!$L$2:$L$2198,MATCH(D190,'Data 2'!$A$2:$A$2198,0)), 0)</f>
        <v>127.636666666667</v>
      </c>
      <c r="F190" s="39" t="n">
        <f aca="false">IFERROR(INDEX('Data 2'!$M$2:$M$2198,MATCH(D190,'Data 2'!$A$2:$A$2198,0)), 0)</f>
        <v>5.075</v>
      </c>
      <c r="H190" s="36"/>
      <c r="I190" s="36"/>
      <c r="J190" s="36"/>
      <c r="K190" s="36"/>
      <c r="L190" s="36"/>
      <c r="M190" s="36"/>
      <c r="N190" s="36"/>
      <c r="O190" s="36"/>
      <c r="P190" s="34" t="s">
        <v>497</v>
      </c>
      <c r="Q190" s="39" t="n">
        <f aca="false">IFERROR(INDEX('Data 2'!$L$2:$L$2198,MATCH(P190,'Data 2'!$A$2:$A$2198,0)), 0)</f>
        <v>49.69</v>
      </c>
      <c r="R190" s="39" t="n">
        <f aca="false">IFERROR(INDEX('Data 2'!$M$2:$M$2198,MATCH(P190,'Data 2'!$A$2:$A$2198,0)), 0)</f>
        <v>-13.395</v>
      </c>
      <c r="S190" s="34" t="s">
        <v>228</v>
      </c>
      <c r="T190" s="39" t="n">
        <f aca="false">IFERROR(INDEX('Data 2'!$L$2:$L$2198,MATCH(S190,'Data 2'!$A$2:$A$2198,0)), 0)</f>
        <v>-0.579999999999998</v>
      </c>
      <c r="U190" s="39" t="n">
        <f aca="false">IFERROR(INDEX('Data 2'!$M$2:$M$2198,MATCH(S190,'Data 2'!$A$2:$A$2198,0)), 0)</f>
        <v>12.17125</v>
      </c>
      <c r="V190" s="34" t="s">
        <v>225</v>
      </c>
      <c r="W190" s="39" t="n">
        <f aca="false">IFERROR(INDEX('Data 2'!$L$2:$L$2198,MATCH(V190,'Data 2'!$A$2:$A$2198,0)), 0)</f>
        <v>16.1233333333333</v>
      </c>
      <c r="X190" s="39" t="n">
        <f aca="false">IFERROR(INDEX('Data 2'!$M$2:$M$2198,MATCH(V190,'Data 2'!$A$2:$A$2198,0)), 0)</f>
        <v>85.945</v>
      </c>
      <c r="Y190" s="37"/>
      <c r="Z190" s="37"/>
    </row>
    <row r="191" customFormat="false" ht="15.75" hidden="false" customHeight="true" outlineLevel="0" collapsed="false">
      <c r="A191" s="37"/>
      <c r="B191" s="37"/>
      <c r="C191" s="37"/>
      <c r="D191" s="34" t="s">
        <v>416</v>
      </c>
      <c r="E191" s="39" t="n">
        <f aca="false">IFERROR(INDEX('Data 2'!$L$2:$L$2198,MATCH(D191,'Data 2'!$A$2:$A$2198,0)), 0)</f>
        <v>-49.3833333333333</v>
      </c>
      <c r="F191" s="39" t="n">
        <f aca="false">IFERROR(INDEX('Data 2'!$M$2:$M$2198,MATCH(D191,'Data 2'!$A$2:$A$2198,0)), 0)</f>
        <v>-87.24</v>
      </c>
      <c r="H191" s="36"/>
      <c r="I191" s="36"/>
      <c r="J191" s="36"/>
      <c r="K191" s="36"/>
      <c r="L191" s="36"/>
      <c r="M191" s="36"/>
      <c r="N191" s="36"/>
      <c r="O191" s="36"/>
      <c r="P191" s="34" t="s">
        <v>112</v>
      </c>
      <c r="Q191" s="39" t="n">
        <f aca="false">IFERROR(INDEX('Data 2'!$L$2:$L$2198,MATCH(P191,'Data 2'!$A$2:$A$2198,0)), 0)</f>
        <v>-72.08</v>
      </c>
      <c r="R191" s="39" t="n">
        <f aca="false">IFERROR(INDEX('Data 2'!$M$2:$M$2198,MATCH(P191,'Data 2'!$A$2:$A$2198,0)), 0)</f>
        <v>-4.94125</v>
      </c>
      <c r="S191" s="34" t="s">
        <v>431</v>
      </c>
      <c r="T191" s="39" t="n">
        <f aca="false">IFERROR(INDEX('Data 2'!$L$2:$L$2198,MATCH(S191,'Data 2'!$A$2:$A$2198,0)), 0)</f>
        <v>-27.08</v>
      </c>
      <c r="U191" s="39" t="n">
        <f aca="false">IFERROR(INDEX('Data 2'!$M$2:$M$2198,MATCH(S191,'Data 2'!$A$2:$A$2198,0)), 0)</f>
        <v>-31.54875</v>
      </c>
      <c r="V191" s="34" t="s">
        <v>76</v>
      </c>
      <c r="W191" s="39" t="n">
        <f aca="false">IFERROR(INDEX('Data 2'!$L$2:$L$2198,MATCH(V191,'Data 2'!$A$2:$A$2198,0)), 0)</f>
        <v>42.42</v>
      </c>
      <c r="X191" s="39" t="n">
        <f aca="false">IFERROR(INDEX('Data 2'!$M$2:$M$2198,MATCH(V191,'Data 2'!$A$2:$A$2198,0)), 0)</f>
        <v>-43.9075</v>
      </c>
      <c r="Y191" s="37"/>
      <c r="Z191" s="37"/>
    </row>
    <row r="192" customFormat="false" ht="15.75" hidden="false" customHeight="true" outlineLevel="0" collapsed="false">
      <c r="A192" s="37"/>
      <c r="B192" s="37"/>
      <c r="C192" s="37"/>
      <c r="D192" s="34" t="s">
        <v>367</v>
      </c>
      <c r="E192" s="39" t="n">
        <f aca="false">IFERROR(INDEX('Data 2'!$L$2:$L$2198,MATCH(D192,'Data 2'!$A$2:$A$2198,0)), 0)</f>
        <v>-87.3433333333334</v>
      </c>
      <c r="F192" s="39" t="n">
        <f aca="false">IFERROR(INDEX('Data 2'!$M$2:$M$2198,MATCH(D192,'Data 2'!$A$2:$A$2198,0)), 0)</f>
        <v>-96.39</v>
      </c>
      <c r="H192" s="36"/>
      <c r="I192" s="36"/>
      <c r="J192" s="36"/>
      <c r="K192" s="36"/>
      <c r="L192" s="36"/>
      <c r="M192" s="36"/>
      <c r="N192" s="36"/>
      <c r="O192" s="36"/>
      <c r="P192" s="34" t="s">
        <v>498</v>
      </c>
      <c r="Q192" s="39" t="n">
        <f aca="false">IFERROR(INDEX('Data 2'!$L$2:$L$2198,MATCH(P192,'Data 2'!$A$2:$A$2198,0)), 0)</f>
        <v>-89.0733333333333</v>
      </c>
      <c r="R192" s="39" t="n">
        <f aca="false">IFERROR(INDEX('Data 2'!$M$2:$M$2198,MATCH(P192,'Data 2'!$A$2:$A$2198,0)), 0)</f>
        <v>-14.82875</v>
      </c>
      <c r="S192" s="34" t="s">
        <v>113</v>
      </c>
      <c r="T192" s="39" t="n">
        <f aca="false">IFERROR(INDEX('Data 2'!$L$2:$L$2198,MATCH(S192,'Data 2'!$A$2:$A$2198,0)), 0)</f>
        <v>-80.51</v>
      </c>
      <c r="U192" s="39" t="n">
        <f aca="false">IFERROR(INDEX('Data 2'!$M$2:$M$2198,MATCH(S192,'Data 2'!$A$2:$A$2198,0)), 0)</f>
        <v>-30.45</v>
      </c>
      <c r="V192" s="34" t="s">
        <v>150</v>
      </c>
      <c r="W192" s="39" t="n">
        <f aca="false">IFERROR(INDEX('Data 2'!$L$2:$L$2198,MATCH(V192,'Data 2'!$A$2:$A$2198,0)), 0)</f>
        <v>9.21333333333333</v>
      </c>
      <c r="X192" s="39" t="n">
        <f aca="false">IFERROR(INDEX('Data 2'!$M$2:$M$2198,MATCH(V192,'Data 2'!$A$2:$A$2198,0)), 0)</f>
        <v>74.71125</v>
      </c>
      <c r="Y192" s="37"/>
      <c r="Z192" s="37"/>
    </row>
    <row r="193" customFormat="false" ht="15.75" hidden="false" customHeight="true" outlineLevel="0" collapsed="false">
      <c r="A193" s="37"/>
      <c r="B193" s="37"/>
      <c r="C193" s="37"/>
      <c r="D193" s="34" t="s">
        <v>202</v>
      </c>
      <c r="E193" s="39" t="n">
        <f aca="false">IFERROR(INDEX('Data 2'!$L$2:$L$2198,MATCH(D193,'Data 2'!$A$2:$A$2198,0)), 0)</f>
        <v>-3.69333333333333</v>
      </c>
      <c r="F193" s="39" t="n">
        <f aca="false">IFERROR(INDEX('Data 2'!$M$2:$M$2198,MATCH(D193,'Data 2'!$A$2:$A$2198,0)), 0)</f>
        <v>-41.2025</v>
      </c>
      <c r="H193" s="36"/>
      <c r="I193" s="36"/>
      <c r="J193" s="36"/>
      <c r="K193" s="36"/>
      <c r="L193" s="36"/>
      <c r="M193" s="36"/>
      <c r="N193" s="36"/>
      <c r="O193" s="36"/>
      <c r="P193" s="34" t="s">
        <v>499</v>
      </c>
      <c r="Q193" s="39" t="n">
        <f aca="false">IFERROR(INDEX('Data 2'!$L$2:$L$2198,MATCH(P193,'Data 2'!$A$2:$A$2198,0)), 0)</f>
        <v>-13.3433333333333</v>
      </c>
      <c r="R193" s="39" t="n">
        <f aca="false">IFERROR(INDEX('Data 2'!$M$2:$M$2198,MATCH(P193,'Data 2'!$A$2:$A$2198,0)), 0)</f>
        <v>-23.42375</v>
      </c>
      <c r="S193" s="34" t="s">
        <v>196</v>
      </c>
      <c r="T193" s="39" t="n">
        <f aca="false">IFERROR(INDEX('Data 2'!$L$2:$L$2198,MATCH(S193,'Data 2'!$A$2:$A$2198,0)), 0)</f>
        <v>-119.943333333333</v>
      </c>
      <c r="U193" s="39" t="n">
        <f aca="false">IFERROR(INDEX('Data 2'!$M$2:$M$2198,MATCH(S193,'Data 2'!$A$2:$A$2198,0)), 0)</f>
        <v>-138.31375</v>
      </c>
      <c r="V193" s="34" t="s">
        <v>380</v>
      </c>
      <c r="W193" s="39" t="n">
        <f aca="false">IFERROR(INDEX('Data 2'!$L$2:$L$2198,MATCH(V193,'Data 2'!$A$2:$A$2198,0)), 0)</f>
        <v>28.65</v>
      </c>
      <c r="X193" s="39" t="n">
        <f aca="false">IFERROR(INDEX('Data 2'!$M$2:$M$2198,MATCH(V193,'Data 2'!$A$2:$A$2198,0)), 0)</f>
        <v>3.62875</v>
      </c>
      <c r="Y193" s="37"/>
      <c r="Z193" s="37"/>
    </row>
    <row r="194" customFormat="false" ht="15.75" hidden="false" customHeight="true" outlineLevel="0" collapsed="false">
      <c r="A194" s="37"/>
      <c r="B194" s="37"/>
      <c r="C194" s="37"/>
      <c r="D194" s="34" t="s">
        <v>417</v>
      </c>
      <c r="E194" s="39" t="n">
        <f aca="false">IFERROR(INDEX('Data 2'!$L$2:$L$2198,MATCH(D194,'Data 2'!$A$2:$A$2198,0)), 0)</f>
        <v>-6.87333333333334</v>
      </c>
      <c r="F194" s="39" t="n">
        <f aca="false">IFERROR(INDEX('Data 2'!$M$2:$M$2198,MATCH(D194,'Data 2'!$A$2:$A$2198,0)), 0)</f>
        <v>53.02125</v>
      </c>
      <c r="H194" s="36"/>
      <c r="I194" s="36"/>
      <c r="J194" s="36"/>
      <c r="K194" s="36"/>
      <c r="L194" s="36"/>
      <c r="M194" s="36"/>
      <c r="N194" s="36"/>
      <c r="O194" s="36"/>
      <c r="P194" s="34" t="s">
        <v>340</v>
      </c>
      <c r="Q194" s="39" t="n">
        <f aca="false">IFERROR(INDEX('Data 2'!$L$2:$L$2198,MATCH(P194,'Data 2'!$A$2:$A$2198,0)), 0)</f>
        <v>95.6066666666667</v>
      </c>
      <c r="R194" s="39" t="n">
        <f aca="false">IFERROR(INDEX('Data 2'!$M$2:$M$2198,MATCH(P194,'Data 2'!$A$2:$A$2198,0)), 0)</f>
        <v>123.05125</v>
      </c>
      <c r="S194" s="34" t="s">
        <v>433</v>
      </c>
      <c r="T194" s="39" t="n">
        <f aca="false">IFERROR(INDEX('Data 2'!$L$2:$L$2198,MATCH(S194,'Data 2'!$A$2:$A$2198,0)), 0)</f>
        <v>-75.43</v>
      </c>
      <c r="U194" s="39" t="n">
        <f aca="false">IFERROR(INDEX('Data 2'!$M$2:$M$2198,MATCH(S194,'Data 2'!$A$2:$A$2198,0)), 0)</f>
        <v>-107.055</v>
      </c>
      <c r="V194" s="34" t="s">
        <v>382</v>
      </c>
      <c r="W194" s="39" t="n">
        <f aca="false">IFERROR(INDEX('Data 2'!$L$2:$L$2198,MATCH(V194,'Data 2'!$A$2:$A$2198,0)), 0)</f>
        <v>-39.29</v>
      </c>
      <c r="X194" s="39" t="n">
        <f aca="false">IFERROR(INDEX('Data 2'!$M$2:$M$2198,MATCH(V194,'Data 2'!$A$2:$A$2198,0)), 0)</f>
        <v>-70.49</v>
      </c>
      <c r="Y194" s="37"/>
      <c r="Z194" s="37"/>
    </row>
    <row r="195" customFormat="false" ht="15.75" hidden="false" customHeight="true" outlineLevel="0" collapsed="false">
      <c r="A195" s="37"/>
      <c r="B195" s="37"/>
      <c r="C195" s="37"/>
      <c r="D195" s="34" t="s">
        <v>185</v>
      </c>
      <c r="E195" s="39" t="n">
        <f aca="false">IFERROR(INDEX('Data 2'!$L$2:$L$2198,MATCH(D195,'Data 2'!$A$2:$A$2198,0)), 0)</f>
        <v>83.96</v>
      </c>
      <c r="F195" s="39" t="n">
        <f aca="false">IFERROR(INDEX('Data 2'!$M$2:$M$2198,MATCH(D195,'Data 2'!$A$2:$A$2198,0)), 0)</f>
        <v>36.61875</v>
      </c>
      <c r="H195" s="36"/>
      <c r="I195" s="36"/>
      <c r="J195" s="36"/>
      <c r="K195" s="36"/>
      <c r="L195" s="36"/>
      <c r="M195" s="36"/>
      <c r="N195" s="36"/>
      <c r="O195" s="36"/>
      <c r="P195" s="34" t="s">
        <v>500</v>
      </c>
      <c r="Q195" s="39" t="n">
        <f aca="false">IFERROR(INDEX('Data 2'!$L$2:$L$2198,MATCH(P195,'Data 2'!$A$2:$A$2198,0)), 0)</f>
        <v>-28.63</v>
      </c>
      <c r="R195" s="39" t="n">
        <f aca="false">IFERROR(INDEX('Data 2'!$M$2:$M$2198,MATCH(P195,'Data 2'!$A$2:$A$2198,0)), 0)</f>
        <v>-39.88625</v>
      </c>
      <c r="S195" s="34" t="s">
        <v>162</v>
      </c>
      <c r="T195" s="39" t="n">
        <f aca="false">IFERROR(INDEX('Data 2'!$L$2:$L$2198,MATCH(S195,'Data 2'!$A$2:$A$2198,0)), 0)</f>
        <v>-11.3766666666667</v>
      </c>
      <c r="U195" s="39" t="n">
        <f aca="false">IFERROR(INDEX('Data 2'!$M$2:$M$2198,MATCH(S195,'Data 2'!$A$2:$A$2198,0)), 0)</f>
        <v>-4.32375</v>
      </c>
      <c r="V195" s="34" t="s">
        <v>151</v>
      </c>
      <c r="W195" s="39" t="n">
        <f aca="false">IFERROR(INDEX('Data 2'!$L$2:$L$2198,MATCH(V195,'Data 2'!$A$2:$A$2198,0)), 0)</f>
        <v>86.2033333333333</v>
      </c>
      <c r="X195" s="39" t="n">
        <f aca="false">IFERROR(INDEX('Data 2'!$M$2:$M$2198,MATCH(V195,'Data 2'!$A$2:$A$2198,0)), 0)</f>
        <v>35.47</v>
      </c>
      <c r="Y195" s="37"/>
      <c r="Z195" s="37"/>
    </row>
    <row r="196" customFormat="false" ht="15.75" hidden="false" customHeight="true" outlineLevel="0" collapsed="false">
      <c r="A196" s="37"/>
      <c r="B196" s="37"/>
      <c r="C196" s="37"/>
      <c r="D196" s="34" t="s">
        <v>419</v>
      </c>
      <c r="E196" s="39" t="n">
        <f aca="false">IFERROR(INDEX('Data 2'!$L$2:$L$2198,MATCH(D196,'Data 2'!$A$2:$A$2198,0)), 0)</f>
        <v>14.93</v>
      </c>
      <c r="F196" s="39" t="n">
        <f aca="false">IFERROR(INDEX('Data 2'!$M$2:$M$2198,MATCH(D196,'Data 2'!$A$2:$A$2198,0)), 0)</f>
        <v>7.26875</v>
      </c>
      <c r="H196" s="36"/>
      <c r="I196" s="36"/>
      <c r="J196" s="36"/>
      <c r="K196" s="36"/>
      <c r="L196" s="36"/>
      <c r="M196" s="36"/>
      <c r="N196" s="36"/>
      <c r="O196" s="36"/>
      <c r="P196" s="34" t="s">
        <v>501</v>
      </c>
      <c r="Q196" s="39" t="n">
        <f aca="false">IFERROR(INDEX('Data 2'!$L$2:$L$2198,MATCH(P196,'Data 2'!$A$2:$A$2198,0)), 0)</f>
        <v>0.48333333333333</v>
      </c>
      <c r="R196" s="39" t="n">
        <f aca="false">IFERROR(INDEX('Data 2'!$M$2:$M$2198,MATCH(P196,'Data 2'!$A$2:$A$2198,0)), 0)</f>
        <v>71.32125</v>
      </c>
      <c r="S196" s="34" t="s">
        <v>163</v>
      </c>
      <c r="T196" s="39" t="n">
        <f aca="false">IFERROR(INDEX('Data 2'!$L$2:$L$2198,MATCH(S196,'Data 2'!$A$2:$A$2198,0)), 0)</f>
        <v>77.0066666666667</v>
      </c>
      <c r="U196" s="39" t="n">
        <f aca="false">IFERROR(INDEX('Data 2'!$M$2:$M$2198,MATCH(S196,'Data 2'!$A$2:$A$2198,0)), 0)</f>
        <v>-19.0025</v>
      </c>
      <c r="V196" s="34" t="s">
        <v>190</v>
      </c>
      <c r="W196" s="39" t="n">
        <f aca="false">IFERROR(INDEX('Data 2'!$L$2:$L$2198,MATCH(V196,'Data 2'!$A$2:$A$2198,0)), 0)</f>
        <v>104.733333333333</v>
      </c>
      <c r="X196" s="39" t="n">
        <f aca="false">IFERROR(INDEX('Data 2'!$M$2:$M$2198,MATCH(V196,'Data 2'!$A$2:$A$2198,0)), 0)</f>
        <v>-5.6225</v>
      </c>
      <c r="Y196" s="37"/>
      <c r="Z196" s="37"/>
    </row>
    <row r="197" customFormat="false" ht="15.75" hidden="false" customHeight="true" outlineLevel="0" collapsed="false">
      <c r="A197" s="37"/>
      <c r="B197" s="37"/>
      <c r="C197" s="37"/>
      <c r="D197" s="34" t="s">
        <v>420</v>
      </c>
      <c r="E197" s="39" t="n">
        <f aca="false">IFERROR(INDEX('Data 2'!$L$2:$L$2198,MATCH(D197,'Data 2'!$A$2:$A$2198,0)), 0)</f>
        <v>-12.84</v>
      </c>
      <c r="F197" s="39" t="n">
        <f aca="false">IFERROR(INDEX('Data 2'!$M$2:$M$2198,MATCH(D197,'Data 2'!$A$2:$A$2198,0)), 0)</f>
        <v>66.17</v>
      </c>
      <c r="H197" s="36"/>
      <c r="I197" s="36"/>
      <c r="J197" s="36"/>
      <c r="K197" s="36"/>
      <c r="L197" s="36"/>
      <c r="M197" s="36"/>
      <c r="N197" s="36"/>
      <c r="O197" s="36"/>
      <c r="P197" s="34" t="s">
        <v>502</v>
      </c>
      <c r="Q197" s="39" t="n">
        <f aca="false">IFERROR(INDEX('Data 2'!$L$2:$L$2198,MATCH(P197,'Data 2'!$A$2:$A$2198,0)), 0)</f>
        <v>32.6466666666667</v>
      </c>
      <c r="R197" s="39" t="n">
        <f aca="false">IFERROR(INDEX('Data 2'!$M$2:$M$2198,MATCH(P197,'Data 2'!$A$2:$A$2198,0)), 0)</f>
        <v>-9.45</v>
      </c>
      <c r="S197" s="34" t="s">
        <v>204</v>
      </c>
      <c r="T197" s="39" t="n">
        <f aca="false">IFERROR(INDEX('Data 2'!$L$2:$L$2198,MATCH(S197,'Data 2'!$A$2:$A$2198,0)), 0)</f>
        <v>-18.29</v>
      </c>
      <c r="U197" s="39" t="n">
        <f aca="false">IFERROR(INDEX('Data 2'!$M$2:$M$2198,MATCH(S197,'Data 2'!$A$2:$A$2198,0)), 0)</f>
        <v>49.62125</v>
      </c>
      <c r="V197" s="34" t="s">
        <v>439</v>
      </c>
      <c r="W197" s="39" t="n">
        <f aca="false">IFERROR(INDEX('Data 2'!$L$2:$L$2198,MATCH(V197,'Data 2'!$A$2:$A$2198,0)), 0)</f>
        <v>98.0566666666667</v>
      </c>
      <c r="X197" s="39" t="n">
        <f aca="false">IFERROR(INDEX('Data 2'!$M$2:$M$2198,MATCH(V197,'Data 2'!$A$2:$A$2198,0)), 0)</f>
        <v>-38.69125</v>
      </c>
      <c r="Y197" s="37"/>
      <c r="Z197" s="37"/>
    </row>
    <row r="198" customFormat="false" ht="15.75" hidden="false" customHeight="true" outlineLevel="0" collapsed="false">
      <c r="A198" s="37"/>
      <c r="B198" s="37"/>
      <c r="C198" s="37"/>
      <c r="D198" s="34" t="s">
        <v>303</v>
      </c>
      <c r="E198" s="39" t="n">
        <f aca="false">IFERROR(INDEX('Data 2'!$L$2:$L$2198,MATCH(D198,'Data 2'!$A$2:$A$2198,0)), 0)</f>
        <v>-6.21466666666667</v>
      </c>
      <c r="F198" s="39" t="n">
        <f aca="false">IFERROR(INDEX('Data 2'!$M$2:$M$2198,MATCH(D198,'Data 2'!$A$2:$A$2198,0)), 0)</f>
        <v>-51.14675</v>
      </c>
      <c r="H198" s="36"/>
      <c r="I198" s="36"/>
      <c r="J198" s="36"/>
      <c r="K198" s="36"/>
      <c r="L198" s="36"/>
      <c r="M198" s="36"/>
      <c r="N198" s="36"/>
      <c r="O198" s="36"/>
      <c r="P198" s="34" t="s">
        <v>342</v>
      </c>
      <c r="Q198" s="39" t="n">
        <f aca="false">IFERROR(INDEX('Data 2'!$L$2:$L$2198,MATCH(P198,'Data 2'!$A$2:$A$2198,0)), 0)</f>
        <v>-88.5633333333333</v>
      </c>
      <c r="R198" s="39" t="n">
        <f aca="false">IFERROR(INDEX('Data 2'!$M$2:$M$2198,MATCH(P198,'Data 2'!$A$2:$A$2198,0)), 0)</f>
        <v>-94.3</v>
      </c>
      <c r="S198" s="34" t="s">
        <v>220</v>
      </c>
      <c r="T198" s="39" t="n">
        <f aca="false">IFERROR(INDEX('Data 2'!$L$2:$L$2198,MATCH(S198,'Data 2'!$A$2:$A$2198,0)), 0)</f>
        <v>94.6966666666667</v>
      </c>
      <c r="U198" s="39" t="n">
        <f aca="false">IFERROR(INDEX('Data 2'!$M$2:$M$2198,MATCH(S198,'Data 2'!$A$2:$A$2198,0)), 0)</f>
        <v>72.03125</v>
      </c>
      <c r="V198" s="34" t="s">
        <v>441</v>
      </c>
      <c r="W198" s="39" t="n">
        <f aca="false">IFERROR(INDEX('Data 2'!$L$2:$L$2198,MATCH(V198,'Data 2'!$A$2:$A$2198,0)), 0)</f>
        <v>30.2833333333333</v>
      </c>
      <c r="X198" s="39" t="n">
        <f aca="false">IFERROR(INDEX('Data 2'!$M$2:$M$2198,MATCH(V198,'Data 2'!$A$2:$A$2198,0)), 0)</f>
        <v>-9.74875</v>
      </c>
      <c r="Y198" s="37"/>
      <c r="Z198" s="37"/>
    </row>
    <row r="199" customFormat="false" ht="15.75" hidden="false" customHeight="true" outlineLevel="0" collapsed="false">
      <c r="A199" s="37"/>
      <c r="B199" s="37"/>
      <c r="C199" s="37"/>
      <c r="D199" s="34" t="s">
        <v>421</v>
      </c>
      <c r="E199" s="39" t="n">
        <f aca="false">IFERROR(INDEX('Data 2'!$L$2:$L$2198,MATCH(D199,'Data 2'!$A$2:$A$2198,0)), 0)</f>
        <v>-130.86</v>
      </c>
      <c r="F199" s="39" t="n">
        <f aca="false">IFERROR(INDEX('Data 2'!$M$2:$M$2198,MATCH(D199,'Data 2'!$A$2:$A$2198,0)), 0)</f>
        <v>-80.10125</v>
      </c>
      <c r="H199" s="36"/>
      <c r="I199" s="36"/>
      <c r="J199" s="36"/>
      <c r="K199" s="36"/>
      <c r="L199" s="36"/>
      <c r="M199" s="36"/>
      <c r="N199" s="36"/>
      <c r="O199" s="36"/>
      <c r="P199" s="34" t="s">
        <v>503</v>
      </c>
      <c r="Q199" s="39" t="n">
        <f aca="false">IFERROR(INDEX('Data 2'!$L$2:$L$2198,MATCH(P199,'Data 2'!$A$2:$A$2198,0)), 0)</f>
        <v>91.32</v>
      </c>
      <c r="R199" s="39" t="n">
        <f aca="false">IFERROR(INDEX('Data 2'!$M$2:$M$2198,MATCH(P199,'Data 2'!$A$2:$A$2198,0)), 0)</f>
        <v>88.76375</v>
      </c>
      <c r="S199" s="34" t="s">
        <v>437</v>
      </c>
      <c r="T199" s="39" t="n">
        <f aca="false">IFERROR(INDEX('Data 2'!$L$2:$L$2198,MATCH(S199,'Data 2'!$A$2:$A$2198,0)), 0)</f>
        <v>16.36</v>
      </c>
      <c r="U199" s="39" t="n">
        <f aca="false">IFERROR(INDEX('Data 2'!$M$2:$M$2198,MATCH(S199,'Data 2'!$A$2:$A$2198,0)), 0)</f>
        <v>-12.60875</v>
      </c>
      <c r="V199" s="34" t="s">
        <v>120</v>
      </c>
      <c r="W199" s="39" t="n">
        <f aca="false">IFERROR(INDEX('Data 2'!$L$2:$L$2198,MATCH(V199,'Data 2'!$A$2:$A$2198,0)), 0)</f>
        <v>112.243333333333</v>
      </c>
      <c r="X199" s="39" t="n">
        <f aca="false">IFERROR(INDEX('Data 2'!$M$2:$M$2198,MATCH(V199,'Data 2'!$A$2:$A$2198,0)), 0)</f>
        <v>24.6175</v>
      </c>
      <c r="Y199" s="37"/>
      <c r="Z199" s="37"/>
    </row>
    <row r="200" customFormat="false" ht="15.75" hidden="false" customHeight="true" outlineLevel="0" collapsed="false">
      <c r="A200" s="37"/>
      <c r="B200" s="37"/>
      <c r="C200" s="37"/>
      <c r="D200" s="34" t="s">
        <v>422</v>
      </c>
      <c r="E200" s="39" t="n">
        <f aca="false">IFERROR(INDEX('Data 2'!$L$2:$L$2198,MATCH(D200,'Data 2'!$A$2:$A$2198,0)), 0)</f>
        <v>75.28</v>
      </c>
      <c r="F200" s="39" t="n">
        <f aca="false">IFERROR(INDEX('Data 2'!$M$2:$M$2198,MATCH(D200,'Data 2'!$A$2:$A$2198,0)), 0)</f>
        <v>184.3775</v>
      </c>
      <c r="H200" s="36"/>
      <c r="I200" s="36"/>
      <c r="J200" s="36"/>
      <c r="K200" s="36"/>
      <c r="L200" s="36"/>
      <c r="M200" s="36"/>
      <c r="N200" s="36"/>
      <c r="O200" s="36"/>
      <c r="P200" s="34" t="s">
        <v>504</v>
      </c>
      <c r="Q200" s="39" t="n">
        <f aca="false">IFERROR(INDEX('Data 2'!$L$2:$L$2198,MATCH(P200,'Data 2'!$A$2:$A$2198,0)), 0)</f>
        <v>4.76666666666667</v>
      </c>
      <c r="R200" s="39" t="n">
        <f aca="false">IFERROR(INDEX('Data 2'!$M$2:$M$2198,MATCH(P200,'Data 2'!$A$2:$A$2198,0)), 0)</f>
        <v>-72.3975</v>
      </c>
      <c r="S200" s="34" t="s">
        <v>203</v>
      </c>
      <c r="T200" s="39" t="n">
        <f aca="false">IFERROR(INDEX('Data 2'!$L$2:$L$2198,MATCH(S200,'Data 2'!$A$2:$A$2198,0)), 0)</f>
        <v>17.7566666666667</v>
      </c>
      <c r="U200" s="39" t="n">
        <f aca="false">IFERROR(INDEX('Data 2'!$M$2:$M$2198,MATCH(S200,'Data 2'!$A$2:$A$2198,0)), 0)</f>
        <v>-35.11125</v>
      </c>
      <c r="V200" s="34" t="s">
        <v>442</v>
      </c>
      <c r="W200" s="39" t="n">
        <f aca="false">IFERROR(INDEX('Data 2'!$L$2:$L$2198,MATCH(V200,'Data 2'!$A$2:$A$2198,0)), 0)</f>
        <v>120.24</v>
      </c>
      <c r="X200" s="39" t="n">
        <f aca="false">IFERROR(INDEX('Data 2'!$M$2:$M$2198,MATCH(V200,'Data 2'!$A$2:$A$2198,0)), 0)</f>
        <v>101.32875</v>
      </c>
      <c r="Y200" s="37"/>
      <c r="Z200" s="37"/>
    </row>
    <row r="201" customFormat="false" ht="15.75" hidden="false" customHeight="true" outlineLevel="0" collapsed="false">
      <c r="A201" s="37"/>
      <c r="B201" s="37"/>
      <c r="C201" s="37"/>
      <c r="D201" s="34" t="s">
        <v>75</v>
      </c>
      <c r="E201" s="39" t="n">
        <f aca="false">IFERROR(INDEX('Data 2'!$L$2:$L$2198,MATCH(D201,'Data 2'!$A$2:$A$2198,0)), 0)</f>
        <v>-81.87</v>
      </c>
      <c r="F201" s="39" t="n">
        <f aca="false">IFERROR(INDEX('Data 2'!$M$2:$M$2198,MATCH(D201,'Data 2'!$A$2:$A$2198,0)), 0)</f>
        <v>-86.44</v>
      </c>
      <c r="H201" s="36"/>
      <c r="I201" s="36"/>
      <c r="J201" s="36"/>
      <c r="K201" s="36"/>
      <c r="L201" s="36"/>
      <c r="M201" s="36"/>
      <c r="N201" s="36"/>
      <c r="O201" s="36"/>
      <c r="P201" s="34" t="s">
        <v>505</v>
      </c>
      <c r="Q201" s="39" t="n">
        <f aca="false">IFERROR(INDEX('Data 2'!$L$2:$L$2198,MATCH(P201,'Data 2'!$A$2:$A$2198,0)), 0)</f>
        <v>-41.03</v>
      </c>
      <c r="R201" s="39" t="n">
        <f aca="false">IFERROR(INDEX('Data 2'!$M$2:$M$2198,MATCH(P201,'Data 2'!$A$2:$A$2198,0)), 0)</f>
        <v>-25.5475</v>
      </c>
      <c r="S201" s="34" t="s">
        <v>68</v>
      </c>
      <c r="T201" s="39" t="n">
        <f aca="false">IFERROR(INDEX('Data 2'!$L$2:$L$2198,MATCH(S201,'Data 2'!$A$2:$A$2198,0)), 0)</f>
        <v>-51.6833333333333</v>
      </c>
      <c r="U201" s="39" t="n">
        <f aca="false">IFERROR(INDEX('Data 2'!$M$2:$M$2198,MATCH(S201,'Data 2'!$A$2:$A$2198,0)), 0)</f>
        <v>-34.6575</v>
      </c>
      <c r="V201" s="34" t="s">
        <v>57</v>
      </c>
      <c r="W201" s="39" t="n">
        <f aca="false">IFERROR(INDEX('Data 2'!$L$2:$L$2198,MATCH(V201,'Data 2'!$A$2:$A$2198,0)), 0)</f>
        <v>-88.5066666666667</v>
      </c>
      <c r="X201" s="39" t="n">
        <f aca="false">IFERROR(INDEX('Data 2'!$M$2:$M$2198,MATCH(V201,'Data 2'!$A$2:$A$2198,0)), 0)</f>
        <v>29.98125</v>
      </c>
      <c r="Y201" s="37"/>
      <c r="Z201" s="37"/>
    </row>
    <row r="202" customFormat="false" ht="15.75" hidden="false" customHeight="true" outlineLevel="0" collapsed="false">
      <c r="A202" s="37"/>
      <c r="B202" s="37"/>
      <c r="C202" s="37"/>
      <c r="D202" s="34" t="s">
        <v>108</v>
      </c>
      <c r="E202" s="39" t="n">
        <f aca="false">IFERROR(INDEX('Data 2'!$L$2:$L$2198,MATCH(D202,'Data 2'!$A$2:$A$2198,0)), 0)</f>
        <v>102.713333333333</v>
      </c>
      <c r="F202" s="39" t="n">
        <f aca="false">IFERROR(INDEX('Data 2'!$M$2:$M$2198,MATCH(D202,'Data 2'!$A$2:$A$2198,0)), 0)</f>
        <v>125.28625</v>
      </c>
      <c r="H202" s="36"/>
      <c r="I202" s="36"/>
      <c r="J202" s="36"/>
      <c r="K202" s="36"/>
      <c r="L202" s="36"/>
      <c r="M202" s="36"/>
      <c r="N202" s="36"/>
      <c r="O202" s="36"/>
      <c r="P202" s="34" t="s">
        <v>506</v>
      </c>
      <c r="Q202" s="39" t="n">
        <f aca="false">IFERROR(INDEX('Data 2'!$L$2:$L$2198,MATCH(P202,'Data 2'!$A$2:$A$2198,0)), 0)</f>
        <v>-62.9866666666667</v>
      </c>
      <c r="R202" s="39" t="n">
        <f aca="false">IFERROR(INDEX('Data 2'!$M$2:$M$2198,MATCH(P202,'Data 2'!$A$2:$A$2198,0)), 0)</f>
        <v>-28.5475</v>
      </c>
      <c r="S202" s="34" t="s">
        <v>438</v>
      </c>
      <c r="T202" s="39" t="n">
        <f aca="false">IFERROR(INDEX('Data 2'!$L$2:$L$2198,MATCH(S202,'Data 2'!$A$2:$A$2198,0)), 0)</f>
        <v>-2.72</v>
      </c>
      <c r="U202" s="39" t="n">
        <f aca="false">IFERROR(INDEX('Data 2'!$M$2:$M$2198,MATCH(S202,'Data 2'!$A$2:$A$2198,0)), 0)</f>
        <v>-6.77375</v>
      </c>
      <c r="V202" s="34" t="s">
        <v>444</v>
      </c>
      <c r="W202" s="39" t="n">
        <f aca="false">IFERROR(INDEX('Data 2'!$L$2:$L$2198,MATCH(V202,'Data 2'!$A$2:$A$2198,0)), 0)</f>
        <v>-15.3433333333333</v>
      </c>
      <c r="X202" s="39" t="n">
        <f aca="false">IFERROR(INDEX('Data 2'!$M$2:$M$2198,MATCH(V202,'Data 2'!$A$2:$A$2198,0)), 0)</f>
        <v>-20.1775</v>
      </c>
      <c r="Y202" s="37"/>
      <c r="Z202" s="37"/>
    </row>
    <row r="203" customFormat="false" ht="15.75" hidden="false" customHeight="true" outlineLevel="0" collapsed="false">
      <c r="A203" s="37"/>
      <c r="B203" s="37"/>
      <c r="C203" s="37"/>
      <c r="D203" s="34" t="s">
        <v>59</v>
      </c>
      <c r="E203" s="39" t="n">
        <f aca="false">IFERROR(INDEX('Data 2'!$L$2:$L$2198,MATCH(D203,'Data 2'!$A$2:$A$2198,0)), 0)</f>
        <v>-109.336666666667</v>
      </c>
      <c r="F203" s="39" t="n">
        <f aca="false">IFERROR(INDEX('Data 2'!$M$2:$M$2198,MATCH(D203,'Data 2'!$A$2:$A$2198,0)), 0)</f>
        <v>-42.04375</v>
      </c>
      <c r="H203" s="36"/>
      <c r="I203" s="36"/>
      <c r="J203" s="36"/>
      <c r="K203" s="36"/>
      <c r="L203" s="36"/>
      <c r="M203" s="36"/>
      <c r="N203" s="36"/>
      <c r="O203" s="36"/>
      <c r="P203" s="34" t="s">
        <v>345</v>
      </c>
      <c r="Q203" s="39" t="n">
        <f aca="false">IFERROR(INDEX('Data 2'!$L$2:$L$2198,MATCH(P203,'Data 2'!$A$2:$A$2198,0)), 0)</f>
        <v>-51.8233333333333</v>
      </c>
      <c r="R203" s="39" t="n">
        <f aca="false">IFERROR(INDEX('Data 2'!$M$2:$M$2198,MATCH(P203,'Data 2'!$A$2:$A$2198,0)), 0)</f>
        <v>-63.8825</v>
      </c>
      <c r="S203" s="34" t="s">
        <v>171</v>
      </c>
      <c r="T203" s="39" t="n">
        <f aca="false">IFERROR(INDEX('Data 2'!$L$2:$L$2198,MATCH(S203,'Data 2'!$A$2:$A$2198,0)), 0)</f>
        <v>-101.27</v>
      </c>
      <c r="U203" s="39" t="n">
        <f aca="false">IFERROR(INDEX('Data 2'!$M$2:$M$2198,MATCH(S203,'Data 2'!$A$2:$A$2198,0)), 0)</f>
        <v>-52.91125</v>
      </c>
      <c r="V203" s="34" t="s">
        <v>445</v>
      </c>
      <c r="W203" s="39" t="n">
        <f aca="false">IFERROR(INDEX('Data 2'!$L$2:$L$2198,MATCH(V203,'Data 2'!$A$2:$A$2198,0)), 0)</f>
        <v>-54.98</v>
      </c>
      <c r="X203" s="39" t="n">
        <f aca="false">IFERROR(INDEX('Data 2'!$M$2:$M$2198,MATCH(V203,'Data 2'!$A$2:$A$2198,0)), 0)</f>
        <v>1.66875</v>
      </c>
      <c r="Y203" s="37"/>
      <c r="Z203" s="37"/>
    </row>
    <row r="204" customFormat="false" ht="15.75" hidden="false" customHeight="true" outlineLevel="0" collapsed="false">
      <c r="A204" s="37"/>
      <c r="B204" s="37"/>
      <c r="C204" s="37"/>
      <c r="D204" s="34" t="s">
        <v>184</v>
      </c>
      <c r="E204" s="39" t="n">
        <f aca="false">IFERROR(INDEX('Data 2'!$L$2:$L$2198,MATCH(D204,'Data 2'!$A$2:$A$2198,0)), 0)</f>
        <v>-36.83</v>
      </c>
      <c r="F204" s="39" t="n">
        <f aca="false">IFERROR(INDEX('Data 2'!$M$2:$M$2198,MATCH(D204,'Data 2'!$A$2:$A$2198,0)), 0)</f>
        <v>50.1</v>
      </c>
      <c r="H204" s="36"/>
      <c r="I204" s="36"/>
      <c r="J204" s="36"/>
      <c r="K204" s="36"/>
      <c r="L204" s="36"/>
      <c r="M204" s="36"/>
      <c r="N204" s="36"/>
      <c r="O204" s="36"/>
      <c r="P204" s="34" t="s">
        <v>507</v>
      </c>
      <c r="Q204" s="39" t="n">
        <f aca="false">IFERROR(INDEX('Data 2'!$L$2:$L$2198,MATCH(P204,'Data 2'!$A$2:$A$2198,0)), 0)</f>
        <v>-60.0266666666667</v>
      </c>
      <c r="R204" s="39" t="n">
        <f aca="false">IFERROR(INDEX('Data 2'!$M$2:$M$2198,MATCH(P204,'Data 2'!$A$2:$A$2198,0)), 0)</f>
        <v>-92.30875</v>
      </c>
      <c r="S204" s="34" t="s">
        <v>70</v>
      </c>
      <c r="T204" s="39" t="n">
        <f aca="false">IFERROR(INDEX('Data 2'!$L$2:$L$2198,MATCH(S204,'Data 2'!$A$2:$A$2198,0)), 0)</f>
        <v>-62.53</v>
      </c>
      <c r="U204" s="39" t="n">
        <f aca="false">IFERROR(INDEX('Data 2'!$M$2:$M$2198,MATCH(S204,'Data 2'!$A$2:$A$2198,0)), 0)</f>
        <v>-74.62125</v>
      </c>
      <c r="V204" s="34" t="s">
        <v>446</v>
      </c>
      <c r="W204" s="39" t="n">
        <f aca="false">IFERROR(INDEX('Data 2'!$L$2:$L$2198,MATCH(V204,'Data 2'!$A$2:$A$2198,0)), 0)</f>
        <v>-54.1333333333333</v>
      </c>
      <c r="X204" s="39" t="n">
        <f aca="false">IFERROR(INDEX('Data 2'!$M$2:$M$2198,MATCH(V204,'Data 2'!$A$2:$A$2198,0)), 0)</f>
        <v>-50.78</v>
      </c>
      <c r="Y204" s="37"/>
      <c r="Z204" s="37"/>
    </row>
    <row r="205" customFormat="false" ht="15.75" hidden="false" customHeight="true" outlineLevel="0" collapsed="false">
      <c r="A205" s="37"/>
      <c r="B205" s="37"/>
      <c r="C205" s="37"/>
      <c r="D205" s="34" t="s">
        <v>218</v>
      </c>
      <c r="E205" s="39" t="n">
        <f aca="false">IFERROR(INDEX('Data 2'!$L$2:$L$2198,MATCH(D205,'Data 2'!$A$2:$A$2198,0)), 0)</f>
        <v>-36.2733333333333</v>
      </c>
      <c r="F205" s="39" t="n">
        <f aca="false">IFERROR(INDEX('Data 2'!$M$2:$M$2198,MATCH(D205,'Data 2'!$A$2:$A$2198,0)), 0)</f>
        <v>-83.11125</v>
      </c>
      <c r="H205" s="36"/>
      <c r="I205" s="36"/>
      <c r="J205" s="36"/>
      <c r="K205" s="36"/>
      <c r="L205" s="36"/>
      <c r="M205" s="36"/>
      <c r="N205" s="36"/>
      <c r="O205" s="36"/>
      <c r="P205" s="34" t="s">
        <v>508</v>
      </c>
      <c r="Q205" s="39" t="n">
        <f aca="false">IFERROR(INDEX('Data 2'!$L$2:$L$2198,MATCH(P205,'Data 2'!$A$2:$A$2198,0)), 0)</f>
        <v>84.8066666666667</v>
      </c>
      <c r="R205" s="39" t="n">
        <f aca="false">IFERROR(INDEX('Data 2'!$M$2:$M$2198,MATCH(P205,'Data 2'!$A$2:$A$2198,0)), 0)</f>
        <v>78.8675</v>
      </c>
      <c r="S205" s="34" t="s">
        <v>101</v>
      </c>
      <c r="T205" s="39" t="n">
        <f aca="false">IFERROR(INDEX('Data 2'!$L$2:$L$2198,MATCH(S205,'Data 2'!$A$2:$A$2198,0)), 0)</f>
        <v>33.6566666666667</v>
      </c>
      <c r="U205" s="39" t="n">
        <f aca="false">IFERROR(INDEX('Data 2'!$M$2:$M$2198,MATCH(S205,'Data 2'!$A$2:$A$2198,0)), 0)</f>
        <v>42.42875</v>
      </c>
      <c r="V205" s="34" t="s">
        <v>447</v>
      </c>
      <c r="W205" s="39" t="n">
        <f aca="false">IFERROR(INDEX('Data 2'!$L$2:$L$2198,MATCH(V205,'Data 2'!$A$2:$A$2198,0)), 0)</f>
        <v>88.17</v>
      </c>
      <c r="X205" s="39" t="n">
        <f aca="false">IFERROR(INDEX('Data 2'!$M$2:$M$2198,MATCH(V205,'Data 2'!$A$2:$A$2198,0)), 0)</f>
        <v>132.67625</v>
      </c>
      <c r="Y205" s="37"/>
      <c r="Z205" s="37"/>
    </row>
    <row r="206" customFormat="false" ht="15.75" hidden="false" customHeight="true" outlineLevel="0" collapsed="false">
      <c r="A206" s="37"/>
      <c r="B206" s="37"/>
      <c r="C206" s="37"/>
      <c r="D206" s="34" t="s">
        <v>423</v>
      </c>
      <c r="E206" s="39" t="n">
        <f aca="false">IFERROR(INDEX('Data 2'!$L$2:$L$2198,MATCH(D206,'Data 2'!$A$2:$A$2198,0)), 0)</f>
        <v>-5.86</v>
      </c>
      <c r="F206" s="39" t="n">
        <f aca="false">IFERROR(INDEX('Data 2'!$M$2:$M$2198,MATCH(D206,'Data 2'!$A$2:$A$2198,0)), 0)</f>
        <v>-41.27125</v>
      </c>
      <c r="H206" s="36"/>
      <c r="I206" s="36"/>
      <c r="J206" s="36"/>
      <c r="K206" s="36"/>
      <c r="L206" s="36"/>
      <c r="M206" s="36"/>
      <c r="N206" s="36"/>
      <c r="O206" s="36"/>
      <c r="P206" s="34" t="s">
        <v>509</v>
      </c>
      <c r="Q206" s="39" t="n">
        <f aca="false">IFERROR(INDEX('Data 2'!$L$2:$L$2198,MATCH(P206,'Data 2'!$A$2:$A$2198,0)), 0)</f>
        <v>-9.76666666666667</v>
      </c>
      <c r="R206" s="39" t="n">
        <f aca="false">IFERROR(INDEX('Data 2'!$M$2:$M$2198,MATCH(P206,'Data 2'!$A$2:$A$2198,0)), 0)</f>
        <v>-28.67375</v>
      </c>
      <c r="S206" s="34" t="s">
        <v>440</v>
      </c>
      <c r="T206" s="39" t="n">
        <f aca="false">IFERROR(INDEX('Data 2'!$L$2:$L$2198,MATCH(S206,'Data 2'!$A$2:$A$2198,0)), 0)</f>
        <v>52.1666666666667</v>
      </c>
      <c r="U206" s="39" t="n">
        <f aca="false">IFERROR(INDEX('Data 2'!$M$2:$M$2198,MATCH(S206,'Data 2'!$A$2:$A$2198,0)), 0)</f>
        <v>19.395</v>
      </c>
      <c r="V206" s="34" t="s">
        <v>387</v>
      </c>
      <c r="W206" s="39" t="n">
        <f aca="false">IFERROR(INDEX('Data 2'!$L$2:$L$2198,MATCH(V206,'Data 2'!$A$2:$A$2198,0)), 0)</f>
        <v>-56.72</v>
      </c>
      <c r="X206" s="39" t="n">
        <f aca="false">IFERROR(INDEX('Data 2'!$M$2:$M$2198,MATCH(V206,'Data 2'!$A$2:$A$2198,0)), 0)</f>
        <v>-9.8875</v>
      </c>
      <c r="Y206" s="37"/>
      <c r="Z206" s="37"/>
    </row>
    <row r="207" customFormat="false" ht="15.75" hidden="false" customHeight="true" outlineLevel="0" collapsed="false">
      <c r="A207" s="37"/>
      <c r="B207" s="37"/>
      <c r="C207" s="37"/>
      <c r="D207" s="34" t="s">
        <v>128</v>
      </c>
      <c r="E207" s="39" t="n">
        <f aca="false">IFERROR(INDEX('Data 2'!$L$2:$L$2198,MATCH(D207,'Data 2'!$A$2:$A$2198,0)), 0)</f>
        <v>-37.3533333333333</v>
      </c>
      <c r="F207" s="39" t="n">
        <f aca="false">IFERROR(INDEX('Data 2'!$M$2:$M$2198,MATCH(D207,'Data 2'!$A$2:$A$2198,0)), 0)</f>
        <v>14.06125</v>
      </c>
      <c r="H207" s="36"/>
      <c r="I207" s="36"/>
      <c r="J207" s="36"/>
      <c r="K207" s="36"/>
      <c r="L207" s="36"/>
      <c r="M207" s="36"/>
      <c r="N207" s="36"/>
      <c r="O207" s="36"/>
      <c r="P207" s="34" t="s">
        <v>510</v>
      </c>
      <c r="Q207" s="39" t="n">
        <f aca="false">IFERROR(INDEX('Data 2'!$L$2:$L$2198,MATCH(P207,'Data 2'!$A$2:$A$2198,0)), 0)</f>
        <v>32.1466666666667</v>
      </c>
      <c r="R207" s="39" t="n">
        <f aca="false">IFERROR(INDEX('Data 2'!$M$2:$M$2198,MATCH(P207,'Data 2'!$A$2:$A$2198,0)), 0)</f>
        <v>-66.8475</v>
      </c>
      <c r="S207" s="34" t="s">
        <v>250</v>
      </c>
      <c r="T207" s="39" t="n">
        <f aca="false">IFERROR(INDEX('Data 2'!$L$2:$L$2198,MATCH(S207,'Data 2'!$A$2:$A$2198,0)), 0)</f>
        <v>9.18333333333334</v>
      </c>
      <c r="U207" s="39" t="n">
        <f aca="false">IFERROR(INDEX('Data 2'!$M$2:$M$2198,MATCH(S207,'Data 2'!$A$2:$A$2198,0)), 0)</f>
        <v>-48.7</v>
      </c>
      <c r="V207" s="34" t="s">
        <v>449</v>
      </c>
      <c r="W207" s="39" t="n">
        <f aca="false">IFERROR(INDEX('Data 2'!$L$2:$L$2198,MATCH(V207,'Data 2'!$A$2:$A$2198,0)), 0)</f>
        <v>-40.0866666666667</v>
      </c>
      <c r="X207" s="39" t="n">
        <f aca="false">IFERROR(INDEX('Data 2'!$M$2:$M$2198,MATCH(V207,'Data 2'!$A$2:$A$2198,0)), 0)</f>
        <v>-7.62625</v>
      </c>
      <c r="Y207" s="37"/>
      <c r="Z207" s="37"/>
    </row>
    <row r="208" customFormat="false" ht="15.75" hidden="false" customHeight="true" outlineLevel="0" collapsed="false">
      <c r="A208" s="37"/>
      <c r="B208" s="37"/>
      <c r="C208" s="37"/>
      <c r="D208" s="34" t="s">
        <v>139</v>
      </c>
      <c r="E208" s="39" t="n">
        <f aca="false">IFERROR(INDEX('Data 2'!$L$2:$L$2198,MATCH(D208,'Data 2'!$A$2:$A$2198,0)), 0)</f>
        <v>-42.98</v>
      </c>
      <c r="F208" s="39" t="n">
        <f aca="false">IFERROR(INDEX('Data 2'!$M$2:$M$2198,MATCH(D208,'Data 2'!$A$2:$A$2198,0)), 0)</f>
        <v>115.09875</v>
      </c>
      <c r="H208" s="36"/>
      <c r="I208" s="36"/>
      <c r="J208" s="36"/>
      <c r="K208" s="36"/>
      <c r="L208" s="36"/>
      <c r="M208" s="36"/>
      <c r="N208" s="36"/>
      <c r="O208" s="36"/>
      <c r="P208" s="34" t="s">
        <v>511</v>
      </c>
      <c r="Q208" s="39" t="n">
        <f aca="false">IFERROR(INDEX('Data 2'!$L$2:$L$2198,MATCH(P208,'Data 2'!$A$2:$A$2198,0)), 0)</f>
        <v>24.9133333333333</v>
      </c>
      <c r="R208" s="39" t="n">
        <f aca="false">IFERROR(INDEX('Data 2'!$M$2:$M$2198,MATCH(P208,'Data 2'!$A$2:$A$2198,0)), 0)</f>
        <v>33.0525</v>
      </c>
      <c r="S208" s="34" t="s">
        <v>443</v>
      </c>
      <c r="T208" s="39" t="n">
        <f aca="false">IFERROR(INDEX('Data 2'!$L$2:$L$2198,MATCH(S208,'Data 2'!$A$2:$A$2198,0)), 0)</f>
        <v>46.7233333333333</v>
      </c>
      <c r="U208" s="39" t="n">
        <f aca="false">IFERROR(INDEX('Data 2'!$M$2:$M$2198,MATCH(S208,'Data 2'!$A$2:$A$2198,0)), 0)</f>
        <v>48.77625</v>
      </c>
      <c r="V208" s="34" t="s">
        <v>450</v>
      </c>
      <c r="W208" s="39" t="n">
        <f aca="false">IFERROR(INDEX('Data 2'!$L$2:$L$2198,MATCH(V208,'Data 2'!$A$2:$A$2198,0)), 0)</f>
        <v>-96.1166666666667</v>
      </c>
      <c r="X208" s="39" t="n">
        <f aca="false">IFERROR(INDEX('Data 2'!$M$2:$M$2198,MATCH(V208,'Data 2'!$A$2:$A$2198,0)), 0)</f>
        <v>-51.55125</v>
      </c>
      <c r="Y208" s="37"/>
      <c r="Z208" s="37"/>
    </row>
    <row r="209" customFormat="false" ht="15.75" hidden="false" customHeight="true" outlineLevel="0" collapsed="false">
      <c r="A209" s="37"/>
      <c r="B209" s="37"/>
      <c r="C209" s="37"/>
      <c r="D209" s="34" t="s">
        <v>424</v>
      </c>
      <c r="E209" s="39" t="n">
        <f aca="false">IFERROR(INDEX('Data 2'!$L$2:$L$2198,MATCH(D209,'Data 2'!$A$2:$A$2198,0)), 0)</f>
        <v>-58.9533333333333</v>
      </c>
      <c r="F209" s="39" t="n">
        <f aca="false">IFERROR(INDEX('Data 2'!$M$2:$M$2198,MATCH(D209,'Data 2'!$A$2:$A$2198,0)), 0)</f>
        <v>-29.48875</v>
      </c>
      <c r="H209" s="36"/>
      <c r="I209" s="36"/>
      <c r="J209" s="36"/>
      <c r="K209" s="36"/>
      <c r="L209" s="36"/>
      <c r="M209" s="36"/>
      <c r="N209" s="36"/>
      <c r="O209" s="36"/>
      <c r="P209" s="34" t="s">
        <v>512</v>
      </c>
      <c r="Q209" s="39" t="n">
        <f aca="false">IFERROR(INDEX('Data 2'!$L$2:$L$2198,MATCH(P209,'Data 2'!$A$2:$A$2198,0)), 0)</f>
        <v>98.17</v>
      </c>
      <c r="R209" s="39" t="n">
        <f aca="false">IFERROR(INDEX('Data 2'!$M$2:$M$2198,MATCH(P209,'Data 2'!$A$2:$A$2198,0)), 0)</f>
        <v>12.10125</v>
      </c>
      <c r="S209" s="34" t="s">
        <v>159</v>
      </c>
      <c r="T209" s="39" t="n">
        <f aca="false">IFERROR(INDEX('Data 2'!$L$2:$L$2198,MATCH(S209,'Data 2'!$A$2:$A$2198,0)), 0)</f>
        <v>-78.66</v>
      </c>
      <c r="U209" s="39" t="n">
        <f aca="false">IFERROR(INDEX('Data 2'!$M$2:$M$2198,MATCH(S209,'Data 2'!$A$2:$A$2198,0)), 0)</f>
        <v>13.455</v>
      </c>
      <c r="V209" s="34" t="s">
        <v>451</v>
      </c>
      <c r="W209" s="39" t="n">
        <f aca="false">IFERROR(INDEX('Data 2'!$L$2:$L$2198,MATCH(V209,'Data 2'!$A$2:$A$2198,0)), 0)</f>
        <v>-47.03</v>
      </c>
      <c r="X209" s="39" t="n">
        <f aca="false">IFERROR(INDEX('Data 2'!$M$2:$M$2198,MATCH(V209,'Data 2'!$A$2:$A$2198,0)), 0)</f>
        <v>-82.5075</v>
      </c>
      <c r="Y209" s="37"/>
      <c r="Z209" s="37"/>
    </row>
    <row r="210" customFormat="false" ht="15.75" hidden="false" customHeight="true" outlineLevel="0" collapsed="false">
      <c r="A210" s="37"/>
      <c r="B210" s="37"/>
      <c r="C210" s="37"/>
      <c r="D210" s="34" t="s">
        <v>72</v>
      </c>
      <c r="E210" s="39" t="n">
        <f aca="false">IFERROR(INDEX('Data 2'!$L$2:$L$2198,MATCH(D210,'Data 2'!$A$2:$A$2198,0)), 0)</f>
        <v>-5.29333333333333</v>
      </c>
      <c r="F210" s="39" t="n">
        <f aca="false">IFERROR(INDEX('Data 2'!$M$2:$M$2198,MATCH(D210,'Data 2'!$A$2:$A$2198,0)), 0)</f>
        <v>70.68875</v>
      </c>
      <c r="H210" s="36"/>
      <c r="I210" s="36"/>
      <c r="J210" s="36"/>
      <c r="K210" s="36"/>
      <c r="L210" s="36"/>
      <c r="M210" s="36"/>
      <c r="N210" s="36"/>
      <c r="O210" s="36"/>
      <c r="P210" s="34" t="s">
        <v>513</v>
      </c>
      <c r="Q210" s="39" t="n">
        <f aca="false">IFERROR(INDEX('Data 2'!$L$2:$L$2198,MATCH(P210,'Data 2'!$A$2:$A$2198,0)), 0)</f>
        <v>52.62</v>
      </c>
      <c r="R210" s="39" t="n">
        <f aca="false">IFERROR(INDEX('Data 2'!$M$2:$M$2198,MATCH(P210,'Data 2'!$A$2:$A$2198,0)), 0)</f>
        <v>39.85375</v>
      </c>
      <c r="S210" s="34" t="s">
        <v>88</v>
      </c>
      <c r="T210" s="39" t="n">
        <f aca="false">IFERROR(INDEX('Data 2'!$L$2:$L$2198,MATCH(S210,'Data 2'!$A$2:$A$2198,0)), 0)</f>
        <v>-68.9233333333333</v>
      </c>
      <c r="U210" s="39" t="n">
        <f aca="false">IFERROR(INDEX('Data 2'!$M$2:$M$2198,MATCH(S210,'Data 2'!$A$2:$A$2198,0)), 0)</f>
        <v>-49.989</v>
      </c>
      <c r="V210" s="34" t="s">
        <v>239</v>
      </c>
      <c r="W210" s="39" t="n">
        <f aca="false">IFERROR(INDEX('Data 2'!$L$2:$L$2198,MATCH(V210,'Data 2'!$A$2:$A$2198,0)), 0)</f>
        <v>28.43</v>
      </c>
      <c r="X210" s="39" t="n">
        <f aca="false">IFERROR(INDEX('Data 2'!$M$2:$M$2198,MATCH(V210,'Data 2'!$A$2:$A$2198,0)), 0)</f>
        <v>133.5325</v>
      </c>
      <c r="Y210" s="37"/>
      <c r="Z210" s="37"/>
    </row>
    <row r="211" customFormat="false" ht="15.75" hidden="false" customHeight="true" outlineLevel="0" collapsed="false">
      <c r="A211" s="37"/>
      <c r="B211" s="37"/>
      <c r="C211" s="37"/>
      <c r="D211" s="34" t="s">
        <v>192</v>
      </c>
      <c r="E211" s="39" t="n">
        <f aca="false">IFERROR(INDEX('Data 2'!$L$2:$L$2198,MATCH(D211,'Data 2'!$A$2:$A$2198,0)), 0)</f>
        <v>29.87</v>
      </c>
      <c r="F211" s="39" t="n">
        <f aca="false">IFERROR(INDEX('Data 2'!$M$2:$M$2198,MATCH(D211,'Data 2'!$A$2:$A$2198,0)), 0)</f>
        <v>-15.08125</v>
      </c>
      <c r="H211" s="36"/>
      <c r="I211" s="36"/>
      <c r="J211" s="36"/>
      <c r="K211" s="36"/>
      <c r="L211" s="36"/>
      <c r="M211" s="36"/>
      <c r="N211" s="36"/>
      <c r="O211" s="36"/>
      <c r="P211" s="34" t="s">
        <v>514</v>
      </c>
      <c r="Q211" s="39" t="n">
        <f aca="false">IFERROR(INDEX('Data 2'!$L$2:$L$2198,MATCH(P211,'Data 2'!$A$2:$A$2198,0)), 0)</f>
        <v>83.5033333333333</v>
      </c>
      <c r="R211" s="39" t="n">
        <f aca="false">IFERROR(INDEX('Data 2'!$M$2:$M$2198,MATCH(P211,'Data 2'!$A$2:$A$2198,0)), 0)</f>
        <v>58.2325</v>
      </c>
      <c r="S211" s="34" t="s">
        <v>82</v>
      </c>
      <c r="T211" s="39" t="n">
        <f aca="false">IFERROR(INDEX('Data 2'!$L$2:$L$2198,MATCH(S211,'Data 2'!$A$2:$A$2198,0)), 0)</f>
        <v>82.12</v>
      </c>
      <c r="U211" s="39" t="n">
        <f aca="false">IFERROR(INDEX('Data 2'!$M$2:$M$2198,MATCH(S211,'Data 2'!$A$2:$A$2198,0)), 0)</f>
        <v>-13.0425</v>
      </c>
      <c r="V211" s="34" t="s">
        <v>145</v>
      </c>
      <c r="W211" s="39" t="n">
        <f aca="false">IFERROR(INDEX('Data 2'!$L$2:$L$2198,MATCH(V211,'Data 2'!$A$2:$A$2198,0)), 0)</f>
        <v>-114.863333333333</v>
      </c>
      <c r="X211" s="39" t="n">
        <f aca="false">IFERROR(INDEX('Data 2'!$M$2:$M$2198,MATCH(V211,'Data 2'!$A$2:$A$2198,0)), 0)</f>
        <v>-129.15875</v>
      </c>
      <c r="Y211" s="37"/>
      <c r="Z211" s="37"/>
    </row>
    <row r="212" customFormat="false" ht="15.75" hidden="false" customHeight="true" outlineLevel="0" collapsed="false">
      <c r="A212" s="37"/>
      <c r="B212" s="37"/>
      <c r="C212" s="37"/>
      <c r="D212" s="34" t="s">
        <v>41</v>
      </c>
      <c r="E212" s="39" t="n">
        <f aca="false">IFERROR(INDEX('Data 2'!$L$2:$L$2198,MATCH(D212,'Data 2'!$A$2:$A$2198,0)), 0)</f>
        <v>-94.76</v>
      </c>
      <c r="F212" s="39" t="n">
        <f aca="false">IFERROR(INDEX('Data 2'!$M$2:$M$2198,MATCH(D212,'Data 2'!$A$2:$A$2198,0)), 0)</f>
        <v>-63.075</v>
      </c>
      <c r="H212" s="36"/>
      <c r="I212" s="36"/>
      <c r="J212" s="36"/>
      <c r="K212" s="36"/>
      <c r="L212" s="36"/>
      <c r="M212" s="36"/>
      <c r="N212" s="36"/>
      <c r="O212" s="36"/>
      <c r="P212" s="34" t="s">
        <v>515</v>
      </c>
      <c r="Q212" s="39" t="n">
        <f aca="false">IFERROR(INDEX('Data 2'!$L$2:$L$2198,MATCH(P212,'Data 2'!$A$2:$A$2198,0)), 0)</f>
        <v>-31.2733333333333</v>
      </c>
      <c r="R212" s="39" t="n">
        <f aca="false">IFERROR(INDEX('Data 2'!$M$2:$M$2198,MATCH(P212,'Data 2'!$A$2:$A$2198,0)), 0)</f>
        <v>-57.23375</v>
      </c>
      <c r="S212" s="34" t="s">
        <v>35</v>
      </c>
      <c r="T212" s="39" t="n">
        <f aca="false">IFERROR(INDEX('Data 2'!$L$2:$L$2198,MATCH(S212,'Data 2'!$A$2:$A$2198,0)), 0)</f>
        <v>-57.4266666666667</v>
      </c>
      <c r="U212" s="39" t="n">
        <f aca="false">IFERROR(INDEX('Data 2'!$M$2:$M$2198,MATCH(S212,'Data 2'!$A$2:$A$2198,0)), 0)</f>
        <v>-56.64375</v>
      </c>
      <c r="V212" s="34" t="s">
        <v>452</v>
      </c>
      <c r="W212" s="39" t="n">
        <f aca="false">IFERROR(INDEX('Data 2'!$L$2:$L$2198,MATCH(V212,'Data 2'!$A$2:$A$2198,0)), 0)</f>
        <v>101.916666666667</v>
      </c>
      <c r="X212" s="39" t="n">
        <f aca="false">IFERROR(INDEX('Data 2'!$M$2:$M$2198,MATCH(V212,'Data 2'!$A$2:$A$2198,0)), 0)</f>
        <v>21.2375</v>
      </c>
      <c r="Y212" s="37"/>
      <c r="Z212" s="37"/>
    </row>
    <row r="213" customFormat="false" ht="15.75" hidden="false" customHeight="true" outlineLevel="0" collapsed="false">
      <c r="A213" s="37"/>
      <c r="B213" s="37"/>
      <c r="C213" s="37"/>
      <c r="D213" s="34" t="s">
        <v>193</v>
      </c>
      <c r="E213" s="39" t="n">
        <f aca="false">IFERROR(INDEX('Data 2'!$L$2:$L$2198,MATCH(D213,'Data 2'!$A$2:$A$2198,0)), 0)</f>
        <v>-91.0833333333333</v>
      </c>
      <c r="F213" s="39" t="n">
        <f aca="false">IFERROR(INDEX('Data 2'!$M$2:$M$2198,MATCH(D213,'Data 2'!$A$2:$A$2198,0)), 0)</f>
        <v>-69.4225</v>
      </c>
      <c r="H213" s="36"/>
      <c r="I213" s="36"/>
      <c r="J213" s="36"/>
      <c r="K213" s="36"/>
      <c r="L213" s="36"/>
      <c r="M213" s="36"/>
      <c r="N213" s="36"/>
      <c r="O213" s="36"/>
      <c r="P213" s="34" t="s">
        <v>516</v>
      </c>
      <c r="Q213" s="39" t="n">
        <f aca="false">IFERROR(INDEX('Data 2'!$L$2:$L$2198,MATCH(P213,'Data 2'!$A$2:$A$2198,0)), 0)</f>
        <v>-103.306666666667</v>
      </c>
      <c r="R213" s="39" t="n">
        <f aca="false">IFERROR(INDEX('Data 2'!$M$2:$M$2198,MATCH(P213,'Data 2'!$A$2:$A$2198,0)), 0)</f>
        <v>4.01125000000001</v>
      </c>
      <c r="S213" s="34" t="s">
        <v>339</v>
      </c>
      <c r="T213" s="39" t="n">
        <f aca="false">IFERROR(INDEX('Data 2'!$L$2:$L$2198,MATCH(S213,'Data 2'!$A$2:$A$2198,0)), 0)</f>
        <v>90.8533333333333</v>
      </c>
      <c r="U213" s="39" t="n">
        <f aca="false">IFERROR(INDEX('Data 2'!$M$2:$M$2198,MATCH(S213,'Data 2'!$A$2:$A$2198,0)), 0)</f>
        <v>97.425</v>
      </c>
      <c r="V213" s="34" t="s">
        <v>453</v>
      </c>
      <c r="W213" s="39" t="n">
        <f aca="false">IFERROR(INDEX('Data 2'!$L$2:$L$2198,MATCH(V213,'Data 2'!$A$2:$A$2198,0)), 0)</f>
        <v>3.96666666666667</v>
      </c>
      <c r="X213" s="39" t="n">
        <f aca="false">IFERROR(INDEX('Data 2'!$M$2:$M$2198,MATCH(V213,'Data 2'!$A$2:$A$2198,0)), 0)</f>
        <v>-20.91125</v>
      </c>
      <c r="Y213" s="37"/>
      <c r="Z213" s="37"/>
    </row>
    <row r="214" customFormat="false" ht="15.75" hidden="false" customHeight="true" outlineLevel="0" collapsed="false">
      <c r="A214" s="37"/>
      <c r="B214" s="37"/>
      <c r="C214" s="37"/>
      <c r="D214" s="34" t="s">
        <v>187</v>
      </c>
      <c r="E214" s="39" t="n">
        <f aca="false">IFERROR(INDEX('Data 2'!$L$2:$L$2198,MATCH(D214,'Data 2'!$A$2:$A$2198,0)), 0)</f>
        <v>13.29</v>
      </c>
      <c r="F214" s="39" t="n">
        <f aca="false">IFERROR(INDEX('Data 2'!$M$2:$M$2198,MATCH(D214,'Data 2'!$A$2:$A$2198,0)), 0)</f>
        <v>128.03375</v>
      </c>
      <c r="H214" s="36"/>
      <c r="I214" s="36"/>
      <c r="J214" s="36"/>
      <c r="K214" s="36"/>
      <c r="L214" s="36"/>
      <c r="M214" s="36"/>
      <c r="N214" s="36"/>
      <c r="O214" s="36"/>
      <c r="P214" s="34" t="s">
        <v>517</v>
      </c>
      <c r="Q214" s="39" t="n">
        <f aca="false">IFERROR(INDEX('Data 2'!$L$2:$L$2198,MATCH(P214,'Data 2'!$A$2:$A$2198,0)), 0)</f>
        <v>22.1133333333333</v>
      </c>
      <c r="R214" s="39" t="n">
        <f aca="false">IFERROR(INDEX('Data 2'!$M$2:$M$2198,MATCH(P214,'Data 2'!$A$2:$A$2198,0)), 0)</f>
        <v>-37.34</v>
      </c>
      <c r="S214" s="34" t="s">
        <v>448</v>
      </c>
      <c r="T214" s="39" t="n">
        <f aca="false">IFERROR(INDEX('Data 2'!$L$2:$L$2198,MATCH(S214,'Data 2'!$A$2:$A$2198,0)), 0)</f>
        <v>37.61</v>
      </c>
      <c r="U214" s="39" t="n">
        <f aca="false">IFERROR(INDEX('Data 2'!$M$2:$M$2198,MATCH(S214,'Data 2'!$A$2:$A$2198,0)), 0)</f>
        <v>25.8375</v>
      </c>
      <c r="V214" s="34" t="s">
        <v>454</v>
      </c>
      <c r="W214" s="39" t="n">
        <f aca="false">IFERROR(INDEX('Data 2'!$L$2:$L$2198,MATCH(V214,'Data 2'!$A$2:$A$2198,0)), 0)</f>
        <v>21.0366666666667</v>
      </c>
      <c r="X214" s="39" t="n">
        <f aca="false">IFERROR(INDEX('Data 2'!$M$2:$M$2198,MATCH(V214,'Data 2'!$A$2:$A$2198,0)), 0)</f>
        <v>-31.0125</v>
      </c>
      <c r="Y214" s="37"/>
      <c r="Z214" s="37"/>
    </row>
    <row r="215" customFormat="false" ht="15.75" hidden="false" customHeight="true" outlineLevel="0" collapsed="false">
      <c r="A215" s="37"/>
      <c r="B215" s="37"/>
      <c r="C215" s="37"/>
      <c r="D215" s="34" t="s">
        <v>371</v>
      </c>
      <c r="E215" s="39" t="n">
        <f aca="false">IFERROR(INDEX('Data 2'!$L$2:$L$2198,MATCH(D215,'Data 2'!$A$2:$A$2198,0)), 0)</f>
        <v>-62.21</v>
      </c>
      <c r="F215" s="39" t="n">
        <f aca="false">IFERROR(INDEX('Data 2'!$M$2:$M$2198,MATCH(D215,'Data 2'!$A$2:$A$2198,0)), 0)</f>
        <v>-59.4625</v>
      </c>
      <c r="H215" s="36"/>
      <c r="I215" s="36"/>
      <c r="J215" s="36"/>
      <c r="K215" s="36"/>
      <c r="L215" s="36"/>
      <c r="M215" s="36"/>
      <c r="N215" s="36"/>
      <c r="O215" s="36"/>
      <c r="P215" s="34" t="s">
        <v>518</v>
      </c>
      <c r="Q215" s="39" t="n">
        <f aca="false">IFERROR(INDEX('Data 2'!$L$2:$L$2198,MATCH(P215,'Data 2'!$A$2:$A$2198,0)), 0)</f>
        <v>-94.6033333333333</v>
      </c>
      <c r="R215" s="39" t="n">
        <f aca="false">IFERROR(INDEX('Data 2'!$M$2:$M$2198,MATCH(P215,'Data 2'!$A$2:$A$2198,0)), 0)</f>
        <v>-44.4525</v>
      </c>
      <c r="S215" s="34" t="s">
        <v>226</v>
      </c>
      <c r="T215" s="39" t="n">
        <f aca="false">IFERROR(INDEX('Data 2'!$L$2:$L$2198,MATCH(S215,'Data 2'!$A$2:$A$2198,0)), 0)</f>
        <v>96.33</v>
      </c>
      <c r="U215" s="39" t="n">
        <f aca="false">IFERROR(INDEX('Data 2'!$M$2:$M$2198,MATCH(S215,'Data 2'!$A$2:$A$2198,0)), 0)</f>
        <v>132.71</v>
      </c>
      <c r="V215" s="34" t="s">
        <v>455</v>
      </c>
      <c r="W215" s="39" t="n">
        <f aca="false">IFERROR(INDEX('Data 2'!$L$2:$L$2198,MATCH(V215,'Data 2'!$A$2:$A$2198,0)), 0)</f>
        <v>-26.83</v>
      </c>
      <c r="X215" s="39" t="n">
        <f aca="false">IFERROR(INDEX('Data 2'!$M$2:$M$2198,MATCH(V215,'Data 2'!$A$2:$A$2198,0)), 0)</f>
        <v>-61.3225</v>
      </c>
      <c r="Y215" s="37"/>
      <c r="Z215" s="37"/>
    </row>
    <row r="216" customFormat="false" ht="15.75" hidden="false" customHeight="true" outlineLevel="0" collapsed="false">
      <c r="A216" s="37"/>
      <c r="B216" s="37"/>
      <c r="C216" s="37"/>
      <c r="D216" s="34" t="s">
        <v>372</v>
      </c>
      <c r="E216" s="39" t="n">
        <f aca="false">IFERROR(INDEX('Data 2'!$L$2:$L$2198,MATCH(D216,'Data 2'!$A$2:$A$2198,0)), 0)</f>
        <v>-36.98</v>
      </c>
      <c r="F216" s="39" t="n">
        <f aca="false">IFERROR(INDEX('Data 2'!$M$2:$M$2198,MATCH(D216,'Data 2'!$A$2:$A$2198,0)), 0)</f>
        <v>20.765</v>
      </c>
      <c r="H216" s="36"/>
      <c r="I216" s="36"/>
      <c r="J216" s="36"/>
      <c r="K216" s="36"/>
      <c r="L216" s="36"/>
      <c r="M216" s="36"/>
      <c r="N216" s="36"/>
      <c r="O216" s="36"/>
      <c r="P216" s="34" t="s">
        <v>348</v>
      </c>
      <c r="Q216" s="39" t="n">
        <f aca="false">IFERROR(INDEX('Data 2'!$L$2:$L$2198,MATCH(P216,'Data 2'!$A$2:$A$2198,0)), 0)</f>
        <v>20.5233333333333</v>
      </c>
      <c r="R216" s="39" t="n">
        <f aca="false">IFERROR(INDEX('Data 2'!$M$2:$M$2198,MATCH(P216,'Data 2'!$A$2:$A$2198,0)), 0)</f>
        <v>-26.33625</v>
      </c>
      <c r="S216" s="34" t="s">
        <v>344</v>
      </c>
      <c r="T216" s="39" t="n">
        <f aca="false">IFERROR(INDEX('Data 2'!$L$2:$L$2198,MATCH(S216,'Data 2'!$A$2:$A$2198,0)), 0)</f>
        <v>-74.62</v>
      </c>
      <c r="U216" s="39" t="n">
        <f aca="false">IFERROR(INDEX('Data 2'!$M$2:$M$2198,MATCH(S216,'Data 2'!$A$2:$A$2198,0)), 0)</f>
        <v>-85.1225</v>
      </c>
      <c r="V216" s="34" t="s">
        <v>457</v>
      </c>
      <c r="W216" s="39" t="n">
        <f aca="false">IFERROR(INDEX('Data 2'!$L$2:$L$2198,MATCH(V216,'Data 2'!$A$2:$A$2198,0)), 0)</f>
        <v>-15.7133333333333</v>
      </c>
      <c r="X216" s="39" t="n">
        <f aca="false">IFERROR(INDEX('Data 2'!$M$2:$M$2198,MATCH(V216,'Data 2'!$A$2:$A$2198,0)), 0)</f>
        <v>-10.79125</v>
      </c>
      <c r="Y216" s="37"/>
      <c r="Z216" s="37"/>
    </row>
    <row r="217" customFormat="false" ht="15.75" hidden="false" customHeight="true" outlineLevel="0" collapsed="false">
      <c r="A217" s="37"/>
      <c r="B217" s="37"/>
      <c r="C217" s="37"/>
      <c r="D217" s="34" t="s">
        <v>426</v>
      </c>
      <c r="E217" s="39" t="n">
        <f aca="false">IFERROR(INDEX('Data 2'!$L$2:$L$2198,MATCH(D217,'Data 2'!$A$2:$A$2198,0)), 0)</f>
        <v>119.12</v>
      </c>
      <c r="F217" s="39" t="n">
        <f aca="false">IFERROR(INDEX('Data 2'!$M$2:$M$2198,MATCH(D217,'Data 2'!$A$2:$A$2198,0)), 0)</f>
        <v>60.6625</v>
      </c>
      <c r="H217" s="36"/>
      <c r="I217" s="36"/>
      <c r="J217" s="36"/>
      <c r="K217" s="36"/>
      <c r="L217" s="36"/>
      <c r="M217" s="36"/>
      <c r="N217" s="36"/>
      <c r="O217" s="36"/>
      <c r="P217" s="34" t="s">
        <v>519</v>
      </c>
      <c r="Q217" s="39" t="n">
        <f aca="false">IFERROR(INDEX('Data 2'!$L$2:$L$2198,MATCH(P217,'Data 2'!$A$2:$A$2198,0)), 0)</f>
        <v>24.21</v>
      </c>
      <c r="R217" s="39" t="n">
        <f aca="false">IFERROR(INDEX('Data 2'!$M$2:$M$2198,MATCH(P217,'Data 2'!$A$2:$A$2198,0)), 0)</f>
        <v>-18.78</v>
      </c>
      <c r="S217" s="34" t="s">
        <v>51</v>
      </c>
      <c r="T217" s="39" t="n">
        <f aca="false">IFERROR(INDEX('Data 2'!$L$2:$L$2198,MATCH(S217,'Data 2'!$A$2:$A$2198,0)), 0)</f>
        <v>-35.4266666666667</v>
      </c>
      <c r="U217" s="39" t="n">
        <f aca="false">IFERROR(INDEX('Data 2'!$M$2:$M$2198,MATCH(S217,'Data 2'!$A$2:$A$2198,0)), 0)</f>
        <v>-8.76</v>
      </c>
      <c r="V217" s="34" t="s">
        <v>459</v>
      </c>
      <c r="W217" s="39" t="n">
        <f aca="false">IFERROR(INDEX('Data 2'!$L$2:$L$2198,MATCH(V217,'Data 2'!$A$2:$A$2198,0)), 0)</f>
        <v>17.3833333333333</v>
      </c>
      <c r="X217" s="39" t="n">
        <f aca="false">IFERROR(INDEX('Data 2'!$M$2:$M$2198,MATCH(V217,'Data 2'!$A$2:$A$2198,0)), 0)</f>
        <v>-49.76375</v>
      </c>
      <c r="Y217" s="37"/>
      <c r="Z217" s="37"/>
    </row>
    <row r="218" customFormat="false" ht="15.75" hidden="false" customHeight="true" outlineLevel="0" collapsed="false">
      <c r="A218" s="37"/>
      <c r="B218" s="37"/>
      <c r="C218" s="37"/>
      <c r="D218" s="34" t="s">
        <v>427</v>
      </c>
      <c r="E218" s="39" t="n">
        <f aca="false">IFERROR(INDEX('Data 2'!$L$2:$L$2198,MATCH(D218,'Data 2'!$A$2:$A$2198,0)), 0)</f>
        <v>89.0733333333333</v>
      </c>
      <c r="F218" s="39" t="n">
        <f aca="false">IFERROR(INDEX('Data 2'!$M$2:$M$2198,MATCH(D218,'Data 2'!$A$2:$A$2198,0)), 0)</f>
        <v>81.06875</v>
      </c>
      <c r="H218" s="36"/>
      <c r="I218" s="36"/>
      <c r="J218" s="36"/>
      <c r="K218" s="36"/>
      <c r="L218" s="36"/>
      <c r="M218" s="36"/>
      <c r="N218" s="36"/>
      <c r="O218" s="36"/>
      <c r="P218" s="34" t="s">
        <v>520</v>
      </c>
      <c r="Q218" s="39" t="n">
        <f aca="false">IFERROR(INDEX('Data 2'!$L$2:$L$2198,MATCH(P218,'Data 2'!$A$2:$A$2198,0)), 0)</f>
        <v>101.95</v>
      </c>
      <c r="R218" s="39" t="n">
        <f aca="false">IFERROR(INDEX('Data 2'!$M$2:$M$2198,MATCH(P218,'Data 2'!$A$2:$A$2198,0)), 0)</f>
        <v>93.65125</v>
      </c>
      <c r="S218" s="34" t="s">
        <v>78</v>
      </c>
      <c r="T218" s="39" t="n">
        <f aca="false">IFERROR(INDEX('Data 2'!$L$2:$L$2198,MATCH(S218,'Data 2'!$A$2:$A$2198,0)), 0)</f>
        <v>83.9733333333333</v>
      </c>
      <c r="U218" s="39" t="n">
        <f aca="false">IFERROR(INDEX('Data 2'!$M$2:$M$2198,MATCH(S218,'Data 2'!$A$2:$A$2198,0)), 0)</f>
        <v>181.065</v>
      </c>
      <c r="V218" s="34" t="s">
        <v>391</v>
      </c>
      <c r="W218" s="39" t="n">
        <f aca="false">IFERROR(INDEX('Data 2'!$L$2:$L$2198,MATCH(V218,'Data 2'!$A$2:$A$2198,0)), 0)</f>
        <v>78.85</v>
      </c>
      <c r="X218" s="39" t="n">
        <f aca="false">IFERROR(INDEX('Data 2'!$M$2:$M$2198,MATCH(V218,'Data 2'!$A$2:$A$2198,0)), 0)</f>
        <v>-7.79</v>
      </c>
      <c r="Y218" s="37"/>
      <c r="Z218" s="37"/>
    </row>
    <row r="219" customFormat="false" ht="15.75" hidden="false" customHeight="true" outlineLevel="0" collapsed="false">
      <c r="A219" s="37"/>
      <c r="B219" s="37"/>
      <c r="C219" s="37"/>
      <c r="D219" s="34" t="s">
        <v>374</v>
      </c>
      <c r="E219" s="39" t="n">
        <f aca="false">IFERROR(INDEX('Data 2'!$L$2:$L$2198,MATCH(D219,'Data 2'!$A$2:$A$2198,0)), 0)</f>
        <v>0.726666666666669</v>
      </c>
      <c r="F219" s="39" t="n">
        <f aca="false">IFERROR(INDEX('Data 2'!$M$2:$M$2198,MATCH(D219,'Data 2'!$A$2:$A$2198,0)), 0)</f>
        <v>0.278749999999999</v>
      </c>
      <c r="H219" s="36"/>
      <c r="I219" s="36"/>
      <c r="J219" s="36"/>
      <c r="K219" s="36"/>
      <c r="L219" s="36"/>
      <c r="M219" s="36"/>
      <c r="N219" s="36"/>
      <c r="O219" s="36"/>
      <c r="P219" s="34" t="s">
        <v>521</v>
      </c>
      <c r="Q219" s="39" t="n">
        <f aca="false">IFERROR(INDEX('Data 2'!$L$2:$L$2198,MATCH(P219,'Data 2'!$A$2:$A$2198,0)), 0)</f>
        <v>-43.1166666666667</v>
      </c>
      <c r="R219" s="39" t="n">
        <f aca="false">IFERROR(INDEX('Data 2'!$M$2:$M$2198,MATCH(P219,'Data 2'!$A$2:$A$2198,0)), 0)</f>
        <v>-57.25125</v>
      </c>
      <c r="S219" s="34" t="s">
        <v>169</v>
      </c>
      <c r="T219" s="39" t="n">
        <f aca="false">IFERROR(INDEX('Data 2'!$L$2:$L$2198,MATCH(S219,'Data 2'!$A$2:$A$2198,0)), 0)</f>
        <v>-78.8333333333333</v>
      </c>
      <c r="U219" s="39" t="n">
        <f aca="false">IFERROR(INDEX('Data 2'!$M$2:$M$2198,MATCH(S219,'Data 2'!$A$2:$A$2198,0)), 0)</f>
        <v>-13.07875</v>
      </c>
      <c r="V219" s="34" t="s">
        <v>209</v>
      </c>
      <c r="W219" s="39" t="n">
        <f aca="false">IFERROR(INDEX('Data 2'!$L$2:$L$2198,MATCH(V219,'Data 2'!$A$2:$A$2198,0)), 0)</f>
        <v>62.0766666666667</v>
      </c>
      <c r="X219" s="39" t="n">
        <f aca="false">IFERROR(INDEX('Data 2'!$M$2:$M$2198,MATCH(V219,'Data 2'!$A$2:$A$2198,0)), 0)</f>
        <v>86.5</v>
      </c>
      <c r="Y219" s="37"/>
      <c r="Z219" s="37"/>
    </row>
    <row r="220" customFormat="false" ht="15.75" hidden="false" customHeight="true" outlineLevel="0" collapsed="false">
      <c r="A220" s="37"/>
      <c r="B220" s="37"/>
      <c r="C220" s="37"/>
      <c r="D220" s="34" t="s">
        <v>212</v>
      </c>
      <c r="E220" s="39" t="n">
        <f aca="false">IFERROR(INDEX('Data 2'!$L$2:$L$2198,MATCH(D220,'Data 2'!$A$2:$A$2198,0)), 0)</f>
        <v>-33.8</v>
      </c>
      <c r="F220" s="39" t="n">
        <f aca="false">IFERROR(INDEX('Data 2'!$M$2:$M$2198,MATCH(D220,'Data 2'!$A$2:$A$2198,0)), 0)</f>
        <v>-49.33625</v>
      </c>
      <c r="H220" s="36"/>
      <c r="I220" s="36"/>
      <c r="J220" s="36"/>
      <c r="K220" s="36"/>
      <c r="L220" s="36"/>
      <c r="M220" s="36"/>
      <c r="N220" s="36"/>
      <c r="O220" s="36"/>
      <c r="P220" s="34" t="s">
        <v>522</v>
      </c>
      <c r="Q220" s="39" t="n">
        <f aca="false">IFERROR(INDEX('Data 2'!$L$2:$L$2198,MATCH(P220,'Data 2'!$A$2:$A$2198,0)), 0)</f>
        <v>0</v>
      </c>
      <c r="R220" s="39" t="n">
        <f aca="false">IFERROR(INDEX('Data 2'!$M$2:$M$2198,MATCH(P220,'Data 2'!$A$2:$A$2198,0)), 0)</f>
        <v>0</v>
      </c>
      <c r="S220" s="34" t="s">
        <v>71</v>
      </c>
      <c r="T220" s="39" t="n">
        <f aca="false">IFERROR(INDEX('Data 2'!$L$2:$L$2198,MATCH(S220,'Data 2'!$A$2:$A$2198,0)), 0)</f>
        <v>-96.8233333333333</v>
      </c>
      <c r="U220" s="39" t="n">
        <f aca="false">IFERROR(INDEX('Data 2'!$M$2:$M$2198,MATCH(S220,'Data 2'!$A$2:$A$2198,0)), 0)</f>
        <v>-96.975</v>
      </c>
      <c r="V220" s="34" t="s">
        <v>461</v>
      </c>
      <c r="W220" s="39" t="n">
        <f aca="false">IFERROR(INDEX('Data 2'!$L$2:$L$2198,MATCH(V220,'Data 2'!$A$2:$A$2198,0)), 0)</f>
        <v>-79.76</v>
      </c>
      <c r="X220" s="39" t="n">
        <f aca="false">IFERROR(INDEX('Data 2'!$M$2:$M$2198,MATCH(V220,'Data 2'!$A$2:$A$2198,0)), 0)</f>
        <v>-114.74875</v>
      </c>
      <c r="Y220" s="37"/>
      <c r="Z220" s="37"/>
    </row>
    <row r="221" customFormat="false" ht="15.75" hidden="false" customHeight="true" outlineLevel="0" collapsed="false">
      <c r="A221" s="37"/>
      <c r="B221" s="37"/>
      <c r="C221" s="37"/>
      <c r="D221" s="34" t="s">
        <v>42</v>
      </c>
      <c r="E221" s="39" t="n">
        <f aca="false">IFERROR(INDEX('Data 2'!$L$2:$L$2198,MATCH(D221,'Data 2'!$A$2:$A$2198,0)), 0)</f>
        <v>2.00666666666667</v>
      </c>
      <c r="F221" s="39" t="n">
        <f aca="false">IFERROR(INDEX('Data 2'!$M$2:$M$2198,MATCH(D221,'Data 2'!$A$2:$A$2198,0)), 0)</f>
        <v>7.39</v>
      </c>
      <c r="H221" s="36"/>
      <c r="I221" s="36"/>
      <c r="J221" s="36"/>
      <c r="K221" s="36"/>
      <c r="L221" s="36"/>
      <c r="M221" s="36"/>
      <c r="N221" s="36"/>
      <c r="O221" s="36"/>
      <c r="P221" s="34" t="s">
        <v>523</v>
      </c>
      <c r="Q221" s="39" t="n">
        <f aca="false">IFERROR(INDEX('Data 2'!$L$2:$L$2198,MATCH(P221,'Data 2'!$A$2:$A$2198,0)), 0)</f>
        <v>114.773333333333</v>
      </c>
      <c r="R221" s="39" t="n">
        <f aca="false">IFERROR(INDEX('Data 2'!$M$2:$M$2198,MATCH(P221,'Data 2'!$A$2:$A$2198,0)), 0)</f>
        <v>87.12375</v>
      </c>
      <c r="S221" s="34" t="s">
        <v>135</v>
      </c>
      <c r="T221" s="39" t="n">
        <f aca="false">IFERROR(INDEX('Data 2'!$L$2:$L$2198,MATCH(S221,'Data 2'!$A$2:$A$2198,0)), 0)</f>
        <v>-0.933333333333335</v>
      </c>
      <c r="U221" s="39" t="n">
        <f aca="false">IFERROR(INDEX('Data 2'!$M$2:$M$2198,MATCH(S221,'Data 2'!$A$2:$A$2198,0)), 0)</f>
        <v>-62.1075</v>
      </c>
      <c r="V221" s="34" t="s">
        <v>237</v>
      </c>
      <c r="W221" s="39" t="n">
        <f aca="false">IFERROR(INDEX('Data 2'!$L$2:$L$2198,MATCH(V221,'Data 2'!$A$2:$A$2198,0)), 0)</f>
        <v>-60.82</v>
      </c>
      <c r="X221" s="39" t="n">
        <f aca="false">IFERROR(INDEX('Data 2'!$M$2:$M$2198,MATCH(V221,'Data 2'!$A$2:$A$2198,0)), 0)</f>
        <v>-76.8025</v>
      </c>
      <c r="Y221" s="37"/>
      <c r="Z221" s="37"/>
    </row>
    <row r="222" customFormat="false" ht="15.75" hidden="false" customHeight="true" outlineLevel="0" collapsed="false">
      <c r="A222" s="37"/>
      <c r="B222" s="37"/>
      <c r="C222" s="37"/>
      <c r="D222" s="34" t="s">
        <v>199</v>
      </c>
      <c r="E222" s="39" t="n">
        <f aca="false">IFERROR(INDEX('Data 2'!$L$2:$L$2198,MATCH(D222,'Data 2'!$A$2:$A$2198,0)), 0)</f>
        <v>-50.6866666666667</v>
      </c>
      <c r="F222" s="39" t="n">
        <f aca="false">IFERROR(INDEX('Data 2'!$M$2:$M$2198,MATCH(D222,'Data 2'!$A$2:$A$2198,0)), 0)</f>
        <v>-6.45625</v>
      </c>
      <c r="H222" s="36"/>
      <c r="I222" s="36"/>
      <c r="J222" s="36"/>
      <c r="K222" s="36"/>
      <c r="L222" s="36"/>
      <c r="M222" s="36"/>
      <c r="N222" s="36"/>
      <c r="O222" s="36"/>
      <c r="P222" s="34" t="s">
        <v>524</v>
      </c>
      <c r="Q222" s="39" t="n">
        <f aca="false">IFERROR(INDEX('Data 2'!$L$2:$L$2198,MATCH(P222,'Data 2'!$A$2:$A$2198,0)), 0)</f>
        <v>95.51</v>
      </c>
      <c r="R222" s="39" t="n">
        <f aca="false">IFERROR(INDEX('Data 2'!$M$2:$M$2198,MATCH(P222,'Data 2'!$A$2:$A$2198,0)), 0)</f>
        <v>113.6175</v>
      </c>
      <c r="S222" s="34" t="s">
        <v>99</v>
      </c>
      <c r="T222" s="39" t="n">
        <f aca="false">IFERROR(INDEX('Data 2'!$L$2:$L$2198,MATCH(S222,'Data 2'!$A$2:$A$2198,0)), 0)</f>
        <v>-18.05</v>
      </c>
      <c r="U222" s="39" t="n">
        <f aca="false">IFERROR(INDEX('Data 2'!$M$2:$M$2198,MATCH(S222,'Data 2'!$A$2:$A$2198,0)), 0)</f>
        <v>0.0824999999999978</v>
      </c>
      <c r="V222" s="34" t="s">
        <v>463</v>
      </c>
      <c r="W222" s="39" t="n">
        <f aca="false">IFERROR(INDEX('Data 2'!$L$2:$L$2198,MATCH(V222,'Data 2'!$A$2:$A$2198,0)), 0)</f>
        <v>32.9333333333333</v>
      </c>
      <c r="X222" s="39" t="n">
        <f aca="false">IFERROR(INDEX('Data 2'!$M$2:$M$2198,MATCH(V222,'Data 2'!$A$2:$A$2198,0)), 0)</f>
        <v>-5.19125</v>
      </c>
      <c r="Y222" s="37"/>
      <c r="Z222" s="37"/>
    </row>
    <row r="223" customFormat="false" ht="15.75" hidden="false" customHeight="true" outlineLevel="0" collapsed="false">
      <c r="A223" s="37"/>
      <c r="B223" s="37"/>
      <c r="C223" s="37"/>
      <c r="D223" s="34" t="s">
        <v>186</v>
      </c>
      <c r="E223" s="39" t="n">
        <f aca="false">IFERROR(INDEX('Data 2'!$L$2:$L$2198,MATCH(D223,'Data 2'!$A$2:$A$2198,0)), 0)</f>
        <v>-62.5766666666667</v>
      </c>
      <c r="F223" s="39" t="n">
        <f aca="false">IFERROR(INDEX('Data 2'!$M$2:$M$2198,MATCH(D223,'Data 2'!$A$2:$A$2198,0)), 0)</f>
        <v>-21.6625</v>
      </c>
      <c r="H223" s="36"/>
      <c r="I223" s="36"/>
      <c r="J223" s="36"/>
      <c r="K223" s="36"/>
      <c r="L223" s="36"/>
      <c r="M223" s="36"/>
      <c r="N223" s="36"/>
      <c r="O223" s="36"/>
      <c r="P223" s="34" t="s">
        <v>525</v>
      </c>
      <c r="Q223" s="39" t="n">
        <f aca="false">IFERROR(INDEX('Data 2'!$L$2:$L$2198,MATCH(P223,'Data 2'!$A$2:$A$2198,0)), 0)</f>
        <v>-63.5</v>
      </c>
      <c r="R223" s="39" t="n">
        <f aca="false">IFERROR(INDEX('Data 2'!$M$2:$M$2198,MATCH(P223,'Data 2'!$A$2:$A$2198,0)), 0)</f>
        <v>28.7175</v>
      </c>
      <c r="S223" s="34" t="s">
        <v>240</v>
      </c>
      <c r="T223" s="39" t="n">
        <f aca="false">IFERROR(INDEX('Data 2'!$L$2:$L$2198,MATCH(S223,'Data 2'!$A$2:$A$2198,0)), 0)</f>
        <v>-127.08</v>
      </c>
      <c r="U223" s="39" t="n">
        <f aca="false">IFERROR(INDEX('Data 2'!$M$2:$M$2198,MATCH(S223,'Data 2'!$A$2:$A$2198,0)), 0)</f>
        <v>-112.8225</v>
      </c>
      <c r="V223" s="34" t="s">
        <v>465</v>
      </c>
      <c r="W223" s="39" t="n">
        <f aca="false">IFERROR(INDEX('Data 2'!$L$2:$L$2198,MATCH(V223,'Data 2'!$A$2:$A$2198,0)), 0)</f>
        <v>-84.5</v>
      </c>
      <c r="X223" s="39" t="n">
        <f aca="false">IFERROR(INDEX('Data 2'!$M$2:$M$2198,MATCH(V223,'Data 2'!$A$2:$A$2198,0)), 0)</f>
        <v>38.75375</v>
      </c>
      <c r="Y223" s="37"/>
      <c r="Z223" s="37"/>
    </row>
    <row r="224" customFormat="false" ht="15.75" hidden="false" customHeight="true" outlineLevel="0" collapsed="false">
      <c r="A224" s="37"/>
      <c r="B224" s="37"/>
      <c r="C224" s="37"/>
      <c r="D224" s="34" t="s">
        <v>428</v>
      </c>
      <c r="E224" s="39" t="n">
        <f aca="false">IFERROR(INDEX('Data 2'!$L$2:$L$2198,MATCH(D224,'Data 2'!$A$2:$A$2198,0)), 0)</f>
        <v>0</v>
      </c>
      <c r="F224" s="39" t="n">
        <f aca="false">IFERROR(INDEX('Data 2'!$M$2:$M$2198,MATCH(D224,'Data 2'!$A$2:$A$2198,0)), 0)</f>
        <v>0</v>
      </c>
      <c r="H224" s="36"/>
      <c r="I224" s="36"/>
      <c r="J224" s="36"/>
      <c r="K224" s="36"/>
      <c r="L224" s="36"/>
      <c r="M224" s="36"/>
      <c r="N224" s="36"/>
      <c r="O224" s="36"/>
      <c r="P224" s="34" t="s">
        <v>526</v>
      </c>
      <c r="Q224" s="39" t="n">
        <f aca="false">IFERROR(INDEX('Data 2'!$L$2:$L$2198,MATCH(P224,'Data 2'!$A$2:$A$2198,0)), 0)</f>
        <v>-68.82</v>
      </c>
      <c r="R224" s="39" t="n">
        <f aca="false">IFERROR(INDEX('Data 2'!$M$2:$M$2198,MATCH(P224,'Data 2'!$A$2:$A$2198,0)), 0)</f>
        <v>-16.6525</v>
      </c>
      <c r="S224" s="34" t="s">
        <v>456</v>
      </c>
      <c r="T224" s="39" t="n">
        <f aca="false">IFERROR(INDEX('Data 2'!$L$2:$L$2198,MATCH(S224,'Data 2'!$A$2:$A$2198,0)), 0)</f>
        <v>-30.0866666666667</v>
      </c>
      <c r="U224" s="39" t="n">
        <f aca="false">IFERROR(INDEX('Data 2'!$M$2:$M$2198,MATCH(S224,'Data 2'!$A$2:$A$2198,0)), 0)</f>
        <v>39.65125</v>
      </c>
      <c r="V224" s="34" t="s">
        <v>313</v>
      </c>
      <c r="W224" s="39" t="n">
        <f aca="false">IFERROR(INDEX('Data 2'!$L$2:$L$2198,MATCH(V224,'Data 2'!$A$2:$A$2198,0)), 0)</f>
        <v>31.5366666666667</v>
      </c>
      <c r="X224" s="39" t="n">
        <f aca="false">IFERROR(INDEX('Data 2'!$M$2:$M$2198,MATCH(V224,'Data 2'!$A$2:$A$2198,0)), 0)</f>
        <v>108.4825</v>
      </c>
      <c r="Y224" s="37"/>
      <c r="Z224" s="37"/>
    </row>
    <row r="225" customFormat="false" ht="15.75" hidden="false" customHeight="true" outlineLevel="0" collapsed="false">
      <c r="A225" s="37"/>
      <c r="B225" s="37"/>
      <c r="C225" s="37"/>
      <c r="D225" s="34" t="s">
        <v>376</v>
      </c>
      <c r="E225" s="39" t="n">
        <f aca="false">IFERROR(INDEX('Data 2'!$L$2:$L$2198,MATCH(D225,'Data 2'!$A$2:$A$2198,0)), 0)</f>
        <v>103.706666666667</v>
      </c>
      <c r="F225" s="39" t="n">
        <f aca="false">IFERROR(INDEX('Data 2'!$M$2:$M$2198,MATCH(D225,'Data 2'!$A$2:$A$2198,0)), 0)</f>
        <v>65.0225</v>
      </c>
      <c r="H225" s="36"/>
      <c r="I225" s="36"/>
      <c r="J225" s="36"/>
      <c r="K225" s="36"/>
      <c r="L225" s="36"/>
      <c r="M225" s="36"/>
      <c r="N225" s="36"/>
      <c r="O225" s="36"/>
      <c r="P225" s="34" t="s">
        <v>527</v>
      </c>
      <c r="Q225" s="39" t="n">
        <f aca="false">IFERROR(INDEX('Data 2'!$L$2:$L$2198,MATCH(P225,'Data 2'!$A$2:$A$2198,0)), 0)</f>
        <v>-47.4333333333333</v>
      </c>
      <c r="R225" s="39" t="n">
        <f aca="false">IFERROR(INDEX('Data 2'!$M$2:$M$2198,MATCH(P225,'Data 2'!$A$2:$A$2198,0)), 0)</f>
        <v>-16.4925</v>
      </c>
      <c r="S225" s="34" t="s">
        <v>170</v>
      </c>
      <c r="T225" s="39" t="n">
        <f aca="false">IFERROR(INDEX('Data 2'!$L$2:$L$2198,MATCH(S225,'Data 2'!$A$2:$A$2198,0)), 0)</f>
        <v>-43.3633333333333</v>
      </c>
      <c r="U225" s="39" t="n">
        <f aca="false">IFERROR(INDEX('Data 2'!$M$2:$M$2198,MATCH(S225,'Data 2'!$A$2:$A$2198,0)), 0)</f>
        <v>-9.286125</v>
      </c>
      <c r="V225" s="34" t="s">
        <v>216</v>
      </c>
      <c r="W225" s="39" t="n">
        <f aca="false">IFERROR(INDEX('Data 2'!$L$2:$L$2198,MATCH(V225,'Data 2'!$A$2:$A$2198,0)), 0)</f>
        <v>-29.8333333333333</v>
      </c>
      <c r="X225" s="39" t="n">
        <f aca="false">IFERROR(INDEX('Data 2'!$M$2:$M$2198,MATCH(V225,'Data 2'!$A$2:$A$2198,0)), 0)</f>
        <v>-60.56</v>
      </c>
      <c r="Y225" s="37"/>
      <c r="Z225" s="37"/>
    </row>
    <row r="226" customFormat="false" ht="15.75" hidden="false" customHeight="true" outlineLevel="0" collapsed="false">
      <c r="A226" s="37"/>
      <c r="B226" s="37"/>
      <c r="C226" s="37"/>
      <c r="D226" s="34" t="s">
        <v>106</v>
      </c>
      <c r="E226" s="39" t="n">
        <f aca="false">IFERROR(INDEX('Data 2'!$L$2:$L$2198,MATCH(D226,'Data 2'!$A$2:$A$2198,0)), 0)</f>
        <v>-61.0133333333333</v>
      </c>
      <c r="F226" s="39" t="n">
        <f aca="false">IFERROR(INDEX('Data 2'!$M$2:$M$2198,MATCH(D226,'Data 2'!$A$2:$A$2198,0)), 0)</f>
        <v>-23.73875</v>
      </c>
      <c r="H226" s="36"/>
      <c r="I226" s="36"/>
      <c r="J226" s="36"/>
      <c r="K226" s="36"/>
      <c r="L226" s="36"/>
      <c r="M226" s="36"/>
      <c r="N226" s="36"/>
      <c r="O226" s="36"/>
      <c r="P226" s="34" t="s">
        <v>528</v>
      </c>
      <c r="Q226" s="39" t="n">
        <f aca="false">IFERROR(INDEX('Data 2'!$L$2:$L$2198,MATCH(P226,'Data 2'!$A$2:$A$2198,0)), 0)</f>
        <v>-42.3266666666667</v>
      </c>
      <c r="R226" s="39" t="n">
        <f aca="false">IFERROR(INDEX('Data 2'!$M$2:$M$2198,MATCH(P226,'Data 2'!$A$2:$A$2198,0)), 0)</f>
        <v>-57.22875</v>
      </c>
      <c r="S226" s="34" t="s">
        <v>92</v>
      </c>
      <c r="T226" s="39" t="n">
        <f aca="false">IFERROR(INDEX('Data 2'!$L$2:$L$2198,MATCH(S226,'Data 2'!$A$2:$A$2198,0)), 0)</f>
        <v>-64.3133333333333</v>
      </c>
      <c r="U226" s="39" t="n">
        <f aca="false">IFERROR(INDEX('Data 2'!$M$2:$M$2198,MATCH(S226,'Data 2'!$A$2:$A$2198,0)), 0)</f>
        <v>-53.4075</v>
      </c>
      <c r="V226" s="34" t="s">
        <v>466</v>
      </c>
      <c r="W226" s="39" t="n">
        <f aca="false">IFERROR(INDEX('Data 2'!$L$2:$L$2198,MATCH(V226,'Data 2'!$A$2:$A$2198,0)), 0)</f>
        <v>-92.79</v>
      </c>
      <c r="X226" s="39" t="n">
        <f aca="false">IFERROR(INDEX('Data 2'!$M$2:$M$2198,MATCH(V226,'Data 2'!$A$2:$A$2198,0)), 0)</f>
        <v>-109.9625</v>
      </c>
      <c r="Y226" s="37"/>
      <c r="Z226" s="37"/>
    </row>
    <row r="227" customFormat="false" ht="15.75" hidden="false" customHeight="true" outlineLevel="0" collapsed="false">
      <c r="A227" s="37"/>
      <c r="B227" s="37"/>
      <c r="C227" s="37"/>
      <c r="D227" s="34" t="s">
        <v>429</v>
      </c>
      <c r="E227" s="39" t="n">
        <f aca="false">IFERROR(INDEX('Data 2'!$L$2:$L$2198,MATCH(D227,'Data 2'!$A$2:$A$2198,0)), 0)</f>
        <v>-33.9866666666667</v>
      </c>
      <c r="F227" s="39" t="n">
        <f aca="false">IFERROR(INDEX('Data 2'!$M$2:$M$2198,MATCH(D227,'Data 2'!$A$2:$A$2198,0)), 0)</f>
        <v>-37.2425</v>
      </c>
      <c r="H227" s="36"/>
      <c r="I227" s="36"/>
      <c r="J227" s="36"/>
      <c r="K227" s="36"/>
      <c r="L227" s="36"/>
      <c r="M227" s="36"/>
      <c r="N227" s="36"/>
      <c r="O227" s="36"/>
      <c r="P227" s="34" t="s">
        <v>529</v>
      </c>
      <c r="Q227" s="39" t="n">
        <f aca="false">IFERROR(INDEX('Data 2'!$L$2:$L$2198,MATCH(P227,'Data 2'!$A$2:$A$2198,0)), 0)</f>
        <v>107.52</v>
      </c>
      <c r="R227" s="39" t="n">
        <f aca="false">IFERROR(INDEX('Data 2'!$M$2:$M$2198,MATCH(P227,'Data 2'!$A$2:$A$2198,0)), 0)</f>
        <v>87.25875</v>
      </c>
      <c r="S227" s="34" t="s">
        <v>61</v>
      </c>
      <c r="T227" s="39" t="n">
        <f aca="false">IFERROR(INDEX('Data 2'!$L$2:$L$2198,MATCH(S227,'Data 2'!$A$2:$A$2198,0)), 0)</f>
        <v>-36.36</v>
      </c>
      <c r="U227" s="39" t="n">
        <f aca="false">IFERROR(INDEX('Data 2'!$M$2:$M$2198,MATCH(S227,'Data 2'!$A$2:$A$2198,0)), 0)</f>
        <v>4.43125</v>
      </c>
      <c r="V227" s="34" t="s">
        <v>315</v>
      </c>
      <c r="W227" s="39" t="n">
        <f aca="false">IFERROR(INDEX('Data 2'!$L$2:$L$2198,MATCH(V227,'Data 2'!$A$2:$A$2198,0)), 0)</f>
        <v>-16.6166666666667</v>
      </c>
      <c r="X227" s="39" t="n">
        <f aca="false">IFERROR(INDEX('Data 2'!$M$2:$M$2198,MATCH(V227,'Data 2'!$A$2:$A$2198,0)), 0)</f>
        <v>11.73125</v>
      </c>
      <c r="Y227" s="37"/>
      <c r="Z227" s="37"/>
    </row>
    <row r="228" customFormat="false" ht="15.75" hidden="false" customHeight="true" outlineLevel="0" collapsed="false">
      <c r="A228" s="37"/>
      <c r="B228" s="37"/>
      <c r="C228" s="37"/>
      <c r="D228" s="34" t="s">
        <v>309</v>
      </c>
      <c r="E228" s="39" t="n">
        <f aca="false">IFERROR(INDEX('Data 2'!$L$2:$L$2198,MATCH(D228,'Data 2'!$A$2:$A$2198,0)), 0)</f>
        <v>-66.4163333333333</v>
      </c>
      <c r="F228" s="39" t="n">
        <f aca="false">IFERROR(INDEX('Data 2'!$M$2:$M$2198,MATCH(D228,'Data 2'!$A$2:$A$2198,0)), 0)</f>
        <v>-26.506125</v>
      </c>
      <c r="H228" s="36"/>
      <c r="I228" s="36"/>
      <c r="J228" s="36"/>
      <c r="K228" s="36"/>
      <c r="L228" s="36"/>
      <c r="M228" s="36"/>
      <c r="N228" s="36"/>
      <c r="O228" s="36"/>
      <c r="P228" s="34" t="s">
        <v>351</v>
      </c>
      <c r="Q228" s="39" t="n">
        <f aca="false">IFERROR(INDEX('Data 2'!$L$2:$L$2198,MATCH(P228,'Data 2'!$A$2:$A$2198,0)), 0)</f>
        <v>98.2466666666667</v>
      </c>
      <c r="R228" s="39" t="n">
        <f aca="false">IFERROR(INDEX('Data 2'!$M$2:$M$2198,MATCH(P228,'Data 2'!$A$2:$A$2198,0)), 0)</f>
        <v>2.04125</v>
      </c>
      <c r="S228" s="34" t="s">
        <v>458</v>
      </c>
      <c r="T228" s="39" t="n">
        <f aca="false">IFERROR(INDEX('Data 2'!$L$2:$L$2198,MATCH(S228,'Data 2'!$A$2:$A$2198,0)), 0)</f>
        <v>4.51333333333334</v>
      </c>
      <c r="U228" s="39" t="n">
        <f aca="false">IFERROR(INDEX('Data 2'!$M$2:$M$2198,MATCH(S228,'Data 2'!$A$2:$A$2198,0)), 0)</f>
        <v>-30.79375</v>
      </c>
      <c r="V228" s="34" t="s">
        <v>468</v>
      </c>
      <c r="W228" s="39" t="n">
        <f aca="false">IFERROR(INDEX('Data 2'!$L$2:$L$2198,MATCH(V228,'Data 2'!$A$2:$A$2198,0)), 0)</f>
        <v>16.9366666666667</v>
      </c>
      <c r="X228" s="39" t="n">
        <f aca="false">IFERROR(INDEX('Data 2'!$M$2:$M$2198,MATCH(V228,'Data 2'!$A$2:$A$2198,0)), 0)</f>
        <v>56.39875</v>
      </c>
      <c r="Y228" s="37"/>
      <c r="Z228" s="37"/>
    </row>
    <row r="229" customFormat="false" ht="15.75" hidden="false" customHeight="true" outlineLevel="0" collapsed="false">
      <c r="A229" s="37"/>
      <c r="B229" s="37"/>
      <c r="C229" s="37"/>
      <c r="D229" s="34" t="s">
        <v>430</v>
      </c>
      <c r="E229" s="39" t="n">
        <f aca="false">IFERROR(INDEX('Data 2'!$L$2:$L$2198,MATCH(D229,'Data 2'!$A$2:$A$2198,0)), 0)</f>
        <v>78.76</v>
      </c>
      <c r="F229" s="39" t="n">
        <f aca="false">IFERROR(INDEX('Data 2'!$M$2:$M$2198,MATCH(D229,'Data 2'!$A$2:$A$2198,0)), 0)</f>
        <v>19.41625</v>
      </c>
      <c r="H229" s="36"/>
      <c r="I229" s="36"/>
      <c r="J229" s="36"/>
      <c r="K229" s="36"/>
      <c r="L229" s="36"/>
      <c r="M229" s="36"/>
      <c r="N229" s="36"/>
      <c r="O229" s="36"/>
      <c r="P229" s="34" t="s">
        <v>62</v>
      </c>
      <c r="Q229" s="39" t="n">
        <f aca="false">IFERROR(INDEX('Data 2'!$L$2:$L$2198,MATCH(P229,'Data 2'!$A$2:$A$2198,0)), 0)</f>
        <v>-38.9566666666667</v>
      </c>
      <c r="R229" s="39" t="n">
        <f aca="false">IFERROR(INDEX('Data 2'!$M$2:$M$2198,MATCH(P229,'Data 2'!$A$2:$A$2198,0)), 0)</f>
        <v>-6.4175</v>
      </c>
      <c r="S229" s="34" t="s">
        <v>89</v>
      </c>
      <c r="T229" s="39" t="n">
        <f aca="false">IFERROR(INDEX('Data 2'!$L$2:$L$2198,MATCH(S229,'Data 2'!$A$2:$A$2198,0)), 0)</f>
        <v>5.30666666666667</v>
      </c>
      <c r="U229" s="39" t="n">
        <f aca="false">IFERROR(INDEX('Data 2'!$M$2:$M$2198,MATCH(S229,'Data 2'!$A$2:$A$2198,0)), 0)</f>
        <v>-14.10125</v>
      </c>
      <c r="V229" s="34" t="s">
        <v>469</v>
      </c>
      <c r="W229" s="39" t="n">
        <f aca="false">IFERROR(INDEX('Data 2'!$L$2:$L$2198,MATCH(V229,'Data 2'!$A$2:$A$2198,0)), 0)</f>
        <v>25.46</v>
      </c>
      <c r="X229" s="39" t="n">
        <f aca="false">IFERROR(INDEX('Data 2'!$M$2:$M$2198,MATCH(V229,'Data 2'!$A$2:$A$2198,0)), 0)</f>
        <v>-9.98125000000001</v>
      </c>
      <c r="Y229" s="37"/>
      <c r="Z229" s="37"/>
    </row>
    <row r="230" customFormat="false" ht="15.75" hidden="false" customHeight="true" outlineLevel="0" collapsed="false">
      <c r="A230" s="37"/>
      <c r="B230" s="37"/>
      <c r="C230" s="37"/>
      <c r="D230" s="34" t="s">
        <v>221</v>
      </c>
      <c r="E230" s="39" t="n">
        <f aca="false">IFERROR(INDEX('Data 2'!$L$2:$L$2198,MATCH(D230,'Data 2'!$A$2:$A$2198,0)), 0)</f>
        <v>-100.68</v>
      </c>
      <c r="F230" s="39" t="n">
        <f aca="false">IFERROR(INDEX('Data 2'!$M$2:$M$2198,MATCH(D230,'Data 2'!$A$2:$A$2198,0)), 0)</f>
        <v>-108.3125</v>
      </c>
      <c r="H230" s="36"/>
      <c r="I230" s="36"/>
      <c r="J230" s="36"/>
      <c r="K230" s="36"/>
      <c r="L230" s="36"/>
      <c r="M230" s="36"/>
      <c r="N230" s="36"/>
      <c r="O230" s="36"/>
      <c r="P230" s="34" t="s">
        <v>530</v>
      </c>
      <c r="Q230" s="39" t="n">
        <f aca="false">IFERROR(INDEX('Data 2'!$L$2:$L$2198,MATCH(P230,'Data 2'!$A$2:$A$2198,0)), 0)</f>
        <v>110.29</v>
      </c>
      <c r="R230" s="39" t="n">
        <f aca="false">IFERROR(INDEX('Data 2'!$M$2:$M$2198,MATCH(P230,'Data 2'!$A$2:$A$2198,0)), 0)</f>
        <v>35.8425</v>
      </c>
      <c r="S230" s="34" t="s">
        <v>460</v>
      </c>
      <c r="T230" s="39" t="n">
        <f aca="false">IFERROR(INDEX('Data 2'!$L$2:$L$2198,MATCH(S230,'Data 2'!$A$2:$A$2198,0)), 0)</f>
        <v>4.76666666666667</v>
      </c>
      <c r="U230" s="39" t="n">
        <f aca="false">IFERROR(INDEX('Data 2'!$M$2:$M$2198,MATCH(S230,'Data 2'!$A$2:$A$2198,0)), 0)</f>
        <v>72.1525</v>
      </c>
      <c r="V230" s="34" t="s">
        <v>470</v>
      </c>
      <c r="W230" s="39" t="n">
        <f aca="false">IFERROR(INDEX('Data 2'!$L$2:$L$2198,MATCH(V230,'Data 2'!$A$2:$A$2198,0)), 0)</f>
        <v>89.96</v>
      </c>
      <c r="X230" s="39" t="n">
        <f aca="false">IFERROR(INDEX('Data 2'!$M$2:$M$2198,MATCH(V230,'Data 2'!$A$2:$A$2198,0)), 0)</f>
        <v>15.48875</v>
      </c>
      <c r="Y230" s="37"/>
      <c r="Z230" s="37"/>
    </row>
    <row r="231" customFormat="false" ht="15.75" hidden="false" customHeight="true" outlineLevel="0" collapsed="false">
      <c r="A231" s="37"/>
      <c r="B231" s="37"/>
      <c r="C231" s="37"/>
      <c r="D231" s="34" t="s">
        <v>432</v>
      </c>
      <c r="E231" s="39" t="n">
        <f aca="false">IFERROR(INDEX('Data 2'!$L$2:$L$2198,MATCH(D231,'Data 2'!$A$2:$A$2198,0)), 0)</f>
        <v>24.6966666666667</v>
      </c>
      <c r="F231" s="39" t="n">
        <f aca="false">IFERROR(INDEX('Data 2'!$M$2:$M$2198,MATCH(D231,'Data 2'!$A$2:$A$2198,0)), 0)</f>
        <v>-22.24625</v>
      </c>
      <c r="H231" s="36"/>
      <c r="I231" s="36"/>
      <c r="J231" s="36"/>
      <c r="K231" s="36"/>
      <c r="L231" s="36"/>
      <c r="M231" s="36"/>
      <c r="N231" s="36"/>
      <c r="O231" s="36"/>
      <c r="P231" s="34" t="s">
        <v>531</v>
      </c>
      <c r="Q231" s="39" t="n">
        <f aca="false">IFERROR(INDEX('Data 2'!$L$2:$L$2198,MATCH(P231,'Data 2'!$A$2:$A$2198,0)), 0)</f>
        <v>-25.5</v>
      </c>
      <c r="R231" s="39" t="n">
        <f aca="false">IFERROR(INDEX('Data 2'!$M$2:$M$2198,MATCH(P231,'Data 2'!$A$2:$A$2198,0)), 0)</f>
        <v>-41.29</v>
      </c>
      <c r="S231" s="34" t="s">
        <v>462</v>
      </c>
      <c r="T231" s="39" t="n">
        <f aca="false">IFERROR(INDEX('Data 2'!$L$2:$L$2198,MATCH(S231,'Data 2'!$A$2:$A$2198,0)), 0)</f>
        <v>-2.06</v>
      </c>
      <c r="U231" s="39" t="n">
        <f aca="false">IFERROR(INDEX('Data 2'!$M$2:$M$2198,MATCH(S231,'Data 2'!$A$2:$A$2198,0)), 0)</f>
        <v>-64.1375</v>
      </c>
      <c r="V231" s="34" t="s">
        <v>471</v>
      </c>
      <c r="W231" s="39" t="n">
        <f aca="false">IFERROR(INDEX('Data 2'!$L$2:$L$2198,MATCH(V231,'Data 2'!$A$2:$A$2198,0)), 0)</f>
        <v>6.83333333333333</v>
      </c>
      <c r="X231" s="39" t="n">
        <f aca="false">IFERROR(INDEX('Data 2'!$M$2:$M$2198,MATCH(V231,'Data 2'!$A$2:$A$2198,0)), 0)</f>
        <v>12.05125</v>
      </c>
      <c r="Y231" s="37"/>
      <c r="Z231" s="37"/>
    </row>
    <row r="232" customFormat="false" ht="15.75" hidden="false" customHeight="true" outlineLevel="0" collapsed="false">
      <c r="A232" s="37"/>
      <c r="B232" s="37"/>
      <c r="C232" s="37"/>
      <c r="D232" s="34" t="s">
        <v>178</v>
      </c>
      <c r="E232" s="39" t="n">
        <f aca="false">IFERROR(INDEX('Data 2'!$L$2:$L$2198,MATCH(D232,'Data 2'!$A$2:$A$2198,0)), 0)</f>
        <v>-113.566666666667</v>
      </c>
      <c r="F232" s="39" t="n">
        <f aca="false">IFERROR(INDEX('Data 2'!$M$2:$M$2198,MATCH(D232,'Data 2'!$A$2:$A$2198,0)), 0)</f>
        <v>-157.91625</v>
      </c>
      <c r="H232" s="36"/>
      <c r="I232" s="36"/>
      <c r="J232" s="36"/>
      <c r="K232" s="36"/>
      <c r="L232" s="36"/>
      <c r="M232" s="36"/>
      <c r="N232" s="36"/>
      <c r="O232" s="36"/>
      <c r="P232" s="34" t="s">
        <v>532</v>
      </c>
      <c r="Q232" s="39" t="n">
        <f aca="false">IFERROR(INDEX('Data 2'!$L$2:$L$2198,MATCH(P232,'Data 2'!$A$2:$A$2198,0)), 0)</f>
        <v>0.959999999999999</v>
      </c>
      <c r="R232" s="39" t="n">
        <f aca="false">IFERROR(INDEX('Data 2'!$M$2:$M$2198,MATCH(P232,'Data 2'!$A$2:$A$2198,0)), 0)</f>
        <v>-62.61625</v>
      </c>
      <c r="S232" s="34" t="s">
        <v>464</v>
      </c>
      <c r="T232" s="39" t="n">
        <f aca="false">IFERROR(INDEX('Data 2'!$L$2:$L$2198,MATCH(S232,'Data 2'!$A$2:$A$2198,0)), 0)</f>
        <v>101.43</v>
      </c>
      <c r="U232" s="39" t="n">
        <f aca="false">IFERROR(INDEX('Data 2'!$M$2:$M$2198,MATCH(S232,'Data 2'!$A$2:$A$2198,0)), 0)</f>
        <v>19.62625</v>
      </c>
      <c r="V232" s="34" t="s">
        <v>472</v>
      </c>
      <c r="W232" s="39" t="n">
        <f aca="false">IFERROR(INDEX('Data 2'!$L$2:$L$2198,MATCH(V232,'Data 2'!$A$2:$A$2198,0)), 0)</f>
        <v>24.7066666666667</v>
      </c>
      <c r="X232" s="39" t="n">
        <f aca="false">IFERROR(INDEX('Data 2'!$M$2:$M$2198,MATCH(V232,'Data 2'!$A$2:$A$2198,0)), 0)</f>
        <v>81.7675</v>
      </c>
      <c r="Y232" s="37"/>
      <c r="Z232" s="37"/>
    </row>
    <row r="233" customFormat="false" ht="15.75" hidden="false" customHeight="true" outlineLevel="0" collapsed="false">
      <c r="A233" s="37"/>
      <c r="B233" s="37"/>
      <c r="C233" s="37"/>
      <c r="D233" s="34" t="s">
        <v>434</v>
      </c>
      <c r="E233" s="39" t="n">
        <f aca="false">IFERROR(INDEX('Data 2'!$L$2:$L$2198,MATCH(D233,'Data 2'!$A$2:$A$2198,0)), 0)</f>
        <v>-27.7366666666667</v>
      </c>
      <c r="F233" s="39" t="n">
        <f aca="false">IFERROR(INDEX('Data 2'!$M$2:$M$2198,MATCH(D233,'Data 2'!$A$2:$A$2198,0)), 0)</f>
        <v>-27.5575</v>
      </c>
      <c r="H233" s="36"/>
      <c r="I233" s="36"/>
      <c r="J233" s="36"/>
      <c r="K233" s="36"/>
      <c r="L233" s="36"/>
      <c r="M233" s="36"/>
      <c r="N233" s="36"/>
      <c r="O233" s="36"/>
      <c r="P233" s="34" t="s">
        <v>533</v>
      </c>
      <c r="Q233" s="39" t="n">
        <f aca="false">IFERROR(INDEX('Data 2'!$L$2:$L$2198,MATCH(P233,'Data 2'!$A$2:$A$2198,0)), 0)</f>
        <v>29.9233333333333</v>
      </c>
      <c r="R233" s="39" t="n">
        <f aca="false">IFERROR(INDEX('Data 2'!$M$2:$M$2198,MATCH(P233,'Data 2'!$A$2:$A$2198,0)), 0)</f>
        <v>-39.3325</v>
      </c>
      <c r="S233" s="34" t="s">
        <v>142</v>
      </c>
      <c r="T233" s="39" t="n">
        <f aca="false">IFERROR(INDEX('Data 2'!$L$2:$L$2198,MATCH(S233,'Data 2'!$A$2:$A$2198,0)), 0)</f>
        <v>89.1066666666667</v>
      </c>
      <c r="U233" s="39" t="n">
        <f aca="false">IFERROR(INDEX('Data 2'!$M$2:$M$2198,MATCH(S233,'Data 2'!$A$2:$A$2198,0)), 0)</f>
        <v>109.275</v>
      </c>
      <c r="V233" s="34" t="s">
        <v>474</v>
      </c>
      <c r="W233" s="39" t="n">
        <f aca="false">IFERROR(INDEX('Data 2'!$L$2:$L$2198,MATCH(V233,'Data 2'!$A$2:$A$2198,0)), 0)</f>
        <v>-54.5816666666667</v>
      </c>
      <c r="X233" s="39" t="n">
        <f aca="false">IFERROR(INDEX('Data 2'!$M$2:$M$2198,MATCH(V233,'Data 2'!$A$2:$A$2198,0)), 0)</f>
        <v>24.385625</v>
      </c>
      <c r="Y233" s="37"/>
      <c r="Z233" s="37"/>
    </row>
    <row r="234" customFormat="false" ht="15.75" hidden="false" customHeight="true" outlineLevel="0" collapsed="false">
      <c r="A234" s="37"/>
      <c r="B234" s="37"/>
      <c r="C234" s="37"/>
      <c r="D234" s="34" t="s">
        <v>435</v>
      </c>
      <c r="E234" s="39" t="n">
        <f aca="false">IFERROR(INDEX('Data 2'!$L$2:$L$2198,MATCH(D234,'Data 2'!$A$2:$A$2198,0)), 0)</f>
        <v>-72.9866666666667</v>
      </c>
      <c r="F234" s="39" t="n">
        <f aca="false">IFERROR(INDEX('Data 2'!$M$2:$M$2198,MATCH(D234,'Data 2'!$A$2:$A$2198,0)), 0)</f>
        <v>-25.8925</v>
      </c>
      <c r="H234" s="36"/>
      <c r="I234" s="36"/>
      <c r="J234" s="36"/>
      <c r="K234" s="36"/>
      <c r="L234" s="36"/>
      <c r="M234" s="36"/>
      <c r="N234" s="36"/>
      <c r="O234" s="36"/>
      <c r="P234" s="34" t="s">
        <v>534</v>
      </c>
      <c r="Q234" s="39" t="n">
        <f aca="false">IFERROR(INDEX('Data 2'!$L$2:$L$2198,MATCH(P234,'Data 2'!$A$2:$A$2198,0)), 0)</f>
        <v>-19.2333333333333</v>
      </c>
      <c r="R234" s="39" t="n">
        <f aca="false">IFERROR(INDEX('Data 2'!$M$2:$M$2198,MATCH(P234,'Data 2'!$A$2:$A$2198,0)), 0)</f>
        <v>-61.97625</v>
      </c>
      <c r="S234" s="34" t="s">
        <v>115</v>
      </c>
      <c r="T234" s="39" t="n">
        <f aca="false">IFERROR(INDEX('Data 2'!$L$2:$L$2198,MATCH(S234,'Data 2'!$A$2:$A$2198,0)), 0)</f>
        <v>99.38</v>
      </c>
      <c r="U234" s="39" t="n">
        <f aca="false">IFERROR(INDEX('Data 2'!$M$2:$M$2198,MATCH(S234,'Data 2'!$A$2:$A$2198,0)), 0)</f>
        <v>120.785</v>
      </c>
      <c r="V234" s="34" t="s">
        <v>118</v>
      </c>
      <c r="W234" s="39" t="n">
        <f aca="false">IFERROR(INDEX('Data 2'!$L$2:$L$2198,MATCH(V234,'Data 2'!$A$2:$A$2198,0)), 0)</f>
        <v>92.7166666666667</v>
      </c>
      <c r="X234" s="39" t="n">
        <f aca="false">IFERROR(INDEX('Data 2'!$M$2:$M$2198,MATCH(V234,'Data 2'!$A$2:$A$2198,0)), 0)</f>
        <v>142.18625</v>
      </c>
      <c r="Y234" s="37"/>
      <c r="Z234" s="37"/>
    </row>
    <row r="235" customFormat="false" ht="15.75" hidden="false" customHeight="true" outlineLevel="0" collapsed="false">
      <c r="A235" s="37"/>
      <c r="B235" s="37"/>
      <c r="C235" s="37"/>
      <c r="D235" s="34" t="s">
        <v>436</v>
      </c>
      <c r="E235" s="39" t="n">
        <f aca="false">IFERROR(INDEX('Data 2'!$L$2:$L$2198,MATCH(D235,'Data 2'!$A$2:$A$2198,0)), 0)</f>
        <v>24.57</v>
      </c>
      <c r="F235" s="39" t="n">
        <f aca="false">IFERROR(INDEX('Data 2'!$M$2:$M$2198,MATCH(D235,'Data 2'!$A$2:$A$2198,0)), 0)</f>
        <v>101.07625</v>
      </c>
      <c r="H235" s="36"/>
      <c r="I235" s="36"/>
      <c r="J235" s="36"/>
      <c r="K235" s="36"/>
      <c r="L235" s="36"/>
      <c r="M235" s="36"/>
      <c r="N235" s="36"/>
      <c r="O235" s="36"/>
      <c r="P235" s="34" t="s">
        <v>535</v>
      </c>
      <c r="Q235" s="39" t="n">
        <f aca="false">IFERROR(INDEX('Data 2'!$L$2:$L$2198,MATCH(P235,'Data 2'!$A$2:$A$2198,0)), 0)</f>
        <v>-37.68</v>
      </c>
      <c r="R235" s="39" t="n">
        <f aca="false">IFERROR(INDEX('Data 2'!$M$2:$M$2198,MATCH(P235,'Data 2'!$A$2:$A$2198,0)), 0)</f>
        <v>28.980625</v>
      </c>
      <c r="S235" s="34" t="s">
        <v>264</v>
      </c>
      <c r="T235" s="39" t="n">
        <f aca="false">IFERROR(INDEX('Data 2'!$L$2:$L$2198,MATCH(S235,'Data 2'!$A$2:$A$2198,0)), 0)</f>
        <v>-93.3566666666667</v>
      </c>
      <c r="U235" s="39" t="n">
        <f aca="false">IFERROR(INDEX('Data 2'!$M$2:$M$2198,MATCH(S235,'Data 2'!$A$2:$A$2198,0)), 0)</f>
        <v>-121.41625</v>
      </c>
      <c r="V235" s="34" t="s">
        <v>133</v>
      </c>
      <c r="W235" s="39" t="n">
        <f aca="false">IFERROR(INDEX('Data 2'!$L$2:$L$2198,MATCH(V235,'Data 2'!$A$2:$A$2198,0)), 0)</f>
        <v>49.7733333333333</v>
      </c>
      <c r="X235" s="39" t="n">
        <f aca="false">IFERROR(INDEX('Data 2'!$M$2:$M$2198,MATCH(V235,'Data 2'!$A$2:$A$2198,0)), 0)</f>
        <v>-6.99375</v>
      </c>
      <c r="Y235" s="37"/>
      <c r="Z235" s="37"/>
    </row>
    <row r="236" customFormat="false" ht="15.75" hidden="false" customHeight="true" outlineLevel="0" collapsed="false">
      <c r="A236" s="37"/>
      <c r="B236" s="37"/>
      <c r="C236" s="37"/>
      <c r="D236" s="34" t="s">
        <v>156</v>
      </c>
      <c r="E236" s="39" t="n">
        <f aca="false">IFERROR(INDEX('Data 2'!$L$2:$L$2198,MATCH(D236,'Data 2'!$A$2:$A$2198,0)), 0)</f>
        <v>92.8766666666667</v>
      </c>
      <c r="F236" s="39" t="n">
        <f aca="false">IFERROR(INDEX('Data 2'!$M$2:$M$2198,MATCH(D236,'Data 2'!$A$2:$A$2198,0)), 0)</f>
        <v>103.41375</v>
      </c>
      <c r="H236" s="36"/>
      <c r="I236" s="36"/>
      <c r="J236" s="36"/>
      <c r="K236" s="36"/>
      <c r="L236" s="36"/>
      <c r="M236" s="36"/>
      <c r="N236" s="36"/>
      <c r="O236" s="36"/>
      <c r="P236" s="34" t="s">
        <v>536</v>
      </c>
      <c r="Q236" s="39" t="n">
        <f aca="false">IFERROR(INDEX('Data 2'!$L$2:$L$2198,MATCH(P236,'Data 2'!$A$2:$A$2198,0)), 0)</f>
        <v>17.65</v>
      </c>
      <c r="R236" s="39" t="n">
        <f aca="false">IFERROR(INDEX('Data 2'!$M$2:$M$2198,MATCH(P236,'Data 2'!$A$2:$A$2198,0)), 0)</f>
        <v>-7.0975</v>
      </c>
      <c r="S236" s="34" t="s">
        <v>38</v>
      </c>
      <c r="T236" s="39" t="n">
        <f aca="false">IFERROR(INDEX('Data 2'!$L$2:$L$2198,MATCH(S236,'Data 2'!$A$2:$A$2198,0)), 0)</f>
        <v>-56.29</v>
      </c>
      <c r="U236" s="39" t="n">
        <f aca="false">IFERROR(INDEX('Data 2'!$M$2:$M$2198,MATCH(S236,'Data 2'!$A$2:$A$2198,0)), 0)</f>
        <v>-16.265</v>
      </c>
      <c r="V236" s="34" t="s">
        <v>164</v>
      </c>
      <c r="W236" s="39" t="n">
        <f aca="false">IFERROR(INDEX('Data 2'!$L$2:$L$2198,MATCH(V236,'Data 2'!$A$2:$A$2198,0)), 0)</f>
        <v>-125.086666666667</v>
      </c>
      <c r="X236" s="39" t="n">
        <f aca="false">IFERROR(INDEX('Data 2'!$M$2:$M$2198,MATCH(V236,'Data 2'!$A$2:$A$2198,0)), 0)</f>
        <v>-114.465</v>
      </c>
      <c r="Y236" s="37"/>
      <c r="Z236" s="37"/>
    </row>
    <row r="237" customFormat="false" ht="15.75" hidden="false" customHeight="true" outlineLevel="0" collapsed="false">
      <c r="A237" s="37"/>
      <c r="B237" s="37"/>
      <c r="C237" s="37"/>
      <c r="D237" s="34" t="s">
        <v>225</v>
      </c>
      <c r="E237" s="39" t="n">
        <f aca="false">IFERROR(INDEX('Data 2'!$L$2:$L$2198,MATCH(D237,'Data 2'!$A$2:$A$2198,0)), 0)</f>
        <v>16.1233333333333</v>
      </c>
      <c r="F237" s="39" t="n">
        <f aca="false">IFERROR(INDEX('Data 2'!$M$2:$M$2198,MATCH(D237,'Data 2'!$A$2:$A$2198,0)), 0)</f>
        <v>85.945</v>
      </c>
      <c r="H237" s="36"/>
      <c r="I237" s="36"/>
      <c r="J237" s="36"/>
      <c r="K237" s="36"/>
      <c r="L237" s="36"/>
      <c r="M237" s="36"/>
      <c r="N237" s="36"/>
      <c r="O237" s="36"/>
      <c r="P237" s="34" t="s">
        <v>537</v>
      </c>
      <c r="Q237" s="39" t="n">
        <f aca="false">IFERROR(INDEX('Data 2'!$L$2:$L$2198,MATCH(P237,'Data 2'!$A$2:$A$2198,0)), 0)</f>
        <v>104.923333333333</v>
      </c>
      <c r="R237" s="39" t="n">
        <f aca="false">IFERROR(INDEX('Data 2'!$M$2:$M$2198,MATCH(P237,'Data 2'!$A$2:$A$2198,0)), 0)</f>
        <v>96.55875</v>
      </c>
      <c r="S237" s="34" t="s">
        <v>241</v>
      </c>
      <c r="T237" s="39" t="n">
        <f aca="false">IFERROR(INDEX('Data 2'!$L$2:$L$2198,MATCH(S237,'Data 2'!$A$2:$A$2198,0)), 0)</f>
        <v>-31.2566666666667</v>
      </c>
      <c r="U237" s="39" t="n">
        <f aca="false">IFERROR(INDEX('Data 2'!$M$2:$M$2198,MATCH(S237,'Data 2'!$A$2:$A$2198,0)), 0)</f>
        <v>60.3325</v>
      </c>
      <c r="V237" s="34" t="s">
        <v>475</v>
      </c>
      <c r="W237" s="39" t="n">
        <f aca="false">IFERROR(INDEX('Data 2'!$L$2:$L$2198,MATCH(V237,'Data 2'!$A$2:$A$2198,0)), 0)</f>
        <v>14.0366666666667</v>
      </c>
      <c r="X237" s="39" t="n">
        <f aca="false">IFERROR(INDEX('Data 2'!$M$2:$M$2198,MATCH(V237,'Data 2'!$A$2:$A$2198,0)), 0)</f>
        <v>30.22</v>
      </c>
      <c r="Y237" s="37"/>
      <c r="Z237" s="37"/>
    </row>
    <row r="238" customFormat="false" ht="15.75" hidden="false" customHeight="true" outlineLevel="0" collapsed="false">
      <c r="A238" s="37"/>
      <c r="B238" s="37"/>
      <c r="C238" s="37"/>
      <c r="D238" s="34" t="s">
        <v>76</v>
      </c>
      <c r="E238" s="39" t="n">
        <f aca="false">IFERROR(INDEX('Data 2'!$L$2:$L$2198,MATCH(D238,'Data 2'!$A$2:$A$2198,0)), 0)</f>
        <v>42.42</v>
      </c>
      <c r="F238" s="39" t="n">
        <f aca="false">IFERROR(INDEX('Data 2'!$M$2:$M$2198,MATCH(D238,'Data 2'!$A$2:$A$2198,0)), 0)</f>
        <v>-43.9075</v>
      </c>
      <c r="H238" s="36"/>
      <c r="I238" s="36"/>
      <c r="J238" s="36"/>
      <c r="K238" s="36"/>
      <c r="L238" s="36"/>
      <c r="M238" s="36"/>
      <c r="N238" s="36"/>
      <c r="O238" s="36"/>
      <c r="P238" s="34" t="s">
        <v>538</v>
      </c>
      <c r="Q238" s="39" t="n">
        <f aca="false">IFERROR(INDEX('Data 2'!$L$2:$L$2198,MATCH(P238,'Data 2'!$A$2:$A$2198,0)), 0)</f>
        <v>-27.8066666666667</v>
      </c>
      <c r="R238" s="39" t="n">
        <f aca="false">IFERROR(INDEX('Data 2'!$M$2:$M$2198,MATCH(P238,'Data 2'!$A$2:$A$2198,0)), 0)</f>
        <v>-25.56375</v>
      </c>
      <c r="S238" s="34" t="s">
        <v>467</v>
      </c>
      <c r="T238" s="39" t="n">
        <f aca="false">IFERROR(INDEX('Data 2'!$L$2:$L$2198,MATCH(S238,'Data 2'!$A$2:$A$2198,0)), 0)</f>
        <v>94.13</v>
      </c>
      <c r="U238" s="39" t="n">
        <f aca="false">IFERROR(INDEX('Data 2'!$M$2:$M$2198,MATCH(S238,'Data 2'!$A$2:$A$2198,0)), 0)</f>
        <v>180.25375</v>
      </c>
      <c r="V238" s="34" t="s">
        <v>138</v>
      </c>
      <c r="W238" s="39" t="n">
        <f aca="false">IFERROR(INDEX('Data 2'!$L$2:$L$2198,MATCH(V238,'Data 2'!$A$2:$A$2198,0)), 0)</f>
        <v>80.2633333333333</v>
      </c>
      <c r="X238" s="39" t="n">
        <f aca="false">IFERROR(INDEX('Data 2'!$M$2:$M$2198,MATCH(V238,'Data 2'!$A$2:$A$2198,0)), 0)</f>
        <v>107.23375</v>
      </c>
      <c r="Y238" s="37"/>
      <c r="Z238" s="37"/>
    </row>
    <row r="239" customFormat="false" ht="15.75" hidden="false" customHeight="true" outlineLevel="0" collapsed="false">
      <c r="A239" s="37"/>
      <c r="B239" s="37"/>
      <c r="C239" s="37"/>
      <c r="D239" s="34" t="s">
        <v>150</v>
      </c>
      <c r="E239" s="39" t="n">
        <f aca="false">IFERROR(INDEX('Data 2'!$L$2:$L$2198,MATCH(D239,'Data 2'!$A$2:$A$2198,0)), 0)</f>
        <v>9.21333333333333</v>
      </c>
      <c r="F239" s="39" t="n">
        <f aca="false">IFERROR(INDEX('Data 2'!$M$2:$M$2198,MATCH(D239,'Data 2'!$A$2:$A$2198,0)), 0)</f>
        <v>74.71125</v>
      </c>
      <c r="H239" s="36"/>
      <c r="I239" s="36"/>
      <c r="J239" s="36"/>
      <c r="K239" s="36"/>
      <c r="L239" s="36"/>
      <c r="M239" s="36"/>
      <c r="N239" s="36"/>
      <c r="O239" s="36"/>
      <c r="P239" s="34" t="s">
        <v>539</v>
      </c>
      <c r="Q239" s="39" t="n">
        <f aca="false">IFERROR(INDEX('Data 2'!$L$2:$L$2198,MATCH(P239,'Data 2'!$A$2:$A$2198,0)), 0)</f>
        <v>81.8166666666667</v>
      </c>
      <c r="R239" s="39" t="n">
        <f aca="false">IFERROR(INDEX('Data 2'!$M$2:$M$2198,MATCH(P239,'Data 2'!$A$2:$A$2198,0)), 0)</f>
        <v>48.25875</v>
      </c>
      <c r="S239" s="34" t="s">
        <v>181</v>
      </c>
      <c r="T239" s="39" t="n">
        <f aca="false">IFERROR(INDEX('Data 2'!$L$2:$L$2198,MATCH(S239,'Data 2'!$A$2:$A$2198,0)), 0)</f>
        <v>76.9766666666667</v>
      </c>
      <c r="U239" s="39" t="n">
        <f aca="false">IFERROR(INDEX('Data 2'!$M$2:$M$2198,MATCH(S239,'Data 2'!$A$2:$A$2198,0)), 0)</f>
        <v>100.7175</v>
      </c>
      <c r="V239" s="34" t="s">
        <v>476</v>
      </c>
      <c r="W239" s="39" t="n">
        <f aca="false">IFERROR(INDEX('Data 2'!$L$2:$L$2198,MATCH(V239,'Data 2'!$A$2:$A$2198,0)), 0)</f>
        <v>114.603333333333</v>
      </c>
      <c r="X239" s="39" t="n">
        <f aca="false">IFERROR(INDEX('Data 2'!$M$2:$M$2198,MATCH(V239,'Data 2'!$A$2:$A$2198,0)), 0)</f>
        <v>222.48</v>
      </c>
      <c r="Y239" s="37"/>
      <c r="Z239" s="37"/>
    </row>
    <row r="240" customFormat="false" ht="15.75" hidden="false" customHeight="true" outlineLevel="0" collapsed="false">
      <c r="A240" s="37"/>
      <c r="B240" s="37"/>
      <c r="C240" s="37"/>
      <c r="D240" s="34" t="s">
        <v>182</v>
      </c>
      <c r="E240" s="39" t="n">
        <f aca="false">IFERROR(INDEX('Data 2'!$L$2:$L$2198,MATCH(D240,'Data 2'!$A$2:$A$2198,0)), 0)</f>
        <v>-87.9033333333333</v>
      </c>
      <c r="F240" s="39" t="n">
        <f aca="false">IFERROR(INDEX('Data 2'!$M$2:$M$2198,MATCH(D240,'Data 2'!$A$2:$A$2198,0)), 0)</f>
        <v>-55.84875</v>
      </c>
      <c r="H240" s="36"/>
      <c r="I240" s="36"/>
      <c r="J240" s="36"/>
      <c r="K240" s="36"/>
      <c r="L240" s="36"/>
      <c r="M240" s="36"/>
      <c r="N240" s="36"/>
      <c r="O240" s="36"/>
      <c r="P240" s="34" t="s">
        <v>540</v>
      </c>
      <c r="Q240" s="39" t="n">
        <f aca="false">IFERROR(INDEX('Data 2'!$L$2:$L$2198,MATCH(P240,'Data 2'!$A$2:$A$2198,0)), 0)</f>
        <v>-76.24</v>
      </c>
      <c r="R240" s="39" t="n">
        <f aca="false">IFERROR(INDEX('Data 2'!$M$2:$M$2198,MATCH(P240,'Data 2'!$A$2:$A$2198,0)), 0)</f>
        <v>-61.29875</v>
      </c>
      <c r="S240" s="34" t="s">
        <v>127</v>
      </c>
      <c r="T240" s="39" t="n">
        <f aca="false">IFERROR(INDEX('Data 2'!$L$2:$L$2198,MATCH(S240,'Data 2'!$A$2:$A$2198,0)), 0)</f>
        <v>-54.8133333333333</v>
      </c>
      <c r="U240" s="39" t="n">
        <f aca="false">IFERROR(INDEX('Data 2'!$M$2:$M$2198,MATCH(S240,'Data 2'!$A$2:$A$2198,0)), 0)</f>
        <v>50.4375</v>
      </c>
      <c r="V240" s="34" t="s">
        <v>398</v>
      </c>
      <c r="W240" s="39" t="n">
        <f aca="false">IFERROR(INDEX('Data 2'!$L$2:$L$2198,MATCH(V240,'Data 2'!$A$2:$A$2198,0)), 0)</f>
        <v>-59</v>
      </c>
      <c r="X240" s="39" t="n">
        <f aca="false">IFERROR(INDEX('Data 2'!$M$2:$M$2198,MATCH(V240,'Data 2'!$A$2:$A$2198,0)), 0)</f>
        <v>-66.46125</v>
      </c>
      <c r="Y240" s="37"/>
      <c r="Z240" s="37"/>
    </row>
    <row r="241" customFormat="false" ht="15.75" hidden="false" customHeight="true" outlineLevel="0" collapsed="false">
      <c r="A241" s="37"/>
      <c r="B241" s="37"/>
      <c r="C241" s="37"/>
      <c r="D241" s="34" t="s">
        <v>380</v>
      </c>
      <c r="E241" s="39" t="n">
        <f aca="false">IFERROR(INDEX('Data 2'!$L$2:$L$2198,MATCH(D241,'Data 2'!$A$2:$A$2198,0)), 0)</f>
        <v>28.65</v>
      </c>
      <c r="F241" s="39" t="n">
        <f aca="false">IFERROR(INDEX('Data 2'!$M$2:$M$2198,MATCH(D241,'Data 2'!$A$2:$A$2198,0)), 0)</f>
        <v>3.62875</v>
      </c>
      <c r="H241" s="36"/>
      <c r="I241" s="36"/>
      <c r="J241" s="36"/>
      <c r="K241" s="36"/>
      <c r="L241" s="36"/>
      <c r="M241" s="36"/>
      <c r="N241" s="36"/>
      <c r="O241" s="36"/>
      <c r="P241" s="34" t="s">
        <v>541</v>
      </c>
      <c r="Q241" s="39" t="n">
        <f aca="false">IFERROR(INDEX('Data 2'!$L$2:$L$2198,MATCH(P241,'Data 2'!$A$2:$A$2198,0)), 0)</f>
        <v>-48.1966666666667</v>
      </c>
      <c r="R241" s="39" t="n">
        <f aca="false">IFERROR(INDEX('Data 2'!$M$2:$M$2198,MATCH(P241,'Data 2'!$A$2:$A$2198,0)), 0)</f>
        <v>-76.1875</v>
      </c>
      <c r="S241" s="34" t="s">
        <v>213</v>
      </c>
      <c r="T241" s="39" t="n">
        <f aca="false">IFERROR(INDEX('Data 2'!$L$2:$L$2198,MATCH(S241,'Data 2'!$A$2:$A$2198,0)), 0)</f>
        <v>-46.6133333333333</v>
      </c>
      <c r="U241" s="39" t="n">
        <f aca="false">IFERROR(INDEX('Data 2'!$M$2:$M$2198,MATCH(S241,'Data 2'!$A$2:$A$2198,0)), 0)</f>
        <v>-26.87</v>
      </c>
      <c r="V241" s="34" t="s">
        <v>400</v>
      </c>
      <c r="W241" s="39" t="n">
        <f aca="false">IFERROR(INDEX('Data 2'!$L$2:$L$2198,MATCH(V241,'Data 2'!$A$2:$A$2198,0)), 0)</f>
        <v>-115.23</v>
      </c>
      <c r="X241" s="39" t="n">
        <f aca="false">IFERROR(INDEX('Data 2'!$M$2:$M$2198,MATCH(V241,'Data 2'!$A$2:$A$2198,0)), 0)</f>
        <v>-85.77875</v>
      </c>
      <c r="Y241" s="37"/>
      <c r="Z241" s="37"/>
    </row>
    <row r="242" customFormat="false" ht="15.75" hidden="false" customHeight="true" outlineLevel="0" collapsed="false">
      <c r="A242" s="37"/>
      <c r="B242" s="37"/>
      <c r="C242" s="37"/>
      <c r="D242" s="34" t="s">
        <v>157</v>
      </c>
      <c r="E242" s="39" t="n">
        <f aca="false">IFERROR(INDEX('Data 2'!$L$2:$L$2198,MATCH(D242,'Data 2'!$A$2:$A$2198,0)), 0)</f>
        <v>-60.99</v>
      </c>
      <c r="F242" s="39" t="n">
        <f aca="false">IFERROR(INDEX('Data 2'!$M$2:$M$2198,MATCH(D242,'Data 2'!$A$2:$A$2198,0)), 0)</f>
        <v>-76.92875</v>
      </c>
      <c r="H242" s="36"/>
      <c r="I242" s="36"/>
      <c r="J242" s="36"/>
      <c r="K242" s="36"/>
      <c r="L242" s="36"/>
      <c r="M242" s="36"/>
      <c r="N242" s="36"/>
      <c r="O242" s="36"/>
      <c r="P242" s="34" t="s">
        <v>542</v>
      </c>
      <c r="Q242" s="39" t="n">
        <f aca="false">IFERROR(INDEX('Data 2'!$L$2:$L$2198,MATCH(P242,'Data 2'!$A$2:$A$2198,0)), 0)</f>
        <v>18.4533333333333</v>
      </c>
      <c r="R242" s="39" t="n">
        <f aca="false">IFERROR(INDEX('Data 2'!$M$2:$M$2198,MATCH(P242,'Data 2'!$A$2:$A$2198,0)), 0)</f>
        <v>36.31125</v>
      </c>
      <c r="S242" s="34" t="s">
        <v>50</v>
      </c>
      <c r="T242" s="39" t="n">
        <f aca="false">IFERROR(INDEX('Data 2'!$L$2:$L$2198,MATCH(S242,'Data 2'!$A$2:$A$2198,0)), 0)</f>
        <v>-130.666666666667</v>
      </c>
      <c r="U242" s="39" t="n">
        <f aca="false">IFERROR(INDEX('Data 2'!$M$2:$M$2198,MATCH(S242,'Data 2'!$A$2:$A$2198,0)), 0)</f>
        <v>-131.56</v>
      </c>
      <c r="V242" s="34" t="s">
        <v>146</v>
      </c>
      <c r="W242" s="39" t="n">
        <f aca="false">IFERROR(INDEX('Data 2'!$L$2:$L$2198,MATCH(V242,'Data 2'!$A$2:$A$2198,0)), 0)</f>
        <v>64.1</v>
      </c>
      <c r="X242" s="39" t="n">
        <f aca="false">IFERROR(INDEX('Data 2'!$M$2:$M$2198,MATCH(V242,'Data 2'!$A$2:$A$2198,0)), 0)</f>
        <v>37.375</v>
      </c>
      <c r="Y242" s="37"/>
      <c r="Z242" s="37"/>
    </row>
    <row r="243" customFormat="false" ht="15.75" hidden="false" customHeight="true" outlineLevel="0" collapsed="false">
      <c r="A243" s="37"/>
      <c r="B243" s="37"/>
      <c r="C243" s="37"/>
      <c r="D243" s="34" t="s">
        <v>230</v>
      </c>
      <c r="E243" s="39" t="n">
        <f aca="false">IFERROR(INDEX('Data 2'!$L$2:$L$2198,MATCH(D243,'Data 2'!$A$2:$A$2198,0)), 0)</f>
        <v>-87.33</v>
      </c>
      <c r="F243" s="39" t="n">
        <f aca="false">IFERROR(INDEX('Data 2'!$M$2:$M$2198,MATCH(D243,'Data 2'!$A$2:$A$2198,0)), 0)</f>
        <v>-85.78125</v>
      </c>
      <c r="H243" s="36"/>
      <c r="I243" s="36"/>
      <c r="J243" s="36"/>
      <c r="K243" s="36"/>
      <c r="L243" s="36"/>
      <c r="M243" s="36"/>
      <c r="N243" s="36"/>
      <c r="O243" s="36"/>
      <c r="P243" s="34" t="s">
        <v>543</v>
      </c>
      <c r="Q243" s="39" t="n">
        <f aca="false">IFERROR(INDEX('Data 2'!$L$2:$L$2198,MATCH(P243,'Data 2'!$A$2:$A$2198,0)), 0)</f>
        <v>18.6466666666667</v>
      </c>
      <c r="R243" s="39" t="n">
        <f aca="false">IFERROR(INDEX('Data 2'!$M$2:$M$2198,MATCH(P243,'Data 2'!$A$2:$A$2198,0)), 0)</f>
        <v>-2.77125</v>
      </c>
      <c r="S243" s="34" t="s">
        <v>49</v>
      </c>
      <c r="T243" s="39" t="n">
        <f aca="false">IFERROR(INDEX('Data 2'!$L$2:$L$2198,MATCH(S243,'Data 2'!$A$2:$A$2198,0)), 0)</f>
        <v>11.66</v>
      </c>
      <c r="U243" s="39" t="n">
        <f aca="false">IFERROR(INDEX('Data 2'!$M$2:$M$2198,MATCH(S243,'Data 2'!$A$2:$A$2198,0)), 0)</f>
        <v>-34.2975</v>
      </c>
      <c r="V243" s="34" t="s">
        <v>477</v>
      </c>
      <c r="W243" s="39" t="n">
        <f aca="false">IFERROR(INDEX('Data 2'!$L$2:$L$2198,MATCH(V243,'Data 2'!$A$2:$A$2198,0)), 0)</f>
        <v>-42.2633333333333</v>
      </c>
      <c r="X243" s="39" t="n">
        <f aca="false">IFERROR(INDEX('Data 2'!$M$2:$M$2198,MATCH(V243,'Data 2'!$A$2:$A$2198,0)), 0)</f>
        <v>-32.24</v>
      </c>
      <c r="Y243" s="37"/>
      <c r="Z243" s="37"/>
    </row>
    <row r="244" customFormat="false" ht="15.75" hidden="false" customHeight="true" outlineLevel="0" collapsed="false">
      <c r="A244" s="37"/>
      <c r="B244" s="37"/>
      <c r="C244" s="37"/>
      <c r="D244" s="34" t="s">
        <v>382</v>
      </c>
      <c r="E244" s="39" t="n">
        <f aca="false">IFERROR(INDEX('Data 2'!$L$2:$L$2198,MATCH(D244,'Data 2'!$A$2:$A$2198,0)), 0)</f>
        <v>-39.29</v>
      </c>
      <c r="F244" s="39" t="n">
        <f aca="false">IFERROR(INDEX('Data 2'!$M$2:$M$2198,MATCH(D244,'Data 2'!$A$2:$A$2198,0)), 0)</f>
        <v>-70.49</v>
      </c>
      <c r="H244" s="36"/>
      <c r="I244" s="36"/>
      <c r="J244" s="36"/>
      <c r="K244" s="36"/>
      <c r="L244" s="36"/>
      <c r="M244" s="36"/>
      <c r="N244" s="36"/>
      <c r="O244" s="36"/>
      <c r="P244" s="34" t="s">
        <v>544</v>
      </c>
      <c r="Q244" s="39" t="n">
        <f aca="false">IFERROR(INDEX('Data 2'!$L$2:$L$2198,MATCH(P244,'Data 2'!$A$2:$A$2198,0)), 0)</f>
        <v>-100.04</v>
      </c>
      <c r="R244" s="39" t="n">
        <f aca="false">IFERROR(INDEX('Data 2'!$M$2:$M$2198,MATCH(P244,'Data 2'!$A$2:$A$2198,0)), 0)</f>
        <v>-40.48375</v>
      </c>
      <c r="S244" s="34" t="s">
        <v>219</v>
      </c>
      <c r="T244" s="39" t="n">
        <f aca="false">IFERROR(INDEX('Data 2'!$L$2:$L$2198,MATCH(S244,'Data 2'!$A$2:$A$2198,0)), 0)</f>
        <v>9.24333333333333</v>
      </c>
      <c r="U244" s="39" t="n">
        <f aca="false">IFERROR(INDEX('Data 2'!$M$2:$M$2198,MATCH(S244,'Data 2'!$A$2:$A$2198,0)), 0)</f>
        <v>47.28125</v>
      </c>
      <c r="V244" s="34" t="s">
        <v>83</v>
      </c>
      <c r="W244" s="39" t="n">
        <f aca="false">IFERROR(INDEX('Data 2'!$L$2:$L$2198,MATCH(V244,'Data 2'!$A$2:$A$2198,0)), 0)</f>
        <v>11.0933333333333</v>
      </c>
      <c r="X244" s="39" t="n">
        <f aca="false">IFERROR(INDEX('Data 2'!$M$2:$M$2198,MATCH(V244,'Data 2'!$A$2:$A$2198,0)), 0)</f>
        <v>45.75125</v>
      </c>
      <c r="Y244" s="37"/>
      <c r="Z244" s="37"/>
    </row>
    <row r="245" customFormat="false" ht="15.75" hidden="false" customHeight="true" outlineLevel="0" collapsed="false">
      <c r="A245" s="37"/>
      <c r="B245" s="37"/>
      <c r="C245" s="37"/>
      <c r="D245" s="34" t="s">
        <v>151</v>
      </c>
      <c r="E245" s="39" t="n">
        <f aca="false">IFERROR(INDEX('Data 2'!$L$2:$L$2198,MATCH(D245,'Data 2'!$A$2:$A$2198,0)), 0)</f>
        <v>86.2033333333333</v>
      </c>
      <c r="F245" s="39" t="n">
        <f aca="false">IFERROR(INDEX('Data 2'!$M$2:$M$2198,MATCH(D245,'Data 2'!$A$2:$A$2198,0)), 0)</f>
        <v>35.47</v>
      </c>
      <c r="H245" s="36"/>
      <c r="I245" s="36"/>
      <c r="J245" s="36"/>
      <c r="K245" s="36"/>
      <c r="L245" s="36"/>
      <c r="M245" s="36"/>
      <c r="N245" s="36"/>
      <c r="O245" s="36"/>
      <c r="P245" s="34" t="s">
        <v>545</v>
      </c>
      <c r="Q245" s="39" t="n">
        <f aca="false">IFERROR(INDEX('Data 2'!$L$2:$L$2198,MATCH(P245,'Data 2'!$A$2:$A$2198,0)), 0)</f>
        <v>-51.9333333333333</v>
      </c>
      <c r="R245" s="39" t="n">
        <f aca="false">IFERROR(INDEX('Data 2'!$M$2:$M$2198,MATCH(P245,'Data 2'!$A$2:$A$2198,0)), 0)</f>
        <v>-66.32625</v>
      </c>
      <c r="S245" s="34" t="s">
        <v>110</v>
      </c>
      <c r="T245" s="39" t="n">
        <f aca="false">IFERROR(INDEX('Data 2'!$L$2:$L$2198,MATCH(S245,'Data 2'!$A$2:$A$2198,0)), 0)</f>
        <v>62.7333333333333</v>
      </c>
      <c r="U245" s="39" t="n">
        <f aca="false">IFERROR(INDEX('Data 2'!$M$2:$M$2198,MATCH(S245,'Data 2'!$A$2:$A$2198,0)), 0)</f>
        <v>44.105</v>
      </c>
      <c r="V245" s="34" t="s">
        <v>167</v>
      </c>
      <c r="W245" s="39" t="n">
        <f aca="false">IFERROR(INDEX('Data 2'!$L$2:$L$2198,MATCH(V245,'Data 2'!$A$2:$A$2198,0)), 0)</f>
        <v>-83.95</v>
      </c>
      <c r="X245" s="39" t="n">
        <f aca="false">IFERROR(INDEX('Data 2'!$M$2:$M$2198,MATCH(V245,'Data 2'!$A$2:$A$2198,0)), 0)</f>
        <v>-70.52125</v>
      </c>
      <c r="Y245" s="37"/>
      <c r="Z245" s="37"/>
    </row>
    <row r="246" customFormat="false" ht="15.75" hidden="false" customHeight="true" outlineLevel="0" collapsed="false">
      <c r="A246" s="37"/>
      <c r="B246" s="37"/>
      <c r="C246" s="37"/>
      <c r="D246" s="34" t="s">
        <v>190</v>
      </c>
      <c r="E246" s="39" t="n">
        <f aca="false">IFERROR(INDEX('Data 2'!$L$2:$L$2198,MATCH(D246,'Data 2'!$A$2:$A$2198,0)), 0)</f>
        <v>104.733333333333</v>
      </c>
      <c r="F246" s="39" t="n">
        <f aca="false">IFERROR(INDEX('Data 2'!$M$2:$M$2198,MATCH(D246,'Data 2'!$A$2:$A$2198,0)), 0)</f>
        <v>-5.6225</v>
      </c>
      <c r="H246" s="36"/>
      <c r="I246" s="36"/>
      <c r="J246" s="36"/>
      <c r="K246" s="36"/>
      <c r="L246" s="36"/>
      <c r="M246" s="36"/>
      <c r="N246" s="36"/>
      <c r="O246" s="36"/>
      <c r="P246" s="34" t="s">
        <v>546</v>
      </c>
      <c r="Q246" s="39" t="n">
        <f aca="false">IFERROR(INDEX('Data 2'!$L$2:$L$2198,MATCH(P246,'Data 2'!$A$2:$A$2198,0)), 0)</f>
        <v>86.2933333333333</v>
      </c>
      <c r="R246" s="39" t="n">
        <f aca="false">IFERROR(INDEX('Data 2'!$M$2:$M$2198,MATCH(P246,'Data 2'!$A$2:$A$2198,0)), 0)</f>
        <v>36.5</v>
      </c>
      <c r="S246" s="34" t="s">
        <v>353</v>
      </c>
      <c r="T246" s="39" t="n">
        <f aca="false">IFERROR(INDEX('Data 2'!$L$2:$L$2198,MATCH(S246,'Data 2'!$A$2:$A$2198,0)), 0)</f>
        <v>0</v>
      </c>
      <c r="U246" s="39" t="n">
        <f aca="false">IFERROR(INDEX('Data 2'!$M$2:$M$2198,MATCH(S246,'Data 2'!$A$2:$A$2198,0)), 0)</f>
        <v>0</v>
      </c>
      <c r="V246" s="34" t="s">
        <v>478</v>
      </c>
      <c r="W246" s="39" t="n">
        <f aca="false">IFERROR(INDEX('Data 2'!$L$2:$L$2198,MATCH(V246,'Data 2'!$A$2:$A$2198,0)), 0)</f>
        <v>-80.3533333333333</v>
      </c>
      <c r="X246" s="39" t="n">
        <f aca="false">IFERROR(INDEX('Data 2'!$M$2:$M$2198,MATCH(V246,'Data 2'!$A$2:$A$2198,0)), 0)</f>
        <v>-68.88375</v>
      </c>
      <c r="Y246" s="37"/>
      <c r="Z246" s="37"/>
    </row>
    <row r="247" customFormat="false" ht="15.75" hidden="false" customHeight="true" outlineLevel="0" collapsed="false">
      <c r="A247" s="37"/>
      <c r="B247" s="37"/>
      <c r="C247" s="37"/>
      <c r="D247" s="34" t="s">
        <v>47</v>
      </c>
      <c r="E247" s="39" t="n">
        <f aca="false">IFERROR(INDEX('Data 2'!$L$2:$L$2198,MATCH(D247,'Data 2'!$A$2:$A$2198,0)), 0)</f>
        <v>-105.66</v>
      </c>
      <c r="F247" s="39" t="n">
        <f aca="false">IFERROR(INDEX('Data 2'!$M$2:$M$2198,MATCH(D247,'Data 2'!$A$2:$A$2198,0)), 0)</f>
        <v>-105.14625</v>
      </c>
      <c r="H247" s="36"/>
      <c r="I247" s="36"/>
      <c r="J247" s="36"/>
      <c r="K247" s="36"/>
      <c r="L247" s="36"/>
      <c r="M247" s="36"/>
      <c r="N247" s="36"/>
      <c r="O247" s="36"/>
      <c r="P247" s="34" t="s">
        <v>547</v>
      </c>
      <c r="Q247" s="39" t="n">
        <f aca="false">IFERROR(INDEX('Data 2'!$L$2:$L$2198,MATCH(P247,'Data 2'!$A$2:$A$2198,0)), 0)</f>
        <v>-38.98</v>
      </c>
      <c r="R247" s="39" t="n">
        <f aca="false">IFERROR(INDEX('Data 2'!$M$2:$M$2198,MATCH(P247,'Data 2'!$A$2:$A$2198,0)), 0)</f>
        <v>-78.89625</v>
      </c>
      <c r="S247" s="34" t="s">
        <v>56</v>
      </c>
      <c r="T247" s="39" t="n">
        <f aca="false">IFERROR(INDEX('Data 2'!$L$2:$L$2198,MATCH(S247,'Data 2'!$A$2:$A$2198,0)), 0)</f>
        <v>29.0366666666667</v>
      </c>
      <c r="U247" s="39" t="n">
        <f aca="false">IFERROR(INDEX('Data 2'!$M$2:$M$2198,MATCH(S247,'Data 2'!$A$2:$A$2198,0)), 0)</f>
        <v>50.28375</v>
      </c>
      <c r="V247" s="34" t="s">
        <v>116</v>
      </c>
      <c r="W247" s="39" t="n">
        <f aca="false">IFERROR(INDEX('Data 2'!$L$2:$L$2198,MATCH(V247,'Data 2'!$A$2:$A$2198,0)), 0)</f>
        <v>-30.3066666666667</v>
      </c>
      <c r="X247" s="39" t="n">
        <f aca="false">IFERROR(INDEX('Data 2'!$M$2:$M$2198,MATCH(V247,'Data 2'!$A$2:$A$2198,0)), 0)</f>
        <v>-16.89125</v>
      </c>
      <c r="Y247" s="37"/>
      <c r="Z247" s="37"/>
    </row>
    <row r="248" customFormat="false" ht="15.75" hidden="false" customHeight="true" outlineLevel="0" collapsed="false">
      <c r="A248" s="37"/>
      <c r="B248" s="37"/>
      <c r="C248" s="37"/>
      <c r="D248" s="34" t="s">
        <v>46</v>
      </c>
      <c r="E248" s="39" t="n">
        <f aca="false">IFERROR(INDEX('Data 2'!$L$2:$L$2198,MATCH(D248,'Data 2'!$A$2:$A$2198,0)), 0)</f>
        <v>7.12</v>
      </c>
      <c r="F248" s="39" t="n">
        <f aca="false">IFERROR(INDEX('Data 2'!$M$2:$M$2198,MATCH(D248,'Data 2'!$A$2:$A$2198,0)), 0)</f>
        <v>-16.55375</v>
      </c>
      <c r="H248" s="36"/>
      <c r="I248" s="36"/>
      <c r="J248" s="36"/>
      <c r="K248" s="36"/>
      <c r="L248" s="36"/>
      <c r="M248" s="36"/>
      <c r="N248" s="36"/>
      <c r="O248" s="36"/>
      <c r="P248" s="34" t="s">
        <v>548</v>
      </c>
      <c r="Q248" s="39" t="n">
        <f aca="false">IFERROR(INDEX('Data 2'!$L$2:$L$2198,MATCH(P248,'Data 2'!$A$2:$A$2198,0)), 0)</f>
        <v>12.2866666666667</v>
      </c>
      <c r="R248" s="39" t="n">
        <f aca="false">IFERROR(INDEX('Data 2'!$M$2:$M$2198,MATCH(P248,'Data 2'!$A$2:$A$2198,0)), 0)</f>
        <v>-15.75375</v>
      </c>
      <c r="S248" s="34" t="s">
        <v>48</v>
      </c>
      <c r="T248" s="39" t="n">
        <f aca="false">IFERROR(INDEX('Data 2'!$L$2:$L$2198,MATCH(S248,'Data 2'!$A$2:$A$2198,0)), 0)</f>
        <v>17.56</v>
      </c>
      <c r="U248" s="39" t="n">
        <f aca="false">IFERROR(INDEX('Data 2'!$M$2:$M$2198,MATCH(S248,'Data 2'!$A$2:$A$2198,0)), 0)</f>
        <v>-16.93</v>
      </c>
      <c r="V248" s="34" t="s">
        <v>479</v>
      </c>
      <c r="W248" s="39" t="n">
        <f aca="false">IFERROR(INDEX('Data 2'!$L$2:$L$2198,MATCH(V248,'Data 2'!$A$2:$A$2198,0)), 0)</f>
        <v>-56.2266666666667</v>
      </c>
      <c r="X248" s="39" t="n">
        <f aca="false">IFERROR(INDEX('Data 2'!$M$2:$M$2198,MATCH(V248,'Data 2'!$A$2:$A$2198,0)), 0)</f>
        <v>-39.56625</v>
      </c>
      <c r="Y248" s="37"/>
      <c r="Z248" s="37"/>
    </row>
    <row r="249" customFormat="false" ht="15.75" hidden="false" customHeight="true" outlineLevel="0" collapsed="false">
      <c r="A249" s="37"/>
      <c r="B249" s="37"/>
      <c r="C249" s="37"/>
      <c r="D249" s="34" t="s">
        <v>132</v>
      </c>
      <c r="E249" s="39" t="n">
        <f aca="false">IFERROR(INDEX('Data 2'!$L$2:$L$2198,MATCH(D249,'Data 2'!$A$2:$A$2198,0)), 0)</f>
        <v>37.1933333333333</v>
      </c>
      <c r="F249" s="39" t="n">
        <f aca="false">IFERROR(INDEX('Data 2'!$M$2:$M$2198,MATCH(D249,'Data 2'!$A$2:$A$2198,0)), 0)</f>
        <v>-21.66125</v>
      </c>
      <c r="H249" s="36"/>
      <c r="I249" s="36"/>
      <c r="J249" s="36"/>
      <c r="K249" s="36"/>
      <c r="L249" s="36"/>
      <c r="M249" s="36"/>
      <c r="N249" s="36"/>
      <c r="O249" s="36"/>
      <c r="P249" s="34" t="s">
        <v>549</v>
      </c>
      <c r="Q249" s="39" t="n">
        <f aca="false">IFERROR(INDEX('Data 2'!$L$2:$L$2198,MATCH(P249,'Data 2'!$A$2:$A$2198,0)), 0)</f>
        <v>4.34666666666667</v>
      </c>
      <c r="R249" s="39" t="n">
        <f aca="false">IFERROR(INDEX('Data 2'!$M$2:$M$2198,MATCH(P249,'Data 2'!$A$2:$A$2198,0)), 0)</f>
        <v>-2.74625</v>
      </c>
      <c r="S249" s="34" t="s">
        <v>234</v>
      </c>
      <c r="T249" s="39" t="n">
        <f aca="false">IFERROR(INDEX('Data 2'!$L$2:$L$2198,MATCH(S249,'Data 2'!$A$2:$A$2198,0)), 0)</f>
        <v>-7.70666666666667</v>
      </c>
      <c r="U249" s="39" t="n">
        <f aca="false">IFERROR(INDEX('Data 2'!$M$2:$M$2198,MATCH(S249,'Data 2'!$A$2:$A$2198,0)), 0)</f>
        <v>-11.97375</v>
      </c>
      <c r="V249" s="34" t="s">
        <v>97</v>
      </c>
      <c r="W249" s="39" t="n">
        <f aca="false">IFERROR(INDEX('Data 2'!$L$2:$L$2198,MATCH(V249,'Data 2'!$A$2:$A$2198,0)), 0)</f>
        <v>32.2433333333333</v>
      </c>
      <c r="X249" s="39" t="n">
        <f aca="false">IFERROR(INDEX('Data 2'!$M$2:$M$2198,MATCH(V249,'Data 2'!$A$2:$A$2198,0)), 0)</f>
        <v>46.7875</v>
      </c>
      <c r="Y249" s="37"/>
      <c r="Z249" s="37"/>
    </row>
    <row r="250" customFormat="false" ht="15.75" hidden="false" customHeight="true" outlineLevel="0" collapsed="false">
      <c r="A250" s="37"/>
      <c r="B250" s="37"/>
      <c r="C250" s="37"/>
      <c r="D250" s="34" t="s">
        <v>439</v>
      </c>
      <c r="E250" s="39" t="n">
        <f aca="false">IFERROR(INDEX('Data 2'!$L$2:$L$2198,MATCH(D250,'Data 2'!$A$2:$A$2198,0)), 0)</f>
        <v>98.0566666666667</v>
      </c>
      <c r="F250" s="39" t="n">
        <f aca="false">IFERROR(INDEX('Data 2'!$M$2:$M$2198,MATCH(D250,'Data 2'!$A$2:$A$2198,0)), 0)</f>
        <v>-38.69125</v>
      </c>
      <c r="H250" s="36"/>
      <c r="I250" s="36"/>
      <c r="J250" s="36"/>
      <c r="K250" s="36"/>
      <c r="L250" s="36"/>
      <c r="M250" s="36"/>
      <c r="N250" s="36"/>
      <c r="O250" s="36"/>
      <c r="P250" s="34" t="s">
        <v>179</v>
      </c>
      <c r="Q250" s="39" t="n">
        <f aca="false">IFERROR(INDEX('Data 2'!$L$2:$L$2198,MATCH(P250,'Data 2'!$A$2:$A$2198,0)), 0)</f>
        <v>126.683333333333</v>
      </c>
      <c r="R250" s="39" t="n">
        <f aca="false">IFERROR(INDEX('Data 2'!$M$2:$M$2198,MATCH(P250,'Data 2'!$A$2:$A$2198,0)), 0)</f>
        <v>35.9875</v>
      </c>
      <c r="S250" s="34" t="s">
        <v>473</v>
      </c>
      <c r="T250" s="39" t="n">
        <f aca="false">IFERROR(INDEX('Data 2'!$L$2:$L$2198,MATCH(S250,'Data 2'!$A$2:$A$2198,0)), 0)</f>
        <v>16.5233333333333</v>
      </c>
      <c r="U250" s="39" t="n">
        <f aca="false">IFERROR(INDEX('Data 2'!$M$2:$M$2198,MATCH(S250,'Data 2'!$A$2:$A$2198,0)), 0)</f>
        <v>137.69625</v>
      </c>
      <c r="V250" s="34" t="s">
        <v>405</v>
      </c>
      <c r="W250" s="39" t="n">
        <f aca="false">IFERROR(INDEX('Data 2'!$L$2:$L$2198,MATCH(V250,'Data 2'!$A$2:$A$2198,0)), 0)</f>
        <v>-40.87</v>
      </c>
      <c r="X250" s="39" t="n">
        <f aca="false">IFERROR(INDEX('Data 2'!$M$2:$M$2198,MATCH(V250,'Data 2'!$A$2:$A$2198,0)), 0)</f>
        <v>-67.4275</v>
      </c>
      <c r="Y250" s="37"/>
      <c r="Z250" s="37"/>
    </row>
    <row r="251" customFormat="false" ht="15.75" hidden="false" customHeight="true" outlineLevel="0" collapsed="false">
      <c r="A251" s="37"/>
      <c r="B251" s="37"/>
      <c r="C251" s="37"/>
      <c r="D251" s="34" t="s">
        <v>441</v>
      </c>
      <c r="E251" s="39" t="n">
        <f aca="false">IFERROR(INDEX('Data 2'!$L$2:$L$2198,MATCH(D251,'Data 2'!$A$2:$A$2198,0)), 0)</f>
        <v>30.2833333333333</v>
      </c>
      <c r="F251" s="39" t="n">
        <f aca="false">IFERROR(INDEX('Data 2'!$M$2:$M$2198,MATCH(D251,'Data 2'!$A$2:$A$2198,0)), 0)</f>
        <v>-9.74875</v>
      </c>
      <c r="H251" s="36"/>
      <c r="I251" s="36"/>
      <c r="J251" s="36"/>
      <c r="K251" s="36"/>
      <c r="L251" s="36"/>
      <c r="M251" s="36"/>
      <c r="N251" s="36"/>
      <c r="O251" s="36"/>
      <c r="P251" s="34" t="s">
        <v>357</v>
      </c>
      <c r="Q251" s="39" t="n">
        <f aca="false">IFERROR(INDEX('Data 2'!$L$2:$L$2198,MATCH(P251,'Data 2'!$A$2:$A$2198,0)), 0)</f>
        <v>-64.33</v>
      </c>
      <c r="R251" s="39" t="n">
        <f aca="false">IFERROR(INDEX('Data 2'!$M$2:$M$2198,MATCH(P251,'Data 2'!$A$2:$A$2198,0)), 0)</f>
        <v>-39.66</v>
      </c>
      <c r="S251" s="34" t="s">
        <v>550</v>
      </c>
      <c r="T251" s="39" t="n">
        <f aca="false">IFERROR(INDEX('Data 2'!$L$2:$L$2198,MATCH(S251,'Data 2'!$A$2:$A$2198,0)), 0)</f>
        <v>0</v>
      </c>
      <c r="U251" s="39" t="n">
        <f aca="false">IFERROR(INDEX('Data 2'!$M$2:$M$2198,MATCH(S251,'Data 2'!$A$2:$A$2198,0)), 0)</f>
        <v>0</v>
      </c>
      <c r="V251" s="34" t="s">
        <v>407</v>
      </c>
      <c r="W251" s="39" t="n">
        <f aca="false">IFERROR(INDEX('Data 2'!$L$2:$L$2198,MATCH(V251,'Data 2'!$A$2:$A$2198,0)), 0)</f>
        <v>121.163333333333</v>
      </c>
      <c r="X251" s="39" t="n">
        <f aca="false">IFERROR(INDEX('Data 2'!$M$2:$M$2198,MATCH(V251,'Data 2'!$A$2:$A$2198,0)), 0)</f>
        <v>104.09375</v>
      </c>
      <c r="Y251" s="37"/>
      <c r="Z251" s="37"/>
    </row>
    <row r="252" customFormat="false" ht="15.75" hidden="false" customHeight="true" outlineLevel="0" collapsed="false">
      <c r="A252" s="37"/>
      <c r="B252" s="37"/>
      <c r="C252" s="37"/>
      <c r="D252" s="34" t="s">
        <v>144</v>
      </c>
      <c r="E252" s="39" t="n">
        <f aca="false">IFERROR(INDEX('Data 2'!$L$2:$L$2198,MATCH(D252,'Data 2'!$A$2:$A$2198,0)), 0)</f>
        <v>57.1933333333333</v>
      </c>
      <c r="F252" s="39" t="n">
        <f aca="false">IFERROR(INDEX('Data 2'!$M$2:$M$2198,MATCH(D252,'Data 2'!$A$2:$A$2198,0)), 0)</f>
        <v>105.1825</v>
      </c>
      <c r="H252" s="36"/>
      <c r="I252" s="36"/>
      <c r="J252" s="36"/>
      <c r="K252" s="36"/>
      <c r="L252" s="36"/>
      <c r="M252" s="36"/>
      <c r="N252" s="36"/>
      <c r="O252" s="36"/>
      <c r="P252" s="34" t="s">
        <v>551</v>
      </c>
      <c r="Q252" s="39" t="n">
        <f aca="false">IFERROR(INDEX('Data 2'!$L$2:$L$2198,MATCH(P252,'Data 2'!$A$2:$A$2198,0)), 0)</f>
        <v>-110.496666666667</v>
      </c>
      <c r="R252" s="39" t="n">
        <f aca="false">IFERROR(INDEX('Data 2'!$M$2:$M$2198,MATCH(P252,'Data 2'!$A$2:$A$2198,0)), 0)</f>
        <v>13.95375</v>
      </c>
      <c r="S252" s="34" t="s">
        <v>109</v>
      </c>
      <c r="T252" s="39" t="n">
        <f aca="false">IFERROR(INDEX('Data 2'!$L$2:$L$2198,MATCH(S252,'Data 2'!$A$2:$A$2198,0)), 0)</f>
        <v>73.5233333333333</v>
      </c>
      <c r="U252" s="39" t="n">
        <f aca="false">IFERROR(INDEX('Data 2'!$M$2:$M$2198,MATCH(S252,'Data 2'!$A$2:$A$2198,0)), 0)</f>
        <v>88.1925</v>
      </c>
      <c r="V252" s="34" t="s">
        <v>63</v>
      </c>
      <c r="W252" s="39" t="n">
        <f aca="false">IFERROR(INDEX('Data 2'!$L$2:$L$2198,MATCH(V252,'Data 2'!$A$2:$A$2198,0)), 0)</f>
        <v>-9.14666666666667</v>
      </c>
      <c r="X252" s="39" t="n">
        <f aca="false">IFERROR(INDEX('Data 2'!$M$2:$M$2198,MATCH(V252,'Data 2'!$A$2:$A$2198,0)), 0)</f>
        <v>56.78875</v>
      </c>
      <c r="Y252" s="37"/>
      <c r="Z252" s="37"/>
    </row>
    <row r="253" customFormat="false" ht="15.75" hidden="false" customHeight="true" outlineLevel="0" collapsed="false">
      <c r="A253" s="37"/>
      <c r="B253" s="37"/>
      <c r="C253" s="37"/>
      <c r="D253" s="34" t="s">
        <v>120</v>
      </c>
      <c r="E253" s="39" t="n">
        <f aca="false">IFERROR(INDEX('Data 2'!$L$2:$L$2198,MATCH(D253,'Data 2'!$A$2:$A$2198,0)), 0)</f>
        <v>112.243333333333</v>
      </c>
      <c r="F253" s="39" t="n">
        <f aca="false">IFERROR(INDEX('Data 2'!$M$2:$M$2198,MATCH(D253,'Data 2'!$A$2:$A$2198,0)), 0)</f>
        <v>24.6175</v>
      </c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4" t="s">
        <v>480</v>
      </c>
      <c r="W253" s="39" t="n">
        <f aca="false">IFERROR(INDEX('Data 2'!$L$2:$L$2198,MATCH(V253,'Data 2'!$A$2:$A$2198,0)), 0)</f>
        <v>-107.153333333333</v>
      </c>
      <c r="X253" s="39" t="n">
        <f aca="false">IFERROR(INDEX('Data 2'!$M$2:$M$2198,MATCH(V253,'Data 2'!$A$2:$A$2198,0)), 0)</f>
        <v>-23.41875</v>
      </c>
      <c r="Y253" s="37"/>
      <c r="Z253" s="37"/>
    </row>
    <row r="254" customFormat="false" ht="15.75" hidden="false" customHeight="true" outlineLevel="0" collapsed="false">
      <c r="A254" s="37"/>
      <c r="B254" s="37"/>
      <c r="C254" s="37"/>
      <c r="D254" s="34" t="s">
        <v>442</v>
      </c>
      <c r="E254" s="39" t="n">
        <f aca="false">IFERROR(INDEX('Data 2'!$L$2:$L$2198,MATCH(D254,'Data 2'!$A$2:$A$2198,0)), 0)</f>
        <v>120.24</v>
      </c>
      <c r="F254" s="39" t="n">
        <f aca="false">IFERROR(INDEX('Data 2'!$M$2:$M$2198,MATCH(D254,'Data 2'!$A$2:$A$2198,0)), 0)</f>
        <v>101.32875</v>
      </c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4" t="s">
        <v>183</v>
      </c>
      <c r="W254" s="39" t="n">
        <f aca="false">IFERROR(INDEX('Data 2'!$L$2:$L$2198,MATCH(V254,'Data 2'!$A$2:$A$2198,0)), 0)</f>
        <v>1.88</v>
      </c>
      <c r="X254" s="39" t="n">
        <f aca="false">IFERROR(INDEX('Data 2'!$M$2:$M$2198,MATCH(V254,'Data 2'!$A$2:$A$2198,0)), 0)</f>
        <v>71.27375</v>
      </c>
      <c r="Y254" s="37"/>
      <c r="Z254" s="37"/>
    </row>
    <row r="255" customFormat="false" ht="15.75" hidden="false" customHeight="true" outlineLevel="0" collapsed="false">
      <c r="A255" s="37"/>
      <c r="B255" s="37"/>
      <c r="C255" s="37"/>
      <c r="D255" s="34" t="s">
        <v>57</v>
      </c>
      <c r="E255" s="39" t="n">
        <f aca="false">IFERROR(INDEX('Data 2'!$L$2:$L$2198,MATCH(D255,'Data 2'!$A$2:$A$2198,0)), 0)</f>
        <v>-88.5066666666667</v>
      </c>
      <c r="F255" s="39" t="n">
        <f aca="false">IFERROR(INDEX('Data 2'!$M$2:$M$2198,MATCH(D255,'Data 2'!$A$2:$A$2198,0)), 0)</f>
        <v>29.98125</v>
      </c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4" t="s">
        <v>249</v>
      </c>
      <c r="W255" s="39" t="n">
        <f aca="false">IFERROR(INDEX('Data 2'!$L$2:$L$2198,MATCH(V255,'Data 2'!$A$2:$A$2198,0)), 0)</f>
        <v>-12.81</v>
      </c>
      <c r="X255" s="39" t="n">
        <f aca="false">IFERROR(INDEX('Data 2'!$M$2:$M$2198,MATCH(V255,'Data 2'!$A$2:$A$2198,0)), 0)</f>
        <v>16.07</v>
      </c>
      <c r="Y255" s="37"/>
      <c r="Z255" s="37"/>
    </row>
    <row r="256" customFormat="false" ht="15.75" hidden="false" customHeight="true" outlineLevel="0" collapsed="false">
      <c r="A256" s="37"/>
      <c r="B256" s="37"/>
      <c r="C256" s="37"/>
      <c r="D256" s="34" t="s">
        <v>444</v>
      </c>
      <c r="E256" s="39" t="n">
        <f aca="false">IFERROR(INDEX('Data 2'!$L$2:$L$2198,MATCH(D256,'Data 2'!$A$2:$A$2198,0)), 0)</f>
        <v>-15.3433333333333</v>
      </c>
      <c r="F256" s="39" t="n">
        <f aca="false">IFERROR(INDEX('Data 2'!$M$2:$M$2198,MATCH(D256,'Data 2'!$A$2:$A$2198,0)), 0)</f>
        <v>-20.1775</v>
      </c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4" t="s">
        <v>411</v>
      </c>
      <c r="W256" s="39" t="n">
        <f aca="false">IFERROR(INDEX('Data 2'!$L$2:$L$2198,MATCH(V256,'Data 2'!$A$2:$A$2198,0)), 0)</f>
        <v>-61.89</v>
      </c>
      <c r="X256" s="39" t="n">
        <f aca="false">IFERROR(INDEX('Data 2'!$M$2:$M$2198,MATCH(V256,'Data 2'!$A$2:$A$2198,0)), 0)</f>
        <v>-63.4625</v>
      </c>
      <c r="Y256" s="37"/>
      <c r="Z256" s="37"/>
    </row>
    <row r="257" customFormat="false" ht="15.75" hidden="false" customHeight="true" outlineLevel="0" collapsed="false">
      <c r="A257" s="37"/>
      <c r="B257" s="37"/>
      <c r="C257" s="37"/>
      <c r="D257" s="34" t="s">
        <v>445</v>
      </c>
      <c r="E257" s="39" t="n">
        <f aca="false">IFERROR(INDEX('Data 2'!$L$2:$L$2198,MATCH(D257,'Data 2'!$A$2:$A$2198,0)), 0)</f>
        <v>-54.98</v>
      </c>
      <c r="F257" s="39" t="n">
        <f aca="false">IFERROR(INDEX('Data 2'!$M$2:$M$2198,MATCH(D257,'Data 2'!$A$2:$A$2198,0)), 0)</f>
        <v>1.66875</v>
      </c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4" t="s">
        <v>413</v>
      </c>
      <c r="W257" s="39" t="n">
        <f aca="false">IFERROR(INDEX('Data 2'!$L$2:$L$2198,MATCH(V257,'Data 2'!$A$2:$A$2198,0)), 0)</f>
        <v>79.25</v>
      </c>
      <c r="X257" s="39" t="n">
        <f aca="false">IFERROR(INDEX('Data 2'!$M$2:$M$2198,MATCH(V257,'Data 2'!$A$2:$A$2198,0)), 0)</f>
        <v>22.1725</v>
      </c>
      <c r="Y257" s="37"/>
      <c r="Z257" s="37"/>
    </row>
    <row r="258" customFormat="false" ht="15.75" hidden="false" customHeight="true" outlineLevel="0" collapsed="false">
      <c r="A258" s="37"/>
      <c r="B258" s="37"/>
      <c r="C258" s="37"/>
      <c r="D258" s="34" t="s">
        <v>446</v>
      </c>
      <c r="E258" s="39" t="n">
        <f aca="false">IFERROR(INDEX('Data 2'!$L$2:$L$2198,MATCH(D258,'Data 2'!$A$2:$A$2198,0)), 0)</f>
        <v>-54.1333333333333</v>
      </c>
      <c r="F258" s="39" t="n">
        <f aca="false">IFERROR(INDEX('Data 2'!$M$2:$M$2198,MATCH(D258,'Data 2'!$A$2:$A$2198,0)), 0)</f>
        <v>-50.78</v>
      </c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4" t="s">
        <v>105</v>
      </c>
      <c r="W258" s="39" t="n">
        <f aca="false">IFERROR(INDEX('Data 2'!$L$2:$L$2198,MATCH(V258,'Data 2'!$A$2:$A$2198,0)), 0)</f>
        <v>61.4633333333333</v>
      </c>
      <c r="X258" s="39" t="n">
        <f aca="false">IFERROR(INDEX('Data 2'!$M$2:$M$2198,MATCH(V258,'Data 2'!$A$2:$A$2198,0)), 0)</f>
        <v>125.29125</v>
      </c>
      <c r="Y258" s="37"/>
      <c r="Z258" s="37"/>
    </row>
    <row r="259" customFormat="false" ht="15.75" hidden="false" customHeight="true" outlineLevel="0" collapsed="false">
      <c r="A259" s="37"/>
      <c r="B259" s="37"/>
      <c r="C259" s="37"/>
      <c r="D259" s="34" t="s">
        <v>447</v>
      </c>
      <c r="E259" s="39" t="n">
        <f aca="false">IFERROR(INDEX('Data 2'!$L$2:$L$2198,MATCH(D259,'Data 2'!$A$2:$A$2198,0)), 0)</f>
        <v>88.17</v>
      </c>
      <c r="F259" s="39" t="n">
        <f aca="false">IFERROR(INDEX('Data 2'!$M$2:$M$2198,MATCH(D259,'Data 2'!$A$2:$A$2198,0)), 0)</f>
        <v>132.67625</v>
      </c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4" t="s">
        <v>481</v>
      </c>
      <c r="W259" s="39" t="n">
        <f aca="false">IFERROR(INDEX('Data 2'!$L$2:$L$2198,MATCH(V259,'Data 2'!$A$2:$A$2198,0)), 0)</f>
        <v>20.9066666666667</v>
      </c>
      <c r="X259" s="39" t="n">
        <f aca="false">IFERROR(INDEX('Data 2'!$M$2:$M$2198,MATCH(V259,'Data 2'!$A$2:$A$2198,0)), 0)</f>
        <v>-10.49125</v>
      </c>
      <c r="Y259" s="37"/>
      <c r="Z259" s="37"/>
    </row>
    <row r="260" customFormat="false" ht="15.75" hidden="false" customHeight="true" outlineLevel="0" collapsed="false">
      <c r="A260" s="37"/>
      <c r="B260" s="37"/>
      <c r="C260" s="37"/>
      <c r="D260" s="34" t="s">
        <v>248</v>
      </c>
      <c r="E260" s="39" t="n">
        <f aca="false">IFERROR(INDEX('Data 2'!$L$2:$L$2198,MATCH(D260,'Data 2'!$A$2:$A$2198,0)), 0)</f>
        <v>-110.906666666667</v>
      </c>
      <c r="F260" s="39" t="n">
        <f aca="false">IFERROR(INDEX('Data 2'!$M$2:$M$2198,MATCH(D260,'Data 2'!$A$2:$A$2198,0)), 0)</f>
        <v>-53.11875</v>
      </c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4" t="s">
        <v>414</v>
      </c>
      <c r="W260" s="39" t="n">
        <f aca="false">IFERROR(INDEX('Data 2'!$L$2:$L$2198,MATCH(V260,'Data 2'!$A$2:$A$2198,0)), 0)</f>
        <v>-6.24666666666667</v>
      </c>
      <c r="X260" s="39" t="n">
        <f aca="false">IFERROR(INDEX('Data 2'!$M$2:$M$2198,MATCH(V260,'Data 2'!$A$2:$A$2198,0)), 0)</f>
        <v>52.8725</v>
      </c>
      <c r="Y260" s="37"/>
      <c r="Z260" s="37"/>
    </row>
    <row r="261" customFormat="false" ht="15.75" hidden="false" customHeight="true" outlineLevel="0" collapsed="false">
      <c r="A261" s="37"/>
      <c r="B261" s="37"/>
      <c r="C261" s="37"/>
      <c r="D261" s="34" t="s">
        <v>387</v>
      </c>
      <c r="E261" s="39" t="n">
        <f aca="false">IFERROR(INDEX('Data 2'!$L$2:$L$2198,MATCH(D261,'Data 2'!$A$2:$A$2198,0)), 0)</f>
        <v>-56.72</v>
      </c>
      <c r="F261" s="39" t="n">
        <f aca="false">IFERROR(INDEX('Data 2'!$M$2:$M$2198,MATCH(D261,'Data 2'!$A$2:$A$2198,0)), 0)</f>
        <v>-9.8875</v>
      </c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4" t="s">
        <v>482</v>
      </c>
      <c r="W261" s="39" t="n">
        <f aca="false">IFERROR(INDEX('Data 2'!$L$2:$L$2198,MATCH(V261,'Data 2'!$A$2:$A$2198,0)), 0)</f>
        <v>-60.5666666666667</v>
      </c>
      <c r="X261" s="39" t="n">
        <f aca="false">IFERROR(INDEX('Data 2'!$M$2:$M$2198,MATCH(V261,'Data 2'!$A$2:$A$2198,0)), 0)</f>
        <v>25.4375</v>
      </c>
      <c r="Y261" s="37"/>
      <c r="Z261" s="37"/>
    </row>
    <row r="262" customFormat="false" ht="15.75" hidden="false" customHeight="true" outlineLevel="0" collapsed="false">
      <c r="A262" s="37"/>
      <c r="B262" s="37"/>
      <c r="C262" s="37"/>
      <c r="D262" s="34" t="s">
        <v>45</v>
      </c>
      <c r="E262" s="39" t="n">
        <f aca="false">IFERROR(INDEX('Data 2'!$L$2:$L$2198,MATCH(D262,'Data 2'!$A$2:$A$2198,0)), 0)</f>
        <v>-73.7066666666667</v>
      </c>
      <c r="F262" s="39" t="n">
        <f aca="false">IFERROR(INDEX('Data 2'!$M$2:$M$2198,MATCH(D262,'Data 2'!$A$2:$A$2198,0)), 0)</f>
        <v>30.4225</v>
      </c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4" t="s">
        <v>122</v>
      </c>
      <c r="W262" s="39" t="n">
        <f aca="false">IFERROR(INDEX('Data 2'!$L$2:$L$2198,MATCH(V262,'Data 2'!$A$2:$A$2198,0)), 0)</f>
        <v>43.86</v>
      </c>
      <c r="X262" s="39" t="n">
        <f aca="false">IFERROR(INDEX('Data 2'!$M$2:$M$2198,MATCH(V262,'Data 2'!$A$2:$A$2198,0)), 0)</f>
        <v>76.56</v>
      </c>
      <c r="Y262" s="37"/>
      <c r="Z262" s="37"/>
    </row>
    <row r="263" customFormat="false" ht="15.75" hidden="false" customHeight="true" outlineLevel="0" collapsed="false">
      <c r="A263" s="37"/>
      <c r="B263" s="37"/>
      <c r="C263" s="37"/>
      <c r="D263" s="34" t="s">
        <v>449</v>
      </c>
      <c r="E263" s="39" t="n">
        <f aca="false">IFERROR(INDEX('Data 2'!$L$2:$L$2198,MATCH(D263,'Data 2'!$A$2:$A$2198,0)), 0)</f>
        <v>-40.0866666666667</v>
      </c>
      <c r="F263" s="39" t="n">
        <f aca="false">IFERROR(INDEX('Data 2'!$M$2:$M$2198,MATCH(D263,'Data 2'!$A$2:$A$2198,0)), 0)</f>
        <v>-7.62625</v>
      </c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4" t="s">
        <v>27</v>
      </c>
      <c r="W263" s="39" t="n">
        <f aca="false">IFERROR(INDEX('Data 2'!$L$2:$L$2198,MATCH(V263,'Data 2'!$A$2:$A$2198,0)), 0)</f>
        <v>-64.4466666666667</v>
      </c>
      <c r="X263" s="39" t="n">
        <f aca="false">IFERROR(INDEX('Data 2'!$M$2:$M$2198,MATCH(V263,'Data 2'!$A$2:$A$2198,0)), 0)</f>
        <v>-5.2</v>
      </c>
      <c r="Y263" s="37"/>
      <c r="Z263" s="37"/>
    </row>
    <row r="264" customFormat="false" ht="15.75" hidden="false" customHeight="true" outlineLevel="0" collapsed="false">
      <c r="A264" s="37"/>
      <c r="B264" s="37"/>
      <c r="C264" s="37"/>
      <c r="D264" s="34" t="s">
        <v>450</v>
      </c>
      <c r="E264" s="39" t="n">
        <f aca="false">IFERROR(INDEX('Data 2'!$L$2:$L$2198,MATCH(D264,'Data 2'!$A$2:$A$2198,0)), 0)</f>
        <v>-96.1166666666667</v>
      </c>
      <c r="F264" s="39" t="n">
        <f aca="false">IFERROR(INDEX('Data 2'!$M$2:$M$2198,MATCH(D264,'Data 2'!$A$2:$A$2198,0)), 0)</f>
        <v>-51.55125</v>
      </c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4" t="s">
        <v>117</v>
      </c>
      <c r="W264" s="39" t="n">
        <f aca="false">IFERROR(INDEX('Data 2'!$L$2:$L$2198,MATCH(V264,'Data 2'!$A$2:$A$2198,0)), 0)</f>
        <v>10.9333333333333</v>
      </c>
      <c r="X264" s="39" t="n">
        <f aca="false">IFERROR(INDEX('Data 2'!$M$2:$M$2198,MATCH(V264,'Data 2'!$A$2:$A$2198,0)), 0)</f>
        <v>53.91</v>
      </c>
      <c r="Y264" s="37"/>
      <c r="Z264" s="37"/>
    </row>
    <row r="265" customFormat="false" ht="15.75" hidden="false" customHeight="true" outlineLevel="0" collapsed="false">
      <c r="A265" s="37"/>
      <c r="B265" s="37"/>
      <c r="C265" s="37"/>
      <c r="D265" s="34" t="s">
        <v>451</v>
      </c>
      <c r="E265" s="39" t="n">
        <f aca="false">IFERROR(INDEX('Data 2'!$L$2:$L$2198,MATCH(D265,'Data 2'!$A$2:$A$2198,0)), 0)</f>
        <v>-47.03</v>
      </c>
      <c r="F265" s="39" t="n">
        <f aca="false">IFERROR(INDEX('Data 2'!$M$2:$M$2198,MATCH(D265,'Data 2'!$A$2:$A$2198,0)), 0)</f>
        <v>-82.5075</v>
      </c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4" t="s">
        <v>323</v>
      </c>
      <c r="W265" s="39" t="n">
        <f aca="false">IFERROR(INDEX('Data 2'!$L$2:$L$2198,MATCH(V265,'Data 2'!$A$2:$A$2198,0)), 0)</f>
        <v>-68.01</v>
      </c>
      <c r="X265" s="39" t="n">
        <f aca="false">IFERROR(INDEX('Data 2'!$M$2:$M$2198,MATCH(V265,'Data 2'!$A$2:$A$2198,0)), 0)</f>
        <v>-51.59625</v>
      </c>
      <c r="Y265" s="37"/>
      <c r="Z265" s="37"/>
    </row>
    <row r="266" customFormat="false" ht="15.75" hidden="false" customHeight="true" outlineLevel="0" collapsed="false">
      <c r="A266" s="37"/>
      <c r="B266" s="37"/>
      <c r="C266" s="37"/>
      <c r="D266" s="34" t="s">
        <v>239</v>
      </c>
      <c r="E266" s="39" t="n">
        <f aca="false">IFERROR(INDEX('Data 2'!$L$2:$L$2198,MATCH(D266,'Data 2'!$A$2:$A$2198,0)), 0)</f>
        <v>28.43</v>
      </c>
      <c r="F266" s="39" t="n">
        <f aca="false">IFERROR(INDEX('Data 2'!$M$2:$M$2198,MATCH(D266,'Data 2'!$A$2:$A$2198,0)), 0)</f>
        <v>133.5325</v>
      </c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4" t="s">
        <v>261</v>
      </c>
      <c r="W266" s="39" t="n">
        <f aca="false">IFERROR(INDEX('Data 2'!$L$2:$L$2198,MATCH(V266,'Data 2'!$A$2:$A$2198,0)), 0)</f>
        <v>-99.9266666666667</v>
      </c>
      <c r="X266" s="39" t="n">
        <f aca="false">IFERROR(INDEX('Data 2'!$M$2:$M$2198,MATCH(V266,'Data 2'!$A$2:$A$2198,0)), 0)</f>
        <v>-75.5825</v>
      </c>
      <c r="Y266" s="37"/>
      <c r="Z266" s="37"/>
    </row>
    <row r="267" customFormat="false" ht="15.75" hidden="false" customHeight="true" outlineLevel="0" collapsed="false">
      <c r="A267" s="37"/>
      <c r="B267" s="37"/>
      <c r="C267" s="37"/>
      <c r="D267" s="34" t="s">
        <v>263</v>
      </c>
      <c r="E267" s="39" t="n">
        <f aca="false">IFERROR(INDEX('Data 2'!$L$2:$L$2198,MATCH(D267,'Data 2'!$A$2:$A$2198,0)), 0)</f>
        <v>-36.11</v>
      </c>
      <c r="F267" s="39" t="n">
        <f aca="false">IFERROR(INDEX('Data 2'!$M$2:$M$2198,MATCH(D267,'Data 2'!$A$2:$A$2198,0)), 0)</f>
        <v>57.59125</v>
      </c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4" t="s">
        <v>223</v>
      </c>
      <c r="W267" s="39" t="n">
        <f aca="false">IFERROR(INDEX('Data 2'!$L$2:$L$2198,MATCH(V267,'Data 2'!$A$2:$A$2198,0)), 0)</f>
        <v>-113.16</v>
      </c>
      <c r="X267" s="39" t="n">
        <f aca="false">IFERROR(INDEX('Data 2'!$M$2:$M$2198,MATCH(V267,'Data 2'!$A$2:$A$2198,0)), 0)</f>
        <v>-73.36475</v>
      </c>
      <c r="Y267" s="37"/>
      <c r="Z267" s="37"/>
    </row>
    <row r="268" customFormat="false" ht="15.75" hidden="false" customHeight="true" outlineLevel="0" collapsed="false">
      <c r="A268" s="37"/>
      <c r="B268" s="37"/>
      <c r="C268" s="37"/>
      <c r="D268" s="34" t="s">
        <v>217</v>
      </c>
      <c r="E268" s="39" t="n">
        <f aca="false">IFERROR(INDEX('Data 2'!$L$2:$L$2198,MATCH(D268,'Data 2'!$A$2:$A$2198,0)), 0)</f>
        <v>-96.1433333333333</v>
      </c>
      <c r="F268" s="39" t="n">
        <f aca="false">IFERROR(INDEX('Data 2'!$M$2:$M$2198,MATCH(D268,'Data 2'!$A$2:$A$2198,0)), 0)</f>
        <v>-2.09125</v>
      </c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4" t="s">
        <v>262</v>
      </c>
      <c r="W268" s="39" t="n">
        <f aca="false">IFERROR(INDEX('Data 2'!$L$2:$L$2198,MATCH(V268,'Data 2'!$A$2:$A$2198,0)), 0)</f>
        <v>-84.06</v>
      </c>
      <c r="X268" s="39" t="n">
        <f aca="false">IFERROR(INDEX('Data 2'!$M$2:$M$2198,MATCH(V268,'Data 2'!$A$2:$A$2198,0)), 0)</f>
        <v>-28.10375</v>
      </c>
      <c r="Y268" s="37"/>
      <c r="Z268" s="37"/>
    </row>
    <row r="269" customFormat="false" ht="15.75" hidden="false" customHeight="true" outlineLevel="0" collapsed="false">
      <c r="A269" s="37"/>
      <c r="B269" s="37"/>
      <c r="C269" s="37"/>
      <c r="D269" s="34" t="s">
        <v>145</v>
      </c>
      <c r="E269" s="39" t="n">
        <f aca="false">IFERROR(INDEX('Data 2'!$L$2:$L$2198,MATCH(D269,'Data 2'!$A$2:$A$2198,0)), 0)</f>
        <v>-114.863333333333</v>
      </c>
      <c r="F269" s="39" t="n">
        <f aca="false">IFERROR(INDEX('Data 2'!$M$2:$M$2198,MATCH(D269,'Data 2'!$A$2:$A$2198,0)), 0)</f>
        <v>-129.15875</v>
      </c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4" t="s">
        <v>64</v>
      </c>
      <c r="W269" s="39" t="n">
        <f aca="false">IFERROR(INDEX('Data 2'!$L$2:$L$2198,MATCH(V269,'Data 2'!$A$2:$A$2198,0)), 0)</f>
        <v>-54.1166666666667</v>
      </c>
      <c r="X269" s="39" t="n">
        <f aca="false">IFERROR(INDEX('Data 2'!$M$2:$M$2198,MATCH(V269,'Data 2'!$A$2:$A$2198,0)), 0)</f>
        <v>-5.7575</v>
      </c>
      <c r="Y269" s="37"/>
      <c r="Z269" s="37"/>
    </row>
    <row r="270" customFormat="false" ht="15.75" hidden="false" customHeight="true" outlineLevel="0" collapsed="false">
      <c r="A270" s="37"/>
      <c r="B270" s="37"/>
      <c r="C270" s="37"/>
      <c r="D270" s="34" t="s">
        <v>452</v>
      </c>
      <c r="E270" s="39" t="n">
        <f aca="false">IFERROR(INDEX('Data 2'!$L$2:$L$2198,MATCH(D270,'Data 2'!$A$2:$A$2198,0)), 0)</f>
        <v>101.916666666667</v>
      </c>
      <c r="F270" s="39" t="n">
        <f aca="false">IFERROR(INDEX('Data 2'!$M$2:$M$2198,MATCH(D270,'Data 2'!$A$2:$A$2198,0)), 0)</f>
        <v>21.2375</v>
      </c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4" t="s">
        <v>483</v>
      </c>
      <c r="W270" s="39" t="n">
        <f aca="false">IFERROR(INDEX('Data 2'!$L$2:$L$2198,MATCH(V270,'Data 2'!$A$2:$A$2198,0)), 0)</f>
        <v>-60.44</v>
      </c>
      <c r="X270" s="39" t="n">
        <f aca="false">IFERROR(INDEX('Data 2'!$M$2:$M$2198,MATCH(V270,'Data 2'!$A$2:$A$2198,0)), 0)</f>
        <v>-9.51875</v>
      </c>
      <c r="Y270" s="37"/>
      <c r="Z270" s="37"/>
    </row>
    <row r="271" customFormat="false" ht="15.75" hidden="false" customHeight="true" outlineLevel="0" collapsed="false">
      <c r="A271" s="37"/>
      <c r="B271" s="37"/>
      <c r="C271" s="37"/>
      <c r="D271" s="34" t="s">
        <v>453</v>
      </c>
      <c r="E271" s="39" t="n">
        <f aca="false">IFERROR(INDEX('Data 2'!$L$2:$L$2198,MATCH(D271,'Data 2'!$A$2:$A$2198,0)), 0)</f>
        <v>3.96666666666667</v>
      </c>
      <c r="F271" s="39" t="n">
        <f aca="false">IFERROR(INDEX('Data 2'!$M$2:$M$2198,MATCH(D271,'Data 2'!$A$2:$A$2198,0)), 0)</f>
        <v>-20.91125</v>
      </c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4" t="s">
        <v>329</v>
      </c>
      <c r="W271" s="39" t="n">
        <f aca="false">IFERROR(INDEX('Data 2'!$L$2:$L$2198,MATCH(V271,'Data 2'!$A$2:$A$2198,0)), 0)</f>
        <v>-56.4566666666667</v>
      </c>
      <c r="X271" s="39" t="n">
        <f aca="false">IFERROR(INDEX('Data 2'!$M$2:$M$2198,MATCH(V271,'Data 2'!$A$2:$A$2198,0)), 0)</f>
        <v>-33.78625</v>
      </c>
      <c r="Y271" s="37"/>
      <c r="Z271" s="37"/>
    </row>
    <row r="272" customFormat="false" ht="15.75" hidden="false" customHeight="true" outlineLevel="0" collapsed="false">
      <c r="A272" s="37"/>
      <c r="B272" s="37"/>
      <c r="C272" s="37"/>
      <c r="D272" s="34" t="s">
        <v>454</v>
      </c>
      <c r="E272" s="39" t="n">
        <f aca="false">IFERROR(INDEX('Data 2'!$L$2:$L$2198,MATCH(D272,'Data 2'!$A$2:$A$2198,0)), 0)</f>
        <v>21.0366666666667</v>
      </c>
      <c r="F272" s="39" t="n">
        <f aca="false">IFERROR(INDEX('Data 2'!$M$2:$M$2198,MATCH(D272,'Data 2'!$A$2:$A$2198,0)), 0)</f>
        <v>-31.0125</v>
      </c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4" t="s">
        <v>39</v>
      </c>
      <c r="W272" s="39" t="n">
        <f aca="false">IFERROR(INDEX('Data 2'!$L$2:$L$2198,MATCH(V272,'Data 2'!$A$2:$A$2198,0)), 0)</f>
        <v>-41.7433333333333</v>
      </c>
      <c r="X272" s="39" t="n">
        <f aca="false">IFERROR(INDEX('Data 2'!$M$2:$M$2198,MATCH(V272,'Data 2'!$A$2:$A$2198,0)), 0)</f>
        <v>7.44125</v>
      </c>
      <c r="Y272" s="37"/>
      <c r="Z272" s="37"/>
    </row>
    <row r="273" customFormat="false" ht="15.75" hidden="false" customHeight="true" outlineLevel="0" collapsed="false">
      <c r="A273" s="37"/>
      <c r="B273" s="37"/>
      <c r="C273" s="37"/>
      <c r="D273" s="34" t="s">
        <v>455</v>
      </c>
      <c r="E273" s="39" t="n">
        <f aca="false">IFERROR(INDEX('Data 2'!$L$2:$L$2198,MATCH(D273,'Data 2'!$A$2:$A$2198,0)), 0)</f>
        <v>-26.83</v>
      </c>
      <c r="F273" s="39" t="n">
        <f aca="false">IFERROR(INDEX('Data 2'!$M$2:$M$2198,MATCH(D273,'Data 2'!$A$2:$A$2198,0)), 0)</f>
        <v>-61.3225</v>
      </c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4" t="s">
        <v>191</v>
      </c>
      <c r="W273" s="39" t="n">
        <f aca="false">IFERROR(INDEX('Data 2'!$L$2:$L$2198,MATCH(V273,'Data 2'!$A$2:$A$2198,0)), 0)</f>
        <v>26.37</v>
      </c>
      <c r="X273" s="39" t="n">
        <f aca="false">IFERROR(INDEX('Data 2'!$M$2:$M$2198,MATCH(V273,'Data 2'!$A$2:$A$2198,0)), 0)</f>
        <v>52.25125</v>
      </c>
      <c r="Y273" s="37"/>
      <c r="Z273" s="37"/>
    </row>
    <row r="274" customFormat="false" ht="15.75" hidden="false" customHeight="true" outlineLevel="0" collapsed="false">
      <c r="A274" s="37"/>
      <c r="B274" s="37"/>
      <c r="C274" s="37"/>
      <c r="D274" s="34" t="s">
        <v>457</v>
      </c>
      <c r="E274" s="39" t="n">
        <f aca="false">IFERROR(INDEX('Data 2'!$L$2:$L$2198,MATCH(D274,'Data 2'!$A$2:$A$2198,0)), 0)</f>
        <v>-15.7133333333333</v>
      </c>
      <c r="F274" s="39" t="n">
        <f aca="false">IFERROR(INDEX('Data 2'!$M$2:$M$2198,MATCH(D274,'Data 2'!$A$2:$A$2198,0)), 0)</f>
        <v>-10.79125</v>
      </c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4" t="s">
        <v>484</v>
      </c>
      <c r="W274" s="39" t="n">
        <f aca="false">IFERROR(INDEX('Data 2'!$L$2:$L$2198,MATCH(V274,'Data 2'!$A$2:$A$2198,0)), 0)</f>
        <v>138.29</v>
      </c>
      <c r="X274" s="39" t="n">
        <f aca="false">IFERROR(INDEX('Data 2'!$M$2:$M$2198,MATCH(V274,'Data 2'!$A$2:$A$2198,0)), 0)</f>
        <v>150.8525</v>
      </c>
      <c r="Y274" s="37"/>
      <c r="Z274" s="37"/>
    </row>
    <row r="275" customFormat="false" ht="15.75" hidden="false" customHeight="true" outlineLevel="0" collapsed="false">
      <c r="A275" s="37"/>
      <c r="B275" s="37"/>
      <c r="C275" s="37"/>
      <c r="D275" s="34" t="s">
        <v>459</v>
      </c>
      <c r="E275" s="39" t="n">
        <f aca="false">IFERROR(INDEX('Data 2'!$L$2:$L$2198,MATCH(D275,'Data 2'!$A$2:$A$2198,0)), 0)</f>
        <v>17.3833333333333</v>
      </c>
      <c r="F275" s="39" t="n">
        <f aca="false">IFERROR(INDEX('Data 2'!$M$2:$M$2198,MATCH(D275,'Data 2'!$A$2:$A$2198,0)), 0)</f>
        <v>-49.76375</v>
      </c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4" t="s">
        <v>485</v>
      </c>
      <c r="W275" s="39" t="n">
        <f aca="false">IFERROR(INDEX('Data 2'!$L$2:$L$2198,MATCH(V275,'Data 2'!$A$2:$A$2198,0)), 0)</f>
        <v>-80.22</v>
      </c>
      <c r="X275" s="39" t="n">
        <f aca="false">IFERROR(INDEX('Data 2'!$M$2:$M$2198,MATCH(V275,'Data 2'!$A$2:$A$2198,0)), 0)</f>
        <v>-19.45</v>
      </c>
      <c r="Y275" s="37"/>
      <c r="Z275" s="37"/>
    </row>
    <row r="276" customFormat="false" ht="15.75" hidden="false" customHeight="true" outlineLevel="0" collapsed="false">
      <c r="A276" s="37"/>
      <c r="B276" s="37"/>
      <c r="C276" s="37"/>
      <c r="D276" s="34" t="s">
        <v>391</v>
      </c>
      <c r="E276" s="39" t="n">
        <f aca="false">IFERROR(INDEX('Data 2'!$L$2:$L$2198,MATCH(D276,'Data 2'!$A$2:$A$2198,0)), 0)</f>
        <v>78.85</v>
      </c>
      <c r="F276" s="39" t="n">
        <f aca="false">IFERROR(INDEX('Data 2'!$M$2:$M$2198,MATCH(D276,'Data 2'!$A$2:$A$2198,0)), 0)</f>
        <v>-7.79</v>
      </c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4" t="s">
        <v>486</v>
      </c>
      <c r="W276" s="39" t="n">
        <f aca="false">IFERROR(INDEX('Data 2'!$L$2:$L$2198,MATCH(V276,'Data 2'!$A$2:$A$2198,0)), 0)</f>
        <v>-83.6833333333333</v>
      </c>
      <c r="X276" s="39" t="n">
        <f aca="false">IFERROR(INDEX('Data 2'!$M$2:$M$2198,MATCH(V276,'Data 2'!$A$2:$A$2198,0)), 0)</f>
        <v>-87.3425</v>
      </c>
      <c r="Y276" s="37"/>
      <c r="Z276" s="37"/>
    </row>
    <row r="277" customFormat="false" ht="15.75" hidden="false" customHeight="true" outlineLevel="0" collapsed="false">
      <c r="A277" s="37"/>
      <c r="B277" s="37"/>
      <c r="C277" s="37"/>
      <c r="D277" s="34" t="s">
        <v>209</v>
      </c>
      <c r="E277" s="39" t="n">
        <f aca="false">IFERROR(INDEX('Data 2'!$L$2:$L$2198,MATCH(D277,'Data 2'!$A$2:$A$2198,0)), 0)</f>
        <v>62.0766666666667</v>
      </c>
      <c r="F277" s="39" t="n">
        <f aca="false">IFERROR(INDEX('Data 2'!$M$2:$M$2198,MATCH(D277,'Data 2'!$A$2:$A$2198,0)), 0)</f>
        <v>86.5</v>
      </c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4" t="s">
        <v>418</v>
      </c>
      <c r="W277" s="39" t="n">
        <f aca="false">IFERROR(INDEX('Data 2'!$L$2:$L$2198,MATCH(V277,'Data 2'!$A$2:$A$2198,0)), 0)</f>
        <v>81.9566666666667</v>
      </c>
      <c r="X277" s="39" t="n">
        <f aca="false">IFERROR(INDEX('Data 2'!$M$2:$M$2198,MATCH(V277,'Data 2'!$A$2:$A$2198,0)), 0)</f>
        <v>113.425</v>
      </c>
      <c r="Y277" s="37"/>
      <c r="Z277" s="37"/>
    </row>
    <row r="278" customFormat="false" ht="15.75" hidden="false" customHeight="true" outlineLevel="0" collapsed="false">
      <c r="A278" s="37"/>
      <c r="B278" s="37"/>
      <c r="C278" s="37"/>
      <c r="D278" s="34" t="s">
        <v>461</v>
      </c>
      <c r="E278" s="39" t="n">
        <f aca="false">IFERROR(INDEX('Data 2'!$L$2:$L$2198,MATCH(D278,'Data 2'!$A$2:$A$2198,0)), 0)</f>
        <v>-79.76</v>
      </c>
      <c r="F278" s="39" t="n">
        <f aca="false">IFERROR(INDEX('Data 2'!$M$2:$M$2198,MATCH(D278,'Data 2'!$A$2:$A$2198,0)), 0)</f>
        <v>-114.74875</v>
      </c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4" t="s">
        <v>487</v>
      </c>
      <c r="W278" s="39" t="n">
        <f aca="false">IFERROR(INDEX('Data 2'!$L$2:$L$2198,MATCH(V278,'Data 2'!$A$2:$A$2198,0)), 0)</f>
        <v>85.6533333333334</v>
      </c>
      <c r="X278" s="39" t="n">
        <f aca="false">IFERROR(INDEX('Data 2'!$M$2:$M$2198,MATCH(V278,'Data 2'!$A$2:$A$2198,0)), 0)</f>
        <v>24.635</v>
      </c>
      <c r="Y278" s="37"/>
      <c r="Z278" s="37"/>
    </row>
    <row r="279" customFormat="false" ht="15.75" hidden="false" customHeight="true" outlineLevel="0" collapsed="false">
      <c r="A279" s="37"/>
      <c r="B279" s="37"/>
      <c r="C279" s="37"/>
      <c r="D279" s="34" t="s">
        <v>237</v>
      </c>
      <c r="E279" s="39" t="n">
        <f aca="false">IFERROR(INDEX('Data 2'!$L$2:$L$2198,MATCH(D279,'Data 2'!$A$2:$A$2198,0)), 0)</f>
        <v>-60.82</v>
      </c>
      <c r="F279" s="39" t="n">
        <f aca="false">IFERROR(INDEX('Data 2'!$M$2:$M$2198,MATCH(D279,'Data 2'!$A$2:$A$2198,0)), 0)</f>
        <v>-76.8025</v>
      </c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4" t="s">
        <v>488</v>
      </c>
      <c r="W279" s="39" t="n">
        <f aca="false">IFERROR(INDEX('Data 2'!$L$2:$L$2198,MATCH(V279,'Data 2'!$A$2:$A$2198,0)), 0)</f>
        <v>-8.25666666666667</v>
      </c>
      <c r="X279" s="39" t="n">
        <f aca="false">IFERROR(INDEX('Data 2'!$M$2:$M$2198,MATCH(V279,'Data 2'!$A$2:$A$2198,0)), 0)</f>
        <v>103.62125</v>
      </c>
      <c r="Y279" s="37"/>
      <c r="Z279" s="37"/>
    </row>
    <row r="280" customFormat="false" ht="15.75" hidden="false" customHeight="true" outlineLevel="0" collapsed="false">
      <c r="A280" s="37"/>
      <c r="B280" s="37"/>
      <c r="C280" s="37"/>
      <c r="D280" s="34" t="s">
        <v>463</v>
      </c>
      <c r="E280" s="39" t="n">
        <f aca="false">IFERROR(INDEX('Data 2'!$L$2:$L$2198,MATCH(D280,'Data 2'!$A$2:$A$2198,0)), 0)</f>
        <v>32.9333333333333</v>
      </c>
      <c r="F280" s="39" t="n">
        <f aca="false">IFERROR(INDEX('Data 2'!$M$2:$M$2198,MATCH(D280,'Data 2'!$A$2:$A$2198,0)), 0)</f>
        <v>-5.19125</v>
      </c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4" t="s">
        <v>53</v>
      </c>
      <c r="W280" s="39" t="n">
        <f aca="false">IFERROR(INDEX('Data 2'!$L$2:$L$2198,MATCH(V280,'Data 2'!$A$2:$A$2198,0)), 0)</f>
        <v>-2.34333333333333</v>
      </c>
      <c r="X280" s="39" t="n">
        <f aca="false">IFERROR(INDEX('Data 2'!$M$2:$M$2198,MATCH(V280,'Data 2'!$A$2:$A$2198,0)), 0)</f>
        <v>-29.05625</v>
      </c>
      <c r="Y280" s="37"/>
      <c r="Z280" s="37"/>
    </row>
    <row r="281" customFormat="false" ht="15.75" hidden="false" customHeight="true" outlineLevel="0" collapsed="false">
      <c r="A281" s="37"/>
      <c r="B281" s="37"/>
      <c r="C281" s="37"/>
      <c r="D281" s="34" t="s">
        <v>465</v>
      </c>
      <c r="E281" s="39" t="n">
        <f aca="false">IFERROR(INDEX('Data 2'!$L$2:$L$2198,MATCH(D281,'Data 2'!$A$2:$A$2198,0)), 0)</f>
        <v>-84.5</v>
      </c>
      <c r="F281" s="39" t="n">
        <f aca="false">IFERROR(INDEX('Data 2'!$M$2:$M$2198,MATCH(D281,'Data 2'!$A$2:$A$2198,0)), 0)</f>
        <v>38.75375</v>
      </c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4" t="s">
        <v>236</v>
      </c>
      <c r="W281" s="39" t="n">
        <f aca="false">IFERROR(INDEX('Data 2'!$L$2:$L$2198,MATCH(V281,'Data 2'!$A$2:$A$2198,0)), 0)</f>
        <v>-10.8966666666667</v>
      </c>
      <c r="X281" s="39" t="n">
        <f aca="false">IFERROR(INDEX('Data 2'!$M$2:$M$2198,MATCH(V281,'Data 2'!$A$2:$A$2198,0)), 0)</f>
        <v>-48.05875</v>
      </c>
      <c r="Y281" s="37"/>
      <c r="Z281" s="37"/>
    </row>
    <row r="282" customFormat="false" ht="15.75" hidden="false" customHeight="true" outlineLevel="0" collapsed="false">
      <c r="A282" s="37"/>
      <c r="B282" s="37"/>
      <c r="C282" s="37"/>
      <c r="D282" s="34" t="s">
        <v>313</v>
      </c>
      <c r="E282" s="39" t="n">
        <f aca="false">IFERROR(INDEX('Data 2'!$L$2:$L$2198,MATCH(D282,'Data 2'!$A$2:$A$2198,0)), 0)</f>
        <v>31.5366666666667</v>
      </c>
      <c r="F282" s="39" t="n">
        <f aca="false">IFERROR(INDEX('Data 2'!$M$2:$M$2198,MATCH(D282,'Data 2'!$A$2:$A$2198,0)), 0)</f>
        <v>108.4825</v>
      </c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4" t="s">
        <v>489</v>
      </c>
      <c r="W282" s="39" t="n">
        <f aca="false">IFERROR(INDEX('Data 2'!$L$2:$L$2198,MATCH(V282,'Data 2'!$A$2:$A$2198,0)), 0)</f>
        <v>104.853333333333</v>
      </c>
      <c r="X282" s="39" t="n">
        <f aca="false">IFERROR(INDEX('Data 2'!$M$2:$M$2198,MATCH(V282,'Data 2'!$A$2:$A$2198,0)), 0)</f>
        <v>155.4625</v>
      </c>
      <c r="Y282" s="37"/>
      <c r="Z282" s="37"/>
    </row>
    <row r="283" customFormat="false" ht="15.75" hidden="false" customHeight="true" outlineLevel="0" collapsed="false">
      <c r="A283" s="37"/>
      <c r="B283" s="37"/>
      <c r="C283" s="37"/>
      <c r="D283" s="34" t="s">
        <v>216</v>
      </c>
      <c r="E283" s="39" t="n">
        <f aca="false">IFERROR(INDEX('Data 2'!$L$2:$L$2198,MATCH(D283,'Data 2'!$A$2:$A$2198,0)), 0)</f>
        <v>-29.8333333333333</v>
      </c>
      <c r="F283" s="39" t="n">
        <f aca="false">IFERROR(INDEX('Data 2'!$M$2:$M$2198,MATCH(D283,'Data 2'!$A$2:$A$2198,0)), 0)</f>
        <v>-60.56</v>
      </c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4" t="s">
        <v>215</v>
      </c>
      <c r="W283" s="39" t="n">
        <f aca="false">IFERROR(INDEX('Data 2'!$L$2:$L$2198,MATCH(V283,'Data 2'!$A$2:$A$2198,0)), 0)</f>
        <v>96.4633333333334</v>
      </c>
      <c r="X283" s="39" t="n">
        <f aca="false">IFERROR(INDEX('Data 2'!$M$2:$M$2198,MATCH(V283,'Data 2'!$A$2:$A$2198,0)), 0)</f>
        <v>176.52125</v>
      </c>
      <c r="Y283" s="37"/>
      <c r="Z283" s="37"/>
    </row>
    <row r="284" customFormat="false" ht="15.75" hidden="false" customHeight="true" outlineLevel="0" collapsed="false">
      <c r="A284" s="37"/>
      <c r="B284" s="37"/>
      <c r="C284" s="37"/>
      <c r="D284" s="34" t="s">
        <v>466</v>
      </c>
      <c r="E284" s="39" t="n">
        <f aca="false">IFERROR(INDEX('Data 2'!$L$2:$L$2198,MATCH(D284,'Data 2'!$A$2:$A$2198,0)), 0)</f>
        <v>-92.79</v>
      </c>
      <c r="F284" s="39" t="n">
        <f aca="false">IFERROR(INDEX('Data 2'!$M$2:$M$2198,MATCH(D284,'Data 2'!$A$2:$A$2198,0)), 0)</f>
        <v>-109.9625</v>
      </c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4" t="s">
        <v>54</v>
      </c>
      <c r="W284" s="39" t="n">
        <f aca="false">IFERROR(INDEX('Data 2'!$L$2:$L$2198,MATCH(V284,'Data 2'!$A$2:$A$2198,0)), 0)</f>
        <v>-8.38666666666667</v>
      </c>
      <c r="X284" s="39" t="n">
        <f aca="false">IFERROR(INDEX('Data 2'!$M$2:$M$2198,MATCH(V284,'Data 2'!$A$2:$A$2198,0)), 0)</f>
        <v>-5.17875</v>
      </c>
      <c r="Y284" s="37"/>
      <c r="Z284" s="37"/>
    </row>
    <row r="285" customFormat="false" ht="15.75" hidden="false" customHeight="true" outlineLevel="0" collapsed="false">
      <c r="A285" s="37"/>
      <c r="B285" s="37"/>
      <c r="C285" s="37"/>
      <c r="D285" s="34" t="s">
        <v>315</v>
      </c>
      <c r="E285" s="39" t="n">
        <f aca="false">IFERROR(INDEX('Data 2'!$L$2:$L$2198,MATCH(D285,'Data 2'!$A$2:$A$2198,0)), 0)</f>
        <v>-16.6166666666667</v>
      </c>
      <c r="F285" s="39" t="n">
        <f aca="false">IFERROR(INDEX('Data 2'!$M$2:$M$2198,MATCH(D285,'Data 2'!$A$2:$A$2198,0)), 0)</f>
        <v>11.73125</v>
      </c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4" t="s">
        <v>211</v>
      </c>
      <c r="W285" s="39" t="n">
        <f aca="false">IFERROR(INDEX('Data 2'!$L$2:$L$2198,MATCH(V285,'Data 2'!$A$2:$A$2198,0)), 0)</f>
        <v>7.07</v>
      </c>
      <c r="X285" s="39" t="n">
        <f aca="false">IFERROR(INDEX('Data 2'!$M$2:$M$2198,MATCH(V285,'Data 2'!$A$2:$A$2198,0)), 0)</f>
        <v>80.28125</v>
      </c>
      <c r="Y285" s="37"/>
      <c r="Z285" s="37"/>
    </row>
    <row r="286" customFormat="false" ht="15.75" hidden="false" customHeight="true" outlineLevel="0" collapsed="false">
      <c r="A286" s="37"/>
      <c r="B286" s="37"/>
      <c r="C286" s="37"/>
      <c r="D286" s="34" t="s">
        <v>468</v>
      </c>
      <c r="E286" s="39" t="n">
        <f aca="false">IFERROR(INDEX('Data 2'!$L$2:$L$2198,MATCH(D286,'Data 2'!$A$2:$A$2198,0)), 0)</f>
        <v>16.9366666666667</v>
      </c>
      <c r="F286" s="39" t="n">
        <f aca="false">IFERROR(INDEX('Data 2'!$M$2:$M$2198,MATCH(D286,'Data 2'!$A$2:$A$2198,0)), 0)</f>
        <v>56.39875</v>
      </c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4" t="s">
        <v>490</v>
      </c>
      <c r="W286" s="39" t="n">
        <f aca="false">IFERROR(INDEX('Data 2'!$L$2:$L$2198,MATCH(V286,'Data 2'!$A$2:$A$2198,0)), 0)</f>
        <v>-63.05</v>
      </c>
      <c r="X286" s="39" t="n">
        <f aca="false">IFERROR(INDEX('Data 2'!$M$2:$M$2198,MATCH(V286,'Data 2'!$A$2:$A$2198,0)), 0)</f>
        <v>-69.70375</v>
      </c>
      <c r="Y286" s="37"/>
      <c r="Z286" s="37"/>
    </row>
    <row r="287" customFormat="false" ht="15.75" hidden="false" customHeight="true" outlineLevel="0" collapsed="false">
      <c r="A287" s="37"/>
      <c r="B287" s="37"/>
      <c r="C287" s="37"/>
      <c r="D287" s="34" t="s">
        <v>469</v>
      </c>
      <c r="E287" s="39" t="n">
        <f aca="false">IFERROR(INDEX('Data 2'!$L$2:$L$2198,MATCH(D287,'Data 2'!$A$2:$A$2198,0)), 0)</f>
        <v>25.46</v>
      </c>
      <c r="F287" s="39" t="n">
        <f aca="false">IFERROR(INDEX('Data 2'!$M$2:$M$2198,MATCH(D287,'Data 2'!$A$2:$A$2198,0)), 0)</f>
        <v>-9.98125000000001</v>
      </c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4" t="s">
        <v>148</v>
      </c>
      <c r="W287" s="39" t="n">
        <f aca="false">IFERROR(INDEX('Data 2'!$L$2:$L$2198,MATCH(V287,'Data 2'!$A$2:$A$2198,0)), 0)</f>
        <v>69.39</v>
      </c>
      <c r="X287" s="39" t="n">
        <f aca="false">IFERROR(INDEX('Data 2'!$M$2:$M$2198,MATCH(V287,'Data 2'!$A$2:$A$2198,0)), 0)</f>
        <v>9.4825</v>
      </c>
      <c r="Y287" s="37"/>
      <c r="Z287" s="37"/>
    </row>
    <row r="288" customFormat="false" ht="15.75" hidden="false" customHeight="true" outlineLevel="0" collapsed="false">
      <c r="A288" s="37"/>
      <c r="B288" s="37"/>
      <c r="C288" s="37"/>
      <c r="D288" s="34" t="s">
        <v>470</v>
      </c>
      <c r="E288" s="39" t="n">
        <f aca="false">IFERROR(INDEX('Data 2'!$L$2:$L$2198,MATCH(D288,'Data 2'!$A$2:$A$2198,0)), 0)</f>
        <v>89.96</v>
      </c>
      <c r="F288" s="39" t="n">
        <f aca="false">IFERROR(INDEX('Data 2'!$M$2:$M$2198,MATCH(D288,'Data 2'!$A$2:$A$2198,0)), 0)</f>
        <v>15.48875</v>
      </c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4" t="s">
        <v>332</v>
      </c>
      <c r="W288" s="39" t="n">
        <f aca="false">IFERROR(INDEX('Data 2'!$L$2:$L$2198,MATCH(V288,'Data 2'!$A$2:$A$2198,0)), 0)</f>
        <v>-47.7433333333333</v>
      </c>
      <c r="X288" s="39" t="n">
        <f aca="false">IFERROR(INDEX('Data 2'!$M$2:$M$2198,MATCH(V288,'Data 2'!$A$2:$A$2198,0)), 0)</f>
        <v>-87.935</v>
      </c>
      <c r="Y288" s="37"/>
      <c r="Z288" s="37"/>
    </row>
    <row r="289" customFormat="false" ht="15.75" hidden="false" customHeight="true" outlineLevel="0" collapsed="false">
      <c r="A289" s="37"/>
      <c r="B289" s="37"/>
      <c r="C289" s="37"/>
      <c r="D289" s="34" t="s">
        <v>471</v>
      </c>
      <c r="E289" s="39" t="n">
        <f aca="false">IFERROR(INDEX('Data 2'!$L$2:$L$2198,MATCH(D289,'Data 2'!$A$2:$A$2198,0)), 0)</f>
        <v>6.83333333333333</v>
      </c>
      <c r="F289" s="39" t="n">
        <f aca="false">IFERROR(INDEX('Data 2'!$M$2:$M$2198,MATCH(D289,'Data 2'!$A$2:$A$2198,0)), 0)</f>
        <v>12.05125</v>
      </c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4" t="s">
        <v>491</v>
      </c>
      <c r="W289" s="39" t="n">
        <f aca="false">IFERROR(INDEX('Data 2'!$L$2:$L$2198,MATCH(V289,'Data 2'!$A$2:$A$2198,0)), 0)</f>
        <v>-52.46</v>
      </c>
      <c r="X289" s="39" t="n">
        <f aca="false">IFERROR(INDEX('Data 2'!$M$2:$M$2198,MATCH(V289,'Data 2'!$A$2:$A$2198,0)), 0)</f>
        <v>14.3525</v>
      </c>
      <c r="Y289" s="37"/>
      <c r="Z289" s="37"/>
    </row>
    <row r="290" customFormat="false" ht="15.75" hidden="false" customHeight="true" outlineLevel="0" collapsed="false">
      <c r="A290" s="37"/>
      <c r="B290" s="37"/>
      <c r="C290" s="37"/>
      <c r="D290" s="34" t="s">
        <v>472</v>
      </c>
      <c r="E290" s="39" t="n">
        <f aca="false">IFERROR(INDEX('Data 2'!$L$2:$L$2198,MATCH(D290,'Data 2'!$A$2:$A$2198,0)), 0)</f>
        <v>24.7066666666667</v>
      </c>
      <c r="F290" s="39" t="n">
        <f aca="false">IFERROR(INDEX('Data 2'!$M$2:$M$2198,MATCH(D290,'Data 2'!$A$2:$A$2198,0)), 0)</f>
        <v>81.7675</v>
      </c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4" t="s">
        <v>492</v>
      </c>
      <c r="W290" s="39" t="n">
        <f aca="false">IFERROR(INDEX('Data 2'!$L$2:$L$2198,MATCH(V290,'Data 2'!$A$2:$A$2198,0)), 0)</f>
        <v>64.1533333333333</v>
      </c>
      <c r="X290" s="39" t="n">
        <f aca="false">IFERROR(INDEX('Data 2'!$M$2:$M$2198,MATCH(V290,'Data 2'!$A$2:$A$2198,0)), 0)</f>
        <v>-13.4675</v>
      </c>
      <c r="Y290" s="37"/>
      <c r="Z290" s="37"/>
    </row>
    <row r="291" customFormat="false" ht="15.75" hidden="false" customHeight="true" outlineLevel="0" collapsed="false">
      <c r="A291" s="37"/>
      <c r="B291" s="37"/>
      <c r="C291" s="37"/>
      <c r="D291" s="34" t="s">
        <v>58</v>
      </c>
      <c r="E291" s="39" t="n">
        <f aca="false">IFERROR(INDEX('Data 2'!$L$2:$L$2198,MATCH(D291,'Data 2'!$A$2:$A$2198,0)), 0)</f>
        <v>-65.79</v>
      </c>
      <c r="F291" s="39" t="n">
        <f aca="false">IFERROR(INDEX('Data 2'!$M$2:$M$2198,MATCH(D291,'Data 2'!$A$2:$A$2198,0)), 0)</f>
        <v>-73.055</v>
      </c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4" t="s">
        <v>37</v>
      </c>
      <c r="W291" s="39" t="n">
        <f aca="false">IFERROR(INDEX('Data 2'!$L$2:$L$2198,MATCH(V291,'Data 2'!$A$2:$A$2198,0)), 0)</f>
        <v>127.333333333333</v>
      </c>
      <c r="X291" s="39" t="n">
        <f aca="false">IFERROR(INDEX('Data 2'!$M$2:$M$2198,MATCH(V291,'Data 2'!$A$2:$A$2198,0)), 0)</f>
        <v>187.25625</v>
      </c>
      <c r="Y291" s="37"/>
      <c r="Z291" s="37"/>
    </row>
    <row r="292" customFormat="false" ht="15.75" hidden="false" customHeight="true" outlineLevel="0" collapsed="false">
      <c r="A292" s="37"/>
      <c r="B292" s="37"/>
      <c r="C292" s="37"/>
      <c r="D292" s="34" t="s">
        <v>474</v>
      </c>
      <c r="E292" s="39" t="n">
        <f aca="false">IFERROR(INDEX('Data 2'!$L$2:$L$2198,MATCH(D292,'Data 2'!$A$2:$A$2198,0)), 0)</f>
        <v>-54.5816666666667</v>
      </c>
      <c r="F292" s="39" t="n">
        <f aca="false">IFERROR(INDEX('Data 2'!$M$2:$M$2198,MATCH(D292,'Data 2'!$A$2:$A$2198,0)), 0)</f>
        <v>24.385625</v>
      </c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4" t="s">
        <v>124</v>
      </c>
      <c r="W292" s="39" t="n">
        <f aca="false">IFERROR(INDEX('Data 2'!$L$2:$L$2198,MATCH(V292,'Data 2'!$A$2:$A$2198,0)), 0)</f>
        <v>13.7066666666667</v>
      </c>
      <c r="X292" s="39" t="n">
        <f aca="false">IFERROR(INDEX('Data 2'!$M$2:$M$2198,MATCH(V292,'Data 2'!$A$2:$A$2198,0)), 0)</f>
        <v>-9.18125</v>
      </c>
      <c r="Y292" s="37"/>
      <c r="Z292" s="37"/>
    </row>
    <row r="293" customFormat="false" ht="15.75" hidden="false" customHeight="true" outlineLevel="0" collapsed="false">
      <c r="A293" s="37"/>
      <c r="B293" s="37"/>
      <c r="C293" s="37"/>
      <c r="D293" s="34" t="s">
        <v>118</v>
      </c>
      <c r="E293" s="39" t="n">
        <f aca="false">IFERROR(INDEX('Data 2'!$L$2:$L$2198,MATCH(D293,'Data 2'!$A$2:$A$2198,0)), 0)</f>
        <v>92.7166666666667</v>
      </c>
      <c r="F293" s="39" t="n">
        <f aca="false">IFERROR(INDEX('Data 2'!$M$2:$M$2198,MATCH(D293,'Data 2'!$A$2:$A$2198,0)), 0)</f>
        <v>142.18625</v>
      </c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4" t="s">
        <v>425</v>
      </c>
      <c r="W293" s="39" t="n">
        <f aca="false">IFERROR(INDEX('Data 2'!$L$2:$L$2198,MATCH(V293,'Data 2'!$A$2:$A$2198,0)), 0)</f>
        <v>0.49</v>
      </c>
      <c r="X293" s="39" t="n">
        <f aca="false">IFERROR(INDEX('Data 2'!$M$2:$M$2198,MATCH(V293,'Data 2'!$A$2:$A$2198,0)), 0)</f>
        <v>8.0325</v>
      </c>
      <c r="Y293" s="37"/>
      <c r="Z293" s="37"/>
    </row>
    <row r="294" customFormat="false" ht="15.75" hidden="false" customHeight="true" outlineLevel="0" collapsed="false">
      <c r="A294" s="37"/>
      <c r="B294" s="37"/>
      <c r="C294" s="37"/>
      <c r="D294" s="34" t="s">
        <v>133</v>
      </c>
      <c r="E294" s="39" t="n">
        <f aca="false">IFERROR(INDEX('Data 2'!$L$2:$L$2198,MATCH(D294,'Data 2'!$A$2:$A$2198,0)), 0)</f>
        <v>49.7733333333333</v>
      </c>
      <c r="F294" s="39" t="n">
        <f aca="false">IFERROR(INDEX('Data 2'!$M$2:$M$2198,MATCH(D294,'Data 2'!$A$2:$A$2198,0)), 0)</f>
        <v>-6.99375</v>
      </c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4" t="s">
        <v>149</v>
      </c>
      <c r="W294" s="39" t="n">
        <f aca="false">IFERROR(INDEX('Data 2'!$L$2:$L$2198,MATCH(V294,'Data 2'!$A$2:$A$2198,0)), 0)</f>
        <v>100.756666666667</v>
      </c>
      <c r="X294" s="39" t="n">
        <f aca="false">IFERROR(INDEX('Data 2'!$M$2:$M$2198,MATCH(V294,'Data 2'!$A$2:$A$2198,0)), 0)</f>
        <v>21.885</v>
      </c>
      <c r="Y294" s="37"/>
      <c r="Z294" s="37"/>
    </row>
    <row r="295" customFormat="false" ht="15.75" hidden="false" customHeight="true" outlineLevel="0" collapsed="false">
      <c r="A295" s="37"/>
      <c r="B295" s="37"/>
      <c r="C295" s="37"/>
      <c r="D295" s="34" t="s">
        <v>164</v>
      </c>
      <c r="E295" s="39" t="n">
        <f aca="false">IFERROR(INDEX('Data 2'!$L$2:$L$2198,MATCH(D295,'Data 2'!$A$2:$A$2198,0)), 0)</f>
        <v>-125.086666666667</v>
      </c>
      <c r="F295" s="39" t="n">
        <f aca="false">IFERROR(INDEX('Data 2'!$M$2:$M$2198,MATCH(D295,'Data 2'!$A$2:$A$2198,0)), 0)</f>
        <v>-114.465</v>
      </c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4" t="s">
        <v>189</v>
      </c>
      <c r="W295" s="39" t="n">
        <f aca="false">IFERROR(INDEX('Data 2'!$L$2:$L$2198,MATCH(V295,'Data 2'!$A$2:$A$2198,0)), 0)</f>
        <v>-57.4466666666667</v>
      </c>
      <c r="X295" s="39" t="n">
        <f aca="false">IFERROR(INDEX('Data 2'!$M$2:$M$2198,MATCH(V295,'Data 2'!$A$2:$A$2198,0)), 0)</f>
        <v>-98.99125</v>
      </c>
      <c r="Y295" s="37"/>
      <c r="Z295" s="37"/>
    </row>
    <row r="296" customFormat="false" ht="15.75" hidden="false" customHeight="true" outlineLevel="0" collapsed="false">
      <c r="A296" s="37"/>
      <c r="B296" s="37"/>
      <c r="C296" s="37"/>
      <c r="D296" s="34" t="s">
        <v>87</v>
      </c>
      <c r="E296" s="39" t="n">
        <f aca="false">IFERROR(INDEX('Data 2'!$L$2:$L$2198,MATCH(D296,'Data 2'!$A$2:$A$2198,0)), 0)</f>
        <v>91.2033333333333</v>
      </c>
      <c r="F296" s="39" t="n">
        <f aca="false">IFERROR(INDEX('Data 2'!$M$2:$M$2198,MATCH(D296,'Data 2'!$A$2:$A$2198,0)), 0)</f>
        <v>63.67125</v>
      </c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4" t="s">
        <v>493</v>
      </c>
      <c r="W296" s="39" t="n">
        <f aca="false">IFERROR(INDEX('Data 2'!$L$2:$L$2198,MATCH(V296,'Data 2'!$A$2:$A$2198,0)), 0)</f>
        <v>-2.50666666666667</v>
      </c>
      <c r="X296" s="39" t="n">
        <f aca="false">IFERROR(INDEX('Data 2'!$M$2:$M$2198,MATCH(V296,'Data 2'!$A$2:$A$2198,0)), 0)</f>
        <v>53.69875</v>
      </c>
      <c r="Y296" s="37"/>
      <c r="Z296" s="37"/>
    </row>
    <row r="297" customFormat="false" ht="15.75" hidden="false" customHeight="true" outlineLevel="0" collapsed="false">
      <c r="A297" s="37"/>
      <c r="B297" s="37"/>
      <c r="C297" s="37"/>
      <c r="D297" s="34" t="s">
        <v>93</v>
      </c>
      <c r="E297" s="39" t="n">
        <f aca="false">IFERROR(INDEX('Data 2'!$L$2:$L$2198,MATCH(D297,'Data 2'!$A$2:$A$2198,0)), 0)</f>
        <v>-65.85</v>
      </c>
      <c r="F297" s="39" t="n">
        <f aca="false">IFERROR(INDEX('Data 2'!$M$2:$M$2198,MATCH(D297,'Data 2'!$A$2:$A$2198,0)), 0)</f>
        <v>-1.4225</v>
      </c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4" t="s">
        <v>331</v>
      </c>
      <c r="W297" s="39" t="n">
        <f aca="false">IFERROR(INDEX('Data 2'!$L$2:$L$2198,MATCH(V297,'Data 2'!$A$2:$A$2198,0)), 0)</f>
        <v>88.51</v>
      </c>
      <c r="X297" s="39" t="n">
        <f aca="false">IFERROR(INDEX('Data 2'!$M$2:$M$2198,MATCH(V297,'Data 2'!$A$2:$A$2198,0)), 0)</f>
        <v>75.1225</v>
      </c>
      <c r="Y297" s="37"/>
      <c r="Z297" s="37"/>
    </row>
    <row r="298" customFormat="false" ht="15.75" hidden="false" customHeight="true" outlineLevel="0" collapsed="false">
      <c r="A298" s="37"/>
      <c r="B298" s="37"/>
      <c r="C298" s="37"/>
      <c r="D298" s="34" t="s">
        <v>475</v>
      </c>
      <c r="E298" s="39" t="n">
        <f aca="false">IFERROR(INDEX('Data 2'!$L$2:$L$2198,MATCH(D298,'Data 2'!$A$2:$A$2198,0)), 0)</f>
        <v>14.0366666666667</v>
      </c>
      <c r="F298" s="39" t="n">
        <f aca="false">IFERROR(INDEX('Data 2'!$M$2:$M$2198,MATCH(D298,'Data 2'!$A$2:$A$2198,0)), 0)</f>
        <v>30.22</v>
      </c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4" t="s">
        <v>43</v>
      </c>
      <c r="W298" s="39" t="n">
        <f aca="false">IFERROR(INDEX('Data 2'!$L$2:$L$2198,MATCH(V298,'Data 2'!$A$2:$A$2198,0)), 0)</f>
        <v>-79.8366666666667</v>
      </c>
      <c r="X298" s="39" t="n">
        <f aca="false">IFERROR(INDEX('Data 2'!$M$2:$M$2198,MATCH(V298,'Data 2'!$A$2:$A$2198,0)), 0)</f>
        <v>-36.58625</v>
      </c>
      <c r="Y298" s="37"/>
      <c r="Z298" s="37"/>
    </row>
    <row r="299" customFormat="false" ht="15.75" hidden="false" customHeight="true" outlineLevel="0" collapsed="false">
      <c r="A299" s="37"/>
      <c r="B299" s="37"/>
      <c r="C299" s="37"/>
      <c r="D299" s="34" t="s">
        <v>138</v>
      </c>
      <c r="E299" s="39" t="n">
        <f aca="false">IFERROR(INDEX('Data 2'!$L$2:$L$2198,MATCH(D299,'Data 2'!$A$2:$A$2198,0)), 0)</f>
        <v>80.2633333333333</v>
      </c>
      <c r="F299" s="39" t="n">
        <f aca="false">IFERROR(INDEX('Data 2'!$M$2:$M$2198,MATCH(D299,'Data 2'!$A$2:$A$2198,0)), 0)</f>
        <v>107.23375</v>
      </c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4" t="s">
        <v>337</v>
      </c>
      <c r="W299" s="39" t="n">
        <f aca="false">IFERROR(INDEX('Data 2'!$L$2:$L$2198,MATCH(V299,'Data 2'!$A$2:$A$2198,0)), 0)</f>
        <v>57.9633333333333</v>
      </c>
      <c r="X299" s="39" t="n">
        <f aca="false">IFERROR(INDEX('Data 2'!$M$2:$M$2198,MATCH(V299,'Data 2'!$A$2:$A$2198,0)), 0)</f>
        <v>-35.36</v>
      </c>
      <c r="Y299" s="37"/>
      <c r="Z299" s="37"/>
    </row>
    <row r="300" customFormat="false" ht="15.75" hidden="false" customHeight="true" outlineLevel="0" collapsed="false">
      <c r="A300" s="37"/>
      <c r="B300" s="37"/>
      <c r="C300" s="37"/>
      <c r="D300" s="34" t="s">
        <v>476</v>
      </c>
      <c r="E300" s="39" t="n">
        <f aca="false">IFERROR(INDEX('Data 2'!$L$2:$L$2198,MATCH(D300,'Data 2'!$A$2:$A$2198,0)), 0)</f>
        <v>114.603333333333</v>
      </c>
      <c r="F300" s="39" t="n">
        <f aca="false">IFERROR(INDEX('Data 2'!$M$2:$M$2198,MATCH(D300,'Data 2'!$A$2:$A$2198,0)), 0)</f>
        <v>222.48</v>
      </c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4" t="s">
        <v>494</v>
      </c>
      <c r="W300" s="39" t="n">
        <f aca="false">IFERROR(INDEX('Data 2'!$L$2:$L$2198,MATCH(V300,'Data 2'!$A$2:$A$2198,0)), 0)</f>
        <v>125.17</v>
      </c>
      <c r="X300" s="39" t="n">
        <f aca="false">IFERROR(INDEX('Data 2'!$M$2:$M$2198,MATCH(V300,'Data 2'!$A$2:$A$2198,0)), 0)</f>
        <v>13.32</v>
      </c>
      <c r="Y300" s="37"/>
      <c r="Z300" s="37"/>
    </row>
    <row r="301" customFormat="false" ht="15.75" hidden="false" customHeight="true" outlineLevel="0" collapsed="false">
      <c r="A301" s="37"/>
      <c r="B301" s="37"/>
      <c r="C301" s="37"/>
      <c r="D301" s="34" t="s">
        <v>207</v>
      </c>
      <c r="E301" s="39" t="n">
        <f aca="false">IFERROR(INDEX('Data 2'!$L$2:$L$2198,MATCH(D301,'Data 2'!$A$2:$A$2198,0)), 0)</f>
        <v>-66.46</v>
      </c>
      <c r="F301" s="39" t="n">
        <f aca="false">IFERROR(INDEX('Data 2'!$M$2:$M$2198,MATCH(D301,'Data 2'!$A$2:$A$2198,0)), 0)</f>
        <v>-38.2925</v>
      </c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4" t="s">
        <v>173</v>
      </c>
      <c r="W301" s="39" t="n">
        <f aca="false">IFERROR(INDEX('Data 2'!$L$2:$L$2198,MATCH(V301,'Data 2'!$A$2:$A$2198,0)), 0)</f>
        <v>38.0766666666667</v>
      </c>
      <c r="X301" s="39" t="n">
        <f aca="false">IFERROR(INDEX('Data 2'!$M$2:$M$2198,MATCH(V301,'Data 2'!$A$2:$A$2198,0)), 0)</f>
        <v>91.0825</v>
      </c>
      <c r="Y301" s="37"/>
      <c r="Z301" s="37"/>
    </row>
    <row r="302" customFormat="false" ht="15.75" hidden="false" customHeight="true" outlineLevel="0" collapsed="false">
      <c r="A302" s="37"/>
      <c r="B302" s="37"/>
      <c r="C302" s="37"/>
      <c r="D302" s="34" t="s">
        <v>398</v>
      </c>
      <c r="E302" s="39" t="n">
        <f aca="false">IFERROR(INDEX('Data 2'!$L$2:$L$2198,MATCH(D302,'Data 2'!$A$2:$A$2198,0)), 0)</f>
        <v>-59</v>
      </c>
      <c r="F302" s="39" t="n">
        <f aca="false">IFERROR(INDEX('Data 2'!$M$2:$M$2198,MATCH(D302,'Data 2'!$A$2:$A$2198,0)), 0)</f>
        <v>-66.46125</v>
      </c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4" t="s">
        <v>245</v>
      </c>
      <c r="W302" s="39" t="n">
        <f aca="false">IFERROR(INDEX('Data 2'!$L$2:$L$2198,MATCH(V302,'Data 2'!$A$2:$A$2198,0)), 0)</f>
        <v>30.24</v>
      </c>
      <c r="X302" s="39" t="n">
        <f aca="false">IFERROR(INDEX('Data 2'!$M$2:$M$2198,MATCH(V302,'Data 2'!$A$2:$A$2198,0)), 0)</f>
        <v>68.2475</v>
      </c>
      <c r="Y302" s="37"/>
      <c r="Z302" s="37"/>
    </row>
    <row r="303" customFormat="false" ht="15.75" hidden="false" customHeight="true" outlineLevel="0" collapsed="false">
      <c r="A303" s="37"/>
      <c r="B303" s="37"/>
      <c r="C303" s="37"/>
      <c r="D303" s="34" t="s">
        <v>400</v>
      </c>
      <c r="E303" s="39" t="n">
        <f aca="false">IFERROR(INDEX('Data 2'!$L$2:$L$2198,MATCH(D303,'Data 2'!$A$2:$A$2198,0)), 0)</f>
        <v>-115.23</v>
      </c>
      <c r="F303" s="39" t="n">
        <f aca="false">IFERROR(INDEX('Data 2'!$M$2:$M$2198,MATCH(D303,'Data 2'!$A$2:$A$2198,0)), 0)</f>
        <v>-85.77875</v>
      </c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4" t="s">
        <v>495</v>
      </c>
      <c r="W303" s="39" t="n">
        <f aca="false">IFERROR(INDEX('Data 2'!$L$2:$L$2198,MATCH(V303,'Data 2'!$A$2:$A$2198,0)), 0)</f>
        <v>-81.27</v>
      </c>
      <c r="X303" s="39" t="n">
        <f aca="false">IFERROR(INDEX('Data 2'!$M$2:$M$2198,MATCH(V303,'Data 2'!$A$2:$A$2198,0)), 0)</f>
        <v>-142.69375</v>
      </c>
      <c r="Y303" s="37"/>
      <c r="Z303" s="37"/>
    </row>
    <row r="304" customFormat="false" ht="15.75" hidden="false" customHeight="true" outlineLevel="0" collapsed="false">
      <c r="A304" s="37"/>
      <c r="B304" s="37"/>
      <c r="C304" s="37"/>
      <c r="D304" s="34" t="s">
        <v>146</v>
      </c>
      <c r="E304" s="39" t="n">
        <f aca="false">IFERROR(INDEX('Data 2'!$L$2:$L$2198,MATCH(D304,'Data 2'!$A$2:$A$2198,0)), 0)</f>
        <v>64.1</v>
      </c>
      <c r="F304" s="39" t="n">
        <f aca="false">IFERROR(INDEX('Data 2'!$M$2:$M$2198,MATCH(D304,'Data 2'!$A$2:$A$2198,0)), 0)</f>
        <v>37.375</v>
      </c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4" t="s">
        <v>228</v>
      </c>
      <c r="W304" s="39" t="n">
        <f aca="false">IFERROR(INDEX('Data 2'!$L$2:$L$2198,MATCH(V304,'Data 2'!$A$2:$A$2198,0)), 0)</f>
        <v>-0.579999999999998</v>
      </c>
      <c r="X304" s="39" t="n">
        <f aca="false">IFERROR(INDEX('Data 2'!$M$2:$M$2198,MATCH(V304,'Data 2'!$A$2:$A$2198,0)), 0)</f>
        <v>12.17125</v>
      </c>
      <c r="Y304" s="37"/>
      <c r="Z304" s="37"/>
    </row>
    <row r="305" customFormat="false" ht="15.75" hidden="false" customHeight="true" outlineLevel="0" collapsed="false">
      <c r="A305" s="37"/>
      <c r="B305" s="37"/>
      <c r="C305" s="37"/>
      <c r="D305" s="34" t="s">
        <v>477</v>
      </c>
      <c r="E305" s="39" t="n">
        <f aca="false">IFERROR(INDEX('Data 2'!$L$2:$L$2198,MATCH(D305,'Data 2'!$A$2:$A$2198,0)), 0)</f>
        <v>-42.2633333333333</v>
      </c>
      <c r="F305" s="39" t="n">
        <f aca="false">IFERROR(INDEX('Data 2'!$M$2:$M$2198,MATCH(D305,'Data 2'!$A$2:$A$2198,0)), 0)</f>
        <v>-32.24</v>
      </c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4" t="s">
        <v>431</v>
      </c>
      <c r="W305" s="39" t="n">
        <f aca="false">IFERROR(INDEX('Data 2'!$L$2:$L$2198,MATCH(V305,'Data 2'!$A$2:$A$2198,0)), 0)</f>
        <v>-27.08</v>
      </c>
      <c r="X305" s="39" t="n">
        <f aca="false">IFERROR(INDEX('Data 2'!$M$2:$M$2198,MATCH(V305,'Data 2'!$A$2:$A$2198,0)), 0)</f>
        <v>-31.54875</v>
      </c>
      <c r="Y305" s="37"/>
      <c r="Z305" s="37"/>
    </row>
    <row r="306" customFormat="false" ht="15.75" hidden="false" customHeight="true" outlineLevel="0" collapsed="false">
      <c r="A306" s="37"/>
      <c r="B306" s="37"/>
      <c r="C306" s="37"/>
      <c r="D306" s="34" t="s">
        <v>83</v>
      </c>
      <c r="E306" s="39" t="n">
        <f aca="false">IFERROR(INDEX('Data 2'!$L$2:$L$2198,MATCH(D306,'Data 2'!$A$2:$A$2198,0)), 0)</f>
        <v>11.0933333333333</v>
      </c>
      <c r="F306" s="39" t="n">
        <f aca="false">IFERROR(INDEX('Data 2'!$M$2:$M$2198,MATCH(D306,'Data 2'!$A$2:$A$2198,0)), 0)</f>
        <v>45.75125</v>
      </c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4" t="s">
        <v>496</v>
      </c>
      <c r="W306" s="39" t="n">
        <f aca="false">IFERROR(INDEX('Data 2'!$L$2:$L$2198,MATCH(V306,'Data 2'!$A$2:$A$2198,0)), 0)</f>
        <v>80.32</v>
      </c>
      <c r="X306" s="39" t="n">
        <f aca="false">IFERROR(INDEX('Data 2'!$M$2:$M$2198,MATCH(V306,'Data 2'!$A$2:$A$2198,0)), 0)</f>
        <v>-54.7375</v>
      </c>
      <c r="Y306" s="37"/>
      <c r="Z306" s="37"/>
    </row>
    <row r="307" customFormat="false" ht="15.75" hidden="false" customHeight="true" outlineLevel="0" collapsed="false">
      <c r="A307" s="37"/>
      <c r="B307" s="37"/>
      <c r="C307" s="37"/>
      <c r="D307" s="34" t="s">
        <v>222</v>
      </c>
      <c r="E307" s="39" t="n">
        <f aca="false">IFERROR(INDEX('Data 2'!$L$2:$L$2198,MATCH(D307,'Data 2'!$A$2:$A$2198,0)), 0)</f>
        <v>-3.85333333333333</v>
      </c>
      <c r="F307" s="39" t="n">
        <f aca="false">IFERROR(INDEX('Data 2'!$M$2:$M$2198,MATCH(D307,'Data 2'!$A$2:$A$2198,0)), 0)</f>
        <v>-25.76125</v>
      </c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4" t="s">
        <v>497</v>
      </c>
      <c r="W307" s="39" t="n">
        <f aca="false">IFERROR(INDEX('Data 2'!$L$2:$L$2198,MATCH(V307,'Data 2'!$A$2:$A$2198,0)), 0)</f>
        <v>49.69</v>
      </c>
      <c r="X307" s="39" t="n">
        <f aca="false">IFERROR(INDEX('Data 2'!$M$2:$M$2198,MATCH(V307,'Data 2'!$A$2:$A$2198,0)), 0)</f>
        <v>-13.395</v>
      </c>
      <c r="Y307" s="37"/>
      <c r="Z307" s="37"/>
    </row>
    <row r="308" customFormat="false" ht="15.75" hidden="false" customHeight="true" outlineLevel="0" collapsed="false">
      <c r="A308" s="37"/>
      <c r="B308" s="37"/>
      <c r="C308" s="37"/>
      <c r="D308" s="34" t="s">
        <v>167</v>
      </c>
      <c r="E308" s="39" t="n">
        <f aca="false">IFERROR(INDEX('Data 2'!$L$2:$L$2198,MATCH(D308,'Data 2'!$A$2:$A$2198,0)), 0)</f>
        <v>-83.95</v>
      </c>
      <c r="F308" s="39" t="n">
        <f aca="false">IFERROR(INDEX('Data 2'!$M$2:$M$2198,MATCH(D308,'Data 2'!$A$2:$A$2198,0)), 0)</f>
        <v>-70.52125</v>
      </c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4" t="s">
        <v>112</v>
      </c>
      <c r="W308" s="39" t="n">
        <f aca="false">IFERROR(INDEX('Data 2'!$L$2:$L$2198,MATCH(V308,'Data 2'!$A$2:$A$2198,0)), 0)</f>
        <v>-72.08</v>
      </c>
      <c r="X308" s="39" t="n">
        <f aca="false">IFERROR(INDEX('Data 2'!$M$2:$M$2198,MATCH(V308,'Data 2'!$A$2:$A$2198,0)), 0)</f>
        <v>-4.94125</v>
      </c>
      <c r="Y308" s="37"/>
      <c r="Z308" s="37"/>
    </row>
    <row r="309" customFormat="false" ht="15.75" hidden="false" customHeight="true" outlineLevel="0" collapsed="false">
      <c r="A309" s="37"/>
      <c r="B309" s="37"/>
      <c r="C309" s="37"/>
      <c r="D309" s="34" t="s">
        <v>478</v>
      </c>
      <c r="E309" s="39" t="n">
        <f aca="false">IFERROR(INDEX('Data 2'!$L$2:$L$2198,MATCH(D309,'Data 2'!$A$2:$A$2198,0)), 0)</f>
        <v>-80.3533333333333</v>
      </c>
      <c r="F309" s="39" t="n">
        <f aca="false">IFERROR(INDEX('Data 2'!$M$2:$M$2198,MATCH(D309,'Data 2'!$A$2:$A$2198,0)), 0)</f>
        <v>-68.88375</v>
      </c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4" t="s">
        <v>498</v>
      </c>
      <c r="W309" s="39" t="n">
        <f aca="false">IFERROR(INDEX('Data 2'!$L$2:$L$2198,MATCH(V309,'Data 2'!$A$2:$A$2198,0)), 0)</f>
        <v>-89.0733333333333</v>
      </c>
      <c r="X309" s="39" t="n">
        <f aca="false">IFERROR(INDEX('Data 2'!$M$2:$M$2198,MATCH(V309,'Data 2'!$A$2:$A$2198,0)), 0)</f>
        <v>-14.82875</v>
      </c>
      <c r="Y309" s="37"/>
      <c r="Z309" s="37"/>
    </row>
    <row r="310" customFormat="false" ht="15.75" hidden="false" customHeight="true" outlineLevel="0" collapsed="false">
      <c r="A310" s="37"/>
      <c r="B310" s="37"/>
      <c r="C310" s="37"/>
      <c r="D310" s="34" t="s">
        <v>116</v>
      </c>
      <c r="E310" s="39" t="n">
        <f aca="false">IFERROR(INDEX('Data 2'!$L$2:$L$2198,MATCH(D310,'Data 2'!$A$2:$A$2198,0)), 0)</f>
        <v>-30.3066666666667</v>
      </c>
      <c r="F310" s="39" t="n">
        <f aca="false">IFERROR(INDEX('Data 2'!$M$2:$M$2198,MATCH(D310,'Data 2'!$A$2:$A$2198,0)), 0)</f>
        <v>-16.89125</v>
      </c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4" t="s">
        <v>499</v>
      </c>
      <c r="W310" s="39" t="n">
        <f aca="false">IFERROR(INDEX('Data 2'!$L$2:$L$2198,MATCH(V310,'Data 2'!$A$2:$A$2198,0)), 0)</f>
        <v>-13.3433333333333</v>
      </c>
      <c r="X310" s="39" t="n">
        <f aca="false">IFERROR(INDEX('Data 2'!$M$2:$M$2198,MATCH(V310,'Data 2'!$A$2:$A$2198,0)), 0)</f>
        <v>-23.42375</v>
      </c>
      <c r="Y310" s="37"/>
      <c r="Z310" s="37"/>
    </row>
    <row r="311" customFormat="false" ht="15.75" hidden="false" customHeight="true" outlineLevel="0" collapsed="false">
      <c r="A311" s="37"/>
      <c r="B311" s="37"/>
      <c r="C311" s="37"/>
      <c r="D311" s="34" t="s">
        <v>94</v>
      </c>
      <c r="E311" s="39" t="n">
        <f aca="false">IFERROR(INDEX('Data 2'!$L$2:$L$2198,MATCH(D311,'Data 2'!$A$2:$A$2198,0)), 0)</f>
        <v>87.2033333333333</v>
      </c>
      <c r="F311" s="39" t="n">
        <f aca="false">IFERROR(INDEX('Data 2'!$M$2:$M$2198,MATCH(D311,'Data 2'!$A$2:$A$2198,0)), 0)</f>
        <v>139.43875</v>
      </c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4" t="s">
        <v>340</v>
      </c>
      <c r="W311" s="39" t="n">
        <f aca="false">IFERROR(INDEX('Data 2'!$L$2:$L$2198,MATCH(V311,'Data 2'!$A$2:$A$2198,0)), 0)</f>
        <v>95.6066666666667</v>
      </c>
      <c r="X311" s="39" t="n">
        <f aca="false">IFERROR(INDEX('Data 2'!$M$2:$M$2198,MATCH(V311,'Data 2'!$A$2:$A$2198,0)), 0)</f>
        <v>123.05125</v>
      </c>
      <c r="Y311" s="37"/>
      <c r="Z311" s="37"/>
    </row>
    <row r="312" customFormat="false" ht="15.75" hidden="false" customHeight="true" outlineLevel="0" collapsed="false">
      <c r="A312" s="37"/>
      <c r="B312" s="37"/>
      <c r="C312" s="37"/>
      <c r="D312" s="34" t="s">
        <v>479</v>
      </c>
      <c r="E312" s="39" t="n">
        <f aca="false">IFERROR(INDEX('Data 2'!$L$2:$L$2198,MATCH(D312,'Data 2'!$A$2:$A$2198,0)), 0)</f>
        <v>-56.2266666666667</v>
      </c>
      <c r="F312" s="39" t="n">
        <f aca="false">IFERROR(INDEX('Data 2'!$M$2:$M$2198,MATCH(D312,'Data 2'!$A$2:$A$2198,0)), 0)</f>
        <v>-39.56625</v>
      </c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4" t="s">
        <v>433</v>
      </c>
      <c r="W312" s="39" t="n">
        <f aca="false">IFERROR(INDEX('Data 2'!$L$2:$L$2198,MATCH(V312,'Data 2'!$A$2:$A$2198,0)), 0)</f>
        <v>-75.43</v>
      </c>
      <c r="X312" s="39" t="n">
        <f aca="false">IFERROR(INDEX('Data 2'!$M$2:$M$2198,MATCH(V312,'Data 2'!$A$2:$A$2198,0)), 0)</f>
        <v>-107.055</v>
      </c>
      <c r="Y312" s="37"/>
      <c r="Z312" s="37"/>
    </row>
    <row r="313" customFormat="false" ht="15.75" hidden="false" customHeight="true" outlineLevel="0" collapsed="false">
      <c r="A313" s="37"/>
      <c r="B313" s="37"/>
      <c r="C313" s="37"/>
      <c r="D313" s="34" t="s">
        <v>97</v>
      </c>
      <c r="E313" s="39" t="n">
        <f aca="false">IFERROR(INDEX('Data 2'!$L$2:$L$2198,MATCH(D313,'Data 2'!$A$2:$A$2198,0)), 0)</f>
        <v>32.2433333333333</v>
      </c>
      <c r="F313" s="39" t="n">
        <f aca="false">IFERROR(INDEX('Data 2'!$M$2:$M$2198,MATCH(D313,'Data 2'!$A$2:$A$2198,0)), 0)</f>
        <v>46.7875</v>
      </c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4" t="s">
        <v>500</v>
      </c>
      <c r="W313" s="39" t="n">
        <f aca="false">IFERROR(INDEX('Data 2'!$L$2:$L$2198,MATCH(V313,'Data 2'!$A$2:$A$2198,0)), 0)</f>
        <v>-28.63</v>
      </c>
      <c r="X313" s="39" t="n">
        <f aca="false">IFERROR(INDEX('Data 2'!$M$2:$M$2198,MATCH(V313,'Data 2'!$A$2:$A$2198,0)), 0)</f>
        <v>-39.88625</v>
      </c>
      <c r="Y313" s="37"/>
      <c r="Z313" s="37"/>
    </row>
    <row r="314" customFormat="false" ht="15.75" hidden="false" customHeight="true" outlineLevel="0" collapsed="false">
      <c r="A314" s="37"/>
      <c r="B314" s="37"/>
      <c r="C314" s="37"/>
      <c r="D314" s="34" t="s">
        <v>405</v>
      </c>
      <c r="E314" s="39" t="n">
        <f aca="false">IFERROR(INDEX('Data 2'!$L$2:$L$2198,MATCH(D314,'Data 2'!$A$2:$A$2198,0)), 0)</f>
        <v>-40.87</v>
      </c>
      <c r="F314" s="39" t="n">
        <f aca="false">IFERROR(INDEX('Data 2'!$M$2:$M$2198,MATCH(D314,'Data 2'!$A$2:$A$2198,0)), 0)</f>
        <v>-67.4275</v>
      </c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4" t="s">
        <v>501</v>
      </c>
      <c r="W314" s="39" t="n">
        <f aca="false">IFERROR(INDEX('Data 2'!$L$2:$L$2198,MATCH(V314,'Data 2'!$A$2:$A$2198,0)), 0)</f>
        <v>0.48333333333333</v>
      </c>
      <c r="X314" s="39" t="n">
        <f aca="false">IFERROR(INDEX('Data 2'!$M$2:$M$2198,MATCH(V314,'Data 2'!$A$2:$A$2198,0)), 0)</f>
        <v>71.32125</v>
      </c>
      <c r="Y314" s="37"/>
      <c r="Z314" s="37"/>
    </row>
    <row r="315" customFormat="false" ht="15.75" hidden="false" customHeight="true" outlineLevel="0" collapsed="false">
      <c r="A315" s="37"/>
      <c r="B315" s="37"/>
      <c r="C315" s="37"/>
      <c r="D315" s="34" t="s">
        <v>407</v>
      </c>
      <c r="E315" s="39" t="n">
        <f aca="false">IFERROR(INDEX('Data 2'!$L$2:$L$2198,MATCH(D315,'Data 2'!$A$2:$A$2198,0)), 0)</f>
        <v>121.163333333333</v>
      </c>
      <c r="F315" s="39" t="n">
        <f aca="false">IFERROR(INDEX('Data 2'!$M$2:$M$2198,MATCH(D315,'Data 2'!$A$2:$A$2198,0)), 0)</f>
        <v>104.09375</v>
      </c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4" t="s">
        <v>502</v>
      </c>
      <c r="W315" s="39" t="n">
        <f aca="false">IFERROR(INDEX('Data 2'!$L$2:$L$2198,MATCH(V315,'Data 2'!$A$2:$A$2198,0)), 0)</f>
        <v>32.6466666666667</v>
      </c>
      <c r="X315" s="39" t="n">
        <f aca="false">IFERROR(INDEX('Data 2'!$M$2:$M$2198,MATCH(V315,'Data 2'!$A$2:$A$2198,0)), 0)</f>
        <v>-9.45</v>
      </c>
      <c r="Y315" s="37"/>
      <c r="Z315" s="37"/>
    </row>
    <row r="316" customFormat="false" ht="15.75" hidden="false" customHeight="true" outlineLevel="0" collapsed="false">
      <c r="A316" s="37"/>
      <c r="B316" s="37"/>
      <c r="C316" s="37"/>
      <c r="D316" s="34" t="s">
        <v>63</v>
      </c>
      <c r="E316" s="39" t="n">
        <f aca="false">IFERROR(INDEX('Data 2'!$L$2:$L$2198,MATCH(D316,'Data 2'!$A$2:$A$2198,0)), 0)</f>
        <v>-9.14666666666667</v>
      </c>
      <c r="F316" s="39" t="n">
        <f aca="false">IFERROR(INDEX('Data 2'!$M$2:$M$2198,MATCH(D316,'Data 2'!$A$2:$A$2198,0)), 0)</f>
        <v>56.78875</v>
      </c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4" t="s">
        <v>342</v>
      </c>
      <c r="W316" s="39" t="n">
        <f aca="false">IFERROR(INDEX('Data 2'!$L$2:$L$2198,MATCH(V316,'Data 2'!$A$2:$A$2198,0)), 0)</f>
        <v>-88.5633333333333</v>
      </c>
      <c r="X316" s="39" t="n">
        <f aca="false">IFERROR(INDEX('Data 2'!$M$2:$M$2198,MATCH(V316,'Data 2'!$A$2:$A$2198,0)), 0)</f>
        <v>-94.3</v>
      </c>
      <c r="Y316" s="37"/>
      <c r="Z316" s="37"/>
    </row>
    <row r="317" customFormat="false" ht="15.75" hidden="false" customHeight="true" outlineLevel="0" collapsed="false">
      <c r="A317" s="37"/>
      <c r="B317" s="37"/>
      <c r="C317" s="37"/>
      <c r="D317" s="34" t="s">
        <v>158</v>
      </c>
      <c r="E317" s="39" t="n">
        <f aca="false">IFERROR(INDEX('Data 2'!$L$2:$L$2198,MATCH(D317,'Data 2'!$A$2:$A$2198,0)), 0)</f>
        <v>78.3733333333333</v>
      </c>
      <c r="F317" s="39" t="n">
        <f aca="false">IFERROR(INDEX('Data 2'!$M$2:$M$2198,MATCH(D317,'Data 2'!$A$2:$A$2198,0)), 0)</f>
        <v>232.9675</v>
      </c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4" t="s">
        <v>503</v>
      </c>
      <c r="W317" s="39" t="n">
        <f aca="false">IFERROR(INDEX('Data 2'!$L$2:$L$2198,MATCH(V317,'Data 2'!$A$2:$A$2198,0)), 0)</f>
        <v>91.32</v>
      </c>
      <c r="X317" s="39" t="n">
        <f aca="false">IFERROR(INDEX('Data 2'!$M$2:$M$2198,MATCH(V317,'Data 2'!$A$2:$A$2198,0)), 0)</f>
        <v>88.76375</v>
      </c>
      <c r="Y317" s="37"/>
      <c r="Z317" s="37"/>
    </row>
    <row r="318" customFormat="false" ht="15.75" hidden="false" customHeight="true" outlineLevel="0" collapsed="false">
      <c r="A318" s="37"/>
      <c r="B318" s="37"/>
      <c r="C318" s="37"/>
      <c r="D318" s="34" t="s">
        <v>480</v>
      </c>
      <c r="E318" s="39" t="n">
        <f aca="false">IFERROR(INDEX('Data 2'!$L$2:$L$2198,MATCH(D318,'Data 2'!$A$2:$A$2198,0)), 0)</f>
        <v>-107.153333333333</v>
      </c>
      <c r="F318" s="39" t="n">
        <f aca="false">IFERROR(INDEX('Data 2'!$M$2:$M$2198,MATCH(D318,'Data 2'!$A$2:$A$2198,0)), 0)</f>
        <v>-23.41875</v>
      </c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4" t="s">
        <v>504</v>
      </c>
      <c r="W318" s="39" t="n">
        <f aca="false">IFERROR(INDEX('Data 2'!$L$2:$L$2198,MATCH(V318,'Data 2'!$A$2:$A$2198,0)), 0)</f>
        <v>4.76666666666667</v>
      </c>
      <c r="X318" s="39" t="n">
        <f aca="false">IFERROR(INDEX('Data 2'!$M$2:$M$2198,MATCH(V318,'Data 2'!$A$2:$A$2198,0)), 0)</f>
        <v>-72.3975</v>
      </c>
      <c r="Y318" s="37"/>
      <c r="Z318" s="37"/>
    </row>
    <row r="319" customFormat="false" ht="15.75" hidden="false" customHeight="true" outlineLevel="0" collapsed="false">
      <c r="A319" s="37"/>
      <c r="B319" s="37"/>
      <c r="C319" s="37"/>
      <c r="D319" s="34" t="s">
        <v>183</v>
      </c>
      <c r="E319" s="39" t="n">
        <f aca="false">IFERROR(INDEX('Data 2'!$L$2:$L$2198,MATCH(D319,'Data 2'!$A$2:$A$2198,0)), 0)</f>
        <v>1.88</v>
      </c>
      <c r="F319" s="39" t="n">
        <f aca="false">IFERROR(INDEX('Data 2'!$M$2:$M$2198,MATCH(D319,'Data 2'!$A$2:$A$2198,0)), 0)</f>
        <v>71.27375</v>
      </c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4" t="s">
        <v>505</v>
      </c>
      <c r="W319" s="39" t="n">
        <f aca="false">IFERROR(INDEX('Data 2'!$L$2:$L$2198,MATCH(V319,'Data 2'!$A$2:$A$2198,0)), 0)</f>
        <v>-41.03</v>
      </c>
      <c r="X319" s="39" t="n">
        <f aca="false">IFERROR(INDEX('Data 2'!$M$2:$M$2198,MATCH(V319,'Data 2'!$A$2:$A$2198,0)), 0)</f>
        <v>-25.5475</v>
      </c>
      <c r="Y319" s="37"/>
      <c r="Z319" s="37"/>
    </row>
    <row r="320" customFormat="false" ht="15.75" hidden="false" customHeight="true" outlineLevel="0" collapsed="false">
      <c r="A320" s="37"/>
      <c r="B320" s="37"/>
      <c r="C320" s="37"/>
      <c r="D320" s="34" t="s">
        <v>249</v>
      </c>
      <c r="E320" s="39" t="n">
        <f aca="false">IFERROR(INDEX('Data 2'!$L$2:$L$2198,MATCH(D320,'Data 2'!$A$2:$A$2198,0)), 0)</f>
        <v>-12.81</v>
      </c>
      <c r="F320" s="39" t="n">
        <f aca="false">IFERROR(INDEX('Data 2'!$M$2:$M$2198,MATCH(D320,'Data 2'!$A$2:$A$2198,0)), 0)</f>
        <v>16.07</v>
      </c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4" t="s">
        <v>506</v>
      </c>
      <c r="W320" s="39" t="n">
        <f aca="false">IFERROR(INDEX('Data 2'!$L$2:$L$2198,MATCH(V320,'Data 2'!$A$2:$A$2198,0)), 0)</f>
        <v>-62.9866666666667</v>
      </c>
      <c r="X320" s="39" t="n">
        <f aca="false">IFERROR(INDEX('Data 2'!$M$2:$M$2198,MATCH(V320,'Data 2'!$A$2:$A$2198,0)), 0)</f>
        <v>-28.5475</v>
      </c>
      <c r="Y320" s="37"/>
      <c r="Z320" s="37"/>
    </row>
    <row r="321" customFormat="false" ht="15.75" hidden="false" customHeight="true" outlineLevel="0" collapsed="false">
      <c r="A321" s="37"/>
      <c r="B321" s="37"/>
      <c r="C321" s="37"/>
      <c r="D321" s="34" t="s">
        <v>411</v>
      </c>
      <c r="E321" s="39" t="n">
        <f aca="false">IFERROR(INDEX('Data 2'!$L$2:$L$2198,MATCH(D321,'Data 2'!$A$2:$A$2198,0)), 0)</f>
        <v>-61.89</v>
      </c>
      <c r="F321" s="39" t="n">
        <f aca="false">IFERROR(INDEX('Data 2'!$M$2:$M$2198,MATCH(D321,'Data 2'!$A$2:$A$2198,0)), 0)</f>
        <v>-63.4625</v>
      </c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4" t="s">
        <v>345</v>
      </c>
      <c r="W321" s="39" t="n">
        <f aca="false">IFERROR(INDEX('Data 2'!$L$2:$L$2198,MATCH(V321,'Data 2'!$A$2:$A$2198,0)), 0)</f>
        <v>-51.8233333333333</v>
      </c>
      <c r="X321" s="39" t="n">
        <f aca="false">IFERROR(INDEX('Data 2'!$M$2:$M$2198,MATCH(V321,'Data 2'!$A$2:$A$2198,0)), 0)</f>
        <v>-63.8825</v>
      </c>
      <c r="Y321" s="37"/>
      <c r="Z321" s="37"/>
    </row>
    <row r="322" customFormat="false" ht="15.75" hidden="false" customHeight="true" outlineLevel="0" collapsed="false">
      <c r="A322" s="37"/>
      <c r="B322" s="37"/>
      <c r="C322" s="37"/>
      <c r="D322" s="34" t="s">
        <v>413</v>
      </c>
      <c r="E322" s="39" t="n">
        <f aca="false">IFERROR(INDEX('Data 2'!$L$2:$L$2198,MATCH(D322,'Data 2'!$A$2:$A$2198,0)), 0)</f>
        <v>79.25</v>
      </c>
      <c r="F322" s="39" t="n">
        <f aca="false">IFERROR(INDEX('Data 2'!$M$2:$M$2198,MATCH(D322,'Data 2'!$A$2:$A$2198,0)), 0)</f>
        <v>22.1725</v>
      </c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4" t="s">
        <v>507</v>
      </c>
      <c r="W322" s="39" t="n">
        <f aca="false">IFERROR(INDEX('Data 2'!$L$2:$L$2198,MATCH(V322,'Data 2'!$A$2:$A$2198,0)), 0)</f>
        <v>-60.0266666666667</v>
      </c>
      <c r="X322" s="39" t="n">
        <f aca="false">IFERROR(INDEX('Data 2'!$M$2:$M$2198,MATCH(V322,'Data 2'!$A$2:$A$2198,0)), 0)</f>
        <v>-92.30875</v>
      </c>
      <c r="Y322" s="37"/>
      <c r="Z322" s="37"/>
    </row>
    <row r="323" customFormat="false" ht="15.75" hidden="false" customHeight="true" outlineLevel="0" collapsed="false">
      <c r="A323" s="37"/>
      <c r="B323" s="37"/>
      <c r="C323" s="37"/>
      <c r="D323" s="34" t="s">
        <v>105</v>
      </c>
      <c r="E323" s="39" t="n">
        <f aca="false">IFERROR(INDEX('Data 2'!$L$2:$L$2198,MATCH(D323,'Data 2'!$A$2:$A$2198,0)), 0)</f>
        <v>61.4633333333333</v>
      </c>
      <c r="F323" s="39" t="n">
        <f aca="false">IFERROR(INDEX('Data 2'!$M$2:$M$2198,MATCH(D323,'Data 2'!$A$2:$A$2198,0)), 0)</f>
        <v>125.29125</v>
      </c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4" t="s">
        <v>508</v>
      </c>
      <c r="W323" s="39" t="n">
        <f aca="false">IFERROR(INDEX('Data 2'!$L$2:$L$2198,MATCH(V323,'Data 2'!$A$2:$A$2198,0)), 0)</f>
        <v>84.8066666666667</v>
      </c>
      <c r="X323" s="39" t="n">
        <f aca="false">IFERROR(INDEX('Data 2'!$M$2:$M$2198,MATCH(V323,'Data 2'!$A$2:$A$2198,0)), 0)</f>
        <v>78.8675</v>
      </c>
      <c r="Y323" s="37"/>
      <c r="Z323" s="37"/>
    </row>
    <row r="324" customFormat="false" ht="15.75" hidden="false" customHeight="true" outlineLevel="0" collapsed="false">
      <c r="A324" s="37"/>
      <c r="B324" s="37"/>
      <c r="C324" s="37"/>
      <c r="D324" s="34" t="s">
        <v>481</v>
      </c>
      <c r="E324" s="39" t="n">
        <f aca="false">IFERROR(INDEX('Data 2'!$L$2:$L$2198,MATCH(D324,'Data 2'!$A$2:$A$2198,0)), 0)</f>
        <v>20.9066666666667</v>
      </c>
      <c r="F324" s="39" t="n">
        <f aca="false">IFERROR(INDEX('Data 2'!$M$2:$M$2198,MATCH(D324,'Data 2'!$A$2:$A$2198,0)), 0)</f>
        <v>-10.49125</v>
      </c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4" t="s">
        <v>163</v>
      </c>
      <c r="W324" s="39" t="n">
        <f aca="false">IFERROR(INDEX('Data 2'!$L$2:$L$2198,MATCH(V324,'Data 2'!$A$2:$A$2198,0)), 0)</f>
        <v>77.0066666666667</v>
      </c>
      <c r="X324" s="39" t="n">
        <f aca="false">IFERROR(INDEX('Data 2'!$M$2:$M$2198,MATCH(V324,'Data 2'!$A$2:$A$2198,0)), 0)</f>
        <v>-19.0025</v>
      </c>
      <c r="Y324" s="37"/>
      <c r="Z324" s="37"/>
    </row>
    <row r="325" customFormat="false" ht="15.75" hidden="false" customHeight="true" outlineLevel="0" collapsed="false">
      <c r="A325" s="37"/>
      <c r="B325" s="37"/>
      <c r="C325" s="37"/>
      <c r="D325" s="34" t="s">
        <v>414</v>
      </c>
      <c r="E325" s="39" t="n">
        <f aca="false">IFERROR(INDEX('Data 2'!$L$2:$L$2198,MATCH(D325,'Data 2'!$A$2:$A$2198,0)), 0)</f>
        <v>-6.24666666666667</v>
      </c>
      <c r="F325" s="39" t="n">
        <f aca="false">IFERROR(INDEX('Data 2'!$M$2:$M$2198,MATCH(D325,'Data 2'!$A$2:$A$2198,0)), 0)</f>
        <v>52.8725</v>
      </c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4" t="s">
        <v>220</v>
      </c>
      <c r="W325" s="39" t="n">
        <f aca="false">IFERROR(INDEX('Data 2'!$L$2:$L$2198,MATCH(V325,'Data 2'!$A$2:$A$2198,0)), 0)</f>
        <v>94.6966666666667</v>
      </c>
      <c r="X325" s="39" t="n">
        <f aca="false">IFERROR(INDEX('Data 2'!$M$2:$M$2198,MATCH(V325,'Data 2'!$A$2:$A$2198,0)), 0)</f>
        <v>72.03125</v>
      </c>
      <c r="Y325" s="37"/>
      <c r="Z325" s="37"/>
    </row>
    <row r="326" customFormat="false" ht="15.75" hidden="false" customHeight="true" outlineLevel="0" collapsed="false">
      <c r="A326" s="37"/>
      <c r="B326" s="37"/>
      <c r="C326" s="37"/>
      <c r="D326" s="34" t="s">
        <v>482</v>
      </c>
      <c r="E326" s="39" t="n">
        <f aca="false">IFERROR(INDEX('Data 2'!$L$2:$L$2198,MATCH(D326,'Data 2'!$A$2:$A$2198,0)), 0)</f>
        <v>-60.5666666666667</v>
      </c>
      <c r="F326" s="39" t="n">
        <f aca="false">IFERROR(INDEX('Data 2'!$M$2:$M$2198,MATCH(D326,'Data 2'!$A$2:$A$2198,0)), 0)</f>
        <v>25.4375</v>
      </c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4" t="s">
        <v>437</v>
      </c>
      <c r="W326" s="39" t="n">
        <f aca="false">IFERROR(INDEX('Data 2'!$L$2:$L$2198,MATCH(V326,'Data 2'!$A$2:$A$2198,0)), 0)</f>
        <v>16.36</v>
      </c>
      <c r="X326" s="39" t="n">
        <f aca="false">IFERROR(INDEX('Data 2'!$M$2:$M$2198,MATCH(V326,'Data 2'!$A$2:$A$2198,0)), 0)</f>
        <v>-12.60875</v>
      </c>
      <c r="Y326" s="37"/>
      <c r="Z326" s="37"/>
    </row>
    <row r="327" customFormat="false" ht="15.75" hidden="false" customHeight="true" outlineLevel="0" collapsed="false">
      <c r="A327" s="37"/>
      <c r="B327" s="37"/>
      <c r="C327" s="37"/>
      <c r="D327" s="34" t="s">
        <v>122</v>
      </c>
      <c r="E327" s="39" t="n">
        <f aca="false">IFERROR(INDEX('Data 2'!$L$2:$L$2198,MATCH(D327,'Data 2'!$A$2:$A$2198,0)), 0)</f>
        <v>43.86</v>
      </c>
      <c r="F327" s="39" t="n">
        <f aca="false">IFERROR(INDEX('Data 2'!$M$2:$M$2198,MATCH(D327,'Data 2'!$A$2:$A$2198,0)), 0)</f>
        <v>76.56</v>
      </c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4" t="s">
        <v>203</v>
      </c>
      <c r="W327" s="39" t="n">
        <f aca="false">IFERROR(INDEX('Data 2'!$L$2:$L$2198,MATCH(V327,'Data 2'!$A$2:$A$2198,0)), 0)</f>
        <v>17.7566666666667</v>
      </c>
      <c r="X327" s="39" t="n">
        <f aca="false">IFERROR(INDEX('Data 2'!$M$2:$M$2198,MATCH(V327,'Data 2'!$A$2:$A$2198,0)), 0)</f>
        <v>-35.11125</v>
      </c>
      <c r="Y327" s="37"/>
      <c r="Z327" s="37"/>
    </row>
    <row r="328" customFormat="false" ht="15.75" hidden="false" customHeight="true" outlineLevel="0" collapsed="false">
      <c r="A328" s="37"/>
      <c r="B328" s="37"/>
      <c r="C328" s="37"/>
      <c r="D328" s="34" t="s">
        <v>27</v>
      </c>
      <c r="E328" s="39" t="n">
        <f aca="false">IFERROR(INDEX('Data 2'!$L$2:$L$2198,MATCH(D328,'Data 2'!$A$2:$A$2198,0)), 0)</f>
        <v>-64.4466666666667</v>
      </c>
      <c r="F328" s="39" t="n">
        <f aca="false">IFERROR(INDEX('Data 2'!$M$2:$M$2198,MATCH(D328,'Data 2'!$A$2:$A$2198,0)), 0)</f>
        <v>-5.2</v>
      </c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4" t="s">
        <v>509</v>
      </c>
      <c r="W328" s="39" t="n">
        <f aca="false">IFERROR(INDEX('Data 2'!$L$2:$L$2198,MATCH(V328,'Data 2'!$A$2:$A$2198,0)), 0)</f>
        <v>-9.76666666666667</v>
      </c>
      <c r="X328" s="39" t="n">
        <f aca="false">IFERROR(INDEX('Data 2'!$M$2:$M$2198,MATCH(V328,'Data 2'!$A$2:$A$2198,0)), 0)</f>
        <v>-28.67375</v>
      </c>
      <c r="Y328" s="37"/>
      <c r="Z328" s="37"/>
    </row>
    <row r="329" customFormat="false" ht="15.75" hidden="false" customHeight="true" outlineLevel="0" collapsed="false">
      <c r="A329" s="37"/>
      <c r="B329" s="37"/>
      <c r="C329" s="37"/>
      <c r="D329" s="34" t="s">
        <v>117</v>
      </c>
      <c r="E329" s="39" t="n">
        <f aca="false">IFERROR(INDEX('Data 2'!$L$2:$L$2198,MATCH(D329,'Data 2'!$A$2:$A$2198,0)), 0)</f>
        <v>10.9333333333333</v>
      </c>
      <c r="F329" s="39" t="n">
        <f aca="false">IFERROR(INDEX('Data 2'!$M$2:$M$2198,MATCH(D329,'Data 2'!$A$2:$A$2198,0)), 0)</f>
        <v>53.91</v>
      </c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4" t="s">
        <v>510</v>
      </c>
      <c r="W329" s="39" t="n">
        <f aca="false">IFERROR(INDEX('Data 2'!$L$2:$L$2198,MATCH(V329,'Data 2'!$A$2:$A$2198,0)), 0)</f>
        <v>32.1466666666667</v>
      </c>
      <c r="X329" s="39" t="n">
        <f aca="false">IFERROR(INDEX('Data 2'!$M$2:$M$2198,MATCH(V329,'Data 2'!$A$2:$A$2198,0)), 0)</f>
        <v>-66.8475</v>
      </c>
      <c r="Y329" s="37"/>
      <c r="Z329" s="37"/>
    </row>
    <row r="330" customFormat="false" ht="15.75" hidden="false" customHeight="true" outlineLevel="0" collapsed="false">
      <c r="A330" s="37"/>
      <c r="B330" s="37"/>
      <c r="C330" s="37"/>
      <c r="D330" s="34" t="s">
        <v>323</v>
      </c>
      <c r="E330" s="39" t="n">
        <f aca="false">IFERROR(INDEX('Data 2'!$L$2:$L$2198,MATCH(D330,'Data 2'!$A$2:$A$2198,0)), 0)</f>
        <v>-68.01</v>
      </c>
      <c r="F330" s="39" t="n">
        <f aca="false">IFERROR(INDEX('Data 2'!$M$2:$M$2198,MATCH(D330,'Data 2'!$A$2:$A$2198,0)), 0)</f>
        <v>-51.59625</v>
      </c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4" t="s">
        <v>511</v>
      </c>
      <c r="W330" s="39" t="n">
        <f aca="false">IFERROR(INDEX('Data 2'!$L$2:$L$2198,MATCH(V330,'Data 2'!$A$2:$A$2198,0)), 0)</f>
        <v>24.9133333333333</v>
      </c>
      <c r="X330" s="39" t="n">
        <f aca="false">IFERROR(INDEX('Data 2'!$M$2:$M$2198,MATCH(V330,'Data 2'!$A$2:$A$2198,0)), 0)</f>
        <v>33.0525</v>
      </c>
      <c r="Y330" s="37"/>
      <c r="Z330" s="37"/>
    </row>
    <row r="331" customFormat="false" ht="15.75" hidden="false" customHeight="true" outlineLevel="0" collapsed="false">
      <c r="A331" s="37"/>
      <c r="B331" s="37"/>
      <c r="C331" s="37"/>
      <c r="D331" s="34" t="s">
        <v>261</v>
      </c>
      <c r="E331" s="39" t="n">
        <f aca="false">IFERROR(INDEX('Data 2'!$L$2:$L$2198,MATCH(D331,'Data 2'!$A$2:$A$2198,0)), 0)</f>
        <v>-99.9266666666667</v>
      </c>
      <c r="F331" s="39" t="n">
        <f aca="false">IFERROR(INDEX('Data 2'!$M$2:$M$2198,MATCH(D331,'Data 2'!$A$2:$A$2198,0)), 0)</f>
        <v>-75.5825</v>
      </c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4" t="s">
        <v>512</v>
      </c>
      <c r="W331" s="39" t="n">
        <f aca="false">IFERROR(INDEX('Data 2'!$L$2:$L$2198,MATCH(V331,'Data 2'!$A$2:$A$2198,0)), 0)</f>
        <v>98.17</v>
      </c>
      <c r="X331" s="39" t="n">
        <f aca="false">IFERROR(INDEX('Data 2'!$M$2:$M$2198,MATCH(V331,'Data 2'!$A$2:$A$2198,0)), 0)</f>
        <v>12.10125</v>
      </c>
      <c r="Y331" s="37"/>
      <c r="Z331" s="37"/>
    </row>
    <row r="332" customFormat="false" ht="15.75" hidden="false" customHeight="true" outlineLevel="0" collapsed="false">
      <c r="A332" s="37"/>
      <c r="B332" s="37"/>
      <c r="C332" s="37"/>
      <c r="D332" s="34" t="s">
        <v>223</v>
      </c>
      <c r="E332" s="39" t="n">
        <f aca="false">IFERROR(INDEX('Data 2'!$L$2:$L$2198,MATCH(D332,'Data 2'!$A$2:$A$2198,0)), 0)</f>
        <v>-113.16</v>
      </c>
      <c r="F332" s="39" t="n">
        <f aca="false">IFERROR(INDEX('Data 2'!$M$2:$M$2198,MATCH(D332,'Data 2'!$A$2:$A$2198,0)), 0)</f>
        <v>-73.36475</v>
      </c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4" t="s">
        <v>438</v>
      </c>
      <c r="W332" s="39" t="n">
        <f aca="false">IFERROR(INDEX('Data 2'!$L$2:$L$2198,MATCH(V332,'Data 2'!$A$2:$A$2198,0)), 0)</f>
        <v>-2.72</v>
      </c>
      <c r="X332" s="39" t="n">
        <f aca="false">IFERROR(INDEX('Data 2'!$M$2:$M$2198,MATCH(V332,'Data 2'!$A$2:$A$2198,0)), 0)</f>
        <v>-6.77375</v>
      </c>
      <c r="Y332" s="37"/>
      <c r="Z332" s="37"/>
    </row>
    <row r="333" customFormat="false" ht="15.75" hidden="false" customHeight="true" outlineLevel="0" collapsed="false">
      <c r="A333" s="37"/>
      <c r="B333" s="37"/>
      <c r="C333" s="37"/>
      <c r="D333" s="34" t="s">
        <v>231</v>
      </c>
      <c r="E333" s="39" t="n">
        <f aca="false">IFERROR(INDEX('Data 2'!$L$2:$L$2198,MATCH(D333,'Data 2'!$A$2:$A$2198,0)), 0)</f>
        <v>-121.166666666667</v>
      </c>
      <c r="F333" s="39" t="n">
        <f aca="false">IFERROR(INDEX('Data 2'!$M$2:$M$2198,MATCH(D333,'Data 2'!$A$2:$A$2198,0)), 0)</f>
        <v>-112.11625</v>
      </c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4" t="s">
        <v>513</v>
      </c>
      <c r="W333" s="39" t="n">
        <f aca="false">IFERROR(INDEX('Data 2'!$L$2:$L$2198,MATCH(V333,'Data 2'!$A$2:$A$2198,0)), 0)</f>
        <v>52.62</v>
      </c>
      <c r="X333" s="39" t="n">
        <f aca="false">IFERROR(INDEX('Data 2'!$M$2:$M$2198,MATCH(V333,'Data 2'!$A$2:$A$2198,0)), 0)</f>
        <v>39.85375</v>
      </c>
      <c r="Y333" s="37"/>
      <c r="Z333" s="37"/>
    </row>
    <row r="334" customFormat="false" ht="15.75" hidden="false" customHeight="true" outlineLevel="0" collapsed="false">
      <c r="A334" s="37"/>
      <c r="B334" s="37"/>
      <c r="C334" s="37"/>
      <c r="D334" s="34" t="s">
        <v>262</v>
      </c>
      <c r="E334" s="39" t="n">
        <f aca="false">IFERROR(INDEX('Data 2'!$L$2:$L$2198,MATCH(D334,'Data 2'!$A$2:$A$2198,0)), 0)</f>
        <v>-84.06</v>
      </c>
      <c r="F334" s="39" t="n">
        <f aca="false">IFERROR(INDEX('Data 2'!$M$2:$M$2198,MATCH(D334,'Data 2'!$A$2:$A$2198,0)), 0)</f>
        <v>-28.10375</v>
      </c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4" t="s">
        <v>514</v>
      </c>
      <c r="W334" s="39" t="n">
        <f aca="false">IFERROR(INDEX('Data 2'!$L$2:$L$2198,MATCH(V334,'Data 2'!$A$2:$A$2198,0)), 0)</f>
        <v>83.5033333333333</v>
      </c>
      <c r="X334" s="39" t="n">
        <f aca="false">IFERROR(INDEX('Data 2'!$M$2:$M$2198,MATCH(V334,'Data 2'!$A$2:$A$2198,0)), 0)</f>
        <v>58.2325</v>
      </c>
      <c r="Y334" s="37"/>
      <c r="Z334" s="37"/>
    </row>
    <row r="335" customFormat="false" ht="15.75" hidden="false" customHeight="true" outlineLevel="0" collapsed="false">
      <c r="A335" s="37"/>
      <c r="B335" s="37"/>
      <c r="C335" s="37"/>
      <c r="D335" s="34" t="s">
        <v>64</v>
      </c>
      <c r="E335" s="39" t="n">
        <f aca="false">IFERROR(INDEX('Data 2'!$L$2:$L$2198,MATCH(D335,'Data 2'!$A$2:$A$2198,0)), 0)</f>
        <v>-54.1166666666667</v>
      </c>
      <c r="F335" s="39" t="n">
        <f aca="false">IFERROR(INDEX('Data 2'!$M$2:$M$2198,MATCH(D335,'Data 2'!$A$2:$A$2198,0)), 0)</f>
        <v>-5.7575</v>
      </c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4" t="s">
        <v>515</v>
      </c>
      <c r="W335" s="39" t="n">
        <f aca="false">IFERROR(INDEX('Data 2'!$L$2:$L$2198,MATCH(V335,'Data 2'!$A$2:$A$2198,0)), 0)</f>
        <v>-31.2733333333333</v>
      </c>
      <c r="X335" s="39" t="n">
        <f aca="false">IFERROR(INDEX('Data 2'!$M$2:$M$2198,MATCH(V335,'Data 2'!$A$2:$A$2198,0)), 0)</f>
        <v>-57.23375</v>
      </c>
      <c r="Y335" s="37"/>
      <c r="Z335" s="37"/>
    </row>
    <row r="336" customFormat="false" ht="15.75" hidden="false" customHeight="true" outlineLevel="0" collapsed="false">
      <c r="A336" s="37"/>
      <c r="B336" s="37"/>
      <c r="C336" s="37"/>
      <c r="D336" s="34" t="s">
        <v>483</v>
      </c>
      <c r="E336" s="39" t="n">
        <f aca="false">IFERROR(INDEX('Data 2'!$L$2:$L$2198,MATCH(D336,'Data 2'!$A$2:$A$2198,0)), 0)</f>
        <v>-60.44</v>
      </c>
      <c r="F336" s="39" t="n">
        <f aca="false">IFERROR(INDEX('Data 2'!$M$2:$M$2198,MATCH(D336,'Data 2'!$A$2:$A$2198,0)), 0)</f>
        <v>-9.51875</v>
      </c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4" t="s">
        <v>516</v>
      </c>
      <c r="W336" s="39" t="n">
        <f aca="false">IFERROR(INDEX('Data 2'!$L$2:$L$2198,MATCH(V336,'Data 2'!$A$2:$A$2198,0)), 0)</f>
        <v>-103.306666666667</v>
      </c>
      <c r="X336" s="39" t="n">
        <f aca="false">IFERROR(INDEX('Data 2'!$M$2:$M$2198,MATCH(V336,'Data 2'!$A$2:$A$2198,0)), 0)</f>
        <v>4.01125000000001</v>
      </c>
      <c r="Y336" s="37"/>
      <c r="Z336" s="37"/>
    </row>
    <row r="337" customFormat="false" ht="15.75" hidden="false" customHeight="true" outlineLevel="0" collapsed="false">
      <c r="A337" s="37"/>
      <c r="B337" s="37"/>
      <c r="C337" s="37"/>
      <c r="D337" s="34" t="s">
        <v>74</v>
      </c>
      <c r="E337" s="39" t="n">
        <f aca="false">IFERROR(INDEX('Data 2'!$L$2:$L$2198,MATCH(D337,'Data 2'!$A$2:$A$2198,0)), 0)</f>
        <v>-53.6766666666667</v>
      </c>
      <c r="F337" s="39" t="n">
        <f aca="false">IFERROR(INDEX('Data 2'!$M$2:$M$2198,MATCH(D337,'Data 2'!$A$2:$A$2198,0)), 0)</f>
        <v>-26.51875</v>
      </c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4" t="s">
        <v>517</v>
      </c>
      <c r="W337" s="39" t="n">
        <f aca="false">IFERROR(INDEX('Data 2'!$L$2:$L$2198,MATCH(V337,'Data 2'!$A$2:$A$2198,0)), 0)</f>
        <v>22.1133333333333</v>
      </c>
      <c r="X337" s="39" t="n">
        <f aca="false">IFERROR(INDEX('Data 2'!$M$2:$M$2198,MATCH(V337,'Data 2'!$A$2:$A$2198,0)), 0)</f>
        <v>-37.34</v>
      </c>
      <c r="Y337" s="37"/>
      <c r="Z337" s="37"/>
    </row>
    <row r="338" customFormat="false" ht="15.75" hidden="false" customHeight="true" outlineLevel="0" collapsed="false">
      <c r="A338" s="37"/>
      <c r="B338" s="37"/>
      <c r="C338" s="37"/>
      <c r="D338" s="34" t="s">
        <v>329</v>
      </c>
      <c r="E338" s="39" t="n">
        <f aca="false">IFERROR(INDEX('Data 2'!$L$2:$L$2198,MATCH(D338,'Data 2'!$A$2:$A$2198,0)), 0)</f>
        <v>-56.4566666666667</v>
      </c>
      <c r="F338" s="39" t="n">
        <f aca="false">IFERROR(INDEX('Data 2'!$M$2:$M$2198,MATCH(D338,'Data 2'!$A$2:$A$2198,0)), 0)</f>
        <v>-33.78625</v>
      </c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4" t="s">
        <v>518</v>
      </c>
      <c r="W338" s="39" t="n">
        <f aca="false">IFERROR(INDEX('Data 2'!$L$2:$L$2198,MATCH(V338,'Data 2'!$A$2:$A$2198,0)), 0)</f>
        <v>-94.6033333333333</v>
      </c>
      <c r="X338" s="39" t="n">
        <f aca="false">IFERROR(INDEX('Data 2'!$M$2:$M$2198,MATCH(V338,'Data 2'!$A$2:$A$2198,0)), 0)</f>
        <v>-44.4525</v>
      </c>
      <c r="Y338" s="37"/>
      <c r="Z338" s="37"/>
    </row>
    <row r="339" customFormat="false" ht="15.75" hidden="false" customHeight="true" outlineLevel="0" collapsed="false">
      <c r="A339" s="37"/>
      <c r="B339" s="37"/>
      <c r="C339" s="37"/>
      <c r="D339" s="34" t="s">
        <v>39</v>
      </c>
      <c r="E339" s="39" t="n">
        <f aca="false">IFERROR(INDEX('Data 2'!$L$2:$L$2198,MATCH(D339,'Data 2'!$A$2:$A$2198,0)), 0)</f>
        <v>-41.7433333333333</v>
      </c>
      <c r="F339" s="39" t="n">
        <f aca="false">IFERROR(INDEX('Data 2'!$M$2:$M$2198,MATCH(D339,'Data 2'!$A$2:$A$2198,0)), 0)</f>
        <v>7.44125</v>
      </c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4" t="s">
        <v>440</v>
      </c>
      <c r="W339" s="39" t="n">
        <f aca="false">IFERROR(INDEX('Data 2'!$L$2:$L$2198,MATCH(V339,'Data 2'!$A$2:$A$2198,0)), 0)</f>
        <v>52.1666666666667</v>
      </c>
      <c r="X339" s="39" t="n">
        <f aca="false">IFERROR(INDEX('Data 2'!$M$2:$M$2198,MATCH(V339,'Data 2'!$A$2:$A$2198,0)), 0)</f>
        <v>19.395</v>
      </c>
      <c r="Y339" s="37"/>
      <c r="Z339" s="37"/>
    </row>
    <row r="340" customFormat="false" ht="15.75" hidden="false" customHeight="true" outlineLevel="0" collapsed="false">
      <c r="A340" s="37"/>
      <c r="B340" s="37"/>
      <c r="C340" s="37"/>
      <c r="D340" s="34" t="s">
        <v>191</v>
      </c>
      <c r="E340" s="39" t="n">
        <f aca="false">IFERROR(INDEX('Data 2'!$L$2:$L$2198,MATCH(D340,'Data 2'!$A$2:$A$2198,0)), 0)</f>
        <v>26.37</v>
      </c>
      <c r="F340" s="39" t="n">
        <f aca="false">IFERROR(INDEX('Data 2'!$M$2:$M$2198,MATCH(D340,'Data 2'!$A$2:$A$2198,0)), 0)</f>
        <v>52.25125</v>
      </c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4" t="s">
        <v>250</v>
      </c>
      <c r="W340" s="39" t="n">
        <f aca="false">IFERROR(INDEX('Data 2'!$L$2:$L$2198,MATCH(V340,'Data 2'!$A$2:$A$2198,0)), 0)</f>
        <v>9.18333333333334</v>
      </c>
      <c r="X340" s="39" t="n">
        <f aca="false">IFERROR(INDEX('Data 2'!$M$2:$M$2198,MATCH(V340,'Data 2'!$A$2:$A$2198,0)), 0)</f>
        <v>-48.7</v>
      </c>
      <c r="Y340" s="37"/>
      <c r="Z340" s="37"/>
    </row>
    <row r="341" customFormat="false" ht="15.75" hidden="false" customHeight="true" outlineLevel="0" collapsed="false">
      <c r="A341" s="37"/>
      <c r="B341" s="37"/>
      <c r="C341" s="37"/>
      <c r="D341" s="34" t="s">
        <v>147</v>
      </c>
      <c r="E341" s="39" t="n">
        <f aca="false">IFERROR(INDEX('Data 2'!$L$2:$L$2198,MATCH(D341,'Data 2'!$A$2:$A$2198,0)), 0)</f>
        <v>2.83333333333333</v>
      </c>
      <c r="F341" s="39" t="n">
        <f aca="false">IFERROR(INDEX('Data 2'!$M$2:$M$2198,MATCH(D341,'Data 2'!$A$2:$A$2198,0)), 0)</f>
        <v>1.0425</v>
      </c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4" t="s">
        <v>348</v>
      </c>
      <c r="W341" s="39" t="n">
        <f aca="false">IFERROR(INDEX('Data 2'!$L$2:$L$2198,MATCH(V341,'Data 2'!$A$2:$A$2198,0)), 0)</f>
        <v>20.5233333333333</v>
      </c>
      <c r="X341" s="39" t="n">
        <f aca="false">IFERROR(INDEX('Data 2'!$M$2:$M$2198,MATCH(V341,'Data 2'!$A$2:$A$2198,0)), 0)</f>
        <v>-26.33625</v>
      </c>
      <c r="Y341" s="37"/>
      <c r="Z341" s="37"/>
    </row>
    <row r="342" customFormat="false" ht="15.75" hidden="false" customHeight="true" outlineLevel="0" collapsed="false">
      <c r="A342" s="37"/>
      <c r="B342" s="37"/>
      <c r="C342" s="37"/>
      <c r="D342" s="34" t="s">
        <v>484</v>
      </c>
      <c r="E342" s="39" t="n">
        <f aca="false">IFERROR(INDEX('Data 2'!$L$2:$L$2198,MATCH(D342,'Data 2'!$A$2:$A$2198,0)), 0)</f>
        <v>138.29</v>
      </c>
      <c r="F342" s="39" t="n">
        <f aca="false">IFERROR(INDEX('Data 2'!$M$2:$M$2198,MATCH(D342,'Data 2'!$A$2:$A$2198,0)), 0)</f>
        <v>150.8525</v>
      </c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4" t="s">
        <v>443</v>
      </c>
      <c r="W342" s="39" t="n">
        <f aca="false">IFERROR(INDEX('Data 2'!$L$2:$L$2198,MATCH(V342,'Data 2'!$A$2:$A$2198,0)), 0)</f>
        <v>46.7233333333333</v>
      </c>
      <c r="X342" s="39" t="n">
        <f aca="false">IFERROR(INDEX('Data 2'!$M$2:$M$2198,MATCH(V342,'Data 2'!$A$2:$A$2198,0)), 0)</f>
        <v>48.77625</v>
      </c>
      <c r="Y342" s="37"/>
      <c r="Z342" s="37"/>
    </row>
    <row r="343" customFormat="false" ht="15.75" hidden="false" customHeight="true" outlineLevel="0" collapsed="false">
      <c r="A343" s="37"/>
      <c r="B343" s="37"/>
      <c r="C343" s="37"/>
      <c r="D343" s="34" t="s">
        <v>485</v>
      </c>
      <c r="E343" s="39" t="n">
        <f aca="false">IFERROR(INDEX('Data 2'!$L$2:$L$2198,MATCH(D343,'Data 2'!$A$2:$A$2198,0)), 0)</f>
        <v>-80.22</v>
      </c>
      <c r="F343" s="39" t="n">
        <f aca="false">IFERROR(INDEX('Data 2'!$M$2:$M$2198,MATCH(D343,'Data 2'!$A$2:$A$2198,0)), 0)</f>
        <v>-19.45</v>
      </c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4" t="s">
        <v>88</v>
      </c>
      <c r="W343" s="39" t="n">
        <f aca="false">IFERROR(INDEX('Data 2'!$L$2:$L$2198,MATCH(V343,'Data 2'!$A$2:$A$2198,0)), 0)</f>
        <v>-68.9233333333333</v>
      </c>
      <c r="X343" s="39" t="n">
        <f aca="false">IFERROR(INDEX('Data 2'!$M$2:$M$2198,MATCH(V343,'Data 2'!$A$2:$A$2198,0)), 0)</f>
        <v>-49.989</v>
      </c>
      <c r="Y343" s="37"/>
      <c r="Z343" s="37"/>
    </row>
    <row r="344" customFormat="false" ht="15.75" hidden="false" customHeight="true" outlineLevel="0" collapsed="false">
      <c r="A344" s="37"/>
      <c r="B344" s="37"/>
      <c r="C344" s="37"/>
      <c r="D344" s="34" t="s">
        <v>486</v>
      </c>
      <c r="E344" s="39" t="n">
        <f aca="false">IFERROR(INDEX('Data 2'!$L$2:$L$2198,MATCH(D344,'Data 2'!$A$2:$A$2198,0)), 0)</f>
        <v>-83.6833333333333</v>
      </c>
      <c r="F344" s="39" t="n">
        <f aca="false">IFERROR(INDEX('Data 2'!$M$2:$M$2198,MATCH(D344,'Data 2'!$A$2:$A$2198,0)), 0)</f>
        <v>-87.3425</v>
      </c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4" t="s">
        <v>519</v>
      </c>
      <c r="W344" s="39" t="n">
        <f aca="false">IFERROR(INDEX('Data 2'!$L$2:$L$2198,MATCH(V344,'Data 2'!$A$2:$A$2198,0)), 0)</f>
        <v>24.21</v>
      </c>
      <c r="X344" s="39" t="n">
        <f aca="false">IFERROR(INDEX('Data 2'!$M$2:$M$2198,MATCH(V344,'Data 2'!$A$2:$A$2198,0)), 0)</f>
        <v>-18.78</v>
      </c>
      <c r="Y344" s="37"/>
      <c r="Z344" s="37"/>
    </row>
    <row r="345" customFormat="false" ht="15.75" hidden="false" customHeight="true" outlineLevel="0" collapsed="false">
      <c r="A345" s="37"/>
      <c r="B345" s="37"/>
      <c r="C345" s="37"/>
      <c r="D345" s="34" t="s">
        <v>418</v>
      </c>
      <c r="E345" s="39" t="n">
        <f aca="false">IFERROR(INDEX('Data 2'!$L$2:$L$2198,MATCH(D345,'Data 2'!$A$2:$A$2198,0)), 0)</f>
        <v>81.9566666666667</v>
      </c>
      <c r="F345" s="39" t="n">
        <f aca="false">IFERROR(INDEX('Data 2'!$M$2:$M$2198,MATCH(D345,'Data 2'!$A$2:$A$2198,0)), 0)</f>
        <v>113.425</v>
      </c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4" t="s">
        <v>520</v>
      </c>
      <c r="W345" s="39" t="n">
        <f aca="false">IFERROR(INDEX('Data 2'!$L$2:$L$2198,MATCH(V345,'Data 2'!$A$2:$A$2198,0)), 0)</f>
        <v>101.95</v>
      </c>
      <c r="X345" s="39" t="n">
        <f aca="false">IFERROR(INDEX('Data 2'!$M$2:$M$2198,MATCH(V345,'Data 2'!$A$2:$A$2198,0)), 0)</f>
        <v>93.65125</v>
      </c>
      <c r="Y345" s="37"/>
      <c r="Z345" s="37"/>
    </row>
    <row r="346" customFormat="false" ht="15.75" hidden="false" customHeight="true" outlineLevel="0" collapsed="false">
      <c r="A346" s="37"/>
      <c r="B346" s="37"/>
      <c r="C346" s="37"/>
      <c r="D346" s="34" t="s">
        <v>487</v>
      </c>
      <c r="E346" s="39" t="n">
        <f aca="false">IFERROR(INDEX('Data 2'!$L$2:$L$2198,MATCH(D346,'Data 2'!$A$2:$A$2198,0)), 0)</f>
        <v>85.6533333333334</v>
      </c>
      <c r="F346" s="39" t="n">
        <f aca="false">IFERROR(INDEX('Data 2'!$M$2:$M$2198,MATCH(D346,'Data 2'!$A$2:$A$2198,0)), 0)</f>
        <v>24.635</v>
      </c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4" t="s">
        <v>521</v>
      </c>
      <c r="W346" s="39" t="n">
        <f aca="false">IFERROR(INDEX('Data 2'!$L$2:$L$2198,MATCH(V346,'Data 2'!$A$2:$A$2198,0)), 0)</f>
        <v>-43.1166666666667</v>
      </c>
      <c r="X346" s="39" t="n">
        <f aca="false">IFERROR(INDEX('Data 2'!$M$2:$M$2198,MATCH(V346,'Data 2'!$A$2:$A$2198,0)), 0)</f>
        <v>-57.25125</v>
      </c>
      <c r="Y346" s="37"/>
      <c r="Z346" s="37"/>
    </row>
    <row r="347" customFormat="false" ht="15.75" hidden="false" customHeight="true" outlineLevel="0" collapsed="false">
      <c r="A347" s="37"/>
      <c r="B347" s="37"/>
      <c r="C347" s="37"/>
      <c r="D347" s="34" t="s">
        <v>488</v>
      </c>
      <c r="E347" s="39" t="n">
        <f aca="false">IFERROR(INDEX('Data 2'!$L$2:$L$2198,MATCH(D347,'Data 2'!$A$2:$A$2198,0)), 0)</f>
        <v>-8.25666666666667</v>
      </c>
      <c r="F347" s="39" t="n">
        <f aca="false">IFERROR(INDEX('Data 2'!$M$2:$M$2198,MATCH(D347,'Data 2'!$A$2:$A$2198,0)), 0)</f>
        <v>103.62125</v>
      </c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4" t="s">
        <v>35</v>
      </c>
      <c r="W347" s="39" t="n">
        <f aca="false">IFERROR(INDEX('Data 2'!$L$2:$L$2198,MATCH(V347,'Data 2'!$A$2:$A$2198,0)), 0)</f>
        <v>-57.4266666666667</v>
      </c>
      <c r="X347" s="39" t="n">
        <f aca="false">IFERROR(INDEX('Data 2'!$M$2:$M$2198,MATCH(V347,'Data 2'!$A$2:$A$2198,0)), 0)</f>
        <v>-56.64375</v>
      </c>
      <c r="Y347" s="37"/>
      <c r="Z347" s="37"/>
    </row>
    <row r="348" customFormat="false" ht="15.75" hidden="false" customHeight="true" outlineLevel="0" collapsed="false">
      <c r="A348" s="37"/>
      <c r="B348" s="37"/>
      <c r="C348" s="37"/>
      <c r="D348" s="34" t="s">
        <v>53</v>
      </c>
      <c r="E348" s="39" t="n">
        <f aca="false">IFERROR(INDEX('Data 2'!$L$2:$L$2198,MATCH(D348,'Data 2'!$A$2:$A$2198,0)), 0)</f>
        <v>-2.34333333333333</v>
      </c>
      <c r="F348" s="39" t="n">
        <f aca="false">IFERROR(INDEX('Data 2'!$M$2:$M$2198,MATCH(D348,'Data 2'!$A$2:$A$2198,0)), 0)</f>
        <v>-29.05625</v>
      </c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4" t="s">
        <v>339</v>
      </c>
      <c r="W348" s="39" t="n">
        <f aca="false">IFERROR(INDEX('Data 2'!$L$2:$L$2198,MATCH(V348,'Data 2'!$A$2:$A$2198,0)), 0)</f>
        <v>90.8533333333333</v>
      </c>
      <c r="X348" s="39" t="n">
        <f aca="false">IFERROR(INDEX('Data 2'!$M$2:$M$2198,MATCH(V348,'Data 2'!$A$2:$A$2198,0)), 0)</f>
        <v>97.425</v>
      </c>
      <c r="Y348" s="37"/>
      <c r="Z348" s="37"/>
    </row>
    <row r="349" customFormat="false" ht="15.75" hidden="false" customHeight="true" outlineLevel="0" collapsed="false">
      <c r="A349" s="37"/>
      <c r="B349" s="37"/>
      <c r="C349" s="37"/>
      <c r="D349" s="34" t="s">
        <v>166</v>
      </c>
      <c r="E349" s="39" t="n">
        <f aca="false">IFERROR(INDEX('Data 2'!$L$2:$L$2198,MATCH(D349,'Data 2'!$A$2:$A$2198,0)), 0)</f>
        <v>-55.7866666666667</v>
      </c>
      <c r="F349" s="39" t="n">
        <f aca="false">IFERROR(INDEX('Data 2'!$M$2:$M$2198,MATCH(D349,'Data 2'!$A$2:$A$2198,0)), 0)</f>
        <v>-61.745</v>
      </c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4" t="s">
        <v>448</v>
      </c>
      <c r="W349" s="39" t="n">
        <f aca="false">IFERROR(INDEX('Data 2'!$L$2:$L$2198,MATCH(V349,'Data 2'!$A$2:$A$2198,0)), 0)</f>
        <v>37.61</v>
      </c>
      <c r="X349" s="39" t="n">
        <f aca="false">IFERROR(INDEX('Data 2'!$M$2:$M$2198,MATCH(V349,'Data 2'!$A$2:$A$2198,0)), 0)</f>
        <v>25.8375</v>
      </c>
      <c r="Y349" s="37"/>
      <c r="Z349" s="37"/>
    </row>
    <row r="350" customFormat="false" ht="15.75" hidden="false" customHeight="true" outlineLevel="0" collapsed="false">
      <c r="A350" s="37"/>
      <c r="B350" s="37"/>
      <c r="C350" s="37"/>
      <c r="D350" s="34" t="s">
        <v>236</v>
      </c>
      <c r="E350" s="39" t="n">
        <f aca="false">IFERROR(INDEX('Data 2'!$L$2:$L$2198,MATCH(D350,'Data 2'!$A$2:$A$2198,0)), 0)</f>
        <v>-10.8966666666667</v>
      </c>
      <c r="F350" s="39" t="n">
        <f aca="false">IFERROR(INDEX('Data 2'!$M$2:$M$2198,MATCH(D350,'Data 2'!$A$2:$A$2198,0)), 0)</f>
        <v>-48.05875</v>
      </c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4" t="s">
        <v>226</v>
      </c>
      <c r="W350" s="39" t="n">
        <f aca="false">IFERROR(INDEX('Data 2'!$L$2:$L$2198,MATCH(V350,'Data 2'!$A$2:$A$2198,0)), 0)</f>
        <v>96.33</v>
      </c>
      <c r="X350" s="39" t="n">
        <f aca="false">IFERROR(INDEX('Data 2'!$M$2:$M$2198,MATCH(V350,'Data 2'!$A$2:$A$2198,0)), 0)</f>
        <v>132.71</v>
      </c>
      <c r="Y350" s="37"/>
      <c r="Z350" s="37"/>
    </row>
    <row r="351" customFormat="false" ht="15.75" hidden="false" customHeight="true" outlineLevel="0" collapsed="false">
      <c r="A351" s="37"/>
      <c r="B351" s="37"/>
      <c r="C351" s="37"/>
      <c r="D351" s="34" t="s">
        <v>489</v>
      </c>
      <c r="E351" s="39" t="n">
        <f aca="false">IFERROR(INDEX('Data 2'!$L$2:$L$2198,MATCH(D351,'Data 2'!$A$2:$A$2198,0)), 0)</f>
        <v>104.853333333333</v>
      </c>
      <c r="F351" s="39" t="n">
        <f aca="false">IFERROR(INDEX('Data 2'!$M$2:$M$2198,MATCH(D351,'Data 2'!$A$2:$A$2198,0)), 0)</f>
        <v>155.4625</v>
      </c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4" t="s">
        <v>522</v>
      </c>
      <c r="W351" s="39" t="n">
        <f aca="false">IFERROR(INDEX('Data 2'!$L$2:$L$2198,MATCH(V351,'Data 2'!$A$2:$A$2198,0)), 0)</f>
        <v>0</v>
      </c>
      <c r="X351" s="39" t="n">
        <f aca="false">IFERROR(INDEX('Data 2'!$M$2:$M$2198,MATCH(V351,'Data 2'!$A$2:$A$2198,0)), 0)</f>
        <v>0</v>
      </c>
      <c r="Y351" s="37"/>
      <c r="Z351" s="37"/>
    </row>
    <row r="352" customFormat="false" ht="15.75" hidden="false" customHeight="true" outlineLevel="0" collapsed="false">
      <c r="A352" s="37"/>
      <c r="B352" s="37"/>
      <c r="C352" s="37"/>
      <c r="D352" s="34" t="s">
        <v>215</v>
      </c>
      <c r="E352" s="39" t="n">
        <f aca="false">IFERROR(INDEX('Data 2'!$L$2:$L$2198,MATCH(D352,'Data 2'!$A$2:$A$2198,0)), 0)</f>
        <v>96.4633333333334</v>
      </c>
      <c r="F352" s="39" t="n">
        <f aca="false">IFERROR(INDEX('Data 2'!$M$2:$M$2198,MATCH(D352,'Data 2'!$A$2:$A$2198,0)), 0)</f>
        <v>176.52125</v>
      </c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4" t="s">
        <v>344</v>
      </c>
      <c r="W352" s="39" t="n">
        <f aca="false">IFERROR(INDEX('Data 2'!$L$2:$L$2198,MATCH(V352,'Data 2'!$A$2:$A$2198,0)), 0)</f>
        <v>-74.62</v>
      </c>
      <c r="X352" s="39" t="n">
        <f aca="false">IFERROR(INDEX('Data 2'!$M$2:$M$2198,MATCH(V352,'Data 2'!$A$2:$A$2198,0)), 0)</f>
        <v>-85.1225</v>
      </c>
      <c r="Y352" s="37"/>
      <c r="Z352" s="37"/>
    </row>
    <row r="353" customFormat="false" ht="15.75" hidden="false" customHeight="true" outlineLevel="0" collapsed="false">
      <c r="A353" s="37"/>
      <c r="B353" s="37"/>
      <c r="C353" s="37"/>
      <c r="D353" s="34" t="s">
        <v>54</v>
      </c>
      <c r="E353" s="39" t="n">
        <f aca="false">IFERROR(INDEX('Data 2'!$L$2:$L$2198,MATCH(D353,'Data 2'!$A$2:$A$2198,0)), 0)</f>
        <v>-8.38666666666667</v>
      </c>
      <c r="F353" s="39" t="n">
        <f aca="false">IFERROR(INDEX('Data 2'!$M$2:$M$2198,MATCH(D353,'Data 2'!$A$2:$A$2198,0)), 0)</f>
        <v>-5.17875</v>
      </c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4" t="s">
        <v>523</v>
      </c>
      <c r="W353" s="39" t="n">
        <f aca="false">IFERROR(INDEX('Data 2'!$L$2:$L$2198,MATCH(V353,'Data 2'!$A$2:$A$2198,0)), 0)</f>
        <v>114.773333333333</v>
      </c>
      <c r="X353" s="39" t="n">
        <f aca="false">IFERROR(INDEX('Data 2'!$M$2:$M$2198,MATCH(V353,'Data 2'!$A$2:$A$2198,0)), 0)</f>
        <v>87.12375</v>
      </c>
      <c r="Y353" s="37"/>
      <c r="Z353" s="37"/>
    </row>
    <row r="354" customFormat="false" ht="15.75" hidden="false" customHeight="true" outlineLevel="0" collapsed="false">
      <c r="A354" s="37"/>
      <c r="B354" s="37"/>
      <c r="C354" s="37"/>
      <c r="D354" s="34" t="s">
        <v>211</v>
      </c>
      <c r="E354" s="39" t="n">
        <f aca="false">IFERROR(INDEX('Data 2'!$L$2:$L$2198,MATCH(D354,'Data 2'!$A$2:$A$2198,0)), 0)</f>
        <v>7.07</v>
      </c>
      <c r="F354" s="39" t="n">
        <f aca="false">IFERROR(INDEX('Data 2'!$M$2:$M$2198,MATCH(D354,'Data 2'!$A$2:$A$2198,0)), 0)</f>
        <v>80.28125</v>
      </c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4" t="s">
        <v>51</v>
      </c>
      <c r="W354" s="39" t="n">
        <f aca="false">IFERROR(INDEX('Data 2'!$L$2:$L$2198,MATCH(V354,'Data 2'!$A$2:$A$2198,0)), 0)</f>
        <v>-35.4266666666667</v>
      </c>
      <c r="X354" s="39" t="n">
        <f aca="false">IFERROR(INDEX('Data 2'!$M$2:$M$2198,MATCH(V354,'Data 2'!$A$2:$A$2198,0)), 0)</f>
        <v>-8.76</v>
      </c>
      <c r="Y354" s="37"/>
      <c r="Z354" s="37"/>
    </row>
    <row r="355" customFormat="false" ht="15.75" hidden="false" customHeight="true" outlineLevel="0" collapsed="false">
      <c r="A355" s="37"/>
      <c r="B355" s="37"/>
      <c r="C355" s="37"/>
      <c r="D355" s="34" t="s">
        <v>490</v>
      </c>
      <c r="E355" s="39" t="n">
        <f aca="false">IFERROR(INDEX('Data 2'!$L$2:$L$2198,MATCH(D355,'Data 2'!$A$2:$A$2198,0)), 0)</f>
        <v>-63.05</v>
      </c>
      <c r="F355" s="39" t="n">
        <f aca="false">IFERROR(INDEX('Data 2'!$M$2:$M$2198,MATCH(D355,'Data 2'!$A$2:$A$2198,0)), 0)</f>
        <v>-69.70375</v>
      </c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4" t="s">
        <v>524</v>
      </c>
      <c r="W355" s="39" t="n">
        <f aca="false">IFERROR(INDEX('Data 2'!$L$2:$L$2198,MATCH(V355,'Data 2'!$A$2:$A$2198,0)), 0)</f>
        <v>95.51</v>
      </c>
      <c r="X355" s="39" t="n">
        <f aca="false">IFERROR(INDEX('Data 2'!$M$2:$M$2198,MATCH(V355,'Data 2'!$A$2:$A$2198,0)), 0)</f>
        <v>113.6175</v>
      </c>
      <c r="Y355" s="37"/>
      <c r="Z355" s="37"/>
    </row>
    <row r="356" customFormat="false" ht="15.75" hidden="false" customHeight="true" outlineLevel="0" collapsed="false">
      <c r="A356" s="37"/>
      <c r="B356" s="37"/>
      <c r="C356" s="37"/>
      <c r="D356" s="34" t="s">
        <v>148</v>
      </c>
      <c r="E356" s="39" t="n">
        <f aca="false">IFERROR(INDEX('Data 2'!$L$2:$L$2198,MATCH(D356,'Data 2'!$A$2:$A$2198,0)), 0)</f>
        <v>69.39</v>
      </c>
      <c r="F356" s="39" t="n">
        <f aca="false">IFERROR(INDEX('Data 2'!$M$2:$M$2198,MATCH(D356,'Data 2'!$A$2:$A$2198,0)), 0)</f>
        <v>9.4825</v>
      </c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4" t="s">
        <v>525</v>
      </c>
      <c r="W356" s="39" t="n">
        <f aca="false">IFERROR(INDEX('Data 2'!$L$2:$L$2198,MATCH(V356,'Data 2'!$A$2:$A$2198,0)), 0)</f>
        <v>-63.5</v>
      </c>
      <c r="X356" s="39" t="n">
        <f aca="false">IFERROR(INDEX('Data 2'!$M$2:$M$2198,MATCH(V356,'Data 2'!$A$2:$A$2198,0)), 0)</f>
        <v>28.7175</v>
      </c>
      <c r="Y356" s="37"/>
      <c r="Z356" s="37"/>
    </row>
    <row r="357" customFormat="false" ht="15.75" hidden="false" customHeight="true" outlineLevel="0" collapsed="false">
      <c r="A357" s="37"/>
      <c r="B357" s="37"/>
      <c r="C357" s="37"/>
      <c r="D357" s="34" t="s">
        <v>332</v>
      </c>
      <c r="E357" s="39" t="n">
        <f aca="false">IFERROR(INDEX('Data 2'!$L$2:$L$2198,MATCH(D357,'Data 2'!$A$2:$A$2198,0)), 0)</f>
        <v>-47.7433333333333</v>
      </c>
      <c r="F357" s="39" t="n">
        <f aca="false">IFERROR(INDEX('Data 2'!$M$2:$M$2198,MATCH(D357,'Data 2'!$A$2:$A$2198,0)), 0)</f>
        <v>-87.935</v>
      </c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4" t="s">
        <v>526</v>
      </c>
      <c r="W357" s="39" t="n">
        <f aca="false">IFERROR(INDEX('Data 2'!$L$2:$L$2198,MATCH(V357,'Data 2'!$A$2:$A$2198,0)), 0)</f>
        <v>-68.82</v>
      </c>
      <c r="X357" s="39" t="n">
        <f aca="false">IFERROR(INDEX('Data 2'!$M$2:$M$2198,MATCH(V357,'Data 2'!$A$2:$A$2198,0)), 0)</f>
        <v>-16.6525</v>
      </c>
      <c r="Y357" s="37"/>
      <c r="Z357" s="37"/>
    </row>
    <row r="358" customFormat="false" ht="15.75" hidden="false" customHeight="true" outlineLevel="0" collapsed="false">
      <c r="A358" s="37"/>
      <c r="B358" s="37"/>
      <c r="C358" s="37"/>
      <c r="D358" s="34" t="s">
        <v>491</v>
      </c>
      <c r="E358" s="39" t="n">
        <f aca="false">IFERROR(INDEX('Data 2'!$L$2:$L$2198,MATCH(D358,'Data 2'!$A$2:$A$2198,0)), 0)</f>
        <v>-52.46</v>
      </c>
      <c r="F358" s="39" t="n">
        <f aca="false">IFERROR(INDEX('Data 2'!$M$2:$M$2198,MATCH(D358,'Data 2'!$A$2:$A$2198,0)), 0)</f>
        <v>14.3525</v>
      </c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4" t="s">
        <v>527</v>
      </c>
      <c r="W358" s="39" t="n">
        <f aca="false">IFERROR(INDEX('Data 2'!$L$2:$L$2198,MATCH(V358,'Data 2'!$A$2:$A$2198,0)), 0)</f>
        <v>-47.4333333333333</v>
      </c>
      <c r="X358" s="39" t="n">
        <f aca="false">IFERROR(INDEX('Data 2'!$M$2:$M$2198,MATCH(V358,'Data 2'!$A$2:$A$2198,0)), 0)</f>
        <v>-16.4925</v>
      </c>
      <c r="Y358" s="37"/>
      <c r="Z358" s="37"/>
    </row>
    <row r="359" customFormat="false" ht="15.75" hidden="false" customHeight="true" outlineLevel="0" collapsed="false">
      <c r="A359" s="37"/>
      <c r="B359" s="37"/>
      <c r="C359" s="37"/>
      <c r="D359" s="34" t="s">
        <v>492</v>
      </c>
      <c r="E359" s="39" t="n">
        <f aca="false">IFERROR(INDEX('Data 2'!$L$2:$L$2198,MATCH(D359,'Data 2'!$A$2:$A$2198,0)), 0)</f>
        <v>64.1533333333333</v>
      </c>
      <c r="F359" s="39" t="n">
        <f aca="false">IFERROR(INDEX('Data 2'!$M$2:$M$2198,MATCH(D359,'Data 2'!$A$2:$A$2198,0)), 0)</f>
        <v>-13.4675</v>
      </c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4" t="s">
        <v>169</v>
      </c>
      <c r="W359" s="39" t="n">
        <f aca="false">IFERROR(INDEX('Data 2'!$L$2:$L$2198,MATCH(V359,'Data 2'!$A$2:$A$2198,0)), 0)</f>
        <v>-78.8333333333333</v>
      </c>
      <c r="X359" s="39" t="n">
        <f aca="false">IFERROR(INDEX('Data 2'!$M$2:$M$2198,MATCH(V359,'Data 2'!$A$2:$A$2198,0)), 0)</f>
        <v>-13.07875</v>
      </c>
      <c r="Y359" s="37"/>
      <c r="Z359" s="37"/>
    </row>
    <row r="360" customFormat="false" ht="15.75" hidden="false" customHeight="true" outlineLevel="0" collapsed="false">
      <c r="A360" s="37"/>
      <c r="B360" s="37"/>
      <c r="C360" s="37"/>
      <c r="D360" s="34" t="s">
        <v>37</v>
      </c>
      <c r="E360" s="39" t="n">
        <f aca="false">IFERROR(INDEX('Data 2'!$L$2:$L$2198,MATCH(D360,'Data 2'!$A$2:$A$2198,0)), 0)</f>
        <v>127.333333333333</v>
      </c>
      <c r="F360" s="39" t="n">
        <f aca="false">IFERROR(INDEX('Data 2'!$M$2:$M$2198,MATCH(D360,'Data 2'!$A$2:$A$2198,0)), 0)</f>
        <v>187.25625</v>
      </c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4" t="s">
        <v>71</v>
      </c>
      <c r="W360" s="39" t="n">
        <f aca="false">IFERROR(INDEX('Data 2'!$L$2:$L$2198,MATCH(V360,'Data 2'!$A$2:$A$2198,0)), 0)</f>
        <v>-96.8233333333333</v>
      </c>
      <c r="X360" s="39" t="n">
        <f aca="false">IFERROR(INDEX('Data 2'!$M$2:$M$2198,MATCH(V360,'Data 2'!$A$2:$A$2198,0)), 0)</f>
        <v>-96.975</v>
      </c>
      <c r="Y360" s="37"/>
      <c r="Z360" s="37"/>
    </row>
    <row r="361" customFormat="false" ht="15.75" hidden="false" customHeight="true" outlineLevel="0" collapsed="false">
      <c r="A361" s="37"/>
      <c r="B361" s="37"/>
      <c r="C361" s="37"/>
      <c r="D361" s="34" t="s">
        <v>124</v>
      </c>
      <c r="E361" s="39" t="n">
        <f aca="false">IFERROR(INDEX('Data 2'!$L$2:$L$2198,MATCH(D361,'Data 2'!$A$2:$A$2198,0)), 0)</f>
        <v>13.7066666666667</v>
      </c>
      <c r="F361" s="39" t="n">
        <f aca="false">IFERROR(INDEX('Data 2'!$M$2:$M$2198,MATCH(D361,'Data 2'!$A$2:$A$2198,0)), 0)</f>
        <v>-9.18125</v>
      </c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4" t="s">
        <v>240</v>
      </c>
      <c r="W361" s="39" t="n">
        <f aca="false">IFERROR(INDEX('Data 2'!$L$2:$L$2198,MATCH(V361,'Data 2'!$A$2:$A$2198,0)), 0)</f>
        <v>-127.08</v>
      </c>
      <c r="X361" s="39" t="n">
        <f aca="false">IFERROR(INDEX('Data 2'!$M$2:$M$2198,MATCH(V361,'Data 2'!$A$2:$A$2198,0)), 0)</f>
        <v>-112.8225</v>
      </c>
      <c r="Y361" s="37"/>
      <c r="Z361" s="37"/>
    </row>
    <row r="362" customFormat="false" ht="15.75" hidden="false" customHeight="true" outlineLevel="0" collapsed="false">
      <c r="A362" s="37"/>
      <c r="B362" s="37"/>
      <c r="C362" s="37"/>
      <c r="D362" s="34" t="s">
        <v>425</v>
      </c>
      <c r="E362" s="39" t="n">
        <f aca="false">IFERROR(INDEX('Data 2'!$L$2:$L$2198,MATCH(D362,'Data 2'!$A$2:$A$2198,0)), 0)</f>
        <v>0.49</v>
      </c>
      <c r="F362" s="39" t="n">
        <f aca="false">IFERROR(INDEX('Data 2'!$M$2:$M$2198,MATCH(D362,'Data 2'!$A$2:$A$2198,0)), 0)</f>
        <v>8.0325</v>
      </c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4" t="s">
        <v>456</v>
      </c>
      <c r="W362" s="39" t="n">
        <f aca="false">IFERROR(INDEX('Data 2'!$L$2:$L$2198,MATCH(V362,'Data 2'!$A$2:$A$2198,0)), 0)</f>
        <v>-30.0866666666667</v>
      </c>
      <c r="X362" s="39" t="n">
        <f aca="false">IFERROR(INDEX('Data 2'!$M$2:$M$2198,MATCH(V362,'Data 2'!$A$2:$A$2198,0)), 0)</f>
        <v>39.65125</v>
      </c>
      <c r="Y362" s="37"/>
      <c r="Z362" s="37"/>
    </row>
    <row r="363" customFormat="false" ht="15.75" hidden="false" customHeight="true" outlineLevel="0" collapsed="false">
      <c r="A363" s="37"/>
      <c r="B363" s="37"/>
      <c r="C363" s="37"/>
      <c r="D363" s="34" t="s">
        <v>149</v>
      </c>
      <c r="E363" s="39" t="n">
        <f aca="false">IFERROR(INDEX('Data 2'!$L$2:$L$2198,MATCH(D363,'Data 2'!$A$2:$A$2198,0)), 0)</f>
        <v>100.756666666667</v>
      </c>
      <c r="F363" s="39" t="n">
        <f aca="false">IFERROR(INDEX('Data 2'!$M$2:$M$2198,MATCH(D363,'Data 2'!$A$2:$A$2198,0)), 0)</f>
        <v>21.885</v>
      </c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4" t="s">
        <v>458</v>
      </c>
      <c r="W363" s="39" t="n">
        <f aca="false">IFERROR(INDEX('Data 2'!$L$2:$L$2198,MATCH(V363,'Data 2'!$A$2:$A$2198,0)), 0)</f>
        <v>4.51333333333334</v>
      </c>
      <c r="X363" s="39" t="n">
        <f aca="false">IFERROR(INDEX('Data 2'!$M$2:$M$2198,MATCH(V363,'Data 2'!$A$2:$A$2198,0)), 0)</f>
        <v>-30.79375</v>
      </c>
      <c r="Y363" s="37"/>
      <c r="Z363" s="37"/>
    </row>
    <row r="364" customFormat="false" ht="15.75" hidden="false" customHeight="true" outlineLevel="0" collapsed="false">
      <c r="A364" s="37"/>
      <c r="B364" s="37"/>
      <c r="C364" s="37"/>
      <c r="D364" s="34" t="s">
        <v>189</v>
      </c>
      <c r="E364" s="39" t="n">
        <f aca="false">IFERROR(INDEX('Data 2'!$L$2:$L$2198,MATCH(D364,'Data 2'!$A$2:$A$2198,0)), 0)</f>
        <v>-57.4466666666667</v>
      </c>
      <c r="F364" s="39" t="n">
        <f aca="false">IFERROR(INDEX('Data 2'!$M$2:$M$2198,MATCH(D364,'Data 2'!$A$2:$A$2198,0)), 0)</f>
        <v>-98.99125</v>
      </c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4" t="s">
        <v>528</v>
      </c>
      <c r="W364" s="39" t="n">
        <f aca="false">IFERROR(INDEX('Data 2'!$L$2:$L$2198,MATCH(V364,'Data 2'!$A$2:$A$2198,0)), 0)</f>
        <v>-42.3266666666667</v>
      </c>
      <c r="X364" s="39" t="n">
        <f aca="false">IFERROR(INDEX('Data 2'!$M$2:$M$2198,MATCH(V364,'Data 2'!$A$2:$A$2198,0)), 0)</f>
        <v>-57.22875</v>
      </c>
      <c r="Y364" s="37"/>
      <c r="Z364" s="37"/>
    </row>
    <row r="365" customFormat="false" ht="15.75" hidden="false" customHeight="true" outlineLevel="0" collapsed="false">
      <c r="A365" s="37"/>
      <c r="B365" s="37"/>
      <c r="C365" s="37"/>
      <c r="D365" s="34" t="s">
        <v>493</v>
      </c>
      <c r="E365" s="39" t="n">
        <f aca="false">IFERROR(INDEX('Data 2'!$L$2:$L$2198,MATCH(D365,'Data 2'!$A$2:$A$2198,0)), 0)</f>
        <v>-2.50666666666667</v>
      </c>
      <c r="F365" s="39" t="n">
        <f aca="false">IFERROR(INDEX('Data 2'!$M$2:$M$2198,MATCH(D365,'Data 2'!$A$2:$A$2198,0)), 0)</f>
        <v>53.69875</v>
      </c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4" t="s">
        <v>529</v>
      </c>
      <c r="W365" s="39" t="n">
        <f aca="false">IFERROR(INDEX('Data 2'!$L$2:$L$2198,MATCH(V365,'Data 2'!$A$2:$A$2198,0)), 0)</f>
        <v>107.52</v>
      </c>
      <c r="X365" s="39" t="n">
        <f aca="false">IFERROR(INDEX('Data 2'!$M$2:$M$2198,MATCH(V365,'Data 2'!$A$2:$A$2198,0)), 0)</f>
        <v>87.25875</v>
      </c>
      <c r="Y365" s="37"/>
      <c r="Z365" s="37"/>
    </row>
    <row r="366" customFormat="false" ht="15.75" hidden="false" customHeight="true" outlineLevel="0" collapsed="false">
      <c r="A366" s="37"/>
      <c r="B366" s="37"/>
      <c r="C366" s="37"/>
      <c r="D366" s="34" t="s">
        <v>331</v>
      </c>
      <c r="E366" s="39" t="n">
        <f aca="false">IFERROR(INDEX('Data 2'!$L$2:$L$2198,MATCH(D366,'Data 2'!$A$2:$A$2198,0)), 0)</f>
        <v>88.51</v>
      </c>
      <c r="F366" s="39" t="n">
        <f aca="false">IFERROR(INDEX('Data 2'!$M$2:$M$2198,MATCH(D366,'Data 2'!$A$2:$A$2198,0)), 0)</f>
        <v>75.1225</v>
      </c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4" t="s">
        <v>351</v>
      </c>
      <c r="W366" s="39" t="n">
        <f aca="false">IFERROR(INDEX('Data 2'!$L$2:$L$2198,MATCH(V366,'Data 2'!$A$2:$A$2198,0)), 0)</f>
        <v>98.2466666666667</v>
      </c>
      <c r="X366" s="39" t="n">
        <f aca="false">IFERROR(INDEX('Data 2'!$M$2:$M$2198,MATCH(V366,'Data 2'!$A$2:$A$2198,0)), 0)</f>
        <v>2.04125</v>
      </c>
      <c r="Y366" s="37"/>
      <c r="Z366" s="37"/>
    </row>
    <row r="367" customFormat="false" ht="15.75" hidden="false" customHeight="true" outlineLevel="0" collapsed="false">
      <c r="A367" s="37"/>
      <c r="B367" s="37"/>
      <c r="C367" s="37"/>
      <c r="D367" s="34" t="s">
        <v>79</v>
      </c>
      <c r="E367" s="39" t="n">
        <f aca="false">IFERROR(INDEX('Data 2'!$L$2:$L$2198,MATCH(D367,'Data 2'!$A$2:$A$2198,0)), 0)</f>
        <v>9.98333333333333</v>
      </c>
      <c r="F367" s="39" t="n">
        <f aca="false">IFERROR(INDEX('Data 2'!$M$2:$M$2198,MATCH(D367,'Data 2'!$A$2:$A$2198,0)), 0)</f>
        <v>57.555</v>
      </c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4" t="s">
        <v>460</v>
      </c>
      <c r="W367" s="39" t="n">
        <f aca="false">IFERROR(INDEX('Data 2'!$L$2:$L$2198,MATCH(V367,'Data 2'!$A$2:$A$2198,0)), 0)</f>
        <v>4.76666666666667</v>
      </c>
      <c r="X367" s="39" t="n">
        <f aca="false">IFERROR(INDEX('Data 2'!$M$2:$M$2198,MATCH(V367,'Data 2'!$A$2:$A$2198,0)), 0)</f>
        <v>72.1525</v>
      </c>
      <c r="Y367" s="37"/>
      <c r="Z367" s="37"/>
    </row>
    <row r="368" customFormat="false" ht="15.75" hidden="false" customHeight="true" outlineLevel="0" collapsed="false">
      <c r="A368" s="37"/>
      <c r="B368" s="37"/>
      <c r="C368" s="37"/>
      <c r="D368" s="34" t="s">
        <v>43</v>
      </c>
      <c r="E368" s="39" t="n">
        <f aca="false">IFERROR(INDEX('Data 2'!$L$2:$L$2198,MATCH(D368,'Data 2'!$A$2:$A$2198,0)), 0)</f>
        <v>-79.8366666666667</v>
      </c>
      <c r="F368" s="39" t="n">
        <f aca="false">IFERROR(INDEX('Data 2'!$M$2:$M$2198,MATCH(D368,'Data 2'!$A$2:$A$2198,0)), 0)</f>
        <v>-36.58625</v>
      </c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4" t="s">
        <v>62</v>
      </c>
      <c r="W368" s="39" t="n">
        <f aca="false">IFERROR(INDEX('Data 2'!$L$2:$L$2198,MATCH(V368,'Data 2'!$A$2:$A$2198,0)), 0)</f>
        <v>-38.9566666666667</v>
      </c>
      <c r="X368" s="39" t="n">
        <f aca="false">IFERROR(INDEX('Data 2'!$M$2:$M$2198,MATCH(V368,'Data 2'!$A$2:$A$2198,0)), 0)</f>
        <v>-6.4175</v>
      </c>
      <c r="Y368" s="37"/>
      <c r="Z368" s="37"/>
    </row>
    <row r="369" customFormat="false" ht="15.75" hidden="false" customHeight="true" outlineLevel="0" collapsed="false">
      <c r="A369" s="37"/>
      <c r="B369" s="37"/>
      <c r="C369" s="37"/>
      <c r="D369" s="34" t="s">
        <v>337</v>
      </c>
      <c r="E369" s="39" t="n">
        <f aca="false">IFERROR(INDEX('Data 2'!$L$2:$L$2198,MATCH(D369,'Data 2'!$A$2:$A$2198,0)), 0)</f>
        <v>57.9633333333333</v>
      </c>
      <c r="F369" s="39" t="n">
        <f aca="false">IFERROR(INDEX('Data 2'!$M$2:$M$2198,MATCH(D369,'Data 2'!$A$2:$A$2198,0)), 0)</f>
        <v>-35.36</v>
      </c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4" t="s">
        <v>462</v>
      </c>
      <c r="W369" s="39" t="n">
        <f aca="false">IFERROR(INDEX('Data 2'!$L$2:$L$2198,MATCH(V369,'Data 2'!$A$2:$A$2198,0)), 0)</f>
        <v>-2.06</v>
      </c>
      <c r="X369" s="39" t="n">
        <f aca="false">IFERROR(INDEX('Data 2'!$M$2:$M$2198,MATCH(V369,'Data 2'!$A$2:$A$2198,0)), 0)</f>
        <v>-64.1375</v>
      </c>
      <c r="Y369" s="37"/>
      <c r="Z369" s="37"/>
    </row>
    <row r="370" customFormat="false" ht="15.75" hidden="false" customHeight="true" outlineLevel="0" collapsed="false">
      <c r="A370" s="37"/>
      <c r="B370" s="37"/>
      <c r="C370" s="37"/>
      <c r="D370" s="34" t="s">
        <v>494</v>
      </c>
      <c r="E370" s="39" t="n">
        <f aca="false">IFERROR(INDEX('Data 2'!$L$2:$L$2198,MATCH(D370,'Data 2'!$A$2:$A$2198,0)), 0)</f>
        <v>125.17</v>
      </c>
      <c r="F370" s="39" t="n">
        <f aca="false">IFERROR(INDEX('Data 2'!$M$2:$M$2198,MATCH(D370,'Data 2'!$A$2:$A$2198,0)), 0)</f>
        <v>13.32</v>
      </c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4" t="s">
        <v>464</v>
      </c>
      <c r="W370" s="39" t="n">
        <f aca="false">IFERROR(INDEX('Data 2'!$L$2:$L$2198,MATCH(V370,'Data 2'!$A$2:$A$2198,0)), 0)</f>
        <v>101.43</v>
      </c>
      <c r="X370" s="39" t="n">
        <f aca="false">IFERROR(INDEX('Data 2'!$M$2:$M$2198,MATCH(V370,'Data 2'!$A$2:$A$2198,0)), 0)</f>
        <v>19.62625</v>
      </c>
      <c r="Y370" s="37"/>
      <c r="Z370" s="37"/>
    </row>
    <row r="371" customFormat="false" ht="15.75" hidden="false" customHeight="true" outlineLevel="0" collapsed="false">
      <c r="A371" s="37"/>
      <c r="B371" s="37"/>
      <c r="C371" s="37"/>
      <c r="D371" s="34" t="s">
        <v>173</v>
      </c>
      <c r="E371" s="39" t="n">
        <f aca="false">IFERROR(INDEX('Data 2'!$L$2:$L$2198,MATCH(D371,'Data 2'!$A$2:$A$2198,0)), 0)</f>
        <v>38.0766666666667</v>
      </c>
      <c r="F371" s="39" t="n">
        <f aca="false">IFERROR(INDEX('Data 2'!$M$2:$M$2198,MATCH(D371,'Data 2'!$A$2:$A$2198,0)), 0)</f>
        <v>91.0825</v>
      </c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4" t="s">
        <v>530</v>
      </c>
      <c r="W371" s="39" t="n">
        <f aca="false">IFERROR(INDEX('Data 2'!$L$2:$L$2198,MATCH(V371,'Data 2'!$A$2:$A$2198,0)), 0)</f>
        <v>110.29</v>
      </c>
      <c r="X371" s="39" t="n">
        <f aca="false">IFERROR(INDEX('Data 2'!$M$2:$M$2198,MATCH(V371,'Data 2'!$A$2:$A$2198,0)), 0)</f>
        <v>35.8425</v>
      </c>
      <c r="Y371" s="37"/>
      <c r="Z371" s="37"/>
    </row>
    <row r="372" customFormat="false" ht="15.75" hidden="false" customHeight="true" outlineLevel="0" collapsed="false">
      <c r="A372" s="37"/>
      <c r="B372" s="37"/>
      <c r="C372" s="37"/>
      <c r="D372" s="34" t="s">
        <v>245</v>
      </c>
      <c r="E372" s="39" t="n">
        <f aca="false">IFERROR(INDEX('Data 2'!$L$2:$L$2198,MATCH(D372,'Data 2'!$A$2:$A$2198,0)), 0)</f>
        <v>30.24</v>
      </c>
      <c r="F372" s="39" t="n">
        <f aca="false">IFERROR(INDEX('Data 2'!$M$2:$M$2198,MATCH(D372,'Data 2'!$A$2:$A$2198,0)), 0)</f>
        <v>68.2475</v>
      </c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4" t="s">
        <v>264</v>
      </c>
      <c r="W372" s="39" t="n">
        <f aca="false">IFERROR(INDEX('Data 2'!$L$2:$L$2198,MATCH(V372,'Data 2'!$A$2:$A$2198,0)), 0)</f>
        <v>-93.3566666666667</v>
      </c>
      <c r="X372" s="39" t="n">
        <f aca="false">IFERROR(INDEX('Data 2'!$M$2:$M$2198,MATCH(V372,'Data 2'!$A$2:$A$2198,0)), 0)</f>
        <v>-121.41625</v>
      </c>
      <c r="Y372" s="37"/>
      <c r="Z372" s="37"/>
    </row>
    <row r="373" customFormat="false" ht="15.75" hidden="false" customHeight="true" outlineLevel="0" collapsed="false">
      <c r="A373" s="37"/>
      <c r="B373" s="37"/>
      <c r="C373" s="37"/>
      <c r="D373" s="34" t="s">
        <v>201</v>
      </c>
      <c r="E373" s="39" t="n">
        <f aca="false">IFERROR(INDEX('Data 2'!$L$2:$L$2198,MATCH(D373,'Data 2'!$A$2:$A$2198,0)), 0)</f>
        <v>-100.29</v>
      </c>
      <c r="F373" s="39" t="n">
        <f aca="false">IFERROR(INDEX('Data 2'!$M$2:$M$2198,MATCH(D373,'Data 2'!$A$2:$A$2198,0)), 0)</f>
        <v>-112.61375</v>
      </c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4" t="s">
        <v>531</v>
      </c>
      <c r="W373" s="39" t="n">
        <f aca="false">IFERROR(INDEX('Data 2'!$L$2:$L$2198,MATCH(V373,'Data 2'!$A$2:$A$2198,0)), 0)</f>
        <v>-25.5</v>
      </c>
      <c r="X373" s="39" t="n">
        <f aca="false">IFERROR(INDEX('Data 2'!$M$2:$M$2198,MATCH(V373,'Data 2'!$A$2:$A$2198,0)), 0)</f>
        <v>-41.29</v>
      </c>
      <c r="Y373" s="37"/>
      <c r="Z373" s="37"/>
    </row>
    <row r="374" customFormat="false" ht="15.75" hidden="false" customHeight="true" outlineLevel="0" collapsed="false">
      <c r="A374" s="37"/>
      <c r="B374" s="37"/>
      <c r="C374" s="37"/>
      <c r="D374" s="34" t="s">
        <v>80</v>
      </c>
      <c r="E374" s="39" t="n">
        <f aca="false">IFERROR(INDEX('Data 2'!$L$2:$L$2198,MATCH(D374,'Data 2'!$A$2:$A$2198,0)), 0)</f>
        <v>-100.336666666667</v>
      </c>
      <c r="F374" s="39" t="n">
        <f aca="false">IFERROR(INDEX('Data 2'!$M$2:$M$2198,MATCH(D374,'Data 2'!$A$2:$A$2198,0)), 0)</f>
        <v>-99.655</v>
      </c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4" t="s">
        <v>532</v>
      </c>
      <c r="W374" s="39" t="n">
        <f aca="false">IFERROR(INDEX('Data 2'!$L$2:$L$2198,MATCH(V374,'Data 2'!$A$2:$A$2198,0)), 0)</f>
        <v>0.959999999999999</v>
      </c>
      <c r="X374" s="39" t="n">
        <f aca="false">IFERROR(INDEX('Data 2'!$M$2:$M$2198,MATCH(V374,'Data 2'!$A$2:$A$2198,0)), 0)</f>
        <v>-62.61625</v>
      </c>
      <c r="Y374" s="37"/>
      <c r="Z374" s="37"/>
    </row>
    <row r="375" customFormat="false" ht="15.75" hidden="false" customHeight="true" outlineLevel="0" collapsed="false">
      <c r="A375" s="37"/>
      <c r="B375" s="37"/>
      <c r="C375" s="37"/>
      <c r="D375" s="34" t="s">
        <v>495</v>
      </c>
      <c r="E375" s="39" t="n">
        <f aca="false">IFERROR(INDEX('Data 2'!$L$2:$L$2198,MATCH(D375,'Data 2'!$A$2:$A$2198,0)), 0)</f>
        <v>-81.27</v>
      </c>
      <c r="F375" s="39" t="n">
        <f aca="false">IFERROR(INDEX('Data 2'!$M$2:$M$2198,MATCH(D375,'Data 2'!$A$2:$A$2198,0)), 0)</f>
        <v>-142.69375</v>
      </c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4" t="s">
        <v>533</v>
      </c>
      <c r="W375" s="39" t="n">
        <f aca="false">IFERROR(INDEX('Data 2'!$L$2:$L$2198,MATCH(V375,'Data 2'!$A$2:$A$2198,0)), 0)</f>
        <v>29.9233333333333</v>
      </c>
      <c r="X375" s="39" t="n">
        <f aca="false">IFERROR(INDEX('Data 2'!$M$2:$M$2198,MATCH(V375,'Data 2'!$A$2:$A$2198,0)), 0)</f>
        <v>-39.3325</v>
      </c>
      <c r="Y375" s="37"/>
      <c r="Z375" s="37"/>
    </row>
    <row r="376" customFormat="false" ht="15.75" hidden="false" customHeight="true" outlineLevel="0" collapsed="false">
      <c r="A376" s="37"/>
      <c r="B376" s="37"/>
      <c r="C376" s="37"/>
      <c r="D376" s="34" t="s">
        <v>228</v>
      </c>
      <c r="E376" s="39" t="n">
        <f aca="false">IFERROR(INDEX('Data 2'!$L$2:$L$2198,MATCH(D376,'Data 2'!$A$2:$A$2198,0)), 0)</f>
        <v>-0.579999999999998</v>
      </c>
      <c r="F376" s="39" t="n">
        <f aca="false">IFERROR(INDEX('Data 2'!$M$2:$M$2198,MATCH(D376,'Data 2'!$A$2:$A$2198,0)), 0)</f>
        <v>12.17125</v>
      </c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4" t="s">
        <v>241</v>
      </c>
      <c r="W376" s="39" t="n">
        <f aca="false">IFERROR(INDEX('Data 2'!$L$2:$L$2198,MATCH(V376,'Data 2'!$A$2:$A$2198,0)), 0)</f>
        <v>-31.2566666666667</v>
      </c>
      <c r="X376" s="39" t="n">
        <f aca="false">IFERROR(INDEX('Data 2'!$M$2:$M$2198,MATCH(V376,'Data 2'!$A$2:$A$2198,0)), 0)</f>
        <v>60.3325</v>
      </c>
      <c r="Y376" s="37"/>
      <c r="Z376" s="37"/>
    </row>
    <row r="377" customFormat="false" ht="15.75" hidden="false" customHeight="true" outlineLevel="0" collapsed="false">
      <c r="A377" s="37"/>
      <c r="B377" s="37"/>
      <c r="C377" s="37"/>
      <c r="D377" s="34" t="s">
        <v>431</v>
      </c>
      <c r="E377" s="39" t="n">
        <f aca="false">IFERROR(INDEX('Data 2'!$L$2:$L$2198,MATCH(D377,'Data 2'!$A$2:$A$2198,0)), 0)</f>
        <v>-27.08</v>
      </c>
      <c r="F377" s="39" t="n">
        <f aca="false">IFERROR(INDEX('Data 2'!$M$2:$M$2198,MATCH(D377,'Data 2'!$A$2:$A$2198,0)), 0)</f>
        <v>-31.54875</v>
      </c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4" t="s">
        <v>534</v>
      </c>
      <c r="W377" s="39" t="n">
        <f aca="false">IFERROR(INDEX('Data 2'!$L$2:$L$2198,MATCH(V377,'Data 2'!$A$2:$A$2198,0)), 0)</f>
        <v>-19.2333333333333</v>
      </c>
      <c r="X377" s="39" t="n">
        <f aca="false">IFERROR(INDEX('Data 2'!$M$2:$M$2198,MATCH(V377,'Data 2'!$A$2:$A$2198,0)), 0)</f>
        <v>-61.97625</v>
      </c>
      <c r="Y377" s="37"/>
      <c r="Z377" s="37"/>
    </row>
    <row r="378" customFormat="false" ht="15.75" hidden="false" customHeight="true" outlineLevel="0" collapsed="false">
      <c r="A378" s="37"/>
      <c r="B378" s="37"/>
      <c r="C378" s="37"/>
      <c r="D378" s="34" t="s">
        <v>113</v>
      </c>
      <c r="E378" s="39" t="n">
        <f aca="false">IFERROR(INDEX('Data 2'!$L$2:$L$2198,MATCH(D378,'Data 2'!$A$2:$A$2198,0)), 0)</f>
        <v>-80.51</v>
      </c>
      <c r="F378" s="39" t="n">
        <f aca="false">IFERROR(INDEX('Data 2'!$M$2:$M$2198,MATCH(D378,'Data 2'!$A$2:$A$2198,0)), 0)</f>
        <v>-30.45</v>
      </c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4" t="s">
        <v>467</v>
      </c>
      <c r="W378" s="39" t="n">
        <f aca="false">IFERROR(INDEX('Data 2'!$L$2:$L$2198,MATCH(V378,'Data 2'!$A$2:$A$2198,0)), 0)</f>
        <v>94.13</v>
      </c>
      <c r="X378" s="39" t="n">
        <f aca="false">IFERROR(INDEX('Data 2'!$M$2:$M$2198,MATCH(V378,'Data 2'!$A$2:$A$2198,0)), 0)</f>
        <v>180.25375</v>
      </c>
      <c r="Y378" s="37"/>
      <c r="Z378" s="37"/>
    </row>
    <row r="379" customFormat="false" ht="15.75" hidden="false" customHeight="true" outlineLevel="0" collapsed="false">
      <c r="A379" s="37"/>
      <c r="B379" s="37"/>
      <c r="C379" s="37"/>
      <c r="D379" s="34" t="s">
        <v>496</v>
      </c>
      <c r="E379" s="39" t="n">
        <f aca="false">IFERROR(INDEX('Data 2'!$L$2:$L$2198,MATCH(D379,'Data 2'!$A$2:$A$2198,0)), 0)</f>
        <v>80.32</v>
      </c>
      <c r="F379" s="39" t="n">
        <f aca="false">IFERROR(INDEX('Data 2'!$M$2:$M$2198,MATCH(D379,'Data 2'!$A$2:$A$2198,0)), 0)</f>
        <v>-54.7375</v>
      </c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4" t="s">
        <v>181</v>
      </c>
      <c r="W379" s="39" t="n">
        <f aca="false">IFERROR(INDEX('Data 2'!$L$2:$L$2198,MATCH(V379,'Data 2'!$A$2:$A$2198,0)), 0)</f>
        <v>76.9766666666667</v>
      </c>
      <c r="X379" s="39" t="n">
        <f aca="false">IFERROR(INDEX('Data 2'!$M$2:$M$2198,MATCH(V379,'Data 2'!$A$2:$A$2198,0)), 0)</f>
        <v>100.7175</v>
      </c>
      <c r="Y379" s="37"/>
      <c r="Z379" s="37"/>
    </row>
    <row r="380" customFormat="false" ht="15.75" hidden="false" customHeight="true" outlineLevel="0" collapsed="false">
      <c r="A380" s="37"/>
      <c r="B380" s="37"/>
      <c r="C380" s="37"/>
      <c r="D380" s="34" t="s">
        <v>497</v>
      </c>
      <c r="E380" s="39" t="n">
        <f aca="false">IFERROR(INDEX('Data 2'!$L$2:$L$2198,MATCH(D380,'Data 2'!$A$2:$A$2198,0)), 0)</f>
        <v>49.69</v>
      </c>
      <c r="F380" s="39" t="n">
        <f aca="false">IFERROR(INDEX('Data 2'!$M$2:$M$2198,MATCH(D380,'Data 2'!$A$2:$A$2198,0)), 0)</f>
        <v>-13.395</v>
      </c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4" t="s">
        <v>535</v>
      </c>
      <c r="W380" s="39" t="n">
        <f aca="false">IFERROR(INDEX('Data 2'!$L$2:$L$2198,MATCH(V380,'Data 2'!$A$2:$A$2198,0)), 0)</f>
        <v>-37.68</v>
      </c>
      <c r="X380" s="39" t="n">
        <f aca="false">IFERROR(INDEX('Data 2'!$M$2:$M$2198,MATCH(V380,'Data 2'!$A$2:$A$2198,0)), 0)</f>
        <v>28.980625</v>
      </c>
      <c r="Y380" s="37"/>
      <c r="Z380" s="37"/>
    </row>
    <row r="381" customFormat="false" ht="15.75" hidden="false" customHeight="true" outlineLevel="0" collapsed="false">
      <c r="A381" s="37"/>
      <c r="B381" s="37"/>
      <c r="C381" s="37"/>
      <c r="D381" s="34" t="s">
        <v>112</v>
      </c>
      <c r="E381" s="39" t="n">
        <f aca="false">IFERROR(INDEX('Data 2'!$L$2:$L$2198,MATCH(D381,'Data 2'!$A$2:$A$2198,0)), 0)</f>
        <v>-72.08</v>
      </c>
      <c r="F381" s="39" t="n">
        <f aca="false">IFERROR(INDEX('Data 2'!$M$2:$M$2198,MATCH(D381,'Data 2'!$A$2:$A$2198,0)), 0)</f>
        <v>-4.94125</v>
      </c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4" t="s">
        <v>536</v>
      </c>
      <c r="W381" s="39" t="n">
        <f aca="false">IFERROR(INDEX('Data 2'!$L$2:$L$2198,MATCH(V381,'Data 2'!$A$2:$A$2198,0)), 0)</f>
        <v>17.65</v>
      </c>
      <c r="X381" s="39" t="n">
        <f aca="false">IFERROR(INDEX('Data 2'!$M$2:$M$2198,MATCH(V381,'Data 2'!$A$2:$A$2198,0)), 0)</f>
        <v>-7.0975</v>
      </c>
      <c r="Y381" s="37"/>
      <c r="Z381" s="37"/>
    </row>
    <row r="382" customFormat="false" ht="15.75" hidden="false" customHeight="true" outlineLevel="0" collapsed="false">
      <c r="A382" s="37"/>
      <c r="B382" s="37"/>
      <c r="C382" s="37"/>
      <c r="D382" s="34" t="s">
        <v>196</v>
      </c>
      <c r="E382" s="39" t="n">
        <f aca="false">IFERROR(INDEX('Data 2'!$L$2:$L$2198,MATCH(D382,'Data 2'!$A$2:$A$2198,0)), 0)</f>
        <v>-119.943333333333</v>
      </c>
      <c r="F382" s="39" t="n">
        <f aca="false">IFERROR(INDEX('Data 2'!$M$2:$M$2198,MATCH(D382,'Data 2'!$A$2:$A$2198,0)), 0)</f>
        <v>-138.31375</v>
      </c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4" t="s">
        <v>50</v>
      </c>
      <c r="W382" s="39" t="n">
        <f aca="false">IFERROR(INDEX('Data 2'!$L$2:$L$2198,MATCH(V382,'Data 2'!$A$2:$A$2198,0)), 0)</f>
        <v>-130.666666666667</v>
      </c>
      <c r="X382" s="39" t="n">
        <f aca="false">IFERROR(INDEX('Data 2'!$M$2:$M$2198,MATCH(V382,'Data 2'!$A$2:$A$2198,0)), 0)</f>
        <v>-131.56</v>
      </c>
      <c r="Y382" s="37"/>
      <c r="Z382" s="37"/>
    </row>
    <row r="383" customFormat="false" ht="15.75" hidden="false" customHeight="true" outlineLevel="0" collapsed="false">
      <c r="A383" s="37"/>
      <c r="B383" s="37"/>
      <c r="C383" s="37"/>
      <c r="D383" s="34" t="s">
        <v>498</v>
      </c>
      <c r="E383" s="39" t="n">
        <f aca="false">IFERROR(INDEX('Data 2'!$L$2:$L$2198,MATCH(D383,'Data 2'!$A$2:$A$2198,0)), 0)</f>
        <v>-89.0733333333333</v>
      </c>
      <c r="F383" s="39" t="n">
        <f aca="false">IFERROR(INDEX('Data 2'!$M$2:$M$2198,MATCH(D383,'Data 2'!$A$2:$A$2198,0)), 0)</f>
        <v>-14.82875</v>
      </c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4" t="s">
        <v>537</v>
      </c>
      <c r="W383" s="39" t="n">
        <f aca="false">IFERROR(INDEX('Data 2'!$L$2:$L$2198,MATCH(V383,'Data 2'!$A$2:$A$2198,0)), 0)</f>
        <v>104.923333333333</v>
      </c>
      <c r="X383" s="39" t="n">
        <f aca="false">IFERROR(INDEX('Data 2'!$M$2:$M$2198,MATCH(V383,'Data 2'!$A$2:$A$2198,0)), 0)</f>
        <v>96.55875</v>
      </c>
      <c r="Y383" s="37"/>
      <c r="Z383" s="37"/>
    </row>
    <row r="384" customFormat="false" ht="15.75" hidden="false" customHeight="true" outlineLevel="0" collapsed="false">
      <c r="A384" s="37"/>
      <c r="B384" s="37"/>
      <c r="C384" s="37"/>
      <c r="D384" s="34" t="s">
        <v>499</v>
      </c>
      <c r="E384" s="39" t="n">
        <f aca="false">IFERROR(INDEX('Data 2'!$L$2:$L$2198,MATCH(D384,'Data 2'!$A$2:$A$2198,0)), 0)</f>
        <v>-13.3433333333333</v>
      </c>
      <c r="F384" s="39" t="n">
        <f aca="false">IFERROR(INDEX('Data 2'!$M$2:$M$2198,MATCH(D384,'Data 2'!$A$2:$A$2198,0)), 0)</f>
        <v>-23.42375</v>
      </c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4" t="s">
        <v>538</v>
      </c>
      <c r="W384" s="39" t="n">
        <f aca="false">IFERROR(INDEX('Data 2'!$L$2:$L$2198,MATCH(V384,'Data 2'!$A$2:$A$2198,0)), 0)</f>
        <v>-27.8066666666667</v>
      </c>
      <c r="X384" s="39" t="n">
        <f aca="false">IFERROR(INDEX('Data 2'!$M$2:$M$2198,MATCH(V384,'Data 2'!$A$2:$A$2198,0)), 0)</f>
        <v>-25.56375</v>
      </c>
      <c r="Y384" s="37"/>
      <c r="Z384" s="37"/>
    </row>
    <row r="385" customFormat="false" ht="15.75" hidden="false" customHeight="true" outlineLevel="0" collapsed="false">
      <c r="A385" s="37"/>
      <c r="B385" s="37"/>
      <c r="C385" s="37"/>
      <c r="D385" s="34" t="s">
        <v>340</v>
      </c>
      <c r="E385" s="39" t="n">
        <f aca="false">IFERROR(INDEX('Data 2'!$L$2:$L$2198,MATCH(D385,'Data 2'!$A$2:$A$2198,0)), 0)</f>
        <v>95.6066666666667</v>
      </c>
      <c r="F385" s="39" t="n">
        <f aca="false">IFERROR(INDEX('Data 2'!$M$2:$M$2198,MATCH(D385,'Data 2'!$A$2:$A$2198,0)), 0)</f>
        <v>123.05125</v>
      </c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4" t="s">
        <v>539</v>
      </c>
      <c r="W385" s="39" t="n">
        <f aca="false">IFERROR(INDEX('Data 2'!$L$2:$L$2198,MATCH(V385,'Data 2'!$A$2:$A$2198,0)), 0)</f>
        <v>81.8166666666667</v>
      </c>
      <c r="X385" s="39" t="n">
        <f aca="false">IFERROR(INDEX('Data 2'!$M$2:$M$2198,MATCH(V385,'Data 2'!$A$2:$A$2198,0)), 0)</f>
        <v>48.25875</v>
      </c>
      <c r="Y385" s="37"/>
      <c r="Z385" s="37"/>
    </row>
    <row r="386" customFormat="false" ht="15.75" hidden="false" customHeight="true" outlineLevel="0" collapsed="false">
      <c r="A386" s="37"/>
      <c r="B386" s="37"/>
      <c r="C386" s="37"/>
      <c r="D386" s="34" t="s">
        <v>433</v>
      </c>
      <c r="E386" s="39" t="n">
        <f aca="false">IFERROR(INDEX('Data 2'!$L$2:$L$2198,MATCH(D386,'Data 2'!$A$2:$A$2198,0)), 0)</f>
        <v>-75.43</v>
      </c>
      <c r="F386" s="39" t="n">
        <f aca="false">IFERROR(INDEX('Data 2'!$M$2:$M$2198,MATCH(D386,'Data 2'!$A$2:$A$2198,0)), 0)</f>
        <v>-107.055</v>
      </c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4" t="s">
        <v>540</v>
      </c>
      <c r="W386" s="39" t="n">
        <f aca="false">IFERROR(INDEX('Data 2'!$L$2:$L$2198,MATCH(V386,'Data 2'!$A$2:$A$2198,0)), 0)</f>
        <v>-76.24</v>
      </c>
      <c r="X386" s="39" t="n">
        <f aca="false">IFERROR(INDEX('Data 2'!$M$2:$M$2198,MATCH(V386,'Data 2'!$A$2:$A$2198,0)), 0)</f>
        <v>-61.29875</v>
      </c>
      <c r="Y386" s="37"/>
      <c r="Z386" s="37"/>
    </row>
    <row r="387" customFormat="false" ht="15.75" hidden="false" customHeight="true" outlineLevel="0" collapsed="false">
      <c r="A387" s="37"/>
      <c r="B387" s="37"/>
      <c r="C387" s="37"/>
      <c r="D387" s="34" t="s">
        <v>500</v>
      </c>
      <c r="E387" s="39" t="n">
        <f aca="false">IFERROR(INDEX('Data 2'!$L$2:$L$2198,MATCH(D387,'Data 2'!$A$2:$A$2198,0)), 0)</f>
        <v>-28.63</v>
      </c>
      <c r="F387" s="39" t="n">
        <f aca="false">IFERROR(INDEX('Data 2'!$M$2:$M$2198,MATCH(D387,'Data 2'!$A$2:$A$2198,0)), 0)</f>
        <v>-39.88625</v>
      </c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4" t="s">
        <v>541</v>
      </c>
      <c r="W387" s="39" t="n">
        <f aca="false">IFERROR(INDEX('Data 2'!$L$2:$L$2198,MATCH(V387,'Data 2'!$A$2:$A$2198,0)), 0)</f>
        <v>-48.1966666666667</v>
      </c>
      <c r="X387" s="39" t="n">
        <f aca="false">IFERROR(INDEX('Data 2'!$M$2:$M$2198,MATCH(V387,'Data 2'!$A$2:$A$2198,0)), 0)</f>
        <v>-76.1875</v>
      </c>
      <c r="Y387" s="37"/>
      <c r="Z387" s="37"/>
    </row>
    <row r="388" customFormat="false" ht="15.75" hidden="false" customHeight="true" outlineLevel="0" collapsed="false">
      <c r="A388" s="37"/>
      <c r="B388" s="37"/>
      <c r="C388" s="37"/>
      <c r="D388" s="34" t="s">
        <v>501</v>
      </c>
      <c r="E388" s="39" t="n">
        <f aca="false">IFERROR(INDEX('Data 2'!$L$2:$L$2198,MATCH(D388,'Data 2'!$A$2:$A$2198,0)), 0)</f>
        <v>0.48333333333333</v>
      </c>
      <c r="F388" s="39" t="n">
        <f aca="false">IFERROR(INDEX('Data 2'!$M$2:$M$2198,MATCH(D388,'Data 2'!$A$2:$A$2198,0)), 0)</f>
        <v>71.32125</v>
      </c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4" t="s">
        <v>542</v>
      </c>
      <c r="W388" s="39" t="n">
        <f aca="false">IFERROR(INDEX('Data 2'!$L$2:$L$2198,MATCH(V388,'Data 2'!$A$2:$A$2198,0)), 0)</f>
        <v>18.4533333333333</v>
      </c>
      <c r="X388" s="39" t="n">
        <f aca="false">IFERROR(INDEX('Data 2'!$M$2:$M$2198,MATCH(V388,'Data 2'!$A$2:$A$2198,0)), 0)</f>
        <v>36.31125</v>
      </c>
      <c r="Y388" s="37"/>
      <c r="Z388" s="37"/>
    </row>
    <row r="389" customFormat="false" ht="15.75" hidden="false" customHeight="true" outlineLevel="0" collapsed="false">
      <c r="A389" s="37"/>
      <c r="B389" s="37"/>
      <c r="C389" s="37"/>
      <c r="D389" s="34" t="s">
        <v>502</v>
      </c>
      <c r="E389" s="39" t="n">
        <f aca="false">IFERROR(INDEX('Data 2'!$L$2:$L$2198,MATCH(D389,'Data 2'!$A$2:$A$2198,0)), 0)</f>
        <v>32.6466666666667</v>
      </c>
      <c r="F389" s="39" t="n">
        <f aca="false">IFERROR(INDEX('Data 2'!$M$2:$M$2198,MATCH(D389,'Data 2'!$A$2:$A$2198,0)), 0)</f>
        <v>-9.45</v>
      </c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4" t="s">
        <v>543</v>
      </c>
      <c r="W389" s="39" t="n">
        <f aca="false">IFERROR(INDEX('Data 2'!$L$2:$L$2198,MATCH(V389,'Data 2'!$A$2:$A$2198,0)), 0)</f>
        <v>18.6466666666667</v>
      </c>
      <c r="X389" s="39" t="n">
        <f aca="false">IFERROR(INDEX('Data 2'!$M$2:$M$2198,MATCH(V389,'Data 2'!$A$2:$A$2198,0)), 0)</f>
        <v>-2.77125</v>
      </c>
      <c r="Y389" s="37"/>
      <c r="Z389" s="37"/>
    </row>
    <row r="390" customFormat="false" ht="15.75" hidden="false" customHeight="true" outlineLevel="0" collapsed="false">
      <c r="A390" s="37"/>
      <c r="B390" s="37"/>
      <c r="C390" s="37"/>
      <c r="D390" s="34" t="s">
        <v>342</v>
      </c>
      <c r="E390" s="39" t="n">
        <f aca="false">IFERROR(INDEX('Data 2'!$L$2:$L$2198,MATCH(D390,'Data 2'!$A$2:$A$2198,0)), 0)</f>
        <v>-88.5633333333333</v>
      </c>
      <c r="F390" s="39" t="n">
        <f aca="false">IFERROR(INDEX('Data 2'!$M$2:$M$2198,MATCH(D390,'Data 2'!$A$2:$A$2198,0)), 0)</f>
        <v>-94.3</v>
      </c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4" t="s">
        <v>544</v>
      </c>
      <c r="W390" s="39" t="n">
        <f aca="false">IFERROR(INDEX('Data 2'!$L$2:$L$2198,MATCH(V390,'Data 2'!$A$2:$A$2198,0)), 0)</f>
        <v>-100.04</v>
      </c>
      <c r="X390" s="39" t="n">
        <f aca="false">IFERROR(INDEX('Data 2'!$M$2:$M$2198,MATCH(V390,'Data 2'!$A$2:$A$2198,0)), 0)</f>
        <v>-40.48375</v>
      </c>
      <c r="Y390" s="37"/>
      <c r="Z390" s="37"/>
    </row>
    <row r="391" customFormat="false" ht="15.75" hidden="false" customHeight="true" outlineLevel="0" collapsed="false">
      <c r="A391" s="37"/>
      <c r="B391" s="37"/>
      <c r="C391" s="37"/>
      <c r="D391" s="34" t="s">
        <v>503</v>
      </c>
      <c r="E391" s="39" t="n">
        <f aca="false">IFERROR(INDEX('Data 2'!$L$2:$L$2198,MATCH(D391,'Data 2'!$A$2:$A$2198,0)), 0)</f>
        <v>91.32</v>
      </c>
      <c r="F391" s="39" t="n">
        <f aca="false">IFERROR(INDEX('Data 2'!$M$2:$M$2198,MATCH(D391,'Data 2'!$A$2:$A$2198,0)), 0)</f>
        <v>88.76375</v>
      </c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4" t="s">
        <v>545</v>
      </c>
      <c r="W391" s="39" t="n">
        <f aca="false">IFERROR(INDEX('Data 2'!$L$2:$L$2198,MATCH(V391,'Data 2'!$A$2:$A$2198,0)), 0)</f>
        <v>-51.9333333333333</v>
      </c>
      <c r="X391" s="39" t="n">
        <f aca="false">IFERROR(INDEX('Data 2'!$M$2:$M$2198,MATCH(V391,'Data 2'!$A$2:$A$2198,0)), 0)</f>
        <v>-66.32625</v>
      </c>
      <c r="Y391" s="37"/>
      <c r="Z391" s="37"/>
    </row>
    <row r="392" customFormat="false" ht="15.75" hidden="false" customHeight="true" outlineLevel="0" collapsed="false">
      <c r="A392" s="37"/>
      <c r="B392" s="37"/>
      <c r="C392" s="37"/>
      <c r="D392" s="34" t="s">
        <v>504</v>
      </c>
      <c r="E392" s="39" t="n">
        <f aca="false">IFERROR(INDEX('Data 2'!$L$2:$L$2198,MATCH(D392,'Data 2'!$A$2:$A$2198,0)), 0)</f>
        <v>4.76666666666667</v>
      </c>
      <c r="F392" s="39" t="n">
        <f aca="false">IFERROR(INDEX('Data 2'!$M$2:$M$2198,MATCH(D392,'Data 2'!$A$2:$A$2198,0)), 0)</f>
        <v>-72.3975</v>
      </c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4" t="s">
        <v>353</v>
      </c>
      <c r="W392" s="39" t="n">
        <f aca="false">IFERROR(INDEX('Data 2'!$L$2:$L$2198,MATCH(V392,'Data 2'!$A$2:$A$2198,0)), 0)</f>
        <v>0</v>
      </c>
      <c r="X392" s="39" t="n">
        <f aca="false">IFERROR(INDEX('Data 2'!$M$2:$M$2198,MATCH(V392,'Data 2'!$A$2:$A$2198,0)), 0)</f>
        <v>0</v>
      </c>
      <c r="Y392" s="37"/>
      <c r="Z392" s="37"/>
    </row>
    <row r="393" customFormat="false" ht="15.75" hidden="false" customHeight="true" outlineLevel="0" collapsed="false">
      <c r="A393" s="37"/>
      <c r="B393" s="37"/>
      <c r="C393" s="37"/>
      <c r="D393" s="34" t="s">
        <v>505</v>
      </c>
      <c r="E393" s="39" t="n">
        <f aca="false">IFERROR(INDEX('Data 2'!$L$2:$L$2198,MATCH(D393,'Data 2'!$A$2:$A$2198,0)), 0)</f>
        <v>-41.03</v>
      </c>
      <c r="F393" s="39" t="n">
        <f aca="false">IFERROR(INDEX('Data 2'!$M$2:$M$2198,MATCH(D393,'Data 2'!$A$2:$A$2198,0)), 0)</f>
        <v>-25.5475</v>
      </c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4" t="s">
        <v>56</v>
      </c>
      <c r="W393" s="39" t="n">
        <f aca="false">IFERROR(INDEX('Data 2'!$L$2:$L$2198,MATCH(V393,'Data 2'!$A$2:$A$2198,0)), 0)</f>
        <v>29.0366666666667</v>
      </c>
      <c r="X393" s="39" t="n">
        <f aca="false">IFERROR(INDEX('Data 2'!$M$2:$M$2198,MATCH(V393,'Data 2'!$A$2:$A$2198,0)), 0)</f>
        <v>50.28375</v>
      </c>
      <c r="Y393" s="37"/>
      <c r="Z393" s="37"/>
    </row>
    <row r="394" customFormat="false" ht="15.75" hidden="false" customHeight="true" outlineLevel="0" collapsed="false">
      <c r="A394" s="37"/>
      <c r="B394" s="37"/>
      <c r="C394" s="37"/>
      <c r="D394" s="34" t="s">
        <v>506</v>
      </c>
      <c r="E394" s="39" t="n">
        <f aca="false">IFERROR(INDEX('Data 2'!$L$2:$L$2198,MATCH(D394,'Data 2'!$A$2:$A$2198,0)), 0)</f>
        <v>-62.9866666666667</v>
      </c>
      <c r="F394" s="39" t="n">
        <f aca="false">IFERROR(INDEX('Data 2'!$M$2:$M$2198,MATCH(D394,'Data 2'!$A$2:$A$2198,0)), 0)</f>
        <v>-28.5475</v>
      </c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4" t="s">
        <v>546</v>
      </c>
      <c r="W394" s="39" t="n">
        <f aca="false">IFERROR(INDEX('Data 2'!$L$2:$L$2198,MATCH(V394,'Data 2'!$A$2:$A$2198,0)), 0)</f>
        <v>86.2933333333333</v>
      </c>
      <c r="X394" s="39" t="n">
        <f aca="false">IFERROR(INDEX('Data 2'!$M$2:$M$2198,MATCH(V394,'Data 2'!$A$2:$A$2198,0)), 0)</f>
        <v>36.5</v>
      </c>
      <c r="Y394" s="37"/>
      <c r="Z394" s="37"/>
    </row>
    <row r="395" customFormat="false" ht="15.75" hidden="false" customHeight="true" outlineLevel="0" collapsed="false">
      <c r="A395" s="37"/>
      <c r="B395" s="37"/>
      <c r="C395" s="37"/>
      <c r="D395" s="34" t="s">
        <v>345</v>
      </c>
      <c r="E395" s="39" t="n">
        <f aca="false">IFERROR(INDEX('Data 2'!$L$2:$L$2198,MATCH(D395,'Data 2'!$A$2:$A$2198,0)), 0)</f>
        <v>-51.8233333333333</v>
      </c>
      <c r="F395" s="39" t="n">
        <f aca="false">IFERROR(INDEX('Data 2'!$M$2:$M$2198,MATCH(D395,'Data 2'!$A$2:$A$2198,0)), 0)</f>
        <v>-63.8825</v>
      </c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4" t="s">
        <v>547</v>
      </c>
      <c r="W395" s="39" t="n">
        <f aca="false">IFERROR(INDEX('Data 2'!$L$2:$L$2198,MATCH(V395,'Data 2'!$A$2:$A$2198,0)), 0)</f>
        <v>-38.98</v>
      </c>
      <c r="X395" s="39" t="n">
        <f aca="false">IFERROR(INDEX('Data 2'!$M$2:$M$2198,MATCH(V395,'Data 2'!$A$2:$A$2198,0)), 0)</f>
        <v>-78.89625</v>
      </c>
      <c r="Y395" s="37"/>
      <c r="Z395" s="37"/>
    </row>
    <row r="396" customFormat="false" ht="15.75" hidden="false" customHeight="true" outlineLevel="0" collapsed="false">
      <c r="A396" s="37"/>
      <c r="B396" s="37"/>
      <c r="C396" s="37"/>
      <c r="D396" s="34" t="s">
        <v>162</v>
      </c>
      <c r="E396" s="39" t="n">
        <f aca="false">IFERROR(INDEX('Data 2'!$L$2:$L$2198,MATCH(D396,'Data 2'!$A$2:$A$2198,0)), 0)</f>
        <v>-11.3766666666667</v>
      </c>
      <c r="F396" s="39" t="n">
        <f aca="false">IFERROR(INDEX('Data 2'!$M$2:$M$2198,MATCH(D396,'Data 2'!$A$2:$A$2198,0)), 0)</f>
        <v>-4.32375</v>
      </c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4" t="s">
        <v>548</v>
      </c>
      <c r="W396" s="39" t="n">
        <f aca="false">IFERROR(INDEX('Data 2'!$L$2:$L$2198,MATCH(V396,'Data 2'!$A$2:$A$2198,0)), 0)</f>
        <v>12.2866666666667</v>
      </c>
      <c r="X396" s="39" t="n">
        <f aca="false">IFERROR(INDEX('Data 2'!$M$2:$M$2198,MATCH(V396,'Data 2'!$A$2:$A$2198,0)), 0)</f>
        <v>-15.75375</v>
      </c>
      <c r="Y396" s="37"/>
      <c r="Z396" s="37"/>
    </row>
    <row r="397" customFormat="false" ht="15.75" hidden="false" customHeight="true" outlineLevel="0" collapsed="false">
      <c r="A397" s="37"/>
      <c r="B397" s="37"/>
      <c r="C397" s="37"/>
      <c r="D397" s="34" t="s">
        <v>507</v>
      </c>
      <c r="E397" s="39" t="n">
        <f aca="false">IFERROR(INDEX('Data 2'!$L$2:$L$2198,MATCH(D397,'Data 2'!$A$2:$A$2198,0)), 0)</f>
        <v>-60.0266666666667</v>
      </c>
      <c r="F397" s="39" t="n">
        <f aca="false">IFERROR(INDEX('Data 2'!$M$2:$M$2198,MATCH(D397,'Data 2'!$A$2:$A$2198,0)), 0)</f>
        <v>-92.30875</v>
      </c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4" t="s">
        <v>549</v>
      </c>
      <c r="W397" s="39" t="n">
        <f aca="false">IFERROR(INDEX('Data 2'!$L$2:$L$2198,MATCH(V397,'Data 2'!$A$2:$A$2198,0)), 0)</f>
        <v>4.34666666666667</v>
      </c>
      <c r="X397" s="39" t="n">
        <f aca="false">IFERROR(INDEX('Data 2'!$M$2:$M$2198,MATCH(V397,'Data 2'!$A$2:$A$2198,0)), 0)</f>
        <v>-2.74625</v>
      </c>
      <c r="Y397" s="37"/>
      <c r="Z397" s="37"/>
    </row>
    <row r="398" customFormat="false" ht="15.75" hidden="false" customHeight="true" outlineLevel="0" collapsed="false">
      <c r="A398" s="37"/>
      <c r="B398" s="37"/>
      <c r="C398" s="37"/>
      <c r="D398" s="34" t="s">
        <v>508</v>
      </c>
      <c r="E398" s="39" t="n">
        <f aca="false">IFERROR(INDEX('Data 2'!$L$2:$L$2198,MATCH(D398,'Data 2'!$A$2:$A$2198,0)), 0)</f>
        <v>84.8066666666667</v>
      </c>
      <c r="F398" s="39" t="n">
        <f aca="false">IFERROR(INDEX('Data 2'!$M$2:$M$2198,MATCH(D398,'Data 2'!$A$2:$A$2198,0)), 0)</f>
        <v>78.8675</v>
      </c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4" t="s">
        <v>234</v>
      </c>
      <c r="W398" s="39" t="n">
        <f aca="false">IFERROR(INDEX('Data 2'!$L$2:$L$2198,MATCH(V398,'Data 2'!$A$2:$A$2198,0)), 0)</f>
        <v>-7.70666666666667</v>
      </c>
      <c r="X398" s="39" t="n">
        <f aca="false">IFERROR(INDEX('Data 2'!$M$2:$M$2198,MATCH(V398,'Data 2'!$A$2:$A$2198,0)), 0)</f>
        <v>-11.97375</v>
      </c>
      <c r="Y398" s="37"/>
      <c r="Z398" s="37"/>
    </row>
    <row r="399" customFormat="false" ht="15.75" hidden="false" customHeight="true" outlineLevel="0" collapsed="false">
      <c r="A399" s="37"/>
      <c r="B399" s="37"/>
      <c r="C399" s="37"/>
      <c r="D399" s="34" t="s">
        <v>163</v>
      </c>
      <c r="E399" s="39" t="n">
        <f aca="false">IFERROR(INDEX('Data 2'!$L$2:$L$2198,MATCH(D399,'Data 2'!$A$2:$A$2198,0)), 0)</f>
        <v>77.0066666666667</v>
      </c>
      <c r="F399" s="39" t="n">
        <f aca="false">IFERROR(INDEX('Data 2'!$M$2:$M$2198,MATCH(D399,'Data 2'!$A$2:$A$2198,0)), 0)</f>
        <v>-19.0025</v>
      </c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4" t="s">
        <v>473</v>
      </c>
      <c r="W399" s="39" t="n">
        <f aca="false">IFERROR(INDEX('Data 2'!$L$2:$L$2198,MATCH(V399,'Data 2'!$A$2:$A$2198,0)), 0)</f>
        <v>16.5233333333333</v>
      </c>
      <c r="X399" s="39" t="n">
        <f aca="false">IFERROR(INDEX('Data 2'!$M$2:$M$2198,MATCH(V399,'Data 2'!$A$2:$A$2198,0)), 0)</f>
        <v>137.69625</v>
      </c>
      <c r="Y399" s="37"/>
      <c r="Z399" s="37"/>
    </row>
    <row r="400" customFormat="false" ht="15.75" hidden="false" customHeight="true" outlineLevel="0" collapsed="false">
      <c r="A400" s="37"/>
      <c r="B400" s="37"/>
      <c r="C400" s="37"/>
      <c r="D400" s="34" t="s">
        <v>204</v>
      </c>
      <c r="E400" s="39" t="n">
        <f aca="false">IFERROR(INDEX('Data 2'!$L$2:$L$2198,MATCH(D400,'Data 2'!$A$2:$A$2198,0)), 0)</f>
        <v>-18.29</v>
      </c>
      <c r="F400" s="39" t="n">
        <f aca="false">IFERROR(INDEX('Data 2'!$M$2:$M$2198,MATCH(D400,'Data 2'!$A$2:$A$2198,0)), 0)</f>
        <v>49.62125</v>
      </c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4" t="s">
        <v>179</v>
      </c>
      <c r="W400" s="39" t="n">
        <f aca="false">IFERROR(INDEX('Data 2'!$L$2:$L$2198,MATCH(V400,'Data 2'!$A$2:$A$2198,0)), 0)</f>
        <v>126.683333333333</v>
      </c>
      <c r="X400" s="39" t="n">
        <f aca="false">IFERROR(INDEX('Data 2'!$M$2:$M$2198,MATCH(V400,'Data 2'!$A$2:$A$2198,0)), 0)</f>
        <v>35.9875</v>
      </c>
      <c r="Y400" s="37"/>
      <c r="Z400" s="37"/>
    </row>
    <row r="401" customFormat="false" ht="15.75" hidden="false" customHeight="true" outlineLevel="0" collapsed="false">
      <c r="A401" s="37"/>
      <c r="B401" s="37"/>
      <c r="C401" s="37"/>
      <c r="D401" s="34" t="s">
        <v>220</v>
      </c>
      <c r="E401" s="39" t="n">
        <f aca="false">IFERROR(INDEX('Data 2'!$L$2:$L$2198,MATCH(D401,'Data 2'!$A$2:$A$2198,0)), 0)</f>
        <v>94.6966666666667</v>
      </c>
      <c r="F401" s="39" t="n">
        <f aca="false">IFERROR(INDEX('Data 2'!$M$2:$M$2198,MATCH(D401,'Data 2'!$A$2:$A$2198,0)), 0)</f>
        <v>72.03125</v>
      </c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4" t="s">
        <v>357</v>
      </c>
      <c r="W401" s="39" t="n">
        <f aca="false">IFERROR(INDEX('Data 2'!$L$2:$L$2198,MATCH(V401,'Data 2'!$A$2:$A$2198,0)), 0)</f>
        <v>-64.33</v>
      </c>
      <c r="X401" s="39" t="n">
        <f aca="false">IFERROR(INDEX('Data 2'!$M$2:$M$2198,MATCH(V401,'Data 2'!$A$2:$A$2198,0)), 0)</f>
        <v>-39.66</v>
      </c>
      <c r="Y401" s="37"/>
      <c r="Z401" s="37"/>
    </row>
    <row r="402" customFormat="false" ht="15.75" hidden="false" customHeight="true" outlineLevel="0" collapsed="false">
      <c r="A402" s="37"/>
      <c r="B402" s="37"/>
      <c r="C402" s="37"/>
      <c r="D402" s="34" t="s">
        <v>437</v>
      </c>
      <c r="E402" s="39" t="n">
        <f aca="false">IFERROR(INDEX('Data 2'!$L$2:$L$2198,MATCH(D402,'Data 2'!$A$2:$A$2198,0)), 0)</f>
        <v>16.36</v>
      </c>
      <c r="F402" s="39" t="n">
        <f aca="false">IFERROR(INDEX('Data 2'!$M$2:$M$2198,MATCH(D402,'Data 2'!$A$2:$A$2198,0)), 0)</f>
        <v>-12.60875</v>
      </c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4" t="s">
        <v>551</v>
      </c>
      <c r="W402" s="39" t="n">
        <f aca="false">IFERROR(INDEX('Data 2'!$L$2:$L$2198,MATCH(V402,'Data 2'!$A$2:$A$2198,0)), 0)</f>
        <v>-110.496666666667</v>
      </c>
      <c r="X402" s="39" t="n">
        <f aca="false">IFERROR(INDEX('Data 2'!$M$2:$M$2198,MATCH(V402,'Data 2'!$A$2:$A$2198,0)), 0)</f>
        <v>13.95375</v>
      </c>
      <c r="Y402" s="37"/>
      <c r="Z402" s="37"/>
    </row>
    <row r="403" customFormat="false" ht="15.75" hidden="false" customHeight="true" outlineLevel="0" collapsed="false">
      <c r="A403" s="37"/>
      <c r="B403" s="37"/>
      <c r="C403" s="37"/>
      <c r="D403" s="34" t="s">
        <v>203</v>
      </c>
      <c r="E403" s="39" t="n">
        <f aca="false">IFERROR(INDEX('Data 2'!$L$2:$L$2198,MATCH(D403,'Data 2'!$A$2:$A$2198,0)), 0)</f>
        <v>17.7566666666667</v>
      </c>
      <c r="F403" s="39" t="n">
        <f aca="false">IFERROR(INDEX('Data 2'!$M$2:$M$2198,MATCH(D403,'Data 2'!$A$2:$A$2198,0)), 0)</f>
        <v>-35.11125</v>
      </c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7"/>
      <c r="Z403" s="37"/>
    </row>
    <row r="404" customFormat="false" ht="15.75" hidden="false" customHeight="true" outlineLevel="0" collapsed="false">
      <c r="A404" s="37"/>
      <c r="B404" s="37"/>
      <c r="C404" s="37"/>
      <c r="D404" s="34" t="s">
        <v>509</v>
      </c>
      <c r="E404" s="39" t="n">
        <f aca="false">IFERROR(INDEX('Data 2'!$L$2:$L$2198,MATCH(D404,'Data 2'!$A$2:$A$2198,0)), 0)</f>
        <v>-9.76666666666667</v>
      </c>
      <c r="F404" s="39" t="n">
        <f aca="false">IFERROR(INDEX('Data 2'!$M$2:$M$2198,MATCH(D404,'Data 2'!$A$2:$A$2198,0)), 0)</f>
        <v>-28.67375</v>
      </c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7"/>
      <c r="Z404" s="37"/>
    </row>
    <row r="405" customFormat="false" ht="15.75" hidden="false" customHeight="true" outlineLevel="0" collapsed="false">
      <c r="A405" s="37"/>
      <c r="B405" s="37"/>
      <c r="C405" s="37"/>
      <c r="D405" s="34" t="s">
        <v>68</v>
      </c>
      <c r="E405" s="39" t="n">
        <f aca="false">IFERROR(INDEX('Data 2'!$L$2:$L$2198,MATCH(D405,'Data 2'!$A$2:$A$2198,0)), 0)</f>
        <v>-51.6833333333333</v>
      </c>
      <c r="F405" s="39" t="n">
        <f aca="false">IFERROR(INDEX('Data 2'!$M$2:$M$2198,MATCH(D405,'Data 2'!$A$2:$A$2198,0)), 0)</f>
        <v>-34.6575</v>
      </c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7"/>
      <c r="Z405" s="37"/>
    </row>
    <row r="406" customFormat="false" ht="15.75" hidden="false" customHeight="true" outlineLevel="0" collapsed="false">
      <c r="A406" s="37"/>
      <c r="B406" s="37"/>
      <c r="C406" s="37"/>
      <c r="D406" s="34" t="s">
        <v>510</v>
      </c>
      <c r="E406" s="39" t="n">
        <f aca="false">IFERROR(INDEX('Data 2'!$L$2:$L$2198,MATCH(D406,'Data 2'!$A$2:$A$2198,0)), 0)</f>
        <v>32.1466666666667</v>
      </c>
      <c r="F406" s="39" t="n">
        <f aca="false">IFERROR(INDEX('Data 2'!$M$2:$M$2198,MATCH(D406,'Data 2'!$A$2:$A$2198,0)), 0)</f>
        <v>-66.8475</v>
      </c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7"/>
      <c r="Z406" s="37"/>
    </row>
    <row r="407" customFormat="false" ht="15.75" hidden="false" customHeight="true" outlineLevel="0" collapsed="false">
      <c r="A407" s="37"/>
      <c r="B407" s="37"/>
      <c r="C407" s="37"/>
      <c r="D407" s="34" t="s">
        <v>511</v>
      </c>
      <c r="E407" s="39" t="n">
        <f aca="false">IFERROR(INDEX('Data 2'!$L$2:$L$2198,MATCH(D407,'Data 2'!$A$2:$A$2198,0)), 0)</f>
        <v>24.9133333333333</v>
      </c>
      <c r="F407" s="39" t="n">
        <f aca="false">IFERROR(INDEX('Data 2'!$M$2:$M$2198,MATCH(D407,'Data 2'!$A$2:$A$2198,0)), 0)</f>
        <v>33.0525</v>
      </c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7"/>
      <c r="Z407" s="37"/>
    </row>
    <row r="408" customFormat="false" ht="15.75" hidden="false" customHeight="true" outlineLevel="0" collapsed="false">
      <c r="A408" s="37"/>
      <c r="B408" s="37"/>
      <c r="C408" s="37"/>
      <c r="D408" s="34" t="s">
        <v>512</v>
      </c>
      <c r="E408" s="39" t="n">
        <f aca="false">IFERROR(INDEX('Data 2'!$L$2:$L$2198,MATCH(D408,'Data 2'!$A$2:$A$2198,0)), 0)</f>
        <v>98.17</v>
      </c>
      <c r="F408" s="39" t="n">
        <f aca="false">IFERROR(INDEX('Data 2'!$M$2:$M$2198,MATCH(D408,'Data 2'!$A$2:$A$2198,0)), 0)</f>
        <v>12.10125</v>
      </c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7"/>
      <c r="Z408" s="37"/>
    </row>
    <row r="409" customFormat="false" ht="15.75" hidden="false" customHeight="true" outlineLevel="0" collapsed="false">
      <c r="A409" s="37"/>
      <c r="B409" s="37"/>
      <c r="C409" s="37"/>
      <c r="D409" s="34" t="s">
        <v>438</v>
      </c>
      <c r="E409" s="39" t="n">
        <f aca="false">IFERROR(INDEX('Data 2'!$L$2:$L$2198,MATCH(D409,'Data 2'!$A$2:$A$2198,0)), 0)</f>
        <v>-2.72</v>
      </c>
      <c r="F409" s="39" t="n">
        <f aca="false">IFERROR(INDEX('Data 2'!$M$2:$M$2198,MATCH(D409,'Data 2'!$A$2:$A$2198,0)), 0)</f>
        <v>-6.77375</v>
      </c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7"/>
      <c r="Z409" s="37"/>
    </row>
    <row r="410" customFormat="false" ht="15.75" hidden="false" customHeight="true" outlineLevel="0" collapsed="false">
      <c r="A410" s="37"/>
      <c r="B410" s="37"/>
      <c r="C410" s="37"/>
      <c r="D410" s="34" t="s">
        <v>513</v>
      </c>
      <c r="E410" s="39" t="n">
        <f aca="false">IFERROR(INDEX('Data 2'!$L$2:$L$2198,MATCH(D410,'Data 2'!$A$2:$A$2198,0)), 0)</f>
        <v>52.62</v>
      </c>
      <c r="F410" s="39" t="n">
        <f aca="false">IFERROR(INDEX('Data 2'!$M$2:$M$2198,MATCH(D410,'Data 2'!$A$2:$A$2198,0)), 0)</f>
        <v>39.85375</v>
      </c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7"/>
      <c r="Z410" s="37"/>
    </row>
    <row r="411" customFormat="false" ht="15.75" hidden="false" customHeight="true" outlineLevel="0" collapsed="false">
      <c r="A411" s="37"/>
      <c r="B411" s="37"/>
      <c r="C411" s="37"/>
      <c r="D411" s="34" t="s">
        <v>514</v>
      </c>
      <c r="E411" s="39" t="n">
        <f aca="false">IFERROR(INDEX('Data 2'!$L$2:$L$2198,MATCH(D411,'Data 2'!$A$2:$A$2198,0)), 0)</f>
        <v>83.5033333333333</v>
      </c>
      <c r="F411" s="39" t="n">
        <f aca="false">IFERROR(INDEX('Data 2'!$M$2:$M$2198,MATCH(D411,'Data 2'!$A$2:$A$2198,0)), 0)</f>
        <v>58.2325</v>
      </c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7"/>
      <c r="Z411" s="37"/>
    </row>
    <row r="412" customFormat="false" ht="15.75" hidden="false" customHeight="true" outlineLevel="0" collapsed="false">
      <c r="A412" s="37"/>
      <c r="B412" s="37"/>
      <c r="C412" s="37"/>
      <c r="D412" s="34" t="s">
        <v>171</v>
      </c>
      <c r="E412" s="39" t="n">
        <f aca="false">IFERROR(INDEX('Data 2'!$L$2:$L$2198,MATCH(D412,'Data 2'!$A$2:$A$2198,0)), 0)</f>
        <v>-101.27</v>
      </c>
      <c r="F412" s="39" t="n">
        <f aca="false">IFERROR(INDEX('Data 2'!$M$2:$M$2198,MATCH(D412,'Data 2'!$A$2:$A$2198,0)), 0)</f>
        <v>-52.91125</v>
      </c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7"/>
      <c r="Z412" s="37"/>
    </row>
    <row r="413" customFormat="false" ht="15.75" hidden="false" customHeight="true" outlineLevel="0" collapsed="false">
      <c r="A413" s="37"/>
      <c r="B413" s="37"/>
      <c r="C413" s="37"/>
      <c r="D413" s="34" t="s">
        <v>515</v>
      </c>
      <c r="E413" s="39" t="n">
        <f aca="false">IFERROR(INDEX('Data 2'!$L$2:$L$2198,MATCH(D413,'Data 2'!$A$2:$A$2198,0)), 0)</f>
        <v>-31.2733333333333</v>
      </c>
      <c r="F413" s="39" t="n">
        <f aca="false">IFERROR(INDEX('Data 2'!$M$2:$M$2198,MATCH(D413,'Data 2'!$A$2:$A$2198,0)), 0)</f>
        <v>-57.23375</v>
      </c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7"/>
      <c r="Z413" s="37"/>
    </row>
    <row r="414" customFormat="false" ht="15.75" hidden="false" customHeight="true" outlineLevel="0" collapsed="false">
      <c r="A414" s="37"/>
      <c r="B414" s="37"/>
      <c r="C414" s="37"/>
      <c r="D414" s="34" t="s">
        <v>70</v>
      </c>
      <c r="E414" s="39" t="n">
        <f aca="false">IFERROR(INDEX('Data 2'!$L$2:$L$2198,MATCH(D414,'Data 2'!$A$2:$A$2198,0)), 0)</f>
        <v>-62.53</v>
      </c>
      <c r="F414" s="39" t="n">
        <f aca="false">IFERROR(INDEX('Data 2'!$M$2:$M$2198,MATCH(D414,'Data 2'!$A$2:$A$2198,0)), 0)</f>
        <v>-74.62125</v>
      </c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7"/>
      <c r="Z414" s="37"/>
    </row>
    <row r="415" customFormat="false" ht="15.75" hidden="false" customHeight="true" outlineLevel="0" collapsed="false">
      <c r="A415" s="37"/>
      <c r="B415" s="37"/>
      <c r="C415" s="37"/>
      <c r="D415" s="34" t="s">
        <v>516</v>
      </c>
      <c r="E415" s="39" t="n">
        <f aca="false">IFERROR(INDEX('Data 2'!$L$2:$L$2198,MATCH(D415,'Data 2'!$A$2:$A$2198,0)), 0)</f>
        <v>-103.306666666667</v>
      </c>
      <c r="F415" s="39" t="n">
        <f aca="false">IFERROR(INDEX('Data 2'!$M$2:$M$2198,MATCH(D415,'Data 2'!$A$2:$A$2198,0)), 0)</f>
        <v>4.01125000000001</v>
      </c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7"/>
      <c r="Z415" s="37"/>
    </row>
    <row r="416" customFormat="false" ht="15.75" hidden="false" customHeight="true" outlineLevel="0" collapsed="false">
      <c r="A416" s="37"/>
      <c r="B416" s="37"/>
      <c r="C416" s="37"/>
      <c r="D416" s="34" t="s">
        <v>101</v>
      </c>
      <c r="E416" s="39" t="n">
        <f aca="false">IFERROR(INDEX('Data 2'!$L$2:$L$2198,MATCH(D416,'Data 2'!$A$2:$A$2198,0)), 0)</f>
        <v>33.6566666666667</v>
      </c>
      <c r="F416" s="39" t="n">
        <f aca="false">IFERROR(INDEX('Data 2'!$M$2:$M$2198,MATCH(D416,'Data 2'!$A$2:$A$2198,0)), 0)</f>
        <v>42.42875</v>
      </c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7"/>
      <c r="Z416" s="37"/>
    </row>
    <row r="417" customFormat="false" ht="15.75" hidden="false" customHeight="true" outlineLevel="0" collapsed="false">
      <c r="A417" s="37"/>
      <c r="B417" s="37"/>
      <c r="C417" s="37"/>
      <c r="D417" s="34" t="s">
        <v>517</v>
      </c>
      <c r="E417" s="39" t="n">
        <f aca="false">IFERROR(INDEX('Data 2'!$L$2:$L$2198,MATCH(D417,'Data 2'!$A$2:$A$2198,0)), 0)</f>
        <v>22.1133333333333</v>
      </c>
      <c r="F417" s="39" t="n">
        <f aca="false">IFERROR(INDEX('Data 2'!$M$2:$M$2198,MATCH(D417,'Data 2'!$A$2:$A$2198,0)), 0)</f>
        <v>-37.34</v>
      </c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7"/>
      <c r="Z417" s="37"/>
    </row>
    <row r="418" customFormat="false" ht="15.75" hidden="false" customHeight="true" outlineLevel="0" collapsed="false">
      <c r="A418" s="37"/>
      <c r="B418" s="37"/>
      <c r="C418" s="37"/>
      <c r="D418" s="34" t="s">
        <v>518</v>
      </c>
      <c r="E418" s="39" t="n">
        <f aca="false">IFERROR(INDEX('Data 2'!$L$2:$L$2198,MATCH(D418,'Data 2'!$A$2:$A$2198,0)), 0)</f>
        <v>-94.6033333333333</v>
      </c>
      <c r="F418" s="39" t="n">
        <f aca="false">IFERROR(INDEX('Data 2'!$M$2:$M$2198,MATCH(D418,'Data 2'!$A$2:$A$2198,0)), 0)</f>
        <v>-44.4525</v>
      </c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7"/>
      <c r="Z418" s="37"/>
    </row>
    <row r="419" customFormat="false" ht="15.75" hidden="false" customHeight="true" outlineLevel="0" collapsed="false">
      <c r="A419" s="37"/>
      <c r="B419" s="37"/>
      <c r="C419" s="37"/>
      <c r="D419" s="34" t="s">
        <v>440</v>
      </c>
      <c r="E419" s="39" t="n">
        <f aca="false">IFERROR(INDEX('Data 2'!$L$2:$L$2198,MATCH(D419,'Data 2'!$A$2:$A$2198,0)), 0)</f>
        <v>52.1666666666667</v>
      </c>
      <c r="F419" s="39" t="n">
        <f aca="false">IFERROR(INDEX('Data 2'!$M$2:$M$2198,MATCH(D419,'Data 2'!$A$2:$A$2198,0)), 0)</f>
        <v>19.395</v>
      </c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7"/>
      <c r="Z419" s="37"/>
    </row>
    <row r="420" customFormat="false" ht="15.75" hidden="false" customHeight="true" outlineLevel="0" collapsed="false">
      <c r="A420" s="37"/>
      <c r="B420" s="37"/>
      <c r="C420" s="37"/>
      <c r="D420" s="34" t="s">
        <v>250</v>
      </c>
      <c r="E420" s="39" t="n">
        <f aca="false">IFERROR(INDEX('Data 2'!$L$2:$L$2198,MATCH(D420,'Data 2'!$A$2:$A$2198,0)), 0)</f>
        <v>9.18333333333334</v>
      </c>
      <c r="F420" s="39" t="n">
        <f aca="false">IFERROR(INDEX('Data 2'!$M$2:$M$2198,MATCH(D420,'Data 2'!$A$2:$A$2198,0)), 0)</f>
        <v>-48.7</v>
      </c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7"/>
      <c r="Z420" s="37"/>
    </row>
    <row r="421" customFormat="false" ht="15.75" hidden="false" customHeight="true" outlineLevel="0" collapsed="false">
      <c r="A421" s="37"/>
      <c r="B421" s="37"/>
      <c r="C421" s="37"/>
      <c r="D421" s="34" t="s">
        <v>348</v>
      </c>
      <c r="E421" s="39" t="n">
        <f aca="false">IFERROR(INDEX('Data 2'!$L$2:$L$2198,MATCH(D421,'Data 2'!$A$2:$A$2198,0)), 0)</f>
        <v>20.5233333333333</v>
      </c>
      <c r="F421" s="39" t="n">
        <f aca="false">IFERROR(INDEX('Data 2'!$M$2:$M$2198,MATCH(D421,'Data 2'!$A$2:$A$2198,0)), 0)</f>
        <v>-26.33625</v>
      </c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7"/>
      <c r="Z421" s="37"/>
    </row>
    <row r="422" customFormat="false" ht="15.75" hidden="false" customHeight="true" outlineLevel="0" collapsed="false">
      <c r="A422" s="37"/>
      <c r="B422" s="37"/>
      <c r="C422" s="37"/>
      <c r="D422" s="34" t="s">
        <v>443</v>
      </c>
      <c r="E422" s="39" t="n">
        <f aca="false">IFERROR(INDEX('Data 2'!$L$2:$L$2198,MATCH(D422,'Data 2'!$A$2:$A$2198,0)), 0)</f>
        <v>46.7233333333333</v>
      </c>
      <c r="F422" s="39" t="n">
        <f aca="false">IFERROR(INDEX('Data 2'!$M$2:$M$2198,MATCH(D422,'Data 2'!$A$2:$A$2198,0)), 0)</f>
        <v>48.77625</v>
      </c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7"/>
      <c r="Z422" s="37"/>
    </row>
    <row r="423" customFormat="false" ht="15.75" hidden="false" customHeight="true" outlineLevel="0" collapsed="false">
      <c r="A423" s="37"/>
      <c r="B423" s="37"/>
      <c r="C423" s="37"/>
      <c r="D423" s="34" t="s">
        <v>159</v>
      </c>
      <c r="E423" s="39" t="n">
        <f aca="false">IFERROR(INDEX('Data 2'!$L$2:$L$2198,MATCH(D423,'Data 2'!$A$2:$A$2198,0)), 0)</f>
        <v>-78.66</v>
      </c>
      <c r="F423" s="39" t="n">
        <f aca="false">IFERROR(INDEX('Data 2'!$M$2:$M$2198,MATCH(D423,'Data 2'!$A$2:$A$2198,0)), 0)</f>
        <v>13.455</v>
      </c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7"/>
      <c r="Z423" s="37"/>
    </row>
    <row r="424" customFormat="false" ht="15.75" hidden="false" customHeight="true" outlineLevel="0" collapsed="false">
      <c r="A424" s="37"/>
      <c r="B424" s="37"/>
      <c r="C424" s="37"/>
      <c r="D424" s="34" t="s">
        <v>88</v>
      </c>
      <c r="E424" s="39" t="n">
        <f aca="false">IFERROR(INDEX('Data 2'!$L$2:$L$2198,MATCH(D424,'Data 2'!$A$2:$A$2198,0)), 0)</f>
        <v>-68.9233333333333</v>
      </c>
      <c r="F424" s="39" t="n">
        <f aca="false">IFERROR(INDEX('Data 2'!$M$2:$M$2198,MATCH(D424,'Data 2'!$A$2:$A$2198,0)), 0)</f>
        <v>-49.989</v>
      </c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7"/>
      <c r="Z424" s="37"/>
    </row>
    <row r="425" customFormat="false" ht="15.75" hidden="false" customHeight="true" outlineLevel="0" collapsed="false">
      <c r="A425" s="37"/>
      <c r="B425" s="37"/>
      <c r="C425" s="37"/>
      <c r="D425" s="34" t="s">
        <v>519</v>
      </c>
      <c r="E425" s="39" t="n">
        <f aca="false">IFERROR(INDEX('Data 2'!$L$2:$L$2198,MATCH(D425,'Data 2'!$A$2:$A$2198,0)), 0)</f>
        <v>24.21</v>
      </c>
      <c r="F425" s="39" t="n">
        <f aca="false">IFERROR(INDEX('Data 2'!$M$2:$M$2198,MATCH(D425,'Data 2'!$A$2:$A$2198,0)), 0)</f>
        <v>-18.78</v>
      </c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7"/>
      <c r="Z425" s="37"/>
    </row>
    <row r="426" customFormat="false" ht="15.75" hidden="false" customHeight="true" outlineLevel="0" collapsed="false">
      <c r="A426" s="37"/>
      <c r="B426" s="37"/>
      <c r="C426" s="37"/>
      <c r="D426" s="34" t="s">
        <v>520</v>
      </c>
      <c r="E426" s="39" t="n">
        <f aca="false">IFERROR(INDEX('Data 2'!$L$2:$L$2198,MATCH(D426,'Data 2'!$A$2:$A$2198,0)), 0)</f>
        <v>101.95</v>
      </c>
      <c r="F426" s="39" t="n">
        <f aca="false">IFERROR(INDEX('Data 2'!$M$2:$M$2198,MATCH(D426,'Data 2'!$A$2:$A$2198,0)), 0)</f>
        <v>93.65125</v>
      </c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7"/>
      <c r="Z426" s="37"/>
    </row>
    <row r="427" customFormat="false" ht="15.75" hidden="false" customHeight="true" outlineLevel="0" collapsed="false">
      <c r="A427" s="37"/>
      <c r="B427" s="37"/>
      <c r="C427" s="37"/>
      <c r="D427" s="34" t="s">
        <v>521</v>
      </c>
      <c r="E427" s="39" t="n">
        <f aca="false">IFERROR(INDEX('Data 2'!$L$2:$L$2198,MATCH(D427,'Data 2'!$A$2:$A$2198,0)), 0)</f>
        <v>-43.1166666666667</v>
      </c>
      <c r="F427" s="39" t="n">
        <f aca="false">IFERROR(INDEX('Data 2'!$M$2:$M$2198,MATCH(D427,'Data 2'!$A$2:$A$2198,0)), 0)</f>
        <v>-57.25125</v>
      </c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7"/>
      <c r="Z427" s="37"/>
    </row>
    <row r="428" customFormat="false" ht="15.75" hidden="false" customHeight="true" outlineLevel="0" collapsed="false">
      <c r="A428" s="37"/>
      <c r="B428" s="37"/>
      <c r="C428" s="37"/>
      <c r="D428" s="34" t="s">
        <v>82</v>
      </c>
      <c r="E428" s="39" t="n">
        <f aca="false">IFERROR(INDEX('Data 2'!$L$2:$L$2198,MATCH(D428,'Data 2'!$A$2:$A$2198,0)), 0)</f>
        <v>82.12</v>
      </c>
      <c r="F428" s="39" t="n">
        <f aca="false">IFERROR(INDEX('Data 2'!$M$2:$M$2198,MATCH(D428,'Data 2'!$A$2:$A$2198,0)), 0)</f>
        <v>-13.0425</v>
      </c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7"/>
      <c r="Z428" s="37"/>
    </row>
    <row r="429" customFormat="false" ht="15.75" hidden="false" customHeight="true" outlineLevel="0" collapsed="false">
      <c r="A429" s="37"/>
      <c r="B429" s="37"/>
      <c r="C429" s="37"/>
      <c r="D429" s="34" t="s">
        <v>35</v>
      </c>
      <c r="E429" s="39" t="n">
        <f aca="false">IFERROR(INDEX('Data 2'!$L$2:$L$2198,MATCH(D429,'Data 2'!$A$2:$A$2198,0)), 0)</f>
        <v>-57.4266666666667</v>
      </c>
      <c r="F429" s="39" t="n">
        <f aca="false">IFERROR(INDEX('Data 2'!$M$2:$M$2198,MATCH(D429,'Data 2'!$A$2:$A$2198,0)), 0)</f>
        <v>-56.64375</v>
      </c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7"/>
      <c r="Z429" s="37"/>
    </row>
    <row r="430" customFormat="false" ht="15.75" hidden="false" customHeight="true" outlineLevel="0" collapsed="false">
      <c r="A430" s="37"/>
      <c r="B430" s="37"/>
      <c r="C430" s="37"/>
      <c r="D430" s="34" t="s">
        <v>339</v>
      </c>
      <c r="E430" s="39" t="n">
        <f aca="false">IFERROR(INDEX('Data 2'!$L$2:$L$2198,MATCH(D430,'Data 2'!$A$2:$A$2198,0)), 0)</f>
        <v>90.8533333333333</v>
      </c>
      <c r="F430" s="39" t="n">
        <f aca="false">IFERROR(INDEX('Data 2'!$M$2:$M$2198,MATCH(D430,'Data 2'!$A$2:$A$2198,0)), 0)</f>
        <v>97.425</v>
      </c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7"/>
      <c r="Z430" s="37"/>
    </row>
    <row r="431" customFormat="false" ht="15.75" hidden="false" customHeight="true" outlineLevel="0" collapsed="false">
      <c r="A431" s="37"/>
      <c r="B431" s="37"/>
      <c r="C431" s="37"/>
      <c r="D431" s="34" t="s">
        <v>448</v>
      </c>
      <c r="E431" s="39" t="n">
        <f aca="false">IFERROR(INDEX('Data 2'!$L$2:$L$2198,MATCH(D431,'Data 2'!$A$2:$A$2198,0)), 0)</f>
        <v>37.61</v>
      </c>
      <c r="F431" s="39" t="n">
        <f aca="false">IFERROR(INDEX('Data 2'!$M$2:$M$2198,MATCH(D431,'Data 2'!$A$2:$A$2198,0)), 0)</f>
        <v>25.8375</v>
      </c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7"/>
      <c r="Z431" s="37"/>
    </row>
    <row r="432" customFormat="false" ht="15.75" hidden="false" customHeight="true" outlineLevel="0" collapsed="false">
      <c r="A432" s="37"/>
      <c r="B432" s="37"/>
      <c r="C432" s="37"/>
      <c r="D432" s="34" t="s">
        <v>226</v>
      </c>
      <c r="E432" s="39" t="n">
        <f aca="false">IFERROR(INDEX('Data 2'!$L$2:$L$2198,MATCH(D432,'Data 2'!$A$2:$A$2198,0)), 0)</f>
        <v>96.33</v>
      </c>
      <c r="F432" s="39" t="n">
        <f aca="false">IFERROR(INDEX('Data 2'!$M$2:$M$2198,MATCH(D432,'Data 2'!$A$2:$A$2198,0)), 0)</f>
        <v>132.71</v>
      </c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7"/>
      <c r="Z432" s="37"/>
    </row>
    <row r="433" customFormat="false" ht="15.75" hidden="false" customHeight="true" outlineLevel="0" collapsed="false">
      <c r="A433" s="37"/>
      <c r="B433" s="37"/>
      <c r="C433" s="37"/>
      <c r="D433" s="34" t="s">
        <v>522</v>
      </c>
      <c r="E433" s="39" t="n">
        <f aca="false">IFERROR(INDEX('Data 2'!$L$2:$L$2198,MATCH(D433,'Data 2'!$A$2:$A$2198,0)), 0)</f>
        <v>0</v>
      </c>
      <c r="F433" s="39" t="n">
        <f aca="false">IFERROR(INDEX('Data 2'!$M$2:$M$2198,MATCH(D433,'Data 2'!$A$2:$A$2198,0)), 0)</f>
        <v>0</v>
      </c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7"/>
      <c r="Z433" s="37"/>
    </row>
    <row r="434" customFormat="false" ht="15.75" hidden="false" customHeight="true" outlineLevel="0" collapsed="false">
      <c r="A434" s="37"/>
      <c r="B434" s="37"/>
      <c r="C434" s="37"/>
      <c r="D434" s="34" t="s">
        <v>344</v>
      </c>
      <c r="E434" s="39" t="n">
        <f aca="false">IFERROR(INDEX('Data 2'!$L$2:$L$2198,MATCH(D434,'Data 2'!$A$2:$A$2198,0)), 0)</f>
        <v>-74.62</v>
      </c>
      <c r="F434" s="39" t="n">
        <f aca="false">IFERROR(INDEX('Data 2'!$M$2:$M$2198,MATCH(D434,'Data 2'!$A$2:$A$2198,0)), 0)</f>
        <v>-85.1225</v>
      </c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7"/>
      <c r="Z434" s="37"/>
    </row>
    <row r="435" customFormat="false" ht="15.75" hidden="false" customHeight="true" outlineLevel="0" collapsed="false">
      <c r="A435" s="37"/>
      <c r="B435" s="37"/>
      <c r="C435" s="37"/>
      <c r="D435" s="34" t="s">
        <v>523</v>
      </c>
      <c r="E435" s="39" t="n">
        <f aca="false">IFERROR(INDEX('Data 2'!$L$2:$L$2198,MATCH(D435,'Data 2'!$A$2:$A$2198,0)), 0)</f>
        <v>114.773333333333</v>
      </c>
      <c r="F435" s="39" t="n">
        <f aca="false">IFERROR(INDEX('Data 2'!$M$2:$M$2198,MATCH(D435,'Data 2'!$A$2:$A$2198,0)), 0)</f>
        <v>87.12375</v>
      </c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7"/>
      <c r="Z435" s="37"/>
    </row>
    <row r="436" customFormat="false" ht="15.75" hidden="false" customHeight="true" outlineLevel="0" collapsed="false">
      <c r="A436" s="37"/>
      <c r="B436" s="37"/>
      <c r="C436" s="37"/>
      <c r="D436" s="34" t="s">
        <v>51</v>
      </c>
      <c r="E436" s="39" t="n">
        <f aca="false">IFERROR(INDEX('Data 2'!$L$2:$L$2198,MATCH(D436,'Data 2'!$A$2:$A$2198,0)), 0)</f>
        <v>-35.4266666666667</v>
      </c>
      <c r="F436" s="39" t="n">
        <f aca="false">IFERROR(INDEX('Data 2'!$M$2:$M$2198,MATCH(D436,'Data 2'!$A$2:$A$2198,0)), 0)</f>
        <v>-8.76</v>
      </c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7"/>
      <c r="Z436" s="37"/>
    </row>
    <row r="437" customFormat="false" ht="15.75" hidden="false" customHeight="true" outlineLevel="0" collapsed="false">
      <c r="A437" s="37"/>
      <c r="B437" s="37"/>
      <c r="C437" s="37"/>
      <c r="D437" s="34" t="s">
        <v>524</v>
      </c>
      <c r="E437" s="39" t="n">
        <f aca="false">IFERROR(INDEX('Data 2'!$L$2:$L$2198,MATCH(D437,'Data 2'!$A$2:$A$2198,0)), 0)</f>
        <v>95.51</v>
      </c>
      <c r="F437" s="39" t="n">
        <f aca="false">IFERROR(INDEX('Data 2'!$M$2:$M$2198,MATCH(D437,'Data 2'!$A$2:$A$2198,0)), 0)</f>
        <v>113.6175</v>
      </c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7"/>
      <c r="Z437" s="37"/>
    </row>
    <row r="438" customFormat="false" ht="15.75" hidden="false" customHeight="true" outlineLevel="0" collapsed="false">
      <c r="A438" s="37"/>
      <c r="B438" s="37"/>
      <c r="C438" s="37"/>
      <c r="D438" s="34" t="s">
        <v>525</v>
      </c>
      <c r="E438" s="39" t="n">
        <f aca="false">IFERROR(INDEX('Data 2'!$L$2:$L$2198,MATCH(D438,'Data 2'!$A$2:$A$2198,0)), 0)</f>
        <v>-63.5</v>
      </c>
      <c r="F438" s="39" t="n">
        <f aca="false">IFERROR(INDEX('Data 2'!$M$2:$M$2198,MATCH(D438,'Data 2'!$A$2:$A$2198,0)), 0)</f>
        <v>28.7175</v>
      </c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7"/>
      <c r="Z438" s="37"/>
    </row>
    <row r="439" customFormat="false" ht="15.75" hidden="false" customHeight="true" outlineLevel="0" collapsed="false">
      <c r="A439" s="37"/>
      <c r="B439" s="37"/>
      <c r="C439" s="37"/>
      <c r="D439" s="34" t="s">
        <v>78</v>
      </c>
      <c r="E439" s="39" t="n">
        <f aca="false">IFERROR(INDEX('Data 2'!$L$2:$L$2198,MATCH(D439,'Data 2'!$A$2:$A$2198,0)), 0)</f>
        <v>83.9733333333333</v>
      </c>
      <c r="F439" s="39" t="n">
        <f aca="false">IFERROR(INDEX('Data 2'!$M$2:$M$2198,MATCH(D439,'Data 2'!$A$2:$A$2198,0)), 0)</f>
        <v>181.065</v>
      </c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7"/>
      <c r="Z439" s="37"/>
    </row>
    <row r="440" customFormat="false" ht="15.75" hidden="false" customHeight="true" outlineLevel="0" collapsed="false">
      <c r="A440" s="37"/>
      <c r="B440" s="37"/>
      <c r="C440" s="37"/>
      <c r="D440" s="34" t="s">
        <v>526</v>
      </c>
      <c r="E440" s="39" t="n">
        <f aca="false">IFERROR(INDEX('Data 2'!$L$2:$L$2198,MATCH(D440,'Data 2'!$A$2:$A$2198,0)), 0)</f>
        <v>-68.82</v>
      </c>
      <c r="F440" s="39" t="n">
        <f aca="false">IFERROR(INDEX('Data 2'!$M$2:$M$2198,MATCH(D440,'Data 2'!$A$2:$A$2198,0)), 0)</f>
        <v>-16.6525</v>
      </c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7"/>
      <c r="Z440" s="37"/>
    </row>
    <row r="441" customFormat="false" ht="15.75" hidden="false" customHeight="true" outlineLevel="0" collapsed="false">
      <c r="A441" s="37"/>
      <c r="B441" s="37"/>
      <c r="C441" s="37"/>
      <c r="D441" s="34" t="s">
        <v>527</v>
      </c>
      <c r="E441" s="39" t="n">
        <f aca="false">IFERROR(INDEX('Data 2'!$L$2:$L$2198,MATCH(D441,'Data 2'!$A$2:$A$2198,0)), 0)</f>
        <v>-47.4333333333333</v>
      </c>
      <c r="F441" s="39" t="n">
        <f aca="false">IFERROR(INDEX('Data 2'!$M$2:$M$2198,MATCH(D441,'Data 2'!$A$2:$A$2198,0)), 0)</f>
        <v>-16.4925</v>
      </c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7"/>
      <c r="Z441" s="37"/>
    </row>
    <row r="442" customFormat="false" ht="15.75" hidden="false" customHeight="true" outlineLevel="0" collapsed="false">
      <c r="A442" s="37"/>
      <c r="B442" s="37"/>
      <c r="C442" s="37"/>
      <c r="D442" s="34" t="s">
        <v>169</v>
      </c>
      <c r="E442" s="39" t="n">
        <f aca="false">IFERROR(INDEX('Data 2'!$L$2:$L$2198,MATCH(D442,'Data 2'!$A$2:$A$2198,0)), 0)</f>
        <v>-78.8333333333333</v>
      </c>
      <c r="F442" s="39" t="n">
        <f aca="false">IFERROR(INDEX('Data 2'!$M$2:$M$2198,MATCH(D442,'Data 2'!$A$2:$A$2198,0)), 0)</f>
        <v>-13.07875</v>
      </c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7"/>
      <c r="Z442" s="37"/>
    </row>
    <row r="443" customFormat="false" ht="15.75" hidden="false" customHeight="true" outlineLevel="0" collapsed="false">
      <c r="A443" s="37"/>
      <c r="B443" s="37"/>
      <c r="C443" s="37"/>
      <c r="D443" s="34" t="s">
        <v>71</v>
      </c>
      <c r="E443" s="39" t="n">
        <f aca="false">IFERROR(INDEX('Data 2'!$L$2:$L$2198,MATCH(D443,'Data 2'!$A$2:$A$2198,0)), 0)</f>
        <v>-96.8233333333333</v>
      </c>
      <c r="F443" s="39" t="n">
        <f aca="false">IFERROR(INDEX('Data 2'!$M$2:$M$2198,MATCH(D443,'Data 2'!$A$2:$A$2198,0)), 0)</f>
        <v>-96.975</v>
      </c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7"/>
      <c r="Z443" s="37"/>
    </row>
    <row r="444" customFormat="false" ht="15.75" hidden="false" customHeight="true" outlineLevel="0" collapsed="false">
      <c r="A444" s="37"/>
      <c r="B444" s="37"/>
      <c r="C444" s="37"/>
      <c r="D444" s="34" t="s">
        <v>135</v>
      </c>
      <c r="E444" s="39" t="n">
        <f aca="false">IFERROR(INDEX('Data 2'!$L$2:$L$2198,MATCH(D444,'Data 2'!$A$2:$A$2198,0)), 0)</f>
        <v>-0.933333333333335</v>
      </c>
      <c r="F444" s="39" t="n">
        <f aca="false">IFERROR(INDEX('Data 2'!$M$2:$M$2198,MATCH(D444,'Data 2'!$A$2:$A$2198,0)), 0)</f>
        <v>-62.1075</v>
      </c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7"/>
      <c r="Z444" s="37"/>
    </row>
    <row r="445" customFormat="false" ht="15.75" hidden="false" customHeight="true" outlineLevel="0" collapsed="false">
      <c r="A445" s="37"/>
      <c r="B445" s="37"/>
      <c r="C445" s="37"/>
      <c r="D445" s="34" t="s">
        <v>99</v>
      </c>
      <c r="E445" s="39" t="n">
        <f aca="false">IFERROR(INDEX('Data 2'!$L$2:$L$2198,MATCH(D445,'Data 2'!$A$2:$A$2198,0)), 0)</f>
        <v>-18.05</v>
      </c>
      <c r="F445" s="39" t="n">
        <f aca="false">IFERROR(INDEX('Data 2'!$M$2:$M$2198,MATCH(D445,'Data 2'!$A$2:$A$2198,0)), 0)</f>
        <v>0.0824999999999978</v>
      </c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7"/>
      <c r="Z445" s="37"/>
    </row>
    <row r="446" customFormat="false" ht="15.75" hidden="false" customHeight="true" outlineLevel="0" collapsed="false">
      <c r="A446" s="37"/>
      <c r="B446" s="37"/>
      <c r="C446" s="37"/>
      <c r="D446" s="34" t="s">
        <v>240</v>
      </c>
      <c r="E446" s="39" t="n">
        <f aca="false">IFERROR(INDEX('Data 2'!$L$2:$L$2198,MATCH(D446,'Data 2'!$A$2:$A$2198,0)), 0)</f>
        <v>-127.08</v>
      </c>
      <c r="F446" s="39" t="n">
        <f aca="false">IFERROR(INDEX('Data 2'!$M$2:$M$2198,MATCH(D446,'Data 2'!$A$2:$A$2198,0)), 0)</f>
        <v>-112.8225</v>
      </c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7"/>
      <c r="Z446" s="37"/>
    </row>
    <row r="447" customFormat="false" ht="15.75" hidden="false" customHeight="true" outlineLevel="0" collapsed="false">
      <c r="A447" s="37"/>
      <c r="B447" s="37"/>
      <c r="C447" s="37"/>
      <c r="D447" s="34" t="s">
        <v>456</v>
      </c>
      <c r="E447" s="39" t="n">
        <f aca="false">IFERROR(INDEX('Data 2'!$L$2:$L$2198,MATCH(D447,'Data 2'!$A$2:$A$2198,0)), 0)</f>
        <v>-30.0866666666667</v>
      </c>
      <c r="F447" s="39" t="n">
        <f aca="false">IFERROR(INDEX('Data 2'!$M$2:$M$2198,MATCH(D447,'Data 2'!$A$2:$A$2198,0)), 0)</f>
        <v>39.65125</v>
      </c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7"/>
      <c r="Z447" s="37"/>
    </row>
    <row r="448" customFormat="false" ht="15.75" hidden="false" customHeight="true" outlineLevel="0" collapsed="false">
      <c r="A448" s="37"/>
      <c r="B448" s="37"/>
      <c r="C448" s="37"/>
      <c r="D448" s="34" t="s">
        <v>170</v>
      </c>
      <c r="E448" s="39" t="n">
        <f aca="false">IFERROR(INDEX('Data 2'!$L$2:$L$2198,MATCH(D448,'Data 2'!$A$2:$A$2198,0)), 0)</f>
        <v>-43.3633333333333</v>
      </c>
      <c r="F448" s="39" t="n">
        <f aca="false">IFERROR(INDEX('Data 2'!$M$2:$M$2198,MATCH(D448,'Data 2'!$A$2:$A$2198,0)), 0)</f>
        <v>-9.286125</v>
      </c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7"/>
      <c r="Z448" s="37"/>
    </row>
    <row r="449" customFormat="false" ht="15.75" hidden="false" customHeight="true" outlineLevel="0" collapsed="false">
      <c r="A449" s="37"/>
      <c r="B449" s="37"/>
      <c r="C449" s="37"/>
      <c r="D449" s="34" t="s">
        <v>92</v>
      </c>
      <c r="E449" s="39" t="n">
        <f aca="false">IFERROR(INDEX('Data 2'!$L$2:$L$2198,MATCH(D449,'Data 2'!$A$2:$A$2198,0)), 0)</f>
        <v>-64.3133333333333</v>
      </c>
      <c r="F449" s="39" t="n">
        <f aca="false">IFERROR(INDEX('Data 2'!$M$2:$M$2198,MATCH(D449,'Data 2'!$A$2:$A$2198,0)), 0)</f>
        <v>-53.4075</v>
      </c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7"/>
      <c r="Z449" s="37"/>
    </row>
    <row r="450" customFormat="false" ht="15.75" hidden="false" customHeight="true" outlineLevel="0" collapsed="false">
      <c r="A450" s="37"/>
      <c r="B450" s="37"/>
      <c r="C450" s="37"/>
      <c r="D450" s="34" t="s">
        <v>61</v>
      </c>
      <c r="E450" s="39" t="n">
        <f aca="false">IFERROR(INDEX('Data 2'!$L$2:$L$2198,MATCH(D450,'Data 2'!$A$2:$A$2198,0)), 0)</f>
        <v>-36.36</v>
      </c>
      <c r="F450" s="39" t="n">
        <f aca="false">IFERROR(INDEX('Data 2'!$M$2:$M$2198,MATCH(D450,'Data 2'!$A$2:$A$2198,0)), 0)</f>
        <v>4.43125</v>
      </c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7"/>
      <c r="Z450" s="37"/>
    </row>
    <row r="451" customFormat="false" ht="15.75" hidden="false" customHeight="true" outlineLevel="0" collapsed="false">
      <c r="A451" s="37"/>
      <c r="B451" s="37"/>
      <c r="C451" s="37"/>
      <c r="D451" s="34" t="s">
        <v>458</v>
      </c>
      <c r="E451" s="39" t="n">
        <f aca="false">IFERROR(INDEX('Data 2'!$L$2:$L$2198,MATCH(D451,'Data 2'!$A$2:$A$2198,0)), 0)</f>
        <v>4.51333333333334</v>
      </c>
      <c r="F451" s="39" t="n">
        <f aca="false">IFERROR(INDEX('Data 2'!$M$2:$M$2198,MATCH(D451,'Data 2'!$A$2:$A$2198,0)), 0)</f>
        <v>-30.79375</v>
      </c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7"/>
      <c r="Z451" s="37"/>
    </row>
    <row r="452" customFormat="false" ht="15.75" hidden="false" customHeight="true" outlineLevel="0" collapsed="false">
      <c r="A452" s="37"/>
      <c r="B452" s="37"/>
      <c r="C452" s="37"/>
      <c r="D452" s="34" t="s">
        <v>528</v>
      </c>
      <c r="E452" s="39" t="n">
        <f aca="false">IFERROR(INDEX('Data 2'!$L$2:$L$2198,MATCH(D452,'Data 2'!$A$2:$A$2198,0)), 0)</f>
        <v>-42.3266666666667</v>
      </c>
      <c r="F452" s="39" t="n">
        <f aca="false">IFERROR(INDEX('Data 2'!$M$2:$M$2198,MATCH(D452,'Data 2'!$A$2:$A$2198,0)), 0)</f>
        <v>-57.22875</v>
      </c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7"/>
      <c r="Z452" s="37"/>
    </row>
    <row r="453" customFormat="false" ht="15.75" hidden="false" customHeight="true" outlineLevel="0" collapsed="false">
      <c r="A453" s="37"/>
      <c r="B453" s="37"/>
      <c r="C453" s="37"/>
      <c r="D453" s="34" t="s">
        <v>89</v>
      </c>
      <c r="E453" s="39" t="n">
        <f aca="false">IFERROR(INDEX('Data 2'!$L$2:$L$2198,MATCH(D453,'Data 2'!$A$2:$A$2198,0)), 0)</f>
        <v>5.30666666666667</v>
      </c>
      <c r="F453" s="39" t="n">
        <f aca="false">IFERROR(INDEX('Data 2'!$M$2:$M$2198,MATCH(D453,'Data 2'!$A$2:$A$2198,0)), 0)</f>
        <v>-14.10125</v>
      </c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7"/>
      <c r="Z453" s="37"/>
    </row>
    <row r="454" customFormat="false" ht="15.75" hidden="false" customHeight="true" outlineLevel="0" collapsed="false">
      <c r="A454" s="37"/>
      <c r="B454" s="37"/>
      <c r="C454" s="37"/>
      <c r="D454" s="34" t="s">
        <v>529</v>
      </c>
      <c r="E454" s="39" t="n">
        <f aca="false">IFERROR(INDEX('Data 2'!$L$2:$L$2198,MATCH(D454,'Data 2'!$A$2:$A$2198,0)), 0)</f>
        <v>107.52</v>
      </c>
      <c r="F454" s="39" t="n">
        <f aca="false">IFERROR(INDEX('Data 2'!$M$2:$M$2198,MATCH(D454,'Data 2'!$A$2:$A$2198,0)), 0)</f>
        <v>87.25875</v>
      </c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7"/>
      <c r="Z454" s="37"/>
    </row>
    <row r="455" customFormat="false" ht="15.75" hidden="false" customHeight="true" outlineLevel="0" collapsed="false">
      <c r="A455" s="37"/>
      <c r="B455" s="37"/>
      <c r="C455" s="37"/>
      <c r="D455" s="34" t="s">
        <v>351</v>
      </c>
      <c r="E455" s="39" t="n">
        <f aca="false">IFERROR(INDEX('Data 2'!$L$2:$L$2198,MATCH(D455,'Data 2'!$A$2:$A$2198,0)), 0)</f>
        <v>98.2466666666667</v>
      </c>
      <c r="F455" s="39" t="n">
        <f aca="false">IFERROR(INDEX('Data 2'!$M$2:$M$2198,MATCH(D455,'Data 2'!$A$2:$A$2198,0)), 0)</f>
        <v>2.04125</v>
      </c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7"/>
      <c r="Z455" s="37"/>
    </row>
    <row r="456" customFormat="false" ht="15.75" hidden="false" customHeight="true" outlineLevel="0" collapsed="false">
      <c r="A456" s="37"/>
      <c r="B456" s="37"/>
      <c r="C456" s="37"/>
      <c r="D456" s="34" t="s">
        <v>460</v>
      </c>
      <c r="E456" s="39" t="n">
        <f aca="false">IFERROR(INDEX('Data 2'!$L$2:$L$2198,MATCH(D456,'Data 2'!$A$2:$A$2198,0)), 0)</f>
        <v>4.76666666666667</v>
      </c>
      <c r="F456" s="39" t="n">
        <f aca="false">IFERROR(INDEX('Data 2'!$M$2:$M$2198,MATCH(D456,'Data 2'!$A$2:$A$2198,0)), 0)</f>
        <v>72.1525</v>
      </c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7"/>
      <c r="Z456" s="37"/>
    </row>
    <row r="457" customFormat="false" ht="15.75" hidden="false" customHeight="true" outlineLevel="0" collapsed="false">
      <c r="A457" s="37"/>
      <c r="B457" s="37"/>
      <c r="C457" s="37"/>
      <c r="D457" s="34" t="s">
        <v>62</v>
      </c>
      <c r="E457" s="39" t="n">
        <f aca="false">IFERROR(INDEX('Data 2'!$L$2:$L$2198,MATCH(D457,'Data 2'!$A$2:$A$2198,0)), 0)</f>
        <v>-38.9566666666667</v>
      </c>
      <c r="F457" s="39" t="n">
        <f aca="false">IFERROR(INDEX('Data 2'!$M$2:$M$2198,MATCH(D457,'Data 2'!$A$2:$A$2198,0)), 0)</f>
        <v>-6.4175</v>
      </c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7"/>
      <c r="Z457" s="37"/>
    </row>
    <row r="458" customFormat="false" ht="15.75" hidden="false" customHeight="true" outlineLevel="0" collapsed="false">
      <c r="A458" s="37"/>
      <c r="B458" s="37"/>
      <c r="C458" s="37"/>
      <c r="D458" s="34" t="s">
        <v>462</v>
      </c>
      <c r="E458" s="39" t="n">
        <f aca="false">IFERROR(INDEX('Data 2'!$L$2:$L$2198,MATCH(D458,'Data 2'!$A$2:$A$2198,0)), 0)</f>
        <v>-2.06</v>
      </c>
      <c r="F458" s="39" t="n">
        <f aca="false">IFERROR(INDEX('Data 2'!$M$2:$M$2198,MATCH(D458,'Data 2'!$A$2:$A$2198,0)), 0)</f>
        <v>-64.1375</v>
      </c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7"/>
      <c r="Z458" s="37"/>
    </row>
    <row r="459" customFormat="false" ht="15.75" hidden="false" customHeight="true" outlineLevel="0" collapsed="false">
      <c r="A459" s="37"/>
      <c r="B459" s="37"/>
      <c r="C459" s="37"/>
      <c r="D459" s="34" t="s">
        <v>464</v>
      </c>
      <c r="E459" s="39" t="n">
        <f aca="false">IFERROR(INDEX('Data 2'!$L$2:$L$2198,MATCH(D459,'Data 2'!$A$2:$A$2198,0)), 0)</f>
        <v>101.43</v>
      </c>
      <c r="F459" s="39" t="n">
        <f aca="false">IFERROR(INDEX('Data 2'!$M$2:$M$2198,MATCH(D459,'Data 2'!$A$2:$A$2198,0)), 0)</f>
        <v>19.62625</v>
      </c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7"/>
      <c r="Z459" s="37"/>
    </row>
    <row r="460" customFormat="false" ht="15.75" hidden="false" customHeight="true" outlineLevel="0" collapsed="false">
      <c r="A460" s="37"/>
      <c r="B460" s="37"/>
      <c r="C460" s="37"/>
      <c r="D460" s="34" t="s">
        <v>530</v>
      </c>
      <c r="E460" s="39" t="n">
        <f aca="false">IFERROR(INDEX('Data 2'!$L$2:$L$2198,MATCH(D460,'Data 2'!$A$2:$A$2198,0)), 0)</f>
        <v>110.29</v>
      </c>
      <c r="F460" s="39" t="n">
        <f aca="false">IFERROR(INDEX('Data 2'!$M$2:$M$2198,MATCH(D460,'Data 2'!$A$2:$A$2198,0)), 0)</f>
        <v>35.8425</v>
      </c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7"/>
      <c r="Z460" s="37"/>
    </row>
    <row r="461" customFormat="false" ht="15.75" hidden="false" customHeight="true" outlineLevel="0" collapsed="false">
      <c r="A461" s="37"/>
      <c r="B461" s="37"/>
      <c r="C461" s="37"/>
      <c r="D461" s="34" t="s">
        <v>142</v>
      </c>
      <c r="E461" s="39" t="n">
        <f aca="false">IFERROR(INDEX('Data 2'!$L$2:$L$2198,MATCH(D461,'Data 2'!$A$2:$A$2198,0)), 0)</f>
        <v>89.1066666666667</v>
      </c>
      <c r="F461" s="39" t="n">
        <f aca="false">IFERROR(INDEX('Data 2'!$M$2:$M$2198,MATCH(D461,'Data 2'!$A$2:$A$2198,0)), 0)</f>
        <v>109.275</v>
      </c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7"/>
      <c r="Z461" s="37"/>
    </row>
    <row r="462" customFormat="false" ht="15.75" hidden="false" customHeight="true" outlineLevel="0" collapsed="false">
      <c r="A462" s="37"/>
      <c r="B462" s="37"/>
      <c r="C462" s="37"/>
      <c r="D462" s="34" t="s">
        <v>115</v>
      </c>
      <c r="E462" s="39" t="n">
        <f aca="false">IFERROR(INDEX('Data 2'!$L$2:$L$2198,MATCH(D462,'Data 2'!$A$2:$A$2198,0)), 0)</f>
        <v>99.38</v>
      </c>
      <c r="F462" s="39" t="n">
        <f aca="false">IFERROR(INDEX('Data 2'!$M$2:$M$2198,MATCH(D462,'Data 2'!$A$2:$A$2198,0)), 0)</f>
        <v>120.785</v>
      </c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7"/>
      <c r="Z462" s="37"/>
    </row>
    <row r="463" customFormat="false" ht="15.75" hidden="false" customHeight="true" outlineLevel="0" collapsed="false">
      <c r="A463" s="37"/>
      <c r="B463" s="37"/>
      <c r="C463" s="37"/>
      <c r="D463" s="34" t="s">
        <v>264</v>
      </c>
      <c r="E463" s="39" t="n">
        <f aca="false">IFERROR(INDEX('Data 2'!$L$2:$L$2198,MATCH(D463,'Data 2'!$A$2:$A$2198,0)), 0)</f>
        <v>-93.3566666666667</v>
      </c>
      <c r="F463" s="39" t="n">
        <f aca="false">IFERROR(INDEX('Data 2'!$M$2:$M$2198,MATCH(D463,'Data 2'!$A$2:$A$2198,0)), 0)</f>
        <v>-121.41625</v>
      </c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7"/>
      <c r="Z463" s="37"/>
    </row>
    <row r="464" customFormat="false" ht="15.75" hidden="false" customHeight="true" outlineLevel="0" collapsed="false">
      <c r="A464" s="37"/>
      <c r="B464" s="37"/>
      <c r="C464" s="37"/>
      <c r="D464" s="34" t="s">
        <v>38</v>
      </c>
      <c r="E464" s="39" t="n">
        <f aca="false">IFERROR(INDEX('Data 2'!$L$2:$L$2198,MATCH(D464,'Data 2'!$A$2:$A$2198,0)), 0)</f>
        <v>-56.29</v>
      </c>
      <c r="F464" s="39" t="n">
        <f aca="false">IFERROR(INDEX('Data 2'!$M$2:$M$2198,MATCH(D464,'Data 2'!$A$2:$A$2198,0)), 0)</f>
        <v>-16.265</v>
      </c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7"/>
      <c r="Z464" s="37"/>
    </row>
    <row r="465" customFormat="false" ht="15.75" hidden="false" customHeight="true" outlineLevel="0" collapsed="false">
      <c r="A465" s="37"/>
      <c r="B465" s="37"/>
      <c r="C465" s="37"/>
      <c r="D465" s="34" t="s">
        <v>531</v>
      </c>
      <c r="E465" s="39" t="n">
        <f aca="false">IFERROR(INDEX('Data 2'!$L$2:$L$2198,MATCH(D465,'Data 2'!$A$2:$A$2198,0)), 0)</f>
        <v>-25.5</v>
      </c>
      <c r="F465" s="39" t="n">
        <f aca="false">IFERROR(INDEX('Data 2'!$M$2:$M$2198,MATCH(D465,'Data 2'!$A$2:$A$2198,0)), 0)</f>
        <v>-41.29</v>
      </c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7"/>
      <c r="Z465" s="37"/>
    </row>
    <row r="466" customFormat="false" ht="15.75" hidden="false" customHeight="true" outlineLevel="0" collapsed="false">
      <c r="A466" s="37"/>
      <c r="B466" s="37"/>
      <c r="C466" s="37"/>
      <c r="D466" s="34" t="s">
        <v>532</v>
      </c>
      <c r="E466" s="39" t="n">
        <f aca="false">IFERROR(INDEX('Data 2'!$L$2:$L$2198,MATCH(D466,'Data 2'!$A$2:$A$2198,0)), 0)</f>
        <v>0.959999999999999</v>
      </c>
      <c r="F466" s="39" t="n">
        <f aca="false">IFERROR(INDEX('Data 2'!$M$2:$M$2198,MATCH(D466,'Data 2'!$A$2:$A$2198,0)), 0)</f>
        <v>-62.61625</v>
      </c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7"/>
      <c r="Z466" s="37"/>
    </row>
    <row r="467" customFormat="false" ht="15.75" hidden="false" customHeight="true" outlineLevel="0" collapsed="false">
      <c r="A467" s="37"/>
      <c r="B467" s="37"/>
      <c r="C467" s="37"/>
      <c r="D467" s="34" t="s">
        <v>533</v>
      </c>
      <c r="E467" s="39" t="n">
        <f aca="false">IFERROR(INDEX('Data 2'!$L$2:$L$2198,MATCH(D467,'Data 2'!$A$2:$A$2198,0)), 0)</f>
        <v>29.9233333333333</v>
      </c>
      <c r="F467" s="39" t="n">
        <f aca="false">IFERROR(INDEX('Data 2'!$M$2:$M$2198,MATCH(D467,'Data 2'!$A$2:$A$2198,0)), 0)</f>
        <v>-39.3325</v>
      </c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7"/>
      <c r="Z467" s="37"/>
    </row>
    <row r="468" customFormat="false" ht="15.75" hidden="false" customHeight="true" outlineLevel="0" collapsed="false">
      <c r="A468" s="37"/>
      <c r="B468" s="37"/>
      <c r="C468" s="37"/>
      <c r="D468" s="34" t="s">
        <v>241</v>
      </c>
      <c r="E468" s="39" t="n">
        <f aca="false">IFERROR(INDEX('Data 2'!$L$2:$L$2198,MATCH(D468,'Data 2'!$A$2:$A$2198,0)), 0)</f>
        <v>-31.2566666666667</v>
      </c>
      <c r="F468" s="39" t="n">
        <f aca="false">IFERROR(INDEX('Data 2'!$M$2:$M$2198,MATCH(D468,'Data 2'!$A$2:$A$2198,0)), 0)</f>
        <v>60.3325</v>
      </c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7"/>
      <c r="Z468" s="37"/>
    </row>
    <row r="469" customFormat="false" ht="15.75" hidden="false" customHeight="true" outlineLevel="0" collapsed="false">
      <c r="A469" s="37"/>
      <c r="B469" s="37"/>
      <c r="C469" s="37"/>
      <c r="D469" s="34" t="s">
        <v>534</v>
      </c>
      <c r="E469" s="39" t="n">
        <f aca="false">IFERROR(INDEX('Data 2'!$L$2:$L$2198,MATCH(D469,'Data 2'!$A$2:$A$2198,0)), 0)</f>
        <v>-19.2333333333333</v>
      </c>
      <c r="F469" s="39" t="n">
        <f aca="false">IFERROR(INDEX('Data 2'!$M$2:$M$2198,MATCH(D469,'Data 2'!$A$2:$A$2198,0)), 0)</f>
        <v>-61.97625</v>
      </c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7"/>
      <c r="Z469" s="37"/>
    </row>
    <row r="470" customFormat="false" ht="15.75" hidden="false" customHeight="true" outlineLevel="0" collapsed="false">
      <c r="A470" s="37"/>
      <c r="B470" s="37"/>
      <c r="C470" s="37"/>
      <c r="D470" s="34" t="s">
        <v>467</v>
      </c>
      <c r="E470" s="39" t="n">
        <f aca="false">IFERROR(INDEX('Data 2'!$L$2:$L$2198,MATCH(D470,'Data 2'!$A$2:$A$2198,0)), 0)</f>
        <v>94.13</v>
      </c>
      <c r="F470" s="39" t="n">
        <f aca="false">IFERROR(INDEX('Data 2'!$M$2:$M$2198,MATCH(D470,'Data 2'!$A$2:$A$2198,0)), 0)</f>
        <v>180.25375</v>
      </c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7"/>
      <c r="Z470" s="37"/>
    </row>
    <row r="471" customFormat="false" ht="15.75" hidden="false" customHeight="true" outlineLevel="0" collapsed="false">
      <c r="A471" s="37"/>
      <c r="B471" s="37"/>
      <c r="C471" s="37"/>
      <c r="D471" s="34" t="s">
        <v>181</v>
      </c>
      <c r="E471" s="39" t="n">
        <f aca="false">IFERROR(INDEX('Data 2'!$L$2:$L$2198,MATCH(D471,'Data 2'!$A$2:$A$2198,0)), 0)</f>
        <v>76.9766666666667</v>
      </c>
      <c r="F471" s="39" t="n">
        <f aca="false">IFERROR(INDEX('Data 2'!$M$2:$M$2198,MATCH(D471,'Data 2'!$A$2:$A$2198,0)), 0)</f>
        <v>100.7175</v>
      </c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7"/>
      <c r="Z471" s="37"/>
    </row>
    <row r="472" customFormat="false" ht="15.75" hidden="false" customHeight="true" outlineLevel="0" collapsed="false">
      <c r="A472" s="37"/>
      <c r="B472" s="37"/>
      <c r="C472" s="37"/>
      <c r="D472" s="34" t="s">
        <v>535</v>
      </c>
      <c r="E472" s="39" t="n">
        <f aca="false">IFERROR(INDEX('Data 2'!$L$2:$L$2198,MATCH(D472,'Data 2'!$A$2:$A$2198,0)), 0)</f>
        <v>-37.68</v>
      </c>
      <c r="F472" s="39" t="n">
        <f aca="false">IFERROR(INDEX('Data 2'!$M$2:$M$2198,MATCH(D472,'Data 2'!$A$2:$A$2198,0)), 0)</f>
        <v>28.980625</v>
      </c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7"/>
      <c r="Z472" s="37"/>
    </row>
    <row r="473" customFormat="false" ht="15.75" hidden="false" customHeight="true" outlineLevel="0" collapsed="false">
      <c r="A473" s="37"/>
      <c r="B473" s="37"/>
      <c r="C473" s="37"/>
      <c r="D473" s="34" t="s">
        <v>536</v>
      </c>
      <c r="E473" s="39" t="n">
        <f aca="false">IFERROR(INDEX('Data 2'!$L$2:$L$2198,MATCH(D473,'Data 2'!$A$2:$A$2198,0)), 0)</f>
        <v>17.65</v>
      </c>
      <c r="F473" s="39" t="n">
        <f aca="false">IFERROR(INDEX('Data 2'!$M$2:$M$2198,MATCH(D473,'Data 2'!$A$2:$A$2198,0)), 0)</f>
        <v>-7.0975</v>
      </c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7"/>
      <c r="Z473" s="37"/>
    </row>
    <row r="474" customFormat="false" ht="15.75" hidden="false" customHeight="true" outlineLevel="0" collapsed="false">
      <c r="A474" s="37"/>
      <c r="B474" s="37"/>
      <c r="C474" s="37"/>
      <c r="D474" s="34" t="s">
        <v>127</v>
      </c>
      <c r="E474" s="39" t="n">
        <f aca="false">IFERROR(INDEX('Data 2'!$L$2:$L$2198,MATCH(D474,'Data 2'!$A$2:$A$2198,0)), 0)</f>
        <v>-54.8133333333333</v>
      </c>
      <c r="F474" s="39" t="n">
        <f aca="false">IFERROR(INDEX('Data 2'!$M$2:$M$2198,MATCH(D474,'Data 2'!$A$2:$A$2198,0)), 0)</f>
        <v>50.4375</v>
      </c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7"/>
      <c r="Z474" s="37"/>
    </row>
    <row r="475" customFormat="false" ht="15.75" hidden="false" customHeight="true" outlineLevel="0" collapsed="false">
      <c r="A475" s="37"/>
      <c r="B475" s="37"/>
      <c r="C475" s="37"/>
      <c r="D475" s="34" t="s">
        <v>213</v>
      </c>
      <c r="E475" s="39" t="n">
        <f aca="false">IFERROR(INDEX('Data 2'!$L$2:$L$2198,MATCH(D475,'Data 2'!$A$2:$A$2198,0)), 0)</f>
        <v>-46.6133333333333</v>
      </c>
      <c r="F475" s="39" t="n">
        <f aca="false">IFERROR(INDEX('Data 2'!$M$2:$M$2198,MATCH(D475,'Data 2'!$A$2:$A$2198,0)), 0)</f>
        <v>-26.87</v>
      </c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7"/>
      <c r="Z475" s="37"/>
    </row>
    <row r="476" customFormat="false" ht="15.75" hidden="false" customHeight="true" outlineLevel="0" collapsed="false">
      <c r="A476" s="37"/>
      <c r="B476" s="37"/>
      <c r="C476" s="37"/>
      <c r="D476" s="34" t="s">
        <v>50</v>
      </c>
      <c r="E476" s="39" t="n">
        <f aca="false">IFERROR(INDEX('Data 2'!$L$2:$L$2198,MATCH(D476,'Data 2'!$A$2:$A$2198,0)), 0)</f>
        <v>-130.666666666667</v>
      </c>
      <c r="F476" s="39" t="n">
        <f aca="false">IFERROR(INDEX('Data 2'!$M$2:$M$2198,MATCH(D476,'Data 2'!$A$2:$A$2198,0)), 0)</f>
        <v>-131.56</v>
      </c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7"/>
      <c r="Z476" s="37"/>
    </row>
    <row r="477" customFormat="false" ht="15.75" hidden="false" customHeight="true" outlineLevel="0" collapsed="false">
      <c r="A477" s="37"/>
      <c r="B477" s="37"/>
      <c r="C477" s="37"/>
      <c r="D477" s="34" t="s">
        <v>49</v>
      </c>
      <c r="E477" s="39" t="n">
        <f aca="false">IFERROR(INDEX('Data 2'!$L$2:$L$2198,MATCH(D477,'Data 2'!$A$2:$A$2198,0)), 0)</f>
        <v>11.66</v>
      </c>
      <c r="F477" s="39" t="n">
        <f aca="false">IFERROR(INDEX('Data 2'!$M$2:$M$2198,MATCH(D477,'Data 2'!$A$2:$A$2198,0)), 0)</f>
        <v>-34.2975</v>
      </c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7"/>
      <c r="Z477" s="37"/>
    </row>
    <row r="478" customFormat="false" ht="15.75" hidden="false" customHeight="true" outlineLevel="0" collapsed="false">
      <c r="A478" s="37"/>
      <c r="B478" s="37"/>
      <c r="C478" s="37"/>
      <c r="D478" s="34" t="s">
        <v>537</v>
      </c>
      <c r="E478" s="39" t="n">
        <f aca="false">IFERROR(INDEX('Data 2'!$L$2:$L$2198,MATCH(D478,'Data 2'!$A$2:$A$2198,0)), 0)</f>
        <v>104.923333333333</v>
      </c>
      <c r="F478" s="39" t="n">
        <f aca="false">IFERROR(INDEX('Data 2'!$M$2:$M$2198,MATCH(D478,'Data 2'!$A$2:$A$2198,0)), 0)</f>
        <v>96.55875</v>
      </c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7"/>
      <c r="Z478" s="37"/>
    </row>
    <row r="479" customFormat="false" ht="15.75" hidden="false" customHeight="true" outlineLevel="0" collapsed="false">
      <c r="A479" s="37"/>
      <c r="B479" s="37"/>
      <c r="C479" s="37"/>
      <c r="D479" s="34" t="s">
        <v>538</v>
      </c>
      <c r="E479" s="39" t="n">
        <f aca="false">IFERROR(INDEX('Data 2'!$L$2:$L$2198,MATCH(D479,'Data 2'!$A$2:$A$2198,0)), 0)</f>
        <v>-27.8066666666667</v>
      </c>
      <c r="F479" s="39" t="n">
        <f aca="false">IFERROR(INDEX('Data 2'!$M$2:$M$2198,MATCH(D479,'Data 2'!$A$2:$A$2198,0)), 0)</f>
        <v>-25.56375</v>
      </c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7"/>
      <c r="Z479" s="37"/>
    </row>
    <row r="480" customFormat="false" ht="15.75" hidden="false" customHeight="true" outlineLevel="0" collapsed="false">
      <c r="A480" s="37"/>
      <c r="B480" s="37"/>
      <c r="C480" s="37"/>
      <c r="D480" s="34" t="s">
        <v>539</v>
      </c>
      <c r="E480" s="39" t="n">
        <f aca="false">IFERROR(INDEX('Data 2'!$L$2:$L$2198,MATCH(D480,'Data 2'!$A$2:$A$2198,0)), 0)</f>
        <v>81.8166666666667</v>
      </c>
      <c r="F480" s="39" t="n">
        <f aca="false">IFERROR(INDEX('Data 2'!$M$2:$M$2198,MATCH(D480,'Data 2'!$A$2:$A$2198,0)), 0)</f>
        <v>48.25875</v>
      </c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7"/>
      <c r="Z480" s="37"/>
    </row>
    <row r="481" customFormat="false" ht="15.75" hidden="false" customHeight="true" outlineLevel="0" collapsed="false">
      <c r="A481" s="37"/>
      <c r="B481" s="37"/>
      <c r="C481" s="37"/>
      <c r="D481" s="34" t="s">
        <v>540</v>
      </c>
      <c r="E481" s="39" t="n">
        <f aca="false">IFERROR(INDEX('Data 2'!$L$2:$L$2198,MATCH(D481,'Data 2'!$A$2:$A$2198,0)), 0)</f>
        <v>-76.24</v>
      </c>
      <c r="F481" s="39" t="n">
        <f aca="false">IFERROR(INDEX('Data 2'!$M$2:$M$2198,MATCH(D481,'Data 2'!$A$2:$A$2198,0)), 0)</f>
        <v>-61.29875</v>
      </c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7"/>
      <c r="Z481" s="37"/>
    </row>
    <row r="482" customFormat="false" ht="15.75" hidden="false" customHeight="true" outlineLevel="0" collapsed="false">
      <c r="A482" s="37"/>
      <c r="B482" s="37"/>
      <c r="C482" s="37"/>
      <c r="D482" s="34" t="s">
        <v>541</v>
      </c>
      <c r="E482" s="39" t="n">
        <f aca="false">IFERROR(INDEX('Data 2'!$L$2:$L$2198,MATCH(D482,'Data 2'!$A$2:$A$2198,0)), 0)</f>
        <v>-48.1966666666667</v>
      </c>
      <c r="F482" s="39" t="n">
        <f aca="false">IFERROR(INDEX('Data 2'!$M$2:$M$2198,MATCH(D482,'Data 2'!$A$2:$A$2198,0)), 0)</f>
        <v>-76.1875</v>
      </c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7"/>
      <c r="Z482" s="37"/>
    </row>
    <row r="483" customFormat="false" ht="15.75" hidden="false" customHeight="true" outlineLevel="0" collapsed="false">
      <c r="A483" s="37"/>
      <c r="B483" s="37"/>
      <c r="C483" s="37"/>
      <c r="D483" s="34" t="s">
        <v>542</v>
      </c>
      <c r="E483" s="39" t="n">
        <f aca="false">IFERROR(INDEX('Data 2'!$L$2:$L$2198,MATCH(D483,'Data 2'!$A$2:$A$2198,0)), 0)</f>
        <v>18.4533333333333</v>
      </c>
      <c r="F483" s="39" t="n">
        <f aca="false">IFERROR(INDEX('Data 2'!$M$2:$M$2198,MATCH(D483,'Data 2'!$A$2:$A$2198,0)), 0)</f>
        <v>36.31125</v>
      </c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7"/>
      <c r="Z483" s="37"/>
    </row>
    <row r="484" customFormat="false" ht="15.75" hidden="false" customHeight="true" outlineLevel="0" collapsed="false">
      <c r="A484" s="37"/>
      <c r="B484" s="37"/>
      <c r="C484" s="37"/>
      <c r="D484" s="34" t="s">
        <v>219</v>
      </c>
      <c r="E484" s="39" t="n">
        <f aca="false">IFERROR(INDEX('Data 2'!$L$2:$L$2198,MATCH(D484,'Data 2'!$A$2:$A$2198,0)), 0)</f>
        <v>9.24333333333333</v>
      </c>
      <c r="F484" s="39" t="n">
        <f aca="false">IFERROR(INDEX('Data 2'!$M$2:$M$2198,MATCH(D484,'Data 2'!$A$2:$A$2198,0)), 0)</f>
        <v>47.28125</v>
      </c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7"/>
      <c r="Z484" s="37"/>
    </row>
    <row r="485" customFormat="false" ht="15.75" hidden="false" customHeight="true" outlineLevel="0" collapsed="false">
      <c r="A485" s="37"/>
      <c r="B485" s="37"/>
      <c r="C485" s="37"/>
      <c r="D485" s="34" t="s">
        <v>543</v>
      </c>
      <c r="E485" s="39" t="n">
        <f aca="false">IFERROR(INDEX('Data 2'!$L$2:$L$2198,MATCH(D485,'Data 2'!$A$2:$A$2198,0)), 0)</f>
        <v>18.6466666666667</v>
      </c>
      <c r="F485" s="39" t="n">
        <f aca="false">IFERROR(INDEX('Data 2'!$M$2:$M$2198,MATCH(D485,'Data 2'!$A$2:$A$2198,0)), 0)</f>
        <v>-2.77125</v>
      </c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7"/>
      <c r="Z485" s="37"/>
    </row>
    <row r="486" customFormat="false" ht="15.75" hidden="false" customHeight="true" outlineLevel="0" collapsed="false">
      <c r="A486" s="37"/>
      <c r="B486" s="37"/>
      <c r="C486" s="37"/>
      <c r="D486" s="34" t="s">
        <v>110</v>
      </c>
      <c r="E486" s="39" t="n">
        <f aca="false">IFERROR(INDEX('Data 2'!$L$2:$L$2198,MATCH(D486,'Data 2'!$A$2:$A$2198,0)), 0)</f>
        <v>62.7333333333333</v>
      </c>
      <c r="F486" s="39" t="n">
        <f aca="false">IFERROR(INDEX('Data 2'!$M$2:$M$2198,MATCH(D486,'Data 2'!$A$2:$A$2198,0)), 0)</f>
        <v>44.105</v>
      </c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7"/>
      <c r="Z486" s="37"/>
    </row>
    <row r="487" customFormat="false" ht="15.75" hidden="false" customHeight="true" outlineLevel="0" collapsed="false">
      <c r="A487" s="37"/>
      <c r="B487" s="37"/>
      <c r="C487" s="37"/>
      <c r="D487" s="34" t="s">
        <v>544</v>
      </c>
      <c r="E487" s="39" t="n">
        <f aca="false">IFERROR(INDEX('Data 2'!$L$2:$L$2198,MATCH(D487,'Data 2'!$A$2:$A$2198,0)), 0)</f>
        <v>-100.04</v>
      </c>
      <c r="F487" s="39" t="n">
        <f aca="false">IFERROR(INDEX('Data 2'!$M$2:$M$2198,MATCH(D487,'Data 2'!$A$2:$A$2198,0)), 0)</f>
        <v>-40.48375</v>
      </c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7"/>
      <c r="Z487" s="37"/>
    </row>
    <row r="488" customFormat="false" ht="15.75" hidden="false" customHeight="true" outlineLevel="0" collapsed="false">
      <c r="A488" s="37"/>
      <c r="B488" s="37"/>
      <c r="C488" s="37"/>
      <c r="D488" s="34" t="s">
        <v>545</v>
      </c>
      <c r="E488" s="39" t="n">
        <f aca="false">IFERROR(INDEX('Data 2'!$L$2:$L$2198,MATCH(D488,'Data 2'!$A$2:$A$2198,0)), 0)</f>
        <v>-51.9333333333333</v>
      </c>
      <c r="F488" s="39" t="n">
        <f aca="false">IFERROR(INDEX('Data 2'!$M$2:$M$2198,MATCH(D488,'Data 2'!$A$2:$A$2198,0)), 0)</f>
        <v>-66.32625</v>
      </c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7"/>
      <c r="Z488" s="37"/>
    </row>
    <row r="489" customFormat="false" ht="15.75" hidden="false" customHeight="true" outlineLevel="0" collapsed="false">
      <c r="A489" s="37"/>
      <c r="B489" s="37"/>
      <c r="C489" s="37"/>
      <c r="D489" s="34" t="s">
        <v>353</v>
      </c>
      <c r="E489" s="39" t="n">
        <f aca="false">IFERROR(INDEX('Data 2'!$L$2:$L$2198,MATCH(D489,'Data 2'!$A$2:$A$2198,0)), 0)</f>
        <v>0</v>
      </c>
      <c r="F489" s="39" t="n">
        <f aca="false">IFERROR(INDEX('Data 2'!$M$2:$M$2198,MATCH(D489,'Data 2'!$A$2:$A$2198,0)), 0)</f>
        <v>0</v>
      </c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7"/>
      <c r="Z489" s="37"/>
    </row>
    <row r="490" customFormat="false" ht="15.75" hidden="false" customHeight="true" outlineLevel="0" collapsed="false">
      <c r="A490" s="37"/>
      <c r="B490" s="37"/>
      <c r="C490" s="37"/>
      <c r="D490" s="34" t="s">
        <v>56</v>
      </c>
      <c r="E490" s="39" t="n">
        <f aca="false">IFERROR(INDEX('Data 2'!$L$2:$L$2198,MATCH(D490,'Data 2'!$A$2:$A$2198,0)), 0)</f>
        <v>29.0366666666667</v>
      </c>
      <c r="F490" s="39" t="n">
        <f aca="false">IFERROR(INDEX('Data 2'!$M$2:$M$2198,MATCH(D490,'Data 2'!$A$2:$A$2198,0)), 0)</f>
        <v>50.28375</v>
      </c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7"/>
      <c r="Z490" s="37"/>
    </row>
    <row r="491" customFormat="false" ht="15.75" hidden="false" customHeight="true" outlineLevel="0" collapsed="false">
      <c r="A491" s="37"/>
      <c r="B491" s="37"/>
      <c r="C491" s="37"/>
      <c r="D491" s="34" t="s">
        <v>546</v>
      </c>
      <c r="E491" s="39" t="n">
        <f aca="false">IFERROR(INDEX('Data 2'!$L$2:$L$2198,MATCH(D491,'Data 2'!$A$2:$A$2198,0)), 0)</f>
        <v>86.2933333333333</v>
      </c>
      <c r="F491" s="39" t="n">
        <f aca="false">IFERROR(INDEX('Data 2'!$M$2:$M$2198,MATCH(D491,'Data 2'!$A$2:$A$2198,0)), 0)</f>
        <v>36.5</v>
      </c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7"/>
      <c r="Z491" s="37"/>
    </row>
    <row r="492" customFormat="false" ht="15.75" hidden="false" customHeight="true" outlineLevel="0" collapsed="false">
      <c r="A492" s="37"/>
      <c r="B492" s="37"/>
      <c r="C492" s="37"/>
      <c r="D492" s="34" t="s">
        <v>547</v>
      </c>
      <c r="E492" s="39" t="n">
        <f aca="false">IFERROR(INDEX('Data 2'!$L$2:$L$2198,MATCH(D492,'Data 2'!$A$2:$A$2198,0)), 0)</f>
        <v>-38.98</v>
      </c>
      <c r="F492" s="39" t="n">
        <f aca="false">IFERROR(INDEX('Data 2'!$M$2:$M$2198,MATCH(D492,'Data 2'!$A$2:$A$2198,0)), 0)</f>
        <v>-78.89625</v>
      </c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7"/>
      <c r="Z492" s="37"/>
    </row>
    <row r="493" customFormat="false" ht="15.75" hidden="false" customHeight="true" outlineLevel="0" collapsed="false">
      <c r="A493" s="37"/>
      <c r="B493" s="37"/>
      <c r="C493" s="37"/>
      <c r="D493" s="34" t="s">
        <v>548</v>
      </c>
      <c r="E493" s="39" t="n">
        <f aca="false">IFERROR(INDEX('Data 2'!$L$2:$L$2198,MATCH(D493,'Data 2'!$A$2:$A$2198,0)), 0)</f>
        <v>12.2866666666667</v>
      </c>
      <c r="F493" s="39" t="n">
        <f aca="false">IFERROR(INDEX('Data 2'!$M$2:$M$2198,MATCH(D493,'Data 2'!$A$2:$A$2198,0)), 0)</f>
        <v>-15.75375</v>
      </c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7"/>
      <c r="Z493" s="37"/>
    </row>
    <row r="494" customFormat="false" ht="15.75" hidden="false" customHeight="true" outlineLevel="0" collapsed="false">
      <c r="A494" s="37"/>
      <c r="B494" s="37"/>
      <c r="C494" s="37"/>
      <c r="D494" s="34" t="s">
        <v>549</v>
      </c>
      <c r="E494" s="39" t="n">
        <f aca="false">IFERROR(INDEX('Data 2'!$L$2:$L$2198,MATCH(D494,'Data 2'!$A$2:$A$2198,0)), 0)</f>
        <v>4.34666666666667</v>
      </c>
      <c r="F494" s="39" t="n">
        <f aca="false">IFERROR(INDEX('Data 2'!$M$2:$M$2198,MATCH(D494,'Data 2'!$A$2:$A$2198,0)), 0)</f>
        <v>-2.74625</v>
      </c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7"/>
      <c r="Z494" s="37"/>
    </row>
    <row r="495" customFormat="false" ht="15.75" hidden="false" customHeight="true" outlineLevel="0" collapsed="false">
      <c r="A495" s="37"/>
      <c r="B495" s="37"/>
      <c r="C495" s="37"/>
      <c r="D495" s="34" t="s">
        <v>48</v>
      </c>
      <c r="E495" s="39" t="n">
        <f aca="false">IFERROR(INDEX('Data 2'!$L$2:$L$2198,MATCH(D495,'Data 2'!$A$2:$A$2198,0)), 0)</f>
        <v>17.56</v>
      </c>
      <c r="F495" s="39" t="n">
        <f aca="false">IFERROR(INDEX('Data 2'!$M$2:$M$2198,MATCH(D495,'Data 2'!$A$2:$A$2198,0)), 0)</f>
        <v>-16.93</v>
      </c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7"/>
      <c r="Z495" s="37"/>
    </row>
    <row r="496" customFormat="false" ht="15.75" hidden="false" customHeight="true" outlineLevel="0" collapsed="false">
      <c r="A496" s="37"/>
      <c r="B496" s="37"/>
      <c r="C496" s="37"/>
      <c r="D496" s="34" t="s">
        <v>234</v>
      </c>
      <c r="E496" s="39" t="n">
        <f aca="false">IFERROR(INDEX('Data 2'!$L$2:$L$2198,MATCH(D496,'Data 2'!$A$2:$A$2198,0)), 0)</f>
        <v>-7.70666666666667</v>
      </c>
      <c r="F496" s="39" t="n">
        <f aca="false">IFERROR(INDEX('Data 2'!$M$2:$M$2198,MATCH(D496,'Data 2'!$A$2:$A$2198,0)), 0)</f>
        <v>-11.97375</v>
      </c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7"/>
      <c r="Z496" s="37"/>
    </row>
    <row r="497" customFormat="false" ht="15.75" hidden="false" customHeight="true" outlineLevel="0" collapsed="false">
      <c r="A497" s="37"/>
      <c r="B497" s="37"/>
      <c r="C497" s="37"/>
      <c r="D497" s="34" t="s">
        <v>473</v>
      </c>
      <c r="E497" s="39" t="n">
        <f aca="false">IFERROR(INDEX('Data 2'!$L$2:$L$2198,MATCH(D497,'Data 2'!$A$2:$A$2198,0)), 0)</f>
        <v>16.5233333333333</v>
      </c>
      <c r="F497" s="39" t="n">
        <f aca="false">IFERROR(INDEX('Data 2'!$M$2:$M$2198,MATCH(D497,'Data 2'!$A$2:$A$2198,0)), 0)</f>
        <v>137.69625</v>
      </c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7"/>
      <c r="Z497" s="37"/>
    </row>
    <row r="498" customFormat="false" ht="15.75" hidden="false" customHeight="true" outlineLevel="0" collapsed="false">
      <c r="A498" s="37"/>
      <c r="B498" s="37"/>
      <c r="C498" s="37"/>
      <c r="D498" s="34" t="s">
        <v>179</v>
      </c>
      <c r="E498" s="39" t="n">
        <f aca="false">IFERROR(INDEX('Data 2'!$L$2:$L$2198,MATCH(D498,'Data 2'!$A$2:$A$2198,0)), 0)</f>
        <v>126.683333333333</v>
      </c>
      <c r="F498" s="39" t="n">
        <f aca="false">IFERROR(INDEX('Data 2'!$M$2:$M$2198,MATCH(D498,'Data 2'!$A$2:$A$2198,0)), 0)</f>
        <v>35.9875</v>
      </c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7"/>
      <c r="Z498" s="37"/>
    </row>
    <row r="499" customFormat="false" ht="15.75" hidden="false" customHeight="true" outlineLevel="0" collapsed="false">
      <c r="A499" s="37"/>
      <c r="B499" s="37"/>
      <c r="C499" s="37"/>
      <c r="D499" s="34" t="s">
        <v>357</v>
      </c>
      <c r="E499" s="39" t="n">
        <f aca="false">IFERROR(INDEX('Data 2'!$L$2:$L$2198,MATCH(D499,'Data 2'!$A$2:$A$2198,0)), 0)</f>
        <v>-64.33</v>
      </c>
      <c r="F499" s="39" t="n">
        <f aca="false">IFERROR(INDEX('Data 2'!$M$2:$M$2198,MATCH(D499,'Data 2'!$A$2:$A$2198,0)), 0)</f>
        <v>-39.66</v>
      </c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7"/>
      <c r="Z499" s="37"/>
    </row>
    <row r="500" customFormat="false" ht="15.75" hidden="false" customHeight="true" outlineLevel="0" collapsed="false">
      <c r="A500" s="37"/>
      <c r="B500" s="37"/>
      <c r="C500" s="37"/>
      <c r="D500" s="34" t="s">
        <v>550</v>
      </c>
      <c r="E500" s="39" t="n">
        <f aca="false">IFERROR(INDEX('Data 2'!$L$2:$L$2198,MATCH(D500,'Data 2'!$A$2:$A$2198,0)), 0)</f>
        <v>0</v>
      </c>
      <c r="F500" s="39" t="n">
        <f aca="false">IFERROR(INDEX('Data 2'!$M$2:$M$2198,MATCH(D500,'Data 2'!$A$2:$A$2198,0)), 0)</f>
        <v>0</v>
      </c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7"/>
      <c r="Z500" s="37"/>
    </row>
    <row r="501" customFormat="false" ht="15.75" hidden="false" customHeight="true" outlineLevel="0" collapsed="false">
      <c r="A501" s="37"/>
      <c r="B501" s="37"/>
      <c r="C501" s="37"/>
      <c r="D501" s="34" t="s">
        <v>109</v>
      </c>
      <c r="E501" s="39" t="n">
        <f aca="false">IFERROR(INDEX('Data 2'!$L$2:$L$2198,MATCH(D501,'Data 2'!$A$2:$A$2198,0)), 0)</f>
        <v>73.5233333333333</v>
      </c>
      <c r="F501" s="39" t="n">
        <f aca="false">IFERROR(INDEX('Data 2'!$M$2:$M$2198,MATCH(D501,'Data 2'!$A$2:$A$2198,0)), 0)</f>
        <v>88.1925</v>
      </c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7"/>
      <c r="Z501" s="37"/>
    </row>
    <row r="502" customFormat="false" ht="15.75" hidden="false" customHeight="true" outlineLevel="0" collapsed="false">
      <c r="A502" s="37"/>
      <c r="B502" s="37"/>
      <c r="C502" s="37"/>
      <c r="D502" s="34" t="s">
        <v>551</v>
      </c>
      <c r="E502" s="39" t="n">
        <f aca="false">IFERROR(INDEX('Data 2'!$L$2:$L$2198,MATCH(D502,'Data 2'!$A$2:$A$2198,0)), 0)</f>
        <v>-110.496666666667</v>
      </c>
      <c r="F502" s="39" t="n">
        <f aca="false">IFERROR(INDEX('Data 2'!$M$2:$M$2198,MATCH(D502,'Data 2'!$A$2:$A$2198,0)), 0)</f>
        <v>13.95375</v>
      </c>
      <c r="H502" s="36"/>
      <c r="I502" s="36"/>
      <c r="J502" s="36"/>
      <c r="K502" s="36"/>
      <c r="L502" s="36"/>
      <c r="M502" s="36"/>
      <c r="N502" s="36"/>
      <c r="O502" s="36"/>
      <c r="P502" s="37"/>
      <c r="Q502" s="37"/>
      <c r="R502" s="37"/>
      <c r="S502" s="36"/>
      <c r="T502" s="36"/>
      <c r="U502" s="36"/>
      <c r="V502" s="37"/>
      <c r="W502" s="37"/>
      <c r="X502" s="37"/>
      <c r="Y502" s="37"/>
      <c r="Z502" s="37"/>
    </row>
    <row r="503" customFormat="false" ht="15.75" hidden="false" customHeight="true" outlineLevel="0" collapsed="false">
      <c r="A503" s="37"/>
      <c r="B503" s="37"/>
      <c r="C503" s="37"/>
      <c r="D503" s="37"/>
      <c r="E503" s="39"/>
      <c r="F503" s="39"/>
      <c r="H503" s="36"/>
      <c r="I503" s="36"/>
      <c r="J503" s="36"/>
      <c r="K503" s="36"/>
      <c r="L503" s="36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customFormat="false" ht="15.75" hidden="false" customHeight="true" outlineLevel="0" collapsed="false">
      <c r="A504" s="37"/>
      <c r="B504" s="37"/>
      <c r="C504" s="37"/>
      <c r="D504" s="37"/>
      <c r="E504" s="39"/>
      <c r="F504" s="39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customFormat="false" ht="15.75" hidden="false" customHeight="true" outlineLevel="0" collapsed="false">
      <c r="A505" s="37"/>
      <c r="B505" s="37"/>
      <c r="C505" s="37"/>
      <c r="D505" s="37"/>
      <c r="E505" s="37"/>
      <c r="F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customFormat="false" ht="15.75" hidden="false" customHeight="true" outlineLevel="0" collapsed="false">
      <c r="A506" s="37"/>
      <c r="B506" s="37"/>
      <c r="C506" s="37"/>
      <c r="D506" s="37"/>
      <c r="E506" s="37"/>
      <c r="F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customFormat="false" ht="15.75" hidden="false" customHeight="true" outlineLevel="0" collapsed="false">
      <c r="A507" s="37"/>
      <c r="B507" s="37"/>
      <c r="C507" s="37"/>
      <c r="D507" s="37"/>
      <c r="E507" s="37"/>
      <c r="F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customFormat="false" ht="15.75" hidden="false" customHeight="true" outlineLevel="0" collapsed="false">
      <c r="A508" s="37"/>
      <c r="B508" s="37"/>
      <c r="C508" s="37"/>
      <c r="D508" s="37"/>
      <c r="E508" s="37"/>
      <c r="F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customFormat="false" ht="15.75" hidden="false" customHeight="true" outlineLevel="0" collapsed="false">
      <c r="A509" s="37"/>
      <c r="B509" s="37"/>
      <c r="C509" s="37"/>
      <c r="D509" s="37"/>
      <c r="E509" s="37"/>
      <c r="F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customFormat="false" ht="15.75" hidden="false" customHeight="true" outlineLevel="0" collapsed="false">
      <c r="A510" s="37"/>
      <c r="B510" s="37"/>
      <c r="C510" s="37"/>
      <c r="D510" s="37"/>
      <c r="E510" s="37"/>
      <c r="F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customFormat="false" ht="15.75" hidden="false" customHeight="true" outlineLevel="0" collapsed="false">
      <c r="A511" s="37"/>
      <c r="B511" s="37"/>
      <c r="C511" s="37"/>
      <c r="D511" s="37"/>
      <c r="E511" s="37"/>
      <c r="F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customFormat="false" ht="15.75" hidden="false" customHeight="true" outlineLevel="0" collapsed="false">
      <c r="A512" s="37"/>
      <c r="B512" s="37"/>
      <c r="C512" s="37"/>
      <c r="D512" s="37"/>
      <c r="E512" s="37"/>
      <c r="F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customFormat="false" ht="15.75" hidden="false" customHeight="true" outlineLevel="0" collapsed="false">
      <c r="A513" s="37"/>
      <c r="B513" s="37"/>
      <c r="C513" s="37"/>
      <c r="D513" s="37"/>
      <c r="E513" s="37"/>
      <c r="F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customFormat="false" ht="15.75" hidden="false" customHeight="true" outlineLevel="0" collapsed="false">
      <c r="A514" s="37"/>
      <c r="B514" s="37"/>
      <c r="C514" s="37"/>
      <c r="D514" s="37"/>
      <c r="E514" s="37"/>
      <c r="F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customFormat="false" ht="15.75" hidden="false" customHeight="true" outlineLevel="0" collapsed="false">
      <c r="A515" s="37"/>
      <c r="B515" s="37"/>
      <c r="C515" s="37"/>
      <c r="D515" s="37"/>
      <c r="E515" s="37"/>
      <c r="F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customFormat="false" ht="15.75" hidden="false" customHeight="true" outlineLevel="0" collapsed="false">
      <c r="A516" s="37"/>
      <c r="B516" s="37"/>
      <c r="C516" s="37"/>
      <c r="D516" s="37"/>
      <c r="E516" s="37"/>
      <c r="F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customFormat="false" ht="15.75" hidden="false" customHeight="true" outlineLevel="0" collapsed="false">
      <c r="A517" s="37"/>
      <c r="B517" s="37"/>
      <c r="C517" s="37"/>
      <c r="D517" s="37"/>
      <c r="E517" s="37"/>
      <c r="F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customFormat="false" ht="15.75" hidden="false" customHeight="true" outlineLevel="0" collapsed="false">
      <c r="A518" s="37"/>
      <c r="B518" s="37"/>
      <c r="C518" s="37"/>
      <c r="D518" s="37"/>
      <c r="E518" s="37"/>
      <c r="F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customFormat="false" ht="15.75" hidden="false" customHeight="true" outlineLevel="0" collapsed="false">
      <c r="A519" s="37"/>
      <c r="B519" s="37"/>
      <c r="C519" s="37"/>
      <c r="D519" s="37"/>
      <c r="E519" s="37"/>
      <c r="F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customFormat="false" ht="15.75" hidden="false" customHeight="true" outlineLevel="0" collapsed="false">
      <c r="A520" s="37"/>
      <c r="B520" s="37"/>
      <c r="C520" s="37"/>
      <c r="D520" s="37"/>
      <c r="E520" s="37"/>
      <c r="F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customFormat="false" ht="15.75" hidden="false" customHeight="true" outlineLevel="0" collapsed="false">
      <c r="A521" s="37"/>
      <c r="B521" s="37"/>
      <c r="C521" s="37"/>
      <c r="D521" s="37"/>
      <c r="E521" s="37"/>
      <c r="F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customFormat="false" ht="15.75" hidden="false" customHeight="true" outlineLevel="0" collapsed="false">
      <c r="A522" s="37"/>
      <c r="B522" s="37"/>
      <c r="C522" s="37"/>
      <c r="D522" s="37"/>
      <c r="E522" s="37"/>
      <c r="F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customFormat="false" ht="15.75" hidden="false" customHeight="true" outlineLevel="0" collapsed="false">
      <c r="A523" s="37"/>
      <c r="B523" s="37"/>
      <c r="C523" s="37"/>
      <c r="D523" s="37"/>
      <c r="E523" s="37"/>
      <c r="F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customFormat="false" ht="15.75" hidden="false" customHeight="true" outlineLevel="0" collapsed="false">
      <c r="A524" s="37"/>
      <c r="B524" s="37"/>
      <c r="C524" s="37"/>
      <c r="D524" s="37"/>
      <c r="E524" s="37"/>
      <c r="F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customFormat="false" ht="15.75" hidden="false" customHeight="true" outlineLevel="0" collapsed="false">
      <c r="A525" s="37"/>
      <c r="B525" s="37"/>
      <c r="C525" s="37"/>
      <c r="D525" s="37"/>
      <c r="E525" s="37"/>
      <c r="F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customFormat="false" ht="15.75" hidden="false" customHeight="true" outlineLevel="0" collapsed="false">
      <c r="A526" s="37"/>
      <c r="B526" s="37"/>
      <c r="C526" s="37"/>
      <c r="D526" s="37"/>
      <c r="E526" s="37"/>
      <c r="F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customFormat="false" ht="15.75" hidden="false" customHeight="true" outlineLevel="0" collapsed="false">
      <c r="A527" s="37"/>
      <c r="B527" s="37"/>
      <c r="C527" s="37"/>
      <c r="D527" s="37"/>
      <c r="E527" s="37"/>
      <c r="F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customFormat="false" ht="15.75" hidden="false" customHeight="true" outlineLevel="0" collapsed="false">
      <c r="A528" s="37"/>
      <c r="B528" s="37"/>
      <c r="C528" s="37"/>
      <c r="D528" s="37"/>
      <c r="E528" s="37"/>
      <c r="F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customFormat="false" ht="15.75" hidden="false" customHeight="true" outlineLevel="0" collapsed="false">
      <c r="A529" s="37"/>
      <c r="B529" s="37"/>
      <c r="C529" s="37"/>
      <c r="D529" s="37"/>
      <c r="E529" s="37"/>
      <c r="F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customFormat="false" ht="15.75" hidden="false" customHeight="true" outlineLevel="0" collapsed="false">
      <c r="A530" s="37"/>
      <c r="B530" s="37"/>
      <c r="C530" s="37"/>
      <c r="D530" s="37"/>
      <c r="E530" s="37"/>
      <c r="F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customFormat="false" ht="15.75" hidden="false" customHeight="true" outlineLevel="0" collapsed="false">
      <c r="A531" s="37"/>
      <c r="B531" s="37"/>
      <c r="C531" s="37"/>
      <c r="D531" s="37"/>
      <c r="E531" s="37"/>
      <c r="F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customFormat="false" ht="15.75" hidden="false" customHeight="true" outlineLevel="0" collapsed="false">
      <c r="A532" s="37"/>
      <c r="B532" s="37"/>
      <c r="C532" s="37"/>
      <c r="D532" s="37"/>
      <c r="E532" s="37"/>
      <c r="F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customFormat="false" ht="15.75" hidden="false" customHeight="true" outlineLevel="0" collapsed="false">
      <c r="A533" s="37"/>
      <c r="B533" s="37"/>
      <c r="C533" s="37"/>
      <c r="D533" s="37"/>
      <c r="E533" s="37"/>
      <c r="F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customFormat="false" ht="15.75" hidden="false" customHeight="true" outlineLevel="0" collapsed="false">
      <c r="A534" s="37"/>
      <c r="B534" s="37"/>
      <c r="C534" s="37"/>
      <c r="D534" s="37"/>
      <c r="E534" s="37"/>
      <c r="F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customFormat="false" ht="15.75" hidden="false" customHeight="true" outlineLevel="0" collapsed="false">
      <c r="A535" s="37"/>
      <c r="B535" s="37"/>
      <c r="C535" s="37"/>
      <c r="D535" s="37"/>
      <c r="E535" s="37"/>
      <c r="F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customFormat="false" ht="15.75" hidden="false" customHeight="true" outlineLevel="0" collapsed="false">
      <c r="A536" s="37"/>
      <c r="B536" s="37"/>
      <c r="C536" s="37"/>
      <c r="D536" s="37"/>
      <c r="E536" s="37"/>
      <c r="F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customFormat="false" ht="15.75" hidden="false" customHeight="true" outlineLevel="0" collapsed="false">
      <c r="A537" s="37"/>
      <c r="B537" s="37"/>
      <c r="C537" s="37"/>
      <c r="D537" s="37"/>
      <c r="E537" s="37"/>
      <c r="F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customFormat="false" ht="15.75" hidden="false" customHeight="true" outlineLevel="0" collapsed="false">
      <c r="A538" s="37"/>
      <c r="B538" s="37"/>
      <c r="C538" s="37"/>
      <c r="D538" s="37"/>
      <c r="E538" s="37"/>
      <c r="F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customFormat="false" ht="15.75" hidden="false" customHeight="true" outlineLevel="0" collapsed="false">
      <c r="A539" s="37"/>
      <c r="B539" s="37"/>
      <c r="C539" s="37"/>
      <c r="D539" s="37"/>
      <c r="E539" s="37"/>
      <c r="F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customFormat="false" ht="15.75" hidden="false" customHeight="true" outlineLevel="0" collapsed="false">
      <c r="A540" s="37"/>
      <c r="B540" s="37"/>
      <c r="C540" s="37"/>
      <c r="D540" s="37"/>
      <c r="E540" s="37"/>
      <c r="F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customFormat="false" ht="15.75" hidden="false" customHeight="true" outlineLevel="0" collapsed="false">
      <c r="A541" s="37"/>
      <c r="B541" s="37"/>
      <c r="C541" s="37"/>
      <c r="D541" s="37"/>
      <c r="E541" s="37"/>
      <c r="F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customFormat="false" ht="15.75" hidden="false" customHeight="true" outlineLevel="0" collapsed="false">
      <c r="A542" s="37"/>
      <c r="B542" s="37"/>
      <c r="C542" s="37"/>
      <c r="D542" s="37"/>
      <c r="E542" s="37"/>
      <c r="F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customFormat="false" ht="15.75" hidden="false" customHeight="true" outlineLevel="0" collapsed="false">
      <c r="A543" s="37"/>
      <c r="B543" s="37"/>
      <c r="C543" s="37"/>
      <c r="D543" s="37"/>
      <c r="E543" s="37"/>
      <c r="F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customFormat="false" ht="15.75" hidden="false" customHeight="true" outlineLevel="0" collapsed="false">
      <c r="A544" s="37"/>
      <c r="B544" s="37"/>
      <c r="C544" s="37"/>
      <c r="D544" s="37"/>
      <c r="E544" s="37"/>
      <c r="F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customFormat="false" ht="15.75" hidden="false" customHeight="true" outlineLevel="0" collapsed="false">
      <c r="A545" s="37"/>
      <c r="B545" s="37"/>
      <c r="C545" s="37"/>
      <c r="D545" s="37"/>
      <c r="E545" s="37"/>
      <c r="F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customFormat="false" ht="15.75" hidden="false" customHeight="true" outlineLevel="0" collapsed="false">
      <c r="A546" s="37"/>
      <c r="B546" s="37"/>
      <c r="C546" s="37"/>
      <c r="D546" s="37"/>
      <c r="E546" s="37"/>
      <c r="F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customFormat="false" ht="15.75" hidden="false" customHeight="true" outlineLevel="0" collapsed="false">
      <c r="A547" s="37"/>
      <c r="B547" s="37"/>
      <c r="C547" s="37"/>
      <c r="D547" s="37"/>
      <c r="E547" s="37"/>
      <c r="F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customFormat="false" ht="15.75" hidden="false" customHeight="true" outlineLevel="0" collapsed="false">
      <c r="A548" s="37"/>
      <c r="B548" s="37"/>
      <c r="C548" s="37"/>
      <c r="D548" s="37"/>
      <c r="E548" s="37"/>
      <c r="F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customFormat="false" ht="15.75" hidden="false" customHeight="true" outlineLevel="0" collapsed="false">
      <c r="A549" s="37"/>
      <c r="B549" s="37"/>
      <c r="C549" s="37"/>
      <c r="D549" s="37"/>
      <c r="E549" s="37"/>
      <c r="F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customFormat="false" ht="15.75" hidden="false" customHeight="true" outlineLevel="0" collapsed="false">
      <c r="A550" s="37"/>
      <c r="B550" s="37"/>
      <c r="C550" s="37"/>
      <c r="D550" s="37"/>
      <c r="E550" s="37"/>
      <c r="F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customFormat="false" ht="15.75" hidden="false" customHeight="true" outlineLevel="0" collapsed="false">
      <c r="A551" s="37"/>
      <c r="B551" s="37"/>
      <c r="C551" s="37"/>
      <c r="D551" s="37"/>
      <c r="E551" s="37"/>
      <c r="F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customFormat="false" ht="15.75" hidden="false" customHeight="true" outlineLevel="0" collapsed="false">
      <c r="A552" s="37"/>
      <c r="B552" s="37"/>
      <c r="C552" s="37"/>
      <c r="D552" s="37"/>
      <c r="E552" s="37"/>
      <c r="F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customFormat="false" ht="15.75" hidden="false" customHeight="true" outlineLevel="0" collapsed="false">
      <c r="A553" s="37"/>
      <c r="B553" s="37"/>
      <c r="C553" s="37"/>
      <c r="D553" s="37"/>
      <c r="E553" s="37"/>
      <c r="F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customFormat="false" ht="15.75" hidden="false" customHeight="true" outlineLevel="0" collapsed="false">
      <c r="A554" s="37"/>
      <c r="B554" s="37"/>
      <c r="C554" s="37"/>
      <c r="D554" s="37"/>
      <c r="E554" s="37"/>
      <c r="F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customFormat="false" ht="15.75" hidden="false" customHeight="true" outlineLevel="0" collapsed="false">
      <c r="A555" s="37"/>
      <c r="B555" s="37"/>
      <c r="C555" s="37"/>
      <c r="D555" s="37"/>
      <c r="E555" s="37"/>
      <c r="F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customFormat="false" ht="15.75" hidden="false" customHeight="true" outlineLevel="0" collapsed="false">
      <c r="A556" s="37"/>
      <c r="B556" s="37"/>
      <c r="C556" s="37"/>
      <c r="D556" s="37"/>
      <c r="E556" s="37"/>
      <c r="F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customFormat="false" ht="15.75" hidden="false" customHeight="true" outlineLevel="0" collapsed="false">
      <c r="A557" s="37"/>
      <c r="B557" s="37"/>
      <c r="C557" s="37"/>
      <c r="D557" s="37"/>
      <c r="E557" s="37"/>
      <c r="F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customFormat="false" ht="15.75" hidden="false" customHeight="true" outlineLevel="0" collapsed="false">
      <c r="A558" s="37"/>
      <c r="B558" s="37"/>
      <c r="C558" s="37"/>
      <c r="D558" s="37"/>
      <c r="E558" s="37"/>
      <c r="F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customFormat="false" ht="15.75" hidden="false" customHeight="true" outlineLevel="0" collapsed="false">
      <c r="A559" s="37"/>
      <c r="B559" s="37"/>
      <c r="C559" s="37"/>
      <c r="D559" s="37"/>
      <c r="E559" s="37"/>
      <c r="F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customFormat="false" ht="15.75" hidden="false" customHeight="true" outlineLevel="0" collapsed="false">
      <c r="A560" s="37"/>
      <c r="B560" s="37"/>
      <c r="C560" s="37"/>
      <c r="D560" s="37"/>
      <c r="E560" s="37"/>
      <c r="F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customFormat="false" ht="15.75" hidden="false" customHeight="true" outlineLevel="0" collapsed="false">
      <c r="A561" s="37"/>
      <c r="B561" s="37"/>
      <c r="C561" s="37"/>
      <c r="D561" s="37"/>
      <c r="E561" s="37"/>
      <c r="F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customFormat="false" ht="15.75" hidden="false" customHeight="true" outlineLevel="0" collapsed="false">
      <c r="A562" s="37"/>
      <c r="B562" s="37"/>
      <c r="C562" s="37"/>
      <c r="D562" s="37"/>
      <c r="E562" s="37"/>
      <c r="F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customFormat="false" ht="15.75" hidden="false" customHeight="true" outlineLevel="0" collapsed="false">
      <c r="A563" s="37"/>
      <c r="B563" s="37"/>
      <c r="C563" s="37"/>
      <c r="D563" s="37"/>
      <c r="E563" s="37"/>
      <c r="F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customFormat="false" ht="15.75" hidden="false" customHeight="true" outlineLevel="0" collapsed="false">
      <c r="A564" s="37"/>
      <c r="B564" s="37"/>
      <c r="C564" s="37"/>
      <c r="D564" s="37"/>
      <c r="E564" s="37"/>
      <c r="F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customFormat="false" ht="15.75" hidden="false" customHeight="true" outlineLevel="0" collapsed="false">
      <c r="A565" s="37"/>
      <c r="B565" s="37"/>
      <c r="C565" s="37"/>
      <c r="D565" s="37"/>
      <c r="E565" s="37"/>
      <c r="F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customFormat="false" ht="15.75" hidden="false" customHeight="true" outlineLevel="0" collapsed="false">
      <c r="A566" s="37"/>
      <c r="B566" s="37"/>
      <c r="C566" s="37"/>
      <c r="D566" s="37"/>
      <c r="E566" s="37"/>
      <c r="F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customFormat="false" ht="15.75" hidden="false" customHeight="true" outlineLevel="0" collapsed="false">
      <c r="A567" s="37"/>
      <c r="B567" s="37"/>
      <c r="C567" s="37"/>
      <c r="D567" s="37"/>
      <c r="E567" s="37"/>
      <c r="F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customFormat="false" ht="15.75" hidden="false" customHeight="true" outlineLevel="0" collapsed="false">
      <c r="A568" s="37"/>
      <c r="B568" s="37"/>
      <c r="C568" s="37"/>
      <c r="D568" s="37"/>
      <c r="E568" s="37"/>
      <c r="F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customFormat="false" ht="15.75" hidden="false" customHeight="true" outlineLevel="0" collapsed="false">
      <c r="A569" s="37"/>
      <c r="B569" s="37"/>
      <c r="C569" s="37"/>
      <c r="D569" s="37"/>
      <c r="E569" s="37"/>
      <c r="F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customFormat="false" ht="15.75" hidden="false" customHeight="true" outlineLevel="0" collapsed="false">
      <c r="A570" s="37"/>
      <c r="B570" s="37"/>
      <c r="C570" s="37"/>
      <c r="D570" s="37"/>
      <c r="E570" s="37"/>
      <c r="F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customFormat="false" ht="15.75" hidden="false" customHeight="true" outlineLevel="0" collapsed="false">
      <c r="A571" s="37"/>
      <c r="B571" s="37"/>
      <c r="C571" s="37"/>
      <c r="D571" s="37"/>
      <c r="E571" s="37"/>
      <c r="F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customFormat="false" ht="15.75" hidden="false" customHeight="true" outlineLevel="0" collapsed="false">
      <c r="A572" s="37"/>
      <c r="B572" s="37"/>
      <c r="C572" s="37"/>
      <c r="D572" s="37"/>
      <c r="E572" s="37"/>
      <c r="F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customFormat="false" ht="15.75" hidden="false" customHeight="true" outlineLevel="0" collapsed="false">
      <c r="A573" s="37"/>
      <c r="B573" s="37"/>
      <c r="C573" s="37"/>
      <c r="D573" s="37"/>
      <c r="E573" s="37"/>
      <c r="F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customFormat="false" ht="15.75" hidden="false" customHeight="true" outlineLevel="0" collapsed="false">
      <c r="A574" s="37"/>
      <c r="B574" s="37"/>
      <c r="C574" s="37"/>
      <c r="D574" s="37"/>
      <c r="E574" s="37"/>
      <c r="F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customFormat="false" ht="15.75" hidden="false" customHeight="true" outlineLevel="0" collapsed="false">
      <c r="A575" s="37"/>
      <c r="B575" s="37"/>
      <c r="C575" s="37"/>
      <c r="D575" s="37"/>
      <c r="E575" s="37"/>
      <c r="F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customFormat="false" ht="15.75" hidden="false" customHeight="true" outlineLevel="0" collapsed="false">
      <c r="A576" s="37"/>
      <c r="B576" s="37"/>
      <c r="C576" s="37"/>
      <c r="D576" s="37"/>
      <c r="E576" s="37"/>
      <c r="F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customFormat="false" ht="15.75" hidden="false" customHeight="true" outlineLevel="0" collapsed="false">
      <c r="A577" s="37"/>
      <c r="B577" s="37"/>
      <c r="C577" s="37"/>
      <c r="D577" s="37"/>
      <c r="E577" s="37"/>
      <c r="F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customFormat="false" ht="15.75" hidden="false" customHeight="true" outlineLevel="0" collapsed="false">
      <c r="A578" s="37"/>
      <c r="B578" s="37"/>
      <c r="C578" s="37"/>
      <c r="D578" s="37"/>
      <c r="E578" s="37"/>
      <c r="F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customFormat="false" ht="15.75" hidden="false" customHeight="true" outlineLevel="0" collapsed="false">
      <c r="A579" s="37"/>
      <c r="B579" s="37"/>
      <c r="C579" s="37"/>
      <c r="D579" s="37"/>
      <c r="E579" s="37"/>
      <c r="F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customFormat="false" ht="15.75" hidden="false" customHeight="true" outlineLevel="0" collapsed="false">
      <c r="A580" s="37"/>
      <c r="B580" s="37"/>
      <c r="C580" s="37"/>
      <c r="D580" s="37"/>
      <c r="E580" s="37"/>
      <c r="F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customFormat="false" ht="15.75" hidden="false" customHeight="true" outlineLevel="0" collapsed="false">
      <c r="A581" s="37"/>
      <c r="B581" s="37"/>
      <c r="C581" s="37"/>
      <c r="D581" s="37"/>
      <c r="E581" s="37"/>
      <c r="F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customFormat="false" ht="15.75" hidden="false" customHeight="true" outlineLevel="0" collapsed="false">
      <c r="A582" s="37"/>
      <c r="B582" s="37"/>
      <c r="C582" s="37"/>
      <c r="D582" s="37"/>
      <c r="E582" s="37"/>
      <c r="F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customFormat="false" ht="15.75" hidden="false" customHeight="true" outlineLevel="0" collapsed="false">
      <c r="A583" s="37"/>
      <c r="B583" s="37"/>
      <c r="C583" s="37"/>
      <c r="D583" s="37"/>
      <c r="E583" s="37"/>
      <c r="F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customFormat="false" ht="15.75" hidden="false" customHeight="true" outlineLevel="0" collapsed="false">
      <c r="A584" s="37"/>
      <c r="B584" s="37"/>
      <c r="C584" s="37"/>
      <c r="D584" s="37"/>
      <c r="E584" s="37"/>
      <c r="F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customFormat="false" ht="15.75" hidden="false" customHeight="true" outlineLevel="0" collapsed="false">
      <c r="A585" s="37"/>
      <c r="B585" s="37"/>
      <c r="C585" s="37"/>
      <c r="D585" s="37"/>
      <c r="E585" s="37"/>
      <c r="F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customFormat="false" ht="15.75" hidden="false" customHeight="true" outlineLevel="0" collapsed="false">
      <c r="A586" s="37"/>
      <c r="B586" s="37"/>
      <c r="C586" s="37"/>
      <c r="D586" s="37"/>
      <c r="E586" s="37"/>
      <c r="F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customFormat="false" ht="15.75" hidden="false" customHeight="true" outlineLevel="0" collapsed="false">
      <c r="A587" s="37"/>
      <c r="B587" s="37"/>
      <c r="C587" s="37"/>
      <c r="D587" s="37"/>
      <c r="E587" s="37"/>
      <c r="F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customFormat="false" ht="15.75" hidden="false" customHeight="true" outlineLevel="0" collapsed="false">
      <c r="A588" s="37"/>
      <c r="B588" s="37"/>
      <c r="C588" s="37"/>
      <c r="D588" s="37"/>
      <c r="E588" s="37"/>
      <c r="F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customFormat="false" ht="15.75" hidden="false" customHeight="true" outlineLevel="0" collapsed="false">
      <c r="A589" s="37"/>
      <c r="B589" s="37"/>
      <c r="C589" s="37"/>
      <c r="D589" s="37"/>
      <c r="E589" s="37"/>
      <c r="F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customFormat="false" ht="15.75" hidden="false" customHeight="true" outlineLevel="0" collapsed="false">
      <c r="A590" s="37"/>
      <c r="B590" s="37"/>
      <c r="C590" s="37"/>
      <c r="D590" s="37"/>
      <c r="E590" s="37"/>
      <c r="F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customFormat="false" ht="15.75" hidden="false" customHeight="true" outlineLevel="0" collapsed="false">
      <c r="A591" s="37"/>
      <c r="B591" s="37"/>
      <c r="C591" s="37"/>
      <c r="D591" s="37"/>
      <c r="E591" s="37"/>
      <c r="F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customFormat="false" ht="15.75" hidden="false" customHeight="true" outlineLevel="0" collapsed="false">
      <c r="A592" s="37"/>
      <c r="B592" s="37"/>
      <c r="C592" s="37"/>
      <c r="D592" s="37"/>
      <c r="E592" s="37"/>
      <c r="F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customFormat="false" ht="15.75" hidden="false" customHeight="true" outlineLevel="0" collapsed="false">
      <c r="A593" s="37"/>
      <c r="B593" s="37"/>
      <c r="C593" s="37"/>
      <c r="D593" s="37"/>
      <c r="E593" s="37"/>
      <c r="F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customFormat="false" ht="15.75" hidden="false" customHeight="true" outlineLevel="0" collapsed="false">
      <c r="A594" s="37"/>
      <c r="B594" s="37"/>
      <c r="C594" s="37"/>
      <c r="D594" s="37"/>
      <c r="E594" s="37"/>
      <c r="F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customFormat="false" ht="15.75" hidden="false" customHeight="true" outlineLevel="0" collapsed="false">
      <c r="A595" s="37"/>
      <c r="B595" s="37"/>
      <c r="C595" s="37"/>
      <c r="D595" s="37"/>
      <c r="E595" s="37"/>
      <c r="F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customFormat="false" ht="15.75" hidden="false" customHeight="true" outlineLevel="0" collapsed="false">
      <c r="A596" s="37"/>
      <c r="B596" s="37"/>
      <c r="C596" s="37"/>
      <c r="D596" s="37"/>
      <c r="E596" s="37"/>
      <c r="F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customFormat="false" ht="15.75" hidden="false" customHeight="true" outlineLevel="0" collapsed="false">
      <c r="A597" s="37"/>
      <c r="B597" s="37"/>
      <c r="C597" s="37"/>
      <c r="D597" s="37"/>
      <c r="E597" s="37"/>
      <c r="F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customFormat="false" ht="15.75" hidden="false" customHeight="true" outlineLevel="0" collapsed="false">
      <c r="A598" s="37"/>
      <c r="B598" s="37"/>
      <c r="C598" s="37"/>
      <c r="D598" s="37"/>
      <c r="E598" s="37"/>
      <c r="F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customFormat="false" ht="15.75" hidden="false" customHeight="true" outlineLevel="0" collapsed="false">
      <c r="A599" s="37"/>
      <c r="B599" s="37"/>
      <c r="C599" s="37"/>
      <c r="D599" s="37"/>
      <c r="E599" s="37"/>
      <c r="F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customFormat="false" ht="15.75" hidden="false" customHeight="true" outlineLevel="0" collapsed="false">
      <c r="A600" s="37"/>
      <c r="B600" s="37"/>
      <c r="C600" s="37"/>
      <c r="D600" s="37"/>
      <c r="E600" s="37"/>
      <c r="F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customFormat="false" ht="15.75" hidden="false" customHeight="true" outlineLevel="0" collapsed="false">
      <c r="A601" s="37"/>
      <c r="B601" s="37"/>
      <c r="C601" s="37"/>
      <c r="D601" s="37"/>
      <c r="E601" s="37"/>
      <c r="F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customFormat="false" ht="15.75" hidden="false" customHeight="true" outlineLevel="0" collapsed="false">
      <c r="A602" s="37"/>
      <c r="B602" s="37"/>
      <c r="C602" s="37"/>
      <c r="D602" s="37"/>
      <c r="E602" s="37"/>
      <c r="F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customFormat="false" ht="15.75" hidden="false" customHeight="true" outlineLevel="0" collapsed="false">
      <c r="A603" s="37"/>
      <c r="B603" s="37"/>
      <c r="C603" s="37"/>
      <c r="D603" s="37"/>
      <c r="E603" s="37"/>
      <c r="F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customFormat="false" ht="15.75" hidden="false" customHeight="true" outlineLevel="0" collapsed="false">
      <c r="A604" s="37"/>
      <c r="B604" s="37"/>
      <c r="C604" s="37"/>
      <c r="D604" s="37"/>
      <c r="E604" s="37"/>
      <c r="F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customFormat="false" ht="15.75" hidden="false" customHeight="true" outlineLevel="0" collapsed="false">
      <c r="A605" s="37"/>
      <c r="B605" s="37"/>
      <c r="C605" s="37"/>
      <c r="D605" s="37"/>
      <c r="E605" s="37"/>
      <c r="F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customFormat="false" ht="15.75" hidden="false" customHeight="true" outlineLevel="0" collapsed="false">
      <c r="A606" s="37"/>
      <c r="B606" s="37"/>
      <c r="C606" s="37"/>
      <c r="D606" s="37"/>
      <c r="E606" s="37"/>
      <c r="F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customFormat="false" ht="15.75" hidden="false" customHeight="true" outlineLevel="0" collapsed="false">
      <c r="A607" s="37"/>
      <c r="B607" s="37"/>
      <c r="C607" s="37"/>
      <c r="D607" s="37"/>
      <c r="E607" s="37"/>
      <c r="F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customFormat="false" ht="15.75" hidden="false" customHeight="true" outlineLevel="0" collapsed="false">
      <c r="A608" s="37"/>
      <c r="B608" s="37"/>
      <c r="C608" s="37"/>
      <c r="D608" s="37"/>
      <c r="E608" s="37"/>
      <c r="F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customFormat="false" ht="15.75" hidden="false" customHeight="true" outlineLevel="0" collapsed="false">
      <c r="A609" s="37"/>
      <c r="B609" s="37"/>
      <c r="C609" s="37"/>
      <c r="D609" s="37"/>
      <c r="E609" s="37"/>
      <c r="F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customFormat="false" ht="15.75" hidden="false" customHeight="true" outlineLevel="0" collapsed="false">
      <c r="A610" s="37"/>
      <c r="B610" s="37"/>
      <c r="C610" s="37"/>
      <c r="D610" s="37"/>
      <c r="E610" s="37"/>
      <c r="F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customFormat="false" ht="15.75" hidden="false" customHeight="true" outlineLevel="0" collapsed="false">
      <c r="A611" s="37"/>
      <c r="B611" s="37"/>
      <c r="C611" s="37"/>
      <c r="D611" s="37"/>
      <c r="E611" s="37"/>
      <c r="F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customFormat="false" ht="15.75" hidden="false" customHeight="true" outlineLevel="0" collapsed="false">
      <c r="A612" s="37"/>
      <c r="B612" s="37"/>
      <c r="C612" s="37"/>
      <c r="D612" s="37"/>
      <c r="E612" s="37"/>
      <c r="F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customFormat="false" ht="15.75" hidden="false" customHeight="true" outlineLevel="0" collapsed="false">
      <c r="A613" s="37"/>
      <c r="B613" s="37"/>
      <c r="C613" s="37"/>
      <c r="D613" s="37"/>
      <c r="E613" s="37"/>
      <c r="F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customFormat="false" ht="15.75" hidden="false" customHeight="true" outlineLevel="0" collapsed="false">
      <c r="A614" s="37"/>
      <c r="B614" s="37"/>
      <c r="C614" s="37"/>
      <c r="D614" s="37"/>
      <c r="E614" s="37"/>
      <c r="F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customFormat="false" ht="15.75" hidden="false" customHeight="true" outlineLevel="0" collapsed="false">
      <c r="A615" s="37"/>
      <c r="B615" s="37"/>
      <c r="C615" s="37"/>
      <c r="D615" s="37"/>
      <c r="E615" s="37"/>
      <c r="F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customFormat="false" ht="15.75" hidden="false" customHeight="true" outlineLevel="0" collapsed="false">
      <c r="A616" s="37"/>
      <c r="B616" s="37"/>
      <c r="C616" s="37"/>
      <c r="D616" s="37"/>
      <c r="E616" s="37"/>
      <c r="F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customFormat="false" ht="15.75" hidden="false" customHeight="true" outlineLevel="0" collapsed="false">
      <c r="A617" s="37"/>
      <c r="B617" s="37"/>
      <c r="C617" s="37"/>
      <c r="D617" s="37"/>
      <c r="E617" s="37"/>
      <c r="F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customFormat="false" ht="15.75" hidden="false" customHeight="true" outlineLevel="0" collapsed="false">
      <c r="A618" s="37"/>
      <c r="B618" s="37"/>
      <c r="C618" s="37"/>
      <c r="D618" s="37"/>
      <c r="E618" s="37"/>
      <c r="F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customFormat="false" ht="15.75" hidden="false" customHeight="true" outlineLevel="0" collapsed="false">
      <c r="A619" s="37"/>
      <c r="B619" s="37"/>
      <c r="C619" s="37"/>
      <c r="D619" s="37"/>
      <c r="E619" s="37"/>
      <c r="F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customFormat="false" ht="15.75" hidden="false" customHeight="true" outlineLevel="0" collapsed="false">
      <c r="A620" s="37"/>
      <c r="B620" s="37"/>
      <c r="C620" s="37"/>
      <c r="D620" s="37"/>
      <c r="E620" s="37"/>
      <c r="F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customFormat="false" ht="15.75" hidden="false" customHeight="true" outlineLevel="0" collapsed="false">
      <c r="A621" s="37"/>
      <c r="B621" s="37"/>
      <c r="C621" s="37"/>
      <c r="D621" s="37"/>
      <c r="E621" s="37"/>
      <c r="F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customFormat="false" ht="15.75" hidden="false" customHeight="true" outlineLevel="0" collapsed="false">
      <c r="A622" s="37"/>
      <c r="B622" s="37"/>
      <c r="C622" s="37"/>
      <c r="D622" s="37"/>
      <c r="E622" s="37"/>
      <c r="F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customFormat="false" ht="15.75" hidden="false" customHeight="true" outlineLevel="0" collapsed="false">
      <c r="A623" s="37"/>
      <c r="B623" s="37"/>
      <c r="C623" s="37"/>
      <c r="D623" s="37"/>
      <c r="E623" s="37"/>
      <c r="F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customFormat="false" ht="15.75" hidden="false" customHeight="true" outlineLevel="0" collapsed="false">
      <c r="A624" s="37"/>
      <c r="B624" s="37"/>
      <c r="C624" s="37"/>
      <c r="D624" s="37"/>
      <c r="E624" s="37"/>
      <c r="F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customFormat="false" ht="15.75" hidden="false" customHeight="true" outlineLevel="0" collapsed="false">
      <c r="A625" s="37"/>
      <c r="B625" s="37"/>
      <c r="C625" s="37"/>
      <c r="D625" s="37"/>
      <c r="E625" s="37"/>
      <c r="F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customFormat="false" ht="15.75" hidden="false" customHeight="true" outlineLevel="0" collapsed="false">
      <c r="A626" s="37"/>
      <c r="B626" s="37"/>
      <c r="C626" s="37"/>
      <c r="D626" s="37"/>
      <c r="E626" s="37"/>
      <c r="F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customFormat="false" ht="15.75" hidden="false" customHeight="true" outlineLevel="0" collapsed="false">
      <c r="A627" s="37"/>
      <c r="B627" s="37"/>
      <c r="C627" s="37"/>
      <c r="D627" s="37"/>
      <c r="E627" s="37"/>
      <c r="F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customFormat="false" ht="15.75" hidden="false" customHeight="true" outlineLevel="0" collapsed="false">
      <c r="A628" s="37"/>
      <c r="B628" s="37"/>
      <c r="C628" s="37"/>
      <c r="D628" s="37"/>
      <c r="E628" s="37"/>
      <c r="F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customFormat="false" ht="15.75" hidden="false" customHeight="true" outlineLevel="0" collapsed="false">
      <c r="A629" s="37"/>
      <c r="B629" s="37"/>
      <c r="C629" s="37"/>
      <c r="D629" s="37"/>
      <c r="E629" s="37"/>
      <c r="F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customFormat="false" ht="15.75" hidden="false" customHeight="true" outlineLevel="0" collapsed="false">
      <c r="A630" s="37"/>
      <c r="B630" s="37"/>
      <c r="C630" s="37"/>
      <c r="D630" s="37"/>
      <c r="E630" s="37"/>
      <c r="F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customFormat="false" ht="15.75" hidden="false" customHeight="true" outlineLevel="0" collapsed="false">
      <c r="A631" s="37"/>
      <c r="B631" s="37"/>
      <c r="C631" s="37"/>
      <c r="D631" s="37"/>
      <c r="E631" s="37"/>
      <c r="F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customFormat="false" ht="15.75" hidden="false" customHeight="true" outlineLevel="0" collapsed="false">
      <c r="A632" s="37"/>
      <c r="B632" s="37"/>
      <c r="C632" s="37"/>
      <c r="D632" s="37"/>
      <c r="E632" s="37"/>
      <c r="F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customFormat="false" ht="15.75" hidden="false" customHeight="true" outlineLevel="0" collapsed="false">
      <c r="A633" s="37"/>
      <c r="B633" s="37"/>
      <c r="C633" s="37"/>
      <c r="D633" s="37"/>
      <c r="E633" s="37"/>
      <c r="F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customFormat="false" ht="15.75" hidden="false" customHeight="true" outlineLevel="0" collapsed="false">
      <c r="A634" s="37"/>
      <c r="B634" s="37"/>
      <c r="C634" s="37"/>
      <c r="D634" s="37"/>
      <c r="E634" s="37"/>
      <c r="F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customFormat="false" ht="15.75" hidden="false" customHeight="true" outlineLevel="0" collapsed="false">
      <c r="A635" s="37"/>
      <c r="B635" s="37"/>
      <c r="C635" s="37"/>
      <c r="D635" s="37"/>
      <c r="E635" s="37"/>
      <c r="F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customFormat="false" ht="15.75" hidden="false" customHeight="true" outlineLevel="0" collapsed="false">
      <c r="A636" s="37"/>
      <c r="B636" s="37"/>
      <c r="C636" s="37"/>
      <c r="D636" s="37"/>
      <c r="E636" s="37"/>
      <c r="F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customFormat="false" ht="15.75" hidden="false" customHeight="true" outlineLevel="0" collapsed="false">
      <c r="A637" s="37"/>
      <c r="B637" s="37"/>
      <c r="C637" s="37"/>
      <c r="D637" s="37"/>
      <c r="E637" s="37"/>
      <c r="F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customFormat="false" ht="15.75" hidden="false" customHeight="true" outlineLevel="0" collapsed="false">
      <c r="A638" s="37"/>
      <c r="B638" s="37"/>
      <c r="C638" s="37"/>
      <c r="D638" s="37"/>
      <c r="E638" s="37"/>
      <c r="F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customFormat="false" ht="15.75" hidden="false" customHeight="true" outlineLevel="0" collapsed="false">
      <c r="A639" s="37"/>
      <c r="B639" s="37"/>
      <c r="C639" s="37"/>
      <c r="D639" s="37"/>
      <c r="E639" s="37"/>
      <c r="F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customFormat="false" ht="15.75" hidden="false" customHeight="true" outlineLevel="0" collapsed="false">
      <c r="A640" s="37"/>
      <c r="B640" s="37"/>
      <c r="C640" s="37"/>
      <c r="D640" s="37"/>
      <c r="E640" s="37"/>
      <c r="F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customFormat="false" ht="15.75" hidden="false" customHeight="true" outlineLevel="0" collapsed="false">
      <c r="A641" s="37"/>
      <c r="B641" s="37"/>
      <c r="C641" s="37"/>
      <c r="D641" s="37"/>
      <c r="E641" s="37"/>
      <c r="F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customFormat="false" ht="15.75" hidden="false" customHeight="true" outlineLevel="0" collapsed="false">
      <c r="A642" s="37"/>
      <c r="B642" s="37"/>
      <c r="C642" s="37"/>
      <c r="D642" s="37"/>
      <c r="E642" s="37"/>
      <c r="F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customFormat="false" ht="15.75" hidden="false" customHeight="true" outlineLevel="0" collapsed="false">
      <c r="A643" s="37"/>
      <c r="B643" s="37"/>
      <c r="C643" s="37"/>
      <c r="D643" s="37"/>
      <c r="E643" s="37"/>
      <c r="F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customFormat="false" ht="15.75" hidden="false" customHeight="true" outlineLevel="0" collapsed="false">
      <c r="A644" s="37"/>
      <c r="B644" s="37"/>
      <c r="C644" s="37"/>
      <c r="D644" s="37"/>
      <c r="E644" s="37"/>
      <c r="F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customFormat="false" ht="15.75" hidden="false" customHeight="true" outlineLevel="0" collapsed="false">
      <c r="A645" s="37"/>
      <c r="B645" s="37"/>
      <c r="C645" s="37"/>
      <c r="D645" s="37"/>
      <c r="E645" s="37"/>
      <c r="F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customFormat="false" ht="15.75" hidden="false" customHeight="true" outlineLevel="0" collapsed="false">
      <c r="A646" s="37"/>
      <c r="B646" s="37"/>
      <c r="C646" s="37"/>
      <c r="D646" s="37"/>
      <c r="E646" s="37"/>
      <c r="F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customFormat="false" ht="15.75" hidden="false" customHeight="true" outlineLevel="0" collapsed="false">
      <c r="A647" s="37"/>
      <c r="B647" s="37"/>
      <c r="C647" s="37"/>
      <c r="D647" s="37"/>
      <c r="E647" s="37"/>
      <c r="F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customFormat="false" ht="15.75" hidden="false" customHeight="true" outlineLevel="0" collapsed="false">
      <c r="A648" s="37"/>
      <c r="B648" s="37"/>
      <c r="C648" s="37"/>
      <c r="D648" s="37"/>
      <c r="E648" s="37"/>
      <c r="F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customFormat="false" ht="15.75" hidden="false" customHeight="true" outlineLevel="0" collapsed="false">
      <c r="A649" s="37"/>
      <c r="B649" s="37"/>
      <c r="C649" s="37"/>
      <c r="D649" s="37"/>
      <c r="E649" s="37"/>
      <c r="F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customFormat="false" ht="15.75" hidden="false" customHeight="true" outlineLevel="0" collapsed="false">
      <c r="A650" s="37"/>
      <c r="B650" s="37"/>
      <c r="C650" s="37"/>
      <c r="D650" s="37"/>
      <c r="E650" s="37"/>
      <c r="F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customFormat="false" ht="15.75" hidden="false" customHeight="true" outlineLevel="0" collapsed="false">
      <c r="A651" s="37"/>
      <c r="B651" s="37"/>
      <c r="C651" s="37"/>
      <c r="D651" s="37"/>
      <c r="E651" s="37"/>
      <c r="F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customFormat="false" ht="15.75" hidden="false" customHeight="true" outlineLevel="0" collapsed="false">
      <c r="A652" s="37"/>
      <c r="B652" s="37"/>
      <c r="C652" s="37"/>
      <c r="D652" s="37"/>
      <c r="E652" s="37"/>
      <c r="F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customFormat="false" ht="15.75" hidden="false" customHeight="true" outlineLevel="0" collapsed="false">
      <c r="A653" s="37"/>
      <c r="B653" s="37"/>
      <c r="C653" s="37"/>
      <c r="D653" s="37"/>
      <c r="E653" s="37"/>
      <c r="F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customFormat="false" ht="15.75" hidden="false" customHeight="true" outlineLevel="0" collapsed="false">
      <c r="A654" s="37"/>
      <c r="B654" s="37"/>
      <c r="C654" s="37"/>
      <c r="D654" s="37"/>
      <c r="E654" s="37"/>
      <c r="F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customFormat="false" ht="15.75" hidden="false" customHeight="true" outlineLevel="0" collapsed="false">
      <c r="A655" s="37"/>
      <c r="B655" s="37"/>
      <c r="C655" s="37"/>
      <c r="D655" s="37"/>
      <c r="E655" s="37"/>
      <c r="F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customFormat="false" ht="15.75" hidden="false" customHeight="true" outlineLevel="0" collapsed="false">
      <c r="A656" s="37"/>
      <c r="B656" s="37"/>
      <c r="C656" s="37"/>
      <c r="D656" s="37"/>
      <c r="E656" s="37"/>
      <c r="F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customFormat="false" ht="15.75" hidden="false" customHeight="true" outlineLevel="0" collapsed="false">
      <c r="A657" s="37"/>
      <c r="B657" s="37"/>
      <c r="C657" s="37"/>
      <c r="D657" s="37"/>
      <c r="E657" s="37"/>
      <c r="F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customFormat="false" ht="15.75" hidden="false" customHeight="true" outlineLevel="0" collapsed="false">
      <c r="A658" s="37"/>
      <c r="B658" s="37"/>
      <c r="C658" s="37"/>
      <c r="D658" s="37"/>
      <c r="E658" s="37"/>
      <c r="F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customFormat="false" ht="15.75" hidden="false" customHeight="true" outlineLevel="0" collapsed="false">
      <c r="A659" s="37"/>
      <c r="B659" s="37"/>
      <c r="C659" s="37"/>
      <c r="D659" s="37"/>
      <c r="E659" s="37"/>
      <c r="F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customFormat="false" ht="15.75" hidden="false" customHeight="true" outlineLevel="0" collapsed="false">
      <c r="A660" s="37"/>
      <c r="B660" s="37"/>
      <c r="C660" s="37"/>
      <c r="D660" s="37"/>
      <c r="E660" s="37"/>
      <c r="F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customFormat="false" ht="15.75" hidden="false" customHeight="true" outlineLevel="0" collapsed="false">
      <c r="A661" s="37"/>
      <c r="B661" s="37"/>
      <c r="C661" s="37"/>
      <c r="D661" s="37"/>
      <c r="E661" s="37"/>
      <c r="F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customFormat="false" ht="15.75" hidden="false" customHeight="true" outlineLevel="0" collapsed="false">
      <c r="A662" s="37"/>
      <c r="B662" s="37"/>
      <c r="C662" s="37"/>
      <c r="D662" s="37"/>
      <c r="E662" s="37"/>
      <c r="F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customFormat="false" ht="15.75" hidden="false" customHeight="true" outlineLevel="0" collapsed="false">
      <c r="A663" s="37"/>
      <c r="B663" s="37"/>
      <c r="C663" s="37"/>
      <c r="D663" s="37"/>
      <c r="E663" s="37"/>
      <c r="F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customFormat="false" ht="15.75" hidden="false" customHeight="true" outlineLevel="0" collapsed="false">
      <c r="A664" s="37"/>
      <c r="B664" s="37"/>
      <c r="C664" s="37"/>
      <c r="D664" s="37"/>
      <c r="E664" s="37"/>
      <c r="F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customFormat="false" ht="15.75" hidden="false" customHeight="true" outlineLevel="0" collapsed="false">
      <c r="A665" s="37"/>
      <c r="B665" s="37"/>
      <c r="C665" s="37"/>
      <c r="D665" s="37"/>
      <c r="E665" s="37"/>
      <c r="F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customFormat="false" ht="15.75" hidden="false" customHeight="true" outlineLevel="0" collapsed="false">
      <c r="A666" s="37"/>
      <c r="B666" s="37"/>
      <c r="C666" s="37"/>
      <c r="D666" s="37"/>
      <c r="E666" s="37"/>
      <c r="F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customFormat="false" ht="15.75" hidden="false" customHeight="true" outlineLevel="0" collapsed="false">
      <c r="A667" s="37"/>
      <c r="B667" s="37"/>
      <c r="C667" s="37"/>
      <c r="D667" s="37"/>
      <c r="E667" s="37"/>
      <c r="F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customFormat="false" ht="15.75" hidden="false" customHeight="true" outlineLevel="0" collapsed="false">
      <c r="A668" s="37"/>
      <c r="B668" s="37"/>
      <c r="C668" s="37"/>
      <c r="D668" s="37"/>
      <c r="E668" s="37"/>
      <c r="F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customFormat="false" ht="15.75" hidden="false" customHeight="true" outlineLevel="0" collapsed="false">
      <c r="A669" s="37"/>
      <c r="B669" s="37"/>
      <c r="C669" s="37"/>
      <c r="D669" s="37"/>
      <c r="E669" s="37"/>
      <c r="F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customFormat="false" ht="15.75" hidden="false" customHeight="true" outlineLevel="0" collapsed="false">
      <c r="A670" s="37"/>
      <c r="B670" s="37"/>
      <c r="C670" s="37"/>
      <c r="D670" s="37"/>
      <c r="E670" s="37"/>
      <c r="F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customFormat="false" ht="15.75" hidden="false" customHeight="true" outlineLevel="0" collapsed="false">
      <c r="A671" s="37"/>
      <c r="B671" s="37"/>
      <c r="C671" s="37"/>
      <c r="D671" s="37"/>
      <c r="E671" s="37"/>
      <c r="F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customFormat="false" ht="15.75" hidden="false" customHeight="true" outlineLevel="0" collapsed="false">
      <c r="A672" s="37"/>
      <c r="B672" s="37"/>
      <c r="C672" s="37"/>
      <c r="D672" s="37"/>
      <c r="E672" s="37"/>
      <c r="F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customFormat="false" ht="15.75" hidden="false" customHeight="true" outlineLevel="0" collapsed="false">
      <c r="A673" s="37"/>
      <c r="B673" s="37"/>
      <c r="C673" s="37"/>
      <c r="D673" s="37"/>
      <c r="E673" s="37"/>
      <c r="F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customFormat="false" ht="15.75" hidden="false" customHeight="true" outlineLevel="0" collapsed="false">
      <c r="A674" s="37"/>
      <c r="B674" s="37"/>
      <c r="C674" s="37"/>
      <c r="D674" s="37"/>
      <c r="E674" s="37"/>
      <c r="F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customFormat="false" ht="15.75" hidden="false" customHeight="true" outlineLevel="0" collapsed="false">
      <c r="A675" s="37"/>
      <c r="B675" s="37"/>
      <c r="C675" s="37"/>
      <c r="D675" s="37"/>
      <c r="E675" s="37"/>
      <c r="F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customFormat="false" ht="15.75" hidden="false" customHeight="true" outlineLevel="0" collapsed="false">
      <c r="A676" s="37"/>
      <c r="B676" s="37"/>
      <c r="C676" s="37"/>
      <c r="D676" s="37"/>
      <c r="E676" s="37"/>
      <c r="F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customFormat="false" ht="15.75" hidden="false" customHeight="true" outlineLevel="0" collapsed="false">
      <c r="A677" s="37"/>
      <c r="B677" s="37"/>
      <c r="C677" s="37"/>
      <c r="D677" s="37"/>
      <c r="E677" s="37"/>
      <c r="F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customFormat="false" ht="15.75" hidden="false" customHeight="true" outlineLevel="0" collapsed="false">
      <c r="A678" s="37"/>
      <c r="B678" s="37"/>
      <c r="C678" s="37"/>
      <c r="D678" s="37"/>
      <c r="E678" s="37"/>
      <c r="F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customFormat="false" ht="15.75" hidden="false" customHeight="true" outlineLevel="0" collapsed="false">
      <c r="A679" s="37"/>
      <c r="B679" s="37"/>
      <c r="C679" s="37"/>
      <c r="D679" s="37"/>
      <c r="E679" s="37"/>
      <c r="F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customFormat="false" ht="15.75" hidden="false" customHeight="true" outlineLevel="0" collapsed="false">
      <c r="A680" s="37"/>
      <c r="B680" s="37"/>
      <c r="C680" s="37"/>
      <c r="D680" s="37"/>
      <c r="E680" s="37"/>
      <c r="F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customFormat="false" ht="15.75" hidden="false" customHeight="true" outlineLevel="0" collapsed="false">
      <c r="A681" s="37"/>
      <c r="B681" s="37"/>
      <c r="C681" s="37"/>
      <c r="D681" s="37"/>
      <c r="E681" s="37"/>
      <c r="F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customFormat="false" ht="15.75" hidden="false" customHeight="true" outlineLevel="0" collapsed="false">
      <c r="A682" s="37"/>
      <c r="B682" s="37"/>
      <c r="C682" s="37"/>
      <c r="D682" s="37"/>
      <c r="E682" s="37"/>
      <c r="F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customFormat="false" ht="15.75" hidden="false" customHeight="true" outlineLevel="0" collapsed="false">
      <c r="A683" s="37"/>
      <c r="B683" s="37"/>
      <c r="C683" s="37"/>
      <c r="D683" s="37"/>
      <c r="E683" s="37"/>
      <c r="F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customFormat="false" ht="15.75" hidden="false" customHeight="true" outlineLevel="0" collapsed="false">
      <c r="A684" s="37"/>
      <c r="B684" s="37"/>
      <c r="C684" s="37"/>
      <c r="D684" s="37"/>
      <c r="E684" s="37"/>
      <c r="F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customFormat="false" ht="15.75" hidden="false" customHeight="true" outlineLevel="0" collapsed="false">
      <c r="A685" s="37"/>
      <c r="B685" s="37"/>
      <c r="C685" s="37"/>
      <c r="D685" s="37"/>
      <c r="E685" s="37"/>
      <c r="F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customFormat="false" ht="15.75" hidden="false" customHeight="true" outlineLevel="0" collapsed="false">
      <c r="A686" s="37"/>
      <c r="B686" s="37"/>
      <c r="C686" s="37"/>
      <c r="D686" s="37"/>
      <c r="E686" s="37"/>
      <c r="F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customFormat="false" ht="15.75" hidden="false" customHeight="true" outlineLevel="0" collapsed="false">
      <c r="A687" s="37"/>
      <c r="B687" s="37"/>
      <c r="C687" s="37"/>
      <c r="D687" s="37"/>
      <c r="E687" s="37"/>
      <c r="F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customFormat="false" ht="15.75" hidden="false" customHeight="true" outlineLevel="0" collapsed="false">
      <c r="A688" s="37"/>
      <c r="B688" s="37"/>
      <c r="C688" s="37"/>
      <c r="D688" s="37"/>
      <c r="E688" s="37"/>
      <c r="F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customFormat="false" ht="15.75" hidden="false" customHeight="true" outlineLevel="0" collapsed="false">
      <c r="A689" s="37"/>
      <c r="B689" s="37"/>
      <c r="C689" s="37"/>
      <c r="D689" s="37"/>
      <c r="E689" s="37"/>
      <c r="F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customFormat="false" ht="15.75" hidden="false" customHeight="true" outlineLevel="0" collapsed="false">
      <c r="A690" s="37"/>
      <c r="B690" s="37"/>
      <c r="C690" s="37"/>
      <c r="D690" s="37"/>
      <c r="E690" s="37"/>
      <c r="F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customFormat="false" ht="15.75" hidden="false" customHeight="true" outlineLevel="0" collapsed="false">
      <c r="A691" s="37"/>
      <c r="B691" s="37"/>
      <c r="C691" s="37"/>
      <c r="D691" s="37"/>
      <c r="E691" s="37"/>
      <c r="F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customFormat="false" ht="15.75" hidden="false" customHeight="true" outlineLevel="0" collapsed="false">
      <c r="A692" s="37"/>
      <c r="B692" s="37"/>
      <c r="C692" s="37"/>
      <c r="D692" s="37"/>
      <c r="E692" s="37"/>
      <c r="F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customFormat="false" ht="15.75" hidden="false" customHeight="true" outlineLevel="0" collapsed="false">
      <c r="A693" s="37"/>
      <c r="B693" s="37"/>
      <c r="C693" s="37"/>
      <c r="D693" s="37"/>
      <c r="E693" s="37"/>
      <c r="F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customFormat="false" ht="15.75" hidden="false" customHeight="true" outlineLevel="0" collapsed="false">
      <c r="A694" s="37"/>
      <c r="B694" s="37"/>
      <c r="C694" s="37"/>
      <c r="D694" s="37"/>
      <c r="E694" s="37"/>
      <c r="F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customFormat="false" ht="15.75" hidden="false" customHeight="true" outlineLevel="0" collapsed="false">
      <c r="A695" s="37"/>
      <c r="B695" s="37"/>
      <c r="C695" s="37"/>
      <c r="D695" s="37"/>
      <c r="E695" s="37"/>
      <c r="F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customFormat="false" ht="15.75" hidden="false" customHeight="true" outlineLevel="0" collapsed="false">
      <c r="A696" s="37"/>
      <c r="B696" s="37"/>
      <c r="C696" s="37"/>
      <c r="D696" s="37"/>
      <c r="E696" s="37"/>
      <c r="F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customFormat="false" ht="15.75" hidden="false" customHeight="true" outlineLevel="0" collapsed="false">
      <c r="A697" s="37"/>
      <c r="B697" s="37"/>
      <c r="C697" s="37"/>
      <c r="D697" s="37"/>
      <c r="E697" s="37"/>
      <c r="F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customFormat="false" ht="15.75" hidden="false" customHeight="true" outlineLevel="0" collapsed="false">
      <c r="A698" s="37"/>
      <c r="B698" s="37"/>
      <c r="C698" s="37"/>
      <c r="D698" s="37"/>
      <c r="E698" s="37"/>
      <c r="F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customFormat="false" ht="15.75" hidden="false" customHeight="true" outlineLevel="0" collapsed="false">
      <c r="A699" s="37"/>
      <c r="B699" s="37"/>
      <c r="C699" s="37"/>
      <c r="D699" s="37"/>
      <c r="E699" s="37"/>
      <c r="F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customFormat="false" ht="15.75" hidden="false" customHeight="true" outlineLevel="0" collapsed="false">
      <c r="A700" s="37"/>
      <c r="B700" s="37"/>
      <c r="C700" s="37"/>
      <c r="D700" s="37"/>
      <c r="E700" s="37"/>
      <c r="F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customFormat="false" ht="15.75" hidden="false" customHeight="true" outlineLevel="0" collapsed="false">
      <c r="A701" s="37"/>
      <c r="B701" s="37"/>
      <c r="C701" s="37"/>
      <c r="D701" s="37"/>
      <c r="E701" s="37"/>
      <c r="F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customFormat="false" ht="15.75" hidden="false" customHeight="true" outlineLevel="0" collapsed="false">
      <c r="A702" s="37"/>
      <c r="B702" s="37"/>
      <c r="C702" s="37"/>
      <c r="D702" s="37"/>
      <c r="E702" s="37"/>
      <c r="F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customFormat="false" ht="15.75" hidden="false" customHeight="true" outlineLevel="0" collapsed="false">
      <c r="A703" s="37"/>
      <c r="B703" s="37"/>
      <c r="C703" s="37"/>
      <c r="D703" s="37"/>
      <c r="E703" s="37"/>
      <c r="F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customFormat="false" ht="15.75" hidden="false" customHeight="true" outlineLevel="0" collapsed="false">
      <c r="A704" s="37"/>
      <c r="B704" s="37"/>
      <c r="C704" s="37"/>
      <c r="D704" s="37"/>
      <c r="E704" s="37"/>
      <c r="F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customFormat="false" ht="15.75" hidden="false" customHeight="true" outlineLevel="0" collapsed="false">
      <c r="A705" s="37"/>
      <c r="B705" s="37"/>
      <c r="C705" s="37"/>
      <c r="D705" s="37"/>
      <c r="E705" s="37"/>
      <c r="F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customFormat="false" ht="15.75" hidden="false" customHeight="true" outlineLevel="0" collapsed="false">
      <c r="A706" s="37"/>
      <c r="B706" s="37"/>
      <c r="C706" s="37"/>
      <c r="D706" s="37"/>
      <c r="E706" s="37"/>
      <c r="F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customFormat="false" ht="15.75" hidden="false" customHeight="true" outlineLevel="0" collapsed="false">
      <c r="A707" s="37"/>
      <c r="B707" s="37"/>
      <c r="C707" s="37"/>
      <c r="D707" s="37"/>
      <c r="E707" s="37"/>
      <c r="F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customFormat="false" ht="15.75" hidden="false" customHeight="true" outlineLevel="0" collapsed="false">
      <c r="A708" s="37"/>
      <c r="B708" s="37"/>
      <c r="C708" s="37"/>
      <c r="D708" s="37"/>
      <c r="E708" s="37"/>
      <c r="F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customFormat="false" ht="15.75" hidden="false" customHeight="true" outlineLevel="0" collapsed="false">
      <c r="A709" s="37"/>
      <c r="B709" s="37"/>
      <c r="C709" s="37"/>
      <c r="D709" s="37"/>
      <c r="E709" s="37"/>
      <c r="F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customFormat="false" ht="15.75" hidden="false" customHeight="true" outlineLevel="0" collapsed="false">
      <c r="A710" s="37"/>
      <c r="B710" s="37"/>
      <c r="C710" s="37"/>
      <c r="D710" s="37"/>
      <c r="E710" s="37"/>
      <c r="F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customFormat="false" ht="15.75" hidden="false" customHeight="true" outlineLevel="0" collapsed="false">
      <c r="A711" s="37"/>
      <c r="B711" s="37"/>
      <c r="C711" s="37"/>
      <c r="D711" s="37"/>
      <c r="E711" s="37"/>
      <c r="F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customFormat="false" ht="15.75" hidden="false" customHeight="true" outlineLevel="0" collapsed="false">
      <c r="A712" s="37"/>
      <c r="B712" s="37"/>
      <c r="C712" s="37"/>
      <c r="D712" s="37"/>
      <c r="E712" s="37"/>
      <c r="F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customFormat="false" ht="15.75" hidden="false" customHeight="true" outlineLevel="0" collapsed="false">
      <c r="A713" s="37"/>
      <c r="B713" s="37"/>
      <c r="C713" s="37"/>
      <c r="D713" s="37"/>
      <c r="E713" s="37"/>
      <c r="F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customFormat="false" ht="15.75" hidden="false" customHeight="true" outlineLevel="0" collapsed="false">
      <c r="A714" s="37"/>
      <c r="B714" s="37"/>
      <c r="C714" s="37"/>
      <c r="D714" s="37"/>
      <c r="E714" s="37"/>
      <c r="F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customFormat="false" ht="15.75" hidden="false" customHeight="true" outlineLevel="0" collapsed="false">
      <c r="A715" s="37"/>
      <c r="B715" s="37"/>
      <c r="C715" s="37"/>
      <c r="D715" s="37"/>
      <c r="E715" s="37"/>
      <c r="F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customFormat="false" ht="15.75" hidden="false" customHeight="true" outlineLevel="0" collapsed="false">
      <c r="A716" s="37"/>
      <c r="B716" s="37"/>
      <c r="C716" s="37"/>
      <c r="D716" s="37"/>
      <c r="E716" s="37"/>
      <c r="F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customFormat="false" ht="15.75" hidden="false" customHeight="true" outlineLevel="0" collapsed="false">
      <c r="A717" s="37"/>
      <c r="B717" s="37"/>
      <c r="C717" s="37"/>
      <c r="D717" s="37"/>
      <c r="E717" s="37"/>
      <c r="F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customFormat="false" ht="15.75" hidden="false" customHeight="true" outlineLevel="0" collapsed="false">
      <c r="A718" s="37"/>
      <c r="B718" s="37"/>
      <c r="C718" s="37"/>
      <c r="D718" s="37"/>
      <c r="E718" s="37"/>
      <c r="F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customFormat="false" ht="15.75" hidden="false" customHeight="true" outlineLevel="0" collapsed="false">
      <c r="A719" s="37"/>
      <c r="B719" s="37"/>
      <c r="C719" s="37"/>
      <c r="D719" s="37"/>
      <c r="E719" s="37"/>
      <c r="F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customFormat="false" ht="15.75" hidden="false" customHeight="true" outlineLevel="0" collapsed="false">
      <c r="A720" s="37"/>
      <c r="B720" s="37"/>
      <c r="C720" s="37"/>
      <c r="D720" s="37"/>
      <c r="E720" s="37"/>
      <c r="F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customFormat="false" ht="15.75" hidden="false" customHeight="true" outlineLevel="0" collapsed="false">
      <c r="A721" s="37"/>
      <c r="B721" s="37"/>
      <c r="C721" s="37"/>
      <c r="D721" s="37"/>
      <c r="E721" s="37"/>
      <c r="F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customFormat="false" ht="15.75" hidden="false" customHeight="true" outlineLevel="0" collapsed="false">
      <c r="A722" s="37"/>
      <c r="B722" s="37"/>
      <c r="C722" s="37"/>
      <c r="D722" s="37"/>
      <c r="E722" s="37"/>
      <c r="F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customFormat="false" ht="15.75" hidden="false" customHeight="true" outlineLevel="0" collapsed="false">
      <c r="A723" s="37"/>
      <c r="B723" s="37"/>
      <c r="C723" s="37"/>
      <c r="D723" s="37"/>
      <c r="E723" s="37"/>
      <c r="F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customFormat="false" ht="15.75" hidden="false" customHeight="true" outlineLevel="0" collapsed="false">
      <c r="A724" s="37"/>
      <c r="B724" s="37"/>
      <c r="C724" s="37"/>
      <c r="D724" s="37"/>
      <c r="E724" s="37"/>
      <c r="F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customFormat="false" ht="15.75" hidden="false" customHeight="true" outlineLevel="0" collapsed="false">
      <c r="A725" s="37"/>
      <c r="B725" s="37"/>
      <c r="C725" s="37"/>
      <c r="D725" s="37"/>
      <c r="E725" s="37"/>
      <c r="F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customFormat="false" ht="15.75" hidden="false" customHeight="true" outlineLevel="0" collapsed="false">
      <c r="A726" s="37"/>
      <c r="B726" s="37"/>
      <c r="C726" s="37"/>
      <c r="D726" s="37"/>
      <c r="E726" s="37"/>
      <c r="F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customFormat="false" ht="15.75" hidden="false" customHeight="true" outlineLevel="0" collapsed="false">
      <c r="A727" s="37"/>
      <c r="B727" s="37"/>
      <c r="C727" s="37"/>
      <c r="D727" s="37"/>
      <c r="E727" s="37"/>
      <c r="F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customFormat="false" ht="15.75" hidden="false" customHeight="true" outlineLevel="0" collapsed="false">
      <c r="A728" s="37"/>
      <c r="B728" s="37"/>
      <c r="C728" s="37"/>
      <c r="D728" s="37"/>
      <c r="E728" s="37"/>
      <c r="F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customFormat="false" ht="15.75" hidden="false" customHeight="true" outlineLevel="0" collapsed="false">
      <c r="A729" s="37"/>
      <c r="B729" s="37"/>
      <c r="C729" s="37"/>
      <c r="D729" s="37"/>
      <c r="E729" s="37"/>
      <c r="F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customFormat="false" ht="15.75" hidden="false" customHeight="true" outlineLevel="0" collapsed="false">
      <c r="A730" s="37"/>
      <c r="B730" s="37"/>
      <c r="C730" s="37"/>
      <c r="D730" s="37"/>
      <c r="E730" s="37"/>
      <c r="F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customFormat="false" ht="15.75" hidden="false" customHeight="true" outlineLevel="0" collapsed="false">
      <c r="A731" s="37"/>
      <c r="B731" s="37"/>
      <c r="C731" s="37"/>
      <c r="D731" s="37"/>
      <c r="E731" s="37"/>
      <c r="F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customFormat="false" ht="15.75" hidden="false" customHeight="true" outlineLevel="0" collapsed="false">
      <c r="A732" s="37"/>
      <c r="B732" s="37"/>
      <c r="C732" s="37"/>
      <c r="D732" s="37"/>
      <c r="E732" s="37"/>
      <c r="F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customFormat="false" ht="15.75" hidden="false" customHeight="true" outlineLevel="0" collapsed="false">
      <c r="A733" s="37"/>
      <c r="B733" s="37"/>
      <c r="C733" s="37"/>
      <c r="D733" s="37"/>
      <c r="E733" s="37"/>
      <c r="F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customFormat="false" ht="15.75" hidden="false" customHeight="true" outlineLevel="0" collapsed="false">
      <c r="A734" s="37"/>
      <c r="B734" s="37"/>
      <c r="C734" s="37"/>
      <c r="D734" s="37"/>
      <c r="E734" s="37"/>
      <c r="F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customFormat="false" ht="15.75" hidden="false" customHeight="true" outlineLevel="0" collapsed="false">
      <c r="A735" s="37"/>
      <c r="B735" s="37"/>
      <c r="C735" s="37"/>
      <c r="D735" s="37"/>
      <c r="E735" s="37"/>
      <c r="F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customFormat="false" ht="15.75" hidden="false" customHeight="true" outlineLevel="0" collapsed="false">
      <c r="A736" s="37"/>
      <c r="B736" s="37"/>
      <c r="C736" s="37"/>
      <c r="D736" s="37"/>
      <c r="E736" s="37"/>
      <c r="F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customFormat="false" ht="15.75" hidden="false" customHeight="true" outlineLevel="0" collapsed="false">
      <c r="A737" s="37"/>
      <c r="B737" s="37"/>
      <c r="C737" s="37"/>
      <c r="D737" s="37"/>
      <c r="E737" s="37"/>
      <c r="F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customFormat="false" ht="15.75" hidden="false" customHeight="true" outlineLevel="0" collapsed="false">
      <c r="A738" s="37"/>
      <c r="B738" s="37"/>
      <c r="C738" s="37"/>
      <c r="D738" s="37"/>
      <c r="E738" s="37"/>
      <c r="F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customFormat="false" ht="15.75" hidden="false" customHeight="true" outlineLevel="0" collapsed="false">
      <c r="A739" s="37"/>
      <c r="B739" s="37"/>
      <c r="C739" s="37"/>
      <c r="D739" s="37"/>
      <c r="E739" s="37"/>
      <c r="F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customFormat="false" ht="15.75" hidden="false" customHeight="true" outlineLevel="0" collapsed="false">
      <c r="A740" s="37"/>
      <c r="B740" s="37"/>
      <c r="C740" s="37"/>
      <c r="D740" s="37"/>
      <c r="E740" s="37"/>
      <c r="F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customFormat="false" ht="15.75" hidden="false" customHeight="true" outlineLevel="0" collapsed="false">
      <c r="A741" s="37"/>
      <c r="B741" s="37"/>
      <c r="C741" s="37"/>
      <c r="D741" s="37"/>
      <c r="E741" s="37"/>
      <c r="F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customFormat="false" ht="15.75" hidden="false" customHeight="true" outlineLevel="0" collapsed="false">
      <c r="A742" s="37"/>
      <c r="B742" s="37"/>
      <c r="C742" s="37"/>
      <c r="D742" s="37"/>
      <c r="E742" s="37"/>
      <c r="F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customFormat="false" ht="15.75" hidden="false" customHeight="true" outlineLevel="0" collapsed="false">
      <c r="A743" s="37"/>
      <c r="B743" s="37"/>
      <c r="C743" s="37"/>
      <c r="D743" s="37"/>
      <c r="E743" s="37"/>
      <c r="F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customFormat="false" ht="15.75" hidden="false" customHeight="true" outlineLevel="0" collapsed="false">
      <c r="A744" s="37"/>
      <c r="B744" s="37"/>
      <c r="C744" s="37"/>
      <c r="D744" s="37"/>
      <c r="E744" s="37"/>
      <c r="F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customFormat="false" ht="15.75" hidden="false" customHeight="true" outlineLevel="0" collapsed="false">
      <c r="A745" s="37"/>
      <c r="B745" s="37"/>
      <c r="C745" s="37"/>
      <c r="D745" s="37"/>
      <c r="E745" s="37"/>
      <c r="F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customFormat="false" ht="15.75" hidden="false" customHeight="true" outlineLevel="0" collapsed="false">
      <c r="A746" s="37"/>
      <c r="B746" s="37"/>
      <c r="C746" s="37"/>
      <c r="D746" s="37"/>
      <c r="E746" s="37"/>
      <c r="F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customFormat="false" ht="15.75" hidden="false" customHeight="true" outlineLevel="0" collapsed="false">
      <c r="A747" s="37"/>
      <c r="B747" s="37"/>
      <c r="C747" s="37"/>
      <c r="D747" s="37"/>
      <c r="E747" s="37"/>
      <c r="F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customFormat="false" ht="15.75" hidden="false" customHeight="true" outlineLevel="0" collapsed="false">
      <c r="A748" s="37"/>
      <c r="B748" s="37"/>
      <c r="C748" s="37"/>
      <c r="D748" s="37"/>
      <c r="E748" s="37"/>
      <c r="F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customFormat="false" ht="15.75" hidden="false" customHeight="true" outlineLevel="0" collapsed="false">
      <c r="A749" s="37"/>
      <c r="B749" s="37"/>
      <c r="C749" s="37"/>
      <c r="D749" s="37"/>
      <c r="E749" s="37"/>
      <c r="F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customFormat="false" ht="15.75" hidden="false" customHeight="true" outlineLevel="0" collapsed="false">
      <c r="A750" s="37"/>
      <c r="B750" s="37"/>
      <c r="C750" s="37"/>
      <c r="D750" s="37"/>
      <c r="E750" s="37"/>
      <c r="F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customFormat="false" ht="15.75" hidden="false" customHeight="true" outlineLevel="0" collapsed="false">
      <c r="A751" s="37"/>
      <c r="B751" s="37"/>
      <c r="C751" s="37"/>
      <c r="D751" s="37"/>
      <c r="E751" s="37"/>
      <c r="F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customFormat="false" ht="15.75" hidden="false" customHeight="true" outlineLevel="0" collapsed="false">
      <c r="A752" s="37"/>
      <c r="B752" s="37"/>
      <c r="C752" s="37"/>
      <c r="D752" s="37"/>
      <c r="E752" s="37"/>
      <c r="F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customFormat="false" ht="15.75" hidden="false" customHeight="true" outlineLevel="0" collapsed="false">
      <c r="A753" s="37"/>
      <c r="B753" s="37"/>
      <c r="C753" s="37"/>
      <c r="D753" s="37"/>
      <c r="E753" s="37"/>
      <c r="F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customFormat="false" ht="15.75" hidden="false" customHeight="true" outlineLevel="0" collapsed="false">
      <c r="A754" s="37"/>
      <c r="B754" s="37"/>
      <c r="C754" s="37"/>
      <c r="D754" s="37"/>
      <c r="E754" s="37"/>
      <c r="F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customFormat="false" ht="15.75" hidden="false" customHeight="true" outlineLevel="0" collapsed="false">
      <c r="A755" s="37"/>
      <c r="B755" s="37"/>
      <c r="C755" s="37"/>
      <c r="D755" s="37"/>
      <c r="E755" s="37"/>
      <c r="F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customFormat="false" ht="15.75" hidden="false" customHeight="true" outlineLevel="0" collapsed="false">
      <c r="A756" s="37"/>
      <c r="B756" s="37"/>
      <c r="C756" s="37"/>
      <c r="D756" s="37"/>
      <c r="E756" s="37"/>
      <c r="F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customFormat="false" ht="15.75" hidden="false" customHeight="true" outlineLevel="0" collapsed="false">
      <c r="A757" s="37"/>
      <c r="B757" s="37"/>
      <c r="C757" s="37"/>
      <c r="D757" s="37"/>
      <c r="E757" s="37"/>
      <c r="F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customFormat="false" ht="15.75" hidden="false" customHeight="true" outlineLevel="0" collapsed="false">
      <c r="A758" s="37"/>
      <c r="B758" s="37"/>
      <c r="C758" s="37"/>
      <c r="D758" s="37"/>
      <c r="E758" s="37"/>
      <c r="F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customFormat="false" ht="15.75" hidden="false" customHeight="true" outlineLevel="0" collapsed="false">
      <c r="A759" s="37"/>
      <c r="B759" s="37"/>
      <c r="C759" s="37"/>
      <c r="D759" s="37"/>
      <c r="E759" s="37"/>
      <c r="F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customFormat="false" ht="15.75" hidden="false" customHeight="true" outlineLevel="0" collapsed="false">
      <c r="A760" s="37"/>
      <c r="B760" s="37"/>
      <c r="C760" s="37"/>
      <c r="D760" s="37"/>
      <c r="E760" s="37"/>
      <c r="F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customFormat="false" ht="15.75" hidden="false" customHeight="true" outlineLevel="0" collapsed="false">
      <c r="A761" s="37"/>
      <c r="B761" s="37"/>
      <c r="C761" s="37"/>
      <c r="D761" s="37"/>
      <c r="E761" s="37"/>
      <c r="F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customFormat="false" ht="15.75" hidden="false" customHeight="true" outlineLevel="0" collapsed="false">
      <c r="A762" s="37"/>
      <c r="B762" s="37"/>
      <c r="C762" s="37"/>
      <c r="D762" s="37"/>
      <c r="E762" s="37"/>
      <c r="F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customFormat="false" ht="15.75" hidden="false" customHeight="true" outlineLevel="0" collapsed="false">
      <c r="A763" s="37"/>
      <c r="B763" s="37"/>
      <c r="C763" s="37"/>
      <c r="D763" s="37"/>
      <c r="E763" s="37"/>
      <c r="F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customFormat="false" ht="15.75" hidden="false" customHeight="true" outlineLevel="0" collapsed="false">
      <c r="A764" s="37"/>
      <c r="B764" s="37"/>
      <c r="C764" s="37"/>
      <c r="D764" s="37"/>
      <c r="E764" s="37"/>
      <c r="F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customFormat="false" ht="15.75" hidden="false" customHeight="true" outlineLevel="0" collapsed="false">
      <c r="A765" s="37"/>
      <c r="B765" s="37"/>
      <c r="C765" s="37"/>
      <c r="D765" s="37"/>
      <c r="E765" s="37"/>
      <c r="F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customFormat="false" ht="15.75" hidden="false" customHeight="true" outlineLevel="0" collapsed="false">
      <c r="A766" s="37"/>
      <c r="B766" s="37"/>
      <c r="C766" s="37"/>
      <c r="D766" s="37"/>
      <c r="E766" s="37"/>
      <c r="F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customFormat="false" ht="15.75" hidden="false" customHeight="true" outlineLevel="0" collapsed="false">
      <c r="A767" s="37"/>
      <c r="B767" s="37"/>
      <c r="C767" s="37"/>
      <c r="D767" s="37"/>
      <c r="E767" s="37"/>
      <c r="F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customFormat="false" ht="15.75" hidden="false" customHeight="true" outlineLevel="0" collapsed="false">
      <c r="A768" s="37"/>
      <c r="B768" s="37"/>
      <c r="C768" s="37"/>
      <c r="D768" s="37"/>
      <c r="E768" s="37"/>
      <c r="F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customFormat="false" ht="15.75" hidden="false" customHeight="true" outlineLevel="0" collapsed="false">
      <c r="A769" s="37"/>
      <c r="B769" s="37"/>
      <c r="C769" s="37"/>
      <c r="D769" s="37"/>
      <c r="E769" s="37"/>
      <c r="F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customFormat="false" ht="15.75" hidden="false" customHeight="true" outlineLevel="0" collapsed="false">
      <c r="A770" s="37"/>
      <c r="B770" s="37"/>
      <c r="C770" s="37"/>
      <c r="D770" s="37"/>
      <c r="E770" s="37"/>
      <c r="F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customFormat="false" ht="15.75" hidden="false" customHeight="true" outlineLevel="0" collapsed="false">
      <c r="A771" s="37"/>
      <c r="B771" s="37"/>
      <c r="C771" s="37"/>
      <c r="D771" s="37"/>
      <c r="E771" s="37"/>
      <c r="F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customFormat="false" ht="15.75" hidden="false" customHeight="true" outlineLevel="0" collapsed="false">
      <c r="A772" s="37"/>
      <c r="B772" s="37"/>
      <c r="C772" s="37"/>
      <c r="D772" s="37"/>
      <c r="E772" s="37"/>
      <c r="F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customFormat="false" ht="15.75" hidden="false" customHeight="true" outlineLevel="0" collapsed="false">
      <c r="A773" s="37"/>
      <c r="B773" s="37"/>
      <c r="C773" s="37"/>
      <c r="D773" s="37"/>
      <c r="E773" s="37"/>
      <c r="F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customFormat="false" ht="15.75" hidden="false" customHeight="true" outlineLevel="0" collapsed="false">
      <c r="A774" s="37"/>
      <c r="B774" s="37"/>
      <c r="C774" s="37"/>
      <c r="D774" s="37"/>
      <c r="E774" s="37"/>
      <c r="F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customFormat="false" ht="15.75" hidden="false" customHeight="true" outlineLevel="0" collapsed="false">
      <c r="A775" s="37"/>
      <c r="B775" s="37"/>
      <c r="C775" s="37"/>
      <c r="D775" s="37"/>
      <c r="E775" s="37"/>
      <c r="F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customFormat="false" ht="15.75" hidden="false" customHeight="true" outlineLevel="0" collapsed="false">
      <c r="A776" s="37"/>
      <c r="B776" s="37"/>
      <c r="C776" s="37"/>
      <c r="D776" s="37"/>
      <c r="E776" s="37"/>
      <c r="F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customFormat="false" ht="15.75" hidden="false" customHeight="true" outlineLevel="0" collapsed="false">
      <c r="A777" s="37"/>
      <c r="B777" s="37"/>
      <c r="C777" s="37"/>
      <c r="D777" s="37"/>
      <c r="E777" s="37"/>
      <c r="F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customFormat="false" ht="15.75" hidden="false" customHeight="true" outlineLevel="0" collapsed="false">
      <c r="A778" s="37"/>
      <c r="B778" s="37"/>
      <c r="C778" s="37"/>
      <c r="D778" s="37"/>
      <c r="E778" s="37"/>
      <c r="F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customFormat="false" ht="15.75" hidden="false" customHeight="true" outlineLevel="0" collapsed="false">
      <c r="A779" s="37"/>
      <c r="B779" s="37"/>
      <c r="C779" s="37"/>
      <c r="D779" s="37"/>
      <c r="E779" s="37"/>
      <c r="F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customFormat="false" ht="15.75" hidden="false" customHeight="true" outlineLevel="0" collapsed="false">
      <c r="A780" s="37"/>
      <c r="B780" s="37"/>
      <c r="C780" s="37"/>
      <c r="D780" s="37"/>
      <c r="E780" s="37"/>
      <c r="F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customFormat="false" ht="15.75" hidden="false" customHeight="true" outlineLevel="0" collapsed="false">
      <c r="A781" s="37"/>
      <c r="B781" s="37"/>
      <c r="C781" s="37"/>
      <c r="D781" s="37"/>
      <c r="E781" s="37"/>
      <c r="F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customFormat="false" ht="15.75" hidden="false" customHeight="true" outlineLevel="0" collapsed="false">
      <c r="A782" s="37"/>
      <c r="B782" s="37"/>
      <c r="C782" s="37"/>
      <c r="D782" s="37"/>
      <c r="E782" s="37"/>
      <c r="F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customFormat="false" ht="15.75" hidden="false" customHeight="true" outlineLevel="0" collapsed="false">
      <c r="A783" s="37"/>
      <c r="B783" s="37"/>
      <c r="C783" s="37"/>
      <c r="D783" s="37"/>
      <c r="E783" s="37"/>
      <c r="F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customFormat="false" ht="15.75" hidden="false" customHeight="true" outlineLevel="0" collapsed="false">
      <c r="A784" s="37"/>
      <c r="B784" s="37"/>
      <c r="C784" s="37"/>
      <c r="D784" s="37"/>
      <c r="E784" s="37"/>
      <c r="F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customFormat="false" ht="15.75" hidden="false" customHeight="true" outlineLevel="0" collapsed="false">
      <c r="A785" s="37"/>
      <c r="B785" s="37"/>
      <c r="C785" s="37"/>
      <c r="D785" s="37"/>
      <c r="E785" s="37"/>
      <c r="F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customFormat="false" ht="15.75" hidden="false" customHeight="true" outlineLevel="0" collapsed="false">
      <c r="A786" s="37"/>
      <c r="B786" s="37"/>
      <c r="C786" s="37"/>
      <c r="D786" s="37"/>
      <c r="E786" s="37"/>
      <c r="F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customFormat="false" ht="15.75" hidden="false" customHeight="true" outlineLevel="0" collapsed="false">
      <c r="A787" s="37"/>
      <c r="B787" s="37"/>
      <c r="C787" s="37"/>
      <c r="D787" s="37"/>
      <c r="E787" s="37"/>
      <c r="F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customFormat="false" ht="15.75" hidden="false" customHeight="true" outlineLevel="0" collapsed="false">
      <c r="A788" s="37"/>
      <c r="B788" s="37"/>
      <c r="C788" s="37"/>
      <c r="D788" s="37"/>
      <c r="E788" s="37"/>
      <c r="F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customFormat="false" ht="15.75" hidden="false" customHeight="true" outlineLevel="0" collapsed="false">
      <c r="A789" s="37"/>
      <c r="B789" s="37"/>
      <c r="C789" s="37"/>
      <c r="D789" s="37"/>
      <c r="E789" s="37"/>
      <c r="F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customFormat="false" ht="15.75" hidden="false" customHeight="true" outlineLevel="0" collapsed="false">
      <c r="A790" s="37"/>
      <c r="B790" s="37"/>
      <c r="C790" s="37"/>
      <c r="D790" s="37"/>
      <c r="E790" s="37"/>
      <c r="F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customFormat="false" ht="15.75" hidden="false" customHeight="true" outlineLevel="0" collapsed="false">
      <c r="A791" s="37"/>
      <c r="B791" s="37"/>
      <c r="C791" s="37"/>
      <c r="D791" s="37"/>
      <c r="E791" s="37"/>
      <c r="F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customFormat="false" ht="15.75" hidden="false" customHeight="true" outlineLevel="0" collapsed="false">
      <c r="A792" s="37"/>
      <c r="B792" s="37"/>
      <c r="C792" s="37"/>
      <c r="D792" s="37"/>
      <c r="E792" s="37"/>
      <c r="F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customFormat="false" ht="15.75" hidden="false" customHeight="true" outlineLevel="0" collapsed="false">
      <c r="A793" s="37"/>
      <c r="B793" s="37"/>
      <c r="C793" s="37"/>
      <c r="D793" s="37"/>
      <c r="E793" s="37"/>
      <c r="F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customFormat="false" ht="15.75" hidden="false" customHeight="true" outlineLevel="0" collapsed="false">
      <c r="A794" s="37"/>
      <c r="B794" s="37"/>
      <c r="C794" s="37"/>
      <c r="D794" s="37"/>
      <c r="E794" s="37"/>
      <c r="F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customFormat="false" ht="15.75" hidden="false" customHeight="true" outlineLevel="0" collapsed="false">
      <c r="A795" s="37"/>
      <c r="B795" s="37"/>
      <c r="C795" s="37"/>
      <c r="D795" s="37"/>
      <c r="E795" s="37"/>
      <c r="F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customFormat="false" ht="15.75" hidden="false" customHeight="true" outlineLevel="0" collapsed="false">
      <c r="A796" s="37"/>
      <c r="B796" s="37"/>
      <c r="C796" s="37"/>
      <c r="D796" s="37"/>
      <c r="E796" s="37"/>
      <c r="F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customFormat="false" ht="15.75" hidden="false" customHeight="true" outlineLevel="0" collapsed="false">
      <c r="A797" s="37"/>
      <c r="B797" s="37"/>
      <c r="C797" s="37"/>
      <c r="D797" s="37"/>
      <c r="E797" s="37"/>
      <c r="F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customFormat="false" ht="15.75" hidden="false" customHeight="true" outlineLevel="0" collapsed="false">
      <c r="A798" s="37"/>
      <c r="B798" s="37"/>
      <c r="C798" s="37"/>
      <c r="D798" s="37"/>
      <c r="E798" s="37"/>
      <c r="F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customFormat="false" ht="15.75" hidden="false" customHeight="true" outlineLevel="0" collapsed="false">
      <c r="A799" s="37"/>
      <c r="B799" s="37"/>
      <c r="C799" s="37"/>
      <c r="D799" s="37"/>
      <c r="E799" s="37"/>
      <c r="F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customFormat="false" ht="15.75" hidden="false" customHeight="true" outlineLevel="0" collapsed="false">
      <c r="A800" s="37"/>
      <c r="B800" s="37"/>
      <c r="C800" s="37"/>
      <c r="D800" s="37"/>
      <c r="E800" s="37"/>
      <c r="F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customFormat="false" ht="15.75" hidden="false" customHeight="true" outlineLevel="0" collapsed="false">
      <c r="A801" s="37"/>
      <c r="B801" s="37"/>
      <c r="C801" s="37"/>
      <c r="D801" s="37"/>
      <c r="E801" s="37"/>
      <c r="F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customFormat="false" ht="15.75" hidden="false" customHeight="true" outlineLevel="0" collapsed="false">
      <c r="A802" s="37"/>
      <c r="B802" s="37"/>
      <c r="C802" s="37"/>
      <c r="D802" s="37"/>
      <c r="E802" s="37"/>
      <c r="F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customFormat="false" ht="15.75" hidden="false" customHeight="true" outlineLevel="0" collapsed="false">
      <c r="A803" s="37"/>
      <c r="B803" s="37"/>
      <c r="C803" s="37"/>
      <c r="D803" s="37"/>
      <c r="E803" s="37"/>
      <c r="F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customFormat="false" ht="15.75" hidden="false" customHeight="true" outlineLevel="0" collapsed="false">
      <c r="A804" s="37"/>
      <c r="B804" s="37"/>
      <c r="C804" s="37"/>
      <c r="D804" s="37"/>
      <c r="E804" s="37"/>
      <c r="F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customFormat="false" ht="15.75" hidden="false" customHeight="true" outlineLevel="0" collapsed="false">
      <c r="A805" s="37"/>
      <c r="B805" s="37"/>
      <c r="C805" s="37"/>
      <c r="D805" s="37"/>
      <c r="E805" s="37"/>
      <c r="F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customFormat="false" ht="15.75" hidden="false" customHeight="true" outlineLevel="0" collapsed="false">
      <c r="A806" s="37"/>
      <c r="B806" s="37"/>
      <c r="C806" s="37"/>
      <c r="D806" s="37"/>
      <c r="E806" s="37"/>
      <c r="F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customFormat="false" ht="15.75" hidden="false" customHeight="true" outlineLevel="0" collapsed="false">
      <c r="A807" s="37"/>
      <c r="B807" s="37"/>
      <c r="C807" s="37"/>
      <c r="D807" s="37"/>
      <c r="E807" s="37"/>
      <c r="F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customFormat="false" ht="15.75" hidden="false" customHeight="true" outlineLevel="0" collapsed="false">
      <c r="A808" s="37"/>
      <c r="B808" s="37"/>
      <c r="C808" s="37"/>
      <c r="D808" s="37"/>
      <c r="E808" s="37"/>
      <c r="F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customFormat="false" ht="15.75" hidden="false" customHeight="true" outlineLevel="0" collapsed="false">
      <c r="A809" s="37"/>
      <c r="B809" s="37"/>
      <c r="C809" s="37"/>
      <c r="D809" s="37"/>
      <c r="E809" s="37"/>
      <c r="F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customFormat="false" ht="15.75" hidden="false" customHeight="true" outlineLevel="0" collapsed="false">
      <c r="A810" s="37"/>
      <c r="B810" s="37"/>
      <c r="C810" s="37"/>
      <c r="D810" s="37"/>
      <c r="E810" s="37"/>
      <c r="F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customFormat="false" ht="15.75" hidden="false" customHeight="true" outlineLevel="0" collapsed="false">
      <c r="A811" s="37"/>
      <c r="B811" s="37"/>
      <c r="C811" s="37"/>
      <c r="D811" s="37"/>
      <c r="E811" s="37"/>
      <c r="F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customFormat="false" ht="15.75" hidden="false" customHeight="true" outlineLevel="0" collapsed="false">
      <c r="A812" s="37"/>
      <c r="B812" s="37"/>
      <c r="C812" s="37"/>
      <c r="D812" s="37"/>
      <c r="E812" s="37"/>
      <c r="F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customFormat="false" ht="15.75" hidden="false" customHeight="true" outlineLevel="0" collapsed="false">
      <c r="A813" s="37"/>
      <c r="B813" s="37"/>
      <c r="C813" s="37"/>
      <c r="D813" s="37"/>
      <c r="E813" s="37"/>
      <c r="F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customFormat="false" ht="15.75" hidden="false" customHeight="true" outlineLevel="0" collapsed="false">
      <c r="A814" s="37"/>
      <c r="B814" s="37"/>
      <c r="C814" s="37"/>
      <c r="D814" s="37"/>
      <c r="E814" s="37"/>
      <c r="F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customFormat="false" ht="15.75" hidden="false" customHeight="true" outlineLevel="0" collapsed="false">
      <c r="A815" s="37"/>
      <c r="B815" s="37"/>
      <c r="C815" s="37"/>
      <c r="D815" s="37"/>
      <c r="E815" s="37"/>
      <c r="F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customFormat="false" ht="15.75" hidden="false" customHeight="true" outlineLevel="0" collapsed="false">
      <c r="A816" s="37"/>
      <c r="B816" s="37"/>
      <c r="C816" s="37"/>
      <c r="D816" s="37"/>
      <c r="E816" s="37"/>
      <c r="F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customFormat="false" ht="15.75" hidden="false" customHeight="true" outlineLevel="0" collapsed="false">
      <c r="A817" s="37"/>
      <c r="B817" s="37"/>
      <c r="C817" s="37"/>
      <c r="D817" s="37"/>
      <c r="E817" s="37"/>
      <c r="F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customFormat="false" ht="15.75" hidden="false" customHeight="true" outlineLevel="0" collapsed="false">
      <c r="A818" s="37"/>
      <c r="B818" s="37"/>
      <c r="C818" s="37"/>
      <c r="D818" s="37"/>
      <c r="E818" s="37"/>
      <c r="F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customFormat="false" ht="15.75" hidden="false" customHeight="true" outlineLevel="0" collapsed="false">
      <c r="A819" s="37"/>
      <c r="B819" s="37"/>
      <c r="C819" s="37"/>
      <c r="D819" s="37"/>
      <c r="E819" s="37"/>
      <c r="F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customFormat="false" ht="15.75" hidden="false" customHeight="true" outlineLevel="0" collapsed="false">
      <c r="A820" s="37"/>
      <c r="B820" s="37"/>
      <c r="C820" s="37"/>
      <c r="D820" s="37"/>
      <c r="E820" s="37"/>
      <c r="F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customFormat="false" ht="15.75" hidden="false" customHeight="true" outlineLevel="0" collapsed="false">
      <c r="A821" s="37"/>
      <c r="B821" s="37"/>
      <c r="C821" s="37"/>
      <c r="D821" s="37"/>
      <c r="E821" s="37"/>
      <c r="F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customFormat="false" ht="15.75" hidden="false" customHeight="true" outlineLevel="0" collapsed="false">
      <c r="A822" s="37"/>
      <c r="B822" s="37"/>
      <c r="C822" s="37"/>
      <c r="D822" s="37"/>
      <c r="E822" s="37"/>
      <c r="F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customFormat="false" ht="15.75" hidden="false" customHeight="true" outlineLevel="0" collapsed="false">
      <c r="A823" s="37"/>
      <c r="B823" s="37"/>
      <c r="C823" s="37"/>
      <c r="D823" s="37"/>
      <c r="E823" s="37"/>
      <c r="F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customFormat="false" ht="15.75" hidden="false" customHeight="true" outlineLevel="0" collapsed="false">
      <c r="A824" s="37"/>
      <c r="B824" s="37"/>
      <c r="C824" s="37"/>
      <c r="D824" s="37"/>
      <c r="E824" s="37"/>
      <c r="F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customFormat="false" ht="15.75" hidden="false" customHeight="true" outlineLevel="0" collapsed="false">
      <c r="A825" s="37"/>
      <c r="B825" s="37"/>
      <c r="C825" s="37"/>
      <c r="D825" s="37"/>
      <c r="E825" s="37"/>
      <c r="F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customFormat="false" ht="15.75" hidden="false" customHeight="true" outlineLevel="0" collapsed="false">
      <c r="A826" s="37"/>
      <c r="B826" s="37"/>
      <c r="C826" s="37"/>
      <c r="D826" s="37"/>
      <c r="E826" s="37"/>
      <c r="F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customFormat="false" ht="15.75" hidden="false" customHeight="true" outlineLevel="0" collapsed="false">
      <c r="A827" s="37"/>
      <c r="B827" s="37"/>
      <c r="C827" s="37"/>
      <c r="D827" s="37"/>
      <c r="E827" s="37"/>
      <c r="F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customFormat="false" ht="15.75" hidden="false" customHeight="true" outlineLevel="0" collapsed="false">
      <c r="A828" s="37"/>
      <c r="B828" s="37"/>
      <c r="C828" s="37"/>
      <c r="D828" s="37"/>
      <c r="E828" s="37"/>
      <c r="F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customFormat="false" ht="15.75" hidden="false" customHeight="true" outlineLevel="0" collapsed="false">
      <c r="A829" s="37"/>
      <c r="B829" s="37"/>
      <c r="C829" s="37"/>
      <c r="D829" s="37"/>
      <c r="E829" s="37"/>
      <c r="F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customFormat="false" ht="15.75" hidden="false" customHeight="true" outlineLevel="0" collapsed="false">
      <c r="A830" s="37"/>
      <c r="B830" s="37"/>
      <c r="C830" s="37"/>
      <c r="D830" s="37"/>
      <c r="E830" s="37"/>
      <c r="F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customFormat="false" ht="15.75" hidden="false" customHeight="true" outlineLevel="0" collapsed="false">
      <c r="A831" s="37"/>
      <c r="B831" s="37"/>
      <c r="C831" s="37"/>
      <c r="D831" s="37"/>
      <c r="E831" s="37"/>
      <c r="F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customFormat="false" ht="15.75" hidden="false" customHeight="true" outlineLevel="0" collapsed="false">
      <c r="A832" s="37"/>
      <c r="B832" s="37"/>
      <c r="C832" s="37"/>
      <c r="D832" s="37"/>
      <c r="E832" s="37"/>
      <c r="F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customFormat="false" ht="15.75" hidden="false" customHeight="true" outlineLevel="0" collapsed="false">
      <c r="A833" s="37"/>
      <c r="B833" s="37"/>
      <c r="C833" s="37"/>
      <c r="D833" s="37"/>
      <c r="E833" s="37"/>
      <c r="F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customFormat="false" ht="15.75" hidden="false" customHeight="true" outlineLevel="0" collapsed="false">
      <c r="A834" s="37"/>
      <c r="B834" s="37"/>
      <c r="C834" s="37"/>
      <c r="D834" s="37"/>
      <c r="E834" s="37"/>
      <c r="F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customFormat="false" ht="15.75" hidden="false" customHeight="true" outlineLevel="0" collapsed="false">
      <c r="A835" s="37"/>
      <c r="B835" s="37"/>
      <c r="C835" s="37"/>
      <c r="D835" s="37"/>
      <c r="E835" s="37"/>
      <c r="F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customFormat="false" ht="15.75" hidden="false" customHeight="true" outlineLevel="0" collapsed="false">
      <c r="A836" s="37"/>
      <c r="B836" s="37"/>
      <c r="C836" s="37"/>
      <c r="D836" s="37"/>
      <c r="E836" s="37"/>
      <c r="F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customFormat="false" ht="15.75" hidden="false" customHeight="true" outlineLevel="0" collapsed="false">
      <c r="A837" s="37"/>
      <c r="B837" s="37"/>
      <c r="C837" s="37"/>
      <c r="D837" s="37"/>
      <c r="E837" s="37"/>
      <c r="F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customFormat="false" ht="15.75" hidden="false" customHeight="true" outlineLevel="0" collapsed="false">
      <c r="A838" s="37"/>
      <c r="B838" s="37"/>
      <c r="C838" s="37"/>
      <c r="D838" s="37"/>
      <c r="E838" s="37"/>
      <c r="F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customFormat="false" ht="15.75" hidden="false" customHeight="true" outlineLevel="0" collapsed="false">
      <c r="A839" s="37"/>
      <c r="B839" s="37"/>
      <c r="C839" s="37"/>
      <c r="D839" s="37"/>
      <c r="E839" s="37"/>
      <c r="F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customFormat="false" ht="15.75" hidden="false" customHeight="true" outlineLevel="0" collapsed="false">
      <c r="A840" s="37"/>
      <c r="B840" s="37"/>
      <c r="C840" s="37"/>
      <c r="D840" s="37"/>
      <c r="E840" s="37"/>
      <c r="F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customFormat="false" ht="15.75" hidden="false" customHeight="true" outlineLevel="0" collapsed="false">
      <c r="A841" s="37"/>
      <c r="B841" s="37"/>
      <c r="C841" s="37"/>
      <c r="D841" s="37"/>
      <c r="E841" s="37"/>
      <c r="F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customFormat="false" ht="15.75" hidden="false" customHeight="true" outlineLevel="0" collapsed="false">
      <c r="A842" s="37"/>
      <c r="B842" s="37"/>
      <c r="C842" s="37"/>
      <c r="D842" s="37"/>
      <c r="E842" s="37"/>
      <c r="F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customFormat="false" ht="15.75" hidden="false" customHeight="true" outlineLevel="0" collapsed="false">
      <c r="A843" s="37"/>
      <c r="B843" s="37"/>
      <c r="C843" s="37"/>
      <c r="D843" s="37"/>
      <c r="E843" s="37"/>
      <c r="F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customFormat="false" ht="15.75" hidden="false" customHeight="true" outlineLevel="0" collapsed="false">
      <c r="A844" s="37"/>
      <c r="B844" s="37"/>
      <c r="C844" s="37"/>
      <c r="D844" s="37"/>
      <c r="E844" s="37"/>
      <c r="F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customFormat="false" ht="15.75" hidden="false" customHeight="true" outlineLevel="0" collapsed="false">
      <c r="A845" s="37"/>
      <c r="B845" s="37"/>
      <c r="C845" s="37"/>
      <c r="D845" s="37"/>
      <c r="E845" s="37"/>
      <c r="F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customFormat="false" ht="15.75" hidden="false" customHeight="true" outlineLevel="0" collapsed="false">
      <c r="A846" s="37"/>
      <c r="B846" s="37"/>
      <c r="C846" s="37"/>
      <c r="D846" s="37"/>
      <c r="E846" s="37"/>
      <c r="F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customFormat="false" ht="15.75" hidden="false" customHeight="true" outlineLevel="0" collapsed="false">
      <c r="A847" s="37"/>
      <c r="B847" s="37"/>
      <c r="C847" s="37"/>
      <c r="D847" s="37"/>
      <c r="E847" s="37"/>
      <c r="F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customFormat="false" ht="15.75" hidden="false" customHeight="true" outlineLevel="0" collapsed="false">
      <c r="A848" s="37"/>
      <c r="B848" s="37"/>
      <c r="C848" s="37"/>
      <c r="D848" s="37"/>
      <c r="E848" s="37"/>
      <c r="F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customFormat="false" ht="15.75" hidden="false" customHeight="true" outlineLevel="0" collapsed="false">
      <c r="A849" s="37"/>
      <c r="B849" s="37"/>
      <c r="C849" s="37"/>
      <c r="D849" s="37"/>
      <c r="E849" s="37"/>
      <c r="F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customFormat="false" ht="15.75" hidden="false" customHeight="true" outlineLevel="0" collapsed="false">
      <c r="A850" s="37"/>
      <c r="B850" s="37"/>
      <c r="C850" s="37"/>
      <c r="D850" s="37"/>
      <c r="E850" s="37"/>
      <c r="F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customFormat="false" ht="15.75" hidden="false" customHeight="true" outlineLevel="0" collapsed="false">
      <c r="A851" s="37"/>
      <c r="B851" s="37"/>
      <c r="C851" s="37"/>
      <c r="D851" s="37"/>
      <c r="E851" s="37"/>
      <c r="F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customFormat="false" ht="15.75" hidden="false" customHeight="true" outlineLevel="0" collapsed="false">
      <c r="A852" s="37"/>
      <c r="B852" s="37"/>
      <c r="C852" s="37"/>
      <c r="D852" s="37"/>
      <c r="E852" s="37"/>
      <c r="F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customFormat="false" ht="15.75" hidden="false" customHeight="true" outlineLevel="0" collapsed="false">
      <c r="A853" s="37"/>
      <c r="B853" s="37"/>
      <c r="C853" s="37"/>
      <c r="D853" s="37"/>
      <c r="E853" s="37"/>
      <c r="F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customFormat="false" ht="15.75" hidden="false" customHeight="true" outlineLevel="0" collapsed="false">
      <c r="A854" s="37"/>
      <c r="B854" s="37"/>
      <c r="C854" s="37"/>
      <c r="D854" s="37"/>
      <c r="E854" s="37"/>
      <c r="F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customFormat="false" ht="15.75" hidden="false" customHeight="true" outlineLevel="0" collapsed="false">
      <c r="A855" s="37"/>
      <c r="B855" s="37"/>
      <c r="C855" s="37"/>
      <c r="D855" s="37"/>
      <c r="E855" s="37"/>
      <c r="F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customFormat="false" ht="15.75" hidden="false" customHeight="true" outlineLevel="0" collapsed="false">
      <c r="A856" s="37"/>
      <c r="B856" s="37"/>
      <c r="C856" s="37"/>
      <c r="D856" s="37"/>
      <c r="E856" s="37"/>
      <c r="F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customFormat="false" ht="15.75" hidden="false" customHeight="true" outlineLevel="0" collapsed="false">
      <c r="A857" s="37"/>
      <c r="B857" s="37"/>
      <c r="C857" s="37"/>
      <c r="D857" s="37"/>
      <c r="E857" s="37"/>
      <c r="F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customFormat="false" ht="15.75" hidden="false" customHeight="true" outlineLevel="0" collapsed="false">
      <c r="A858" s="37"/>
      <c r="B858" s="37"/>
      <c r="C858" s="37"/>
      <c r="D858" s="37"/>
      <c r="E858" s="37"/>
      <c r="F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customFormat="false" ht="15.75" hidden="false" customHeight="true" outlineLevel="0" collapsed="false">
      <c r="A859" s="37"/>
      <c r="B859" s="37"/>
      <c r="C859" s="37"/>
      <c r="D859" s="37"/>
      <c r="E859" s="37"/>
      <c r="F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customFormat="false" ht="15.75" hidden="false" customHeight="true" outlineLevel="0" collapsed="false">
      <c r="A860" s="37"/>
      <c r="B860" s="37"/>
      <c r="C860" s="37"/>
      <c r="D860" s="37"/>
      <c r="E860" s="37"/>
      <c r="F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customFormat="false" ht="15.75" hidden="false" customHeight="true" outlineLevel="0" collapsed="false">
      <c r="A861" s="37"/>
      <c r="B861" s="37"/>
      <c r="C861" s="37"/>
      <c r="D861" s="37"/>
      <c r="E861" s="37"/>
      <c r="F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customFormat="false" ht="15.75" hidden="false" customHeight="true" outlineLevel="0" collapsed="false">
      <c r="A862" s="37"/>
      <c r="B862" s="37"/>
      <c r="C862" s="37"/>
      <c r="D862" s="37"/>
      <c r="E862" s="37"/>
      <c r="F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customFormat="false" ht="15.75" hidden="false" customHeight="true" outlineLevel="0" collapsed="false">
      <c r="A863" s="37"/>
      <c r="B863" s="37"/>
      <c r="C863" s="37"/>
      <c r="D863" s="37"/>
      <c r="E863" s="37"/>
      <c r="F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customFormat="false" ht="15.75" hidden="false" customHeight="true" outlineLevel="0" collapsed="false">
      <c r="A864" s="37"/>
      <c r="B864" s="37"/>
      <c r="C864" s="37"/>
      <c r="D864" s="37"/>
      <c r="E864" s="37"/>
      <c r="F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customFormat="false" ht="15.75" hidden="false" customHeight="true" outlineLevel="0" collapsed="false">
      <c r="A865" s="37"/>
      <c r="B865" s="37"/>
      <c r="C865" s="37"/>
      <c r="D865" s="37"/>
      <c r="E865" s="37"/>
      <c r="F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customFormat="false" ht="15.75" hidden="false" customHeight="true" outlineLevel="0" collapsed="false">
      <c r="A866" s="37"/>
      <c r="B866" s="37"/>
      <c r="C866" s="37"/>
      <c r="D866" s="37"/>
      <c r="E866" s="37"/>
      <c r="F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customFormat="false" ht="15.75" hidden="false" customHeight="true" outlineLevel="0" collapsed="false">
      <c r="A867" s="37"/>
      <c r="B867" s="37"/>
      <c r="C867" s="37"/>
      <c r="D867" s="37"/>
      <c r="E867" s="37"/>
      <c r="F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customFormat="false" ht="15.75" hidden="false" customHeight="true" outlineLevel="0" collapsed="false">
      <c r="A868" s="37"/>
      <c r="B868" s="37"/>
      <c r="C868" s="37"/>
      <c r="D868" s="37"/>
      <c r="E868" s="37"/>
      <c r="F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customFormat="false" ht="15.75" hidden="false" customHeight="true" outlineLevel="0" collapsed="false">
      <c r="A869" s="37"/>
      <c r="B869" s="37"/>
      <c r="C869" s="37"/>
      <c r="D869" s="37"/>
      <c r="E869" s="37"/>
      <c r="F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customFormat="false" ht="15.75" hidden="false" customHeight="true" outlineLevel="0" collapsed="false">
      <c r="A870" s="37"/>
      <c r="B870" s="37"/>
      <c r="C870" s="37"/>
      <c r="D870" s="37"/>
      <c r="E870" s="37"/>
      <c r="F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customFormat="false" ht="15.75" hidden="false" customHeight="true" outlineLevel="0" collapsed="false">
      <c r="A871" s="37"/>
      <c r="B871" s="37"/>
      <c r="C871" s="37"/>
      <c r="D871" s="37"/>
      <c r="E871" s="37"/>
      <c r="F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customFormat="false" ht="15.75" hidden="false" customHeight="true" outlineLevel="0" collapsed="false">
      <c r="A872" s="37"/>
      <c r="B872" s="37"/>
      <c r="C872" s="37"/>
      <c r="D872" s="37"/>
      <c r="E872" s="37"/>
      <c r="F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customFormat="false" ht="15.75" hidden="false" customHeight="true" outlineLevel="0" collapsed="false">
      <c r="A873" s="37"/>
      <c r="B873" s="37"/>
      <c r="C873" s="37"/>
      <c r="D873" s="37"/>
      <c r="E873" s="37"/>
      <c r="F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customFormat="false" ht="15.75" hidden="false" customHeight="true" outlineLevel="0" collapsed="false">
      <c r="A874" s="37"/>
      <c r="B874" s="37"/>
      <c r="C874" s="37"/>
      <c r="D874" s="37"/>
      <c r="E874" s="37"/>
      <c r="F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customFormat="false" ht="15.75" hidden="false" customHeight="true" outlineLevel="0" collapsed="false">
      <c r="A875" s="37"/>
      <c r="B875" s="37"/>
      <c r="C875" s="37"/>
      <c r="D875" s="37"/>
      <c r="E875" s="37"/>
      <c r="F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customFormat="false" ht="15.75" hidden="false" customHeight="true" outlineLevel="0" collapsed="false">
      <c r="A876" s="37"/>
      <c r="B876" s="37"/>
      <c r="C876" s="37"/>
      <c r="D876" s="37"/>
      <c r="E876" s="37"/>
      <c r="F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customFormat="false" ht="15.75" hidden="false" customHeight="true" outlineLevel="0" collapsed="false">
      <c r="A877" s="37"/>
      <c r="B877" s="37"/>
      <c r="C877" s="37"/>
      <c r="D877" s="37"/>
      <c r="E877" s="37"/>
      <c r="F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customFormat="false" ht="15.75" hidden="false" customHeight="true" outlineLevel="0" collapsed="false">
      <c r="A878" s="37"/>
      <c r="B878" s="37"/>
      <c r="C878" s="37"/>
      <c r="D878" s="37"/>
      <c r="E878" s="37"/>
      <c r="F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customFormat="false" ht="15.75" hidden="false" customHeight="true" outlineLevel="0" collapsed="false">
      <c r="A879" s="37"/>
      <c r="B879" s="37"/>
      <c r="C879" s="37"/>
      <c r="D879" s="37"/>
      <c r="E879" s="37"/>
      <c r="F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customFormat="false" ht="15.75" hidden="false" customHeight="true" outlineLevel="0" collapsed="false">
      <c r="A880" s="37"/>
      <c r="B880" s="37"/>
      <c r="C880" s="37"/>
      <c r="D880" s="37"/>
      <c r="E880" s="37"/>
      <c r="F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customFormat="false" ht="15.75" hidden="false" customHeight="true" outlineLevel="0" collapsed="false">
      <c r="A881" s="37"/>
      <c r="B881" s="37"/>
      <c r="C881" s="37"/>
      <c r="D881" s="37"/>
      <c r="E881" s="37"/>
      <c r="F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customFormat="false" ht="15.75" hidden="false" customHeight="true" outlineLevel="0" collapsed="false">
      <c r="A882" s="37"/>
      <c r="B882" s="37"/>
      <c r="C882" s="37"/>
      <c r="D882" s="37"/>
      <c r="E882" s="37"/>
      <c r="F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customFormat="false" ht="15.75" hidden="false" customHeight="true" outlineLevel="0" collapsed="false">
      <c r="A883" s="37"/>
      <c r="B883" s="37"/>
      <c r="C883" s="37"/>
      <c r="D883" s="37"/>
      <c r="E883" s="37"/>
      <c r="F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customFormat="false" ht="15.75" hidden="false" customHeight="true" outlineLevel="0" collapsed="false">
      <c r="A884" s="37"/>
      <c r="B884" s="37"/>
      <c r="C884" s="37"/>
      <c r="D884" s="37"/>
      <c r="E884" s="37"/>
      <c r="F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customFormat="false" ht="15.75" hidden="false" customHeight="true" outlineLevel="0" collapsed="false">
      <c r="A885" s="37"/>
      <c r="B885" s="37"/>
      <c r="C885" s="37"/>
      <c r="D885" s="37"/>
      <c r="E885" s="37"/>
      <c r="F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customFormat="false" ht="15.75" hidden="false" customHeight="true" outlineLevel="0" collapsed="false">
      <c r="A886" s="37"/>
      <c r="B886" s="37"/>
      <c r="C886" s="37"/>
      <c r="D886" s="37"/>
      <c r="E886" s="37"/>
      <c r="F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customFormat="false" ht="15.75" hidden="false" customHeight="true" outlineLevel="0" collapsed="false">
      <c r="A887" s="37"/>
      <c r="B887" s="37"/>
      <c r="C887" s="37"/>
      <c r="D887" s="37"/>
      <c r="E887" s="37"/>
      <c r="F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customFormat="false" ht="15.75" hidden="false" customHeight="true" outlineLevel="0" collapsed="false">
      <c r="A888" s="37"/>
      <c r="B888" s="37"/>
      <c r="C888" s="37"/>
      <c r="D888" s="37"/>
      <c r="E888" s="37"/>
      <c r="F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customFormat="false" ht="15.75" hidden="false" customHeight="true" outlineLevel="0" collapsed="false">
      <c r="A889" s="37"/>
      <c r="B889" s="37"/>
      <c r="C889" s="37"/>
      <c r="D889" s="37"/>
      <c r="E889" s="37"/>
      <c r="F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customFormat="false" ht="15.75" hidden="false" customHeight="true" outlineLevel="0" collapsed="false">
      <c r="A890" s="37"/>
      <c r="B890" s="37"/>
      <c r="C890" s="37"/>
      <c r="D890" s="37"/>
      <c r="E890" s="37"/>
      <c r="F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customFormat="false" ht="15.75" hidden="false" customHeight="true" outlineLevel="0" collapsed="false">
      <c r="A891" s="37"/>
      <c r="B891" s="37"/>
      <c r="C891" s="37"/>
      <c r="D891" s="37"/>
      <c r="E891" s="37"/>
      <c r="F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customFormat="false" ht="15.75" hidden="false" customHeight="true" outlineLevel="0" collapsed="false">
      <c r="A892" s="37"/>
      <c r="B892" s="37"/>
      <c r="C892" s="37"/>
      <c r="D892" s="37"/>
      <c r="E892" s="37"/>
      <c r="F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customFormat="false" ht="15.75" hidden="false" customHeight="true" outlineLevel="0" collapsed="false">
      <c r="A893" s="37"/>
      <c r="B893" s="37"/>
      <c r="C893" s="37"/>
      <c r="D893" s="37"/>
      <c r="E893" s="37"/>
      <c r="F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customFormat="false" ht="15.75" hidden="false" customHeight="true" outlineLevel="0" collapsed="false">
      <c r="A894" s="37"/>
      <c r="B894" s="37"/>
      <c r="C894" s="37"/>
      <c r="D894" s="37"/>
      <c r="E894" s="37"/>
      <c r="F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customFormat="false" ht="15.75" hidden="false" customHeight="true" outlineLevel="0" collapsed="false">
      <c r="A895" s="37"/>
      <c r="B895" s="37"/>
      <c r="C895" s="37"/>
      <c r="D895" s="37"/>
      <c r="E895" s="37"/>
      <c r="F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customFormat="false" ht="15.75" hidden="false" customHeight="true" outlineLevel="0" collapsed="false">
      <c r="A896" s="37"/>
      <c r="B896" s="37"/>
      <c r="C896" s="37"/>
      <c r="D896" s="37"/>
      <c r="E896" s="37"/>
      <c r="F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customFormat="false" ht="15.75" hidden="false" customHeight="true" outlineLevel="0" collapsed="false">
      <c r="A897" s="37"/>
      <c r="B897" s="37"/>
      <c r="C897" s="37"/>
      <c r="D897" s="37"/>
      <c r="E897" s="37"/>
      <c r="F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customFormat="false" ht="15.75" hidden="false" customHeight="true" outlineLevel="0" collapsed="false">
      <c r="A898" s="37"/>
      <c r="B898" s="37"/>
      <c r="C898" s="37"/>
      <c r="D898" s="37"/>
      <c r="E898" s="37"/>
      <c r="F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customFormat="false" ht="15.75" hidden="false" customHeight="true" outlineLevel="0" collapsed="false">
      <c r="A899" s="37"/>
      <c r="B899" s="37"/>
      <c r="C899" s="37"/>
      <c r="D899" s="37"/>
      <c r="E899" s="37"/>
      <c r="F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customFormat="false" ht="15.75" hidden="false" customHeight="true" outlineLevel="0" collapsed="false">
      <c r="A900" s="37"/>
      <c r="B900" s="37"/>
      <c r="C900" s="37"/>
      <c r="D900" s="37"/>
      <c r="E900" s="37"/>
      <c r="F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customFormat="false" ht="15.75" hidden="false" customHeight="true" outlineLevel="0" collapsed="false">
      <c r="A901" s="37"/>
      <c r="B901" s="37"/>
      <c r="C901" s="37"/>
      <c r="D901" s="37"/>
      <c r="E901" s="37"/>
      <c r="F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customFormat="false" ht="15.75" hidden="false" customHeight="true" outlineLevel="0" collapsed="false">
      <c r="A902" s="37"/>
      <c r="B902" s="37"/>
      <c r="C902" s="37"/>
      <c r="D902" s="37"/>
      <c r="E902" s="37"/>
      <c r="F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customFormat="false" ht="15.75" hidden="false" customHeight="true" outlineLevel="0" collapsed="false">
      <c r="A903" s="37"/>
      <c r="B903" s="37"/>
      <c r="C903" s="37"/>
      <c r="D903" s="37"/>
      <c r="E903" s="37"/>
      <c r="F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customFormat="false" ht="15.75" hidden="false" customHeight="true" outlineLevel="0" collapsed="false">
      <c r="A904" s="37"/>
      <c r="B904" s="37"/>
      <c r="C904" s="37"/>
      <c r="D904" s="37"/>
      <c r="E904" s="37"/>
      <c r="F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customFormat="false" ht="15.75" hidden="false" customHeight="true" outlineLevel="0" collapsed="false">
      <c r="A905" s="37"/>
      <c r="B905" s="37"/>
      <c r="C905" s="37"/>
      <c r="D905" s="37"/>
      <c r="E905" s="37"/>
      <c r="F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customFormat="false" ht="15.75" hidden="false" customHeight="true" outlineLevel="0" collapsed="false">
      <c r="A906" s="37"/>
      <c r="B906" s="37"/>
      <c r="C906" s="37"/>
      <c r="D906" s="37"/>
      <c r="E906" s="37"/>
      <c r="F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customFormat="false" ht="15.75" hidden="false" customHeight="true" outlineLevel="0" collapsed="false">
      <c r="A907" s="37"/>
      <c r="B907" s="37"/>
      <c r="C907" s="37"/>
      <c r="D907" s="37"/>
      <c r="E907" s="37"/>
      <c r="F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customFormat="false" ht="15.75" hidden="false" customHeight="true" outlineLevel="0" collapsed="false">
      <c r="A908" s="37"/>
      <c r="B908" s="37"/>
      <c r="C908" s="37"/>
      <c r="D908" s="37"/>
      <c r="E908" s="37"/>
      <c r="F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customFormat="false" ht="15.75" hidden="false" customHeight="true" outlineLevel="0" collapsed="false">
      <c r="A909" s="37"/>
      <c r="B909" s="37"/>
      <c r="C909" s="37"/>
      <c r="D909" s="37"/>
      <c r="E909" s="37"/>
      <c r="F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customFormat="false" ht="15.75" hidden="false" customHeight="true" outlineLevel="0" collapsed="false">
      <c r="A910" s="37"/>
      <c r="B910" s="37"/>
      <c r="C910" s="37"/>
      <c r="D910" s="37"/>
      <c r="E910" s="37"/>
      <c r="F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customFormat="false" ht="15.75" hidden="false" customHeight="true" outlineLevel="0" collapsed="false">
      <c r="A911" s="37"/>
      <c r="B911" s="37"/>
      <c r="C911" s="37"/>
      <c r="D911" s="37"/>
      <c r="E911" s="37"/>
      <c r="F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customFormat="false" ht="15.75" hidden="false" customHeight="true" outlineLevel="0" collapsed="false">
      <c r="A912" s="37"/>
      <c r="B912" s="37"/>
      <c r="C912" s="37"/>
      <c r="D912" s="37"/>
      <c r="E912" s="37"/>
      <c r="F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customFormat="false" ht="15.75" hidden="false" customHeight="true" outlineLevel="0" collapsed="false">
      <c r="A913" s="37"/>
      <c r="B913" s="37"/>
      <c r="C913" s="37"/>
      <c r="D913" s="37"/>
      <c r="E913" s="37"/>
      <c r="F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customFormat="false" ht="15.75" hidden="false" customHeight="true" outlineLevel="0" collapsed="false">
      <c r="A914" s="37"/>
      <c r="B914" s="37"/>
      <c r="C914" s="37"/>
      <c r="D914" s="37"/>
      <c r="E914" s="37"/>
      <c r="F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customFormat="false" ht="15.75" hidden="false" customHeight="true" outlineLevel="0" collapsed="false">
      <c r="A915" s="37"/>
      <c r="B915" s="37"/>
      <c r="C915" s="37"/>
      <c r="D915" s="37"/>
      <c r="E915" s="37"/>
      <c r="F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customFormat="false" ht="15.75" hidden="false" customHeight="true" outlineLevel="0" collapsed="false">
      <c r="A916" s="37"/>
      <c r="B916" s="37"/>
      <c r="C916" s="37"/>
      <c r="D916" s="37"/>
      <c r="E916" s="37"/>
      <c r="F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customFormat="false" ht="15.75" hidden="false" customHeight="true" outlineLevel="0" collapsed="false">
      <c r="A917" s="37"/>
      <c r="B917" s="37"/>
      <c r="C917" s="37"/>
      <c r="D917" s="37"/>
      <c r="E917" s="37"/>
      <c r="F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customFormat="false" ht="15.75" hidden="false" customHeight="true" outlineLevel="0" collapsed="false">
      <c r="A918" s="37"/>
      <c r="B918" s="37"/>
      <c r="C918" s="37"/>
      <c r="D918" s="37"/>
      <c r="E918" s="37"/>
      <c r="F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customFormat="false" ht="15.75" hidden="false" customHeight="true" outlineLevel="0" collapsed="false">
      <c r="A919" s="37"/>
      <c r="B919" s="37"/>
      <c r="C919" s="37"/>
      <c r="D919" s="37"/>
      <c r="E919" s="37"/>
      <c r="F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customFormat="false" ht="15.75" hidden="false" customHeight="true" outlineLevel="0" collapsed="false">
      <c r="A920" s="37"/>
      <c r="B920" s="37"/>
      <c r="C920" s="37"/>
      <c r="D920" s="37"/>
      <c r="E920" s="37"/>
      <c r="F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customFormat="false" ht="15.75" hidden="false" customHeight="true" outlineLevel="0" collapsed="false">
      <c r="A921" s="37"/>
      <c r="B921" s="37"/>
      <c r="C921" s="37"/>
      <c r="D921" s="37"/>
      <c r="E921" s="37"/>
      <c r="F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customFormat="false" ht="15.75" hidden="false" customHeight="true" outlineLevel="0" collapsed="false">
      <c r="A922" s="37"/>
      <c r="B922" s="37"/>
      <c r="C922" s="37"/>
      <c r="D922" s="37"/>
      <c r="E922" s="37"/>
      <c r="F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customFormat="false" ht="15.75" hidden="false" customHeight="true" outlineLevel="0" collapsed="false">
      <c r="A923" s="37"/>
      <c r="B923" s="37"/>
      <c r="C923" s="37"/>
      <c r="D923" s="37"/>
      <c r="E923" s="37"/>
      <c r="F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customFormat="false" ht="15.75" hidden="false" customHeight="true" outlineLevel="0" collapsed="false">
      <c r="A924" s="37"/>
      <c r="B924" s="37"/>
      <c r="C924" s="37"/>
      <c r="D924" s="37"/>
      <c r="E924" s="37"/>
      <c r="F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customFormat="false" ht="15.75" hidden="false" customHeight="true" outlineLevel="0" collapsed="false">
      <c r="A925" s="37"/>
      <c r="B925" s="37"/>
      <c r="C925" s="37"/>
      <c r="D925" s="37"/>
      <c r="E925" s="37"/>
      <c r="F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customFormat="false" ht="15.75" hidden="false" customHeight="true" outlineLevel="0" collapsed="false">
      <c r="A926" s="37"/>
      <c r="B926" s="37"/>
      <c r="C926" s="37"/>
      <c r="D926" s="37"/>
      <c r="E926" s="37"/>
      <c r="F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customFormat="false" ht="15.75" hidden="false" customHeight="true" outlineLevel="0" collapsed="false">
      <c r="A927" s="37"/>
      <c r="B927" s="37"/>
      <c r="C927" s="37"/>
      <c r="D927" s="37"/>
      <c r="E927" s="37"/>
      <c r="F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customFormat="false" ht="15.75" hidden="false" customHeight="true" outlineLevel="0" collapsed="false">
      <c r="A928" s="37"/>
      <c r="B928" s="37"/>
      <c r="C928" s="37"/>
      <c r="D928" s="37"/>
      <c r="E928" s="37"/>
      <c r="F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customFormat="false" ht="15.75" hidden="false" customHeight="true" outlineLevel="0" collapsed="false">
      <c r="A929" s="37"/>
      <c r="B929" s="37"/>
      <c r="C929" s="37"/>
      <c r="D929" s="37"/>
      <c r="E929" s="37"/>
      <c r="F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customFormat="false" ht="15.75" hidden="false" customHeight="true" outlineLevel="0" collapsed="false">
      <c r="A930" s="37"/>
      <c r="B930" s="37"/>
      <c r="C930" s="37"/>
      <c r="D930" s="37"/>
      <c r="E930" s="37"/>
      <c r="F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customFormat="false" ht="15.75" hidden="false" customHeight="true" outlineLevel="0" collapsed="false">
      <c r="A931" s="37"/>
      <c r="B931" s="37"/>
      <c r="C931" s="37"/>
      <c r="D931" s="37"/>
      <c r="E931" s="37"/>
      <c r="F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customFormat="false" ht="15.75" hidden="false" customHeight="true" outlineLevel="0" collapsed="false">
      <c r="A932" s="37"/>
      <c r="B932" s="37"/>
      <c r="C932" s="37"/>
      <c r="D932" s="37"/>
      <c r="E932" s="37"/>
      <c r="F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customFormat="false" ht="15.75" hidden="false" customHeight="true" outlineLevel="0" collapsed="false">
      <c r="A933" s="37"/>
      <c r="B933" s="37"/>
      <c r="C933" s="37"/>
      <c r="D933" s="37"/>
      <c r="E933" s="37"/>
      <c r="F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customFormat="false" ht="15.75" hidden="false" customHeight="true" outlineLevel="0" collapsed="false">
      <c r="A934" s="37"/>
      <c r="B934" s="37"/>
      <c r="C934" s="37"/>
      <c r="D934" s="37"/>
      <c r="E934" s="37"/>
      <c r="F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customFormat="false" ht="15.75" hidden="false" customHeight="true" outlineLevel="0" collapsed="false">
      <c r="A935" s="37"/>
      <c r="B935" s="37"/>
      <c r="C935" s="37"/>
      <c r="D935" s="37"/>
      <c r="E935" s="37"/>
      <c r="F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customFormat="false" ht="15.75" hidden="false" customHeight="true" outlineLevel="0" collapsed="false">
      <c r="A936" s="37"/>
      <c r="B936" s="37"/>
      <c r="C936" s="37"/>
      <c r="D936" s="37"/>
      <c r="E936" s="37"/>
      <c r="F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customFormat="false" ht="15.75" hidden="false" customHeight="true" outlineLevel="0" collapsed="false">
      <c r="A937" s="37"/>
      <c r="B937" s="37"/>
      <c r="C937" s="37"/>
      <c r="D937" s="37"/>
      <c r="E937" s="37"/>
      <c r="F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customFormat="false" ht="15.75" hidden="false" customHeight="true" outlineLevel="0" collapsed="false">
      <c r="A938" s="37"/>
      <c r="B938" s="37"/>
      <c r="C938" s="37"/>
      <c r="D938" s="37"/>
      <c r="E938" s="37"/>
      <c r="F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customFormat="false" ht="15.75" hidden="false" customHeight="true" outlineLevel="0" collapsed="false">
      <c r="A939" s="37"/>
      <c r="B939" s="37"/>
      <c r="C939" s="37"/>
      <c r="D939" s="37"/>
      <c r="E939" s="37"/>
      <c r="F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customFormat="false" ht="15.75" hidden="false" customHeight="true" outlineLevel="0" collapsed="false">
      <c r="A940" s="37"/>
      <c r="B940" s="37"/>
      <c r="C940" s="37"/>
      <c r="D940" s="37"/>
      <c r="E940" s="37"/>
      <c r="F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customFormat="false" ht="15.75" hidden="false" customHeight="true" outlineLevel="0" collapsed="false">
      <c r="A941" s="37"/>
      <c r="B941" s="37"/>
      <c r="C941" s="37"/>
      <c r="D941" s="37"/>
      <c r="E941" s="37"/>
      <c r="F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customFormat="false" ht="15.75" hidden="false" customHeight="true" outlineLevel="0" collapsed="false">
      <c r="A942" s="37"/>
      <c r="B942" s="37"/>
      <c r="C942" s="37"/>
      <c r="D942" s="37"/>
      <c r="E942" s="37"/>
      <c r="F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customFormat="false" ht="15.75" hidden="false" customHeight="true" outlineLevel="0" collapsed="false">
      <c r="A943" s="37"/>
      <c r="B943" s="37"/>
      <c r="C943" s="37"/>
      <c r="D943" s="37"/>
      <c r="E943" s="37"/>
      <c r="F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customFormat="false" ht="15.75" hidden="false" customHeight="true" outlineLevel="0" collapsed="false">
      <c r="A944" s="37"/>
      <c r="B944" s="37"/>
      <c r="C944" s="37"/>
      <c r="D944" s="37"/>
      <c r="E944" s="37"/>
      <c r="F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customFormat="false" ht="15.75" hidden="false" customHeight="true" outlineLevel="0" collapsed="false">
      <c r="A945" s="37"/>
      <c r="B945" s="37"/>
      <c r="C945" s="37"/>
      <c r="D945" s="37"/>
      <c r="E945" s="37"/>
      <c r="F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customFormat="false" ht="15.75" hidden="false" customHeight="true" outlineLevel="0" collapsed="false">
      <c r="A946" s="37"/>
      <c r="B946" s="37"/>
      <c r="C946" s="37"/>
      <c r="D946" s="37"/>
      <c r="E946" s="37"/>
      <c r="F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customFormat="false" ht="15.75" hidden="false" customHeight="true" outlineLevel="0" collapsed="false">
      <c r="A947" s="37"/>
      <c r="B947" s="37"/>
      <c r="C947" s="37"/>
      <c r="D947" s="37"/>
      <c r="E947" s="37"/>
      <c r="F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customFormat="false" ht="15.75" hidden="false" customHeight="true" outlineLevel="0" collapsed="false">
      <c r="A948" s="37"/>
      <c r="B948" s="37"/>
      <c r="C948" s="37"/>
      <c r="D948" s="37"/>
      <c r="E948" s="37"/>
      <c r="F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customFormat="false" ht="15.75" hidden="false" customHeight="true" outlineLevel="0" collapsed="false">
      <c r="A949" s="37"/>
      <c r="B949" s="37"/>
      <c r="C949" s="37"/>
      <c r="D949" s="37"/>
      <c r="E949" s="37"/>
      <c r="F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customFormat="false" ht="15.75" hidden="false" customHeight="true" outlineLevel="0" collapsed="false">
      <c r="A950" s="37"/>
      <c r="B950" s="37"/>
      <c r="C950" s="37"/>
      <c r="D950" s="37"/>
      <c r="E950" s="37"/>
      <c r="F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customFormat="false" ht="15.75" hidden="false" customHeight="true" outlineLevel="0" collapsed="false">
      <c r="A951" s="37"/>
      <c r="B951" s="37"/>
      <c r="C951" s="37"/>
      <c r="D951" s="37"/>
      <c r="E951" s="37"/>
      <c r="F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customFormat="false" ht="15.75" hidden="false" customHeight="true" outlineLevel="0" collapsed="false">
      <c r="A952" s="37"/>
      <c r="B952" s="37"/>
      <c r="C952" s="37"/>
      <c r="D952" s="37"/>
      <c r="E952" s="37"/>
      <c r="F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customFormat="false" ht="15.75" hidden="false" customHeight="true" outlineLevel="0" collapsed="false">
      <c r="A953" s="37"/>
      <c r="B953" s="37"/>
      <c r="C953" s="37"/>
      <c r="D953" s="37"/>
      <c r="E953" s="37"/>
      <c r="F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customFormat="false" ht="15.75" hidden="false" customHeight="true" outlineLevel="0" collapsed="false">
      <c r="A954" s="37"/>
      <c r="B954" s="37"/>
      <c r="C954" s="37"/>
      <c r="D954" s="37"/>
      <c r="E954" s="37"/>
      <c r="F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customFormat="false" ht="15.75" hidden="false" customHeight="true" outlineLevel="0" collapsed="false">
      <c r="A955" s="37"/>
      <c r="B955" s="37"/>
      <c r="C955" s="37"/>
      <c r="D955" s="37"/>
      <c r="E955" s="37"/>
      <c r="F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customFormat="false" ht="15.75" hidden="false" customHeight="true" outlineLevel="0" collapsed="false">
      <c r="A956" s="37"/>
      <c r="B956" s="37"/>
      <c r="C956" s="37"/>
      <c r="D956" s="37"/>
      <c r="E956" s="37"/>
      <c r="F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customFormat="false" ht="15.75" hidden="false" customHeight="true" outlineLevel="0" collapsed="false">
      <c r="A957" s="37"/>
      <c r="B957" s="37"/>
      <c r="C957" s="37"/>
      <c r="D957" s="37"/>
      <c r="E957" s="37"/>
      <c r="F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customFormat="false" ht="15.75" hidden="false" customHeight="true" outlineLevel="0" collapsed="false">
      <c r="A958" s="37"/>
      <c r="B958" s="37"/>
      <c r="C958" s="37"/>
      <c r="D958" s="37"/>
      <c r="E958" s="37"/>
      <c r="F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customFormat="false" ht="15.75" hidden="false" customHeight="true" outlineLevel="0" collapsed="false">
      <c r="A959" s="37"/>
      <c r="B959" s="37"/>
      <c r="C959" s="37"/>
      <c r="D959" s="37"/>
      <c r="E959" s="37"/>
      <c r="F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customFormat="false" ht="15.75" hidden="false" customHeight="true" outlineLevel="0" collapsed="false">
      <c r="A960" s="37"/>
      <c r="B960" s="37"/>
      <c r="C960" s="37"/>
      <c r="D960" s="37"/>
      <c r="E960" s="37"/>
      <c r="F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customFormat="false" ht="15.75" hidden="false" customHeight="true" outlineLevel="0" collapsed="false">
      <c r="A961" s="37"/>
      <c r="B961" s="37"/>
      <c r="C961" s="37"/>
      <c r="D961" s="37"/>
      <c r="E961" s="37"/>
      <c r="F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customFormat="false" ht="15.75" hidden="false" customHeight="true" outlineLevel="0" collapsed="false">
      <c r="A962" s="37"/>
      <c r="B962" s="37"/>
      <c r="C962" s="37"/>
      <c r="D962" s="37"/>
      <c r="E962" s="37"/>
      <c r="F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customFormat="false" ht="15.75" hidden="false" customHeight="true" outlineLevel="0" collapsed="false">
      <c r="A963" s="37"/>
      <c r="B963" s="37"/>
      <c r="C963" s="37"/>
      <c r="D963" s="37"/>
      <c r="E963" s="37"/>
      <c r="F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customFormat="false" ht="15.75" hidden="false" customHeight="true" outlineLevel="0" collapsed="false">
      <c r="A964" s="37"/>
      <c r="B964" s="37"/>
      <c r="C964" s="37"/>
      <c r="D964" s="37"/>
      <c r="E964" s="37"/>
      <c r="F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customFormat="false" ht="15.75" hidden="false" customHeight="true" outlineLevel="0" collapsed="false">
      <c r="A965" s="37"/>
      <c r="B965" s="37"/>
      <c r="C965" s="37"/>
      <c r="D965" s="37"/>
      <c r="E965" s="37"/>
      <c r="F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customFormat="false" ht="15.75" hidden="false" customHeight="true" outlineLevel="0" collapsed="false">
      <c r="A966" s="37"/>
      <c r="B966" s="37"/>
      <c r="C966" s="37"/>
      <c r="D966" s="37"/>
      <c r="E966" s="37"/>
      <c r="F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customFormat="false" ht="15.75" hidden="false" customHeight="true" outlineLevel="0" collapsed="false">
      <c r="A967" s="37"/>
      <c r="B967" s="37"/>
      <c r="C967" s="37"/>
      <c r="D967" s="37"/>
      <c r="E967" s="37"/>
      <c r="F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customFormat="false" ht="15.75" hidden="false" customHeight="true" outlineLevel="0" collapsed="false">
      <c r="A968" s="37"/>
      <c r="B968" s="37"/>
      <c r="C968" s="37"/>
      <c r="D968" s="37"/>
      <c r="E968" s="37"/>
      <c r="F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customFormat="false" ht="15.75" hidden="false" customHeight="true" outlineLevel="0" collapsed="false">
      <c r="A969" s="37"/>
      <c r="B969" s="37"/>
      <c r="C969" s="37"/>
      <c r="D969" s="37"/>
      <c r="E969" s="37"/>
      <c r="F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customFormat="false" ht="15.75" hidden="false" customHeight="true" outlineLevel="0" collapsed="false">
      <c r="A970" s="37"/>
      <c r="B970" s="37"/>
      <c r="C970" s="37"/>
      <c r="D970" s="37"/>
      <c r="E970" s="37"/>
      <c r="F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customFormat="false" ht="15.75" hidden="false" customHeight="true" outlineLevel="0" collapsed="false">
      <c r="A971" s="37"/>
      <c r="B971" s="37"/>
      <c r="C971" s="37"/>
      <c r="D971" s="37"/>
      <c r="E971" s="37"/>
      <c r="F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customFormat="false" ht="15.75" hidden="false" customHeight="true" outlineLevel="0" collapsed="false">
      <c r="A972" s="37"/>
      <c r="B972" s="37"/>
      <c r="C972" s="37"/>
      <c r="D972" s="37"/>
      <c r="E972" s="37"/>
      <c r="F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customFormat="false" ht="15.75" hidden="false" customHeight="true" outlineLevel="0" collapsed="false">
      <c r="A973" s="37"/>
      <c r="B973" s="37"/>
      <c r="C973" s="37"/>
      <c r="D973" s="37"/>
      <c r="E973" s="37"/>
      <c r="F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customFormat="false" ht="15.75" hidden="false" customHeight="true" outlineLevel="0" collapsed="false">
      <c r="A974" s="37"/>
      <c r="B974" s="37"/>
      <c r="C974" s="37"/>
      <c r="D974" s="37"/>
      <c r="E974" s="37"/>
      <c r="F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customFormat="false" ht="15.75" hidden="false" customHeight="true" outlineLevel="0" collapsed="false">
      <c r="A975" s="37"/>
      <c r="B975" s="37"/>
      <c r="C975" s="37"/>
      <c r="D975" s="37"/>
      <c r="E975" s="37"/>
      <c r="F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customFormat="false" ht="15.75" hidden="false" customHeight="true" outlineLevel="0" collapsed="false">
      <c r="A976" s="37"/>
      <c r="B976" s="37"/>
      <c r="C976" s="37"/>
      <c r="D976" s="37"/>
      <c r="E976" s="37"/>
      <c r="F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customFormat="false" ht="15.75" hidden="false" customHeight="true" outlineLevel="0" collapsed="false">
      <c r="A977" s="37"/>
      <c r="B977" s="37"/>
      <c r="C977" s="37"/>
      <c r="D977" s="37"/>
      <c r="E977" s="37"/>
      <c r="F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customFormat="false" ht="15.75" hidden="false" customHeight="true" outlineLevel="0" collapsed="false">
      <c r="A978" s="37"/>
      <c r="B978" s="37"/>
      <c r="C978" s="37"/>
      <c r="D978" s="37"/>
      <c r="E978" s="37"/>
      <c r="F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customFormat="false" ht="15.75" hidden="false" customHeight="true" outlineLevel="0" collapsed="false">
      <c r="A979" s="37"/>
      <c r="B979" s="37"/>
      <c r="C979" s="37"/>
      <c r="D979" s="37"/>
      <c r="E979" s="37"/>
      <c r="F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customFormat="false" ht="15.75" hidden="false" customHeight="true" outlineLevel="0" collapsed="false">
      <c r="A980" s="37"/>
      <c r="B980" s="37"/>
      <c r="C980" s="37"/>
      <c r="D980" s="37"/>
      <c r="E980" s="37"/>
      <c r="F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customFormat="false" ht="15.75" hidden="false" customHeight="true" outlineLevel="0" collapsed="false">
      <c r="A981" s="37"/>
      <c r="B981" s="37"/>
      <c r="C981" s="37"/>
      <c r="D981" s="37"/>
      <c r="E981" s="37"/>
      <c r="F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customFormat="false" ht="15.75" hidden="false" customHeight="true" outlineLevel="0" collapsed="false">
      <c r="A982" s="37"/>
      <c r="B982" s="37"/>
      <c r="C982" s="37"/>
      <c r="D982" s="37"/>
      <c r="E982" s="37"/>
      <c r="F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customFormat="false" ht="15.75" hidden="false" customHeight="true" outlineLevel="0" collapsed="false">
      <c r="A983" s="37"/>
      <c r="B983" s="37"/>
      <c r="C983" s="37"/>
      <c r="D983" s="37"/>
      <c r="E983" s="37"/>
      <c r="F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customFormat="false" ht="15.75" hidden="false" customHeight="true" outlineLevel="0" collapsed="false">
      <c r="A984" s="37"/>
      <c r="B984" s="37"/>
      <c r="C984" s="37"/>
      <c r="D984" s="37"/>
      <c r="E984" s="37"/>
      <c r="F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customFormat="false" ht="15.75" hidden="false" customHeight="true" outlineLevel="0" collapsed="false">
      <c r="A985" s="37"/>
      <c r="B985" s="37"/>
      <c r="C985" s="37"/>
      <c r="D985" s="37"/>
      <c r="E985" s="37"/>
      <c r="F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customFormat="false" ht="15.75" hidden="false" customHeight="true" outlineLevel="0" collapsed="false">
      <c r="A986" s="37"/>
      <c r="B986" s="37"/>
      <c r="C986" s="37"/>
      <c r="D986" s="37"/>
      <c r="E986" s="37"/>
      <c r="F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customFormat="false" ht="15.75" hidden="false" customHeight="true" outlineLevel="0" collapsed="false">
      <c r="A987" s="37"/>
      <c r="B987" s="37"/>
      <c r="C987" s="37"/>
      <c r="D987" s="37"/>
      <c r="E987" s="37"/>
      <c r="F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customFormat="false" ht="15.75" hidden="false" customHeight="true" outlineLevel="0" collapsed="false">
      <c r="A988" s="37"/>
      <c r="B988" s="37"/>
      <c r="C988" s="37"/>
      <c r="D988" s="37"/>
      <c r="E988" s="37"/>
      <c r="F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customFormat="false" ht="15.75" hidden="false" customHeight="true" outlineLevel="0" collapsed="false">
      <c r="A989" s="37"/>
      <c r="B989" s="37"/>
      <c r="C989" s="37"/>
      <c r="D989" s="37"/>
      <c r="E989" s="37"/>
      <c r="F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customFormat="false" ht="15.75" hidden="false" customHeight="true" outlineLevel="0" collapsed="false">
      <c r="A990" s="37"/>
      <c r="B990" s="37"/>
      <c r="C990" s="37"/>
      <c r="D990" s="37"/>
      <c r="E990" s="37"/>
      <c r="F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customFormat="false" ht="15.75" hidden="false" customHeight="true" outlineLevel="0" collapsed="false">
      <c r="A991" s="37"/>
      <c r="B991" s="37"/>
      <c r="C991" s="37"/>
      <c r="D991" s="37"/>
      <c r="E991" s="37"/>
      <c r="F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customFormat="false" ht="15.75" hidden="false" customHeight="true" outlineLevel="0" collapsed="false">
      <c r="A992" s="37"/>
      <c r="B992" s="37"/>
      <c r="C992" s="37"/>
      <c r="D992" s="37"/>
      <c r="E992" s="37"/>
      <c r="F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customFormat="false" ht="15.75" hidden="false" customHeight="true" outlineLevel="0" collapsed="false">
      <c r="A993" s="37"/>
      <c r="B993" s="37"/>
      <c r="C993" s="37"/>
      <c r="D993" s="37"/>
      <c r="E993" s="37"/>
      <c r="F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customFormat="false" ht="15.75" hidden="false" customHeight="true" outlineLevel="0" collapsed="false">
      <c r="A994" s="37"/>
      <c r="B994" s="37"/>
      <c r="C994" s="37"/>
      <c r="D994" s="37"/>
      <c r="E994" s="37"/>
      <c r="F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customFormat="false" ht="15.75" hidden="false" customHeight="true" outlineLevel="0" collapsed="false">
      <c r="A995" s="37"/>
      <c r="B995" s="37"/>
      <c r="C995" s="37"/>
      <c r="D995" s="37"/>
      <c r="E995" s="37"/>
      <c r="F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customFormat="false" ht="15.75" hidden="false" customHeight="true" outlineLevel="0" collapsed="false">
      <c r="A996" s="37"/>
      <c r="B996" s="37"/>
      <c r="C996" s="37"/>
      <c r="D996" s="37"/>
      <c r="E996" s="37"/>
      <c r="F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customFormat="false" ht="15.75" hidden="false" customHeight="true" outlineLevel="0" collapsed="false">
      <c r="A997" s="37"/>
      <c r="B997" s="37"/>
      <c r="C997" s="37"/>
      <c r="D997" s="37"/>
      <c r="E997" s="37"/>
      <c r="F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customFormat="false" ht="15.75" hidden="false" customHeight="true" outlineLevel="0" collapsed="false">
      <c r="A998" s="37"/>
      <c r="B998" s="37"/>
      <c r="C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customFormat="false" ht="15.75" hidden="false" customHeight="true" outlineLevel="0" collapsed="false">
      <c r="A999" s="37"/>
      <c r="B999" s="37"/>
      <c r="C999" s="37"/>
      <c r="H999" s="37"/>
      <c r="I999" s="37"/>
      <c r="J999" s="37"/>
      <c r="K999" s="37"/>
      <c r="L999" s="37"/>
      <c r="M999" s="37"/>
      <c r="N999" s="37"/>
      <c r="O999" s="37"/>
      <c r="S999" s="37"/>
      <c r="T999" s="37"/>
      <c r="U999" s="37"/>
      <c r="Y999" s="37"/>
      <c r="Z999" s="37"/>
    </row>
    <row r="1000" customFormat="false" ht="15.75" hidden="false" customHeight="true" outlineLevel="0" collapsed="false">
      <c r="A1000" s="37"/>
      <c r="B1000" s="37"/>
      <c r="C1000" s="37"/>
      <c r="H1000" s="37"/>
      <c r="I1000" s="37"/>
      <c r="J1000" s="37"/>
      <c r="K1000" s="37"/>
      <c r="L1000" s="37"/>
      <c r="Y1000" s="37"/>
      <c r="Z1000" s="37"/>
    </row>
  </sheetData>
  <sheetProtection sheet="true" password="c626" objects="true" scenarios="true" insertColumns="false" insertRows="false" deleteColumns="false" deleteRows="false"/>
  <autoFilter ref="A2:Z1000"/>
  <mergeCells count="8">
    <mergeCell ref="A1:C1"/>
    <mergeCell ref="D1:F1"/>
    <mergeCell ref="G1:I1"/>
    <mergeCell ref="J1:L1"/>
    <mergeCell ref="M1:O1"/>
    <mergeCell ref="P1:R1"/>
    <mergeCell ref="S1:U1"/>
    <mergeCell ref="V1:X1"/>
  </mergeCells>
  <conditionalFormatting sqref="K497">
    <cfRule type="expression" priority="2" aboveAverage="0" equalAverage="0" bottom="0" percent="0" rank="0" text="" dxfId="18">
      <formula>LEN(TRIM(K497))&gt;0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R1000"/>
  <sheetViews>
    <sheetView showFormulas="false" showGridLines="true" showRowColHeaders="true" showZeros="true" rightToLeft="false" tabSelected="false" showOutlineSymbols="true" defaultGridColor="true" view="normal" topLeftCell="I1" colorId="64" zoomScale="65" zoomScaleNormal="65" zoomScalePageLayoutView="100" workbookViewId="0">
      <selection pane="topLeft" activeCell="AF12" activeCellId="0" sqref="AF12"/>
    </sheetView>
  </sheetViews>
  <sheetFormatPr defaultColWidth="12.66796875" defaultRowHeight="12.75" customHeight="true" zeroHeight="false" outlineLevelRow="0" outlineLevelCol="0"/>
  <cols>
    <col collapsed="false" customWidth="true" hidden="false" outlineLevel="0" max="27" min="1" style="34" width="13"/>
    <col collapsed="false" customWidth="true" hidden="false" outlineLevel="0" max="28" min="28" style="34" width="16.89"/>
    <col collapsed="false" customWidth="true" hidden="false" outlineLevel="0" max="42" min="29" style="34" width="13"/>
    <col collapsed="false" customWidth="true" hidden="false" outlineLevel="0" max="46" min="46" style="34" width="15.95"/>
  </cols>
  <sheetData>
    <row r="1" customFormat="false" ht="15.75" hidden="false" customHeight="true" outlineLevel="0" collapsed="false">
      <c r="A1" s="64" t="s">
        <v>552</v>
      </c>
      <c r="B1" s="64"/>
      <c r="C1" s="64"/>
      <c r="D1" s="64" t="s">
        <v>553</v>
      </c>
      <c r="E1" s="64"/>
      <c r="F1" s="64"/>
      <c r="G1" s="64" t="s">
        <v>554</v>
      </c>
      <c r="H1" s="64"/>
      <c r="I1" s="64"/>
      <c r="J1" s="64" t="s">
        <v>555</v>
      </c>
      <c r="K1" s="64"/>
      <c r="L1" s="64"/>
      <c r="M1" s="64" t="s">
        <v>556</v>
      </c>
      <c r="N1" s="64"/>
      <c r="O1" s="64"/>
      <c r="P1" s="64" t="s">
        <v>557</v>
      </c>
      <c r="Q1" s="64"/>
      <c r="R1" s="64"/>
      <c r="S1" s="64" t="s">
        <v>558</v>
      </c>
      <c r="T1" s="64"/>
      <c r="U1" s="64"/>
      <c r="V1" s="64" t="s">
        <v>559</v>
      </c>
      <c r="W1" s="64"/>
      <c r="X1" s="64"/>
      <c r="Y1" s="64" t="s">
        <v>560</v>
      </c>
      <c r="Z1" s="64"/>
      <c r="AA1" s="64"/>
      <c r="AB1" s="64" t="s">
        <v>561</v>
      </c>
      <c r="AC1" s="64"/>
      <c r="AD1" s="64"/>
      <c r="AE1" s="64" t="s">
        <v>562</v>
      </c>
      <c r="AF1" s="64"/>
      <c r="AG1" s="64"/>
      <c r="AH1" s="64" t="s">
        <v>563</v>
      </c>
      <c r="AI1" s="64"/>
      <c r="AJ1" s="64"/>
      <c r="AK1" s="64" t="s">
        <v>564</v>
      </c>
      <c r="AL1" s="64"/>
      <c r="AM1" s="64"/>
      <c r="AN1" s="64" t="s">
        <v>565</v>
      </c>
      <c r="AO1" s="64"/>
      <c r="AP1" s="64"/>
      <c r="AQ1" s="64" t="s">
        <v>566</v>
      </c>
      <c r="AR1" s="64"/>
      <c r="AS1" s="64"/>
      <c r="AT1" s="64" t="s">
        <v>567</v>
      </c>
      <c r="AU1" s="64"/>
      <c r="AV1" s="64"/>
      <c r="AW1" s="64" t="s">
        <v>568</v>
      </c>
      <c r="AX1" s="64"/>
      <c r="AY1" s="64"/>
      <c r="AZ1" s="64" t="s">
        <v>569</v>
      </c>
      <c r="BA1" s="64"/>
      <c r="BB1" s="64"/>
      <c r="BC1" s="64" t="s">
        <v>570</v>
      </c>
      <c r="BD1" s="64"/>
      <c r="BE1" s="64"/>
      <c r="BF1" s="64" t="s">
        <v>571</v>
      </c>
      <c r="BG1" s="64"/>
      <c r="BH1" s="64"/>
      <c r="BI1" s="64" t="s">
        <v>572</v>
      </c>
      <c r="BJ1" s="64"/>
      <c r="BK1" s="64"/>
      <c r="BL1" s="64" t="s">
        <v>573</v>
      </c>
      <c r="BM1" s="64"/>
      <c r="BN1" s="64"/>
      <c r="BP1" s="64" t="s">
        <v>574</v>
      </c>
      <c r="BQ1" s="64"/>
      <c r="BR1" s="64"/>
    </row>
    <row r="2" customFormat="false" ht="15.75" hidden="false" customHeight="true" outlineLevel="0" collapsed="false">
      <c r="A2" s="65" t="s">
        <v>256</v>
      </c>
      <c r="B2" s="65" t="s">
        <v>257</v>
      </c>
      <c r="C2" s="65" t="s">
        <v>258</v>
      </c>
      <c r="D2" s="65" t="s">
        <v>256</v>
      </c>
      <c r="E2" s="65" t="s">
        <v>257</v>
      </c>
      <c r="F2" s="65" t="s">
        <v>258</v>
      </c>
      <c r="G2" s="65" t="s">
        <v>256</v>
      </c>
      <c r="H2" s="65" t="s">
        <v>257</v>
      </c>
      <c r="I2" s="65" t="s">
        <v>258</v>
      </c>
      <c r="J2" s="65" t="s">
        <v>256</v>
      </c>
      <c r="K2" s="65" t="s">
        <v>257</v>
      </c>
      <c r="L2" s="65" t="s">
        <v>258</v>
      </c>
      <c r="M2" s="65" t="s">
        <v>256</v>
      </c>
      <c r="N2" s="65" t="s">
        <v>257</v>
      </c>
      <c r="O2" s="65" t="s">
        <v>258</v>
      </c>
      <c r="P2" s="65" t="s">
        <v>256</v>
      </c>
      <c r="Q2" s="65" t="s">
        <v>257</v>
      </c>
      <c r="R2" s="65" t="s">
        <v>258</v>
      </c>
      <c r="S2" s="65" t="s">
        <v>256</v>
      </c>
      <c r="T2" s="65" t="s">
        <v>257</v>
      </c>
      <c r="U2" s="65" t="s">
        <v>258</v>
      </c>
      <c r="V2" s="65" t="s">
        <v>256</v>
      </c>
      <c r="W2" s="65" t="s">
        <v>257</v>
      </c>
      <c r="X2" s="65" t="s">
        <v>258</v>
      </c>
      <c r="Y2" s="65" t="s">
        <v>256</v>
      </c>
      <c r="Z2" s="65" t="s">
        <v>257</v>
      </c>
      <c r="AA2" s="65" t="s">
        <v>258</v>
      </c>
      <c r="AB2" s="65" t="s">
        <v>256</v>
      </c>
      <c r="AC2" s="65" t="s">
        <v>257</v>
      </c>
      <c r="AD2" s="65" t="s">
        <v>258</v>
      </c>
      <c r="AE2" s="65" t="s">
        <v>256</v>
      </c>
      <c r="AF2" s="65" t="s">
        <v>257</v>
      </c>
      <c r="AG2" s="65" t="s">
        <v>258</v>
      </c>
      <c r="AH2" s="65" t="s">
        <v>256</v>
      </c>
      <c r="AI2" s="65" t="s">
        <v>257</v>
      </c>
      <c r="AJ2" s="65" t="s">
        <v>258</v>
      </c>
      <c r="AK2" s="65" t="s">
        <v>256</v>
      </c>
      <c r="AL2" s="65" t="s">
        <v>257</v>
      </c>
      <c r="AM2" s="65" t="s">
        <v>258</v>
      </c>
      <c r="AN2" s="65" t="s">
        <v>256</v>
      </c>
      <c r="AO2" s="65" t="s">
        <v>257</v>
      </c>
      <c r="AP2" s="65" t="s">
        <v>258</v>
      </c>
      <c r="AQ2" s="65" t="s">
        <v>256</v>
      </c>
      <c r="AR2" s="65" t="s">
        <v>257</v>
      </c>
      <c r="AS2" s="65" t="s">
        <v>258</v>
      </c>
      <c r="AT2" s="65" t="s">
        <v>256</v>
      </c>
      <c r="AU2" s="65" t="s">
        <v>257</v>
      </c>
      <c r="AV2" s="65" t="s">
        <v>258</v>
      </c>
      <c r="AW2" s="65" t="s">
        <v>256</v>
      </c>
      <c r="AX2" s="65" t="s">
        <v>257</v>
      </c>
      <c r="AY2" s="65" t="s">
        <v>258</v>
      </c>
      <c r="AZ2" s="65" t="s">
        <v>256</v>
      </c>
      <c r="BA2" s="65" t="s">
        <v>257</v>
      </c>
      <c r="BB2" s="65" t="s">
        <v>258</v>
      </c>
      <c r="BC2" s="65" t="s">
        <v>256</v>
      </c>
      <c r="BD2" s="65" t="s">
        <v>257</v>
      </c>
      <c r="BE2" s="65" t="s">
        <v>258</v>
      </c>
      <c r="BF2" s="65" t="s">
        <v>256</v>
      </c>
      <c r="BG2" s="65" t="s">
        <v>257</v>
      </c>
      <c r="BH2" s="65" t="s">
        <v>258</v>
      </c>
      <c r="BI2" s="65" t="s">
        <v>256</v>
      </c>
      <c r="BJ2" s="65" t="s">
        <v>257</v>
      </c>
      <c r="BK2" s="65" t="s">
        <v>258</v>
      </c>
      <c r="BL2" s="65" t="s">
        <v>256</v>
      </c>
      <c r="BM2" s="65" t="s">
        <v>257</v>
      </c>
      <c r="BN2" s="65" t="s">
        <v>258</v>
      </c>
      <c r="BP2" s="65" t="s">
        <v>256</v>
      </c>
      <c r="BQ2" s="65" t="s">
        <v>257</v>
      </c>
      <c r="BR2" s="65" t="s">
        <v>258</v>
      </c>
    </row>
    <row r="3" customFormat="false" ht="15.75" hidden="false" customHeight="true" outlineLevel="0" collapsed="false">
      <c r="A3" s="34" t="s">
        <v>175</v>
      </c>
      <c r="B3" s="39" t="n">
        <f aca="false">INDEX('Data 2'!$L$2:$L$2198,MATCH(A3,'Data 2'!$A$2:$A$2198,0))</f>
        <v>-29.3333333333333</v>
      </c>
      <c r="C3" s="39" t="n">
        <f aca="false">INDEX('Data 2'!$M$2:$M$2198,MATCH(A3,'Data 2'!$A$2:$A$2198,0))</f>
        <v>88.9825</v>
      </c>
      <c r="D3" s="34" t="s">
        <v>174</v>
      </c>
      <c r="E3" s="39" t="n">
        <f aca="false">INDEX('Data 2'!$L$2:$L$2198,MATCH(D3,'Data 2'!$A$2:$A$2198,0))</f>
        <v>-69.8</v>
      </c>
      <c r="F3" s="39" t="n">
        <f aca="false">INDEX('Data 2'!$M$2:$M$2198,MATCH(D3,'Data 2'!$A$2:$A$2198,0))</f>
        <v>-20.9325</v>
      </c>
      <c r="G3" s="34" t="s">
        <v>296</v>
      </c>
      <c r="H3" s="39" t="n">
        <f aca="false">INDEX('Data 2'!$L$2:$L$2198,MATCH(G3,'Data 2'!$A$2:$A$2198,0))</f>
        <v>-55.6233333333333</v>
      </c>
      <c r="I3" s="39" t="n">
        <f aca="false">INDEX('Data 2'!$M$2:$M$2198,MATCH(G3,'Data 2'!$A$2:$A$2198,0))</f>
        <v>2.6875</v>
      </c>
      <c r="J3" s="34" t="s">
        <v>140</v>
      </c>
      <c r="K3" s="39" t="n">
        <f aca="false">INDEX('Data 2'!$L$2:$L$2198,MATCH(J3,'Data 2'!$A$2:$A$2198,0))</f>
        <v>51.87</v>
      </c>
      <c r="L3" s="39" t="n">
        <f aca="false">INDEX('Data 2'!$M$2:$M$2198,MATCH(J3,'Data 2'!$A$2:$A$2198,0))</f>
        <v>6.04</v>
      </c>
      <c r="M3" s="34" t="s">
        <v>153</v>
      </c>
      <c r="N3" s="39" t="n">
        <f aca="false">INDEX('Data 2'!$L$2:$L$2198,MATCH(M3,'Data 2'!$A$2:$A$2198,0))</f>
        <v>6.94</v>
      </c>
      <c r="O3" s="39" t="n">
        <f aca="false">INDEX('Data 2'!$M$2:$M$2198,MATCH(M3,'Data 2'!$A$2:$A$2198,0))</f>
        <v>8.3325</v>
      </c>
      <c r="P3" s="34" t="s">
        <v>85</v>
      </c>
      <c r="Q3" s="39" t="n">
        <f aca="false">INDEX('Data 2'!$L$2:$L$2198,MATCH(P3,'Data 2'!$A$2:$A$2198,0))</f>
        <v>110.623333333333</v>
      </c>
      <c r="R3" s="39" t="n">
        <f aca="false">INDEX('Data 2'!$M$2:$M$2198,MATCH(P3,'Data 2'!$A$2:$A$2198,0))</f>
        <v>49.206875</v>
      </c>
      <c r="S3" s="34" t="s">
        <v>199</v>
      </c>
      <c r="T3" s="39" t="n">
        <f aca="false">INDEX('Data 2'!$L$2:$L$2198,MATCH(S3,'Data 2'!$A$2:$A$2198,0))</f>
        <v>-50.6866666666667</v>
      </c>
      <c r="U3" s="39" t="n">
        <f aca="false">INDEX('Data 2'!$M$2:$M$2198,MATCH(S3,'Data 2'!$A$2:$A$2198,0))</f>
        <v>-6.45625</v>
      </c>
      <c r="V3" s="34" t="s">
        <v>235</v>
      </c>
      <c r="W3" s="39" t="n">
        <f aca="false">INDEX('Data 2'!$L$2:$L$2198,MATCH(V3,'Data 2'!$A$2:$A$2198,0))</f>
        <v>85.78</v>
      </c>
      <c r="X3" s="39" t="n">
        <f aca="false">INDEX('Data 2'!$M$2:$M$2198,MATCH(V3,'Data 2'!$A$2:$A$2198,0))</f>
        <v>26.8875</v>
      </c>
      <c r="Y3" s="34" t="s">
        <v>210</v>
      </c>
      <c r="Z3" s="39" t="n">
        <f aca="false">INDEX('Data 2'!$L$2:$L$2198,MATCH(Y3,'Data 2'!$A$2:$A$2198,0))</f>
        <v>-45.7133333333333</v>
      </c>
      <c r="AA3" s="39" t="n">
        <f aca="false">INDEX('Data 2'!$M$2:$M$2198,MATCH(Y3,'Data 2'!$A$2:$A$2198,0))</f>
        <v>-44.9425</v>
      </c>
      <c r="AB3" s="62" t="s">
        <v>281</v>
      </c>
      <c r="AC3" s="39" t="n">
        <f aca="false">INDEX('Data 2'!$L$2:$L$2198,MATCH(AB3,'Data 2'!$A$2:$A$2198,0))</f>
        <v>-148.19</v>
      </c>
      <c r="AD3" s="39" t="n">
        <f aca="false">INDEX('Data 2'!$M$2:$M$2198,MATCH(AB3,'Data 2'!$A$2:$A$2198,0))</f>
        <v>-72.465</v>
      </c>
      <c r="AE3" s="34" t="s">
        <v>143</v>
      </c>
      <c r="AF3" s="39" t="n">
        <f aca="false">INDEX('Data 2'!$L$2:$L$2198,MATCH(AE3,'Data 2'!$A$2:$A$2198,0))</f>
        <v>-95.64</v>
      </c>
      <c r="AG3" s="39" t="n">
        <f aca="false">INDEX('Data 2'!$M$2:$M$2198,MATCH(AE3,'Data 2'!$A$2:$A$2198,0))</f>
        <v>-29.11625</v>
      </c>
      <c r="AH3" s="34" t="s">
        <v>40</v>
      </c>
      <c r="AI3" s="39" t="n">
        <f aca="false">INDEX('Data 2'!$L$2:$L$2198,MATCH(AH3,'Data 2'!$A$2:$A$2198,0))</f>
        <v>-70.3533333333333</v>
      </c>
      <c r="AJ3" s="39" t="n">
        <f aca="false">INDEX('Data 2'!$M$2:$M$2198,MATCH(AH3,'Data 2'!$A$2:$A$2198,0))</f>
        <v>-71.15375</v>
      </c>
      <c r="AK3" s="34" t="s">
        <v>111</v>
      </c>
      <c r="AL3" s="39" t="n">
        <f aca="false">INDEX('Data 2'!$L$2:$L$2198,MATCH(AK3,'Data 2'!$A$2:$A$2198,0))</f>
        <v>-94.6133333333333</v>
      </c>
      <c r="AM3" s="39" t="n">
        <f aca="false">INDEX('Data 2'!$M$2:$M$2198,MATCH(AK3,'Data 2'!$A$2:$A$2198,0))</f>
        <v>-30.34375</v>
      </c>
      <c r="AN3" s="34" t="s">
        <v>300</v>
      </c>
      <c r="AO3" s="39" t="n">
        <f aca="false">INDEX('Data 2'!$L$2:$L$2198,MATCH(AN3,'Data 2'!$A$2:$A$2198,0))</f>
        <v>39.3233333333333</v>
      </c>
      <c r="AP3" s="39" t="n">
        <f aca="false">INDEX('Data 2'!$M$2:$M$2198,MATCH(AN3,'Data 2'!$A$2:$A$2198,0))</f>
        <v>13.7575</v>
      </c>
      <c r="AQ3" s="34" t="s">
        <v>172</v>
      </c>
      <c r="AR3" s="39" t="n">
        <f aca="false">INDEX('Data 2'!$L$2:$L$2198,MATCH(AQ3,'Data 2'!$A$2:$A$2198,0))</f>
        <v>-42.39</v>
      </c>
      <c r="AS3" s="39" t="n">
        <f aca="false">INDEX('Data 2'!$M$2:$M$2198,MATCH(AQ3,'Data 2'!$A$2:$A$2198,0))</f>
        <v>-84.63125</v>
      </c>
      <c r="AT3" s="34" t="s">
        <v>174</v>
      </c>
      <c r="AU3" s="39" t="n">
        <f aca="false">INDEX('Data 2'!$L$2:$L$2198,MATCH(AT3,'Data 2'!$A$2:$A$2198,0))</f>
        <v>-69.8</v>
      </c>
      <c r="AV3" s="39" t="n">
        <f aca="false">INDEX('Data 2'!$M$2:$M$2198,MATCH(AT3,'Data 2'!$A$2:$A$2198,0))</f>
        <v>-20.9325</v>
      </c>
      <c r="AW3" s="34" t="s">
        <v>160</v>
      </c>
      <c r="AX3" s="39" t="n">
        <f aca="false">INDEX('Data 2'!$L$2:$L$2198,MATCH(AW3,'Data 2'!$A$2:$A$2198,0))</f>
        <v>-14.9533333333333</v>
      </c>
      <c r="AY3" s="39" t="n">
        <f aca="false">INDEX('Data 2'!$M$2:$M$2198,MATCH(AW3,'Data 2'!$A$2:$A$2198,0))</f>
        <v>-24.78625</v>
      </c>
      <c r="AZ3" s="34" t="s">
        <v>274</v>
      </c>
      <c r="BA3" s="39" t="n">
        <f aca="false">INDEX('Data 2'!$L$2:$L$2198,MATCH(AZ3,'Data 2'!$A$2:$A$2198,0))</f>
        <v>-84.1</v>
      </c>
      <c r="BB3" s="39" t="n">
        <f aca="false">INDEX('Data 2'!$M$2:$M$2198,MATCH(AZ3,'Data 2'!$A$2:$A$2198,0))</f>
        <v>10.5</v>
      </c>
      <c r="BC3" s="34" t="s">
        <v>151</v>
      </c>
      <c r="BD3" s="39" t="n">
        <f aca="false">INDEX('Data 2'!$L$2:$L$2198,MATCH(BC3,'Data 2'!$A$2:$A$2198,0))</f>
        <v>86.2033333333333</v>
      </c>
      <c r="BE3" s="39" t="n">
        <f aca="false">INDEX('Data 2'!$M$2:$M$2198,MATCH(BC3,'Data 2'!$A$2:$A$2198,0))</f>
        <v>35.47</v>
      </c>
      <c r="BF3" s="34" t="s">
        <v>192</v>
      </c>
      <c r="BG3" s="39" t="n">
        <f aca="false">INDEX('Data 2'!$L$2:$L$2198,MATCH(BF3,'Data 2'!$A$2:$A$2198,0))</f>
        <v>29.87</v>
      </c>
      <c r="BH3" s="39" t="n">
        <f aca="false">INDEX('Data 2'!$M$2:$M$2198,MATCH(BF3,'Data 2'!$A$2:$A$2198,0))</f>
        <v>-15.08125</v>
      </c>
      <c r="BI3" s="34" t="s">
        <v>433</v>
      </c>
      <c r="BJ3" s="39" t="n">
        <f aca="false">INDEX('Data 2'!$L$2:$L$2198,MATCH(BI3,'Data 2'!$A$2:$A$2198,0))</f>
        <v>-75.43</v>
      </c>
      <c r="BK3" s="39" t="n">
        <f aca="false">INDEX('Data 2'!$M$2:$M$2198,MATCH(BI3,'Data 2'!$A$2:$A$2198,0))</f>
        <v>-107.055</v>
      </c>
      <c r="BL3" s="34" t="s">
        <v>273</v>
      </c>
      <c r="BM3" s="39" t="n">
        <f aca="false">INDEX('Data 2'!$L$2:$L$2198,MATCH(BL3,'Data 2'!$A$2:$A$2198,0))</f>
        <v>-12.93</v>
      </c>
      <c r="BN3" s="39" t="n">
        <f aca="false">INDEX('Data 2'!$M$2:$M$2198,MATCH(BL3,'Data 2'!$A$2:$A$2198,0))</f>
        <v>-4.03875</v>
      </c>
      <c r="BP3" s="34" t="s">
        <v>175</v>
      </c>
      <c r="BQ3" s="39" t="n">
        <f aca="false">INDEX('Data 2'!$L$2:$L$2198,MATCH(BP3,'Data 2'!$A$2:$A$2198,0))</f>
        <v>-29.3333333333333</v>
      </c>
      <c r="BR3" s="39" t="n">
        <f aca="false">INDEX('Data 2'!$M$2:$M$2198,MATCH(BP3,'Data 2'!$A$2:$A$2198,0))</f>
        <v>88.9825</v>
      </c>
    </row>
    <row r="4" customFormat="false" ht="15.75" hidden="false" customHeight="true" outlineLevel="0" collapsed="false">
      <c r="A4" s="34" t="s">
        <v>131</v>
      </c>
      <c r="B4" s="39" t="n">
        <f aca="false">INDEX('Data 2'!$L$2:$L$2198,MATCH(A4,'Data 2'!$A$2:$A$2198,0))</f>
        <v>-43.1233333333333</v>
      </c>
      <c r="C4" s="39" t="n">
        <f aca="false">INDEX('Data 2'!$M$2:$M$2198,MATCH(A4,'Data 2'!$A$2:$A$2198,0))</f>
        <v>51.97</v>
      </c>
      <c r="D4" s="34" t="s">
        <v>40</v>
      </c>
      <c r="E4" s="39" t="n">
        <f aca="false">INDEX('Data 2'!$L$2:$L$2198,MATCH(D4,'Data 2'!$A$2:$A$2198,0))</f>
        <v>-70.3533333333333</v>
      </c>
      <c r="F4" s="39" t="n">
        <f aca="false">INDEX('Data 2'!$M$2:$M$2198,MATCH(D4,'Data 2'!$A$2:$A$2198,0))</f>
        <v>-71.15375</v>
      </c>
      <c r="G4" s="34" t="s">
        <v>324</v>
      </c>
      <c r="H4" s="39" t="n">
        <f aca="false">INDEX('Data 2'!$L$2:$L$2198,MATCH(G4,'Data 2'!$A$2:$A$2198,0))</f>
        <v>-76.45</v>
      </c>
      <c r="I4" s="39" t="n">
        <f aca="false">INDEX('Data 2'!$M$2:$M$2198,MATCH(G4,'Data 2'!$A$2:$A$2198,0))</f>
        <v>-170.41875</v>
      </c>
      <c r="J4" s="34" t="s">
        <v>136</v>
      </c>
      <c r="K4" s="39" t="n">
        <f aca="false">INDEX('Data 2'!$L$2:$L$2198,MATCH(J4,'Data 2'!$A$2:$A$2198,0))</f>
        <v>-17.21</v>
      </c>
      <c r="L4" s="39" t="n">
        <f aca="false">INDEX('Data 2'!$M$2:$M$2198,MATCH(J4,'Data 2'!$A$2:$A$2198,0))</f>
        <v>-20.43125</v>
      </c>
      <c r="M4" s="34" t="s">
        <v>121</v>
      </c>
      <c r="N4" s="39" t="n">
        <f aca="false">INDEX('Data 2'!$L$2:$L$2198,MATCH(M4,'Data 2'!$A$2:$A$2198,0))</f>
        <v>11.3</v>
      </c>
      <c r="O4" s="39" t="n">
        <f aca="false">INDEX('Data 2'!$M$2:$M$2198,MATCH(M4,'Data 2'!$A$2:$A$2198,0))</f>
        <v>-25.17125</v>
      </c>
      <c r="P4" s="34" t="s">
        <v>75</v>
      </c>
      <c r="Q4" s="39" t="n">
        <f aca="false">INDEX('Data 2'!$L$2:$L$2198,MATCH(P4,'Data 2'!$A$2:$A$2198,0))</f>
        <v>-81.87</v>
      </c>
      <c r="R4" s="39" t="n">
        <f aca="false">INDEX('Data 2'!$M$2:$M$2198,MATCH(P4,'Data 2'!$A$2:$A$2198,0))</f>
        <v>-86.44</v>
      </c>
      <c r="S4" s="34" t="s">
        <v>204</v>
      </c>
      <c r="T4" s="39" t="n">
        <f aca="false">INDEX('Data 2'!$L$2:$L$2198,MATCH(S4,'Data 2'!$A$2:$A$2198,0))</f>
        <v>-18.29</v>
      </c>
      <c r="U4" s="39" t="n">
        <f aca="false">INDEX('Data 2'!$M$2:$M$2198,MATCH(S4,'Data 2'!$A$2:$A$2198,0))</f>
        <v>49.62125</v>
      </c>
      <c r="V4" s="34" t="s">
        <v>100</v>
      </c>
      <c r="W4" s="39" t="n">
        <f aca="false">INDEX('Data 2'!$L$2:$L$2198,MATCH(V4,'Data 2'!$A$2:$A$2198,0))</f>
        <v>-49.2966666666667</v>
      </c>
      <c r="X4" s="39" t="n">
        <f aca="false">INDEX('Data 2'!$M$2:$M$2198,MATCH(V4,'Data 2'!$A$2:$A$2198,0))</f>
        <v>-60.60125</v>
      </c>
      <c r="Y4" s="34" t="s">
        <v>286</v>
      </c>
      <c r="Z4" s="39" t="n">
        <f aca="false">INDEX('Data 2'!$L$2:$L$2198,MATCH(Y4,'Data 2'!$A$2:$A$2198,0))</f>
        <v>31.3533333333333</v>
      </c>
      <c r="AA4" s="39" t="n">
        <f aca="false">INDEX('Data 2'!$M$2:$M$2198,MATCH(Y4,'Data 2'!$A$2:$A$2198,0))</f>
        <v>-19.5425</v>
      </c>
      <c r="AB4" s="62" t="s">
        <v>289</v>
      </c>
      <c r="AC4" s="39" t="n">
        <f aca="false">INDEX('Data 2'!$L$2:$L$2198,MATCH(AB4,'Data 2'!$A$2:$A$2198,0))</f>
        <v>-91.2733333333333</v>
      </c>
      <c r="AD4" s="39" t="n">
        <f aca="false">INDEX('Data 2'!$M$2:$M$2198,MATCH(AB4,'Data 2'!$A$2:$A$2198,0))</f>
        <v>-42.996375</v>
      </c>
      <c r="AE4" s="34" t="s">
        <v>171</v>
      </c>
      <c r="AF4" s="39" t="n">
        <f aca="false">INDEX('Data 2'!$L$2:$L$2198,MATCH(AE4,'Data 2'!$A$2:$A$2198,0))</f>
        <v>-101.27</v>
      </c>
      <c r="AG4" s="39" t="n">
        <f aca="false">INDEX('Data 2'!$M$2:$M$2198,MATCH(AE4,'Data 2'!$A$2:$A$2198,0))</f>
        <v>-52.91125</v>
      </c>
      <c r="AH4" s="34" t="s">
        <v>67</v>
      </c>
      <c r="AI4" s="39" t="n">
        <f aca="false">INDEX('Data 2'!$L$2:$L$2198,MATCH(AH4,'Data 2'!$A$2:$A$2198,0))</f>
        <v>13.2466666666667</v>
      </c>
      <c r="AJ4" s="39" t="n">
        <f aca="false">INDEX('Data 2'!$M$2:$M$2198,MATCH(AH4,'Data 2'!$A$2:$A$2198,0))</f>
        <v>20.1475</v>
      </c>
      <c r="AK4" s="34" t="s">
        <v>227</v>
      </c>
      <c r="AL4" s="39" t="n">
        <f aca="false">INDEX('Data 2'!$L$2:$L$2198,MATCH(AK4,'Data 2'!$A$2:$A$2198,0))</f>
        <v>-22.5566666666667</v>
      </c>
      <c r="AM4" s="39" t="n">
        <f aca="false">INDEX('Data 2'!$M$2:$M$2198,MATCH(AK4,'Data 2'!$A$2:$A$2198,0))</f>
        <v>7.9675</v>
      </c>
      <c r="AN4" s="34" t="s">
        <v>290</v>
      </c>
      <c r="AO4" s="39" t="n">
        <f aca="false">INDEX('Data 2'!$L$2:$L$2198,MATCH(AN4,'Data 2'!$A$2:$A$2198,0))</f>
        <v>79.8133333333333</v>
      </c>
      <c r="AP4" s="39" t="n">
        <f aca="false">INDEX('Data 2'!$M$2:$M$2198,MATCH(AN4,'Data 2'!$A$2:$A$2198,0))</f>
        <v>-22.8875</v>
      </c>
      <c r="AQ4" s="34" t="s">
        <v>284</v>
      </c>
      <c r="AR4" s="39" t="n">
        <f aca="false">INDEX('Data 2'!$L$2:$L$2198,MATCH(AQ4,'Data 2'!$A$2:$A$2198,0))</f>
        <v>60.79</v>
      </c>
      <c r="AS4" s="39" t="n">
        <f aca="false">INDEX('Data 2'!$M$2:$M$2198,MATCH(AQ4,'Data 2'!$A$2:$A$2198,0))</f>
        <v>-11.1025</v>
      </c>
      <c r="AT4" s="34" t="s">
        <v>69</v>
      </c>
      <c r="AU4" s="39" t="n">
        <f aca="false">INDEX('Data 2'!$L$2:$L$2198,MATCH(AT4,'Data 2'!$A$2:$A$2198,0))</f>
        <v>21.6666666666667</v>
      </c>
      <c r="AV4" s="39" t="n">
        <f aca="false">INDEX('Data 2'!$M$2:$M$2198,MATCH(AT4,'Data 2'!$A$2:$A$2198,0))</f>
        <v>85.72625</v>
      </c>
      <c r="AW4" s="34" t="s">
        <v>107</v>
      </c>
      <c r="AX4" s="39" t="n">
        <f aca="false">INDEX('Data 2'!$L$2:$L$2198,MATCH(AW4,'Data 2'!$A$2:$A$2198,0))</f>
        <v>-79.1866666666667</v>
      </c>
      <c r="AY4" s="39" t="n">
        <f aca="false">INDEX('Data 2'!$M$2:$M$2198,MATCH(AW4,'Data 2'!$A$2:$A$2198,0))</f>
        <v>-89.76125</v>
      </c>
      <c r="AZ4" s="34" t="s">
        <v>65</v>
      </c>
      <c r="BA4" s="39" t="n">
        <f aca="false">INDEX('Data 2'!$L$2:$L$2198,MATCH(AZ4,'Data 2'!$A$2:$A$2198,0))</f>
        <v>-11.2566666666667</v>
      </c>
      <c r="BB4" s="39" t="n">
        <f aca="false">INDEX('Data 2'!$M$2:$M$2198,MATCH(AZ4,'Data 2'!$A$2:$A$2198,0))</f>
        <v>-72.91125</v>
      </c>
      <c r="BC4" s="34" t="s">
        <v>439</v>
      </c>
      <c r="BD4" s="39" t="n">
        <f aca="false">INDEX('Data 2'!$L$2:$L$2198,MATCH(BC4,'Data 2'!$A$2:$A$2198,0))</f>
        <v>98.0566666666667</v>
      </c>
      <c r="BE4" s="39" t="n">
        <f aca="false">INDEX('Data 2'!$M$2:$M$2198,MATCH(BC4,'Data 2'!$A$2:$A$2198,0))</f>
        <v>-38.69125</v>
      </c>
      <c r="BF4" s="34" t="s">
        <v>308</v>
      </c>
      <c r="BG4" s="39" t="n">
        <f aca="false">INDEX('Data 2'!$L$2:$L$2198,MATCH(BF4,'Data 2'!$A$2:$A$2198,0))</f>
        <v>-67.1766666666667</v>
      </c>
      <c r="BH4" s="39" t="n">
        <f aca="false">INDEX('Data 2'!$M$2:$M$2198,MATCH(BF4,'Data 2'!$A$2:$A$2198,0))</f>
        <v>-63.739125</v>
      </c>
      <c r="BI4" s="34" t="s">
        <v>432</v>
      </c>
      <c r="BJ4" s="39" t="n">
        <f aca="false">INDEX('Data 2'!$L$2:$L$2198,MATCH(BI4,'Data 2'!$A$2:$A$2198,0))</f>
        <v>24.6966666666667</v>
      </c>
      <c r="BK4" s="39" t="n">
        <f aca="false">INDEX('Data 2'!$M$2:$M$2198,MATCH(BI4,'Data 2'!$A$2:$A$2198,0))</f>
        <v>-22.24625</v>
      </c>
      <c r="BL4" s="34" t="s">
        <v>285</v>
      </c>
      <c r="BM4" s="39" t="n">
        <f aca="false">INDEX('Data 2'!$L$2:$L$2198,MATCH(BL4,'Data 2'!$A$2:$A$2198,0))</f>
        <v>-17.1866666666667</v>
      </c>
      <c r="BN4" s="39" t="n">
        <f aca="false">INDEX('Data 2'!$M$2:$M$2198,MATCH(BL4,'Data 2'!$A$2:$A$2198,0))</f>
        <v>63.2625</v>
      </c>
      <c r="BP4" s="34" t="s">
        <v>125</v>
      </c>
      <c r="BQ4" s="39" t="n">
        <f aca="false">INDEX('Data 2'!$L$2:$L$2198,MATCH(BP4,'Data 2'!$A$2:$A$2198,0))</f>
        <v>-14.7033333333333</v>
      </c>
      <c r="BR4" s="39" t="n">
        <f aca="false">INDEX('Data 2'!$M$2:$M$2198,MATCH(BP4,'Data 2'!$A$2:$A$2198,0))</f>
        <v>-100.21</v>
      </c>
    </row>
    <row r="5" customFormat="false" ht="15.75" hidden="false" customHeight="true" outlineLevel="0" collapsed="false">
      <c r="A5" s="34" t="s">
        <v>154</v>
      </c>
      <c r="B5" s="39" t="n">
        <f aca="false">INDEX('Data 2'!$L$2:$L$2198,MATCH(A5,'Data 2'!$A$2:$A$2198,0))</f>
        <v>-94.6633333333333</v>
      </c>
      <c r="C5" s="39" t="n">
        <f aca="false">INDEX('Data 2'!$M$2:$M$2198,MATCH(A5,'Data 2'!$A$2:$A$2198,0))</f>
        <v>-94.76625</v>
      </c>
      <c r="D5" s="34" t="s">
        <v>111</v>
      </c>
      <c r="E5" s="39" t="n">
        <f aca="false">INDEX('Data 2'!$L$2:$L$2198,MATCH(D5,'Data 2'!$A$2:$A$2198,0))</f>
        <v>-94.6133333333333</v>
      </c>
      <c r="F5" s="39" t="n">
        <f aca="false">INDEX('Data 2'!$M$2:$M$2198,MATCH(D5,'Data 2'!$A$2:$A$2198,0))</f>
        <v>-30.34375</v>
      </c>
      <c r="G5" s="34" t="s">
        <v>287</v>
      </c>
      <c r="H5" s="39" t="n">
        <f aca="false">INDEX('Data 2'!$L$2:$L$2198,MATCH(G5,'Data 2'!$A$2:$A$2198,0))</f>
        <v>31.5</v>
      </c>
      <c r="I5" s="39" t="n">
        <f aca="false">INDEX('Data 2'!$M$2:$M$2198,MATCH(G5,'Data 2'!$A$2:$A$2198,0))</f>
        <v>69.80625</v>
      </c>
      <c r="J5" s="34" t="s">
        <v>70</v>
      </c>
      <c r="K5" s="39" t="n">
        <f aca="false">INDEX('Data 2'!$L$2:$L$2198,MATCH(J5,'Data 2'!$A$2:$A$2198,0))</f>
        <v>-62.53</v>
      </c>
      <c r="L5" s="39" t="n">
        <f aca="false">INDEX('Data 2'!$M$2:$M$2198,MATCH(J5,'Data 2'!$A$2:$A$2198,0))</f>
        <v>-74.62125</v>
      </c>
      <c r="M5" s="34" t="s">
        <v>126</v>
      </c>
      <c r="N5" s="39" t="n">
        <f aca="false">INDEX('Data 2'!$L$2:$L$2198,MATCH(M5,'Data 2'!$A$2:$A$2198,0))</f>
        <v>-43.37</v>
      </c>
      <c r="O5" s="39" t="n">
        <f aca="false">INDEX('Data 2'!$M$2:$M$2198,MATCH(M5,'Data 2'!$A$2:$A$2198,0))</f>
        <v>16.2675</v>
      </c>
      <c r="P5" s="34" t="s">
        <v>132</v>
      </c>
      <c r="Q5" s="39" t="n">
        <f aca="false">INDEX('Data 2'!$L$2:$L$2198,MATCH(P5,'Data 2'!$A$2:$A$2198,0))</f>
        <v>37.1933333333333</v>
      </c>
      <c r="R5" s="39" t="n">
        <f aca="false">INDEX('Data 2'!$M$2:$M$2198,MATCH(P5,'Data 2'!$A$2:$A$2198,0))</f>
        <v>-21.66125</v>
      </c>
      <c r="S5" s="34" t="s">
        <v>184</v>
      </c>
      <c r="T5" s="39" t="n">
        <f aca="false">INDEX('Data 2'!$L$2:$L$2198,MATCH(S5,'Data 2'!$A$2:$A$2198,0))</f>
        <v>-36.83</v>
      </c>
      <c r="U5" s="39" t="n">
        <f aca="false">INDEX('Data 2'!$M$2:$M$2198,MATCH(S5,'Data 2'!$A$2:$A$2198,0))</f>
        <v>50.1</v>
      </c>
      <c r="V5" s="34" t="s">
        <v>72</v>
      </c>
      <c r="W5" s="39" t="n">
        <f aca="false">INDEX('Data 2'!$L$2:$L$2198,MATCH(V5,'Data 2'!$A$2:$A$2198,0))</f>
        <v>-5.29333333333333</v>
      </c>
      <c r="X5" s="39" t="n">
        <f aca="false">INDEX('Data 2'!$M$2:$M$2198,MATCH(V5,'Data 2'!$A$2:$A$2198,0))</f>
        <v>70.68875</v>
      </c>
      <c r="Y5" s="34" t="s">
        <v>198</v>
      </c>
      <c r="Z5" s="39" t="n">
        <f aca="false">INDEX('Data 2'!$L$2:$L$2198,MATCH(Y5,'Data 2'!$A$2:$A$2198,0))</f>
        <v>-84.5966666666667</v>
      </c>
      <c r="AA5" s="39" t="n">
        <f aca="false">INDEX('Data 2'!$M$2:$M$2198,MATCH(Y5,'Data 2'!$A$2:$A$2198,0))</f>
        <v>-43.54625</v>
      </c>
      <c r="AB5" s="62" t="s">
        <v>137</v>
      </c>
      <c r="AC5" s="39" t="n">
        <f aca="false">INDEX('Data 2'!$L$2:$L$2198,MATCH(AB5,'Data 2'!$A$2:$A$2198,0))</f>
        <v>76.8033333333333</v>
      </c>
      <c r="AD5" s="39" t="n">
        <f aca="false">INDEX('Data 2'!$M$2:$M$2198,MATCH(AB5,'Data 2'!$A$2:$A$2198,0))</f>
        <v>153.40375</v>
      </c>
      <c r="AE5" s="34" t="s">
        <v>127</v>
      </c>
      <c r="AF5" s="39" t="n">
        <f aca="false">INDEX('Data 2'!$L$2:$L$2198,MATCH(AE5,'Data 2'!$A$2:$A$2198,0))</f>
        <v>-54.8133333333333</v>
      </c>
      <c r="AG5" s="39" t="n">
        <f aca="false">INDEX('Data 2'!$M$2:$M$2198,MATCH(AE5,'Data 2'!$A$2:$A$2198,0))</f>
        <v>50.4375</v>
      </c>
      <c r="AH5" s="34" t="s">
        <v>155</v>
      </c>
      <c r="AI5" s="39" t="n">
        <f aca="false">INDEX('Data 2'!$L$2:$L$2198,MATCH(AH5,'Data 2'!$A$2:$A$2198,0))</f>
        <v>-63.4633333333333</v>
      </c>
      <c r="AJ5" s="39" t="n">
        <f aca="false">INDEX('Data 2'!$M$2:$M$2198,MATCH(AH5,'Data 2'!$A$2:$A$2198,0))</f>
        <v>-55.61125</v>
      </c>
      <c r="AK5" s="34" t="s">
        <v>302</v>
      </c>
      <c r="AL5" s="39" t="n">
        <f aca="false">INDEX('Data 2'!$L$2:$L$2198,MATCH(AK5,'Data 2'!$A$2:$A$2198,0))</f>
        <v>-83.54</v>
      </c>
      <c r="AM5" s="39" t="n">
        <f aca="false">INDEX('Data 2'!$M$2:$M$2198,MATCH(AK5,'Data 2'!$A$2:$A$2198,0))</f>
        <v>-27.4525</v>
      </c>
      <c r="AN5" s="34" t="s">
        <v>60</v>
      </c>
      <c r="AO5" s="39" t="n">
        <f aca="false">INDEX('Data 2'!$L$2:$L$2198,MATCH(AN5,'Data 2'!$A$2:$A$2198,0))</f>
        <v>-63.4233333333333</v>
      </c>
      <c r="AP5" s="39" t="n">
        <f aca="false">INDEX('Data 2'!$M$2:$M$2198,MATCH(AN5,'Data 2'!$A$2:$A$2198,0))</f>
        <v>-45.195</v>
      </c>
      <c r="AQ5" s="34" t="s">
        <v>305</v>
      </c>
      <c r="AR5" s="39" t="n">
        <f aca="false">INDEX('Data 2'!$L$2:$L$2198,MATCH(AQ5,'Data 2'!$A$2:$A$2198,0))</f>
        <v>-80.0066666666667</v>
      </c>
      <c r="AS5" s="39" t="n">
        <f aca="false">INDEX('Data 2'!$M$2:$M$2198,MATCH(AQ5,'Data 2'!$A$2:$A$2198,0))</f>
        <v>-47.76375</v>
      </c>
      <c r="AT5" s="34" t="s">
        <v>229</v>
      </c>
      <c r="AU5" s="39" t="n">
        <f aca="false">INDEX('Data 2'!$L$2:$L$2198,MATCH(AT5,'Data 2'!$A$2:$A$2198,0))</f>
        <v>-89.57</v>
      </c>
      <c r="AV5" s="39" t="n">
        <f aca="false">INDEX('Data 2'!$M$2:$M$2198,MATCH(AT5,'Data 2'!$A$2:$A$2198,0))</f>
        <v>-74.96375</v>
      </c>
      <c r="AW5" s="34" t="s">
        <v>198</v>
      </c>
      <c r="AX5" s="39" t="n">
        <f aca="false">INDEX('Data 2'!$L$2:$L$2198,MATCH(AW5,'Data 2'!$A$2:$A$2198,0))</f>
        <v>-84.5966666666667</v>
      </c>
      <c r="AY5" s="39" t="n">
        <f aca="false">INDEX('Data 2'!$M$2:$M$2198,MATCH(AW5,'Data 2'!$A$2:$A$2198,0))</f>
        <v>-43.54625</v>
      </c>
      <c r="AZ5" s="34" t="s">
        <v>281</v>
      </c>
      <c r="BA5" s="39" t="n">
        <f aca="false">INDEX('Data 2'!$L$2:$L$2198,MATCH(AZ5,'Data 2'!$A$2:$A$2198,0))</f>
        <v>-148.19</v>
      </c>
      <c r="BB5" s="39" t="n">
        <f aca="false">INDEX('Data 2'!$M$2:$M$2198,MATCH(AZ5,'Data 2'!$A$2:$A$2198,0))</f>
        <v>-72.465</v>
      </c>
      <c r="BC5" s="34" t="s">
        <v>166</v>
      </c>
      <c r="BD5" s="39" t="n">
        <f aca="false">INDEX('Data 2'!$L$2:$L$2198,MATCH(BC5,'Data 2'!$A$2:$A$2198,0))</f>
        <v>-55.7866666666667</v>
      </c>
      <c r="BE5" s="39" t="n">
        <f aca="false">INDEX('Data 2'!$M$2:$M$2198,MATCH(BC5,'Data 2'!$A$2:$A$2198,0))</f>
        <v>-61.745</v>
      </c>
      <c r="BF5" s="34" t="s">
        <v>260</v>
      </c>
      <c r="BG5" s="39" t="n">
        <f aca="false">INDEX('Data 2'!$L$2:$L$2198,MATCH(BF5,'Data 2'!$A$2:$A$2198,0))</f>
        <v>-39.9166666666667</v>
      </c>
      <c r="BH5" s="39" t="n">
        <f aca="false">INDEX('Data 2'!$M$2:$M$2198,MATCH(BF5,'Data 2'!$A$2:$A$2198,0))</f>
        <v>-40.01375</v>
      </c>
      <c r="BI5" s="34" t="s">
        <v>499</v>
      </c>
      <c r="BJ5" s="39" t="n">
        <f aca="false">INDEX('Data 2'!$L$2:$L$2198,MATCH(BI5,'Data 2'!$A$2:$A$2198,0))</f>
        <v>-13.3433333333333</v>
      </c>
      <c r="BK5" s="39" t="n">
        <f aca="false">INDEX('Data 2'!$M$2:$M$2198,MATCH(BI5,'Data 2'!$A$2:$A$2198,0))</f>
        <v>-23.42375</v>
      </c>
      <c r="BL5" s="34" t="s">
        <v>298</v>
      </c>
      <c r="BM5" s="39" t="n">
        <f aca="false">INDEX('Data 2'!$L$2:$L$2198,MATCH(BL5,'Data 2'!$A$2:$A$2198,0))</f>
        <v>-33.84</v>
      </c>
      <c r="BN5" s="39" t="n">
        <f aca="false">INDEX('Data 2'!$M$2:$M$2198,MATCH(BL5,'Data 2'!$A$2:$A$2198,0))</f>
        <v>78.3875</v>
      </c>
      <c r="BP5" s="34" t="s">
        <v>232</v>
      </c>
      <c r="BQ5" s="39" t="n">
        <f aca="false">INDEX('Data 2'!$L$2:$L$2198,MATCH(BP5,'Data 2'!$A$2:$A$2198,0))</f>
        <v>-100.76</v>
      </c>
      <c r="BR5" s="39" t="n">
        <f aca="false">INDEX('Data 2'!$M$2:$M$2198,MATCH(BP5,'Data 2'!$A$2:$A$2198,0))</f>
        <v>-79.82</v>
      </c>
    </row>
    <row r="6" customFormat="false" ht="15.75" hidden="false" customHeight="true" outlineLevel="0" collapsed="false">
      <c r="A6" s="34" t="s">
        <v>134</v>
      </c>
      <c r="B6" s="39" t="n">
        <f aca="false">INDEX('Data 2'!$L$2:$L$2198,MATCH(A6,'Data 2'!$A$2:$A$2198,0))</f>
        <v>-113.886666666667</v>
      </c>
      <c r="C6" s="39" t="n">
        <f aca="false">INDEX('Data 2'!$M$2:$M$2198,MATCH(A6,'Data 2'!$A$2:$A$2198,0))</f>
        <v>-97.9</v>
      </c>
      <c r="D6" s="34" t="s">
        <v>104</v>
      </c>
      <c r="E6" s="39" t="n">
        <f aca="false">INDEX('Data 2'!$L$2:$L$2198,MATCH(D6,'Data 2'!$A$2:$A$2198,0))</f>
        <v>-40.48</v>
      </c>
      <c r="F6" s="39" t="n">
        <f aca="false">INDEX('Data 2'!$M$2:$M$2198,MATCH(D6,'Data 2'!$A$2:$A$2198,0))</f>
        <v>-1.3775</v>
      </c>
      <c r="G6" s="34" t="s">
        <v>363</v>
      </c>
      <c r="H6" s="39" t="n">
        <f aca="false">INDEX('Data 2'!$L$2:$L$2198,MATCH(G6,'Data 2'!$A$2:$A$2198,0))</f>
        <v>-47.8033333333333</v>
      </c>
      <c r="I6" s="39" t="n">
        <f aca="false">INDEX('Data 2'!$M$2:$M$2198,MATCH(G6,'Data 2'!$A$2:$A$2198,0))</f>
        <v>-21.0425</v>
      </c>
      <c r="J6" s="34" t="s">
        <v>164</v>
      </c>
      <c r="K6" s="39" t="n">
        <f aca="false">INDEX('Data 2'!$L$2:$L$2198,MATCH(J6,'Data 2'!$A$2:$A$2198,0))</f>
        <v>-125.086666666667</v>
      </c>
      <c r="L6" s="39" t="n">
        <f aca="false">INDEX('Data 2'!$M$2:$M$2198,MATCH(J6,'Data 2'!$A$2:$A$2198,0))</f>
        <v>-114.465</v>
      </c>
      <c r="M6" s="34" t="s">
        <v>334</v>
      </c>
      <c r="N6" s="39" t="n">
        <f aca="false">INDEX('Data 2'!$L$2:$L$2198,MATCH(M6,'Data 2'!$A$2:$A$2198,0))</f>
        <v>11.0666666666667</v>
      </c>
      <c r="O6" s="39" t="n">
        <f aca="false">INDEX('Data 2'!$M$2:$M$2198,MATCH(M6,'Data 2'!$A$2:$A$2198,0))</f>
        <v>75.59375</v>
      </c>
      <c r="P6" s="34" t="s">
        <v>87</v>
      </c>
      <c r="Q6" s="39" t="n">
        <f aca="false">INDEX('Data 2'!$L$2:$L$2198,MATCH(P6,'Data 2'!$A$2:$A$2198,0))</f>
        <v>91.2033333333333</v>
      </c>
      <c r="R6" s="39" t="n">
        <f aca="false">INDEX('Data 2'!$M$2:$M$2198,MATCH(P6,'Data 2'!$A$2:$A$2198,0))</f>
        <v>63.67125</v>
      </c>
      <c r="S6" s="34" t="s">
        <v>186</v>
      </c>
      <c r="T6" s="39" t="n">
        <f aca="false">INDEX('Data 2'!$L$2:$L$2198,MATCH(S6,'Data 2'!$A$2:$A$2198,0))</f>
        <v>-62.5766666666667</v>
      </c>
      <c r="U6" s="39" t="n">
        <f aca="false">INDEX('Data 2'!$M$2:$M$2198,MATCH(S6,'Data 2'!$A$2:$A$2198,0))</f>
        <v>-21.6625</v>
      </c>
      <c r="V6" s="34" t="s">
        <v>41</v>
      </c>
      <c r="W6" s="39" t="n">
        <f aca="false">INDEX('Data 2'!$L$2:$L$2198,MATCH(V6,'Data 2'!$A$2:$A$2198,0))</f>
        <v>-94.76</v>
      </c>
      <c r="X6" s="39" t="n">
        <f aca="false">INDEX('Data 2'!$M$2:$M$2198,MATCH(V6,'Data 2'!$A$2:$A$2198,0))</f>
        <v>-63.075</v>
      </c>
      <c r="Y6" s="34" t="s">
        <v>293</v>
      </c>
      <c r="Z6" s="39" t="n">
        <f aca="false">INDEX('Data 2'!$L$2:$L$2198,MATCH(Y6,'Data 2'!$A$2:$A$2198,0))</f>
        <v>-59.95</v>
      </c>
      <c r="AA6" s="39" t="n">
        <f aca="false">INDEX('Data 2'!$M$2:$M$2198,MATCH(Y6,'Data 2'!$A$2:$A$2198,0))</f>
        <v>-69.39</v>
      </c>
      <c r="AB6" s="62" t="s">
        <v>129</v>
      </c>
      <c r="AC6" s="39" t="n">
        <f aca="false">INDEX('Data 2'!$L$2:$L$2198,MATCH(AB6,'Data 2'!$A$2:$A$2198,0))</f>
        <v>71.0833333333333</v>
      </c>
      <c r="AD6" s="39" t="n">
        <f aca="false">INDEX('Data 2'!$M$2:$M$2198,MATCH(AB6,'Data 2'!$A$2:$A$2198,0))</f>
        <v>147.7425</v>
      </c>
      <c r="AE6" s="34" t="s">
        <v>66</v>
      </c>
      <c r="AF6" s="39" t="n">
        <f aca="false">INDEX('Data 2'!$L$2:$L$2198,MATCH(AE6,'Data 2'!$A$2:$A$2198,0))</f>
        <v>-56.2566666666667</v>
      </c>
      <c r="AG6" s="39" t="n">
        <f aca="false">INDEX('Data 2'!$M$2:$M$2198,MATCH(AE6,'Data 2'!$A$2:$A$2198,0))</f>
        <v>-63.07875</v>
      </c>
      <c r="AH6" s="34" t="s">
        <v>59</v>
      </c>
      <c r="AI6" s="39" t="n">
        <f aca="false">INDEX('Data 2'!$L$2:$L$2198,MATCH(AH6,'Data 2'!$A$2:$A$2198,0))</f>
        <v>-109.336666666667</v>
      </c>
      <c r="AJ6" s="39" t="n">
        <f aca="false">INDEX('Data 2'!$M$2:$M$2198,MATCH(AH6,'Data 2'!$A$2:$A$2198,0))</f>
        <v>-42.04375</v>
      </c>
      <c r="AK6" s="34" t="s">
        <v>104</v>
      </c>
      <c r="AL6" s="39" t="n">
        <f aca="false">INDEX('Data 2'!$L$2:$L$2198,MATCH(AK6,'Data 2'!$A$2:$A$2198,0))</f>
        <v>-40.48</v>
      </c>
      <c r="AM6" s="39" t="n">
        <f aca="false">INDEX('Data 2'!$M$2:$M$2198,MATCH(AK6,'Data 2'!$A$2:$A$2198,0))</f>
        <v>-1.3775</v>
      </c>
      <c r="AN6" s="34" t="s">
        <v>165</v>
      </c>
      <c r="AO6" s="39" t="n">
        <f aca="false">INDEX('Data 2'!$L$2:$L$2198,MATCH(AN6,'Data 2'!$A$2:$A$2198,0))</f>
        <v>35.1866666666667</v>
      </c>
      <c r="AP6" s="39" t="n">
        <f aca="false">INDEX('Data 2'!$M$2:$M$2198,MATCH(AN6,'Data 2'!$A$2:$A$2198,0))</f>
        <v>-31.80375</v>
      </c>
      <c r="AQ6" s="34" t="s">
        <v>103</v>
      </c>
      <c r="AR6" s="39" t="n">
        <f aca="false">INDEX('Data 2'!$L$2:$L$2198,MATCH(AQ6,'Data 2'!$A$2:$A$2198,0))</f>
        <v>28.71</v>
      </c>
      <c r="AS6" s="39" t="n">
        <f aca="false">INDEX('Data 2'!$M$2:$M$2198,MATCH(AQ6,'Data 2'!$A$2:$A$2198,0))</f>
        <v>19.7575</v>
      </c>
      <c r="AT6" s="34" t="s">
        <v>232</v>
      </c>
      <c r="AU6" s="39" t="n">
        <f aca="false">INDEX('Data 2'!$L$2:$L$2198,MATCH(AT6,'Data 2'!$A$2:$A$2198,0))</f>
        <v>-100.76</v>
      </c>
      <c r="AV6" s="39" t="n">
        <f aca="false">INDEX('Data 2'!$M$2:$M$2198,MATCH(AT6,'Data 2'!$A$2:$A$2198,0))</f>
        <v>-79.82</v>
      </c>
      <c r="AW6" s="34" t="s">
        <v>161</v>
      </c>
      <c r="AX6" s="39" t="n">
        <f aca="false">INDEX('Data 2'!$L$2:$L$2198,MATCH(AW6,'Data 2'!$A$2:$A$2198,0))</f>
        <v>-103.4</v>
      </c>
      <c r="AY6" s="39" t="n">
        <f aca="false">INDEX('Data 2'!$M$2:$M$2198,MATCH(AW6,'Data 2'!$A$2:$A$2198,0))</f>
        <v>-110.97875</v>
      </c>
      <c r="AZ6" s="34" t="s">
        <v>143</v>
      </c>
      <c r="BA6" s="39" t="n">
        <f aca="false">INDEX('Data 2'!$L$2:$L$2198,MATCH(AZ6,'Data 2'!$A$2:$A$2198,0))</f>
        <v>-95.64</v>
      </c>
      <c r="BB6" s="39" t="n">
        <f aca="false">INDEX('Data 2'!$M$2:$M$2198,MATCH(AZ6,'Data 2'!$A$2:$A$2198,0))</f>
        <v>-29.11625</v>
      </c>
      <c r="BC6" s="34" t="s">
        <v>167</v>
      </c>
      <c r="BD6" s="39" t="n">
        <f aca="false">INDEX('Data 2'!$L$2:$L$2198,MATCH(BC6,'Data 2'!$A$2:$A$2198,0))</f>
        <v>-83.95</v>
      </c>
      <c r="BE6" s="39" t="n">
        <f aca="false">INDEX('Data 2'!$M$2:$M$2198,MATCH(BC6,'Data 2'!$A$2:$A$2198,0))</f>
        <v>-70.52125</v>
      </c>
      <c r="BF6" s="34" t="s">
        <v>411</v>
      </c>
      <c r="BG6" s="39" t="n">
        <f aca="false">INDEX('Data 2'!$L$2:$L$2198,MATCH(BF6,'Data 2'!$A$2:$A$2198,0))</f>
        <v>-61.89</v>
      </c>
      <c r="BH6" s="39" t="n">
        <f aca="false">INDEX('Data 2'!$M$2:$M$2198,MATCH(BF6,'Data 2'!$A$2:$A$2198,0))</f>
        <v>-63.4625</v>
      </c>
      <c r="BI6" s="34" t="s">
        <v>454</v>
      </c>
      <c r="BJ6" s="39" t="n">
        <f aca="false">INDEX('Data 2'!$L$2:$L$2198,MATCH(BI6,'Data 2'!$A$2:$A$2198,0))</f>
        <v>21.0366666666667</v>
      </c>
      <c r="BK6" s="39" t="n">
        <f aca="false">INDEX('Data 2'!$M$2:$M$2198,MATCH(BI6,'Data 2'!$A$2:$A$2198,0))</f>
        <v>-31.0125</v>
      </c>
      <c r="BL6" s="34" t="s">
        <v>229</v>
      </c>
      <c r="BM6" s="39" t="n">
        <f aca="false">INDEX('Data 2'!$L$2:$L$2198,MATCH(BL6,'Data 2'!$A$2:$A$2198,0))</f>
        <v>-89.57</v>
      </c>
      <c r="BN6" s="39" t="n">
        <f aca="false">INDEX('Data 2'!$M$2:$M$2198,MATCH(BL6,'Data 2'!$A$2:$A$2198,0))</f>
        <v>-74.96375</v>
      </c>
      <c r="BP6" s="34" t="s">
        <v>134</v>
      </c>
      <c r="BQ6" s="39" t="n">
        <f aca="false">INDEX('Data 2'!$L$2:$L$2198,MATCH(BP6,'Data 2'!$A$2:$A$2198,0))</f>
        <v>-113.886666666667</v>
      </c>
      <c r="BR6" s="39" t="n">
        <f aca="false">INDEX('Data 2'!$M$2:$M$2198,MATCH(BP6,'Data 2'!$A$2:$A$2198,0))</f>
        <v>-97.9</v>
      </c>
    </row>
    <row r="7" customFormat="false" ht="15.75" hidden="false" customHeight="true" outlineLevel="0" collapsed="false">
      <c r="A7" s="34" t="s">
        <v>141</v>
      </c>
      <c r="B7" s="39" t="n">
        <f aca="false">INDEX('Data 2'!$L$2:$L$2198,MATCH(A7,'Data 2'!$A$2:$A$2198,0))</f>
        <v>-45.04</v>
      </c>
      <c r="C7" s="39" t="n">
        <f aca="false">INDEX('Data 2'!$M$2:$M$2198,MATCH(A7,'Data 2'!$A$2:$A$2198,0))</f>
        <v>47.615</v>
      </c>
      <c r="D7" s="34" t="s">
        <v>155</v>
      </c>
      <c r="E7" s="39" t="n">
        <f aca="false">INDEX('Data 2'!$L$2:$L$2198,MATCH(D7,'Data 2'!$A$2:$A$2198,0))</f>
        <v>-63.4633333333333</v>
      </c>
      <c r="F7" s="39" t="n">
        <f aca="false">INDEX('Data 2'!$M$2:$M$2198,MATCH(D7,'Data 2'!$A$2:$A$2198,0))</f>
        <v>-55.61125</v>
      </c>
      <c r="G7" s="34" t="s">
        <v>364</v>
      </c>
      <c r="H7" s="39" t="n">
        <f aca="false">INDEX('Data 2'!$L$2:$L$2198,MATCH(G7,'Data 2'!$A$2:$A$2198,0))</f>
        <v>36.0033333333333</v>
      </c>
      <c r="I7" s="39" t="n">
        <f aca="false">INDEX('Data 2'!$M$2:$M$2198,MATCH(G7,'Data 2'!$A$2:$A$2198,0))</f>
        <v>13.88125</v>
      </c>
      <c r="J7" s="34" t="s">
        <v>130</v>
      </c>
      <c r="K7" s="39" t="n">
        <f aca="false">INDEX('Data 2'!$L$2:$L$2198,MATCH(J7,'Data 2'!$A$2:$A$2198,0))</f>
        <v>42.7666666666667</v>
      </c>
      <c r="L7" s="39" t="n">
        <f aca="false">INDEX('Data 2'!$M$2:$M$2198,MATCH(J7,'Data 2'!$A$2:$A$2198,0))</f>
        <v>11.0225</v>
      </c>
      <c r="M7" s="34" t="s">
        <v>197</v>
      </c>
      <c r="N7" s="39" t="n">
        <f aca="false">INDEX('Data 2'!$L$2:$L$2198,MATCH(M7,'Data 2'!$A$2:$A$2198,0))</f>
        <v>109.083333333333</v>
      </c>
      <c r="O7" s="39" t="n">
        <f aca="false">INDEX('Data 2'!$M$2:$M$2198,MATCH(M7,'Data 2'!$A$2:$A$2198,0))</f>
        <v>80.93875</v>
      </c>
      <c r="P7" s="34" t="s">
        <v>122</v>
      </c>
      <c r="Q7" s="39" t="n">
        <f aca="false">INDEX('Data 2'!$L$2:$L$2198,MATCH(P7,'Data 2'!$A$2:$A$2198,0))</f>
        <v>43.86</v>
      </c>
      <c r="R7" s="39" t="n">
        <f aca="false">INDEX('Data 2'!$M$2:$M$2198,MATCH(P7,'Data 2'!$A$2:$A$2198,0))</f>
        <v>76.56</v>
      </c>
      <c r="S7" s="34" t="s">
        <v>207</v>
      </c>
      <c r="T7" s="39" t="n">
        <f aca="false">INDEX('Data 2'!$L$2:$L$2198,MATCH(S7,'Data 2'!$A$2:$A$2198,0))</f>
        <v>-66.46</v>
      </c>
      <c r="U7" s="39" t="n">
        <f aca="false">INDEX('Data 2'!$M$2:$M$2198,MATCH(S7,'Data 2'!$A$2:$A$2198,0))</f>
        <v>-38.2925</v>
      </c>
      <c r="V7" s="34" t="s">
        <v>371</v>
      </c>
      <c r="W7" s="39" t="n">
        <f aca="false">INDEX('Data 2'!$L$2:$L$2198,MATCH(V7,'Data 2'!$A$2:$A$2198,0))</f>
        <v>-62.21</v>
      </c>
      <c r="X7" s="39" t="n">
        <f aca="false">INDEX('Data 2'!$M$2:$M$2198,MATCH(V7,'Data 2'!$A$2:$A$2198,0))</f>
        <v>-59.4625</v>
      </c>
      <c r="Y7" s="34" t="s">
        <v>180</v>
      </c>
      <c r="Z7" s="39" t="n">
        <f aca="false">INDEX('Data 2'!$L$2:$L$2198,MATCH(Y7,'Data 2'!$A$2:$A$2198,0))</f>
        <v>10.3266666666667</v>
      </c>
      <c r="AA7" s="39" t="n">
        <f aca="false">INDEX('Data 2'!$M$2:$M$2198,MATCH(Y7,'Data 2'!$A$2:$A$2198,0))</f>
        <v>-29.3425</v>
      </c>
      <c r="AB7" s="62" t="s">
        <v>125</v>
      </c>
      <c r="AC7" s="39" t="n">
        <f aca="false">INDEX('Data 2'!$L$2:$L$2198,MATCH(AB7,'Data 2'!$A$2:$A$2198,0))</f>
        <v>-14.7033333333333</v>
      </c>
      <c r="AD7" s="39" t="n">
        <f aca="false">INDEX('Data 2'!$M$2:$M$2198,MATCH(AB7,'Data 2'!$A$2:$A$2198,0))</f>
        <v>-100.21</v>
      </c>
      <c r="AE7" s="34" t="s">
        <v>57</v>
      </c>
      <c r="AF7" s="39" t="n">
        <f aca="false">INDEX('Data 2'!$L$2:$L$2198,MATCH(AE7,'Data 2'!$A$2:$A$2198,0))</f>
        <v>-88.5066666666667</v>
      </c>
      <c r="AG7" s="39" t="n">
        <f aca="false">INDEX('Data 2'!$M$2:$M$2198,MATCH(AE7,'Data 2'!$A$2:$A$2198,0))</f>
        <v>29.98125</v>
      </c>
      <c r="AH7" s="34" t="s">
        <v>42</v>
      </c>
      <c r="AI7" s="39" t="n">
        <f aca="false">INDEX('Data 2'!$L$2:$L$2198,MATCH(AH7,'Data 2'!$A$2:$A$2198,0))</f>
        <v>2.00666666666667</v>
      </c>
      <c r="AJ7" s="39" t="n">
        <f aca="false">INDEX('Data 2'!$M$2:$M$2198,MATCH(AH7,'Data 2'!$A$2:$A$2198,0))</f>
        <v>7.39</v>
      </c>
      <c r="AK7" s="34" t="s">
        <v>360</v>
      </c>
      <c r="AL7" s="39" t="n">
        <f aca="false">INDEX('Data 2'!$L$2:$L$2198,MATCH(AK7,'Data 2'!$A$2:$A$2198,0))</f>
        <v>-82.19</v>
      </c>
      <c r="AM7" s="39" t="n">
        <f aca="false">INDEX('Data 2'!$M$2:$M$2198,MATCH(AK7,'Data 2'!$A$2:$A$2198,0))</f>
        <v>-82.43375</v>
      </c>
      <c r="AN7" s="34" t="s">
        <v>222</v>
      </c>
      <c r="AO7" s="39" t="n">
        <f aca="false">INDEX('Data 2'!$L$2:$L$2198,MATCH(AN7,'Data 2'!$A$2:$A$2198,0))</f>
        <v>-3.85333333333333</v>
      </c>
      <c r="AP7" s="39" t="n">
        <f aca="false">INDEX('Data 2'!$M$2:$M$2198,MATCH(AN7,'Data 2'!$A$2:$A$2198,0))</f>
        <v>-25.76125</v>
      </c>
      <c r="AQ7" s="34" t="s">
        <v>327</v>
      </c>
      <c r="AR7" s="39" t="n">
        <f aca="false">INDEX('Data 2'!$L$2:$L$2198,MATCH(AQ7,'Data 2'!$A$2:$A$2198,0))</f>
        <v>11.0166666666667</v>
      </c>
      <c r="AS7" s="39" t="n">
        <f aca="false">INDEX('Data 2'!$M$2:$M$2198,MATCH(AQ7,'Data 2'!$A$2:$A$2198,0))</f>
        <v>37.13125</v>
      </c>
      <c r="AT7" s="34" t="s">
        <v>67</v>
      </c>
      <c r="AU7" s="39" t="n">
        <f aca="false">INDEX('Data 2'!$L$2:$L$2198,MATCH(AT7,'Data 2'!$A$2:$A$2198,0))</f>
        <v>13.2466666666667</v>
      </c>
      <c r="AV7" s="39" t="n">
        <f aca="false">INDEX('Data 2'!$M$2:$M$2198,MATCH(AT7,'Data 2'!$A$2:$A$2198,0))</f>
        <v>20.1475</v>
      </c>
      <c r="AW7" s="34" t="s">
        <v>152</v>
      </c>
      <c r="AX7" s="39" t="n">
        <f aca="false">INDEX('Data 2'!$L$2:$L$2198,MATCH(AW7,'Data 2'!$A$2:$A$2198,0))</f>
        <v>-31.75</v>
      </c>
      <c r="AY7" s="39" t="n">
        <f aca="false">INDEX('Data 2'!$M$2:$M$2198,MATCH(AW7,'Data 2'!$A$2:$A$2198,0))</f>
        <v>-62.4425</v>
      </c>
      <c r="AZ7" s="34" t="s">
        <v>175</v>
      </c>
      <c r="BA7" s="39" t="n">
        <f aca="false">INDEX('Data 2'!$L$2:$L$2198,MATCH(AZ7,'Data 2'!$A$2:$A$2198,0))</f>
        <v>-29.3333333333333</v>
      </c>
      <c r="BB7" s="39" t="n">
        <f aca="false">INDEX('Data 2'!$M$2:$M$2198,MATCH(AZ7,'Data 2'!$A$2:$A$2198,0))</f>
        <v>88.9825</v>
      </c>
      <c r="BC7" s="34" t="s">
        <v>202</v>
      </c>
      <c r="BD7" s="39" t="n">
        <f aca="false">INDEX('Data 2'!$L$2:$L$2198,MATCH(BC7,'Data 2'!$A$2:$A$2198,0))</f>
        <v>-3.69333333333333</v>
      </c>
      <c r="BE7" s="39" t="n">
        <f aca="false">INDEX('Data 2'!$M$2:$M$2198,MATCH(BC7,'Data 2'!$A$2:$A$2198,0))</f>
        <v>-41.2025</v>
      </c>
      <c r="BF7" s="34" t="s">
        <v>404</v>
      </c>
      <c r="BG7" s="39" t="n">
        <f aca="false">INDEX('Data 2'!$L$2:$L$2198,MATCH(BF7,'Data 2'!$A$2:$A$2198,0))</f>
        <v>-48.14</v>
      </c>
      <c r="BH7" s="39" t="n">
        <f aca="false">INDEX('Data 2'!$M$2:$M$2198,MATCH(BF7,'Data 2'!$A$2:$A$2198,0))</f>
        <v>-23.93875</v>
      </c>
      <c r="BI7" s="34" t="s">
        <v>152</v>
      </c>
      <c r="BJ7" s="39" t="n">
        <f aca="false">INDEX('Data 2'!$L$2:$L$2198,MATCH(BI7,'Data 2'!$A$2:$A$2198,0))</f>
        <v>-31.75</v>
      </c>
      <c r="BK7" s="39" t="n">
        <f aca="false">INDEX('Data 2'!$M$2:$M$2198,MATCH(BI7,'Data 2'!$A$2:$A$2198,0))</f>
        <v>-62.4425</v>
      </c>
      <c r="BL7" s="34" t="s">
        <v>232</v>
      </c>
      <c r="BM7" s="39" t="n">
        <f aca="false">INDEX('Data 2'!$L$2:$L$2198,MATCH(BL7,'Data 2'!$A$2:$A$2198,0))</f>
        <v>-100.76</v>
      </c>
      <c r="BN7" s="39" t="n">
        <f aca="false">INDEX('Data 2'!$M$2:$M$2198,MATCH(BL7,'Data 2'!$A$2:$A$2198,0))</f>
        <v>-79.82</v>
      </c>
      <c r="BP7" s="34" t="s">
        <v>107</v>
      </c>
      <c r="BQ7" s="39" t="n">
        <f aca="false">INDEX('Data 2'!$L$2:$L$2198,MATCH(BP7,'Data 2'!$A$2:$A$2198,0))</f>
        <v>-79.1866666666667</v>
      </c>
      <c r="BR7" s="39" t="n">
        <f aca="false">INDEX('Data 2'!$M$2:$M$2198,MATCH(BP7,'Data 2'!$A$2:$A$2198,0))</f>
        <v>-89.76125</v>
      </c>
    </row>
    <row r="8" customFormat="false" ht="15.75" hidden="false" customHeight="true" outlineLevel="0" collapsed="false">
      <c r="A8" s="34" t="s">
        <v>73</v>
      </c>
      <c r="B8" s="39" t="n">
        <f aca="false">INDEX('Data 2'!$L$2:$L$2198,MATCH(A8,'Data 2'!$A$2:$A$2198,0))</f>
        <v>-21.05</v>
      </c>
      <c r="C8" s="39" t="n">
        <f aca="false">INDEX('Data 2'!$M$2:$M$2198,MATCH(A8,'Data 2'!$A$2:$A$2198,0))</f>
        <v>101.3275</v>
      </c>
      <c r="D8" s="34" t="s">
        <v>59</v>
      </c>
      <c r="E8" s="39" t="n">
        <f aca="false">INDEX('Data 2'!$L$2:$L$2198,MATCH(D8,'Data 2'!$A$2:$A$2198,0))</f>
        <v>-109.336666666667</v>
      </c>
      <c r="F8" s="39" t="n">
        <f aca="false">INDEX('Data 2'!$M$2:$M$2198,MATCH(D8,'Data 2'!$A$2:$A$2198,0))</f>
        <v>-42.04375</v>
      </c>
      <c r="G8" s="34" t="s">
        <v>205</v>
      </c>
      <c r="H8" s="39" t="n">
        <f aca="false">INDEX('Data 2'!$L$2:$L$2198,MATCH(G8,'Data 2'!$A$2:$A$2198,0))</f>
        <v>-75.23</v>
      </c>
      <c r="I8" s="39" t="n">
        <f aca="false">INDEX('Data 2'!$M$2:$M$2198,MATCH(G8,'Data 2'!$A$2:$A$2198,0))</f>
        <v>-103.5975</v>
      </c>
      <c r="J8" s="34" t="s">
        <v>117</v>
      </c>
      <c r="K8" s="39" t="n">
        <f aca="false">INDEX('Data 2'!$L$2:$L$2198,MATCH(J8,'Data 2'!$A$2:$A$2198,0))</f>
        <v>10.9333333333333</v>
      </c>
      <c r="L8" s="39" t="n">
        <f aca="false">INDEX('Data 2'!$M$2:$M$2198,MATCH(J8,'Data 2'!$A$2:$A$2198,0))</f>
        <v>53.91</v>
      </c>
      <c r="M8" s="34" t="s">
        <v>187</v>
      </c>
      <c r="N8" s="39" t="n">
        <f aca="false">INDEX('Data 2'!$L$2:$L$2198,MATCH(M8,'Data 2'!$A$2:$A$2198,0))</f>
        <v>13.29</v>
      </c>
      <c r="O8" s="39" t="n">
        <f aca="false">INDEX('Data 2'!$M$2:$M$2198,MATCH(M8,'Data 2'!$A$2:$A$2198,0))</f>
        <v>128.03375</v>
      </c>
      <c r="P8" s="34" t="s">
        <v>54</v>
      </c>
      <c r="Q8" s="39" t="n">
        <f aca="false">INDEX('Data 2'!$L$2:$L$2198,MATCH(P8,'Data 2'!$A$2:$A$2198,0))</f>
        <v>-8.38666666666667</v>
      </c>
      <c r="R8" s="39" t="n">
        <f aca="false">INDEX('Data 2'!$M$2:$M$2198,MATCH(P8,'Data 2'!$A$2:$A$2198,0))</f>
        <v>-5.17875</v>
      </c>
      <c r="T8" s="39"/>
      <c r="U8" s="39"/>
      <c r="V8" s="34" t="s">
        <v>45</v>
      </c>
      <c r="W8" s="39" t="n">
        <f aca="false">INDEX('Data 2'!$L$2:$L$2198,MATCH(V8,'Data 2'!$A$2:$A$2198,0))</f>
        <v>-73.7066666666667</v>
      </c>
      <c r="X8" s="39" t="n">
        <f aca="false">INDEX('Data 2'!$M$2:$M$2198,MATCH(V8,'Data 2'!$A$2:$A$2198,0))</f>
        <v>30.4225</v>
      </c>
      <c r="Y8" s="34" t="s">
        <v>202</v>
      </c>
      <c r="Z8" s="39" t="n">
        <f aca="false">INDEX('Data 2'!$L$2:$L$2198,MATCH(Y8,'Data 2'!$A$2:$A$2198,0))</f>
        <v>-3.69333333333333</v>
      </c>
      <c r="AA8" s="39" t="n">
        <f aca="false">INDEX('Data 2'!$M$2:$M$2198,MATCH(Y8,'Data 2'!$A$2:$A$2198,0))</f>
        <v>-41.2025</v>
      </c>
      <c r="AB8" s="62" t="s">
        <v>91</v>
      </c>
      <c r="AC8" s="39" t="n">
        <f aca="false">INDEX('Data 2'!$L$2:$L$2198,MATCH(AB8,'Data 2'!$A$2:$A$2198,0))</f>
        <v>15.82</v>
      </c>
      <c r="AD8" s="39" t="n">
        <f aca="false">INDEX('Data 2'!$M$2:$M$2198,MATCH(AB8,'Data 2'!$A$2:$A$2198,0))</f>
        <v>3.95875</v>
      </c>
      <c r="AE8" s="34" t="s">
        <v>575</v>
      </c>
      <c r="AF8" s="39" t="n">
        <f aca="false">INDEX('Data 2'!$L$2:$L$2198,MATCH(AE8,'Data 2'!$A$2:$A$2198,0))</f>
        <v>-59.48</v>
      </c>
      <c r="AG8" s="39" t="n">
        <f aca="false">INDEX('Data 2'!$M$2:$M$2198,MATCH(AE8,'Data 2'!$A$2:$A$2198,0))</f>
        <v>110.77375</v>
      </c>
      <c r="AH8" s="34" t="s">
        <v>106</v>
      </c>
      <c r="AI8" s="39" t="n">
        <f aca="false">INDEX('Data 2'!$L$2:$L$2198,MATCH(AH8,'Data 2'!$A$2:$A$2198,0))</f>
        <v>-61.0133333333333</v>
      </c>
      <c r="AJ8" s="39" t="n">
        <f aca="false">INDEX('Data 2'!$M$2:$M$2198,MATCH(AH8,'Data 2'!$A$2:$A$2198,0))</f>
        <v>-23.73875</v>
      </c>
      <c r="AK8" s="34" t="s">
        <v>225</v>
      </c>
      <c r="AL8" s="39" t="n">
        <f aca="false">INDEX('Data 2'!$L$2:$L$2198,MATCH(AK8,'Data 2'!$A$2:$A$2198,0))</f>
        <v>16.1233333333333</v>
      </c>
      <c r="AM8" s="39" t="n">
        <f aca="false">INDEX('Data 2'!$M$2:$M$2198,MATCH(AK8,'Data 2'!$A$2:$A$2198,0))</f>
        <v>85.945</v>
      </c>
      <c r="AN8" s="34" t="s">
        <v>53</v>
      </c>
      <c r="AO8" s="39" t="n">
        <f aca="false">INDEX('Data 2'!$L$2:$L$2198,MATCH(AN8,'Data 2'!$A$2:$A$2198,0))</f>
        <v>-2.34333333333333</v>
      </c>
      <c r="AP8" s="39" t="n">
        <f aca="false">INDEX('Data 2'!$M$2:$M$2198,MATCH(AN8,'Data 2'!$A$2:$A$2198,0))</f>
        <v>-29.05625</v>
      </c>
      <c r="AQ8" s="34" t="s">
        <v>188</v>
      </c>
      <c r="AR8" s="39" t="n">
        <f aca="false">INDEX('Data 2'!$L$2:$L$2198,MATCH(AQ8,'Data 2'!$A$2:$A$2198,0))</f>
        <v>-73.2266666666667</v>
      </c>
      <c r="AS8" s="39" t="n">
        <f aca="false">INDEX('Data 2'!$M$2:$M$2198,MATCH(AQ8,'Data 2'!$A$2:$A$2198,0))</f>
        <v>-106.525</v>
      </c>
      <c r="AT8" s="34" t="s">
        <v>227</v>
      </c>
      <c r="AU8" s="39" t="n">
        <f aca="false">INDEX('Data 2'!$L$2:$L$2198,MATCH(AT8,'Data 2'!$A$2:$A$2198,0))</f>
        <v>-22.5566666666667</v>
      </c>
      <c r="AV8" s="39" t="n">
        <f aca="false">INDEX('Data 2'!$M$2:$M$2198,MATCH(AT8,'Data 2'!$A$2:$A$2198,0))</f>
        <v>7.9675</v>
      </c>
      <c r="AW8" s="34" t="s">
        <v>180</v>
      </c>
      <c r="AX8" s="39" t="n">
        <f aca="false">INDEX('Data 2'!$L$2:$L$2198,MATCH(AW8,'Data 2'!$A$2:$A$2198,0))</f>
        <v>10.3266666666667</v>
      </c>
      <c r="AY8" s="39" t="n">
        <f aca="false">INDEX('Data 2'!$M$2:$M$2198,MATCH(AW8,'Data 2'!$A$2:$A$2198,0))</f>
        <v>-29.3425</v>
      </c>
      <c r="AZ8" s="34" t="s">
        <v>141</v>
      </c>
      <c r="BA8" s="39" t="n">
        <f aca="false">INDEX('Data 2'!$L$2:$L$2198,MATCH(AZ8,'Data 2'!$A$2:$A$2198,0))</f>
        <v>-45.04</v>
      </c>
      <c r="BB8" s="39" t="n">
        <f aca="false">INDEX('Data 2'!$M$2:$M$2198,MATCH(AZ8,'Data 2'!$A$2:$A$2198,0))</f>
        <v>47.615</v>
      </c>
      <c r="BC8" s="34" t="s">
        <v>231</v>
      </c>
      <c r="BD8" s="39" t="n">
        <f aca="false">INDEX('Data 2'!$L$2:$L$2198,MATCH(BC8,'Data 2'!$A$2:$A$2198,0))</f>
        <v>-121.166666666667</v>
      </c>
      <c r="BE8" s="39" t="n">
        <f aca="false">INDEX('Data 2'!$M$2:$M$2198,MATCH(BC8,'Data 2'!$A$2:$A$2198,0))</f>
        <v>-112.11625</v>
      </c>
      <c r="BF8" s="34" t="s">
        <v>576</v>
      </c>
      <c r="BG8" s="39" t="n">
        <f aca="false">INDEX('Data 2'!$L$2:$L$2198,MATCH(BF8,'Data 2'!$A$2:$A$2198,0))</f>
        <v>102.246666666667</v>
      </c>
      <c r="BH8" s="39" t="n">
        <f aca="false">INDEX('Data 2'!$M$2:$M$2198,MATCH(BF8,'Data 2'!$A$2:$A$2198,0))</f>
        <v>22.62875</v>
      </c>
      <c r="BI8" s="34" t="s">
        <v>230</v>
      </c>
      <c r="BJ8" s="39" t="n">
        <f aca="false">INDEX('Data 2'!$L$2:$L$2198,MATCH(BI8,'Data 2'!$A$2:$A$2198,0))</f>
        <v>-87.33</v>
      </c>
      <c r="BK8" s="39" t="n">
        <f aca="false">INDEX('Data 2'!$M$2:$M$2198,MATCH(BI8,'Data 2'!$A$2:$A$2198,0))</f>
        <v>-85.78125</v>
      </c>
      <c r="BL8" s="34" t="s">
        <v>214</v>
      </c>
      <c r="BM8" s="39" t="n">
        <f aca="false">INDEX('Data 2'!$L$2:$L$2198,MATCH(BL8,'Data 2'!$A$2:$A$2198,0))</f>
        <v>-51.1466666666667</v>
      </c>
      <c r="BN8" s="39" t="n">
        <f aca="false">INDEX('Data 2'!$M$2:$M$2198,MATCH(BL8,'Data 2'!$A$2:$A$2198,0))</f>
        <v>-20.8325</v>
      </c>
      <c r="BP8" s="34" t="s">
        <v>85</v>
      </c>
      <c r="BQ8" s="39" t="n">
        <f aca="false">INDEX('Data 2'!$L$2:$L$2198,MATCH(BP8,'Data 2'!$A$2:$A$2198,0))</f>
        <v>110.623333333333</v>
      </c>
      <c r="BR8" s="39" t="n">
        <f aca="false">INDEX('Data 2'!$M$2:$M$2198,MATCH(BP8,'Data 2'!$A$2:$A$2198,0))</f>
        <v>49.206875</v>
      </c>
    </row>
    <row r="9" customFormat="false" ht="15.75" hidden="false" customHeight="true" outlineLevel="0" collapsed="false">
      <c r="A9" s="34" t="s">
        <v>98</v>
      </c>
      <c r="B9" s="39" t="n">
        <f aca="false">INDEX('Data 2'!$L$2:$L$2198,MATCH(A9,'Data 2'!$A$2:$A$2198,0))</f>
        <v>24.0533333333333</v>
      </c>
      <c r="C9" s="39" t="n">
        <f aca="false">INDEX('Data 2'!$M$2:$M$2198,MATCH(A9,'Data 2'!$A$2:$A$2198,0))</f>
        <v>91.96375</v>
      </c>
      <c r="D9" s="34" t="s">
        <v>42</v>
      </c>
      <c r="E9" s="39" t="n">
        <f aca="false">INDEX('Data 2'!$L$2:$L$2198,MATCH(D9,'Data 2'!$A$2:$A$2198,0))</f>
        <v>2.00666666666667</v>
      </c>
      <c r="F9" s="39" t="n">
        <f aca="false">INDEX('Data 2'!$M$2:$M$2198,MATCH(D9,'Data 2'!$A$2:$A$2198,0))</f>
        <v>7.39</v>
      </c>
      <c r="G9" s="34" t="s">
        <v>36</v>
      </c>
      <c r="H9" s="39" t="n">
        <f aca="false">INDEX('Data 2'!$L$2:$L$2198,MATCH(G9,'Data 2'!$A$2:$A$2198,0))</f>
        <v>51.71</v>
      </c>
      <c r="I9" s="39" t="n">
        <f aca="false">INDEX('Data 2'!$M$2:$M$2198,MATCH(G9,'Data 2'!$A$2:$A$2198,0))</f>
        <v>81.9225</v>
      </c>
      <c r="J9" s="34" t="s">
        <v>108</v>
      </c>
      <c r="K9" s="39" t="n">
        <f aca="false">INDEX('Data 2'!$L$2:$L$2198,MATCH(J9,'Data 2'!$A$2:$A$2198,0))</f>
        <v>102.713333333333</v>
      </c>
      <c r="L9" s="39" t="n">
        <f aca="false">INDEX('Data 2'!$M$2:$M$2198,MATCH(J9,'Data 2'!$A$2:$A$2198,0))</f>
        <v>125.28625</v>
      </c>
      <c r="M9" s="34" t="s">
        <v>178</v>
      </c>
      <c r="N9" s="39" t="n">
        <f aca="false">INDEX('Data 2'!$L$2:$L$2198,MATCH(M9,'Data 2'!$A$2:$A$2198,0))</f>
        <v>-113.566666666667</v>
      </c>
      <c r="O9" s="39" t="n">
        <f aca="false">INDEX('Data 2'!$M$2:$M$2198,MATCH(M9,'Data 2'!$A$2:$A$2198,0))</f>
        <v>-157.91625</v>
      </c>
      <c r="P9" s="34" t="s">
        <v>149</v>
      </c>
      <c r="Q9" s="39" t="n">
        <f aca="false">INDEX('Data 2'!$L$2:$L$2198,MATCH(P9,'Data 2'!$A$2:$A$2198,0))</f>
        <v>100.756666666667</v>
      </c>
      <c r="R9" s="39" t="n">
        <f aca="false">INDEX('Data 2'!$M$2:$M$2198,MATCH(P9,'Data 2'!$A$2:$A$2198,0))</f>
        <v>21.885</v>
      </c>
      <c r="T9" s="39"/>
      <c r="U9" s="39"/>
      <c r="V9" s="34" t="s">
        <v>239</v>
      </c>
      <c r="W9" s="39" t="n">
        <f aca="false">INDEX('Data 2'!$L$2:$L$2198,MATCH(V9,'Data 2'!$A$2:$A$2198,0))</f>
        <v>28.43</v>
      </c>
      <c r="X9" s="39" t="n">
        <f aca="false">INDEX('Data 2'!$M$2:$M$2198,MATCH(V9,'Data 2'!$A$2:$A$2198,0))</f>
        <v>133.5325</v>
      </c>
      <c r="Y9" s="34" t="s">
        <v>303</v>
      </c>
      <c r="Z9" s="39" t="n">
        <f aca="false">INDEX('Data 2'!$L$2:$L$2198,MATCH(Y9,'Data 2'!$A$2:$A$2198,0))</f>
        <v>-6.21466666666667</v>
      </c>
      <c r="AA9" s="39" t="n">
        <f aca="false">INDEX('Data 2'!$M$2:$M$2198,MATCH(Y9,'Data 2'!$A$2:$A$2198,0))</f>
        <v>-51.14675</v>
      </c>
      <c r="AB9" s="62" t="s">
        <v>84</v>
      </c>
      <c r="AC9" s="39" t="n">
        <f aca="false">INDEX('Data 2'!$L$2:$L$2198,MATCH(AB9,'Data 2'!$A$2:$A$2198,0))</f>
        <v>95.9866666666667</v>
      </c>
      <c r="AD9" s="39" t="n">
        <f aca="false">INDEX('Data 2'!$M$2:$M$2198,MATCH(AB9,'Data 2'!$A$2:$A$2198,0))</f>
        <v>175.51</v>
      </c>
      <c r="AE9" s="34" t="s">
        <v>577</v>
      </c>
      <c r="AF9" s="39" t="n">
        <f aca="false">INDEX('Data 2'!$L$2:$L$2198,MATCH(AE9,'Data 2'!$A$2:$A$2198,0))</f>
        <v>-28.7666666666667</v>
      </c>
      <c r="AG9" s="39" t="n">
        <f aca="false">INDEX('Data 2'!$M$2:$M$2198,MATCH(AE9,'Data 2'!$A$2:$A$2198,0))</f>
        <v>-52.79125</v>
      </c>
      <c r="AH9" s="34" t="s">
        <v>47</v>
      </c>
      <c r="AI9" s="39" t="n">
        <f aca="false">INDEX('Data 2'!$L$2:$L$2198,MATCH(AH9,'Data 2'!$A$2:$A$2198,0))</f>
        <v>-105.66</v>
      </c>
      <c r="AJ9" s="39" t="n">
        <f aca="false">INDEX('Data 2'!$M$2:$M$2198,MATCH(AH9,'Data 2'!$A$2:$A$2198,0))</f>
        <v>-105.14625</v>
      </c>
      <c r="AK9" s="34" t="s">
        <v>380</v>
      </c>
      <c r="AL9" s="39" t="n">
        <f aca="false">INDEX('Data 2'!$L$2:$L$2198,MATCH(AK9,'Data 2'!$A$2:$A$2198,0))</f>
        <v>28.65</v>
      </c>
      <c r="AM9" s="39" t="n">
        <f aca="false">INDEX('Data 2'!$M$2:$M$2198,MATCH(AK9,'Data 2'!$A$2:$A$2198,0))</f>
        <v>3.62875</v>
      </c>
      <c r="AN9" s="34" t="s">
        <v>331</v>
      </c>
      <c r="AO9" s="39" t="n">
        <f aca="false">INDEX('Data 2'!$L$2:$L$2198,MATCH(AN9,'Data 2'!$A$2:$A$2198,0))</f>
        <v>88.51</v>
      </c>
      <c r="AP9" s="39" t="n">
        <f aca="false">INDEX('Data 2'!$M$2:$M$2198,MATCH(AN9,'Data 2'!$A$2:$A$2198,0))</f>
        <v>75.1225</v>
      </c>
      <c r="AQ9" s="34" t="s">
        <v>385</v>
      </c>
      <c r="AR9" s="39" t="n">
        <f aca="false">INDEX('Data 2'!$L$2:$L$2198,MATCH(AQ9,'Data 2'!$A$2:$A$2198,0))</f>
        <v>82.7966666666667</v>
      </c>
      <c r="AS9" s="39" t="n">
        <f aca="false">INDEX('Data 2'!$M$2:$M$2198,MATCH(AQ9,'Data 2'!$A$2:$A$2198,0))</f>
        <v>77.565</v>
      </c>
      <c r="AT9" s="34" t="s">
        <v>214</v>
      </c>
      <c r="AU9" s="39" t="n">
        <f aca="false">INDEX('Data 2'!$L$2:$L$2198,MATCH(AT9,'Data 2'!$A$2:$A$2198,0))</f>
        <v>-51.1466666666667</v>
      </c>
      <c r="AV9" s="39" t="n">
        <f aca="false">INDEX('Data 2'!$M$2:$M$2198,MATCH(AT9,'Data 2'!$A$2:$A$2198,0))</f>
        <v>-20.8325</v>
      </c>
      <c r="AW9" s="34" t="s">
        <v>192</v>
      </c>
      <c r="AX9" s="39" t="n">
        <f aca="false">INDEX('Data 2'!$L$2:$L$2198,MATCH(AW9,'Data 2'!$A$2:$A$2198,0))</f>
        <v>29.87</v>
      </c>
      <c r="AY9" s="39" t="n">
        <f aca="false">INDEX('Data 2'!$M$2:$M$2198,MATCH(AW9,'Data 2'!$A$2:$A$2198,0))</f>
        <v>-15.08125</v>
      </c>
      <c r="AZ9" s="34" t="s">
        <v>153</v>
      </c>
      <c r="BA9" s="39" t="n">
        <f aca="false">INDEX('Data 2'!$L$2:$L$2198,MATCH(AZ9,'Data 2'!$A$2:$A$2198,0))</f>
        <v>6.94</v>
      </c>
      <c r="BB9" s="39" t="n">
        <f aca="false">INDEX('Data 2'!$M$2:$M$2198,MATCH(AZ9,'Data 2'!$A$2:$A$2198,0))</f>
        <v>8.3325</v>
      </c>
      <c r="BC9" s="34" t="s">
        <v>198</v>
      </c>
      <c r="BD9" s="39" t="n">
        <f aca="false">INDEX('Data 2'!$L$2:$L$2198,MATCH(BC9,'Data 2'!$A$2:$A$2198,0))</f>
        <v>-84.5966666666667</v>
      </c>
      <c r="BE9" s="39" t="n">
        <f aca="false">INDEX('Data 2'!$M$2:$M$2198,MATCH(BC9,'Data 2'!$A$2:$A$2198,0))</f>
        <v>-43.54625</v>
      </c>
      <c r="BF9" s="34"/>
      <c r="BG9" s="39"/>
      <c r="BH9" s="39"/>
      <c r="BI9" s="34" t="s">
        <v>530</v>
      </c>
      <c r="BJ9" s="39" t="n">
        <f aca="false">INDEX('Data 2'!$L$2:$L$2198,MATCH(BI9,'Data 2'!$A$2:$A$2198,0))</f>
        <v>110.29</v>
      </c>
      <c r="BK9" s="39" t="n">
        <f aca="false">INDEX('Data 2'!$M$2:$M$2198,MATCH(BI9,'Data 2'!$A$2:$A$2198,0))</f>
        <v>35.8425</v>
      </c>
      <c r="BL9" s="34" t="s">
        <v>208</v>
      </c>
      <c r="BM9" s="39" t="n">
        <f aca="false">INDEX('Data 2'!$L$2:$L$2198,MATCH(BL9,'Data 2'!$A$2:$A$2198,0))</f>
        <v>85.1433333333333</v>
      </c>
      <c r="BN9" s="39" t="n">
        <f aca="false">INDEX('Data 2'!$M$2:$M$2198,MATCH(BL9,'Data 2'!$A$2:$A$2198,0))</f>
        <v>17.8525</v>
      </c>
      <c r="BP9" s="34" t="s">
        <v>121</v>
      </c>
      <c r="BQ9" s="39" t="n">
        <f aca="false">INDEX('Data 2'!$L$2:$L$2198,MATCH(BP9,'Data 2'!$A$2:$A$2198,0))</f>
        <v>11.3</v>
      </c>
      <c r="BR9" s="39" t="n">
        <f aca="false">INDEX('Data 2'!$M$2:$M$2198,MATCH(BP9,'Data 2'!$A$2:$A$2198,0))</f>
        <v>-25.17125</v>
      </c>
    </row>
    <row r="10" customFormat="false" ht="15.75" hidden="false" customHeight="true" outlineLevel="0" collapsed="false">
      <c r="A10" s="34" t="s">
        <v>139</v>
      </c>
      <c r="B10" s="39" t="n">
        <f aca="false">INDEX('Data 2'!$L$2:$L$2198,MATCH(A10,'Data 2'!$A$2:$A$2198,0))</f>
        <v>-42.98</v>
      </c>
      <c r="C10" s="39" t="n">
        <f aca="false">INDEX('Data 2'!$M$2:$M$2198,MATCH(A10,'Data 2'!$A$2:$A$2198,0))</f>
        <v>115.09875</v>
      </c>
      <c r="D10" s="34" t="s">
        <v>106</v>
      </c>
      <c r="E10" s="39" t="n">
        <f aca="false">INDEX('Data 2'!$L$2:$L$2198,MATCH(D10,'Data 2'!$A$2:$A$2198,0))</f>
        <v>-61.0133333333333</v>
      </c>
      <c r="F10" s="39" t="n">
        <f aca="false">INDEX('Data 2'!$M$2:$M$2198,MATCH(D10,'Data 2'!$A$2:$A$2198,0))</f>
        <v>-23.73875</v>
      </c>
      <c r="G10" s="34" t="s">
        <v>128</v>
      </c>
      <c r="H10" s="39" t="n">
        <f aca="false">INDEX('Data 2'!$L$2:$L$2198,MATCH(G10,'Data 2'!$A$2:$A$2198,0))</f>
        <v>-37.3533333333333</v>
      </c>
      <c r="I10" s="39" t="n">
        <f aca="false">INDEX('Data 2'!$M$2:$M$2198,MATCH(G10,'Data 2'!$A$2:$A$2198,0))</f>
        <v>14.06125</v>
      </c>
      <c r="J10" s="34" t="s">
        <v>196</v>
      </c>
      <c r="K10" s="39" t="n">
        <f aca="false">INDEX('Data 2'!$L$2:$L$2198,MATCH(J10,'Data 2'!$A$2:$A$2198,0))</f>
        <v>-119.943333333333</v>
      </c>
      <c r="L10" s="39" t="n">
        <f aca="false">INDEX('Data 2'!$M$2:$M$2198,MATCH(J10,'Data 2'!$A$2:$A$2198,0))</f>
        <v>-138.31375</v>
      </c>
      <c r="M10" s="34" t="s">
        <v>63</v>
      </c>
      <c r="N10" s="39" t="n">
        <f aca="false">INDEX('Data 2'!$L$2:$L$2198,MATCH(M10,'Data 2'!$A$2:$A$2198,0))</f>
        <v>-9.14666666666667</v>
      </c>
      <c r="O10" s="39" t="n">
        <f aca="false">INDEX('Data 2'!$M$2:$M$2198,MATCH(M10,'Data 2'!$A$2:$A$2198,0))</f>
        <v>56.78875</v>
      </c>
      <c r="P10" s="34" t="s">
        <v>135</v>
      </c>
      <c r="Q10" s="39" t="n">
        <f aca="false">INDEX('Data 2'!$L$2:$L$2198,MATCH(P10,'Data 2'!$A$2:$A$2198,0))</f>
        <v>-0.933333333333335</v>
      </c>
      <c r="R10" s="39" t="n">
        <f aca="false">INDEX('Data 2'!$M$2:$M$2198,MATCH(P10,'Data 2'!$A$2:$A$2198,0))</f>
        <v>-62.1075</v>
      </c>
      <c r="T10" s="39"/>
      <c r="U10" s="39"/>
      <c r="V10" s="34" t="s">
        <v>263</v>
      </c>
      <c r="W10" s="39" t="n">
        <f aca="false">INDEX('Data 2'!$L$2:$L$2198,MATCH(V10,'Data 2'!$A$2:$A$2198,0))</f>
        <v>-36.11</v>
      </c>
      <c r="X10" s="39" t="n">
        <f aca="false">INDEX('Data 2'!$M$2:$M$2198,MATCH(V10,'Data 2'!$A$2:$A$2198,0))</f>
        <v>57.59125</v>
      </c>
      <c r="Y10" s="34" t="s">
        <v>193</v>
      </c>
      <c r="Z10" s="39" t="n">
        <f aca="false">INDEX('Data 2'!$L$2:$L$2198,MATCH(Y10,'Data 2'!$A$2:$A$2198,0))</f>
        <v>-91.0833333333333</v>
      </c>
      <c r="AA10" s="39" t="n">
        <f aca="false">INDEX('Data 2'!$M$2:$M$2198,MATCH(Y10,'Data 2'!$A$2:$A$2198,0))</f>
        <v>-69.4225</v>
      </c>
      <c r="AB10" s="62" t="s">
        <v>90</v>
      </c>
      <c r="AC10" s="39" t="n">
        <f aca="false">INDEX('Data 2'!$L$2:$L$2198,MATCH(AB10,'Data 2'!$A$2:$A$2198,0))</f>
        <v>79.8433333333334</v>
      </c>
      <c r="AD10" s="39" t="n">
        <f aca="false">INDEX('Data 2'!$M$2:$M$2198,MATCH(AB10,'Data 2'!$A$2:$A$2198,0))</f>
        <v>-5.90375</v>
      </c>
      <c r="AE10" s="34" t="s">
        <v>62</v>
      </c>
      <c r="AF10" s="39" t="n">
        <f aca="false">INDEX('Data 2'!$L$2:$L$2198,MATCH(AE10,'Data 2'!$A$2:$A$2198,0))</f>
        <v>-38.9566666666667</v>
      </c>
      <c r="AG10" s="39" t="n">
        <f aca="false">INDEX('Data 2'!$M$2:$M$2198,MATCH(AE10,'Data 2'!$A$2:$A$2198,0))</f>
        <v>-6.4175</v>
      </c>
      <c r="AH10" s="34" t="s">
        <v>58</v>
      </c>
      <c r="AI10" s="39" t="n">
        <f aca="false">INDEX('Data 2'!$L$2:$L$2198,MATCH(AH10,'Data 2'!$A$2:$A$2198,0))</f>
        <v>-65.79</v>
      </c>
      <c r="AJ10" s="39" t="n">
        <f aca="false">INDEX('Data 2'!$M$2:$M$2198,MATCH(AH10,'Data 2'!$A$2:$A$2198,0))</f>
        <v>-73.055</v>
      </c>
      <c r="AK10" s="34" t="s">
        <v>578</v>
      </c>
      <c r="AL10" s="39" t="n">
        <f aca="false">INDEX('Data 2'!$L$2:$L$2198,MATCH(AK10,'Data 2'!$A$2:$A$2198,0))</f>
        <v>-21.8033333333333</v>
      </c>
      <c r="AM10" s="39" t="n">
        <f aca="false">INDEX('Data 2'!$M$2:$M$2198,MATCH(AK10,'Data 2'!$A$2:$A$2198,0))</f>
        <v>-49.6825</v>
      </c>
      <c r="AN10" s="34" t="s">
        <v>228</v>
      </c>
      <c r="AO10" s="39" t="n">
        <f aca="false">INDEX('Data 2'!$L$2:$L$2198,MATCH(AN10,'Data 2'!$A$2:$A$2198,0))</f>
        <v>-0.579999999999998</v>
      </c>
      <c r="AP10" s="39" t="n">
        <f aca="false">INDEX('Data 2'!$M$2:$M$2198,MATCH(AN10,'Data 2'!$A$2:$A$2198,0))</f>
        <v>12.17125</v>
      </c>
      <c r="AQ10" s="34" t="s">
        <v>367</v>
      </c>
      <c r="AR10" s="39" t="n">
        <f aca="false">INDEX('Data 2'!$L$2:$L$2198,MATCH(AQ10,'Data 2'!$A$2:$A$2198,0))</f>
        <v>-87.3433333333334</v>
      </c>
      <c r="AS10" s="39" t="n">
        <f aca="false">INDEX('Data 2'!$M$2:$M$2198,MATCH(AQ10,'Data 2'!$A$2:$A$2198,0))</f>
        <v>-96.39</v>
      </c>
      <c r="AT10" s="34" t="s">
        <v>208</v>
      </c>
      <c r="AU10" s="39" t="n">
        <f aca="false">INDEX('Data 2'!$L$2:$L$2198,MATCH(AT10,'Data 2'!$A$2:$A$2198,0))</f>
        <v>85.1433333333333</v>
      </c>
      <c r="AV10" s="39" t="n">
        <f aca="false">INDEX('Data 2'!$M$2:$M$2198,MATCH(AT10,'Data 2'!$A$2:$A$2198,0))</f>
        <v>17.8525</v>
      </c>
      <c r="AW10" s="34" t="s">
        <v>193</v>
      </c>
      <c r="AX10" s="39" t="n">
        <f aca="false">INDEX('Data 2'!$L$2:$L$2198,MATCH(AW10,'Data 2'!$A$2:$A$2198,0))</f>
        <v>-91.0833333333333</v>
      </c>
      <c r="AY10" s="39" t="n">
        <f aca="false">INDEX('Data 2'!$M$2:$M$2198,MATCH(AW10,'Data 2'!$A$2:$A$2198,0))</f>
        <v>-69.4225</v>
      </c>
      <c r="AZ10" s="34" t="s">
        <v>317</v>
      </c>
      <c r="BA10" s="39" t="n">
        <f aca="false">INDEX('Data 2'!$L$2:$L$2198,MATCH(AZ10,'Data 2'!$A$2:$A$2198,0))</f>
        <v>-51.6166666666667</v>
      </c>
      <c r="BB10" s="39" t="n">
        <f aca="false">INDEX('Data 2'!$M$2:$M$2198,MATCH(AZ10,'Data 2'!$A$2:$A$2198,0))</f>
        <v>-22.982375</v>
      </c>
      <c r="BC10" s="34" t="s">
        <v>107</v>
      </c>
      <c r="BD10" s="39" t="n">
        <f aca="false">INDEX('Data 2'!$L$2:$L$2198,MATCH(BC10,'Data 2'!$A$2:$A$2198,0))</f>
        <v>-79.1866666666667</v>
      </c>
      <c r="BE10" s="39" t="n">
        <f aca="false">INDEX('Data 2'!$M$2:$M$2198,MATCH(BC10,'Data 2'!$A$2:$A$2198,0))</f>
        <v>-89.76125</v>
      </c>
      <c r="BF10" s="34"/>
      <c r="BG10" s="39"/>
      <c r="BH10" s="39"/>
      <c r="BI10" s="34" t="s">
        <v>579</v>
      </c>
      <c r="BJ10" s="39" t="n">
        <f aca="false">INDEX('Data 2'!$L$2:$L$2198,MATCH(BI10,'Data 2'!$A$2:$A$2198,0))</f>
        <v>113.91</v>
      </c>
      <c r="BK10" s="39" t="n">
        <f aca="false">INDEX('Data 2'!$M$2:$M$2198,MATCH(BI10,'Data 2'!$A$2:$A$2198,0))</f>
        <v>12.49875</v>
      </c>
      <c r="BL10" s="34" t="s">
        <v>108</v>
      </c>
      <c r="BM10" s="39" t="n">
        <f aca="false">INDEX('Data 2'!$L$2:$L$2198,MATCH(BL10,'Data 2'!$A$2:$A$2198,0))</f>
        <v>102.713333333333</v>
      </c>
      <c r="BN10" s="39" t="n">
        <f aca="false">INDEX('Data 2'!$M$2:$M$2198,MATCH(BL10,'Data 2'!$A$2:$A$2198,0))</f>
        <v>125.28625</v>
      </c>
      <c r="BP10" s="34" t="s">
        <v>96</v>
      </c>
      <c r="BQ10" s="39" t="n">
        <f aca="false">INDEX('Data 2'!$L$2:$L$2198,MATCH(BP10,'Data 2'!$A$2:$A$2198,0))</f>
        <v>122.496666666667</v>
      </c>
      <c r="BR10" s="39" t="n">
        <f aca="false">INDEX('Data 2'!$M$2:$M$2198,MATCH(BP10,'Data 2'!$A$2:$A$2198,0))</f>
        <v>149.74</v>
      </c>
    </row>
    <row r="11" customFormat="false" ht="15.75" hidden="false" customHeight="true" outlineLevel="0" collapsed="false">
      <c r="A11" s="34" t="s">
        <v>83</v>
      </c>
      <c r="B11" s="39" t="n">
        <f aca="false">INDEX('Data 2'!$L$2:$L$2198,MATCH(A11,'Data 2'!$A$2:$A$2198,0))</f>
        <v>11.0933333333333</v>
      </c>
      <c r="C11" s="39" t="n">
        <f aca="false">INDEX('Data 2'!$M$2:$M$2198,MATCH(A11,'Data 2'!$A$2:$A$2198,0))</f>
        <v>45.75125</v>
      </c>
      <c r="D11" s="34" t="s">
        <v>47</v>
      </c>
      <c r="E11" s="39" t="n">
        <f aca="false">INDEX('Data 2'!$L$2:$L$2198,MATCH(D11,'Data 2'!$A$2:$A$2198,0))</f>
        <v>-105.66</v>
      </c>
      <c r="F11" s="39" t="n">
        <f aca="false">INDEX('Data 2'!$M$2:$M$2198,MATCH(D11,'Data 2'!$A$2:$A$2198,0))</f>
        <v>-105.14625</v>
      </c>
      <c r="G11" s="34" t="s">
        <v>465</v>
      </c>
      <c r="H11" s="39" t="n">
        <f aca="false">INDEX('Data 2'!$L$2:$L$2198,MATCH(G11,'Data 2'!$A$2:$A$2198,0))</f>
        <v>-84.5</v>
      </c>
      <c r="I11" s="39" t="n">
        <f aca="false">INDEX('Data 2'!$M$2:$M$2198,MATCH(G11,'Data 2'!$A$2:$A$2198,0))</f>
        <v>38.75375</v>
      </c>
      <c r="J11" s="34" t="s">
        <v>201</v>
      </c>
      <c r="K11" s="39" t="n">
        <f aca="false">INDEX('Data 2'!$L$2:$L$2198,MATCH(J11,'Data 2'!$A$2:$A$2198,0))</f>
        <v>-100.29</v>
      </c>
      <c r="L11" s="39" t="n">
        <f aca="false">INDEX('Data 2'!$M$2:$M$2198,MATCH(J11,'Data 2'!$A$2:$A$2198,0))</f>
        <v>-112.61375</v>
      </c>
      <c r="M11" s="34" t="s">
        <v>147</v>
      </c>
      <c r="N11" s="39" t="n">
        <f aca="false">INDEX('Data 2'!$L$2:$L$2198,MATCH(M11,'Data 2'!$A$2:$A$2198,0))</f>
        <v>2.83333333333333</v>
      </c>
      <c r="O11" s="39" t="n">
        <f aca="false">INDEX('Data 2'!$M$2:$M$2198,MATCH(M11,'Data 2'!$A$2:$A$2198,0))</f>
        <v>1.0425</v>
      </c>
      <c r="P11" s="34" t="s">
        <v>89</v>
      </c>
      <c r="Q11" s="39" t="n">
        <f aca="false">INDEX('Data 2'!$L$2:$L$2198,MATCH(P11,'Data 2'!$A$2:$A$2198,0))</f>
        <v>5.30666666666667</v>
      </c>
      <c r="R11" s="39" t="n">
        <f aca="false">INDEX('Data 2'!$M$2:$M$2198,MATCH(P11,'Data 2'!$A$2:$A$2198,0))</f>
        <v>-14.10125</v>
      </c>
      <c r="T11" s="39"/>
      <c r="U11" s="39"/>
      <c r="V11" s="34" t="s">
        <v>400</v>
      </c>
      <c r="W11" s="39" t="n">
        <f aca="false">INDEX('Data 2'!$L$2:$L$2198,MATCH(V11,'Data 2'!$A$2:$A$2198,0))</f>
        <v>-115.23</v>
      </c>
      <c r="X11" s="39" t="n">
        <f aca="false">INDEX('Data 2'!$M$2:$M$2198,MATCH(V11,'Data 2'!$A$2:$A$2198,0))</f>
        <v>-85.77875</v>
      </c>
      <c r="Y11" s="34" t="s">
        <v>182</v>
      </c>
      <c r="Z11" s="39" t="n">
        <f aca="false">INDEX('Data 2'!$L$2:$L$2198,MATCH(Y11,'Data 2'!$A$2:$A$2198,0))</f>
        <v>-87.9033333333333</v>
      </c>
      <c r="AA11" s="39" t="n">
        <f aca="false">INDEX('Data 2'!$M$2:$M$2198,MATCH(Y11,'Data 2'!$A$2:$A$2198,0))</f>
        <v>-55.84875</v>
      </c>
      <c r="AB11" s="62" t="s">
        <v>177</v>
      </c>
      <c r="AC11" s="39" t="n">
        <f aca="false">INDEX('Data 2'!$L$2:$L$2198,MATCH(AB11,'Data 2'!$A$2:$A$2198,0))</f>
        <v>93.15</v>
      </c>
      <c r="AD11" s="39" t="n">
        <f aca="false">INDEX('Data 2'!$M$2:$M$2198,MATCH(AB11,'Data 2'!$A$2:$A$2198,0))</f>
        <v>66.21</v>
      </c>
      <c r="AE11" s="34" t="s">
        <v>200</v>
      </c>
      <c r="AF11" s="39" t="n">
        <f aca="false">INDEX('Data 2'!$L$2:$L$2198,MATCH(AE11,'Data 2'!$A$2:$A$2198,0))</f>
        <v>-37.3566666666667</v>
      </c>
      <c r="AG11" s="39" t="n">
        <f aca="false">INDEX('Data 2'!$M$2:$M$2198,MATCH(AE11,'Data 2'!$A$2:$A$2198,0))</f>
        <v>67.6425</v>
      </c>
      <c r="AH11" s="34" t="s">
        <v>112</v>
      </c>
      <c r="AI11" s="39" t="n">
        <f aca="false">INDEX('Data 2'!$L$2:$L$2198,MATCH(AH11,'Data 2'!$A$2:$A$2198,0))</f>
        <v>-72.08</v>
      </c>
      <c r="AJ11" s="39" t="n">
        <f aca="false">INDEX('Data 2'!$M$2:$M$2198,MATCH(AH11,'Data 2'!$A$2:$A$2198,0))</f>
        <v>-4.94125</v>
      </c>
      <c r="AK11" s="34" t="s">
        <v>113</v>
      </c>
      <c r="AL11" s="39" t="n">
        <f aca="false">INDEX('Data 2'!$L$2:$L$2198,MATCH(AK11,'Data 2'!$A$2:$A$2198,0))</f>
        <v>-80.51</v>
      </c>
      <c r="AM11" s="39" t="n">
        <f aca="false">INDEX('Data 2'!$M$2:$M$2198,MATCH(AK11,'Data 2'!$A$2:$A$2198,0))</f>
        <v>-30.45</v>
      </c>
      <c r="AN11" s="34" t="s">
        <v>506</v>
      </c>
      <c r="AO11" s="39" t="n">
        <f aca="false">INDEX('Data 2'!$L$2:$L$2198,MATCH(AN11,'Data 2'!$A$2:$A$2198,0))</f>
        <v>-62.9866666666667</v>
      </c>
      <c r="AP11" s="39" t="n">
        <f aca="false">INDEX('Data 2'!$M$2:$M$2198,MATCH(AN11,'Data 2'!$A$2:$A$2198,0))</f>
        <v>-28.5475</v>
      </c>
      <c r="AQ11" s="34" t="s">
        <v>185</v>
      </c>
      <c r="AR11" s="39" t="n">
        <f aca="false">INDEX('Data 2'!$L$2:$L$2198,MATCH(AQ11,'Data 2'!$A$2:$A$2198,0))</f>
        <v>83.96</v>
      </c>
      <c r="AS11" s="39" t="n">
        <f aca="false">INDEX('Data 2'!$M$2:$M$2198,MATCH(AQ11,'Data 2'!$A$2:$A$2198,0))</f>
        <v>36.61875</v>
      </c>
      <c r="AT11" s="34" t="s">
        <v>155</v>
      </c>
      <c r="AU11" s="39" t="n">
        <f aca="false">INDEX('Data 2'!$L$2:$L$2198,MATCH(AT11,'Data 2'!$A$2:$A$2198,0))</f>
        <v>-63.4633333333333</v>
      </c>
      <c r="AV11" s="39" t="n">
        <f aca="false">INDEX('Data 2'!$M$2:$M$2198,MATCH(AT11,'Data 2'!$A$2:$A$2198,0))</f>
        <v>-55.61125</v>
      </c>
      <c r="AW11" s="34" t="s">
        <v>182</v>
      </c>
      <c r="AX11" s="39" t="n">
        <f aca="false">INDEX('Data 2'!$L$2:$L$2198,MATCH(AW11,'Data 2'!$A$2:$A$2198,0))</f>
        <v>-87.9033333333333</v>
      </c>
      <c r="AY11" s="39" t="n">
        <f aca="false">INDEX('Data 2'!$M$2:$M$2198,MATCH(AW11,'Data 2'!$A$2:$A$2198,0))</f>
        <v>-55.84875</v>
      </c>
      <c r="AZ11" s="34" t="s">
        <v>293</v>
      </c>
      <c r="BA11" s="39" t="n">
        <f aca="false">INDEX('Data 2'!$L$2:$L$2198,MATCH(AZ11,'Data 2'!$A$2:$A$2198,0))</f>
        <v>-59.95</v>
      </c>
      <c r="BB11" s="39" t="n">
        <f aca="false">INDEX('Data 2'!$M$2:$M$2198,MATCH(AZ11,'Data 2'!$A$2:$A$2198,0))</f>
        <v>-69.39</v>
      </c>
      <c r="BC11" s="34" t="s">
        <v>193</v>
      </c>
      <c r="BD11" s="39" t="n">
        <f aca="false">INDEX('Data 2'!$L$2:$L$2198,MATCH(BC11,'Data 2'!$A$2:$A$2198,0))</f>
        <v>-91.0833333333333</v>
      </c>
      <c r="BE11" s="39" t="n">
        <f aca="false">INDEX('Data 2'!$M$2:$M$2198,MATCH(BC11,'Data 2'!$A$2:$A$2198,0))</f>
        <v>-69.4225</v>
      </c>
      <c r="BF11" s="34"/>
      <c r="BG11" s="39"/>
      <c r="BH11" s="39"/>
      <c r="BI11" s="34" t="s">
        <v>157</v>
      </c>
      <c r="BJ11" s="39" t="n">
        <f aca="false">INDEX('Data 2'!$L$2:$L$2198,MATCH(BI11,'Data 2'!$A$2:$A$2198,0))</f>
        <v>-60.99</v>
      </c>
      <c r="BK11" s="39" t="n">
        <f aca="false">INDEX('Data 2'!$M$2:$M$2198,MATCH(BI11,'Data 2'!$A$2:$A$2198,0))</f>
        <v>-76.92875</v>
      </c>
      <c r="BL11" s="34" t="s">
        <v>76</v>
      </c>
      <c r="BM11" s="39" t="n">
        <f aca="false">INDEX('Data 2'!$L$2:$L$2198,MATCH(BL11,'Data 2'!$A$2:$A$2198,0))</f>
        <v>42.42</v>
      </c>
      <c r="BN11" s="39" t="n">
        <f aca="false">INDEX('Data 2'!$M$2:$M$2198,MATCH(BL11,'Data 2'!$A$2:$A$2198,0))</f>
        <v>-43.9075</v>
      </c>
      <c r="BP11" s="34" t="s">
        <v>36</v>
      </c>
      <c r="BQ11" s="39" t="n">
        <f aca="false">INDEX('Data 2'!$L$2:$L$2198,MATCH(BP11,'Data 2'!$A$2:$A$2198,0))</f>
        <v>51.71</v>
      </c>
      <c r="BR11" s="39" t="n">
        <f aca="false">INDEX('Data 2'!$M$2:$M$2198,MATCH(BP11,'Data 2'!$A$2:$A$2198,0))</f>
        <v>81.9225</v>
      </c>
    </row>
    <row r="12" customFormat="false" ht="15.75" hidden="false" customHeight="true" outlineLevel="0" collapsed="false">
      <c r="A12" s="34" t="s">
        <v>94</v>
      </c>
      <c r="B12" s="39" t="n">
        <f aca="false">INDEX('Data 2'!$L$2:$L$2198,MATCH(A12,'Data 2'!$A$2:$A$2198,0))</f>
        <v>87.2033333333333</v>
      </c>
      <c r="C12" s="39" t="n">
        <f aca="false">INDEX('Data 2'!$M$2:$M$2198,MATCH(A12,'Data 2'!$A$2:$A$2198,0))</f>
        <v>139.43875</v>
      </c>
      <c r="D12" s="34" t="s">
        <v>58</v>
      </c>
      <c r="E12" s="39" t="n">
        <f aca="false">INDEX('Data 2'!$L$2:$L$2198,MATCH(D12,'Data 2'!$A$2:$A$2198,0))</f>
        <v>-65.79</v>
      </c>
      <c r="F12" s="39" t="n">
        <f aca="false">INDEX('Data 2'!$M$2:$M$2198,MATCH(D12,'Data 2'!$A$2:$A$2198,0))</f>
        <v>-73.055</v>
      </c>
      <c r="G12" s="34" t="s">
        <v>216</v>
      </c>
      <c r="H12" s="39" t="n">
        <f aca="false">INDEX('Data 2'!$L$2:$L$2198,MATCH(G12,'Data 2'!$A$2:$A$2198,0))</f>
        <v>-29.8333333333333</v>
      </c>
      <c r="I12" s="39" t="n">
        <f aca="false">INDEX('Data 2'!$M$2:$M$2198,MATCH(G12,'Data 2'!$A$2:$A$2198,0))</f>
        <v>-60.56</v>
      </c>
      <c r="J12" s="34" t="s">
        <v>163</v>
      </c>
      <c r="K12" s="39" t="n">
        <f aca="false">INDEX('Data 2'!$L$2:$L$2198,MATCH(J12,'Data 2'!$A$2:$A$2198,0))</f>
        <v>77.0066666666667</v>
      </c>
      <c r="L12" s="39" t="n">
        <f aca="false">INDEX('Data 2'!$M$2:$M$2198,MATCH(J12,'Data 2'!$A$2:$A$2198,0))</f>
        <v>-19.0025</v>
      </c>
      <c r="M12" s="34" t="s">
        <v>425</v>
      </c>
      <c r="N12" s="39" t="n">
        <f aca="false">INDEX('Data 2'!$L$2:$L$2198,MATCH(M12,'Data 2'!$A$2:$A$2198,0))</f>
        <v>0.49</v>
      </c>
      <c r="O12" s="39" t="n">
        <f aca="false">INDEX('Data 2'!$M$2:$M$2198,MATCH(M12,'Data 2'!$A$2:$A$2198,0))</f>
        <v>8.0325</v>
      </c>
      <c r="P12" s="34" t="s">
        <v>48</v>
      </c>
      <c r="Q12" s="39" t="n">
        <f aca="false">INDEX('Data 2'!$L$2:$L$2198,MATCH(P12,'Data 2'!$A$2:$A$2198,0))</f>
        <v>17.56</v>
      </c>
      <c r="R12" s="39" t="n">
        <f aca="false">INDEX('Data 2'!$M$2:$M$2198,MATCH(P12,'Data 2'!$A$2:$A$2198,0))</f>
        <v>-16.93</v>
      </c>
      <c r="S12" s="36"/>
      <c r="T12" s="36"/>
      <c r="U12" s="36"/>
      <c r="V12" s="34" t="s">
        <v>64</v>
      </c>
      <c r="W12" s="39" t="n">
        <f aca="false">INDEX('Data 2'!$L$2:$L$2198,MATCH(V12,'Data 2'!$A$2:$A$2198,0))</f>
        <v>-54.1166666666667</v>
      </c>
      <c r="X12" s="39" t="n">
        <f aca="false">INDEX('Data 2'!$M$2:$M$2198,MATCH(V12,'Data 2'!$A$2:$A$2198,0))</f>
        <v>-5.7575</v>
      </c>
      <c r="Y12" s="34" t="s">
        <v>151</v>
      </c>
      <c r="Z12" s="39" t="n">
        <f aca="false">INDEX('Data 2'!$L$2:$L$2198,MATCH(Y12,'Data 2'!$A$2:$A$2198,0))</f>
        <v>86.2033333333333</v>
      </c>
      <c r="AA12" s="39" t="n">
        <f aca="false">INDEX('Data 2'!$M$2:$M$2198,MATCH(Y12,'Data 2'!$A$2:$A$2198,0))</f>
        <v>35.47</v>
      </c>
      <c r="AB12" s="62" t="s">
        <v>350</v>
      </c>
      <c r="AC12" s="39" t="n">
        <f aca="false">INDEX('Data 2'!$L$2:$L$2198,MATCH(AB12,'Data 2'!$A$2:$A$2198,0))</f>
        <v>-50.9733333333333</v>
      </c>
      <c r="AD12" s="39" t="n">
        <f aca="false">INDEX('Data 2'!$M$2:$M$2198,MATCH(AB12,'Data 2'!$A$2:$A$2198,0))</f>
        <v>77.4975</v>
      </c>
      <c r="AE12" s="34" t="s">
        <v>580</v>
      </c>
      <c r="AF12" s="39"/>
      <c r="AG12" s="39"/>
      <c r="AH12" s="34" t="s">
        <v>234</v>
      </c>
      <c r="AI12" s="39" t="n">
        <f aca="false">INDEX('Data 2'!$L$2:$L$2198,MATCH(AH12,'Data 2'!$A$2:$A$2198,0))</f>
        <v>-7.70666666666667</v>
      </c>
      <c r="AJ12" s="39" t="n">
        <f aca="false">INDEX('Data 2'!$M$2:$M$2198,MATCH(AH12,'Data 2'!$A$2:$A$2198,0))</f>
        <v>-11.97375</v>
      </c>
      <c r="AK12" s="34" t="s">
        <v>159</v>
      </c>
      <c r="AL12" s="39" t="n">
        <f aca="false">INDEX('Data 2'!$L$2:$L$2198,MATCH(AK12,'Data 2'!$A$2:$A$2198,0))</f>
        <v>-78.66</v>
      </c>
      <c r="AM12" s="39" t="n">
        <f aca="false">INDEX('Data 2'!$M$2:$M$2198,MATCH(AK12,'Data 2'!$A$2:$A$2198,0))</f>
        <v>13.455</v>
      </c>
      <c r="AN12" s="34" t="s">
        <v>518</v>
      </c>
      <c r="AO12" s="39" t="n">
        <f aca="false">INDEX('Data 2'!$L$2:$L$2198,MATCH(AN12,'Data 2'!$A$2:$A$2198,0))</f>
        <v>-94.6033333333333</v>
      </c>
      <c r="AP12" s="39" t="n">
        <f aca="false">INDEX('Data 2'!$M$2:$M$2198,MATCH(AN12,'Data 2'!$A$2:$A$2198,0))</f>
        <v>-44.4525</v>
      </c>
      <c r="AQ12" s="34" t="s">
        <v>424</v>
      </c>
      <c r="AR12" s="39" t="n">
        <f aca="false">INDEX('Data 2'!$L$2:$L$2198,MATCH(AQ12,'Data 2'!$A$2:$A$2198,0))</f>
        <v>-58.9533333333333</v>
      </c>
      <c r="AS12" s="39" t="n">
        <f aca="false">INDEX('Data 2'!$M$2:$M$2198,MATCH(AQ12,'Data 2'!$A$2:$A$2198,0))</f>
        <v>-29.48875</v>
      </c>
      <c r="AT12" s="34" t="s">
        <v>108</v>
      </c>
      <c r="AU12" s="39" t="n">
        <f aca="false">INDEX('Data 2'!$L$2:$L$2198,MATCH(AT12,'Data 2'!$A$2:$A$2198,0))</f>
        <v>102.713333333333</v>
      </c>
      <c r="AV12" s="39" t="n">
        <f aca="false">INDEX('Data 2'!$M$2:$M$2198,MATCH(AT12,'Data 2'!$A$2:$A$2198,0))</f>
        <v>125.28625</v>
      </c>
      <c r="AW12" s="34" t="s">
        <v>157</v>
      </c>
      <c r="AX12" s="39" t="n">
        <f aca="false">INDEX('Data 2'!$L$2:$L$2198,MATCH(AW12,'Data 2'!$A$2:$A$2198,0))</f>
        <v>-60.99</v>
      </c>
      <c r="AY12" s="39" t="n">
        <f aca="false">INDEX('Data 2'!$M$2:$M$2198,MATCH(AW12,'Data 2'!$A$2:$A$2198,0))</f>
        <v>-76.92875</v>
      </c>
      <c r="AZ12" s="34" t="s">
        <v>121</v>
      </c>
      <c r="BA12" s="39" t="n">
        <f aca="false">INDEX('Data 2'!$L$2:$L$2198,MATCH(AZ12,'Data 2'!$A$2:$A$2198,0))</f>
        <v>11.3</v>
      </c>
      <c r="BB12" s="39" t="n">
        <f aca="false">INDEX('Data 2'!$M$2:$M$2198,MATCH(AZ12,'Data 2'!$A$2:$A$2198,0))</f>
        <v>-25.17125</v>
      </c>
      <c r="BC12" s="34" t="s">
        <v>180</v>
      </c>
      <c r="BD12" s="39" t="n">
        <f aca="false">INDEX('Data 2'!$L$2:$L$2198,MATCH(BC12,'Data 2'!$A$2:$A$2198,0))</f>
        <v>10.3266666666667</v>
      </c>
      <c r="BE12" s="39" t="n">
        <f aca="false">INDEX('Data 2'!$M$2:$M$2198,MATCH(BC12,'Data 2'!$A$2:$A$2198,0))</f>
        <v>-29.3425</v>
      </c>
      <c r="BF12" s="34"/>
      <c r="BG12" s="39"/>
      <c r="BH12" s="39"/>
      <c r="BI12" s="34" t="s">
        <v>318</v>
      </c>
      <c r="BJ12" s="39" t="n">
        <f aca="false">INDEX('Data 2'!$L$2:$L$2198,MATCH(BI12,'Data 2'!$A$2:$A$2198,0))</f>
        <v>-44.9533333333333</v>
      </c>
      <c r="BK12" s="39" t="n">
        <f aca="false">INDEX('Data 2'!$M$2:$M$2198,MATCH(BI12,'Data 2'!$A$2:$A$2198,0))</f>
        <v>-20.875</v>
      </c>
      <c r="BL12" s="34" t="s">
        <v>470</v>
      </c>
      <c r="BM12" s="39" t="n">
        <f aca="false">INDEX('Data 2'!$L$2:$L$2198,MATCH(BL12,'Data 2'!$A$2:$A$2198,0))</f>
        <v>89.96</v>
      </c>
      <c r="BN12" s="39" t="n">
        <f aca="false">INDEX('Data 2'!$M$2:$M$2198,MATCH(BL12,'Data 2'!$A$2:$A$2198,0))</f>
        <v>15.48875</v>
      </c>
      <c r="BP12" s="34" t="s">
        <v>165</v>
      </c>
      <c r="BQ12" s="39" t="n">
        <f aca="false">INDEX('Data 2'!$L$2:$L$2198,MATCH(BP12,'Data 2'!$A$2:$A$2198,0))</f>
        <v>35.1866666666667</v>
      </c>
      <c r="BR12" s="39" t="n">
        <f aca="false">INDEX('Data 2'!$M$2:$M$2198,MATCH(BP12,'Data 2'!$A$2:$A$2198,0))</f>
        <v>-31.80375</v>
      </c>
    </row>
    <row r="13" customFormat="false" ht="15.75" hidden="false" customHeight="true" outlineLevel="0" collapsed="false">
      <c r="A13" s="34" t="s">
        <v>158</v>
      </c>
      <c r="B13" s="39" t="n">
        <f aca="false">INDEX('Data 2'!$L$2:$L$2198,MATCH(A13,'Data 2'!$A$2:$A$2198,0))</f>
        <v>78.3733333333333</v>
      </c>
      <c r="C13" s="39" t="n">
        <f aca="false">INDEX('Data 2'!$M$2:$M$2198,MATCH(A13,'Data 2'!$A$2:$A$2198,0))</f>
        <v>232.9675</v>
      </c>
      <c r="D13" s="34" t="s">
        <v>113</v>
      </c>
      <c r="E13" s="39" t="n">
        <f aca="false">INDEX('Data 2'!$L$2:$L$2198,MATCH(D13,'Data 2'!$A$2:$A$2198,0))</f>
        <v>-80.51</v>
      </c>
      <c r="F13" s="39" t="n">
        <f aca="false">INDEX('Data 2'!$M$2:$M$2198,MATCH(D13,'Data 2'!$A$2:$A$2198,0))</f>
        <v>-30.45</v>
      </c>
      <c r="G13" s="34" t="s">
        <v>581</v>
      </c>
      <c r="H13" s="39" t="n">
        <f aca="false">INDEX('Data 2'!$L$2:$L$2198,MATCH(G13,'Data 2'!$A$2:$A$2198,0))</f>
        <v>86.93</v>
      </c>
      <c r="I13" s="39" t="n">
        <f aca="false">INDEX('Data 2'!$M$2:$M$2198,MATCH(G13,'Data 2'!$A$2:$A$2198,0))</f>
        <v>-84.90375</v>
      </c>
      <c r="J13" s="34" t="s">
        <v>116</v>
      </c>
      <c r="K13" s="39" t="n">
        <f aca="false">INDEX('Data 2'!$L$2:$L$2198,MATCH(J13,'Data 2'!$A$2:$A$2198,0))</f>
        <v>-30.3066666666667</v>
      </c>
      <c r="L13" s="39" t="n">
        <f aca="false">INDEX('Data 2'!$M$2:$M$2198,MATCH(J13,'Data 2'!$A$2:$A$2198,0))</f>
        <v>-16.89125</v>
      </c>
      <c r="M13" s="34" t="s">
        <v>340</v>
      </c>
      <c r="N13" s="39" t="n">
        <f aca="false">INDEX('Data 2'!$L$2:$L$2198,MATCH(M13,'Data 2'!$A$2:$A$2198,0))</f>
        <v>95.6066666666667</v>
      </c>
      <c r="O13" s="39" t="n">
        <f aca="false">INDEX('Data 2'!$M$2:$M$2198,MATCH(M13,'Data 2'!$A$2:$A$2198,0))</f>
        <v>123.05125</v>
      </c>
      <c r="Q13" s="39"/>
      <c r="R13" s="39"/>
      <c r="S13" s="36"/>
      <c r="T13" s="36"/>
      <c r="U13" s="36"/>
      <c r="V13" s="34" t="s">
        <v>39</v>
      </c>
      <c r="W13" s="39" t="n">
        <f aca="false">INDEX('Data 2'!$L$2:$L$2198,MATCH(V13,'Data 2'!$A$2:$A$2198,0))</f>
        <v>-41.7433333333333</v>
      </c>
      <c r="X13" s="39" t="n">
        <f aca="false">INDEX('Data 2'!$M$2:$M$2198,MATCH(V13,'Data 2'!$A$2:$A$2198,0))</f>
        <v>7.44125</v>
      </c>
      <c r="Y13" s="34" t="s">
        <v>167</v>
      </c>
      <c r="Z13" s="39" t="n">
        <f aca="false">INDEX('Data 2'!$L$2:$L$2198,MATCH(Y13,'Data 2'!$A$2:$A$2198,0))</f>
        <v>-83.95</v>
      </c>
      <c r="AA13" s="39" t="n">
        <f aca="false">INDEX('Data 2'!$M$2:$M$2198,MATCH(Y13,'Data 2'!$A$2:$A$2198,0))</f>
        <v>-70.52125</v>
      </c>
      <c r="AB13" s="62" t="s">
        <v>356</v>
      </c>
      <c r="AC13" s="39" t="n">
        <f aca="false">INDEX('Data 2'!$L$2:$L$2198,MATCH(AB13,'Data 2'!$A$2:$A$2198,0))</f>
        <v>-23.19</v>
      </c>
      <c r="AD13" s="39" t="n">
        <f aca="false">INDEX('Data 2'!$M$2:$M$2198,MATCH(AB13,'Data 2'!$A$2:$A$2198,0))</f>
        <v>25.69125</v>
      </c>
      <c r="AE13" s="34" t="s">
        <v>582</v>
      </c>
      <c r="AF13" s="39" t="n">
        <f aca="false">INDEX('Data 2'!$L$2:$L$2198,MATCH(AE13,'Data 2'!$A$2:$A$2198,0))</f>
        <v>74.1633333333333</v>
      </c>
      <c r="AG13" s="39" t="n">
        <f aca="false">INDEX('Data 2'!$M$2:$M$2198,MATCH(AE13,'Data 2'!$A$2:$A$2198,0))</f>
        <v>114.72875</v>
      </c>
      <c r="AH13" s="36"/>
      <c r="AI13" s="39"/>
      <c r="AJ13" s="39"/>
      <c r="AK13" s="34" t="s">
        <v>534</v>
      </c>
      <c r="AL13" s="39" t="n">
        <f aca="false">INDEX('Data 2'!$L$2:$L$2198,MATCH(AK13,'Data 2'!$A$2:$A$2198,0))</f>
        <v>-19.2333333333333</v>
      </c>
      <c r="AM13" s="39" t="n">
        <f aca="false">INDEX('Data 2'!$M$2:$M$2198,MATCH(AK13,'Data 2'!$A$2:$A$2198,0))</f>
        <v>-61.97625</v>
      </c>
      <c r="AN13" s="36"/>
      <c r="AO13" s="39"/>
      <c r="AP13" s="39"/>
      <c r="AQ13" s="34" t="s">
        <v>398</v>
      </c>
      <c r="AR13" s="39" t="n">
        <f aca="false">INDEX('Data 2'!$L$2:$L$2198,MATCH(AQ13,'Data 2'!$A$2:$A$2198,0))</f>
        <v>-59</v>
      </c>
      <c r="AS13" s="39" t="n">
        <f aca="false">INDEX('Data 2'!$M$2:$M$2198,MATCH(AQ13,'Data 2'!$A$2:$A$2198,0))</f>
        <v>-66.46125</v>
      </c>
      <c r="AT13" s="34" t="s">
        <v>212</v>
      </c>
      <c r="AU13" s="39" t="n">
        <f aca="false">INDEX('Data 2'!$L$2:$L$2198,MATCH(AT13,'Data 2'!$A$2:$A$2198,0))</f>
        <v>-33.8</v>
      </c>
      <c r="AV13" s="39" t="n">
        <f aca="false">INDEX('Data 2'!$M$2:$M$2198,MATCH(AT13,'Data 2'!$A$2:$A$2198,0))</f>
        <v>-49.33625</v>
      </c>
      <c r="AW13" s="34" t="s">
        <v>230</v>
      </c>
      <c r="AX13" s="39" t="n">
        <f aca="false">INDEX('Data 2'!$L$2:$L$2198,MATCH(AW13,'Data 2'!$A$2:$A$2198,0))</f>
        <v>-87.33</v>
      </c>
      <c r="AY13" s="39" t="n">
        <f aca="false">INDEX('Data 2'!$M$2:$M$2198,MATCH(AW13,'Data 2'!$A$2:$A$2198,0))</f>
        <v>-85.78125</v>
      </c>
      <c r="AZ13" s="34" t="s">
        <v>96</v>
      </c>
      <c r="BA13" s="39" t="n">
        <f aca="false">INDEX('Data 2'!$L$2:$L$2198,MATCH(AZ13,'Data 2'!$A$2:$A$2198,0))</f>
        <v>122.496666666667</v>
      </c>
      <c r="BB13" s="39" t="n">
        <f aca="false">INDEX('Data 2'!$M$2:$M$2198,MATCH(AZ13,'Data 2'!$A$2:$A$2198,0))</f>
        <v>149.74</v>
      </c>
      <c r="BC13" s="34" t="s">
        <v>244</v>
      </c>
      <c r="BD13" s="39" t="n">
        <f aca="false">INDEX('Data 2'!$L$2:$L$2198,MATCH(BC13,'Data 2'!$A$2:$A$2198,0))</f>
        <v>119.433333333333</v>
      </c>
      <c r="BE13" s="39" t="n">
        <f aca="false">INDEX('Data 2'!$M$2:$M$2198,MATCH(BC13,'Data 2'!$A$2:$A$2198,0))</f>
        <v>36.765</v>
      </c>
      <c r="BF13" s="34"/>
      <c r="BG13" s="39"/>
      <c r="BH13" s="39"/>
      <c r="BL13" s="34" t="s">
        <v>482</v>
      </c>
      <c r="BM13" s="39" t="n">
        <f aca="false">INDEX('Data 2'!$L$2:$L$2198,MATCH(BL13,'Data 2'!$A$2:$A$2198,0))</f>
        <v>-60.5666666666667</v>
      </c>
      <c r="BN13" s="39" t="n">
        <f aca="false">INDEX('Data 2'!$M$2:$M$2198,MATCH(BL13,'Data 2'!$A$2:$A$2198,0))</f>
        <v>25.4375</v>
      </c>
      <c r="BP13" s="34" t="s">
        <v>108</v>
      </c>
      <c r="BQ13" s="39" t="n">
        <f aca="false">INDEX('Data 2'!$L$2:$L$2198,MATCH(BP13,'Data 2'!$A$2:$A$2198,0))</f>
        <v>102.713333333333</v>
      </c>
      <c r="BR13" s="39" t="n">
        <f aca="false">INDEX('Data 2'!$M$2:$M$2198,MATCH(BP13,'Data 2'!$A$2:$A$2198,0))</f>
        <v>125.28625</v>
      </c>
    </row>
    <row r="14" customFormat="false" ht="15.75" hidden="false" customHeight="true" outlineLevel="0" collapsed="false">
      <c r="A14" s="34" t="s">
        <v>68</v>
      </c>
      <c r="B14" s="39" t="n">
        <f aca="false">INDEX('Data 2'!$L$2:$L$2198,MATCH(A14,'Data 2'!$A$2:$A$2198,0))</f>
        <v>-51.6833333333333</v>
      </c>
      <c r="C14" s="39" t="n">
        <f aca="false">INDEX('Data 2'!$M$2:$M$2198,MATCH(A14,'Data 2'!$A$2:$A$2198,0))</f>
        <v>-34.6575</v>
      </c>
      <c r="D14" s="34" t="s">
        <v>159</v>
      </c>
      <c r="E14" s="39" t="n">
        <f aca="false">INDEX('Data 2'!$L$2:$L$2198,MATCH(D14,'Data 2'!$A$2:$A$2198,0))</f>
        <v>-78.66</v>
      </c>
      <c r="F14" s="39" t="n">
        <f aca="false">INDEX('Data 2'!$M$2:$M$2198,MATCH(D14,'Data 2'!$A$2:$A$2198,0))</f>
        <v>13.455</v>
      </c>
      <c r="G14" s="34" t="s">
        <v>142</v>
      </c>
      <c r="H14" s="39" t="n">
        <f aca="false">INDEX('Data 2'!$L$2:$L$2198,MATCH(G14,'Data 2'!$A$2:$A$2198,0))</f>
        <v>89.1066666666667</v>
      </c>
      <c r="I14" s="39" t="n">
        <f aca="false">INDEX('Data 2'!$M$2:$M$2198,MATCH(G14,'Data 2'!$A$2:$A$2198,0))</f>
        <v>109.275</v>
      </c>
      <c r="J14" s="34" t="s">
        <v>118</v>
      </c>
      <c r="K14" s="39" t="n">
        <f aca="false">INDEX('Data 2'!$L$2:$L$2198,MATCH(J14,'Data 2'!$A$2:$A$2198,0))</f>
        <v>92.7166666666667</v>
      </c>
      <c r="L14" s="39" t="n">
        <f aca="false">INDEX('Data 2'!$M$2:$M$2198,MATCH(J14,'Data 2'!$A$2:$A$2198,0))</f>
        <v>142.18625</v>
      </c>
      <c r="M14" s="34" t="s">
        <v>99</v>
      </c>
      <c r="N14" s="39" t="n">
        <f aca="false">INDEX('Data 2'!$L$2:$L$2198,MATCH(M14,'Data 2'!$A$2:$A$2198,0))</f>
        <v>-18.05</v>
      </c>
      <c r="O14" s="39" t="n">
        <f aca="false">INDEX('Data 2'!$M$2:$M$2198,MATCH(M14,'Data 2'!$A$2:$A$2198,0))</f>
        <v>0.0824999999999978</v>
      </c>
      <c r="Q14" s="39"/>
      <c r="R14" s="39"/>
      <c r="S14" s="36"/>
      <c r="T14" s="36"/>
      <c r="U14" s="36"/>
      <c r="V14" s="34" t="s">
        <v>88</v>
      </c>
      <c r="W14" s="39" t="n">
        <f aca="false">INDEX('Data 2'!$L$2:$L$2198,MATCH(V14,'Data 2'!$A$2:$A$2198,0))</f>
        <v>-68.9233333333333</v>
      </c>
      <c r="X14" s="39" t="n">
        <f aca="false">INDEX('Data 2'!$M$2:$M$2198,MATCH(V14,'Data 2'!$A$2:$A$2198,0))</f>
        <v>-49.989</v>
      </c>
      <c r="Y14" s="34" t="s">
        <v>166</v>
      </c>
      <c r="Z14" s="39" t="n">
        <f aca="false">INDEX('Data 2'!$L$2:$L$2198,MATCH(Y14,'Data 2'!$A$2:$A$2198,0))</f>
        <v>-55.7866666666667</v>
      </c>
      <c r="AA14" s="39" t="n">
        <f aca="false">INDEX('Data 2'!$M$2:$M$2198,MATCH(Y14,'Data 2'!$A$2:$A$2198,0))</f>
        <v>-61.745</v>
      </c>
      <c r="AB14" s="62" t="s">
        <v>95</v>
      </c>
      <c r="AC14" s="39" t="n">
        <f aca="false">INDEX('Data 2'!$L$2:$L$2198,MATCH(AB14,'Data 2'!$A$2:$A$2198,0))</f>
        <v>1.26666666666667</v>
      </c>
      <c r="AD14" s="39" t="n">
        <f aca="false">INDEX('Data 2'!$M$2:$M$2198,MATCH(AB14,'Data 2'!$A$2:$A$2198,0))</f>
        <v>15.28625</v>
      </c>
      <c r="AE14" s="34" t="s">
        <v>436</v>
      </c>
      <c r="AF14" s="39" t="n">
        <f aca="false">INDEX('Data 2'!$L$2:$L$2198,MATCH(AE14,'Data 2'!$A$2:$A$2198,0))</f>
        <v>24.57</v>
      </c>
      <c r="AG14" s="39" t="n">
        <f aca="false">INDEX('Data 2'!$M$2:$M$2198,MATCH(AE14,'Data 2'!$A$2:$A$2198,0))</f>
        <v>101.07625</v>
      </c>
      <c r="AH14" s="36"/>
      <c r="AI14" s="36"/>
      <c r="AJ14" s="36"/>
      <c r="AK14" s="34" t="s">
        <v>213</v>
      </c>
      <c r="AL14" s="39" t="n">
        <f aca="false">INDEX('Data 2'!$L$2:$L$2198,MATCH(AK14,'Data 2'!$A$2:$A$2198,0))</f>
        <v>-46.6133333333333</v>
      </c>
      <c r="AM14" s="39" t="n">
        <f aca="false">INDEX('Data 2'!$M$2:$M$2198,MATCH(AK14,'Data 2'!$A$2:$A$2198,0))</f>
        <v>-26.87</v>
      </c>
      <c r="AN14" s="36"/>
      <c r="AO14" s="36"/>
      <c r="AP14" s="36"/>
      <c r="AQ14" s="34" t="s">
        <v>191</v>
      </c>
      <c r="AR14" s="39" t="n">
        <f aca="false">INDEX('Data 2'!$L$2:$L$2198,MATCH(AQ14,'Data 2'!$A$2:$A$2198,0))</f>
        <v>26.37</v>
      </c>
      <c r="AS14" s="39" t="n">
        <f aca="false">INDEX('Data 2'!$M$2:$M$2198,MATCH(AQ14,'Data 2'!$A$2:$A$2198,0))</f>
        <v>52.25125</v>
      </c>
      <c r="AT14" s="34" t="s">
        <v>106</v>
      </c>
      <c r="AU14" s="39" t="n">
        <f aca="false">INDEX('Data 2'!$L$2:$L$2198,MATCH(AT14,'Data 2'!$A$2:$A$2198,0))</f>
        <v>-61.0133333333333</v>
      </c>
      <c r="AV14" s="39" t="n">
        <f aca="false">INDEX('Data 2'!$M$2:$M$2198,MATCH(AT14,'Data 2'!$A$2:$A$2198,0))</f>
        <v>-23.73875</v>
      </c>
      <c r="AW14" s="34" t="s">
        <v>231</v>
      </c>
      <c r="AX14" s="39" t="n">
        <f aca="false">INDEX('Data 2'!$L$2:$L$2198,MATCH(AW14,'Data 2'!$A$2:$A$2198,0))</f>
        <v>-121.166666666667</v>
      </c>
      <c r="AY14" s="39" t="n">
        <f aca="false">INDEX('Data 2'!$M$2:$M$2198,MATCH(AW14,'Data 2'!$A$2:$A$2198,0))</f>
        <v>-112.11625</v>
      </c>
      <c r="AZ14" s="34" t="s">
        <v>55</v>
      </c>
      <c r="BA14" s="39" t="n">
        <f aca="false">INDEX('Data 2'!$L$2:$L$2198,MATCH(AZ14,'Data 2'!$A$2:$A$2198,0))</f>
        <v>-41.9266666666667</v>
      </c>
      <c r="BB14" s="39" t="n">
        <f aca="false">INDEX('Data 2'!$M$2:$M$2198,MATCH(AZ14,'Data 2'!$A$2:$A$2198,0))</f>
        <v>77.64125</v>
      </c>
      <c r="BC14" s="34" t="s">
        <v>161</v>
      </c>
      <c r="BD14" s="39" t="n">
        <f aca="false">INDEX('Data 2'!$L$2:$L$2198,MATCH(BC14,'Data 2'!$A$2:$A$2198,0))</f>
        <v>-103.4</v>
      </c>
      <c r="BE14" s="39" t="n">
        <f aca="false">INDEX('Data 2'!$M$2:$M$2198,MATCH(BC14,'Data 2'!$A$2:$A$2198,0))</f>
        <v>-110.97875</v>
      </c>
      <c r="BF14" s="34"/>
      <c r="BG14" s="39"/>
      <c r="BH14" s="39"/>
      <c r="BL14" s="34" t="s">
        <v>27</v>
      </c>
      <c r="BM14" s="39" t="n">
        <f aca="false">INDEX('Data 2'!$L$2:$L$2198,MATCH(BL14,'Data 2'!$A$2:$A$2198,0))</f>
        <v>-64.4466666666667</v>
      </c>
      <c r="BN14" s="39" t="n">
        <f aca="false">INDEX('Data 2'!$M$2:$M$2198,MATCH(BL14,'Data 2'!$A$2:$A$2198,0))</f>
        <v>-5.2</v>
      </c>
      <c r="BP14" s="34" t="s">
        <v>193</v>
      </c>
      <c r="BQ14" s="39" t="n">
        <f aca="false">INDEX('Data 2'!$L$2:$L$2198,MATCH(BP14,'Data 2'!$A$2:$A$2198,0))</f>
        <v>-91.0833333333333</v>
      </c>
      <c r="BR14" s="39" t="n">
        <f aca="false">INDEX('Data 2'!$M$2:$M$2198,MATCH(BP14,'Data 2'!$A$2:$A$2198,0))</f>
        <v>-69.4225</v>
      </c>
    </row>
    <row r="15" customFormat="false" ht="15.75" hidden="false" customHeight="true" outlineLevel="0" collapsed="false">
      <c r="A15" s="34" t="s">
        <v>78</v>
      </c>
      <c r="B15" s="39" t="n">
        <f aca="false">INDEX('Data 2'!$L$2:$L$2198,MATCH(A15,'Data 2'!$A$2:$A$2198,0))</f>
        <v>83.9733333333333</v>
      </c>
      <c r="C15" s="39" t="n">
        <f aca="false">INDEX('Data 2'!$M$2:$M$2198,MATCH(A15,'Data 2'!$A$2:$A$2198,0))</f>
        <v>181.065</v>
      </c>
      <c r="D15" s="36"/>
      <c r="E15" s="36"/>
      <c r="F15" s="36"/>
      <c r="G15" s="34" t="s">
        <v>538</v>
      </c>
      <c r="H15" s="39" t="n">
        <f aca="false">INDEX('Data 2'!$L$2:$L$2198,MATCH(G15,'Data 2'!$A$2:$A$2198,0))</f>
        <v>-27.8066666666667</v>
      </c>
      <c r="I15" s="39" t="n">
        <f aca="false">INDEX('Data 2'!$M$2:$M$2198,MATCH(G15,'Data 2'!$A$2:$A$2198,0))</f>
        <v>-25.56375</v>
      </c>
      <c r="J15" s="34" t="s">
        <v>69</v>
      </c>
      <c r="K15" s="39" t="n">
        <f aca="false">INDEX('Data 2'!$L$2:$L$2198,MATCH(J15,'Data 2'!$A$2:$A$2198,0))</f>
        <v>21.6666666666667</v>
      </c>
      <c r="L15" s="39" t="n">
        <f aca="false">INDEX('Data 2'!$M$2:$M$2198,MATCH(J15,'Data 2'!$A$2:$A$2198,0))</f>
        <v>85.72625</v>
      </c>
      <c r="M15" s="34" t="s">
        <v>50</v>
      </c>
      <c r="N15" s="39" t="n">
        <f aca="false">INDEX('Data 2'!$L$2:$L$2198,MATCH(M15,'Data 2'!$A$2:$A$2198,0))</f>
        <v>-130.666666666667</v>
      </c>
      <c r="O15" s="39" t="n">
        <f aca="false">INDEX('Data 2'!$M$2:$M$2198,MATCH(M15,'Data 2'!$A$2:$A$2198,0))</f>
        <v>-131.56</v>
      </c>
      <c r="Q15" s="39"/>
      <c r="R15" s="39"/>
      <c r="S15" s="36"/>
      <c r="T15" s="36"/>
      <c r="U15" s="36"/>
      <c r="V15" s="34" t="s">
        <v>61</v>
      </c>
      <c r="W15" s="39" t="n">
        <f aca="false">INDEX('Data 2'!$L$2:$L$2198,MATCH(V15,'Data 2'!$A$2:$A$2198,0))</f>
        <v>-36.36</v>
      </c>
      <c r="X15" s="39" t="n">
        <f aca="false">INDEX('Data 2'!$M$2:$M$2198,MATCH(V15,'Data 2'!$A$2:$A$2198,0))</f>
        <v>4.43125</v>
      </c>
      <c r="Y15" s="34" t="s">
        <v>236</v>
      </c>
      <c r="Z15" s="39" t="n">
        <f aca="false">INDEX('Data 2'!$L$2:$L$2198,MATCH(Y15,'Data 2'!$A$2:$A$2198,0))</f>
        <v>-10.8966666666667</v>
      </c>
      <c r="AA15" s="39" t="n">
        <f aca="false">INDEX('Data 2'!$M$2:$M$2198,MATCH(Y15,'Data 2'!$A$2:$A$2198,0))</f>
        <v>-48.05875</v>
      </c>
      <c r="AB15" s="62" t="s">
        <v>194</v>
      </c>
      <c r="AC15" s="39" t="n">
        <f aca="false">INDEX('Data 2'!$L$2:$L$2198,MATCH(AB15,'Data 2'!$A$2:$A$2198,0))</f>
        <v>5.59666666666667</v>
      </c>
      <c r="AD15" s="39" t="n">
        <f aca="false">INDEX('Data 2'!$M$2:$M$2198,MATCH(AB15,'Data 2'!$A$2:$A$2198,0))</f>
        <v>-43.44625</v>
      </c>
      <c r="AF15" s="39"/>
      <c r="AG15" s="39"/>
      <c r="AH15" s="36"/>
      <c r="AI15" s="36"/>
      <c r="AJ15" s="36"/>
      <c r="AK15" s="36"/>
      <c r="AL15" s="36"/>
      <c r="AM15" s="36"/>
      <c r="AN15" s="36"/>
      <c r="AO15" s="36"/>
      <c r="AP15" s="36"/>
      <c r="AQ15" s="34" t="s">
        <v>490</v>
      </c>
      <c r="AR15" s="39" t="n">
        <f aca="false">INDEX('Data 2'!$L$2:$L$2198,MATCH(AQ15,'Data 2'!$A$2:$A$2198,0))</f>
        <v>-63.05</v>
      </c>
      <c r="AS15" s="39" t="n">
        <f aca="false">INDEX('Data 2'!$M$2:$M$2198,MATCH(AQ15,'Data 2'!$A$2:$A$2198,0))</f>
        <v>-69.70375</v>
      </c>
      <c r="AT15" s="34" t="s">
        <v>225</v>
      </c>
      <c r="AU15" s="39" t="n">
        <f aca="false">INDEX('Data 2'!$L$2:$L$2198,MATCH(AT15,'Data 2'!$A$2:$A$2198,0))</f>
        <v>16.1233333333333</v>
      </c>
      <c r="AV15" s="39" t="n">
        <f aca="false">INDEX('Data 2'!$M$2:$M$2198,MATCH(AT15,'Data 2'!$A$2:$A$2198,0))</f>
        <v>85.945</v>
      </c>
      <c r="AW15" s="34" t="s">
        <v>64</v>
      </c>
      <c r="AX15" s="39" t="n">
        <f aca="false">INDEX('Data 2'!$L$2:$L$2198,MATCH(AW15,'Data 2'!$A$2:$A$2198,0))</f>
        <v>-54.1166666666667</v>
      </c>
      <c r="AY15" s="39" t="n">
        <f aca="false">INDEX('Data 2'!$M$2:$M$2198,MATCH(AW15,'Data 2'!$A$2:$A$2198,0))</f>
        <v>-5.7575</v>
      </c>
      <c r="AZ15" s="34" t="s">
        <v>356</v>
      </c>
      <c r="BA15" s="39" t="n">
        <f aca="false">INDEX('Data 2'!$L$2:$L$2198,MATCH(AZ15,'Data 2'!$A$2:$A$2198,0))</f>
        <v>-23.19</v>
      </c>
      <c r="BB15" s="39" t="n">
        <f aca="false">INDEX('Data 2'!$M$2:$M$2198,MATCH(AZ15,'Data 2'!$A$2:$A$2198,0))</f>
        <v>25.69125</v>
      </c>
      <c r="BC15" s="34" t="s">
        <v>533</v>
      </c>
      <c r="BD15" s="39" t="n">
        <f aca="false">INDEX('Data 2'!$L$2:$L$2198,MATCH(BC15,'Data 2'!$A$2:$A$2198,0))</f>
        <v>29.9233333333333</v>
      </c>
      <c r="BE15" s="39" t="n">
        <f aca="false">INDEX('Data 2'!$M$2:$M$2198,MATCH(BC15,'Data 2'!$A$2:$A$2198,0))</f>
        <v>-39.3325</v>
      </c>
      <c r="BF15" s="34"/>
      <c r="BG15" s="39"/>
      <c r="BH15" s="39"/>
      <c r="BL15" s="34" t="s">
        <v>418</v>
      </c>
      <c r="BM15" s="39" t="n">
        <f aca="false">INDEX('Data 2'!$L$2:$L$2198,MATCH(BL15,'Data 2'!$A$2:$A$2198,0))</f>
        <v>81.9566666666667</v>
      </c>
      <c r="BN15" s="39" t="n">
        <f aca="false">INDEX('Data 2'!$M$2:$M$2198,MATCH(BL15,'Data 2'!$A$2:$A$2198,0))</f>
        <v>113.425</v>
      </c>
      <c r="BP15" s="34" t="s">
        <v>190</v>
      </c>
      <c r="BQ15" s="39" t="n">
        <f aca="false">INDEX('Data 2'!$L$2:$L$2198,MATCH(BP15,'Data 2'!$A$2:$A$2198,0))</f>
        <v>104.733333333333</v>
      </c>
      <c r="BR15" s="39" t="n">
        <f aca="false">INDEX('Data 2'!$M$2:$M$2198,MATCH(BP15,'Data 2'!$A$2:$A$2198,0))</f>
        <v>-5.6225</v>
      </c>
    </row>
    <row r="16" customFormat="false" ht="15.75" hidden="false" customHeight="true" outlineLevel="0" collapsed="false">
      <c r="A16" s="34" t="s">
        <v>170</v>
      </c>
      <c r="B16" s="39" t="n">
        <f aca="false">INDEX('Data 2'!$L$2:$L$2198,MATCH(A16,'Data 2'!$A$2:$A$2198,0))</f>
        <v>-43.3633333333333</v>
      </c>
      <c r="C16" s="39" t="n">
        <f aca="false">INDEX('Data 2'!$M$2:$M$2198,MATCH(A16,'Data 2'!$A$2:$A$2198,0))</f>
        <v>-9.286125</v>
      </c>
      <c r="D16" s="36"/>
      <c r="E16" s="36"/>
      <c r="F16" s="36"/>
      <c r="G16" s="34" t="s">
        <v>56</v>
      </c>
      <c r="H16" s="39" t="n">
        <f aca="false">INDEX('Data 2'!$L$2:$L$2198,MATCH(G16,'Data 2'!$A$2:$A$2198,0))</f>
        <v>29.0366666666667</v>
      </c>
      <c r="I16" s="39" t="n">
        <f aca="false">INDEX('Data 2'!$M$2:$M$2198,MATCH(G16,'Data 2'!$A$2:$A$2198,0))</f>
        <v>50.28375</v>
      </c>
      <c r="J16" s="34" t="s">
        <v>217</v>
      </c>
      <c r="K16" s="39" t="n">
        <f aca="false">INDEX('Data 2'!$L$2:$L$2198,MATCH(J16,'Data 2'!$A$2:$A$2198,0))</f>
        <v>-96.1433333333333</v>
      </c>
      <c r="L16" s="39" t="n">
        <f aca="false">INDEX('Data 2'!$M$2:$M$2198,MATCH(J16,'Data 2'!$A$2:$A$2198,0))</f>
        <v>-2.09125</v>
      </c>
      <c r="M16" s="34" t="s">
        <v>49</v>
      </c>
      <c r="N16" s="39" t="n">
        <f aca="false">INDEX('Data 2'!$L$2:$L$2198,MATCH(M16,'Data 2'!$A$2:$A$2198,0))</f>
        <v>11.66</v>
      </c>
      <c r="O16" s="39" t="n">
        <f aca="false">INDEX('Data 2'!$M$2:$M$2198,MATCH(M16,'Data 2'!$A$2:$A$2198,0))</f>
        <v>-34.2975</v>
      </c>
      <c r="Q16" s="39"/>
      <c r="R16" s="39"/>
      <c r="S16" s="36"/>
      <c r="T16" s="36"/>
      <c r="U16" s="36"/>
      <c r="V16" s="34" t="s">
        <v>110</v>
      </c>
      <c r="W16" s="39" t="n">
        <f aca="false">INDEX('Data 2'!$L$2:$L$2198,MATCH(V16,'Data 2'!$A$2:$A$2198,0))</f>
        <v>62.7333333333333</v>
      </c>
      <c r="X16" s="39" t="n">
        <f aca="false">INDEX('Data 2'!$M$2:$M$2198,MATCH(V16,'Data 2'!$A$2:$A$2198,0))</f>
        <v>44.105</v>
      </c>
      <c r="Y16" s="34" t="s">
        <v>189</v>
      </c>
      <c r="Z16" s="39" t="n">
        <f aca="false">INDEX('Data 2'!$L$2:$L$2198,MATCH(Y16,'Data 2'!$A$2:$A$2198,0))</f>
        <v>-57.4466666666667</v>
      </c>
      <c r="AA16" s="39" t="n">
        <f aca="false">INDEX('Data 2'!$M$2:$M$2198,MATCH(Y16,'Data 2'!$A$2:$A$2198,0))</f>
        <v>-98.99125</v>
      </c>
      <c r="AB16" s="62" t="s">
        <v>120</v>
      </c>
      <c r="AC16" s="39" t="n">
        <f aca="false">INDEX('Data 2'!$L$2:$L$2198,MATCH(AB16,'Data 2'!$A$2:$A$2198,0))</f>
        <v>112.243333333333</v>
      </c>
      <c r="AD16" s="39" t="n">
        <f aca="false">INDEX('Data 2'!$M$2:$M$2198,MATCH(AB16,'Data 2'!$A$2:$A$2198,0))</f>
        <v>24.6175</v>
      </c>
      <c r="AF16" s="39"/>
      <c r="AG16" s="39"/>
      <c r="AH16" s="36"/>
      <c r="AI16" s="36"/>
      <c r="AJ16" s="36"/>
      <c r="AK16" s="36"/>
      <c r="AL16" s="36"/>
      <c r="AM16" s="36"/>
      <c r="AN16" s="36"/>
      <c r="AO16" s="36"/>
      <c r="AP16" s="36"/>
      <c r="AQ16" s="34" t="s">
        <v>148</v>
      </c>
      <c r="AR16" s="39" t="n">
        <f aca="false">INDEX('Data 2'!$L$2:$L$2198,MATCH(AQ16,'Data 2'!$A$2:$A$2198,0))</f>
        <v>69.39</v>
      </c>
      <c r="AS16" s="39" t="n">
        <f aca="false">INDEX('Data 2'!$M$2:$M$2198,MATCH(AQ16,'Data 2'!$A$2:$A$2198,0))</f>
        <v>9.4825</v>
      </c>
      <c r="AT16" s="34" t="s">
        <v>76</v>
      </c>
      <c r="AU16" s="39" t="n">
        <f aca="false">INDEX('Data 2'!$L$2:$L$2198,MATCH(AT16,'Data 2'!$A$2:$A$2198,0))</f>
        <v>42.42</v>
      </c>
      <c r="AV16" s="39" t="n">
        <f aca="false">INDEX('Data 2'!$M$2:$M$2198,MATCH(AT16,'Data 2'!$A$2:$A$2198,0))</f>
        <v>-43.9075</v>
      </c>
      <c r="AW16" s="34" t="s">
        <v>74</v>
      </c>
      <c r="AX16" s="39" t="n">
        <f aca="false">INDEX('Data 2'!$L$2:$L$2198,MATCH(AW16,'Data 2'!$A$2:$A$2198,0))</f>
        <v>-53.6766666666667</v>
      </c>
      <c r="AY16" s="39" t="n">
        <f aca="false">INDEX('Data 2'!$M$2:$M$2198,MATCH(AW16,'Data 2'!$A$2:$A$2198,0))</f>
        <v>-26.51875</v>
      </c>
      <c r="AZ16" s="34" t="s">
        <v>187</v>
      </c>
      <c r="BA16" s="39" t="n">
        <f aca="false">INDEX('Data 2'!$L$2:$L$2198,MATCH(AZ16,'Data 2'!$A$2:$A$2198,0))</f>
        <v>13.29</v>
      </c>
      <c r="BB16" s="39" t="n">
        <f aca="false">INDEX('Data 2'!$M$2:$M$2198,MATCH(AZ16,'Data 2'!$A$2:$A$2198,0))</f>
        <v>128.03375</v>
      </c>
      <c r="BC16" s="34" t="s">
        <v>583</v>
      </c>
      <c r="BD16" s="39" t="n">
        <f aca="false">INDEX('Data 2'!$L$2:$L$2198,MATCH(BC16,'Data 2'!$A$2:$A$2198,0))</f>
        <v>40.89</v>
      </c>
      <c r="BE16" s="39" t="n">
        <f aca="false">INDEX('Data 2'!$M$2:$M$2198,MATCH(BC16,'Data 2'!$A$2:$A$2198,0))</f>
        <v>-3.66625</v>
      </c>
      <c r="BF16" s="34"/>
      <c r="BG16" s="39"/>
      <c r="BH16" s="39"/>
      <c r="BL16" s="34" t="s">
        <v>487</v>
      </c>
      <c r="BM16" s="39" t="n">
        <f aca="false">INDEX('Data 2'!$L$2:$L$2198,MATCH(BL16,'Data 2'!$A$2:$A$2198,0))</f>
        <v>85.6533333333334</v>
      </c>
      <c r="BN16" s="39" t="n">
        <f aca="false">INDEX('Data 2'!$M$2:$M$2198,MATCH(BL16,'Data 2'!$A$2:$A$2198,0))</f>
        <v>24.635</v>
      </c>
      <c r="BP16" s="34" t="s">
        <v>146</v>
      </c>
      <c r="BQ16" s="39" t="n">
        <f aca="false">INDEX('Data 2'!$L$2:$L$2198,MATCH(BP16,'Data 2'!$A$2:$A$2198,0))</f>
        <v>64.1</v>
      </c>
      <c r="BR16" s="39" t="n">
        <f aca="false">INDEX('Data 2'!$M$2:$M$2198,MATCH(BP16,'Data 2'!$A$2:$A$2198,0))</f>
        <v>37.375</v>
      </c>
    </row>
    <row r="17" customFormat="false" ht="15.75" hidden="false" customHeight="true" outlineLevel="0" collapsed="false">
      <c r="A17" s="34" t="s">
        <v>241</v>
      </c>
      <c r="B17" s="39" t="n">
        <f aca="false">INDEX('Data 2'!$L$2:$L$2198,MATCH(A17,'Data 2'!$A$2:$A$2198,0))</f>
        <v>-31.2566666666667</v>
      </c>
      <c r="C17" s="39" t="n">
        <f aca="false">INDEX('Data 2'!$M$2:$M$2198,MATCH(A17,'Data 2'!$A$2:$A$2198,0))</f>
        <v>60.3325</v>
      </c>
      <c r="D17" s="36"/>
      <c r="E17" s="36"/>
      <c r="F17" s="36"/>
      <c r="G17" s="34" t="s">
        <v>549</v>
      </c>
      <c r="H17" s="39" t="n">
        <f aca="false">INDEX('Data 2'!$L$2:$L$2198,MATCH(G17,'Data 2'!$A$2:$A$2198,0))</f>
        <v>4.34666666666667</v>
      </c>
      <c r="I17" s="39" t="n">
        <f aca="false">INDEX('Data 2'!$M$2:$M$2198,MATCH(G17,'Data 2'!$A$2:$A$2198,0))</f>
        <v>-2.74625</v>
      </c>
      <c r="K17" s="39"/>
      <c r="L17" s="39"/>
      <c r="M17" s="34" t="s">
        <v>219</v>
      </c>
      <c r="N17" s="39" t="n">
        <f aca="false">INDEX('Data 2'!$L$2:$L$2198,MATCH(M17,'Data 2'!$A$2:$A$2198,0))</f>
        <v>9.24333333333333</v>
      </c>
      <c r="O17" s="39" t="n">
        <f aca="false">INDEX('Data 2'!$M$2:$M$2198,MATCH(M17,'Data 2'!$A$2:$A$2198,0))</f>
        <v>47.28125</v>
      </c>
      <c r="P17" s="36"/>
      <c r="Q17" s="39"/>
      <c r="R17" s="39"/>
      <c r="S17" s="36"/>
      <c r="T17" s="36"/>
      <c r="U17" s="36"/>
      <c r="V17" s="34" t="s">
        <v>546</v>
      </c>
      <c r="W17" s="39" t="n">
        <f aca="false">INDEX('Data 2'!$L$2:$L$2198,MATCH(V17,'Data 2'!$A$2:$A$2198,0))</f>
        <v>86.2933333333333</v>
      </c>
      <c r="X17" s="39" t="n">
        <f aca="false">INDEX('Data 2'!$M$2:$M$2198,MATCH(V17,'Data 2'!$A$2:$A$2198,0))</f>
        <v>36.5</v>
      </c>
      <c r="Y17" s="34" t="s">
        <v>162</v>
      </c>
      <c r="Z17" s="39" t="n">
        <f aca="false">INDEX('Data 2'!$L$2:$L$2198,MATCH(Y17,'Data 2'!$A$2:$A$2198,0))</f>
        <v>-11.3766666666667</v>
      </c>
      <c r="AA17" s="39" t="n">
        <f aca="false">INDEX('Data 2'!$M$2:$M$2198,MATCH(Y17,'Data 2'!$A$2:$A$2198,0))</f>
        <v>-4.32375</v>
      </c>
      <c r="AB17" s="62" t="s">
        <v>442</v>
      </c>
      <c r="AC17" s="39" t="n">
        <f aca="false">INDEX('Data 2'!$L$2:$L$2198,MATCH(AB17,'Data 2'!$A$2:$A$2198,0))</f>
        <v>120.24</v>
      </c>
      <c r="AD17" s="39" t="n">
        <f aca="false">INDEX('Data 2'!$M$2:$M$2198,MATCH(AB17,'Data 2'!$A$2:$A$2198,0))</f>
        <v>101.32875</v>
      </c>
      <c r="AF17" s="39"/>
      <c r="AG17" s="39"/>
      <c r="AH17" s="36"/>
      <c r="AI17" s="36"/>
      <c r="AJ17" s="36"/>
      <c r="AK17" s="36"/>
      <c r="AL17" s="36"/>
      <c r="AM17" s="36"/>
      <c r="AN17" s="36"/>
      <c r="AO17" s="36"/>
      <c r="AP17" s="36"/>
      <c r="AQ17" s="34" t="s">
        <v>79</v>
      </c>
      <c r="AR17" s="39" t="n">
        <f aca="false">INDEX('Data 2'!$L$2:$L$2198,MATCH(AQ17,'Data 2'!$A$2:$A$2198,0))</f>
        <v>9.98333333333333</v>
      </c>
      <c r="AS17" s="39" t="n">
        <f aca="false">INDEX('Data 2'!$M$2:$M$2198,MATCH(AQ17,'Data 2'!$A$2:$A$2198,0))</f>
        <v>57.555</v>
      </c>
      <c r="AT17" s="34" t="s">
        <v>118</v>
      </c>
      <c r="AU17" s="39" t="n">
        <f aca="false">INDEX('Data 2'!$L$2:$L$2198,MATCH(AT17,'Data 2'!$A$2:$A$2198,0))</f>
        <v>92.7166666666667</v>
      </c>
      <c r="AV17" s="39" t="n">
        <f aca="false">INDEX('Data 2'!$M$2:$M$2198,MATCH(AT17,'Data 2'!$A$2:$A$2198,0))</f>
        <v>142.18625</v>
      </c>
      <c r="AW17" s="34" t="s">
        <v>166</v>
      </c>
      <c r="AX17" s="39" t="n">
        <f aca="false">INDEX('Data 2'!$L$2:$L$2198,MATCH(AW17,'Data 2'!$A$2:$A$2198,0))</f>
        <v>-55.7866666666667</v>
      </c>
      <c r="AY17" s="39" t="n">
        <f aca="false">INDEX('Data 2'!$M$2:$M$2198,MATCH(AW17,'Data 2'!$A$2:$A$2198,0))</f>
        <v>-61.745</v>
      </c>
      <c r="AZ17" s="34" t="s">
        <v>372</v>
      </c>
      <c r="BA17" s="39" t="n">
        <f aca="false">INDEX('Data 2'!$L$2:$L$2198,MATCH(AZ17,'Data 2'!$A$2:$A$2198,0))</f>
        <v>-36.98</v>
      </c>
      <c r="BB17" s="39" t="n">
        <f aca="false">INDEX('Data 2'!$M$2:$M$2198,MATCH(AZ17,'Data 2'!$A$2:$A$2198,0))</f>
        <v>20.765</v>
      </c>
      <c r="BC17" s="34" t="s">
        <v>224</v>
      </c>
      <c r="BD17" s="39" t="n">
        <f aca="false">INDEX('Data 2'!$L$2:$L$2198,MATCH(BC17,'Data 2'!$A$2:$A$2198,0))</f>
        <v>103.873333333333</v>
      </c>
      <c r="BE17" s="39" t="n">
        <f aca="false">INDEX('Data 2'!$M$2:$M$2198,MATCH(BC17,'Data 2'!$A$2:$A$2198,0))</f>
        <v>75.925</v>
      </c>
      <c r="BF17" s="34"/>
      <c r="BG17" s="39"/>
      <c r="BH17" s="39"/>
      <c r="BL17" s="34" t="s">
        <v>535</v>
      </c>
      <c r="BM17" s="39" t="n">
        <f aca="false">INDEX('Data 2'!$L$2:$L$2198,MATCH(BL17,'Data 2'!$A$2:$A$2198,0))</f>
        <v>-37.68</v>
      </c>
      <c r="BN17" s="39" t="n">
        <f aca="false">INDEX('Data 2'!$M$2:$M$2198,MATCH(BL17,'Data 2'!$A$2:$A$2198,0))</f>
        <v>28.980625</v>
      </c>
      <c r="BP17" s="34" t="s">
        <v>63</v>
      </c>
      <c r="BQ17" s="39" t="n">
        <f aca="false">INDEX('Data 2'!$L$2:$L$2198,MATCH(BP17,'Data 2'!$A$2:$A$2198,0))</f>
        <v>-9.14666666666667</v>
      </c>
      <c r="BR17" s="39" t="n">
        <f aca="false">INDEX('Data 2'!$M$2:$M$2198,MATCH(BP17,'Data 2'!$A$2:$A$2198,0))</f>
        <v>56.78875</v>
      </c>
    </row>
    <row r="18" customFormat="false" ht="15.75" hidden="false" customHeight="true" outlineLevel="0" collapsed="false">
      <c r="A18" s="36"/>
      <c r="B18" s="39"/>
      <c r="C18" s="39"/>
      <c r="D18" s="36"/>
      <c r="E18" s="36"/>
      <c r="F18" s="36"/>
      <c r="G18" s="36"/>
      <c r="H18" s="36"/>
      <c r="I18" s="36"/>
      <c r="K18" s="39"/>
      <c r="L18" s="39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62" t="s">
        <v>138</v>
      </c>
      <c r="AC18" s="39" t="n">
        <f aca="false">INDEX('Data 2'!$L$2:$L$2198,MATCH(AB18,'Data 2'!$A$2:$A$2198,0))</f>
        <v>80.2633333333333</v>
      </c>
      <c r="AD18" s="39" t="n">
        <f aca="false">INDEX('Data 2'!$M$2:$M$2198,MATCH(AB18,'Data 2'!$A$2:$A$2198,0))</f>
        <v>107.23375</v>
      </c>
      <c r="AF18" s="39"/>
      <c r="AG18" s="39"/>
      <c r="AH18" s="36"/>
      <c r="AI18" s="36"/>
      <c r="AJ18" s="36"/>
      <c r="AK18" s="36"/>
      <c r="AL18" s="36"/>
      <c r="AM18" s="36"/>
      <c r="AN18" s="36"/>
      <c r="AO18" s="36"/>
      <c r="AP18" s="36"/>
      <c r="AQ18" s="34" t="s">
        <v>203</v>
      </c>
      <c r="AR18" s="39" t="n">
        <f aca="false">INDEX('Data 2'!$L$2:$L$2198,MATCH(AQ18,'Data 2'!$A$2:$A$2198,0))</f>
        <v>17.7566666666667</v>
      </c>
      <c r="AS18" s="39" t="n">
        <f aca="false">INDEX('Data 2'!$M$2:$M$2198,MATCH(AQ18,'Data 2'!$A$2:$A$2198,0))</f>
        <v>-35.11125</v>
      </c>
      <c r="AT18" s="34" t="s">
        <v>164</v>
      </c>
      <c r="AU18" s="39" t="n">
        <f aca="false">INDEX('Data 2'!$L$2:$L$2198,MATCH(AT18,'Data 2'!$A$2:$A$2198,0))</f>
        <v>-125.086666666667</v>
      </c>
      <c r="AV18" s="39" t="n">
        <f aca="false">INDEX('Data 2'!$M$2:$M$2198,MATCH(AT18,'Data 2'!$A$2:$A$2198,0))</f>
        <v>-114.465</v>
      </c>
      <c r="AW18" s="34" t="s">
        <v>236</v>
      </c>
      <c r="AX18" s="39" t="n">
        <f aca="false">INDEX('Data 2'!$L$2:$L$2198,MATCH(AW18,'Data 2'!$A$2:$A$2198,0))</f>
        <v>-10.8966666666667</v>
      </c>
      <c r="AY18" s="39" t="n">
        <f aca="false">INDEX('Data 2'!$M$2:$M$2198,MATCH(AW18,'Data 2'!$A$2:$A$2198,0))</f>
        <v>-48.05875</v>
      </c>
      <c r="AZ18" s="34" t="s">
        <v>374</v>
      </c>
      <c r="BA18" s="39" t="n">
        <f aca="false">INDEX('Data 2'!$L$2:$L$2198,MATCH(AZ18,'Data 2'!$A$2:$A$2198,0))</f>
        <v>0.726666666666669</v>
      </c>
      <c r="BB18" s="39" t="n">
        <f aca="false">INDEX('Data 2'!$M$2:$M$2198,MATCH(AZ18,'Data 2'!$A$2:$A$2198,0))</f>
        <v>0.278749999999999</v>
      </c>
      <c r="BC18" s="34" t="s">
        <v>65</v>
      </c>
      <c r="BD18" s="39" t="n">
        <f aca="false">INDEX('Data 2'!$L$2:$L$2198,MATCH(BC18,'Data 2'!$A$2:$A$2198,0))</f>
        <v>-11.2566666666667</v>
      </c>
      <c r="BE18" s="39" t="n">
        <f aca="false">INDEX('Data 2'!$M$2:$M$2198,MATCH(BC18,'Data 2'!$A$2:$A$2198,0))</f>
        <v>-72.91125</v>
      </c>
      <c r="BF18" s="34"/>
      <c r="BG18" s="39"/>
      <c r="BH18" s="39"/>
      <c r="BP18" s="34" t="s">
        <v>249</v>
      </c>
      <c r="BQ18" s="39" t="n">
        <f aca="false">INDEX('Data 2'!$L$2:$L$2198,MATCH(BP18,'Data 2'!$A$2:$A$2198,0))</f>
        <v>-12.81</v>
      </c>
      <c r="BR18" s="39" t="n">
        <f aca="false">INDEX('Data 2'!$M$2:$M$2198,MATCH(BP18,'Data 2'!$A$2:$A$2198,0))</f>
        <v>16.07</v>
      </c>
    </row>
    <row r="19" customFormat="false" ht="15.75" hidden="false" customHeight="true" outlineLevel="0" collapsed="false">
      <c r="A19" s="36"/>
      <c r="B19" s="39"/>
      <c r="C19" s="39"/>
      <c r="D19" s="36"/>
      <c r="E19" s="36"/>
      <c r="F19" s="36"/>
      <c r="G19" s="36"/>
      <c r="H19" s="36"/>
      <c r="I19" s="36"/>
      <c r="K19" s="39"/>
      <c r="L19" s="39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62" t="s">
        <v>146</v>
      </c>
      <c r="AC19" s="39" t="n">
        <f aca="false">INDEX('Data 2'!$L$2:$L$2198,MATCH(AB19,'Data 2'!$A$2:$A$2198,0))</f>
        <v>64.1</v>
      </c>
      <c r="AD19" s="39" t="n">
        <f aca="false">INDEX('Data 2'!$M$2:$M$2198,MATCH(AB19,'Data 2'!$A$2:$A$2198,0))</f>
        <v>37.375</v>
      </c>
      <c r="AF19" s="39"/>
      <c r="AG19" s="39"/>
      <c r="AH19" s="36"/>
      <c r="AI19" s="36"/>
      <c r="AJ19" s="36"/>
      <c r="AK19" s="36"/>
      <c r="AL19" s="36"/>
      <c r="AM19" s="36"/>
      <c r="AN19" s="36"/>
      <c r="AO19" s="36"/>
      <c r="AP19" s="36"/>
      <c r="AQ19" s="34" t="s">
        <v>440</v>
      </c>
      <c r="AR19" s="39" t="n">
        <f aca="false">INDEX('Data 2'!$L$2:$L$2198,MATCH(AQ19,'Data 2'!$A$2:$A$2198,0))</f>
        <v>52.1666666666667</v>
      </c>
      <c r="AS19" s="39" t="n">
        <f aca="false">INDEX('Data 2'!$M$2:$M$2198,MATCH(AQ19,'Data 2'!$A$2:$A$2198,0))</f>
        <v>19.395</v>
      </c>
      <c r="AT19" s="34" t="s">
        <v>116</v>
      </c>
      <c r="AU19" s="39" t="n">
        <f aca="false">INDEX('Data 2'!$L$2:$L$2198,MATCH(AT19,'Data 2'!$A$2:$A$2198,0))</f>
        <v>-30.3066666666667</v>
      </c>
      <c r="AV19" s="39" t="n">
        <f aca="false">INDEX('Data 2'!$M$2:$M$2198,MATCH(AT19,'Data 2'!$A$2:$A$2198,0))</f>
        <v>-16.89125</v>
      </c>
      <c r="AW19" s="34" t="s">
        <v>201</v>
      </c>
      <c r="AX19" s="39" t="n">
        <f aca="false">INDEX('Data 2'!$L$2:$L$2198,MATCH(AW19,'Data 2'!$A$2:$A$2198,0))</f>
        <v>-100.29</v>
      </c>
      <c r="AY19" s="39" t="n">
        <f aca="false">INDEX('Data 2'!$M$2:$M$2198,MATCH(AW19,'Data 2'!$A$2:$A$2198,0))</f>
        <v>-112.61375</v>
      </c>
      <c r="AZ19" s="34" t="s">
        <v>584</v>
      </c>
      <c r="BA19" s="39" t="n">
        <f aca="false">INDEX('Data 2'!$L$2:$L$2198,MATCH(AZ19,'Data 2'!$A$2:$A$2198,0))</f>
        <v>-49.5566666666667</v>
      </c>
      <c r="BB19" s="39" t="n">
        <f aca="false">INDEX('Data 2'!$M$2:$M$2198,MATCH(AZ19,'Data 2'!$A$2:$A$2198,0))</f>
        <v>88.7675</v>
      </c>
      <c r="BC19" s="34" t="s">
        <v>162</v>
      </c>
      <c r="BD19" s="39" t="n">
        <f aca="false">INDEX('Data 2'!$L$2:$L$2198,MATCH(BC19,'Data 2'!$A$2:$A$2198,0))</f>
        <v>-11.3766666666667</v>
      </c>
      <c r="BE19" s="39" t="n">
        <f aca="false">INDEX('Data 2'!$M$2:$M$2198,MATCH(BC19,'Data 2'!$A$2:$A$2198,0))</f>
        <v>-4.32375</v>
      </c>
      <c r="BF19" s="34"/>
      <c r="BG19" s="39"/>
      <c r="BH19" s="39"/>
      <c r="BP19" s="34" t="s">
        <v>122</v>
      </c>
      <c r="BQ19" s="39" t="n">
        <f aca="false">INDEX('Data 2'!$L$2:$L$2198,MATCH(BP19,'Data 2'!$A$2:$A$2198,0))</f>
        <v>43.86</v>
      </c>
      <c r="BR19" s="39" t="n">
        <f aca="false">INDEX('Data 2'!$M$2:$M$2198,MATCH(BP19,'Data 2'!$A$2:$A$2198,0))</f>
        <v>76.56</v>
      </c>
    </row>
    <row r="20" customFormat="false" ht="15.75" hidden="false" customHeight="true" outlineLevel="0" collapsed="false">
      <c r="A20" s="36"/>
      <c r="B20" s="36"/>
      <c r="C20" s="36"/>
      <c r="D20" s="36"/>
      <c r="E20" s="36"/>
      <c r="F20" s="36"/>
      <c r="G20" s="36"/>
      <c r="H20" s="36"/>
      <c r="I20" s="36"/>
      <c r="K20" s="39"/>
      <c r="L20" s="39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62" t="s">
        <v>407</v>
      </c>
      <c r="AC20" s="39" t="n">
        <f aca="false">INDEX('Data 2'!$L$2:$L$2198,MATCH(AB20,'Data 2'!$A$2:$A$2198,0))</f>
        <v>121.163333333333</v>
      </c>
      <c r="AD20" s="39" t="n">
        <f aca="false">INDEX('Data 2'!$M$2:$M$2198,MATCH(AB20,'Data 2'!$A$2:$A$2198,0))</f>
        <v>104.09375</v>
      </c>
      <c r="AF20" s="39"/>
      <c r="AG20" s="39"/>
      <c r="AH20" s="36"/>
      <c r="AI20" s="36"/>
      <c r="AJ20" s="36"/>
      <c r="AK20" s="36"/>
      <c r="AL20" s="36"/>
      <c r="AM20" s="36"/>
      <c r="AN20" s="36"/>
      <c r="AO20" s="36"/>
      <c r="AP20" s="36"/>
      <c r="AQ20" s="34" t="s">
        <v>520</v>
      </c>
      <c r="AR20" s="39" t="n">
        <f aca="false">INDEX('Data 2'!$L$2:$L$2198,MATCH(AQ20,'Data 2'!$A$2:$A$2198,0))</f>
        <v>101.95</v>
      </c>
      <c r="AS20" s="39" t="n">
        <f aca="false">INDEX('Data 2'!$M$2:$M$2198,MATCH(AQ20,'Data 2'!$A$2:$A$2198,0))</f>
        <v>93.65125</v>
      </c>
      <c r="AT20" s="34" t="s">
        <v>97</v>
      </c>
      <c r="AU20" s="39" t="n">
        <f aca="false">INDEX('Data 2'!$L$2:$L$2198,MATCH(AT20,'Data 2'!$A$2:$A$2198,0))</f>
        <v>32.2433333333333</v>
      </c>
      <c r="AV20" s="39" t="n">
        <f aca="false">INDEX('Data 2'!$M$2:$M$2198,MATCH(AT20,'Data 2'!$A$2:$A$2198,0))</f>
        <v>46.7875</v>
      </c>
      <c r="AW20" s="34" t="s">
        <v>80</v>
      </c>
      <c r="AX20" s="39" t="n">
        <f aca="false">INDEX('Data 2'!$L$2:$L$2198,MATCH(AW20,'Data 2'!$A$2:$A$2198,0))</f>
        <v>-100.336666666667</v>
      </c>
      <c r="AY20" s="39" t="n">
        <f aca="false">INDEX('Data 2'!$M$2:$M$2198,MATCH(AW20,'Data 2'!$A$2:$A$2198,0))</f>
        <v>-99.655</v>
      </c>
      <c r="AZ20" s="34" t="s">
        <v>442</v>
      </c>
      <c r="BA20" s="39" t="n">
        <f aca="false">INDEX('Data 2'!$L$2:$L$2198,MATCH(AZ20,'Data 2'!$A$2:$A$2198,0))</f>
        <v>120.24</v>
      </c>
      <c r="BB20" s="39" t="n">
        <f aca="false">INDEX('Data 2'!$M$2:$M$2198,MATCH(AZ20,'Data 2'!$A$2:$A$2198,0))</f>
        <v>101.32875</v>
      </c>
      <c r="BC20" s="34" t="s">
        <v>238</v>
      </c>
      <c r="BD20" s="39" t="n">
        <f aca="false">INDEX('Data 2'!$L$2:$L$2198,MATCH(BC20,'Data 2'!$A$2:$A$2198,0))</f>
        <v>-64.89</v>
      </c>
      <c r="BE20" s="39" t="n">
        <f aca="false">INDEX('Data 2'!$M$2:$M$2198,MATCH(BC20,'Data 2'!$A$2:$A$2198,0))</f>
        <v>-70.58875</v>
      </c>
      <c r="BF20" s="34"/>
      <c r="BG20" s="39"/>
      <c r="BH20" s="39"/>
      <c r="BP20" s="34" t="s">
        <v>54</v>
      </c>
      <c r="BQ20" s="39" t="n">
        <f aca="false">INDEX('Data 2'!$L$2:$L$2198,MATCH(BP20,'Data 2'!$A$2:$A$2198,0))</f>
        <v>-8.38666666666667</v>
      </c>
      <c r="BR20" s="39" t="n">
        <f aca="false">INDEX('Data 2'!$M$2:$M$2198,MATCH(BP20,'Data 2'!$A$2:$A$2198,0))</f>
        <v>-5.17875</v>
      </c>
    </row>
    <row r="21" customFormat="false" ht="15.75" hidden="false" customHeight="true" outlineLevel="0" collapsed="false">
      <c r="A21" s="36"/>
      <c r="B21" s="36"/>
      <c r="C21" s="36"/>
      <c r="D21" s="36"/>
      <c r="E21" s="36"/>
      <c r="F21" s="36"/>
      <c r="G21" s="36"/>
      <c r="H21" s="36"/>
      <c r="I21" s="36"/>
      <c r="K21" s="39"/>
      <c r="L21" s="39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62" t="s">
        <v>249</v>
      </c>
      <c r="AC21" s="39" t="n">
        <f aca="false">INDEX('Data 2'!$L$2:$L$2198,MATCH(AB21,'Data 2'!$A$2:$A$2198,0))</f>
        <v>-12.81</v>
      </c>
      <c r="AD21" s="39" t="n">
        <f aca="false">INDEX('Data 2'!$M$2:$M$2198,MATCH(AB21,'Data 2'!$A$2:$A$2198,0))</f>
        <v>16.07</v>
      </c>
      <c r="AF21" s="39"/>
      <c r="AG21" s="39"/>
      <c r="AH21" s="36"/>
      <c r="AI21" s="36"/>
      <c r="AJ21" s="36"/>
      <c r="AK21" s="36"/>
      <c r="AL21" s="36"/>
      <c r="AM21" s="36"/>
      <c r="AN21" s="36"/>
      <c r="AO21" s="36"/>
      <c r="AP21" s="36"/>
      <c r="AQ21" s="34" t="s">
        <v>169</v>
      </c>
      <c r="AR21" s="39" t="n">
        <f aca="false">INDEX('Data 2'!$L$2:$L$2198,MATCH(AQ21,'Data 2'!$A$2:$A$2198,0))</f>
        <v>-78.8333333333333</v>
      </c>
      <c r="AS21" s="39" t="n">
        <f aca="false">INDEX('Data 2'!$M$2:$M$2198,MATCH(AQ21,'Data 2'!$A$2:$A$2198,0))</f>
        <v>-13.07875</v>
      </c>
      <c r="AT21" s="34" t="s">
        <v>183</v>
      </c>
      <c r="AU21" s="39" t="n">
        <f aca="false">INDEX('Data 2'!$L$2:$L$2198,MATCH(AT21,'Data 2'!$A$2:$A$2198,0))</f>
        <v>1.88</v>
      </c>
      <c r="AV21" s="39" t="n">
        <f aca="false">INDEX('Data 2'!$M$2:$M$2198,MATCH(AT21,'Data 2'!$A$2:$A$2198,0))</f>
        <v>71.27375</v>
      </c>
      <c r="AW21" s="34" t="s">
        <v>196</v>
      </c>
      <c r="AX21" s="39" t="n">
        <f aca="false">INDEX('Data 2'!$L$2:$L$2198,MATCH(AW21,'Data 2'!$A$2:$A$2198,0))</f>
        <v>-119.943333333333</v>
      </c>
      <c r="AY21" s="39" t="n">
        <f aca="false">INDEX('Data 2'!$M$2:$M$2198,MATCH(AW21,'Data 2'!$A$2:$A$2198,0))</f>
        <v>-138.31375</v>
      </c>
      <c r="AZ21" s="34" t="s">
        <v>398</v>
      </c>
      <c r="BA21" s="39" t="n">
        <f aca="false">INDEX('Data 2'!$L$2:$L$2198,MATCH(AZ21,'Data 2'!$A$2:$A$2198,0))</f>
        <v>-59</v>
      </c>
      <c r="BB21" s="39" t="n">
        <f aca="false">INDEX('Data 2'!$M$2:$M$2198,MATCH(AZ21,'Data 2'!$A$2:$A$2198,0))</f>
        <v>-66.46125</v>
      </c>
      <c r="BC21" s="34" t="s">
        <v>344</v>
      </c>
      <c r="BD21" s="39" t="n">
        <f aca="false">INDEX('Data 2'!$L$2:$L$2198,MATCH(BC21,'Data 2'!$A$2:$A$2198,0))</f>
        <v>-74.62</v>
      </c>
      <c r="BE21" s="39" t="n">
        <f aca="false">INDEX('Data 2'!$M$2:$M$2198,MATCH(BC21,'Data 2'!$A$2:$A$2198,0))</f>
        <v>-85.1225</v>
      </c>
      <c r="BF21" s="34"/>
      <c r="BG21" s="39"/>
      <c r="BH21" s="39"/>
      <c r="BP21" s="34" t="s">
        <v>211</v>
      </c>
      <c r="BQ21" s="39" t="n">
        <f aca="false">INDEX('Data 2'!$L$2:$L$2198,MATCH(BP21,'Data 2'!$A$2:$A$2198,0))</f>
        <v>7.07</v>
      </c>
      <c r="BR21" s="39" t="n">
        <f aca="false">INDEX('Data 2'!$M$2:$M$2198,MATCH(BP21,'Data 2'!$A$2:$A$2198,0))</f>
        <v>80.28125</v>
      </c>
    </row>
    <row r="22" customFormat="false" ht="15.75" hidden="false" customHeight="true" outlineLevel="0" collapsed="false">
      <c r="A22" s="36"/>
      <c r="B22" s="36"/>
      <c r="C22" s="36"/>
      <c r="D22" s="36"/>
      <c r="E22" s="36"/>
      <c r="F22" s="36"/>
      <c r="G22" s="36"/>
      <c r="H22" s="36"/>
      <c r="I22" s="36"/>
      <c r="K22" s="39"/>
      <c r="L22" s="39"/>
      <c r="M22" s="36"/>
      <c r="N22" s="36"/>
      <c r="O22" s="36"/>
      <c r="P22" s="36"/>
      <c r="Q22" s="36"/>
      <c r="R22" s="36"/>
      <c r="S22" s="37"/>
      <c r="T22" s="37"/>
      <c r="U22" s="37"/>
      <c r="V22" s="36"/>
      <c r="W22" s="41"/>
      <c r="X22" s="36"/>
      <c r="Y22" s="36"/>
      <c r="Z22" s="36"/>
      <c r="AA22" s="36"/>
      <c r="AB22" s="62" t="s">
        <v>323</v>
      </c>
      <c r="AC22" s="39" t="n">
        <f aca="false">INDEX('Data 2'!$L$2:$L$2198,MATCH(AB22,'Data 2'!$A$2:$A$2198,0))</f>
        <v>-68.01</v>
      </c>
      <c r="AD22" s="39" t="n">
        <f aca="false">INDEX('Data 2'!$M$2:$M$2198,MATCH(AB22,'Data 2'!$A$2:$A$2198,0))</f>
        <v>-51.59625</v>
      </c>
      <c r="AF22" s="39"/>
      <c r="AG22" s="39"/>
      <c r="AH22" s="36"/>
      <c r="AI22" s="36"/>
      <c r="AJ22" s="36"/>
      <c r="AK22" s="36"/>
      <c r="AL22" s="36"/>
      <c r="AM22" s="36"/>
      <c r="AN22" s="36"/>
      <c r="AO22" s="36"/>
      <c r="AP22" s="36"/>
      <c r="AQ22" s="34" t="s">
        <v>181</v>
      </c>
      <c r="AR22" s="39" t="n">
        <f aca="false">INDEX('Data 2'!$L$2:$L$2198,MATCH(AQ22,'Data 2'!$A$2:$A$2198,0))</f>
        <v>76.9766666666667</v>
      </c>
      <c r="AS22" s="39" t="n">
        <f aca="false">INDEX('Data 2'!$M$2:$M$2198,MATCH(AQ22,'Data 2'!$A$2:$A$2198,0))</f>
        <v>100.7175</v>
      </c>
      <c r="AT22" s="34" t="s">
        <v>27</v>
      </c>
      <c r="AU22" s="39" t="n">
        <f aca="false">INDEX('Data 2'!$L$2:$L$2198,MATCH(AT22,'Data 2'!$A$2:$A$2198,0))</f>
        <v>-64.4466666666667</v>
      </c>
      <c r="AV22" s="39" t="n">
        <f aca="false">INDEX('Data 2'!$M$2:$M$2198,MATCH(AT22,'Data 2'!$A$2:$A$2198,0))</f>
        <v>-5.2</v>
      </c>
      <c r="AW22" s="34" t="s">
        <v>433</v>
      </c>
      <c r="AX22" s="39" t="n">
        <f aca="false">INDEX('Data 2'!$L$2:$L$2198,MATCH(AW22,'Data 2'!$A$2:$A$2198,0))</f>
        <v>-75.43</v>
      </c>
      <c r="AY22" s="39" t="n">
        <f aca="false">INDEX('Data 2'!$M$2:$M$2198,MATCH(AW22,'Data 2'!$A$2:$A$2198,0))</f>
        <v>-107.055</v>
      </c>
      <c r="AZ22" s="34" t="s">
        <v>158</v>
      </c>
      <c r="BA22" s="39" t="n">
        <f aca="false">INDEX('Data 2'!$L$2:$L$2198,MATCH(AZ22,'Data 2'!$A$2:$A$2198,0))</f>
        <v>78.3733333333333</v>
      </c>
      <c r="BB22" s="39" t="n">
        <f aca="false">INDEX('Data 2'!$M$2:$M$2198,MATCH(AZ22,'Data 2'!$A$2:$A$2198,0))</f>
        <v>232.9675</v>
      </c>
      <c r="BC22" s="34" t="s">
        <v>189</v>
      </c>
      <c r="BD22" s="39" t="n">
        <f aca="false">INDEX('Data 2'!$L$2:$L$2198,MATCH(BC22,'Data 2'!$A$2:$A$2198,0))</f>
        <v>-57.4466666666667</v>
      </c>
      <c r="BE22" s="39" t="n">
        <f aca="false">INDEX('Data 2'!$M$2:$M$2198,MATCH(BC22,'Data 2'!$A$2:$A$2198,0))</f>
        <v>-98.99125</v>
      </c>
      <c r="BF22" s="34"/>
      <c r="BG22" s="39"/>
      <c r="BH22" s="39"/>
      <c r="BP22" s="34" t="s">
        <v>149</v>
      </c>
      <c r="BQ22" s="39" t="n">
        <f aca="false">INDEX('Data 2'!$L$2:$L$2198,MATCH(BP22,'Data 2'!$A$2:$A$2198,0))</f>
        <v>100.756666666667</v>
      </c>
      <c r="BR22" s="39" t="n">
        <f aca="false">INDEX('Data 2'!$M$2:$M$2198,MATCH(BP22,'Data 2'!$A$2:$A$2198,0))</f>
        <v>21.885</v>
      </c>
    </row>
    <row r="23" customFormat="false" ht="15.75" hidden="false" customHeight="true" outlineLevel="0" collapsed="false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41"/>
      <c r="X23" s="37"/>
      <c r="Y23" s="37"/>
      <c r="Z23" s="37"/>
      <c r="AA23" s="37"/>
      <c r="AB23" s="62" t="s">
        <v>82</v>
      </c>
      <c r="AC23" s="39" t="n">
        <f aca="false">INDEX('Data 2'!$L$2:$L$2198,MATCH(AB23,'Data 2'!$A$2:$A$2198,0))</f>
        <v>82.12</v>
      </c>
      <c r="AD23" s="39" t="n">
        <f aca="false">INDEX('Data 2'!$M$2:$M$2198,MATCH(AB23,'Data 2'!$A$2:$A$2198,0))</f>
        <v>-13.0425</v>
      </c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T23" s="34" t="s">
        <v>117</v>
      </c>
      <c r="AU23" s="39" t="n">
        <f aca="false">INDEX('Data 2'!$L$2:$L$2198,MATCH(AT23,'Data 2'!$A$2:$A$2198,0))</f>
        <v>10.9333333333333</v>
      </c>
      <c r="AV23" s="39" t="n">
        <f aca="false">INDEX('Data 2'!$M$2:$M$2198,MATCH(AT23,'Data 2'!$A$2:$A$2198,0))</f>
        <v>53.91</v>
      </c>
      <c r="AZ23" s="34" t="s">
        <v>147</v>
      </c>
      <c r="BA23" s="39" t="n">
        <f aca="false">INDEX('Data 2'!$L$2:$L$2198,MATCH(AZ23,'Data 2'!$A$2:$A$2198,0))</f>
        <v>2.83333333333333</v>
      </c>
      <c r="BB23" s="39" t="n">
        <f aca="false">INDEX('Data 2'!$M$2:$M$2198,MATCH(AZ23,'Data 2'!$A$2:$A$2198,0))</f>
        <v>1.0425</v>
      </c>
      <c r="BC23" s="34" t="s">
        <v>236</v>
      </c>
      <c r="BD23" s="39" t="n">
        <f aca="false">INDEX('Data 2'!$L$2:$L$2198,MATCH(BC23,'Data 2'!$A$2:$A$2198,0))</f>
        <v>-10.8966666666667</v>
      </c>
      <c r="BE23" s="39" t="n">
        <f aca="false">INDEX('Data 2'!$M$2:$M$2198,MATCH(BC23,'Data 2'!$A$2:$A$2198,0))</f>
        <v>-48.05875</v>
      </c>
      <c r="BF23" s="34"/>
      <c r="BG23" s="39"/>
      <c r="BH23" s="39"/>
      <c r="BP23" s="34" t="s">
        <v>173</v>
      </c>
      <c r="BQ23" s="39" t="n">
        <f aca="false">INDEX('Data 2'!$L$2:$L$2198,MATCH(BP23,'Data 2'!$A$2:$A$2198,0))</f>
        <v>38.0766666666667</v>
      </c>
      <c r="BR23" s="39" t="n">
        <f aca="false">INDEX('Data 2'!$M$2:$M$2198,MATCH(BP23,'Data 2'!$A$2:$A$2198,0))</f>
        <v>91.0825</v>
      </c>
    </row>
    <row r="24" customFormat="false" ht="15.75" hidden="false" customHeight="true" outlineLevel="0" collapsed="false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41"/>
      <c r="X24" s="37"/>
      <c r="Y24" s="37"/>
      <c r="Z24" s="37"/>
      <c r="AA24" s="37"/>
      <c r="AB24" s="62" t="s">
        <v>51</v>
      </c>
      <c r="AC24" s="39" t="n">
        <f aca="false">INDEX('Data 2'!$L$2:$L$2198,MATCH(AB24,'Data 2'!$A$2:$A$2198,0))</f>
        <v>-35.4266666666667</v>
      </c>
      <c r="AD24" s="39" t="n">
        <f aca="false">INDEX('Data 2'!$M$2:$M$2198,MATCH(AB24,'Data 2'!$A$2:$A$2198,0))</f>
        <v>-8.76</v>
      </c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T24" s="34" t="s">
        <v>215</v>
      </c>
      <c r="AU24" s="39" t="n">
        <f aca="false">INDEX('Data 2'!$L$2:$L$2198,MATCH(AT24,'Data 2'!$A$2:$A$2198,0))</f>
        <v>96.4633333333334</v>
      </c>
      <c r="AV24" s="39" t="n">
        <f aca="false">INDEX('Data 2'!$M$2:$M$2198,MATCH(AT24,'Data 2'!$A$2:$A$2198,0))</f>
        <v>176.52125</v>
      </c>
      <c r="AZ24" s="34" t="s">
        <v>54</v>
      </c>
      <c r="BA24" s="39" t="n">
        <f aca="false">INDEX('Data 2'!$L$2:$L$2198,MATCH(AZ24,'Data 2'!$A$2:$A$2198,0))</f>
        <v>-8.38666666666667</v>
      </c>
      <c r="BB24" s="39" t="n">
        <f aca="false">INDEX('Data 2'!$M$2:$M$2198,MATCH(AZ24,'Data 2'!$A$2:$A$2198,0))</f>
        <v>-5.17875</v>
      </c>
      <c r="BC24" s="34" t="s">
        <v>74</v>
      </c>
      <c r="BD24" s="39" t="n">
        <f aca="false">INDEX('Data 2'!$L$2:$L$2198,MATCH(BC24,'Data 2'!$A$2:$A$2198,0))</f>
        <v>-53.6766666666667</v>
      </c>
      <c r="BE24" s="39" t="n">
        <f aca="false">INDEX('Data 2'!$M$2:$M$2198,MATCH(BC24,'Data 2'!$A$2:$A$2198,0))</f>
        <v>-26.51875</v>
      </c>
      <c r="BF24" s="34"/>
      <c r="BG24" s="39"/>
      <c r="BH24" s="39"/>
      <c r="BP24" s="34" t="s">
        <v>203</v>
      </c>
      <c r="BQ24" s="39" t="n">
        <f aca="false">INDEX('Data 2'!$L$2:$L$2198,MATCH(BP24,'Data 2'!$A$2:$A$2198,0))</f>
        <v>17.7566666666667</v>
      </c>
      <c r="BR24" s="39" t="n">
        <f aca="false">INDEX('Data 2'!$M$2:$M$2198,MATCH(BP24,'Data 2'!$A$2:$A$2198,0))</f>
        <v>-35.11125</v>
      </c>
    </row>
    <row r="25" customFormat="false" ht="15.75" hidden="false" customHeight="true" outlineLevel="0" collapsed="false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41"/>
      <c r="X25" s="37"/>
      <c r="Y25" s="37"/>
      <c r="Z25" s="37"/>
      <c r="AA25" s="37"/>
      <c r="AB25" s="62" t="s">
        <v>115</v>
      </c>
      <c r="AC25" s="39" t="n">
        <f aca="false">INDEX('Data 2'!$L$2:$L$2198,MATCH(AB25,'Data 2'!$A$2:$A$2198,0))</f>
        <v>99.38</v>
      </c>
      <c r="AD25" s="39" t="n">
        <f aca="false">INDEX('Data 2'!$M$2:$M$2198,MATCH(AB25,'Data 2'!$A$2:$A$2198,0))</f>
        <v>120.785</v>
      </c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T25" s="34" t="s">
        <v>211</v>
      </c>
      <c r="AU25" s="39" t="n">
        <f aca="false">INDEX('Data 2'!$L$2:$L$2198,MATCH(AT25,'Data 2'!$A$2:$A$2198,0))</f>
        <v>7.07</v>
      </c>
      <c r="AV25" s="39" t="n">
        <f aca="false">INDEX('Data 2'!$M$2:$M$2198,MATCH(AT25,'Data 2'!$A$2:$A$2198,0))</f>
        <v>80.28125</v>
      </c>
      <c r="AZ25" s="34" t="s">
        <v>437</v>
      </c>
      <c r="BA25" s="39" t="n">
        <f aca="false">INDEX('Data 2'!$L$2:$L$2198,MATCH(AZ25,'Data 2'!$A$2:$A$2198,0))</f>
        <v>16.36</v>
      </c>
      <c r="BB25" s="39" t="n">
        <f aca="false">INDEX('Data 2'!$M$2:$M$2198,MATCH(AZ25,'Data 2'!$A$2:$A$2198,0))</f>
        <v>-12.60875</v>
      </c>
      <c r="BC25" s="34" t="s">
        <v>262</v>
      </c>
      <c r="BD25" s="39" t="n">
        <f aca="false">INDEX('Data 2'!$L$2:$L$2198,MATCH(BC25,'Data 2'!$A$2:$A$2198,0))</f>
        <v>-84.06</v>
      </c>
      <c r="BE25" s="39" t="n">
        <f aca="false">INDEX('Data 2'!$M$2:$M$2198,MATCH(BC25,'Data 2'!$A$2:$A$2198,0))</f>
        <v>-28.10375</v>
      </c>
      <c r="BP25" s="34" t="s">
        <v>56</v>
      </c>
      <c r="BQ25" s="39" t="n">
        <f aca="false">INDEX('Data 2'!$L$2:$L$2198,MATCH(BP25,'Data 2'!$A$2:$A$2198,0))</f>
        <v>29.0366666666667</v>
      </c>
      <c r="BR25" s="39" t="n">
        <f aca="false">INDEX('Data 2'!$M$2:$M$2198,MATCH(BP25,'Data 2'!$A$2:$A$2198,0))</f>
        <v>50.28375</v>
      </c>
    </row>
    <row r="26" customFormat="false" ht="15.75" hidden="false" customHeight="true" outlineLevel="0" collapsed="false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41"/>
      <c r="X26" s="37"/>
      <c r="Y26" s="37"/>
      <c r="Z26" s="37"/>
      <c r="AA26" s="37"/>
      <c r="AB26" s="62" t="s">
        <v>109</v>
      </c>
      <c r="AC26" s="39" t="n">
        <f aca="false">INDEX('Data 2'!$L$2:$L$2198,MATCH(AB26,'Data 2'!$A$2:$A$2198,0))</f>
        <v>73.5233333333333</v>
      </c>
      <c r="AD26" s="39" t="n">
        <f aca="false">INDEX('Data 2'!$M$2:$M$2198,MATCH(AB26,'Data 2'!$A$2:$A$2198,0))</f>
        <v>88.1925</v>
      </c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T26" s="34" t="s">
        <v>43</v>
      </c>
      <c r="AU26" s="39" t="n">
        <f aca="false">INDEX('Data 2'!$L$2:$L$2198,MATCH(AT26,'Data 2'!$A$2:$A$2198,0))</f>
        <v>-79.8366666666667</v>
      </c>
      <c r="AV26" s="39" t="n">
        <f aca="false">INDEX('Data 2'!$M$2:$M$2198,MATCH(AT26,'Data 2'!$A$2:$A$2198,0))</f>
        <v>-36.58625</v>
      </c>
      <c r="AZ26" s="34" t="s">
        <v>438</v>
      </c>
      <c r="BA26" s="39" t="n">
        <f aca="false">INDEX('Data 2'!$L$2:$L$2198,MATCH(AZ26,'Data 2'!$A$2:$A$2198,0))</f>
        <v>-2.72</v>
      </c>
      <c r="BB26" s="39" t="n">
        <f aca="false">INDEX('Data 2'!$M$2:$M$2198,MATCH(AZ26,'Data 2'!$A$2:$A$2198,0))</f>
        <v>-6.77375</v>
      </c>
      <c r="BC26" s="34" t="s">
        <v>101</v>
      </c>
      <c r="BD26" s="39" t="n">
        <f aca="false">INDEX('Data 2'!$L$2:$L$2198,MATCH(BC26,'Data 2'!$A$2:$A$2198,0))</f>
        <v>33.6566666666667</v>
      </c>
      <c r="BE26" s="39" t="n">
        <f aca="false">INDEX('Data 2'!$M$2:$M$2198,MATCH(BC26,'Data 2'!$A$2:$A$2198,0))</f>
        <v>42.42875</v>
      </c>
      <c r="BP26" s="34" t="s">
        <v>234</v>
      </c>
      <c r="BQ26" s="39" t="n">
        <f aca="false">INDEX('Data 2'!$L$2:$L$2198,MATCH(BP26,'Data 2'!$A$2:$A$2198,0))</f>
        <v>-7.70666666666667</v>
      </c>
      <c r="BR26" s="39" t="n">
        <f aca="false">INDEX('Data 2'!$M$2:$M$2198,MATCH(BP26,'Data 2'!$A$2:$A$2198,0))</f>
        <v>-11.97375</v>
      </c>
    </row>
    <row r="27" customFormat="false" ht="15.75" hidden="false" customHeight="true" outlineLevel="0" collapsed="false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41"/>
      <c r="X27" s="37"/>
      <c r="Y27" s="37"/>
      <c r="Z27" s="37"/>
      <c r="AA27" s="37"/>
      <c r="AC27" s="39"/>
      <c r="AD27" s="39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T27" s="34" t="s">
        <v>245</v>
      </c>
      <c r="AU27" s="39" t="n">
        <f aca="false">INDEX('Data 2'!$L$2:$L$2198,MATCH(AT27,'Data 2'!$A$2:$A$2198,0))</f>
        <v>30.24</v>
      </c>
      <c r="AV27" s="39" t="n">
        <f aca="false">INDEX('Data 2'!$M$2:$M$2198,MATCH(AT27,'Data 2'!$A$2:$A$2198,0))</f>
        <v>68.2475</v>
      </c>
      <c r="AZ27" s="34" t="s">
        <v>101</v>
      </c>
      <c r="BA27" s="39" t="n">
        <f aca="false">INDEX('Data 2'!$L$2:$L$2198,MATCH(AZ27,'Data 2'!$A$2:$A$2198,0))</f>
        <v>33.6566666666667</v>
      </c>
      <c r="BB27" s="39" t="n">
        <f aca="false">INDEX('Data 2'!$M$2:$M$2198,MATCH(AZ27,'Data 2'!$A$2:$A$2198,0))</f>
        <v>42.42875</v>
      </c>
      <c r="BC27" s="34" t="s">
        <v>264</v>
      </c>
      <c r="BD27" s="39" t="n">
        <f aca="false">INDEX('Data 2'!$L$2:$L$2198,MATCH(BC27,'Data 2'!$A$2:$A$2198,0))</f>
        <v>-93.3566666666667</v>
      </c>
      <c r="BE27" s="39" t="n">
        <f aca="false">INDEX('Data 2'!$M$2:$M$2198,MATCH(BC27,'Data 2'!$A$2:$A$2198,0))</f>
        <v>-121.41625</v>
      </c>
    </row>
    <row r="28" customFormat="false" ht="15.75" hidden="false" customHeight="true" outlineLevel="0" collapsed="false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41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T28" s="34" t="s">
        <v>112</v>
      </c>
      <c r="AU28" s="39" t="n">
        <f aca="false">INDEX('Data 2'!$L$2:$L$2198,MATCH(AT28,'Data 2'!$A$2:$A$2198,0))</f>
        <v>-72.08</v>
      </c>
      <c r="AV28" s="39" t="n">
        <f aca="false">INDEX('Data 2'!$M$2:$M$2198,MATCH(AT28,'Data 2'!$A$2:$A$2198,0))</f>
        <v>-4.94125</v>
      </c>
      <c r="AZ28" s="34" t="s">
        <v>464</v>
      </c>
      <c r="BA28" s="39" t="n">
        <f aca="false">INDEX('Data 2'!$L$2:$L$2198,MATCH(AZ28,'Data 2'!$A$2:$A$2198,0))</f>
        <v>101.43</v>
      </c>
      <c r="BB28" s="39" t="n">
        <f aca="false">INDEX('Data 2'!$M$2:$M$2198,MATCH(AZ28,'Data 2'!$A$2:$A$2198,0))</f>
        <v>19.62625</v>
      </c>
      <c r="BC28" s="34" t="s">
        <v>220</v>
      </c>
      <c r="BD28" s="39" t="n">
        <f aca="false">INDEX('Data 2'!$L$2:$L$2198,MATCH(BC28,'Data 2'!$A$2:$A$2198,0))</f>
        <v>94.6966666666667</v>
      </c>
      <c r="BE28" s="39" t="n">
        <f aca="false">INDEX('Data 2'!$M$2:$M$2198,MATCH(BC28,'Data 2'!$A$2:$A$2198,0))</f>
        <v>72.03125</v>
      </c>
    </row>
    <row r="29" customFormat="false" ht="15.75" hidden="false" customHeight="true" outlineLevel="0" collapsed="false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41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T29" s="34" t="s">
        <v>163</v>
      </c>
      <c r="AU29" s="39" t="n">
        <f aca="false">INDEX('Data 2'!$L$2:$L$2198,MATCH(AT29,'Data 2'!$A$2:$A$2198,0))</f>
        <v>77.0066666666667</v>
      </c>
      <c r="AV29" s="39" t="n">
        <f aca="false">INDEX('Data 2'!$M$2:$M$2198,MATCH(AT29,'Data 2'!$A$2:$A$2198,0))</f>
        <v>-19.0025</v>
      </c>
      <c r="AZ29" s="34" t="s">
        <v>50</v>
      </c>
      <c r="BA29" s="39" t="n">
        <f aca="false">INDEX('Data 2'!$L$2:$L$2198,MATCH(AZ29,'Data 2'!$A$2:$A$2198,0))</f>
        <v>-130.666666666667</v>
      </c>
      <c r="BB29" s="39" t="n">
        <f aca="false">INDEX('Data 2'!$M$2:$M$2198,MATCH(AZ29,'Data 2'!$A$2:$A$2198,0))</f>
        <v>-131.56</v>
      </c>
      <c r="BC29" s="34" t="s">
        <v>242</v>
      </c>
      <c r="BD29" s="39" t="n">
        <f aca="false">INDEX('Data 2'!$L$2:$L$2198,MATCH(BC29,'Data 2'!$A$2:$A$2198,0))</f>
        <v>-28.8833333333333</v>
      </c>
      <c r="BE29" s="39" t="n">
        <f aca="false">INDEX('Data 2'!$M$2:$M$2198,MATCH(BC29,'Data 2'!$A$2:$A$2198,0))</f>
        <v>-32.350375</v>
      </c>
    </row>
    <row r="30" customFormat="false" ht="15.75" hidden="false" customHeight="true" outlineLevel="0" collapsed="false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41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T30" s="34" t="s">
        <v>339</v>
      </c>
      <c r="AU30" s="39" t="n">
        <f aca="false">INDEX('Data 2'!$L$2:$L$2198,MATCH(AT30,'Data 2'!$A$2:$A$2198,0))</f>
        <v>90.8533333333333</v>
      </c>
      <c r="AV30" s="39" t="n">
        <f aca="false">INDEX('Data 2'!$M$2:$M$2198,MATCH(AT30,'Data 2'!$A$2:$A$2198,0))</f>
        <v>97.425</v>
      </c>
      <c r="AZ30" s="34" t="s">
        <v>49</v>
      </c>
      <c r="BA30" s="39" t="n">
        <f aca="false">INDEX('Data 2'!$L$2:$L$2198,MATCH(AZ30,'Data 2'!$A$2:$A$2198,0))</f>
        <v>11.66</v>
      </c>
      <c r="BB30" s="39" t="n">
        <f aca="false">INDEX('Data 2'!$M$2:$M$2198,MATCH(AZ30,'Data 2'!$A$2:$A$2198,0))</f>
        <v>-34.2975</v>
      </c>
      <c r="BC30" s="34" t="s">
        <v>80</v>
      </c>
      <c r="BD30" s="39" t="n">
        <f aca="false">INDEX('Data 2'!$L$2:$L$2198,MATCH(BC30,'Data 2'!$A$2:$A$2198,0))</f>
        <v>-100.336666666667</v>
      </c>
      <c r="BE30" s="39" t="n">
        <f aca="false">INDEX('Data 2'!$M$2:$M$2198,MATCH(BC30,'Data 2'!$A$2:$A$2198,0))</f>
        <v>-99.655</v>
      </c>
    </row>
    <row r="31" customFormat="false" ht="15.75" hidden="false" customHeight="true" outlineLevel="0" collapsed="false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41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T31" s="34" t="s">
        <v>213</v>
      </c>
      <c r="AU31" s="39" t="n">
        <f aca="false">INDEX('Data 2'!$L$2:$L$2198,MATCH(AT31,'Data 2'!$A$2:$A$2198,0))</f>
        <v>-46.6133333333333</v>
      </c>
      <c r="AV31" s="39" t="n">
        <f aca="false">INDEX('Data 2'!$M$2:$M$2198,MATCH(AT31,'Data 2'!$A$2:$A$2198,0))</f>
        <v>-26.87</v>
      </c>
      <c r="AZ31" s="34" t="s">
        <v>110</v>
      </c>
      <c r="BA31" s="39" t="n">
        <f aca="false">INDEX('Data 2'!$L$2:$L$2198,MATCH(AZ31,'Data 2'!$A$2:$A$2198,0))</f>
        <v>62.7333333333333</v>
      </c>
      <c r="BB31" s="39" t="n">
        <f aca="false">INDEX('Data 2'!$M$2:$M$2198,MATCH(AZ31,'Data 2'!$A$2:$A$2198,0))</f>
        <v>44.105</v>
      </c>
      <c r="BC31" s="34" t="s">
        <v>210</v>
      </c>
      <c r="BD31" s="39" t="n">
        <f aca="false">INDEX('Data 2'!$L$2:$L$2198,MATCH(BC31,'Data 2'!$A$2:$A$2198,0))</f>
        <v>-45.7133333333333</v>
      </c>
      <c r="BE31" s="39" t="n">
        <f aca="false">INDEX('Data 2'!$M$2:$M$2198,MATCH(BC31,'Data 2'!$A$2:$A$2198,0))</f>
        <v>-44.9425</v>
      </c>
    </row>
    <row r="32" customFormat="false" ht="15.75" hidden="false" customHeight="true" outlineLevel="0" collapsed="false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T32" s="34" t="s">
        <v>234</v>
      </c>
      <c r="AU32" s="39" t="n">
        <f aca="false">INDEX('Data 2'!$L$2:$L$2198,MATCH(AT32,'Data 2'!$A$2:$A$2198,0))</f>
        <v>-7.70666666666667</v>
      </c>
      <c r="AV32" s="39" t="n">
        <f aca="false">INDEX('Data 2'!$M$2:$M$2198,MATCH(AT32,'Data 2'!$A$2:$A$2198,0))</f>
        <v>-11.97375</v>
      </c>
      <c r="BC32" s="34" t="s">
        <v>449</v>
      </c>
      <c r="BD32" s="39" t="n">
        <f aca="false">INDEX('Data 2'!$L$2:$L$2198,MATCH(BC32,'Data 2'!$A$2:$A$2198,0))</f>
        <v>-40.0866666666667</v>
      </c>
      <c r="BE32" s="39" t="n">
        <f aca="false">INDEX('Data 2'!$M$2:$M$2198,MATCH(BC32,'Data 2'!$A$2:$A$2198,0))</f>
        <v>-7.62625</v>
      </c>
    </row>
    <row r="33" customFormat="false" ht="15.75" hidden="false" customHeight="true" outlineLevel="0" collapsed="false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BC33" s="34" t="s">
        <v>182</v>
      </c>
      <c r="BD33" s="39" t="n">
        <f aca="false">INDEX('Data 2'!$L$2:$L$2198,MATCH(BC33,'Data 2'!$A$2:$A$2198,0))</f>
        <v>-87.9033333333333</v>
      </c>
      <c r="BE33" s="39" t="n">
        <f aca="false">INDEX('Data 2'!$M$2:$M$2198,MATCH(BC33,'Data 2'!$A$2:$A$2198,0))</f>
        <v>-55.84875</v>
      </c>
    </row>
    <row r="34" customFormat="false" ht="15.75" hidden="false" customHeight="true" outlineLevel="0" collapsed="false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BC34" s="34" t="s">
        <v>303</v>
      </c>
      <c r="BD34" s="39" t="n">
        <f aca="false">INDEX('Data 2'!$L$2:$L$2198,MATCH(BC34,'Data 2'!$A$2:$A$2198,0))</f>
        <v>-6.21466666666667</v>
      </c>
      <c r="BE34" s="39" t="n">
        <f aca="false">INDEX('Data 2'!$M$2:$M$2198,MATCH(BC34,'Data 2'!$A$2:$A$2198,0))</f>
        <v>-51.14675</v>
      </c>
    </row>
    <row r="35" customFormat="false" ht="15.75" hidden="false" customHeight="true" outlineLevel="0" collapsed="false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BC35" s="34" t="s">
        <v>248</v>
      </c>
      <c r="BD35" s="39" t="n">
        <f aca="false">INDEX('Data 2'!$L$2:$L$2198,MATCH(BC35,'Data 2'!$A$2:$A$2198,0))</f>
        <v>-110.906666666667</v>
      </c>
      <c r="BE35" s="39" t="n">
        <f aca="false">INDEX('Data 2'!$M$2:$M$2198,MATCH(BC35,'Data 2'!$A$2:$A$2198,0))</f>
        <v>-53.11875</v>
      </c>
    </row>
    <row r="36" customFormat="false" ht="15.75" hidden="false" customHeight="true" outlineLevel="0" collapsed="false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BC36" s="34" t="s">
        <v>92</v>
      </c>
      <c r="BD36" s="39" t="n">
        <f aca="false">INDEX('Data 2'!$L$2:$L$2198,MATCH(BC36,'Data 2'!$A$2:$A$2198,0))</f>
        <v>-64.3133333333333</v>
      </c>
      <c r="BE36" s="39" t="n">
        <f aca="false">INDEX('Data 2'!$M$2:$M$2198,MATCH(BC36,'Data 2'!$A$2:$A$2198,0))</f>
        <v>-53.4075</v>
      </c>
    </row>
    <row r="37" customFormat="false" ht="15.75" hidden="false" customHeight="true" outlineLevel="0" collapsed="false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BC37" s="34" t="s">
        <v>259</v>
      </c>
      <c r="BD37" s="39" t="n">
        <f aca="false">INDEX('Data 2'!$L$2:$L$2198,MATCH(BC37,'Data 2'!$A$2:$A$2198,0))</f>
        <v>-41.1633333333333</v>
      </c>
      <c r="BE37" s="39" t="n">
        <f aca="false">INDEX('Data 2'!$M$2:$M$2198,MATCH(BC37,'Data 2'!$A$2:$A$2198,0))</f>
        <v>34.05</v>
      </c>
    </row>
    <row r="38" customFormat="false" ht="15.75" hidden="false" customHeight="true" outlineLevel="0" collapsed="false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BC38" s="34" t="s">
        <v>372</v>
      </c>
      <c r="BD38" s="39" t="n">
        <f aca="false">INDEX('Data 2'!$L$2:$L$2198,MATCH(BC38,'Data 2'!$A$2:$A$2198,0))</f>
        <v>-36.98</v>
      </c>
      <c r="BE38" s="39" t="n">
        <f aca="false">INDEX('Data 2'!$M$2:$M$2198,MATCH(BC38,'Data 2'!$A$2:$A$2198,0))</f>
        <v>20.765</v>
      </c>
    </row>
    <row r="39" customFormat="false" ht="15.75" hidden="false" customHeight="true" outlineLevel="0" collapsed="false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BC39" s="34" t="s">
        <v>403</v>
      </c>
      <c r="BD39" s="39" t="n">
        <f aca="false">INDEX('Data 2'!$L$2:$L$2198,MATCH(BC39,'Data 2'!$A$2:$A$2198,0))</f>
        <v>-26.0766666666667</v>
      </c>
      <c r="BE39" s="39" t="n">
        <f aca="false">INDEX('Data 2'!$M$2:$M$2198,MATCH(BC39,'Data 2'!$A$2:$A$2198,0))</f>
        <v>50.505</v>
      </c>
    </row>
    <row r="40" customFormat="false" ht="15.75" hidden="false" customHeight="true" outlineLevel="0" collapsed="false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BC40" s="34" t="s">
        <v>293</v>
      </c>
      <c r="BD40" s="39" t="n">
        <f aca="false">INDEX('Data 2'!$L$2:$L$2198,MATCH(BC40,'Data 2'!$A$2:$A$2198,0))</f>
        <v>-59.95</v>
      </c>
      <c r="BE40" s="39" t="n">
        <f aca="false">INDEX('Data 2'!$M$2:$M$2198,MATCH(BC40,'Data 2'!$A$2:$A$2198,0))</f>
        <v>-69.39</v>
      </c>
    </row>
    <row r="41" customFormat="false" ht="15.75" hidden="false" customHeight="true" outlineLevel="0" collapsed="false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BC41" s="34" t="s">
        <v>462</v>
      </c>
      <c r="BD41" s="39" t="n">
        <f aca="false">INDEX('Data 2'!$L$2:$L$2198,MATCH(BC41,'Data 2'!$A$2:$A$2198,0))</f>
        <v>-2.06</v>
      </c>
      <c r="BE41" s="39" t="n">
        <f aca="false">INDEX('Data 2'!$M$2:$M$2198,MATCH(BC41,'Data 2'!$A$2:$A$2198,0))</f>
        <v>-64.1375</v>
      </c>
    </row>
    <row r="42" customFormat="false" ht="15.75" hidden="false" customHeight="true" outlineLevel="0" collapsed="false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BC42" s="34" t="s">
        <v>286</v>
      </c>
      <c r="BD42" s="39" t="n">
        <f aca="false">INDEX('Data 2'!$L$2:$L$2198,MATCH(BC42,'Data 2'!$A$2:$A$2198,0))</f>
        <v>31.3533333333333</v>
      </c>
      <c r="BE42" s="39" t="n">
        <f aca="false">INDEX('Data 2'!$M$2:$M$2198,MATCH(BC42,'Data 2'!$A$2:$A$2198,0))</f>
        <v>-19.5425</v>
      </c>
    </row>
    <row r="43" customFormat="false" ht="15.75" hidden="false" customHeight="true" outlineLevel="0" collapsed="false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</row>
    <row r="44" customFormat="false" ht="15.75" hidden="false" customHeight="true" outlineLevel="0" collapsed="false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</row>
    <row r="45" customFormat="false" ht="15.75" hidden="false" customHeight="true" outlineLevel="0" collapsed="false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</row>
    <row r="46" customFormat="false" ht="15.75" hidden="false" customHeight="true" outlineLevel="0" collapsed="false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</row>
    <row r="47" customFormat="false" ht="15.75" hidden="false" customHeight="true" outlineLevel="0" collapsed="false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</row>
    <row r="48" customFormat="false" ht="15.75" hidden="false" customHeight="true" outlineLevel="0" collapsed="false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</row>
    <row r="49" customFormat="false" ht="15.75" hidden="false" customHeight="true" outlineLevel="0" collapsed="false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</row>
    <row r="50" customFormat="false" ht="15.75" hidden="false" customHeight="true" outlineLevel="0" collapsed="false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</row>
    <row r="51" customFormat="false" ht="15.75" hidden="false" customHeight="true" outlineLevel="0" collapsed="false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</row>
    <row r="52" customFormat="false" ht="15.75" hidden="false" customHeight="true" outlineLevel="0" collapsed="false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</row>
    <row r="53" customFormat="false" ht="15.75" hidden="false" customHeight="true" outlineLevel="0" collapsed="false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</row>
    <row r="54" customFormat="false" ht="15.75" hidden="false" customHeight="true" outlineLevel="0" collapsed="false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</row>
    <row r="55" customFormat="false" ht="15.75" hidden="false" customHeight="true" outlineLevel="0" collapsed="false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</row>
    <row r="56" customFormat="false" ht="15.75" hidden="false" customHeight="true" outlineLevel="0" collapsed="false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</row>
    <row r="57" customFormat="false" ht="15.75" hidden="false" customHeight="true" outlineLevel="0" collapsed="false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</row>
    <row r="58" customFormat="false" ht="15.75" hidden="false" customHeight="true" outlineLevel="0" collapsed="false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</row>
    <row r="59" customFormat="false" ht="15.75" hidden="false" customHeight="true" outlineLevel="0" collapsed="false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</row>
    <row r="60" customFormat="false" ht="15.75" hidden="false" customHeight="true" outlineLevel="0" collapsed="false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</row>
    <row r="61" customFormat="false" ht="15.75" hidden="false" customHeight="true" outlineLevel="0" collapsed="false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</row>
    <row r="62" customFormat="false" ht="15.75" hidden="false" customHeight="true" outlineLevel="0" collapsed="false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</row>
    <row r="63" customFormat="false" ht="15.75" hidden="false" customHeight="true" outlineLevel="0" collapsed="false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</row>
    <row r="64" customFormat="false" ht="15.75" hidden="false" customHeight="true" outlineLevel="0" collapsed="false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</row>
    <row r="65" customFormat="false" ht="15.75" hidden="false" customHeight="true" outlineLevel="0" collapsed="false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</row>
    <row r="66" customFormat="false" ht="15.75" hidden="false" customHeight="true" outlineLevel="0" collapsed="false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</row>
    <row r="67" customFormat="false" ht="15.75" hidden="false" customHeight="true" outlineLevel="0" collapsed="false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</row>
    <row r="68" customFormat="false" ht="15.75" hidden="false" customHeight="true" outlineLevel="0" collapsed="false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</row>
    <row r="69" customFormat="false" ht="15.75" hidden="false" customHeight="true" outlineLevel="0" collapsed="false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</row>
    <row r="70" customFormat="false" ht="15.75" hidden="false" customHeight="true" outlineLevel="0" collapsed="false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</row>
    <row r="71" customFormat="false" ht="15.75" hidden="false" customHeight="true" outlineLevel="0" collapsed="false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</row>
    <row r="72" customFormat="false" ht="15.75" hidden="false" customHeight="true" outlineLevel="0" collapsed="false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</row>
    <row r="73" customFormat="false" ht="15.75" hidden="false" customHeight="true" outlineLevel="0" collapsed="false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</row>
    <row r="74" customFormat="false" ht="15.75" hidden="false" customHeight="true" outlineLevel="0" collapsed="false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</row>
    <row r="75" customFormat="false" ht="15.75" hidden="false" customHeight="true" outlineLevel="0" collapsed="false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</row>
    <row r="76" customFormat="false" ht="15.75" hidden="false" customHeight="true" outlineLevel="0" collapsed="false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</row>
    <row r="77" customFormat="false" ht="15.75" hidden="false" customHeight="true" outlineLevel="0" collapsed="false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</row>
    <row r="78" customFormat="false" ht="15.75" hidden="false" customHeight="true" outlineLevel="0" collapsed="false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</row>
    <row r="79" customFormat="false" ht="15.75" hidden="false" customHeight="true" outlineLevel="0" collapsed="false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</row>
    <row r="80" customFormat="false" ht="15.75" hidden="false" customHeight="true" outlineLevel="0" collapsed="false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</row>
    <row r="81" customFormat="false" ht="15.75" hidden="false" customHeight="true" outlineLevel="0" collapsed="false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</row>
    <row r="82" customFormat="false" ht="15.75" hidden="false" customHeight="true" outlineLevel="0" collapsed="false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</row>
    <row r="83" customFormat="false" ht="15.75" hidden="false" customHeight="true" outlineLevel="0" collapsed="false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</row>
    <row r="84" customFormat="false" ht="15.75" hidden="false" customHeight="true" outlineLevel="0" collapsed="false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</row>
    <row r="85" customFormat="false" ht="15.75" hidden="false" customHeight="true" outlineLevel="0" collapsed="false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</row>
    <row r="86" customFormat="false" ht="15.75" hidden="false" customHeight="true" outlineLevel="0" collapsed="false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</row>
    <row r="87" customFormat="false" ht="15.75" hidden="false" customHeight="true" outlineLevel="0" collapsed="false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</row>
    <row r="88" customFormat="false" ht="15.75" hidden="false" customHeight="true" outlineLevel="0" collapsed="false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</row>
    <row r="89" customFormat="false" ht="15.75" hidden="false" customHeight="true" outlineLevel="0" collapsed="false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</row>
    <row r="90" customFormat="false" ht="15.75" hidden="false" customHeight="true" outlineLevel="0" collapsed="false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</row>
    <row r="91" customFormat="false" ht="15.75" hidden="false" customHeight="true" outlineLevel="0" collapsed="false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</row>
    <row r="92" customFormat="false" ht="15.75" hidden="false" customHeight="true" outlineLevel="0" collapsed="false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</row>
    <row r="93" customFormat="false" ht="15.75" hidden="false" customHeight="true" outlineLevel="0" collapsed="false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</row>
    <row r="94" customFormat="false" ht="15.75" hidden="false" customHeight="true" outlineLevel="0" collapsed="false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</row>
    <row r="95" customFormat="false" ht="15.75" hidden="false" customHeight="true" outlineLevel="0" collapsed="false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</row>
    <row r="96" customFormat="false" ht="15.75" hidden="false" customHeight="true" outlineLevel="0" collapsed="false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</row>
    <row r="97" customFormat="false" ht="15.75" hidden="false" customHeight="true" outlineLevel="0" collapsed="false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</row>
    <row r="98" customFormat="false" ht="15.75" hidden="false" customHeight="true" outlineLevel="0" collapsed="false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</row>
    <row r="99" customFormat="false" ht="15.75" hidden="false" customHeight="true" outlineLevel="0" collapsed="false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</row>
    <row r="100" customFormat="false" ht="15.75" hidden="false" customHeight="true" outlineLevel="0" collapsed="false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</row>
    <row r="101" customFormat="false" ht="15.75" hidden="false" customHeight="true" outlineLevel="0" collapsed="false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</row>
    <row r="102" customFormat="false" ht="15.75" hidden="false" customHeight="true" outlineLevel="0" collapsed="false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</row>
    <row r="103" customFormat="false" ht="15.75" hidden="false" customHeight="true" outlineLevel="0" collapsed="false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</row>
    <row r="104" customFormat="false" ht="15.75" hidden="false" customHeight="true" outlineLevel="0" collapsed="false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</row>
    <row r="105" customFormat="false" ht="15.75" hidden="false" customHeight="true" outlineLevel="0" collapsed="false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</row>
    <row r="106" customFormat="false" ht="15.75" hidden="false" customHeight="true" outlineLevel="0" collapsed="false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</row>
    <row r="107" customFormat="false" ht="15.75" hidden="false" customHeight="true" outlineLevel="0" collapsed="false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</row>
    <row r="108" customFormat="false" ht="15.75" hidden="false" customHeight="true" outlineLevel="0" collapsed="false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</row>
    <row r="109" customFormat="false" ht="15.75" hidden="false" customHeight="true" outlineLevel="0" collapsed="false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</row>
    <row r="110" customFormat="false" ht="15.75" hidden="false" customHeight="true" outlineLevel="0" collapsed="false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</row>
    <row r="111" customFormat="false" ht="15.75" hidden="false" customHeight="true" outlineLevel="0" collapsed="false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</row>
    <row r="112" customFormat="false" ht="15.75" hidden="false" customHeight="true" outlineLevel="0" collapsed="false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</row>
    <row r="113" customFormat="false" ht="15.75" hidden="false" customHeight="true" outlineLevel="0" collapsed="false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</row>
    <row r="114" customFormat="false" ht="15.75" hidden="false" customHeight="true" outlineLevel="0" collapsed="false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</row>
    <row r="115" customFormat="false" ht="15.75" hidden="false" customHeight="true" outlineLevel="0" collapsed="false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</row>
    <row r="116" customFormat="false" ht="15.75" hidden="false" customHeight="true" outlineLevel="0" collapsed="false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</row>
    <row r="117" customFormat="false" ht="15.75" hidden="false" customHeight="true" outlineLevel="0" collapsed="false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</row>
    <row r="118" customFormat="false" ht="15.75" hidden="false" customHeight="true" outlineLevel="0" collapsed="false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</row>
    <row r="119" customFormat="false" ht="15.75" hidden="false" customHeight="true" outlineLevel="0" collapsed="false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</row>
    <row r="120" customFormat="false" ht="15.75" hidden="false" customHeight="true" outlineLevel="0" collapsed="false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</row>
    <row r="121" customFormat="false" ht="15.75" hidden="false" customHeight="true" outlineLevel="0" collapsed="false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</row>
    <row r="122" customFormat="false" ht="15.75" hidden="false" customHeight="true" outlineLevel="0" collapsed="false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</row>
    <row r="123" customFormat="false" ht="15.75" hidden="false" customHeight="true" outlineLevel="0" collapsed="false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</row>
    <row r="124" customFormat="false" ht="15.75" hidden="false" customHeight="true" outlineLevel="0" collapsed="false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</row>
    <row r="125" customFormat="false" ht="15.75" hidden="false" customHeight="true" outlineLevel="0" collapsed="false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</row>
    <row r="126" customFormat="false" ht="15.75" hidden="false" customHeight="true" outlineLevel="0" collapsed="false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</row>
    <row r="127" customFormat="false" ht="15.75" hidden="false" customHeight="true" outlineLevel="0" collapsed="false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</row>
    <row r="128" customFormat="false" ht="15.75" hidden="false" customHeight="true" outlineLevel="0" collapsed="false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</row>
    <row r="129" customFormat="false" ht="15.75" hidden="false" customHeight="true" outlineLevel="0" collapsed="false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</row>
    <row r="130" customFormat="false" ht="15.75" hidden="false" customHeight="true" outlineLevel="0" collapsed="false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</row>
    <row r="131" customFormat="false" ht="15.75" hidden="false" customHeight="true" outlineLevel="0" collapsed="false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</row>
    <row r="132" customFormat="false" ht="15.75" hidden="false" customHeight="true" outlineLevel="0" collapsed="false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</row>
    <row r="133" customFormat="false" ht="15.75" hidden="false" customHeight="true" outlineLevel="0" collapsed="false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</row>
    <row r="134" customFormat="false" ht="15.75" hidden="false" customHeight="true" outlineLevel="0" collapsed="false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</row>
    <row r="135" customFormat="false" ht="15.75" hidden="false" customHeight="true" outlineLevel="0" collapsed="false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</row>
    <row r="136" customFormat="false" ht="15.75" hidden="false" customHeight="true" outlineLevel="0" collapsed="false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</row>
    <row r="137" customFormat="false" ht="15.75" hidden="false" customHeight="true" outlineLevel="0" collapsed="false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</row>
    <row r="138" customFormat="false" ht="15.75" hidden="false" customHeight="true" outlineLevel="0" collapsed="false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</row>
    <row r="139" customFormat="false" ht="15.75" hidden="false" customHeight="true" outlineLevel="0" collapsed="false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</row>
    <row r="140" customFormat="false" ht="15.75" hidden="false" customHeight="true" outlineLevel="0" collapsed="false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</row>
    <row r="141" customFormat="false" ht="15.75" hidden="false" customHeight="true" outlineLevel="0" collapsed="false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</row>
    <row r="142" customFormat="false" ht="15.75" hidden="false" customHeight="true" outlineLevel="0" collapsed="false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</row>
    <row r="143" customFormat="false" ht="15.75" hidden="false" customHeight="true" outlineLevel="0" collapsed="false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</row>
    <row r="144" customFormat="false" ht="15.75" hidden="false" customHeight="true" outlineLevel="0" collapsed="false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</row>
    <row r="145" customFormat="false" ht="15.75" hidden="false" customHeight="true" outlineLevel="0" collapsed="false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</row>
    <row r="146" customFormat="false" ht="15.75" hidden="false" customHeight="true" outlineLevel="0" collapsed="false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</row>
    <row r="147" customFormat="false" ht="15.75" hidden="false" customHeight="true" outlineLevel="0" collapsed="false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</row>
    <row r="148" customFormat="false" ht="15.75" hidden="false" customHeight="true" outlineLevel="0" collapsed="false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</row>
    <row r="149" customFormat="false" ht="15.75" hidden="false" customHeight="true" outlineLevel="0" collapsed="false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</row>
    <row r="150" customFormat="false" ht="15.75" hidden="false" customHeight="true" outlineLevel="0" collapsed="false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</row>
    <row r="151" customFormat="false" ht="15.75" hidden="false" customHeight="true" outlineLevel="0" collapsed="false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</row>
    <row r="152" customFormat="false" ht="15.75" hidden="false" customHeight="true" outlineLevel="0" collapsed="false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</row>
    <row r="153" customFormat="false" ht="15.75" hidden="false" customHeight="true" outlineLevel="0" collapsed="false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</row>
    <row r="154" customFormat="false" ht="15.75" hidden="false" customHeight="true" outlineLevel="0" collapsed="false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</row>
    <row r="155" customFormat="false" ht="15.75" hidden="false" customHeight="true" outlineLevel="0" collapsed="false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</row>
    <row r="156" customFormat="false" ht="15.75" hidden="false" customHeight="true" outlineLevel="0" collapsed="false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</row>
    <row r="157" customFormat="false" ht="15.75" hidden="false" customHeight="true" outlineLevel="0" collapsed="false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</row>
    <row r="158" customFormat="false" ht="15.75" hidden="false" customHeight="true" outlineLevel="0" collapsed="false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</row>
    <row r="159" customFormat="false" ht="15.75" hidden="false" customHeight="true" outlineLevel="0" collapsed="false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</row>
    <row r="160" customFormat="false" ht="15.75" hidden="false" customHeight="true" outlineLevel="0" collapsed="false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</row>
    <row r="161" customFormat="false" ht="15.75" hidden="false" customHeight="true" outlineLevel="0" collapsed="false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</row>
    <row r="162" customFormat="false" ht="15.75" hidden="false" customHeight="true" outlineLevel="0" collapsed="false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</row>
    <row r="163" customFormat="false" ht="15.75" hidden="false" customHeight="true" outlineLevel="0" collapsed="false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</row>
    <row r="164" customFormat="false" ht="15.75" hidden="false" customHeight="true" outlineLevel="0" collapsed="false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</row>
    <row r="165" customFormat="false" ht="15.75" hidden="false" customHeight="true" outlineLevel="0" collapsed="false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</row>
    <row r="166" customFormat="false" ht="15.75" hidden="false" customHeight="true" outlineLevel="0" collapsed="false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</row>
    <row r="167" customFormat="false" ht="15.75" hidden="false" customHeight="true" outlineLevel="0" collapsed="false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</row>
    <row r="168" customFormat="false" ht="15.75" hidden="false" customHeight="true" outlineLevel="0" collapsed="false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</row>
    <row r="169" customFormat="false" ht="15.75" hidden="false" customHeight="true" outlineLevel="0" collapsed="false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</row>
    <row r="170" customFormat="false" ht="15.75" hidden="false" customHeight="true" outlineLevel="0" collapsed="false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</row>
    <row r="171" customFormat="false" ht="15.75" hidden="false" customHeight="true" outlineLevel="0" collapsed="false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</row>
    <row r="172" customFormat="false" ht="15.75" hidden="false" customHeight="true" outlineLevel="0" collapsed="false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</row>
    <row r="173" customFormat="false" ht="15.75" hidden="false" customHeight="true" outlineLevel="0" collapsed="false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</row>
    <row r="174" customFormat="false" ht="15.75" hidden="false" customHeight="true" outlineLevel="0" collapsed="false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</row>
    <row r="175" customFormat="false" ht="15.75" hidden="false" customHeight="true" outlineLevel="0" collapsed="false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  <c r="AC175" s="37"/>
      <c r="AD175" s="37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</row>
    <row r="176" customFormat="false" ht="15.75" hidden="false" customHeight="true" outlineLevel="0" collapsed="false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</row>
    <row r="177" customFormat="false" ht="15.75" hidden="false" customHeight="true" outlineLevel="0" collapsed="false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</row>
    <row r="178" customFormat="false" ht="15.75" hidden="false" customHeight="true" outlineLevel="0" collapsed="false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</row>
    <row r="179" customFormat="false" ht="15.75" hidden="false" customHeight="true" outlineLevel="0" collapsed="false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</row>
    <row r="180" customFormat="false" ht="15.75" hidden="false" customHeight="true" outlineLevel="0" collapsed="false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</row>
    <row r="181" customFormat="false" ht="15.75" hidden="false" customHeight="true" outlineLevel="0" collapsed="false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</row>
    <row r="182" customFormat="false" ht="15.75" hidden="false" customHeight="true" outlineLevel="0" collapsed="false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  <c r="AF182" s="37"/>
      <c r="AG182" s="37"/>
      <c r="AH182" s="37"/>
      <c r="AI182" s="37"/>
      <c r="AJ182" s="37"/>
      <c r="AK182" s="37"/>
      <c r="AL182" s="37"/>
      <c r="AM182" s="37"/>
      <c r="AN182" s="37"/>
      <c r="AO182" s="37"/>
      <c r="AP182" s="37"/>
    </row>
    <row r="183" customFormat="false" ht="15.75" hidden="false" customHeight="true" outlineLevel="0" collapsed="false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</row>
    <row r="184" customFormat="false" ht="15.75" hidden="false" customHeight="true" outlineLevel="0" collapsed="false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</row>
    <row r="185" customFormat="false" ht="15.75" hidden="false" customHeight="true" outlineLevel="0" collapsed="false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</row>
    <row r="186" customFormat="false" ht="15.75" hidden="false" customHeight="true" outlineLevel="0" collapsed="false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</row>
    <row r="187" customFormat="false" ht="15.75" hidden="false" customHeight="true" outlineLevel="0" collapsed="false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</row>
    <row r="188" customFormat="false" ht="15.75" hidden="false" customHeight="true" outlineLevel="0" collapsed="false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</row>
    <row r="189" customFormat="false" ht="15.75" hidden="false" customHeight="true" outlineLevel="0" collapsed="false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</row>
    <row r="190" customFormat="false" ht="15.75" hidden="false" customHeight="true" outlineLevel="0" collapsed="false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</row>
    <row r="191" customFormat="false" ht="15.75" hidden="false" customHeight="true" outlineLevel="0" collapsed="false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</row>
    <row r="192" customFormat="false" ht="15.75" hidden="false" customHeight="true" outlineLevel="0" collapsed="false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</row>
    <row r="193" customFormat="false" ht="15.75" hidden="false" customHeight="true" outlineLevel="0" collapsed="false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</row>
    <row r="194" customFormat="false" ht="15.75" hidden="false" customHeight="true" outlineLevel="0" collapsed="false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</row>
    <row r="195" customFormat="false" ht="15.75" hidden="false" customHeight="true" outlineLevel="0" collapsed="false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</row>
    <row r="196" customFormat="false" ht="15.75" hidden="false" customHeight="true" outlineLevel="0" collapsed="false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</row>
    <row r="197" customFormat="false" ht="15.75" hidden="false" customHeight="true" outlineLevel="0" collapsed="false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</row>
    <row r="198" customFormat="false" ht="15.75" hidden="false" customHeight="true" outlineLevel="0" collapsed="false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</row>
    <row r="199" customFormat="false" ht="15.75" hidden="false" customHeight="true" outlineLevel="0" collapsed="false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</row>
    <row r="200" customFormat="false" ht="15.75" hidden="false" customHeight="true" outlineLevel="0" collapsed="false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</row>
    <row r="201" customFormat="false" ht="15.75" hidden="false" customHeight="true" outlineLevel="0" collapsed="false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</row>
    <row r="202" customFormat="false" ht="15.75" hidden="false" customHeight="true" outlineLevel="0" collapsed="false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</row>
    <row r="203" customFormat="false" ht="15.75" hidden="false" customHeight="true" outlineLevel="0" collapsed="false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</row>
    <row r="204" customFormat="false" ht="15.75" hidden="false" customHeight="true" outlineLevel="0" collapsed="false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</row>
    <row r="205" customFormat="false" ht="15.75" hidden="false" customHeight="true" outlineLevel="0" collapsed="false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</row>
    <row r="206" customFormat="false" ht="15.75" hidden="false" customHeight="true" outlineLevel="0" collapsed="false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</row>
    <row r="207" customFormat="false" ht="15.75" hidden="false" customHeight="true" outlineLevel="0" collapsed="false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</row>
    <row r="208" customFormat="false" ht="15.75" hidden="false" customHeight="true" outlineLevel="0" collapsed="false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</row>
    <row r="209" customFormat="false" ht="15.75" hidden="false" customHeight="true" outlineLevel="0" collapsed="false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</row>
    <row r="210" customFormat="false" ht="15.75" hidden="false" customHeight="true" outlineLevel="0" collapsed="false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</row>
    <row r="211" customFormat="false" ht="15.75" hidden="false" customHeight="true" outlineLevel="0" collapsed="false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</row>
    <row r="212" customFormat="false" ht="15.75" hidden="false" customHeight="true" outlineLevel="0" collapsed="false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</row>
    <row r="213" customFormat="false" ht="15.75" hidden="false" customHeight="true" outlineLevel="0" collapsed="false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</row>
    <row r="214" customFormat="false" ht="15.75" hidden="false" customHeight="true" outlineLevel="0" collapsed="false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</row>
    <row r="215" customFormat="false" ht="15.75" hidden="false" customHeight="true" outlineLevel="0" collapsed="false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</row>
    <row r="216" customFormat="false" ht="15.75" hidden="false" customHeight="true" outlineLevel="0" collapsed="false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</row>
    <row r="217" customFormat="false" ht="15.75" hidden="false" customHeight="true" outlineLevel="0" collapsed="false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</row>
    <row r="218" customFormat="false" ht="15.75" hidden="false" customHeight="true" outlineLevel="0" collapsed="false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</row>
    <row r="219" customFormat="false" ht="15.75" hidden="false" customHeight="true" outlineLevel="0" collapsed="false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</row>
    <row r="220" customFormat="false" ht="15.75" hidden="false" customHeight="true" outlineLevel="0" collapsed="false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</row>
    <row r="221" customFormat="false" ht="15.75" hidden="false" customHeight="true" outlineLevel="0" collapsed="false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</row>
    <row r="222" customFormat="false" ht="15.75" hidden="false" customHeight="true" outlineLevel="0" collapsed="false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</row>
    <row r="223" customFormat="false" ht="15.75" hidden="false" customHeight="true" outlineLevel="0" collapsed="false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</row>
    <row r="224" customFormat="false" ht="15.75" hidden="false" customHeight="true" outlineLevel="0" collapsed="false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</row>
    <row r="225" customFormat="false" ht="15.75" hidden="false" customHeight="true" outlineLevel="0" collapsed="false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</row>
    <row r="226" customFormat="false" ht="15.75" hidden="false" customHeight="true" outlineLevel="0" collapsed="false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</row>
    <row r="227" customFormat="false" ht="15.75" hidden="false" customHeight="true" outlineLevel="0" collapsed="false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</row>
    <row r="228" customFormat="false" ht="15.75" hidden="false" customHeight="true" outlineLevel="0" collapsed="false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</row>
    <row r="229" customFormat="false" ht="15.75" hidden="false" customHeight="true" outlineLevel="0" collapsed="false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</row>
    <row r="230" customFormat="false" ht="15.75" hidden="false" customHeight="true" outlineLevel="0" collapsed="false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</row>
    <row r="231" customFormat="false" ht="15.75" hidden="false" customHeight="true" outlineLevel="0" collapsed="false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</row>
    <row r="232" customFormat="false" ht="15.75" hidden="false" customHeight="true" outlineLevel="0" collapsed="false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</row>
    <row r="233" customFormat="false" ht="15.75" hidden="false" customHeight="true" outlineLevel="0" collapsed="false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</row>
    <row r="234" customFormat="false" ht="15.75" hidden="false" customHeight="true" outlineLevel="0" collapsed="false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</row>
    <row r="235" customFormat="false" ht="15.75" hidden="false" customHeight="true" outlineLevel="0" collapsed="false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</row>
    <row r="236" customFormat="false" ht="15.75" hidden="false" customHeight="true" outlineLevel="0" collapsed="false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</row>
    <row r="237" customFormat="false" ht="15.75" hidden="false" customHeight="true" outlineLevel="0" collapsed="false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</row>
    <row r="238" customFormat="false" ht="15.75" hidden="false" customHeight="true" outlineLevel="0" collapsed="false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</row>
    <row r="239" customFormat="false" ht="15.75" hidden="false" customHeight="true" outlineLevel="0" collapsed="false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</row>
    <row r="240" customFormat="false" ht="15.75" hidden="false" customHeight="true" outlineLevel="0" collapsed="false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</row>
    <row r="241" customFormat="false" ht="15.75" hidden="false" customHeight="true" outlineLevel="0" collapsed="false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</row>
    <row r="242" customFormat="false" ht="15.75" hidden="false" customHeight="true" outlineLevel="0" collapsed="false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</row>
    <row r="243" customFormat="false" ht="15.75" hidden="false" customHeight="true" outlineLevel="0" collapsed="false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</row>
    <row r="244" customFormat="false" ht="15.75" hidden="false" customHeight="true" outlineLevel="0" collapsed="false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</row>
    <row r="245" customFormat="false" ht="15.75" hidden="false" customHeight="true" outlineLevel="0" collapsed="false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</row>
    <row r="246" customFormat="false" ht="15.75" hidden="false" customHeight="true" outlineLevel="0" collapsed="false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</row>
    <row r="247" customFormat="false" ht="15.75" hidden="false" customHeight="true" outlineLevel="0" collapsed="false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</row>
    <row r="248" customFormat="false" ht="15.75" hidden="false" customHeight="true" outlineLevel="0" collapsed="false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</row>
    <row r="249" customFormat="false" ht="15.75" hidden="false" customHeight="true" outlineLevel="0" collapsed="false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</row>
    <row r="250" customFormat="false" ht="15.75" hidden="false" customHeight="true" outlineLevel="0" collapsed="false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</row>
    <row r="251" customFormat="false" ht="15.75" hidden="false" customHeight="true" outlineLevel="0" collapsed="false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</row>
    <row r="252" customFormat="false" ht="15.75" hidden="false" customHeight="true" outlineLevel="0" collapsed="false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</row>
    <row r="253" customFormat="false" ht="15.75" hidden="false" customHeight="true" outlineLevel="0" collapsed="false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</row>
    <row r="254" customFormat="false" ht="15.75" hidden="false" customHeight="true" outlineLevel="0" collapsed="false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</row>
    <row r="255" customFormat="false" ht="15.75" hidden="false" customHeight="true" outlineLevel="0" collapsed="false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</row>
    <row r="256" customFormat="false" ht="15.75" hidden="false" customHeight="true" outlineLevel="0" collapsed="false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</row>
    <row r="257" customFormat="false" ht="15.75" hidden="false" customHeight="true" outlineLevel="0" collapsed="false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</row>
    <row r="258" customFormat="false" ht="15.75" hidden="false" customHeight="true" outlineLevel="0" collapsed="false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</row>
    <row r="259" customFormat="false" ht="15.75" hidden="false" customHeight="true" outlineLevel="0" collapsed="false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</row>
    <row r="260" customFormat="false" ht="15.75" hidden="false" customHeight="true" outlineLevel="0" collapsed="false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</row>
    <row r="261" customFormat="false" ht="15.75" hidden="false" customHeight="true" outlineLevel="0" collapsed="false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</row>
    <row r="262" customFormat="false" ht="15.75" hidden="false" customHeight="true" outlineLevel="0" collapsed="false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</row>
    <row r="263" customFormat="false" ht="15.75" hidden="false" customHeight="true" outlineLevel="0" collapsed="false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</row>
    <row r="264" customFormat="false" ht="15.75" hidden="false" customHeight="true" outlineLevel="0" collapsed="false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</row>
    <row r="265" customFormat="false" ht="15.75" hidden="false" customHeight="true" outlineLevel="0" collapsed="false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</row>
    <row r="266" customFormat="false" ht="15.75" hidden="false" customHeight="true" outlineLevel="0" collapsed="false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</row>
    <row r="267" customFormat="false" ht="15.75" hidden="false" customHeight="true" outlineLevel="0" collapsed="false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</row>
    <row r="268" customFormat="false" ht="15.75" hidden="false" customHeight="true" outlineLevel="0" collapsed="false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</row>
    <row r="269" customFormat="false" ht="15.75" hidden="false" customHeight="true" outlineLevel="0" collapsed="false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</row>
    <row r="270" customFormat="false" ht="15.75" hidden="false" customHeight="true" outlineLevel="0" collapsed="false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</row>
    <row r="271" customFormat="false" ht="15.75" hidden="false" customHeight="true" outlineLevel="0" collapsed="false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</row>
    <row r="272" customFormat="false" ht="15.75" hidden="false" customHeight="true" outlineLevel="0" collapsed="false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</row>
    <row r="273" customFormat="false" ht="15.75" hidden="false" customHeight="true" outlineLevel="0" collapsed="false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</row>
    <row r="274" customFormat="false" ht="15.75" hidden="false" customHeight="true" outlineLevel="0" collapsed="false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</row>
    <row r="275" customFormat="false" ht="15.75" hidden="false" customHeight="true" outlineLevel="0" collapsed="false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</row>
    <row r="276" customFormat="false" ht="15.75" hidden="false" customHeight="true" outlineLevel="0" collapsed="false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</row>
    <row r="277" customFormat="false" ht="15.75" hidden="false" customHeight="true" outlineLevel="0" collapsed="false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</row>
    <row r="278" customFormat="false" ht="15.75" hidden="false" customHeight="true" outlineLevel="0" collapsed="false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</row>
    <row r="279" customFormat="false" ht="15.75" hidden="false" customHeight="true" outlineLevel="0" collapsed="false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</row>
    <row r="280" customFormat="false" ht="15.75" hidden="false" customHeight="true" outlineLevel="0" collapsed="false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</row>
    <row r="281" customFormat="false" ht="15.75" hidden="false" customHeight="true" outlineLevel="0" collapsed="false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</row>
    <row r="282" customFormat="false" ht="15.75" hidden="false" customHeight="true" outlineLevel="0" collapsed="false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</row>
    <row r="283" customFormat="false" ht="15.75" hidden="false" customHeight="true" outlineLevel="0" collapsed="false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</row>
    <row r="284" customFormat="false" ht="15.75" hidden="false" customHeight="true" outlineLevel="0" collapsed="false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</row>
    <row r="285" customFormat="false" ht="15.75" hidden="false" customHeight="true" outlineLevel="0" collapsed="false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</row>
    <row r="286" customFormat="false" ht="15.75" hidden="false" customHeight="true" outlineLevel="0" collapsed="false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  <c r="AC286" s="37"/>
      <c r="AD286" s="37"/>
      <c r="AE286" s="37"/>
      <c r="AF286" s="37"/>
      <c r="AG286" s="37"/>
      <c r="AH286" s="37"/>
      <c r="AI286" s="37"/>
      <c r="AJ286" s="37"/>
      <c r="AK286" s="37"/>
      <c r="AL286" s="37"/>
      <c r="AM286" s="37"/>
      <c r="AN286" s="37"/>
      <c r="AO286" s="37"/>
      <c r="AP286" s="37"/>
    </row>
    <row r="287" customFormat="false" ht="15.75" hidden="false" customHeight="true" outlineLevel="0" collapsed="false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/>
      <c r="AF287" s="37"/>
      <c r="AG287" s="37"/>
      <c r="AH287" s="37"/>
      <c r="AI287" s="37"/>
      <c r="AJ287" s="37"/>
      <c r="AK287" s="37"/>
      <c r="AL287" s="37"/>
      <c r="AM287" s="37"/>
      <c r="AN287" s="37"/>
      <c r="AO287" s="37"/>
      <c r="AP287" s="37"/>
    </row>
    <row r="288" customFormat="false" ht="15.75" hidden="false" customHeight="true" outlineLevel="0" collapsed="false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  <c r="AC288" s="37"/>
      <c r="AD288" s="37"/>
      <c r="AE288" s="37"/>
      <c r="AF288" s="37"/>
      <c r="AG288" s="37"/>
      <c r="AH288" s="37"/>
      <c r="AI288" s="37"/>
      <c r="AJ288" s="37"/>
      <c r="AK288" s="37"/>
      <c r="AL288" s="37"/>
      <c r="AM288" s="37"/>
      <c r="AN288" s="37"/>
      <c r="AO288" s="37"/>
      <c r="AP288" s="37"/>
    </row>
    <row r="289" customFormat="false" ht="15.75" hidden="false" customHeight="true" outlineLevel="0" collapsed="false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37"/>
      <c r="AD289" s="37"/>
      <c r="AE289" s="37"/>
      <c r="AF289" s="37"/>
      <c r="AG289" s="37"/>
      <c r="AH289" s="37"/>
      <c r="AI289" s="37"/>
      <c r="AJ289" s="37"/>
      <c r="AK289" s="37"/>
      <c r="AL289" s="37"/>
      <c r="AM289" s="37"/>
      <c r="AN289" s="37"/>
      <c r="AO289" s="37"/>
      <c r="AP289" s="37"/>
    </row>
    <row r="290" customFormat="false" ht="15.75" hidden="false" customHeight="true" outlineLevel="0" collapsed="false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</row>
    <row r="291" customFormat="false" ht="15.75" hidden="false" customHeight="true" outlineLevel="0" collapsed="false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</row>
    <row r="292" customFormat="false" ht="15.75" hidden="false" customHeight="true" outlineLevel="0" collapsed="false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</row>
    <row r="293" customFormat="false" ht="15.75" hidden="false" customHeight="true" outlineLevel="0" collapsed="false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  <c r="AC293" s="37"/>
      <c r="AD293" s="37"/>
      <c r="AE293" s="37"/>
      <c r="AF293" s="37"/>
      <c r="AG293" s="37"/>
      <c r="AH293" s="37"/>
      <c r="AI293" s="37"/>
      <c r="AJ293" s="37"/>
      <c r="AK293" s="37"/>
      <c r="AL293" s="37"/>
      <c r="AM293" s="37"/>
      <c r="AN293" s="37"/>
      <c r="AO293" s="37"/>
      <c r="AP293" s="37"/>
    </row>
    <row r="294" customFormat="false" ht="15.75" hidden="false" customHeight="true" outlineLevel="0" collapsed="false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</row>
    <row r="295" customFormat="false" ht="15.75" hidden="false" customHeight="true" outlineLevel="0" collapsed="false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  <c r="AC295" s="37"/>
      <c r="AD295" s="37"/>
      <c r="AE295" s="37"/>
      <c r="AF295" s="37"/>
      <c r="AG295" s="37"/>
      <c r="AH295" s="37"/>
      <c r="AI295" s="37"/>
      <c r="AJ295" s="37"/>
      <c r="AK295" s="37"/>
      <c r="AL295" s="37"/>
      <c r="AM295" s="37"/>
      <c r="AN295" s="37"/>
      <c r="AO295" s="37"/>
      <c r="AP295" s="37"/>
    </row>
    <row r="296" customFormat="false" ht="15.75" hidden="false" customHeight="true" outlineLevel="0" collapsed="false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</row>
    <row r="297" customFormat="false" ht="15.75" hidden="false" customHeight="true" outlineLevel="0" collapsed="false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</row>
    <row r="298" customFormat="false" ht="15.75" hidden="false" customHeight="true" outlineLevel="0" collapsed="false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  <c r="AC298" s="37"/>
      <c r="AD298" s="37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</row>
    <row r="299" customFormat="false" ht="15.75" hidden="false" customHeight="true" outlineLevel="0" collapsed="false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</row>
    <row r="300" customFormat="false" ht="15.75" hidden="false" customHeight="true" outlineLevel="0" collapsed="false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</row>
    <row r="301" customFormat="false" ht="15.75" hidden="false" customHeight="true" outlineLevel="0" collapsed="false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  <c r="AC301" s="37"/>
      <c r="AD301" s="37"/>
      <c r="AE301" s="37"/>
      <c r="AF301" s="37"/>
      <c r="AG301" s="37"/>
      <c r="AH301" s="37"/>
      <c r="AI301" s="37"/>
      <c r="AJ301" s="37"/>
      <c r="AK301" s="37"/>
      <c r="AL301" s="37"/>
      <c r="AM301" s="37"/>
      <c r="AN301" s="37"/>
      <c r="AO301" s="37"/>
      <c r="AP301" s="37"/>
    </row>
    <row r="302" customFormat="false" ht="15.75" hidden="false" customHeight="true" outlineLevel="0" collapsed="false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/>
      <c r="AD302" s="37"/>
      <c r="AE302" s="37"/>
      <c r="AF302" s="37"/>
      <c r="AG302" s="37"/>
      <c r="AH302" s="37"/>
      <c r="AI302" s="37"/>
      <c r="AJ302" s="37"/>
      <c r="AK302" s="37"/>
      <c r="AL302" s="37"/>
      <c r="AM302" s="37"/>
      <c r="AN302" s="37"/>
      <c r="AO302" s="37"/>
      <c r="AP302" s="37"/>
    </row>
    <row r="303" customFormat="false" ht="15.75" hidden="false" customHeight="true" outlineLevel="0" collapsed="false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</row>
    <row r="304" customFormat="false" ht="15.75" hidden="false" customHeight="true" outlineLevel="0" collapsed="false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  <c r="AC304" s="37"/>
      <c r="AD304" s="37"/>
      <c r="AE304" s="37"/>
      <c r="AF304" s="37"/>
      <c r="AG304" s="37"/>
      <c r="AH304" s="37"/>
      <c r="AI304" s="37"/>
      <c r="AJ304" s="37"/>
      <c r="AK304" s="37"/>
      <c r="AL304" s="37"/>
      <c r="AM304" s="37"/>
      <c r="AN304" s="37"/>
      <c r="AO304" s="37"/>
      <c r="AP304" s="37"/>
    </row>
    <row r="305" customFormat="false" ht="15.75" hidden="false" customHeight="true" outlineLevel="0" collapsed="false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37"/>
      <c r="AD305" s="37"/>
      <c r="AE305" s="37"/>
      <c r="AF305" s="37"/>
      <c r="AG305" s="37"/>
      <c r="AH305" s="37"/>
      <c r="AI305" s="37"/>
      <c r="AJ305" s="37"/>
      <c r="AK305" s="37"/>
      <c r="AL305" s="37"/>
      <c r="AM305" s="37"/>
      <c r="AN305" s="37"/>
      <c r="AO305" s="37"/>
      <c r="AP305" s="37"/>
    </row>
    <row r="306" customFormat="false" ht="15.75" hidden="false" customHeight="true" outlineLevel="0" collapsed="false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37"/>
      <c r="AD306" s="37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</row>
    <row r="307" customFormat="false" ht="15.75" hidden="false" customHeight="true" outlineLevel="0" collapsed="false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  <c r="AC307" s="37"/>
      <c r="AD307" s="3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</row>
    <row r="308" customFormat="false" ht="15.75" hidden="false" customHeight="true" outlineLevel="0" collapsed="false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  <c r="AC308" s="37"/>
      <c r="AD308" s="37"/>
      <c r="AE308" s="37"/>
      <c r="AF308" s="37"/>
      <c r="AG308" s="37"/>
      <c r="AH308" s="37"/>
      <c r="AI308" s="37"/>
      <c r="AJ308" s="37"/>
      <c r="AK308" s="37"/>
      <c r="AL308" s="37"/>
      <c r="AM308" s="37"/>
      <c r="AN308" s="37"/>
      <c r="AO308" s="37"/>
      <c r="AP308" s="37"/>
    </row>
    <row r="309" customFormat="false" ht="15.75" hidden="false" customHeight="true" outlineLevel="0" collapsed="false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</row>
    <row r="310" customFormat="false" ht="15.75" hidden="false" customHeight="true" outlineLevel="0" collapsed="false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/>
      <c r="AF310" s="37"/>
      <c r="AG310" s="37"/>
      <c r="AH310" s="37"/>
      <c r="AI310" s="37"/>
      <c r="AJ310" s="37"/>
      <c r="AK310" s="37"/>
      <c r="AL310" s="37"/>
      <c r="AM310" s="37"/>
      <c r="AN310" s="37"/>
      <c r="AO310" s="37"/>
      <c r="AP310" s="37"/>
    </row>
    <row r="311" customFormat="false" ht="15.75" hidden="false" customHeight="true" outlineLevel="0" collapsed="false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</row>
    <row r="312" customFormat="false" ht="15.75" hidden="false" customHeight="true" outlineLevel="0" collapsed="false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</row>
    <row r="313" customFormat="false" ht="15.75" hidden="false" customHeight="true" outlineLevel="0" collapsed="false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</row>
    <row r="314" customFormat="false" ht="15.75" hidden="false" customHeight="true" outlineLevel="0" collapsed="false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</row>
    <row r="315" customFormat="false" ht="15.75" hidden="false" customHeight="true" outlineLevel="0" collapsed="false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</row>
    <row r="316" customFormat="false" ht="15.75" hidden="false" customHeight="true" outlineLevel="0" collapsed="false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</row>
    <row r="317" customFormat="false" ht="15.75" hidden="false" customHeight="true" outlineLevel="0" collapsed="false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</row>
    <row r="318" customFormat="false" ht="15.75" hidden="false" customHeight="true" outlineLevel="0" collapsed="false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</row>
    <row r="319" customFormat="false" ht="15.75" hidden="false" customHeight="true" outlineLevel="0" collapsed="false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</row>
    <row r="320" customFormat="false" ht="15.75" hidden="false" customHeight="true" outlineLevel="0" collapsed="false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</row>
    <row r="321" customFormat="false" ht="15.75" hidden="false" customHeight="true" outlineLevel="0" collapsed="false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</row>
    <row r="322" customFormat="false" ht="15.75" hidden="false" customHeight="true" outlineLevel="0" collapsed="false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</row>
    <row r="323" customFormat="false" ht="15.75" hidden="false" customHeight="true" outlineLevel="0" collapsed="false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</row>
    <row r="324" customFormat="false" ht="15.75" hidden="false" customHeight="true" outlineLevel="0" collapsed="false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</row>
    <row r="325" customFormat="false" ht="15.75" hidden="false" customHeight="true" outlineLevel="0" collapsed="false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</row>
    <row r="326" customFormat="false" ht="15.75" hidden="false" customHeight="true" outlineLevel="0" collapsed="false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</row>
    <row r="327" customFormat="false" ht="15.75" hidden="false" customHeight="true" outlineLevel="0" collapsed="false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</row>
    <row r="328" customFormat="false" ht="15.75" hidden="false" customHeight="true" outlineLevel="0" collapsed="false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</row>
    <row r="329" customFormat="false" ht="15.75" hidden="false" customHeight="true" outlineLevel="0" collapsed="false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</row>
    <row r="330" customFormat="false" ht="15.75" hidden="false" customHeight="true" outlineLevel="0" collapsed="false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</row>
    <row r="331" customFormat="false" ht="15.75" hidden="false" customHeight="true" outlineLevel="0" collapsed="false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</row>
    <row r="332" customFormat="false" ht="15.75" hidden="false" customHeight="true" outlineLevel="0" collapsed="false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</row>
    <row r="333" customFormat="false" ht="15.75" hidden="false" customHeight="true" outlineLevel="0" collapsed="false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</row>
    <row r="334" customFormat="false" ht="15.75" hidden="false" customHeight="true" outlineLevel="0" collapsed="false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</row>
    <row r="335" customFormat="false" ht="15.75" hidden="false" customHeight="true" outlineLevel="0" collapsed="false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</row>
    <row r="336" customFormat="false" ht="15.75" hidden="false" customHeight="true" outlineLevel="0" collapsed="false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</row>
    <row r="337" customFormat="false" ht="15.75" hidden="false" customHeight="true" outlineLevel="0" collapsed="false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</row>
    <row r="338" customFormat="false" ht="15.75" hidden="false" customHeight="true" outlineLevel="0" collapsed="false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</row>
    <row r="339" customFormat="false" ht="15.75" hidden="false" customHeight="true" outlineLevel="0" collapsed="false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</row>
    <row r="340" customFormat="false" ht="15.75" hidden="false" customHeight="true" outlineLevel="0" collapsed="false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</row>
    <row r="341" customFormat="false" ht="15.75" hidden="false" customHeight="true" outlineLevel="0" collapsed="false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</row>
    <row r="342" customFormat="false" ht="15.75" hidden="false" customHeight="true" outlineLevel="0" collapsed="false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</row>
    <row r="343" customFormat="false" ht="15.75" hidden="false" customHeight="true" outlineLevel="0" collapsed="false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</row>
    <row r="344" customFormat="false" ht="15.75" hidden="false" customHeight="true" outlineLevel="0" collapsed="false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</row>
    <row r="345" customFormat="false" ht="15.75" hidden="false" customHeight="true" outlineLevel="0" collapsed="false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</row>
    <row r="346" customFormat="false" ht="15.75" hidden="false" customHeight="true" outlineLevel="0" collapsed="false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</row>
    <row r="347" customFormat="false" ht="15.75" hidden="false" customHeight="true" outlineLevel="0" collapsed="false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</row>
    <row r="348" customFormat="false" ht="15.75" hidden="false" customHeight="true" outlineLevel="0" collapsed="false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</row>
    <row r="349" customFormat="false" ht="15.75" hidden="false" customHeight="true" outlineLevel="0" collapsed="false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</row>
    <row r="350" customFormat="false" ht="15.75" hidden="false" customHeight="true" outlineLevel="0" collapsed="false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</row>
    <row r="351" customFormat="false" ht="15.75" hidden="false" customHeight="true" outlineLevel="0" collapsed="false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</row>
    <row r="352" customFormat="false" ht="15.75" hidden="false" customHeight="true" outlineLevel="0" collapsed="false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</row>
    <row r="353" customFormat="false" ht="15.75" hidden="false" customHeight="true" outlineLevel="0" collapsed="false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</row>
    <row r="354" customFormat="false" ht="15.75" hidden="false" customHeight="true" outlineLevel="0" collapsed="false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</row>
    <row r="355" customFormat="false" ht="15.75" hidden="false" customHeight="true" outlineLevel="0" collapsed="false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</row>
    <row r="356" customFormat="false" ht="15.75" hidden="false" customHeight="true" outlineLevel="0" collapsed="false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</row>
    <row r="357" customFormat="false" ht="15.75" hidden="false" customHeight="true" outlineLevel="0" collapsed="false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</row>
    <row r="358" customFormat="false" ht="15.75" hidden="false" customHeight="true" outlineLevel="0" collapsed="false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</row>
    <row r="359" customFormat="false" ht="15.75" hidden="false" customHeight="true" outlineLevel="0" collapsed="false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</row>
    <row r="360" customFormat="false" ht="15.75" hidden="false" customHeight="true" outlineLevel="0" collapsed="false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</row>
    <row r="361" customFormat="false" ht="15.75" hidden="false" customHeight="true" outlineLevel="0" collapsed="false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</row>
    <row r="362" customFormat="false" ht="15.75" hidden="false" customHeight="true" outlineLevel="0" collapsed="false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</row>
    <row r="363" customFormat="false" ht="15.75" hidden="false" customHeight="true" outlineLevel="0" collapsed="false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</row>
    <row r="364" customFormat="false" ht="15.75" hidden="false" customHeight="true" outlineLevel="0" collapsed="false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</row>
    <row r="365" customFormat="false" ht="15.75" hidden="false" customHeight="true" outlineLevel="0" collapsed="false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</row>
    <row r="366" customFormat="false" ht="15.75" hidden="false" customHeight="true" outlineLevel="0" collapsed="false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</row>
    <row r="367" customFormat="false" ht="15.75" hidden="false" customHeight="true" outlineLevel="0" collapsed="false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</row>
    <row r="368" customFormat="false" ht="15.75" hidden="false" customHeight="true" outlineLevel="0" collapsed="false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</row>
    <row r="369" customFormat="false" ht="15.75" hidden="false" customHeight="true" outlineLevel="0" collapsed="false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</row>
    <row r="370" customFormat="false" ht="15.75" hidden="false" customHeight="true" outlineLevel="0" collapsed="false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</row>
    <row r="371" customFormat="false" ht="15.75" hidden="false" customHeight="true" outlineLevel="0" collapsed="false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</row>
    <row r="372" customFormat="false" ht="15.75" hidden="false" customHeight="true" outlineLevel="0" collapsed="false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</row>
    <row r="373" customFormat="false" ht="15.75" hidden="false" customHeight="true" outlineLevel="0" collapsed="false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</row>
    <row r="374" customFormat="false" ht="15.75" hidden="false" customHeight="true" outlineLevel="0" collapsed="false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</row>
    <row r="375" customFormat="false" ht="15.75" hidden="false" customHeight="true" outlineLevel="0" collapsed="false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</row>
    <row r="376" customFormat="false" ht="15.75" hidden="false" customHeight="true" outlineLevel="0" collapsed="false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</row>
    <row r="377" customFormat="false" ht="15.75" hidden="false" customHeight="true" outlineLevel="0" collapsed="false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</row>
    <row r="378" customFormat="false" ht="15.75" hidden="false" customHeight="true" outlineLevel="0" collapsed="false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</row>
    <row r="379" customFormat="false" ht="15.75" hidden="false" customHeight="true" outlineLevel="0" collapsed="false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</row>
    <row r="380" customFormat="false" ht="15.75" hidden="false" customHeight="true" outlineLevel="0" collapsed="false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</row>
    <row r="381" customFormat="false" ht="15.75" hidden="false" customHeight="true" outlineLevel="0" collapsed="false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</row>
    <row r="382" customFormat="false" ht="15.75" hidden="false" customHeight="true" outlineLevel="0" collapsed="false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</row>
    <row r="383" customFormat="false" ht="15.75" hidden="false" customHeight="true" outlineLevel="0" collapsed="false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</row>
    <row r="384" customFormat="false" ht="15.75" hidden="false" customHeight="true" outlineLevel="0" collapsed="false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</row>
    <row r="385" customFormat="false" ht="15.75" hidden="false" customHeight="true" outlineLevel="0" collapsed="false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</row>
    <row r="386" customFormat="false" ht="15.75" hidden="false" customHeight="true" outlineLevel="0" collapsed="false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</row>
    <row r="387" customFormat="false" ht="15.75" hidden="false" customHeight="true" outlineLevel="0" collapsed="false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</row>
    <row r="388" customFormat="false" ht="15.75" hidden="false" customHeight="true" outlineLevel="0" collapsed="false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</row>
    <row r="389" customFormat="false" ht="15.75" hidden="false" customHeight="true" outlineLevel="0" collapsed="false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</row>
    <row r="390" customFormat="false" ht="15.75" hidden="false" customHeight="true" outlineLevel="0" collapsed="false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</row>
    <row r="391" customFormat="false" ht="15.75" hidden="false" customHeight="true" outlineLevel="0" collapsed="false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</row>
    <row r="392" customFormat="false" ht="15.75" hidden="false" customHeight="true" outlineLevel="0" collapsed="false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</row>
    <row r="393" customFormat="false" ht="15.75" hidden="false" customHeight="true" outlineLevel="0" collapsed="false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</row>
    <row r="394" customFormat="false" ht="15.75" hidden="false" customHeight="true" outlineLevel="0" collapsed="false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</row>
    <row r="395" customFormat="false" ht="15.75" hidden="false" customHeight="true" outlineLevel="0" collapsed="false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</row>
    <row r="396" customFormat="false" ht="15.75" hidden="false" customHeight="true" outlineLevel="0" collapsed="false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</row>
    <row r="397" customFormat="false" ht="15.75" hidden="false" customHeight="true" outlineLevel="0" collapsed="false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</row>
    <row r="398" customFormat="false" ht="15.75" hidden="false" customHeight="true" outlineLevel="0" collapsed="false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</row>
    <row r="399" customFormat="false" ht="15.75" hidden="false" customHeight="true" outlineLevel="0" collapsed="false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</row>
    <row r="400" customFormat="false" ht="15.75" hidden="false" customHeight="true" outlineLevel="0" collapsed="false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</row>
    <row r="401" customFormat="false" ht="15.75" hidden="false" customHeight="true" outlineLevel="0" collapsed="false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  <c r="AF401" s="37"/>
      <c r="AG401" s="37"/>
      <c r="AH401" s="37"/>
      <c r="AI401" s="37"/>
      <c r="AJ401" s="37"/>
      <c r="AK401" s="37"/>
      <c r="AL401" s="37"/>
      <c r="AM401" s="37"/>
      <c r="AN401" s="37"/>
      <c r="AO401" s="37"/>
      <c r="AP401" s="37"/>
    </row>
    <row r="402" customFormat="false" ht="15.75" hidden="false" customHeight="true" outlineLevel="0" collapsed="false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</row>
    <row r="403" customFormat="false" ht="15.75" hidden="false" customHeight="true" outlineLevel="0" collapsed="false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</row>
    <row r="404" customFormat="false" ht="15.75" hidden="false" customHeight="true" outlineLevel="0" collapsed="false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  <c r="AF404" s="37"/>
      <c r="AG404" s="37"/>
      <c r="AH404" s="37"/>
      <c r="AI404" s="37"/>
      <c r="AJ404" s="37"/>
      <c r="AK404" s="37"/>
      <c r="AL404" s="37"/>
      <c r="AM404" s="37"/>
      <c r="AN404" s="37"/>
      <c r="AO404" s="37"/>
      <c r="AP404" s="37"/>
    </row>
    <row r="405" customFormat="false" ht="15.75" hidden="false" customHeight="true" outlineLevel="0" collapsed="false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</row>
    <row r="406" customFormat="false" ht="15.75" hidden="false" customHeight="true" outlineLevel="0" collapsed="false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</row>
    <row r="407" customFormat="false" ht="15.75" hidden="false" customHeight="true" outlineLevel="0" collapsed="false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</row>
    <row r="408" customFormat="false" ht="15.75" hidden="false" customHeight="true" outlineLevel="0" collapsed="false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  <c r="AF408" s="37"/>
      <c r="AG408" s="37"/>
      <c r="AH408" s="37"/>
      <c r="AI408" s="37"/>
      <c r="AJ408" s="37"/>
      <c r="AK408" s="37"/>
      <c r="AL408" s="37"/>
      <c r="AM408" s="37"/>
      <c r="AN408" s="37"/>
      <c r="AO408" s="37"/>
      <c r="AP408" s="37"/>
    </row>
    <row r="409" customFormat="false" ht="15.75" hidden="false" customHeight="true" outlineLevel="0" collapsed="false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</row>
    <row r="410" customFormat="false" ht="15.75" hidden="false" customHeight="true" outlineLevel="0" collapsed="false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  <c r="AF410" s="37"/>
      <c r="AG410" s="37"/>
      <c r="AH410" s="37"/>
      <c r="AI410" s="37"/>
      <c r="AJ410" s="37"/>
      <c r="AK410" s="37"/>
      <c r="AL410" s="37"/>
      <c r="AM410" s="37"/>
      <c r="AN410" s="37"/>
      <c r="AO410" s="37"/>
      <c r="AP410" s="37"/>
    </row>
    <row r="411" customFormat="false" ht="15.75" hidden="false" customHeight="true" outlineLevel="0" collapsed="false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</row>
    <row r="412" customFormat="false" ht="15.75" hidden="false" customHeight="true" outlineLevel="0" collapsed="false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</row>
    <row r="413" customFormat="false" ht="15.75" hidden="false" customHeight="true" outlineLevel="0" collapsed="false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</row>
    <row r="414" customFormat="false" ht="15.75" hidden="false" customHeight="true" outlineLevel="0" collapsed="false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  <c r="AF414" s="37"/>
      <c r="AG414" s="37"/>
      <c r="AH414" s="37"/>
      <c r="AI414" s="37"/>
      <c r="AJ414" s="37"/>
      <c r="AK414" s="37"/>
      <c r="AL414" s="37"/>
      <c r="AM414" s="37"/>
      <c r="AN414" s="37"/>
      <c r="AO414" s="37"/>
      <c r="AP414" s="37"/>
    </row>
    <row r="415" customFormat="false" ht="15.75" hidden="false" customHeight="true" outlineLevel="0" collapsed="false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</row>
    <row r="416" customFormat="false" ht="15.75" hidden="false" customHeight="true" outlineLevel="0" collapsed="false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  <c r="AF416" s="37"/>
      <c r="AG416" s="37"/>
      <c r="AH416" s="37"/>
      <c r="AI416" s="37"/>
      <c r="AJ416" s="37"/>
      <c r="AK416" s="37"/>
      <c r="AL416" s="37"/>
      <c r="AM416" s="37"/>
      <c r="AN416" s="37"/>
      <c r="AO416" s="37"/>
      <c r="AP416" s="37"/>
    </row>
    <row r="417" customFormat="false" ht="15.75" hidden="false" customHeight="true" outlineLevel="0" collapsed="false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</row>
    <row r="418" customFormat="false" ht="15.75" hidden="false" customHeight="true" outlineLevel="0" collapsed="false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  <c r="AC418" s="37"/>
      <c r="AD418" s="37"/>
      <c r="AE418" s="37"/>
      <c r="AF418" s="37"/>
      <c r="AG418" s="37"/>
      <c r="AH418" s="37"/>
      <c r="AI418" s="37"/>
      <c r="AJ418" s="37"/>
      <c r="AK418" s="37"/>
      <c r="AL418" s="37"/>
      <c r="AM418" s="37"/>
      <c r="AN418" s="37"/>
      <c r="AO418" s="37"/>
      <c r="AP418" s="37"/>
    </row>
    <row r="419" customFormat="false" ht="15.75" hidden="false" customHeight="true" outlineLevel="0" collapsed="false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</row>
    <row r="420" customFormat="false" ht="15.75" hidden="false" customHeight="true" outlineLevel="0" collapsed="false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  <c r="AF420" s="37"/>
      <c r="AG420" s="37"/>
      <c r="AH420" s="37"/>
      <c r="AI420" s="37"/>
      <c r="AJ420" s="37"/>
      <c r="AK420" s="37"/>
      <c r="AL420" s="37"/>
      <c r="AM420" s="37"/>
      <c r="AN420" s="37"/>
      <c r="AO420" s="37"/>
      <c r="AP420" s="37"/>
    </row>
    <row r="421" customFormat="false" ht="15.75" hidden="false" customHeight="true" outlineLevel="0" collapsed="false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  <c r="AF421" s="37"/>
      <c r="AG421" s="37"/>
      <c r="AH421" s="37"/>
      <c r="AI421" s="37"/>
      <c r="AJ421" s="37"/>
      <c r="AK421" s="37"/>
      <c r="AL421" s="37"/>
      <c r="AM421" s="37"/>
      <c r="AN421" s="37"/>
      <c r="AO421" s="37"/>
      <c r="AP421" s="37"/>
    </row>
    <row r="422" customFormat="false" ht="15.75" hidden="false" customHeight="true" outlineLevel="0" collapsed="false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  <c r="AF422" s="37"/>
      <c r="AG422" s="37"/>
      <c r="AH422" s="37"/>
      <c r="AI422" s="37"/>
      <c r="AJ422" s="37"/>
      <c r="AK422" s="37"/>
      <c r="AL422" s="37"/>
      <c r="AM422" s="37"/>
      <c r="AN422" s="37"/>
      <c r="AO422" s="37"/>
      <c r="AP422" s="37"/>
    </row>
    <row r="423" customFormat="false" ht="15.75" hidden="false" customHeight="true" outlineLevel="0" collapsed="false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  <c r="AC423" s="37"/>
      <c r="AD423" s="37"/>
      <c r="AE423" s="37"/>
      <c r="AF423" s="37"/>
      <c r="AG423" s="37"/>
      <c r="AH423" s="37"/>
      <c r="AI423" s="37"/>
      <c r="AJ423" s="37"/>
      <c r="AK423" s="37"/>
      <c r="AL423" s="37"/>
      <c r="AM423" s="37"/>
      <c r="AN423" s="37"/>
      <c r="AO423" s="37"/>
      <c r="AP423" s="37"/>
    </row>
    <row r="424" customFormat="false" ht="15.75" hidden="false" customHeight="true" outlineLevel="0" collapsed="false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  <c r="AF424" s="37"/>
      <c r="AG424" s="37"/>
      <c r="AH424" s="37"/>
      <c r="AI424" s="37"/>
      <c r="AJ424" s="37"/>
      <c r="AK424" s="37"/>
      <c r="AL424" s="37"/>
      <c r="AM424" s="37"/>
      <c r="AN424" s="37"/>
      <c r="AO424" s="37"/>
      <c r="AP424" s="37"/>
    </row>
    <row r="425" customFormat="false" ht="15.75" hidden="false" customHeight="true" outlineLevel="0" collapsed="false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  <c r="AF425" s="37"/>
      <c r="AG425" s="37"/>
      <c r="AH425" s="37"/>
      <c r="AI425" s="37"/>
      <c r="AJ425" s="37"/>
      <c r="AK425" s="37"/>
      <c r="AL425" s="37"/>
      <c r="AM425" s="37"/>
      <c r="AN425" s="37"/>
      <c r="AO425" s="37"/>
      <c r="AP425" s="37"/>
    </row>
    <row r="426" customFormat="false" ht="15.75" hidden="false" customHeight="true" outlineLevel="0" collapsed="false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  <c r="AF426" s="37"/>
      <c r="AG426" s="37"/>
      <c r="AH426" s="37"/>
      <c r="AI426" s="37"/>
      <c r="AJ426" s="37"/>
      <c r="AK426" s="37"/>
      <c r="AL426" s="37"/>
      <c r="AM426" s="37"/>
      <c r="AN426" s="37"/>
      <c r="AO426" s="37"/>
      <c r="AP426" s="37"/>
    </row>
    <row r="427" customFormat="false" ht="15.75" hidden="false" customHeight="true" outlineLevel="0" collapsed="false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  <c r="AF427" s="37"/>
      <c r="AG427" s="37"/>
      <c r="AH427" s="37"/>
      <c r="AI427" s="37"/>
      <c r="AJ427" s="37"/>
      <c r="AK427" s="37"/>
      <c r="AL427" s="37"/>
      <c r="AM427" s="37"/>
      <c r="AN427" s="37"/>
      <c r="AO427" s="37"/>
      <c r="AP427" s="37"/>
    </row>
    <row r="428" customFormat="false" ht="15.75" hidden="false" customHeight="true" outlineLevel="0" collapsed="false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  <c r="AC428" s="37"/>
      <c r="AD428" s="37"/>
      <c r="AE428" s="37"/>
      <c r="AF428" s="37"/>
      <c r="AG428" s="37"/>
      <c r="AH428" s="37"/>
      <c r="AI428" s="37"/>
      <c r="AJ428" s="37"/>
      <c r="AK428" s="37"/>
      <c r="AL428" s="37"/>
      <c r="AM428" s="37"/>
      <c r="AN428" s="37"/>
      <c r="AO428" s="37"/>
      <c r="AP428" s="37"/>
    </row>
    <row r="429" customFormat="false" ht="15.75" hidden="false" customHeight="true" outlineLevel="0" collapsed="false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  <c r="AA429" s="37"/>
      <c r="AB429" s="37"/>
      <c r="AC429" s="37"/>
      <c r="AD429" s="37"/>
      <c r="AE429" s="37"/>
      <c r="AF429" s="37"/>
      <c r="AG429" s="37"/>
      <c r="AH429" s="37"/>
      <c r="AI429" s="37"/>
      <c r="AJ429" s="37"/>
      <c r="AK429" s="37"/>
      <c r="AL429" s="37"/>
      <c r="AM429" s="37"/>
      <c r="AN429" s="37"/>
      <c r="AO429" s="37"/>
      <c r="AP429" s="37"/>
    </row>
    <row r="430" customFormat="false" ht="15.75" hidden="false" customHeight="true" outlineLevel="0" collapsed="false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  <c r="AA430" s="37"/>
      <c r="AB430" s="37"/>
      <c r="AC430" s="37"/>
      <c r="AD430" s="37"/>
      <c r="AE430" s="37"/>
      <c r="AF430" s="37"/>
      <c r="AG430" s="37"/>
      <c r="AH430" s="37"/>
      <c r="AI430" s="37"/>
      <c r="AJ430" s="37"/>
      <c r="AK430" s="37"/>
      <c r="AL430" s="37"/>
      <c r="AM430" s="37"/>
      <c r="AN430" s="37"/>
      <c r="AO430" s="37"/>
      <c r="AP430" s="37"/>
    </row>
    <row r="431" customFormat="false" ht="15.75" hidden="false" customHeight="true" outlineLevel="0" collapsed="false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  <c r="AA431" s="37"/>
      <c r="AB431" s="37"/>
      <c r="AC431" s="37"/>
      <c r="AD431" s="37"/>
      <c r="AE431" s="37"/>
      <c r="AF431" s="37"/>
      <c r="AG431" s="37"/>
      <c r="AH431" s="37"/>
      <c r="AI431" s="37"/>
      <c r="AJ431" s="37"/>
      <c r="AK431" s="37"/>
      <c r="AL431" s="37"/>
      <c r="AM431" s="37"/>
      <c r="AN431" s="37"/>
      <c r="AO431" s="37"/>
      <c r="AP431" s="37"/>
    </row>
    <row r="432" customFormat="false" ht="15.75" hidden="false" customHeight="true" outlineLevel="0" collapsed="false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37"/>
      <c r="AB432" s="37"/>
      <c r="AC432" s="37"/>
      <c r="AD432" s="37"/>
      <c r="AE432" s="37"/>
      <c r="AF432" s="37"/>
      <c r="AG432" s="37"/>
      <c r="AH432" s="37"/>
      <c r="AI432" s="37"/>
      <c r="AJ432" s="37"/>
      <c r="AK432" s="37"/>
      <c r="AL432" s="37"/>
      <c r="AM432" s="37"/>
      <c r="AN432" s="37"/>
      <c r="AO432" s="37"/>
      <c r="AP432" s="37"/>
    </row>
    <row r="433" customFormat="false" ht="15.75" hidden="false" customHeight="true" outlineLevel="0" collapsed="false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  <c r="AA433" s="37"/>
      <c r="AB433" s="37"/>
      <c r="AC433" s="37"/>
      <c r="AD433" s="37"/>
      <c r="AE433" s="37"/>
      <c r="AF433" s="37"/>
      <c r="AG433" s="37"/>
      <c r="AH433" s="37"/>
      <c r="AI433" s="37"/>
      <c r="AJ433" s="37"/>
      <c r="AK433" s="37"/>
      <c r="AL433" s="37"/>
      <c r="AM433" s="37"/>
      <c r="AN433" s="37"/>
      <c r="AO433" s="37"/>
      <c r="AP433" s="37"/>
    </row>
    <row r="434" customFormat="false" ht="15.75" hidden="false" customHeight="true" outlineLevel="0" collapsed="false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37"/>
      <c r="AB434" s="37"/>
      <c r="AC434" s="37"/>
      <c r="AD434" s="37"/>
      <c r="AE434" s="37"/>
      <c r="AF434" s="37"/>
      <c r="AG434" s="37"/>
      <c r="AH434" s="37"/>
      <c r="AI434" s="37"/>
      <c r="AJ434" s="37"/>
      <c r="AK434" s="37"/>
      <c r="AL434" s="37"/>
      <c r="AM434" s="37"/>
      <c r="AN434" s="37"/>
      <c r="AO434" s="37"/>
      <c r="AP434" s="37"/>
    </row>
    <row r="435" customFormat="false" ht="15.75" hidden="false" customHeight="true" outlineLevel="0" collapsed="false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  <c r="AA435" s="37"/>
      <c r="AB435" s="37"/>
      <c r="AC435" s="37"/>
      <c r="AD435" s="37"/>
      <c r="AE435" s="37"/>
      <c r="AF435" s="37"/>
      <c r="AG435" s="37"/>
      <c r="AH435" s="37"/>
      <c r="AI435" s="37"/>
      <c r="AJ435" s="37"/>
      <c r="AK435" s="37"/>
      <c r="AL435" s="37"/>
      <c r="AM435" s="37"/>
      <c r="AN435" s="37"/>
      <c r="AO435" s="37"/>
      <c r="AP435" s="37"/>
    </row>
    <row r="436" customFormat="false" ht="15.75" hidden="false" customHeight="true" outlineLevel="0" collapsed="false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  <c r="AC436" s="37"/>
      <c r="AD436" s="37"/>
      <c r="AE436" s="37"/>
      <c r="AF436" s="37"/>
      <c r="AG436" s="37"/>
      <c r="AH436" s="37"/>
      <c r="AI436" s="37"/>
      <c r="AJ436" s="37"/>
      <c r="AK436" s="37"/>
      <c r="AL436" s="37"/>
      <c r="AM436" s="37"/>
      <c r="AN436" s="37"/>
      <c r="AO436" s="37"/>
      <c r="AP436" s="37"/>
    </row>
    <row r="437" customFormat="false" ht="15.75" hidden="false" customHeight="true" outlineLevel="0" collapsed="false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  <c r="AA437" s="37"/>
      <c r="AB437" s="37"/>
      <c r="AC437" s="37"/>
      <c r="AD437" s="37"/>
      <c r="AE437" s="37"/>
      <c r="AF437" s="37"/>
      <c r="AG437" s="37"/>
      <c r="AH437" s="37"/>
      <c r="AI437" s="37"/>
      <c r="AJ437" s="37"/>
      <c r="AK437" s="37"/>
      <c r="AL437" s="37"/>
      <c r="AM437" s="37"/>
      <c r="AN437" s="37"/>
      <c r="AO437" s="37"/>
      <c r="AP437" s="37"/>
    </row>
    <row r="438" customFormat="false" ht="15.75" hidden="false" customHeight="true" outlineLevel="0" collapsed="false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  <c r="AC438" s="37"/>
      <c r="AD438" s="37"/>
      <c r="AE438" s="37"/>
      <c r="AF438" s="37"/>
      <c r="AG438" s="37"/>
      <c r="AH438" s="37"/>
      <c r="AI438" s="37"/>
      <c r="AJ438" s="37"/>
      <c r="AK438" s="37"/>
      <c r="AL438" s="37"/>
      <c r="AM438" s="37"/>
      <c r="AN438" s="37"/>
      <c r="AO438" s="37"/>
      <c r="AP438" s="37"/>
    </row>
    <row r="439" customFormat="false" ht="15.75" hidden="false" customHeight="true" outlineLevel="0" collapsed="false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  <c r="AA439" s="37"/>
      <c r="AB439" s="37"/>
      <c r="AC439" s="37"/>
      <c r="AD439" s="37"/>
      <c r="AE439" s="37"/>
      <c r="AF439" s="37"/>
      <c r="AG439" s="37"/>
      <c r="AH439" s="37"/>
      <c r="AI439" s="37"/>
      <c r="AJ439" s="37"/>
      <c r="AK439" s="37"/>
      <c r="AL439" s="37"/>
      <c r="AM439" s="37"/>
      <c r="AN439" s="37"/>
      <c r="AO439" s="37"/>
      <c r="AP439" s="37"/>
    </row>
    <row r="440" customFormat="false" ht="15.75" hidden="false" customHeight="true" outlineLevel="0" collapsed="false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37"/>
      <c r="AB440" s="37"/>
      <c r="AC440" s="37"/>
      <c r="AD440" s="37"/>
      <c r="AE440" s="37"/>
      <c r="AF440" s="37"/>
      <c r="AG440" s="37"/>
      <c r="AH440" s="37"/>
      <c r="AI440" s="37"/>
      <c r="AJ440" s="37"/>
      <c r="AK440" s="37"/>
      <c r="AL440" s="37"/>
      <c r="AM440" s="37"/>
      <c r="AN440" s="37"/>
      <c r="AO440" s="37"/>
      <c r="AP440" s="37"/>
    </row>
    <row r="441" customFormat="false" ht="15.75" hidden="false" customHeight="true" outlineLevel="0" collapsed="false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  <c r="AA441" s="37"/>
      <c r="AB441" s="37"/>
      <c r="AC441" s="37"/>
      <c r="AD441" s="37"/>
      <c r="AE441" s="37"/>
      <c r="AF441" s="37"/>
      <c r="AG441" s="37"/>
      <c r="AH441" s="37"/>
      <c r="AI441" s="37"/>
      <c r="AJ441" s="37"/>
      <c r="AK441" s="37"/>
      <c r="AL441" s="37"/>
      <c r="AM441" s="37"/>
      <c r="AN441" s="37"/>
      <c r="AO441" s="37"/>
      <c r="AP441" s="37"/>
    </row>
    <row r="442" customFormat="false" ht="15.75" hidden="false" customHeight="true" outlineLevel="0" collapsed="false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  <c r="AA442" s="37"/>
      <c r="AB442" s="37"/>
      <c r="AC442" s="37"/>
      <c r="AD442" s="37"/>
      <c r="AE442" s="37"/>
      <c r="AF442" s="37"/>
      <c r="AG442" s="37"/>
      <c r="AH442" s="37"/>
      <c r="AI442" s="37"/>
      <c r="AJ442" s="37"/>
      <c r="AK442" s="37"/>
      <c r="AL442" s="37"/>
      <c r="AM442" s="37"/>
      <c r="AN442" s="37"/>
      <c r="AO442" s="37"/>
      <c r="AP442" s="37"/>
    </row>
    <row r="443" customFormat="false" ht="15.75" hidden="false" customHeight="true" outlineLevel="0" collapsed="false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  <c r="AA443" s="37"/>
      <c r="AB443" s="37"/>
      <c r="AC443" s="37"/>
      <c r="AD443" s="37"/>
      <c r="AE443" s="37"/>
      <c r="AF443" s="37"/>
      <c r="AG443" s="37"/>
      <c r="AH443" s="37"/>
      <c r="AI443" s="37"/>
      <c r="AJ443" s="37"/>
      <c r="AK443" s="37"/>
      <c r="AL443" s="37"/>
      <c r="AM443" s="37"/>
      <c r="AN443" s="37"/>
      <c r="AO443" s="37"/>
      <c r="AP443" s="37"/>
    </row>
    <row r="444" customFormat="false" ht="15.75" hidden="false" customHeight="true" outlineLevel="0" collapsed="false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  <c r="AA444" s="37"/>
      <c r="AB444" s="37"/>
      <c r="AC444" s="37"/>
      <c r="AD444" s="37"/>
      <c r="AE444" s="37"/>
      <c r="AF444" s="37"/>
      <c r="AG444" s="37"/>
      <c r="AH444" s="37"/>
      <c r="AI444" s="37"/>
      <c r="AJ444" s="37"/>
      <c r="AK444" s="37"/>
      <c r="AL444" s="37"/>
      <c r="AM444" s="37"/>
      <c r="AN444" s="37"/>
      <c r="AO444" s="37"/>
      <c r="AP444" s="37"/>
    </row>
    <row r="445" customFormat="false" ht="15.75" hidden="false" customHeight="true" outlineLevel="0" collapsed="false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  <c r="AA445" s="37"/>
      <c r="AB445" s="37"/>
      <c r="AC445" s="37"/>
      <c r="AD445" s="37"/>
      <c r="AE445" s="37"/>
      <c r="AF445" s="37"/>
      <c r="AG445" s="37"/>
      <c r="AH445" s="37"/>
      <c r="AI445" s="37"/>
      <c r="AJ445" s="37"/>
      <c r="AK445" s="37"/>
      <c r="AL445" s="37"/>
      <c r="AM445" s="37"/>
      <c r="AN445" s="37"/>
      <c r="AO445" s="37"/>
      <c r="AP445" s="37"/>
    </row>
    <row r="446" customFormat="false" ht="15.75" hidden="false" customHeight="true" outlineLevel="0" collapsed="false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37"/>
      <c r="AB446" s="37"/>
      <c r="AC446" s="37"/>
      <c r="AD446" s="37"/>
      <c r="AE446" s="37"/>
      <c r="AF446" s="37"/>
      <c r="AG446" s="37"/>
      <c r="AH446" s="37"/>
      <c r="AI446" s="37"/>
      <c r="AJ446" s="37"/>
      <c r="AK446" s="37"/>
      <c r="AL446" s="37"/>
      <c r="AM446" s="37"/>
      <c r="AN446" s="37"/>
      <c r="AO446" s="37"/>
      <c r="AP446" s="37"/>
    </row>
    <row r="447" customFormat="false" ht="15.75" hidden="false" customHeight="true" outlineLevel="0" collapsed="false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  <c r="AA447" s="37"/>
      <c r="AB447" s="37"/>
      <c r="AC447" s="37"/>
      <c r="AD447" s="37"/>
      <c r="AE447" s="37"/>
      <c r="AF447" s="37"/>
      <c r="AG447" s="37"/>
      <c r="AH447" s="37"/>
      <c r="AI447" s="37"/>
      <c r="AJ447" s="37"/>
      <c r="AK447" s="37"/>
      <c r="AL447" s="37"/>
      <c r="AM447" s="37"/>
      <c r="AN447" s="37"/>
      <c r="AO447" s="37"/>
      <c r="AP447" s="37"/>
    </row>
    <row r="448" customFormat="false" ht="15.75" hidden="false" customHeight="true" outlineLevel="0" collapsed="false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  <c r="AA448" s="37"/>
      <c r="AB448" s="37"/>
      <c r="AC448" s="37"/>
      <c r="AD448" s="37"/>
      <c r="AE448" s="37"/>
      <c r="AF448" s="37"/>
      <c r="AG448" s="37"/>
      <c r="AH448" s="37"/>
      <c r="AI448" s="37"/>
      <c r="AJ448" s="37"/>
      <c r="AK448" s="37"/>
      <c r="AL448" s="37"/>
      <c r="AM448" s="37"/>
      <c r="AN448" s="37"/>
      <c r="AO448" s="37"/>
      <c r="AP448" s="37"/>
    </row>
    <row r="449" customFormat="false" ht="15.75" hidden="false" customHeight="true" outlineLevel="0" collapsed="false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  <c r="AA449" s="37"/>
      <c r="AB449" s="37"/>
      <c r="AC449" s="37"/>
      <c r="AD449" s="37"/>
      <c r="AE449" s="37"/>
      <c r="AF449" s="37"/>
      <c r="AG449" s="37"/>
      <c r="AH449" s="37"/>
      <c r="AI449" s="37"/>
      <c r="AJ449" s="37"/>
      <c r="AK449" s="37"/>
      <c r="AL449" s="37"/>
      <c r="AM449" s="37"/>
      <c r="AN449" s="37"/>
      <c r="AO449" s="37"/>
      <c r="AP449" s="37"/>
    </row>
    <row r="450" customFormat="false" ht="15.75" hidden="false" customHeight="true" outlineLevel="0" collapsed="false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37"/>
      <c r="AB450" s="37"/>
      <c r="AC450" s="37"/>
      <c r="AD450" s="37"/>
      <c r="AE450" s="37"/>
      <c r="AF450" s="37"/>
      <c r="AG450" s="37"/>
      <c r="AH450" s="37"/>
      <c r="AI450" s="37"/>
      <c r="AJ450" s="37"/>
      <c r="AK450" s="37"/>
      <c r="AL450" s="37"/>
      <c r="AM450" s="37"/>
      <c r="AN450" s="37"/>
      <c r="AO450" s="37"/>
      <c r="AP450" s="37"/>
    </row>
    <row r="451" customFormat="false" ht="15.75" hidden="false" customHeight="true" outlineLevel="0" collapsed="false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  <c r="AC451" s="37"/>
      <c r="AD451" s="37"/>
      <c r="AE451" s="37"/>
      <c r="AF451" s="37"/>
      <c r="AG451" s="37"/>
      <c r="AH451" s="37"/>
      <c r="AI451" s="37"/>
      <c r="AJ451" s="37"/>
      <c r="AK451" s="37"/>
      <c r="AL451" s="37"/>
      <c r="AM451" s="37"/>
      <c r="AN451" s="37"/>
      <c r="AO451" s="37"/>
      <c r="AP451" s="37"/>
    </row>
    <row r="452" customFormat="false" ht="15.75" hidden="false" customHeight="true" outlineLevel="0" collapsed="false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  <c r="AC452" s="37"/>
      <c r="AD452" s="37"/>
      <c r="AE452" s="37"/>
      <c r="AF452" s="37"/>
      <c r="AG452" s="37"/>
      <c r="AH452" s="37"/>
      <c r="AI452" s="37"/>
      <c r="AJ452" s="37"/>
      <c r="AK452" s="37"/>
      <c r="AL452" s="37"/>
      <c r="AM452" s="37"/>
      <c r="AN452" s="37"/>
      <c r="AO452" s="37"/>
      <c r="AP452" s="37"/>
    </row>
    <row r="453" customFormat="false" ht="15.75" hidden="false" customHeight="true" outlineLevel="0" collapsed="false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  <c r="AA453" s="37"/>
      <c r="AB453" s="37"/>
      <c r="AC453" s="37"/>
      <c r="AD453" s="37"/>
      <c r="AE453" s="37"/>
      <c r="AF453" s="37"/>
      <c r="AG453" s="37"/>
      <c r="AH453" s="37"/>
      <c r="AI453" s="37"/>
      <c r="AJ453" s="37"/>
      <c r="AK453" s="37"/>
      <c r="AL453" s="37"/>
      <c r="AM453" s="37"/>
      <c r="AN453" s="37"/>
      <c r="AO453" s="37"/>
      <c r="AP453" s="37"/>
    </row>
    <row r="454" customFormat="false" ht="15.75" hidden="false" customHeight="true" outlineLevel="0" collapsed="false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  <c r="AA454" s="37"/>
      <c r="AB454" s="37"/>
      <c r="AC454" s="37"/>
      <c r="AD454" s="37"/>
      <c r="AE454" s="37"/>
      <c r="AF454" s="37"/>
      <c r="AG454" s="37"/>
      <c r="AH454" s="37"/>
      <c r="AI454" s="37"/>
      <c r="AJ454" s="37"/>
      <c r="AK454" s="37"/>
      <c r="AL454" s="37"/>
      <c r="AM454" s="37"/>
      <c r="AN454" s="37"/>
      <c r="AO454" s="37"/>
      <c r="AP454" s="37"/>
    </row>
    <row r="455" customFormat="false" ht="15.75" hidden="false" customHeight="true" outlineLevel="0" collapsed="false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  <c r="AA455" s="37"/>
      <c r="AB455" s="37"/>
      <c r="AC455" s="37"/>
      <c r="AD455" s="37"/>
      <c r="AE455" s="37"/>
      <c r="AF455" s="37"/>
      <c r="AG455" s="37"/>
      <c r="AH455" s="37"/>
      <c r="AI455" s="37"/>
      <c r="AJ455" s="37"/>
      <c r="AK455" s="37"/>
      <c r="AL455" s="37"/>
      <c r="AM455" s="37"/>
      <c r="AN455" s="37"/>
      <c r="AO455" s="37"/>
      <c r="AP455" s="37"/>
    </row>
    <row r="456" customFormat="false" ht="15.75" hidden="false" customHeight="true" outlineLevel="0" collapsed="false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37"/>
      <c r="AB456" s="37"/>
      <c r="AC456" s="37"/>
      <c r="AD456" s="37"/>
      <c r="AE456" s="37"/>
      <c r="AF456" s="37"/>
      <c r="AG456" s="37"/>
      <c r="AH456" s="37"/>
      <c r="AI456" s="37"/>
      <c r="AJ456" s="37"/>
      <c r="AK456" s="37"/>
      <c r="AL456" s="37"/>
      <c r="AM456" s="37"/>
      <c r="AN456" s="37"/>
      <c r="AO456" s="37"/>
      <c r="AP456" s="37"/>
    </row>
    <row r="457" customFormat="false" ht="15.75" hidden="false" customHeight="true" outlineLevel="0" collapsed="false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  <c r="AA457" s="37"/>
      <c r="AB457" s="37"/>
      <c r="AC457" s="37"/>
      <c r="AD457" s="37"/>
      <c r="AE457" s="37"/>
      <c r="AF457" s="37"/>
      <c r="AG457" s="37"/>
      <c r="AH457" s="37"/>
      <c r="AI457" s="37"/>
      <c r="AJ457" s="37"/>
      <c r="AK457" s="37"/>
      <c r="AL457" s="37"/>
      <c r="AM457" s="37"/>
      <c r="AN457" s="37"/>
      <c r="AO457" s="37"/>
      <c r="AP457" s="37"/>
    </row>
    <row r="458" customFormat="false" ht="15.75" hidden="false" customHeight="true" outlineLevel="0" collapsed="false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37"/>
      <c r="AB458" s="37"/>
      <c r="AC458" s="37"/>
      <c r="AD458" s="37"/>
      <c r="AE458" s="37"/>
      <c r="AF458" s="37"/>
      <c r="AG458" s="37"/>
      <c r="AH458" s="37"/>
      <c r="AI458" s="37"/>
      <c r="AJ458" s="37"/>
      <c r="AK458" s="37"/>
      <c r="AL458" s="37"/>
      <c r="AM458" s="37"/>
      <c r="AN458" s="37"/>
      <c r="AO458" s="37"/>
      <c r="AP458" s="37"/>
    </row>
    <row r="459" customFormat="false" ht="15.75" hidden="false" customHeight="true" outlineLevel="0" collapsed="false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  <c r="AA459" s="37"/>
      <c r="AB459" s="37"/>
      <c r="AC459" s="37"/>
      <c r="AD459" s="37"/>
      <c r="AE459" s="37"/>
      <c r="AF459" s="37"/>
      <c r="AG459" s="37"/>
      <c r="AH459" s="37"/>
      <c r="AI459" s="37"/>
      <c r="AJ459" s="37"/>
      <c r="AK459" s="37"/>
      <c r="AL459" s="37"/>
      <c r="AM459" s="37"/>
      <c r="AN459" s="37"/>
      <c r="AO459" s="37"/>
      <c r="AP459" s="37"/>
    </row>
    <row r="460" customFormat="false" ht="15.75" hidden="false" customHeight="true" outlineLevel="0" collapsed="false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  <c r="AA460" s="37"/>
      <c r="AB460" s="37"/>
      <c r="AC460" s="37"/>
      <c r="AD460" s="37"/>
      <c r="AE460" s="37"/>
      <c r="AF460" s="37"/>
      <c r="AG460" s="37"/>
      <c r="AH460" s="37"/>
      <c r="AI460" s="37"/>
      <c r="AJ460" s="37"/>
      <c r="AK460" s="37"/>
      <c r="AL460" s="37"/>
      <c r="AM460" s="37"/>
      <c r="AN460" s="37"/>
      <c r="AO460" s="37"/>
      <c r="AP460" s="37"/>
    </row>
    <row r="461" customFormat="false" ht="15.75" hidden="false" customHeight="true" outlineLevel="0" collapsed="false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  <c r="AF461" s="37"/>
      <c r="AG461" s="37"/>
      <c r="AH461" s="37"/>
      <c r="AI461" s="37"/>
      <c r="AJ461" s="37"/>
      <c r="AK461" s="37"/>
      <c r="AL461" s="37"/>
      <c r="AM461" s="37"/>
      <c r="AN461" s="37"/>
      <c r="AO461" s="37"/>
      <c r="AP461" s="37"/>
    </row>
    <row r="462" customFormat="false" ht="15.75" hidden="false" customHeight="true" outlineLevel="0" collapsed="false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37"/>
      <c r="AN462" s="37"/>
      <c r="AO462" s="37"/>
      <c r="AP462" s="37"/>
    </row>
    <row r="463" customFormat="false" ht="15.75" hidden="false" customHeight="true" outlineLevel="0" collapsed="false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  <c r="AF463" s="37"/>
      <c r="AG463" s="37"/>
      <c r="AH463" s="37"/>
      <c r="AI463" s="37"/>
      <c r="AJ463" s="37"/>
      <c r="AK463" s="37"/>
      <c r="AL463" s="37"/>
      <c r="AM463" s="37"/>
      <c r="AN463" s="37"/>
      <c r="AO463" s="37"/>
      <c r="AP463" s="37"/>
    </row>
    <row r="464" customFormat="false" ht="15.75" hidden="false" customHeight="true" outlineLevel="0" collapsed="false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  <c r="AF464" s="37"/>
      <c r="AG464" s="37"/>
      <c r="AH464" s="37"/>
      <c r="AI464" s="37"/>
      <c r="AJ464" s="37"/>
      <c r="AK464" s="37"/>
      <c r="AL464" s="37"/>
      <c r="AM464" s="37"/>
      <c r="AN464" s="37"/>
      <c r="AO464" s="37"/>
      <c r="AP464" s="37"/>
    </row>
    <row r="465" customFormat="false" ht="15.75" hidden="false" customHeight="true" outlineLevel="0" collapsed="false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  <c r="AG465" s="37"/>
      <c r="AH465" s="37"/>
      <c r="AI465" s="37"/>
      <c r="AJ465" s="37"/>
      <c r="AK465" s="37"/>
      <c r="AL465" s="37"/>
      <c r="AM465" s="37"/>
      <c r="AN465" s="37"/>
      <c r="AO465" s="37"/>
      <c r="AP465" s="37"/>
    </row>
    <row r="466" customFormat="false" ht="15.75" hidden="false" customHeight="true" outlineLevel="0" collapsed="false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  <c r="AF466" s="37"/>
      <c r="AG466" s="37"/>
      <c r="AH466" s="37"/>
      <c r="AI466" s="37"/>
      <c r="AJ466" s="37"/>
      <c r="AK466" s="37"/>
      <c r="AL466" s="37"/>
      <c r="AM466" s="37"/>
      <c r="AN466" s="37"/>
      <c r="AO466" s="37"/>
      <c r="AP466" s="37"/>
    </row>
    <row r="467" customFormat="false" ht="15.75" hidden="false" customHeight="true" outlineLevel="0" collapsed="false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  <c r="AF467" s="37"/>
      <c r="AG467" s="37"/>
      <c r="AH467" s="37"/>
      <c r="AI467" s="37"/>
      <c r="AJ467" s="37"/>
      <c r="AK467" s="37"/>
      <c r="AL467" s="37"/>
      <c r="AM467" s="37"/>
      <c r="AN467" s="37"/>
      <c r="AO467" s="37"/>
      <c r="AP467" s="37"/>
    </row>
    <row r="468" customFormat="false" ht="15.75" hidden="false" customHeight="true" outlineLevel="0" collapsed="false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  <c r="AF468" s="37"/>
      <c r="AG468" s="37"/>
      <c r="AH468" s="37"/>
      <c r="AI468" s="37"/>
      <c r="AJ468" s="37"/>
      <c r="AK468" s="37"/>
      <c r="AL468" s="37"/>
      <c r="AM468" s="37"/>
      <c r="AN468" s="37"/>
      <c r="AO468" s="37"/>
      <c r="AP468" s="37"/>
    </row>
    <row r="469" customFormat="false" ht="15.75" hidden="false" customHeight="true" outlineLevel="0" collapsed="false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  <c r="AA469" s="37"/>
      <c r="AB469" s="37"/>
      <c r="AC469" s="37"/>
      <c r="AD469" s="37"/>
      <c r="AE469" s="37"/>
      <c r="AF469" s="37"/>
      <c r="AG469" s="37"/>
      <c r="AH469" s="37"/>
      <c r="AI469" s="37"/>
      <c r="AJ469" s="37"/>
      <c r="AK469" s="37"/>
      <c r="AL469" s="37"/>
      <c r="AM469" s="37"/>
      <c r="AN469" s="37"/>
      <c r="AO469" s="37"/>
      <c r="AP469" s="37"/>
    </row>
    <row r="470" customFormat="false" ht="15.75" hidden="false" customHeight="true" outlineLevel="0" collapsed="false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37"/>
      <c r="AB470" s="37"/>
      <c r="AC470" s="37"/>
      <c r="AD470" s="37"/>
      <c r="AE470" s="37"/>
      <c r="AF470" s="37"/>
      <c r="AG470" s="37"/>
      <c r="AH470" s="37"/>
      <c r="AI470" s="37"/>
      <c r="AJ470" s="37"/>
      <c r="AK470" s="37"/>
      <c r="AL470" s="37"/>
      <c r="AM470" s="37"/>
      <c r="AN470" s="37"/>
      <c r="AO470" s="37"/>
      <c r="AP470" s="37"/>
    </row>
    <row r="471" customFormat="false" ht="15.75" hidden="false" customHeight="true" outlineLevel="0" collapsed="false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  <c r="AA471" s="37"/>
      <c r="AB471" s="37"/>
      <c r="AC471" s="37"/>
      <c r="AD471" s="37"/>
      <c r="AE471" s="37"/>
      <c r="AF471" s="37"/>
      <c r="AG471" s="37"/>
      <c r="AH471" s="37"/>
      <c r="AI471" s="37"/>
      <c r="AJ471" s="37"/>
      <c r="AK471" s="37"/>
      <c r="AL471" s="37"/>
      <c r="AM471" s="37"/>
      <c r="AN471" s="37"/>
      <c r="AO471" s="37"/>
      <c r="AP471" s="37"/>
    </row>
    <row r="472" customFormat="false" ht="15.75" hidden="false" customHeight="true" outlineLevel="0" collapsed="false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  <c r="AA472" s="37"/>
      <c r="AB472" s="37"/>
      <c r="AC472" s="37"/>
      <c r="AD472" s="37"/>
      <c r="AE472" s="37"/>
      <c r="AF472" s="37"/>
      <c r="AG472" s="37"/>
      <c r="AH472" s="37"/>
      <c r="AI472" s="37"/>
      <c r="AJ472" s="37"/>
      <c r="AK472" s="37"/>
      <c r="AL472" s="37"/>
      <c r="AM472" s="37"/>
      <c r="AN472" s="37"/>
      <c r="AO472" s="37"/>
      <c r="AP472" s="37"/>
    </row>
    <row r="473" customFormat="false" ht="15.75" hidden="false" customHeight="true" outlineLevel="0" collapsed="false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  <c r="AA473" s="37"/>
      <c r="AB473" s="37"/>
      <c r="AC473" s="37"/>
      <c r="AD473" s="37"/>
      <c r="AE473" s="37"/>
      <c r="AF473" s="37"/>
      <c r="AG473" s="37"/>
      <c r="AH473" s="37"/>
      <c r="AI473" s="37"/>
      <c r="AJ473" s="37"/>
      <c r="AK473" s="37"/>
      <c r="AL473" s="37"/>
      <c r="AM473" s="37"/>
      <c r="AN473" s="37"/>
      <c r="AO473" s="37"/>
      <c r="AP473" s="37"/>
    </row>
    <row r="474" customFormat="false" ht="15.75" hidden="false" customHeight="true" outlineLevel="0" collapsed="false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  <c r="AC474" s="37"/>
      <c r="AD474" s="37"/>
      <c r="AE474" s="37"/>
      <c r="AF474" s="37"/>
      <c r="AG474" s="37"/>
      <c r="AH474" s="37"/>
      <c r="AI474" s="37"/>
      <c r="AJ474" s="37"/>
      <c r="AK474" s="37"/>
      <c r="AL474" s="37"/>
      <c r="AM474" s="37"/>
      <c r="AN474" s="37"/>
      <c r="AO474" s="37"/>
      <c r="AP474" s="37"/>
    </row>
    <row r="475" customFormat="false" ht="15.75" hidden="false" customHeight="true" outlineLevel="0" collapsed="false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  <c r="AA475" s="37"/>
      <c r="AB475" s="37"/>
      <c r="AC475" s="37"/>
      <c r="AD475" s="37"/>
      <c r="AE475" s="37"/>
      <c r="AF475" s="37"/>
      <c r="AG475" s="37"/>
      <c r="AH475" s="37"/>
      <c r="AI475" s="37"/>
      <c r="AJ475" s="37"/>
      <c r="AK475" s="37"/>
      <c r="AL475" s="37"/>
      <c r="AM475" s="37"/>
      <c r="AN475" s="37"/>
      <c r="AO475" s="37"/>
      <c r="AP475" s="37"/>
    </row>
    <row r="476" customFormat="false" ht="15.75" hidden="false" customHeight="true" outlineLevel="0" collapsed="false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37"/>
      <c r="AB476" s="37"/>
      <c r="AC476" s="37"/>
      <c r="AD476" s="37"/>
      <c r="AE476" s="37"/>
      <c r="AF476" s="37"/>
      <c r="AG476" s="37"/>
      <c r="AH476" s="37"/>
      <c r="AI476" s="37"/>
      <c r="AJ476" s="37"/>
      <c r="AK476" s="37"/>
      <c r="AL476" s="37"/>
      <c r="AM476" s="37"/>
      <c r="AN476" s="37"/>
      <c r="AO476" s="37"/>
      <c r="AP476" s="37"/>
    </row>
    <row r="477" customFormat="false" ht="15.75" hidden="false" customHeight="true" outlineLevel="0" collapsed="false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  <c r="AA477" s="37"/>
      <c r="AB477" s="37"/>
      <c r="AC477" s="37"/>
      <c r="AD477" s="37"/>
      <c r="AE477" s="37"/>
      <c r="AF477" s="37"/>
      <c r="AG477" s="37"/>
      <c r="AH477" s="37"/>
      <c r="AI477" s="37"/>
      <c r="AJ477" s="37"/>
      <c r="AK477" s="37"/>
      <c r="AL477" s="37"/>
      <c r="AM477" s="37"/>
      <c r="AN477" s="37"/>
      <c r="AO477" s="37"/>
      <c r="AP477" s="37"/>
    </row>
    <row r="478" customFormat="false" ht="15.75" hidden="false" customHeight="true" outlineLevel="0" collapsed="false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  <c r="AA478" s="37"/>
      <c r="AB478" s="37"/>
      <c r="AC478" s="37"/>
      <c r="AD478" s="37"/>
      <c r="AE478" s="37"/>
      <c r="AF478" s="37"/>
      <c r="AG478" s="37"/>
      <c r="AH478" s="37"/>
      <c r="AI478" s="37"/>
      <c r="AJ478" s="37"/>
      <c r="AK478" s="37"/>
      <c r="AL478" s="37"/>
      <c r="AM478" s="37"/>
      <c r="AN478" s="37"/>
      <c r="AO478" s="37"/>
      <c r="AP478" s="37"/>
    </row>
    <row r="479" customFormat="false" ht="15.75" hidden="false" customHeight="true" outlineLevel="0" collapsed="false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  <c r="AA479" s="37"/>
      <c r="AB479" s="37"/>
      <c r="AC479" s="37"/>
      <c r="AD479" s="37"/>
      <c r="AE479" s="37"/>
      <c r="AF479" s="37"/>
      <c r="AG479" s="37"/>
      <c r="AH479" s="37"/>
      <c r="AI479" s="37"/>
      <c r="AJ479" s="37"/>
      <c r="AK479" s="37"/>
      <c r="AL479" s="37"/>
      <c r="AM479" s="37"/>
      <c r="AN479" s="37"/>
      <c r="AO479" s="37"/>
      <c r="AP479" s="37"/>
    </row>
    <row r="480" customFormat="false" ht="15.75" hidden="false" customHeight="true" outlineLevel="0" collapsed="false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37"/>
      <c r="AB480" s="37"/>
      <c r="AC480" s="37"/>
      <c r="AD480" s="37"/>
      <c r="AE480" s="37"/>
      <c r="AF480" s="37"/>
      <c r="AG480" s="37"/>
      <c r="AH480" s="37"/>
      <c r="AI480" s="37"/>
      <c r="AJ480" s="37"/>
      <c r="AK480" s="37"/>
      <c r="AL480" s="37"/>
      <c r="AM480" s="37"/>
      <c r="AN480" s="37"/>
      <c r="AO480" s="37"/>
      <c r="AP480" s="37"/>
    </row>
    <row r="481" customFormat="false" ht="15.75" hidden="false" customHeight="true" outlineLevel="0" collapsed="false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  <c r="AA481" s="37"/>
      <c r="AB481" s="37"/>
      <c r="AC481" s="37"/>
      <c r="AD481" s="37"/>
      <c r="AE481" s="37"/>
      <c r="AF481" s="37"/>
      <c r="AG481" s="37"/>
      <c r="AH481" s="37"/>
      <c r="AI481" s="37"/>
      <c r="AJ481" s="37"/>
      <c r="AK481" s="37"/>
      <c r="AL481" s="37"/>
      <c r="AM481" s="37"/>
      <c r="AN481" s="37"/>
      <c r="AO481" s="37"/>
      <c r="AP481" s="37"/>
    </row>
    <row r="482" customFormat="false" ht="15.75" hidden="false" customHeight="true" outlineLevel="0" collapsed="false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  <c r="AA482" s="37"/>
      <c r="AB482" s="37"/>
      <c r="AC482" s="37"/>
      <c r="AD482" s="37"/>
      <c r="AE482" s="37"/>
      <c r="AF482" s="37"/>
      <c r="AG482" s="37"/>
      <c r="AH482" s="37"/>
      <c r="AI482" s="37"/>
      <c r="AJ482" s="37"/>
      <c r="AK482" s="37"/>
      <c r="AL482" s="37"/>
      <c r="AM482" s="37"/>
      <c r="AN482" s="37"/>
      <c r="AO482" s="37"/>
      <c r="AP482" s="37"/>
    </row>
    <row r="483" customFormat="false" ht="15.75" hidden="false" customHeight="true" outlineLevel="0" collapsed="false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  <c r="AA483" s="37"/>
      <c r="AB483" s="37"/>
      <c r="AC483" s="37"/>
      <c r="AD483" s="37"/>
      <c r="AE483" s="37"/>
      <c r="AF483" s="37"/>
      <c r="AG483" s="37"/>
      <c r="AH483" s="37"/>
      <c r="AI483" s="37"/>
      <c r="AJ483" s="37"/>
      <c r="AK483" s="37"/>
      <c r="AL483" s="37"/>
      <c r="AM483" s="37"/>
      <c r="AN483" s="37"/>
      <c r="AO483" s="37"/>
      <c r="AP483" s="37"/>
    </row>
    <row r="484" customFormat="false" ht="15.75" hidden="false" customHeight="true" outlineLevel="0" collapsed="false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  <c r="AA484" s="37"/>
      <c r="AB484" s="37"/>
      <c r="AC484" s="37"/>
      <c r="AD484" s="37"/>
      <c r="AE484" s="37"/>
      <c r="AF484" s="37"/>
      <c r="AG484" s="37"/>
      <c r="AH484" s="37"/>
      <c r="AI484" s="37"/>
      <c r="AJ484" s="37"/>
      <c r="AK484" s="37"/>
      <c r="AL484" s="37"/>
      <c r="AM484" s="37"/>
      <c r="AN484" s="37"/>
      <c r="AO484" s="37"/>
      <c r="AP484" s="37"/>
    </row>
    <row r="485" customFormat="false" ht="15.75" hidden="false" customHeight="true" outlineLevel="0" collapsed="false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  <c r="AA485" s="37"/>
      <c r="AB485" s="37"/>
      <c r="AC485" s="37"/>
      <c r="AD485" s="37"/>
      <c r="AE485" s="37"/>
      <c r="AF485" s="37"/>
      <c r="AG485" s="37"/>
      <c r="AH485" s="37"/>
      <c r="AI485" s="37"/>
      <c r="AJ485" s="37"/>
      <c r="AK485" s="37"/>
      <c r="AL485" s="37"/>
      <c r="AM485" s="37"/>
      <c r="AN485" s="37"/>
      <c r="AO485" s="37"/>
      <c r="AP485" s="37"/>
    </row>
    <row r="486" customFormat="false" ht="15.75" hidden="false" customHeight="true" outlineLevel="0" collapsed="false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  <c r="AA486" s="37"/>
      <c r="AB486" s="37"/>
      <c r="AC486" s="37"/>
      <c r="AD486" s="37"/>
      <c r="AE486" s="37"/>
      <c r="AF486" s="37"/>
      <c r="AG486" s="37"/>
      <c r="AH486" s="37"/>
      <c r="AI486" s="37"/>
      <c r="AJ486" s="37"/>
      <c r="AK486" s="37"/>
      <c r="AL486" s="37"/>
      <c r="AM486" s="37"/>
      <c r="AN486" s="37"/>
      <c r="AO486" s="37"/>
      <c r="AP486" s="37"/>
    </row>
    <row r="487" customFormat="false" ht="15.75" hidden="false" customHeight="true" outlineLevel="0" collapsed="false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  <c r="AA487" s="37"/>
      <c r="AB487" s="37"/>
      <c r="AC487" s="37"/>
      <c r="AD487" s="37"/>
      <c r="AE487" s="37"/>
      <c r="AF487" s="37"/>
      <c r="AG487" s="37"/>
      <c r="AH487" s="37"/>
      <c r="AI487" s="37"/>
      <c r="AJ487" s="37"/>
      <c r="AK487" s="37"/>
      <c r="AL487" s="37"/>
      <c r="AM487" s="37"/>
      <c r="AN487" s="37"/>
      <c r="AO487" s="37"/>
      <c r="AP487" s="37"/>
    </row>
    <row r="488" customFormat="false" ht="15.75" hidden="false" customHeight="true" outlineLevel="0" collapsed="false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  <c r="AA488" s="37"/>
      <c r="AB488" s="37"/>
      <c r="AC488" s="37"/>
      <c r="AD488" s="37"/>
      <c r="AE488" s="37"/>
      <c r="AF488" s="37"/>
      <c r="AG488" s="37"/>
      <c r="AH488" s="37"/>
      <c r="AI488" s="37"/>
      <c r="AJ488" s="37"/>
      <c r="AK488" s="37"/>
      <c r="AL488" s="37"/>
      <c r="AM488" s="37"/>
      <c r="AN488" s="37"/>
      <c r="AO488" s="37"/>
      <c r="AP488" s="37"/>
    </row>
    <row r="489" customFormat="false" ht="15.75" hidden="false" customHeight="true" outlineLevel="0" collapsed="false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  <c r="AA489" s="37"/>
      <c r="AB489" s="37"/>
      <c r="AC489" s="37"/>
      <c r="AD489" s="37"/>
      <c r="AE489" s="37"/>
      <c r="AF489" s="37"/>
      <c r="AG489" s="37"/>
      <c r="AH489" s="37"/>
      <c r="AI489" s="37"/>
      <c r="AJ489" s="37"/>
      <c r="AK489" s="37"/>
      <c r="AL489" s="37"/>
      <c r="AM489" s="37"/>
      <c r="AN489" s="37"/>
      <c r="AO489" s="37"/>
      <c r="AP489" s="37"/>
    </row>
    <row r="490" customFormat="false" ht="15.75" hidden="false" customHeight="true" outlineLevel="0" collapsed="false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  <c r="AA490" s="37"/>
      <c r="AB490" s="37"/>
      <c r="AC490" s="37"/>
      <c r="AD490" s="37"/>
      <c r="AE490" s="37"/>
      <c r="AF490" s="37"/>
      <c r="AG490" s="37"/>
      <c r="AH490" s="37"/>
      <c r="AI490" s="37"/>
      <c r="AJ490" s="37"/>
      <c r="AK490" s="37"/>
      <c r="AL490" s="37"/>
      <c r="AM490" s="37"/>
      <c r="AN490" s="37"/>
      <c r="AO490" s="37"/>
      <c r="AP490" s="37"/>
    </row>
    <row r="491" customFormat="false" ht="15.75" hidden="false" customHeight="true" outlineLevel="0" collapsed="false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  <c r="AA491" s="37"/>
      <c r="AB491" s="37"/>
      <c r="AC491" s="37"/>
      <c r="AD491" s="37"/>
      <c r="AE491" s="37"/>
      <c r="AF491" s="37"/>
      <c r="AG491" s="37"/>
      <c r="AH491" s="37"/>
      <c r="AI491" s="37"/>
      <c r="AJ491" s="37"/>
      <c r="AK491" s="37"/>
      <c r="AL491" s="37"/>
      <c r="AM491" s="37"/>
      <c r="AN491" s="37"/>
      <c r="AO491" s="37"/>
      <c r="AP491" s="37"/>
    </row>
    <row r="492" customFormat="false" ht="15.75" hidden="false" customHeight="true" outlineLevel="0" collapsed="false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  <c r="AA492" s="37"/>
      <c r="AB492" s="37"/>
      <c r="AC492" s="37"/>
      <c r="AD492" s="37"/>
      <c r="AE492" s="37"/>
      <c r="AF492" s="37"/>
      <c r="AG492" s="37"/>
      <c r="AH492" s="37"/>
      <c r="AI492" s="37"/>
      <c r="AJ492" s="37"/>
      <c r="AK492" s="37"/>
      <c r="AL492" s="37"/>
      <c r="AM492" s="37"/>
      <c r="AN492" s="37"/>
      <c r="AO492" s="37"/>
      <c r="AP492" s="37"/>
    </row>
    <row r="493" customFormat="false" ht="15.75" hidden="false" customHeight="true" outlineLevel="0" collapsed="false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  <c r="AA493" s="37"/>
      <c r="AB493" s="37"/>
      <c r="AC493" s="37"/>
      <c r="AD493" s="37"/>
      <c r="AE493" s="37"/>
      <c r="AF493" s="37"/>
      <c r="AG493" s="37"/>
      <c r="AH493" s="37"/>
      <c r="AI493" s="37"/>
      <c r="AJ493" s="37"/>
      <c r="AK493" s="37"/>
      <c r="AL493" s="37"/>
      <c r="AM493" s="37"/>
      <c r="AN493" s="37"/>
      <c r="AO493" s="37"/>
      <c r="AP493" s="37"/>
    </row>
    <row r="494" customFormat="false" ht="15.75" hidden="false" customHeight="true" outlineLevel="0" collapsed="false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  <c r="AA494" s="37"/>
      <c r="AB494" s="37"/>
      <c r="AC494" s="37"/>
      <c r="AD494" s="37"/>
      <c r="AE494" s="37"/>
      <c r="AF494" s="37"/>
      <c r="AG494" s="37"/>
      <c r="AH494" s="37"/>
      <c r="AI494" s="37"/>
      <c r="AJ494" s="37"/>
      <c r="AK494" s="37"/>
      <c r="AL494" s="37"/>
      <c r="AM494" s="37"/>
      <c r="AN494" s="37"/>
      <c r="AO494" s="37"/>
      <c r="AP494" s="37"/>
    </row>
    <row r="495" customFormat="false" ht="15.75" hidden="false" customHeight="true" outlineLevel="0" collapsed="false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  <c r="AA495" s="37"/>
      <c r="AB495" s="37"/>
      <c r="AC495" s="37"/>
      <c r="AD495" s="37"/>
      <c r="AE495" s="37"/>
      <c r="AF495" s="37"/>
      <c r="AG495" s="37"/>
      <c r="AH495" s="37"/>
      <c r="AI495" s="37"/>
      <c r="AJ495" s="37"/>
      <c r="AK495" s="37"/>
      <c r="AL495" s="37"/>
      <c r="AM495" s="37"/>
      <c r="AN495" s="37"/>
      <c r="AO495" s="37"/>
      <c r="AP495" s="37"/>
    </row>
    <row r="496" customFormat="false" ht="15.75" hidden="false" customHeight="true" outlineLevel="0" collapsed="false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  <c r="AA496" s="37"/>
      <c r="AB496" s="37"/>
      <c r="AC496" s="37"/>
      <c r="AD496" s="37"/>
      <c r="AE496" s="37"/>
      <c r="AF496" s="37"/>
      <c r="AG496" s="37"/>
      <c r="AH496" s="37"/>
      <c r="AI496" s="37"/>
      <c r="AJ496" s="37"/>
      <c r="AK496" s="37"/>
      <c r="AL496" s="37"/>
      <c r="AM496" s="37"/>
      <c r="AN496" s="37"/>
      <c r="AO496" s="37"/>
      <c r="AP496" s="37"/>
    </row>
    <row r="497" customFormat="false" ht="15.75" hidden="false" customHeight="true" outlineLevel="0" collapsed="false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  <c r="AA497" s="37"/>
      <c r="AB497" s="37"/>
      <c r="AC497" s="37"/>
      <c r="AD497" s="37"/>
      <c r="AE497" s="37"/>
      <c r="AF497" s="37"/>
      <c r="AG497" s="37"/>
      <c r="AH497" s="37"/>
      <c r="AI497" s="37"/>
      <c r="AJ497" s="37"/>
      <c r="AK497" s="37"/>
      <c r="AL497" s="37"/>
      <c r="AM497" s="37"/>
      <c r="AN497" s="37"/>
      <c r="AO497" s="37"/>
      <c r="AP497" s="37"/>
    </row>
    <row r="498" customFormat="false" ht="15.75" hidden="false" customHeight="true" outlineLevel="0" collapsed="false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  <c r="AA498" s="37"/>
      <c r="AB498" s="37"/>
      <c r="AC498" s="37"/>
      <c r="AD498" s="37"/>
      <c r="AE498" s="37"/>
      <c r="AF498" s="37"/>
      <c r="AG498" s="37"/>
      <c r="AH498" s="37"/>
      <c r="AI498" s="37"/>
      <c r="AJ498" s="37"/>
      <c r="AK498" s="37"/>
      <c r="AL498" s="37"/>
      <c r="AM498" s="37"/>
      <c r="AN498" s="37"/>
      <c r="AO498" s="37"/>
      <c r="AP498" s="37"/>
    </row>
    <row r="499" customFormat="false" ht="15.75" hidden="false" customHeight="true" outlineLevel="0" collapsed="false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  <c r="AA499" s="37"/>
      <c r="AB499" s="37"/>
      <c r="AC499" s="37"/>
      <c r="AD499" s="37"/>
      <c r="AE499" s="37"/>
      <c r="AF499" s="37"/>
      <c r="AG499" s="37"/>
      <c r="AH499" s="37"/>
      <c r="AI499" s="37"/>
      <c r="AJ499" s="37"/>
      <c r="AK499" s="37"/>
      <c r="AL499" s="37"/>
      <c r="AM499" s="37"/>
      <c r="AN499" s="37"/>
      <c r="AO499" s="37"/>
      <c r="AP499" s="37"/>
    </row>
    <row r="500" customFormat="false" ht="15.75" hidden="false" customHeight="true" outlineLevel="0" collapsed="false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  <c r="AA500" s="37"/>
      <c r="AB500" s="37"/>
      <c r="AC500" s="37"/>
      <c r="AD500" s="37"/>
      <c r="AE500" s="37"/>
      <c r="AF500" s="37"/>
      <c r="AG500" s="37"/>
      <c r="AH500" s="37"/>
      <c r="AI500" s="37"/>
      <c r="AJ500" s="37"/>
      <c r="AK500" s="37"/>
      <c r="AL500" s="37"/>
      <c r="AM500" s="37"/>
      <c r="AN500" s="37"/>
      <c r="AO500" s="37"/>
      <c r="AP500" s="37"/>
    </row>
    <row r="501" customFormat="false" ht="15.75" hidden="false" customHeight="true" outlineLevel="0" collapsed="false">
      <c r="A501" s="37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  <c r="AA501" s="37"/>
      <c r="AB501" s="37"/>
      <c r="AC501" s="37"/>
      <c r="AD501" s="37"/>
      <c r="AE501" s="37"/>
      <c r="AF501" s="37"/>
      <c r="AG501" s="37"/>
      <c r="AH501" s="37"/>
      <c r="AI501" s="37"/>
      <c r="AJ501" s="37"/>
      <c r="AK501" s="37"/>
      <c r="AL501" s="37"/>
      <c r="AM501" s="37"/>
      <c r="AN501" s="37"/>
      <c r="AO501" s="37"/>
      <c r="AP501" s="37"/>
    </row>
    <row r="502" customFormat="false" ht="15.75" hidden="false" customHeight="true" outlineLevel="0" collapsed="false">
      <c r="A502" s="37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  <c r="AA502" s="37"/>
      <c r="AB502" s="37"/>
      <c r="AC502" s="37"/>
      <c r="AD502" s="37"/>
      <c r="AE502" s="37"/>
      <c r="AF502" s="37"/>
      <c r="AG502" s="37"/>
      <c r="AH502" s="37"/>
      <c r="AI502" s="37"/>
      <c r="AJ502" s="37"/>
      <c r="AK502" s="37"/>
      <c r="AL502" s="37"/>
      <c r="AM502" s="37"/>
      <c r="AN502" s="37"/>
      <c r="AO502" s="37"/>
      <c r="AP502" s="37"/>
    </row>
    <row r="503" customFormat="false" ht="15.75" hidden="false" customHeight="true" outlineLevel="0" collapsed="false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  <c r="AA503" s="37"/>
      <c r="AB503" s="37"/>
      <c r="AC503" s="37"/>
      <c r="AD503" s="37"/>
      <c r="AE503" s="37"/>
      <c r="AF503" s="37"/>
      <c r="AG503" s="37"/>
      <c r="AH503" s="37"/>
      <c r="AI503" s="37"/>
      <c r="AJ503" s="37"/>
      <c r="AK503" s="37"/>
      <c r="AL503" s="37"/>
      <c r="AM503" s="37"/>
      <c r="AN503" s="37"/>
      <c r="AO503" s="37"/>
      <c r="AP503" s="37"/>
    </row>
    <row r="504" customFormat="false" ht="15.75" hidden="false" customHeight="true" outlineLevel="0" collapsed="false">
      <c r="A504" s="37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  <c r="AA504" s="37"/>
      <c r="AB504" s="37"/>
      <c r="AC504" s="37"/>
      <c r="AD504" s="37"/>
      <c r="AE504" s="37"/>
      <c r="AF504" s="37"/>
      <c r="AG504" s="37"/>
      <c r="AH504" s="37"/>
      <c r="AI504" s="37"/>
      <c r="AJ504" s="37"/>
      <c r="AK504" s="37"/>
      <c r="AL504" s="37"/>
      <c r="AM504" s="37"/>
      <c r="AN504" s="37"/>
      <c r="AO504" s="37"/>
      <c r="AP504" s="37"/>
    </row>
    <row r="505" customFormat="false" ht="15.75" hidden="false" customHeight="true" outlineLevel="0" collapsed="false">
      <c r="A505" s="37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  <c r="AA505" s="37"/>
      <c r="AB505" s="37"/>
      <c r="AC505" s="37"/>
      <c r="AD505" s="37"/>
      <c r="AE505" s="37"/>
      <c r="AF505" s="37"/>
      <c r="AG505" s="37"/>
      <c r="AH505" s="37"/>
      <c r="AI505" s="37"/>
      <c r="AJ505" s="37"/>
      <c r="AK505" s="37"/>
      <c r="AL505" s="37"/>
      <c r="AM505" s="37"/>
      <c r="AN505" s="37"/>
      <c r="AO505" s="37"/>
      <c r="AP505" s="37"/>
    </row>
    <row r="506" customFormat="false" ht="15.75" hidden="false" customHeight="true" outlineLevel="0" collapsed="false">
      <c r="A506" s="37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  <c r="AA506" s="37"/>
      <c r="AB506" s="37"/>
      <c r="AC506" s="37"/>
      <c r="AD506" s="37"/>
      <c r="AE506" s="37"/>
      <c r="AF506" s="37"/>
      <c r="AG506" s="37"/>
      <c r="AH506" s="37"/>
      <c r="AI506" s="37"/>
      <c r="AJ506" s="37"/>
      <c r="AK506" s="37"/>
      <c r="AL506" s="37"/>
      <c r="AM506" s="37"/>
      <c r="AN506" s="37"/>
      <c r="AO506" s="37"/>
      <c r="AP506" s="37"/>
    </row>
    <row r="507" customFormat="false" ht="15.75" hidden="false" customHeight="true" outlineLevel="0" collapsed="false">
      <c r="A507" s="37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  <c r="AA507" s="37"/>
      <c r="AB507" s="37"/>
      <c r="AC507" s="37"/>
      <c r="AD507" s="37"/>
      <c r="AE507" s="37"/>
      <c r="AF507" s="37"/>
      <c r="AG507" s="37"/>
      <c r="AH507" s="37"/>
      <c r="AI507" s="37"/>
      <c r="AJ507" s="37"/>
      <c r="AK507" s="37"/>
      <c r="AL507" s="37"/>
      <c r="AM507" s="37"/>
      <c r="AN507" s="37"/>
      <c r="AO507" s="37"/>
      <c r="AP507" s="37"/>
    </row>
    <row r="508" customFormat="false" ht="15.75" hidden="false" customHeight="true" outlineLevel="0" collapsed="false">
      <c r="A508" s="37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  <c r="AA508" s="37"/>
      <c r="AB508" s="37"/>
      <c r="AC508" s="37"/>
      <c r="AD508" s="37"/>
      <c r="AE508" s="37"/>
      <c r="AF508" s="37"/>
      <c r="AG508" s="37"/>
      <c r="AH508" s="37"/>
      <c r="AI508" s="37"/>
      <c r="AJ508" s="37"/>
      <c r="AK508" s="37"/>
      <c r="AL508" s="37"/>
      <c r="AM508" s="37"/>
      <c r="AN508" s="37"/>
      <c r="AO508" s="37"/>
      <c r="AP508" s="37"/>
    </row>
    <row r="509" customFormat="false" ht="15.75" hidden="false" customHeight="true" outlineLevel="0" collapsed="false">
      <c r="A509" s="37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  <c r="AA509" s="37"/>
      <c r="AB509" s="37"/>
      <c r="AC509" s="37"/>
      <c r="AD509" s="37"/>
      <c r="AE509" s="37"/>
      <c r="AF509" s="37"/>
      <c r="AG509" s="37"/>
      <c r="AH509" s="37"/>
      <c r="AI509" s="37"/>
      <c r="AJ509" s="37"/>
      <c r="AK509" s="37"/>
      <c r="AL509" s="37"/>
      <c r="AM509" s="37"/>
      <c r="AN509" s="37"/>
      <c r="AO509" s="37"/>
      <c r="AP509" s="37"/>
    </row>
    <row r="510" customFormat="false" ht="15.75" hidden="false" customHeight="true" outlineLevel="0" collapsed="false">
      <c r="A510" s="37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  <c r="AA510" s="37"/>
      <c r="AB510" s="37"/>
      <c r="AC510" s="37"/>
      <c r="AD510" s="37"/>
      <c r="AE510" s="37"/>
      <c r="AF510" s="37"/>
      <c r="AG510" s="37"/>
      <c r="AH510" s="37"/>
      <c r="AI510" s="37"/>
      <c r="AJ510" s="37"/>
      <c r="AK510" s="37"/>
      <c r="AL510" s="37"/>
      <c r="AM510" s="37"/>
      <c r="AN510" s="37"/>
      <c r="AO510" s="37"/>
      <c r="AP510" s="37"/>
    </row>
    <row r="511" customFormat="false" ht="15.75" hidden="false" customHeight="true" outlineLevel="0" collapsed="false">
      <c r="A511" s="37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  <c r="AA511" s="37"/>
      <c r="AB511" s="37"/>
      <c r="AC511" s="37"/>
      <c r="AD511" s="37"/>
      <c r="AE511" s="37"/>
      <c r="AF511" s="37"/>
      <c r="AG511" s="37"/>
      <c r="AH511" s="37"/>
      <c r="AI511" s="37"/>
      <c r="AJ511" s="37"/>
      <c r="AK511" s="37"/>
      <c r="AL511" s="37"/>
      <c r="AM511" s="37"/>
      <c r="AN511" s="37"/>
      <c r="AO511" s="37"/>
      <c r="AP511" s="37"/>
    </row>
    <row r="512" customFormat="false" ht="15.75" hidden="false" customHeight="true" outlineLevel="0" collapsed="false">
      <c r="A512" s="37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  <c r="AA512" s="37"/>
      <c r="AB512" s="37"/>
      <c r="AC512" s="37"/>
      <c r="AD512" s="37"/>
      <c r="AE512" s="37"/>
      <c r="AF512" s="37"/>
      <c r="AG512" s="37"/>
      <c r="AH512" s="37"/>
      <c r="AI512" s="37"/>
      <c r="AJ512" s="37"/>
      <c r="AK512" s="37"/>
      <c r="AL512" s="37"/>
      <c r="AM512" s="37"/>
      <c r="AN512" s="37"/>
      <c r="AO512" s="37"/>
      <c r="AP512" s="37"/>
    </row>
    <row r="513" customFormat="false" ht="15.75" hidden="false" customHeight="true" outlineLevel="0" collapsed="false">
      <c r="A513" s="37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  <c r="AA513" s="37"/>
      <c r="AB513" s="37"/>
      <c r="AC513" s="37"/>
      <c r="AD513" s="37"/>
      <c r="AE513" s="37"/>
      <c r="AF513" s="37"/>
      <c r="AG513" s="37"/>
      <c r="AH513" s="37"/>
      <c r="AI513" s="37"/>
      <c r="AJ513" s="37"/>
      <c r="AK513" s="37"/>
      <c r="AL513" s="37"/>
      <c r="AM513" s="37"/>
      <c r="AN513" s="37"/>
      <c r="AO513" s="37"/>
      <c r="AP513" s="37"/>
    </row>
    <row r="514" customFormat="false" ht="15.75" hidden="false" customHeight="true" outlineLevel="0" collapsed="false">
      <c r="A514" s="37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  <c r="AA514" s="37"/>
      <c r="AB514" s="37"/>
      <c r="AC514" s="37"/>
      <c r="AD514" s="37"/>
      <c r="AE514" s="37"/>
      <c r="AF514" s="37"/>
      <c r="AG514" s="37"/>
      <c r="AH514" s="37"/>
      <c r="AI514" s="37"/>
      <c r="AJ514" s="37"/>
      <c r="AK514" s="37"/>
      <c r="AL514" s="37"/>
      <c r="AM514" s="37"/>
      <c r="AN514" s="37"/>
      <c r="AO514" s="37"/>
      <c r="AP514" s="37"/>
    </row>
    <row r="515" customFormat="false" ht="15.75" hidden="false" customHeight="true" outlineLevel="0" collapsed="false">
      <c r="A515" s="37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  <c r="AA515" s="37"/>
      <c r="AB515" s="37"/>
      <c r="AC515" s="37"/>
      <c r="AD515" s="37"/>
      <c r="AE515" s="37"/>
      <c r="AF515" s="37"/>
      <c r="AG515" s="37"/>
      <c r="AH515" s="37"/>
      <c r="AI515" s="37"/>
      <c r="AJ515" s="37"/>
      <c r="AK515" s="37"/>
      <c r="AL515" s="37"/>
      <c r="AM515" s="37"/>
      <c r="AN515" s="37"/>
      <c r="AO515" s="37"/>
      <c r="AP515" s="37"/>
    </row>
    <row r="516" customFormat="false" ht="15.75" hidden="false" customHeight="true" outlineLevel="0" collapsed="false">
      <c r="A516" s="37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  <c r="AA516" s="37"/>
      <c r="AB516" s="37"/>
      <c r="AC516" s="37"/>
      <c r="AD516" s="37"/>
      <c r="AE516" s="37"/>
      <c r="AF516" s="37"/>
      <c r="AG516" s="37"/>
      <c r="AH516" s="37"/>
      <c r="AI516" s="37"/>
      <c r="AJ516" s="37"/>
      <c r="AK516" s="37"/>
      <c r="AL516" s="37"/>
      <c r="AM516" s="37"/>
      <c r="AN516" s="37"/>
      <c r="AO516" s="37"/>
      <c r="AP516" s="37"/>
    </row>
    <row r="517" customFormat="false" ht="15.75" hidden="false" customHeight="true" outlineLevel="0" collapsed="false">
      <c r="A517" s="37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  <c r="AA517" s="37"/>
      <c r="AB517" s="37"/>
      <c r="AC517" s="37"/>
      <c r="AD517" s="37"/>
      <c r="AE517" s="37"/>
      <c r="AF517" s="37"/>
      <c r="AG517" s="37"/>
      <c r="AH517" s="37"/>
      <c r="AI517" s="37"/>
      <c r="AJ517" s="37"/>
      <c r="AK517" s="37"/>
      <c r="AL517" s="37"/>
      <c r="AM517" s="37"/>
      <c r="AN517" s="37"/>
      <c r="AO517" s="37"/>
      <c r="AP517" s="37"/>
    </row>
    <row r="518" customFormat="false" ht="15.75" hidden="false" customHeight="true" outlineLevel="0" collapsed="false">
      <c r="A518" s="37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  <c r="AA518" s="37"/>
      <c r="AB518" s="37"/>
      <c r="AC518" s="37"/>
      <c r="AD518" s="37"/>
      <c r="AE518" s="37"/>
      <c r="AF518" s="37"/>
      <c r="AG518" s="37"/>
      <c r="AH518" s="37"/>
      <c r="AI518" s="37"/>
      <c r="AJ518" s="37"/>
      <c r="AK518" s="37"/>
      <c r="AL518" s="37"/>
      <c r="AM518" s="37"/>
      <c r="AN518" s="37"/>
      <c r="AO518" s="37"/>
      <c r="AP518" s="37"/>
    </row>
    <row r="519" customFormat="false" ht="15.75" hidden="false" customHeight="true" outlineLevel="0" collapsed="false">
      <c r="A519" s="37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  <c r="AA519" s="37"/>
      <c r="AB519" s="37"/>
      <c r="AC519" s="37"/>
      <c r="AD519" s="37"/>
      <c r="AE519" s="37"/>
      <c r="AF519" s="37"/>
      <c r="AG519" s="37"/>
      <c r="AH519" s="37"/>
      <c r="AI519" s="37"/>
      <c r="AJ519" s="37"/>
      <c r="AK519" s="37"/>
      <c r="AL519" s="37"/>
      <c r="AM519" s="37"/>
      <c r="AN519" s="37"/>
      <c r="AO519" s="37"/>
      <c r="AP519" s="37"/>
    </row>
    <row r="520" customFormat="false" ht="15.75" hidden="false" customHeight="true" outlineLevel="0" collapsed="false">
      <c r="A520" s="37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  <c r="AA520" s="37"/>
      <c r="AB520" s="37"/>
      <c r="AC520" s="37"/>
      <c r="AD520" s="37"/>
      <c r="AE520" s="37"/>
      <c r="AF520" s="37"/>
      <c r="AG520" s="37"/>
      <c r="AH520" s="37"/>
      <c r="AI520" s="37"/>
      <c r="AJ520" s="37"/>
      <c r="AK520" s="37"/>
      <c r="AL520" s="37"/>
      <c r="AM520" s="37"/>
      <c r="AN520" s="37"/>
      <c r="AO520" s="37"/>
      <c r="AP520" s="37"/>
    </row>
    <row r="521" customFormat="false" ht="15.75" hidden="false" customHeight="true" outlineLevel="0" collapsed="false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  <c r="AA521" s="37"/>
      <c r="AB521" s="37"/>
      <c r="AC521" s="37"/>
      <c r="AD521" s="37"/>
      <c r="AE521" s="37"/>
      <c r="AF521" s="37"/>
      <c r="AG521" s="37"/>
      <c r="AH521" s="37"/>
      <c r="AI521" s="37"/>
      <c r="AJ521" s="37"/>
      <c r="AK521" s="37"/>
      <c r="AL521" s="37"/>
      <c r="AM521" s="37"/>
      <c r="AN521" s="37"/>
      <c r="AO521" s="37"/>
      <c r="AP521" s="37"/>
    </row>
    <row r="522" customFormat="false" ht="15.75" hidden="false" customHeight="true" outlineLevel="0" collapsed="false">
      <c r="A522" s="37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  <c r="AA522" s="37"/>
      <c r="AB522" s="37"/>
      <c r="AC522" s="37"/>
      <c r="AD522" s="37"/>
      <c r="AE522" s="37"/>
      <c r="AF522" s="37"/>
      <c r="AG522" s="37"/>
      <c r="AH522" s="37"/>
      <c r="AI522" s="37"/>
      <c r="AJ522" s="37"/>
      <c r="AK522" s="37"/>
      <c r="AL522" s="37"/>
      <c r="AM522" s="37"/>
      <c r="AN522" s="37"/>
      <c r="AO522" s="37"/>
      <c r="AP522" s="37"/>
    </row>
    <row r="523" customFormat="false" ht="15.75" hidden="false" customHeight="true" outlineLevel="0" collapsed="false">
      <c r="A523" s="37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  <c r="AA523" s="37"/>
      <c r="AB523" s="37"/>
      <c r="AC523" s="37"/>
      <c r="AD523" s="37"/>
      <c r="AE523" s="37"/>
      <c r="AF523" s="37"/>
      <c r="AG523" s="37"/>
      <c r="AH523" s="37"/>
      <c r="AI523" s="37"/>
      <c r="AJ523" s="37"/>
      <c r="AK523" s="37"/>
      <c r="AL523" s="37"/>
      <c r="AM523" s="37"/>
      <c r="AN523" s="37"/>
      <c r="AO523" s="37"/>
      <c r="AP523" s="37"/>
    </row>
    <row r="524" customFormat="false" ht="15.75" hidden="false" customHeight="true" outlineLevel="0" collapsed="false">
      <c r="A524" s="37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  <c r="AA524" s="37"/>
      <c r="AB524" s="37"/>
      <c r="AC524" s="37"/>
      <c r="AD524" s="37"/>
      <c r="AE524" s="37"/>
      <c r="AF524" s="37"/>
      <c r="AG524" s="37"/>
      <c r="AH524" s="37"/>
      <c r="AI524" s="37"/>
      <c r="AJ524" s="37"/>
      <c r="AK524" s="37"/>
      <c r="AL524" s="37"/>
      <c r="AM524" s="37"/>
      <c r="AN524" s="37"/>
      <c r="AO524" s="37"/>
      <c r="AP524" s="37"/>
    </row>
    <row r="525" customFormat="false" ht="15.75" hidden="false" customHeight="true" outlineLevel="0" collapsed="false">
      <c r="A525" s="37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  <c r="AA525" s="37"/>
      <c r="AB525" s="37"/>
      <c r="AC525" s="37"/>
      <c r="AD525" s="37"/>
      <c r="AE525" s="37"/>
      <c r="AF525" s="37"/>
      <c r="AG525" s="37"/>
      <c r="AH525" s="37"/>
      <c r="AI525" s="37"/>
      <c r="AJ525" s="37"/>
      <c r="AK525" s="37"/>
      <c r="AL525" s="37"/>
      <c r="AM525" s="37"/>
      <c r="AN525" s="37"/>
      <c r="AO525" s="37"/>
      <c r="AP525" s="37"/>
    </row>
    <row r="526" customFormat="false" ht="15.75" hidden="false" customHeight="true" outlineLevel="0" collapsed="false">
      <c r="A526" s="37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  <c r="AA526" s="37"/>
      <c r="AB526" s="37"/>
      <c r="AC526" s="37"/>
      <c r="AD526" s="37"/>
      <c r="AE526" s="37"/>
      <c r="AF526" s="37"/>
      <c r="AG526" s="37"/>
      <c r="AH526" s="37"/>
      <c r="AI526" s="37"/>
      <c r="AJ526" s="37"/>
      <c r="AK526" s="37"/>
      <c r="AL526" s="37"/>
      <c r="AM526" s="37"/>
      <c r="AN526" s="37"/>
      <c r="AO526" s="37"/>
      <c r="AP526" s="37"/>
    </row>
    <row r="527" customFormat="false" ht="15.75" hidden="false" customHeight="true" outlineLevel="0" collapsed="false">
      <c r="A527" s="37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  <c r="AA527" s="37"/>
      <c r="AB527" s="37"/>
      <c r="AC527" s="37"/>
      <c r="AD527" s="37"/>
      <c r="AE527" s="37"/>
      <c r="AF527" s="37"/>
      <c r="AG527" s="37"/>
      <c r="AH527" s="37"/>
      <c r="AI527" s="37"/>
      <c r="AJ527" s="37"/>
      <c r="AK527" s="37"/>
      <c r="AL527" s="37"/>
      <c r="AM527" s="37"/>
      <c r="AN527" s="37"/>
      <c r="AO527" s="37"/>
      <c r="AP527" s="37"/>
    </row>
    <row r="528" customFormat="false" ht="15.75" hidden="false" customHeight="true" outlineLevel="0" collapsed="false">
      <c r="A528" s="37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  <c r="AA528" s="37"/>
      <c r="AB528" s="37"/>
      <c r="AC528" s="37"/>
      <c r="AD528" s="37"/>
      <c r="AE528" s="37"/>
      <c r="AF528" s="37"/>
      <c r="AG528" s="37"/>
      <c r="AH528" s="37"/>
      <c r="AI528" s="37"/>
      <c r="AJ528" s="37"/>
      <c r="AK528" s="37"/>
      <c r="AL528" s="37"/>
      <c r="AM528" s="37"/>
      <c r="AN528" s="37"/>
      <c r="AO528" s="37"/>
      <c r="AP528" s="37"/>
    </row>
    <row r="529" customFormat="false" ht="15.75" hidden="false" customHeight="true" outlineLevel="0" collapsed="false">
      <c r="A529" s="37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  <c r="AA529" s="37"/>
      <c r="AB529" s="37"/>
      <c r="AC529" s="37"/>
      <c r="AD529" s="37"/>
      <c r="AE529" s="37"/>
      <c r="AF529" s="37"/>
      <c r="AG529" s="37"/>
      <c r="AH529" s="37"/>
      <c r="AI529" s="37"/>
      <c r="AJ529" s="37"/>
      <c r="AK529" s="37"/>
      <c r="AL529" s="37"/>
      <c r="AM529" s="37"/>
      <c r="AN529" s="37"/>
      <c r="AO529" s="37"/>
      <c r="AP529" s="37"/>
    </row>
    <row r="530" customFormat="false" ht="15.75" hidden="false" customHeight="true" outlineLevel="0" collapsed="false">
      <c r="A530" s="37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  <c r="AA530" s="37"/>
      <c r="AB530" s="37"/>
      <c r="AC530" s="37"/>
      <c r="AD530" s="37"/>
      <c r="AE530" s="37"/>
      <c r="AF530" s="37"/>
      <c r="AG530" s="37"/>
      <c r="AH530" s="37"/>
      <c r="AI530" s="37"/>
      <c r="AJ530" s="37"/>
      <c r="AK530" s="37"/>
      <c r="AL530" s="37"/>
      <c r="AM530" s="37"/>
      <c r="AN530" s="37"/>
      <c r="AO530" s="37"/>
      <c r="AP530" s="37"/>
    </row>
    <row r="531" customFormat="false" ht="15.75" hidden="false" customHeight="true" outlineLevel="0" collapsed="false">
      <c r="A531" s="37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  <c r="AA531" s="37"/>
      <c r="AB531" s="37"/>
      <c r="AC531" s="37"/>
      <c r="AD531" s="37"/>
      <c r="AE531" s="37"/>
      <c r="AF531" s="37"/>
      <c r="AG531" s="37"/>
      <c r="AH531" s="37"/>
      <c r="AI531" s="37"/>
      <c r="AJ531" s="37"/>
      <c r="AK531" s="37"/>
      <c r="AL531" s="37"/>
      <c r="AM531" s="37"/>
      <c r="AN531" s="37"/>
      <c r="AO531" s="37"/>
      <c r="AP531" s="37"/>
    </row>
    <row r="532" customFormat="false" ht="15.75" hidden="false" customHeight="true" outlineLevel="0" collapsed="false">
      <c r="A532" s="37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  <c r="AA532" s="37"/>
      <c r="AB532" s="37"/>
      <c r="AC532" s="37"/>
      <c r="AD532" s="37"/>
      <c r="AE532" s="37"/>
      <c r="AF532" s="37"/>
      <c r="AG532" s="37"/>
      <c r="AH532" s="37"/>
      <c r="AI532" s="37"/>
      <c r="AJ532" s="37"/>
      <c r="AK532" s="37"/>
      <c r="AL532" s="37"/>
      <c r="AM532" s="37"/>
      <c r="AN532" s="37"/>
      <c r="AO532" s="37"/>
      <c r="AP532" s="37"/>
    </row>
    <row r="533" customFormat="false" ht="15.75" hidden="false" customHeight="true" outlineLevel="0" collapsed="false">
      <c r="A533" s="37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  <c r="AA533" s="37"/>
      <c r="AB533" s="37"/>
      <c r="AC533" s="37"/>
      <c r="AD533" s="37"/>
      <c r="AE533" s="37"/>
      <c r="AF533" s="37"/>
      <c r="AG533" s="37"/>
      <c r="AH533" s="37"/>
      <c r="AI533" s="37"/>
      <c r="AJ533" s="37"/>
      <c r="AK533" s="37"/>
      <c r="AL533" s="37"/>
      <c r="AM533" s="37"/>
      <c r="AN533" s="37"/>
      <c r="AO533" s="37"/>
      <c r="AP533" s="37"/>
    </row>
    <row r="534" customFormat="false" ht="15.75" hidden="false" customHeight="true" outlineLevel="0" collapsed="false">
      <c r="A534" s="37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  <c r="AA534" s="37"/>
      <c r="AB534" s="37"/>
      <c r="AC534" s="37"/>
      <c r="AD534" s="37"/>
      <c r="AE534" s="37"/>
      <c r="AF534" s="37"/>
      <c r="AG534" s="37"/>
      <c r="AH534" s="37"/>
      <c r="AI534" s="37"/>
      <c r="AJ534" s="37"/>
      <c r="AK534" s="37"/>
      <c r="AL534" s="37"/>
      <c r="AM534" s="37"/>
      <c r="AN534" s="37"/>
      <c r="AO534" s="37"/>
      <c r="AP534" s="37"/>
    </row>
    <row r="535" customFormat="false" ht="15.75" hidden="false" customHeight="true" outlineLevel="0" collapsed="false">
      <c r="A535" s="37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  <c r="AA535" s="37"/>
      <c r="AB535" s="37"/>
      <c r="AC535" s="37"/>
      <c r="AD535" s="37"/>
      <c r="AE535" s="37"/>
      <c r="AF535" s="37"/>
      <c r="AG535" s="37"/>
      <c r="AH535" s="37"/>
      <c r="AI535" s="37"/>
      <c r="AJ535" s="37"/>
      <c r="AK535" s="37"/>
      <c r="AL535" s="37"/>
      <c r="AM535" s="37"/>
      <c r="AN535" s="37"/>
      <c r="AO535" s="37"/>
      <c r="AP535" s="37"/>
    </row>
    <row r="536" customFormat="false" ht="15.75" hidden="false" customHeight="true" outlineLevel="0" collapsed="false">
      <c r="A536" s="37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  <c r="AA536" s="37"/>
      <c r="AB536" s="37"/>
      <c r="AC536" s="37"/>
      <c r="AD536" s="37"/>
      <c r="AE536" s="37"/>
      <c r="AF536" s="37"/>
      <c r="AG536" s="37"/>
      <c r="AH536" s="37"/>
      <c r="AI536" s="37"/>
      <c r="AJ536" s="37"/>
      <c r="AK536" s="37"/>
      <c r="AL536" s="37"/>
      <c r="AM536" s="37"/>
      <c r="AN536" s="37"/>
      <c r="AO536" s="37"/>
      <c r="AP536" s="37"/>
    </row>
    <row r="537" customFormat="false" ht="15.75" hidden="false" customHeight="true" outlineLevel="0" collapsed="false">
      <c r="A537" s="37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  <c r="AA537" s="37"/>
      <c r="AB537" s="37"/>
      <c r="AC537" s="37"/>
      <c r="AD537" s="37"/>
      <c r="AE537" s="37"/>
      <c r="AF537" s="37"/>
      <c r="AG537" s="37"/>
      <c r="AH537" s="37"/>
      <c r="AI537" s="37"/>
      <c r="AJ537" s="37"/>
      <c r="AK537" s="37"/>
      <c r="AL537" s="37"/>
      <c r="AM537" s="37"/>
      <c r="AN537" s="37"/>
      <c r="AO537" s="37"/>
      <c r="AP537" s="37"/>
    </row>
    <row r="538" customFormat="false" ht="15.75" hidden="false" customHeight="true" outlineLevel="0" collapsed="false">
      <c r="A538" s="37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  <c r="AA538" s="37"/>
      <c r="AB538" s="37"/>
      <c r="AC538" s="37"/>
      <c r="AD538" s="37"/>
      <c r="AE538" s="37"/>
      <c r="AF538" s="37"/>
      <c r="AG538" s="37"/>
      <c r="AH538" s="37"/>
      <c r="AI538" s="37"/>
      <c r="AJ538" s="37"/>
      <c r="AK538" s="37"/>
      <c r="AL538" s="37"/>
      <c r="AM538" s="37"/>
      <c r="AN538" s="37"/>
      <c r="AO538" s="37"/>
      <c r="AP538" s="37"/>
    </row>
    <row r="539" customFormat="false" ht="15.75" hidden="false" customHeight="true" outlineLevel="0" collapsed="false">
      <c r="A539" s="37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  <c r="AA539" s="37"/>
      <c r="AB539" s="37"/>
      <c r="AC539" s="37"/>
      <c r="AD539" s="37"/>
      <c r="AE539" s="37"/>
      <c r="AF539" s="37"/>
      <c r="AG539" s="37"/>
      <c r="AH539" s="37"/>
      <c r="AI539" s="37"/>
      <c r="AJ539" s="37"/>
      <c r="AK539" s="37"/>
      <c r="AL539" s="37"/>
      <c r="AM539" s="37"/>
      <c r="AN539" s="37"/>
      <c r="AO539" s="37"/>
      <c r="AP539" s="37"/>
    </row>
    <row r="540" customFormat="false" ht="15.75" hidden="false" customHeight="true" outlineLevel="0" collapsed="false">
      <c r="A540" s="37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  <c r="AA540" s="37"/>
      <c r="AB540" s="37"/>
      <c r="AC540" s="37"/>
      <c r="AD540" s="37"/>
      <c r="AE540" s="37"/>
      <c r="AF540" s="37"/>
      <c r="AG540" s="37"/>
      <c r="AH540" s="37"/>
      <c r="AI540" s="37"/>
      <c r="AJ540" s="37"/>
      <c r="AK540" s="37"/>
      <c r="AL540" s="37"/>
      <c r="AM540" s="37"/>
      <c r="AN540" s="37"/>
      <c r="AO540" s="37"/>
      <c r="AP540" s="37"/>
    </row>
    <row r="541" customFormat="false" ht="15.75" hidden="false" customHeight="true" outlineLevel="0" collapsed="false">
      <c r="A541" s="37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  <c r="AA541" s="37"/>
      <c r="AB541" s="37"/>
      <c r="AC541" s="37"/>
      <c r="AD541" s="37"/>
      <c r="AE541" s="37"/>
      <c r="AF541" s="37"/>
      <c r="AG541" s="37"/>
      <c r="AH541" s="37"/>
      <c r="AI541" s="37"/>
      <c r="AJ541" s="37"/>
      <c r="AK541" s="37"/>
      <c r="AL541" s="37"/>
      <c r="AM541" s="37"/>
      <c r="AN541" s="37"/>
      <c r="AO541" s="37"/>
      <c r="AP541" s="37"/>
    </row>
    <row r="542" customFormat="false" ht="15.75" hidden="false" customHeight="true" outlineLevel="0" collapsed="false">
      <c r="A542" s="37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  <c r="AA542" s="37"/>
      <c r="AB542" s="37"/>
      <c r="AC542" s="37"/>
      <c r="AD542" s="37"/>
      <c r="AE542" s="37"/>
      <c r="AF542" s="37"/>
      <c r="AG542" s="37"/>
      <c r="AH542" s="37"/>
      <c r="AI542" s="37"/>
      <c r="AJ542" s="37"/>
      <c r="AK542" s="37"/>
      <c r="AL542" s="37"/>
      <c r="AM542" s="37"/>
      <c r="AN542" s="37"/>
      <c r="AO542" s="37"/>
      <c r="AP542" s="37"/>
    </row>
    <row r="543" customFormat="false" ht="15.75" hidden="false" customHeight="true" outlineLevel="0" collapsed="false">
      <c r="A543" s="37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  <c r="AA543" s="37"/>
      <c r="AB543" s="37"/>
      <c r="AC543" s="37"/>
      <c r="AD543" s="37"/>
      <c r="AE543" s="37"/>
      <c r="AF543" s="37"/>
      <c r="AG543" s="37"/>
      <c r="AH543" s="37"/>
      <c r="AI543" s="37"/>
      <c r="AJ543" s="37"/>
      <c r="AK543" s="37"/>
      <c r="AL543" s="37"/>
      <c r="AM543" s="37"/>
      <c r="AN543" s="37"/>
      <c r="AO543" s="37"/>
      <c r="AP543" s="37"/>
    </row>
    <row r="544" customFormat="false" ht="15.75" hidden="false" customHeight="true" outlineLevel="0" collapsed="false">
      <c r="A544" s="37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  <c r="AA544" s="37"/>
      <c r="AB544" s="37"/>
      <c r="AC544" s="37"/>
      <c r="AD544" s="37"/>
      <c r="AE544" s="37"/>
      <c r="AF544" s="37"/>
      <c r="AG544" s="37"/>
      <c r="AH544" s="37"/>
      <c r="AI544" s="37"/>
      <c r="AJ544" s="37"/>
      <c r="AK544" s="37"/>
      <c r="AL544" s="37"/>
      <c r="AM544" s="37"/>
      <c r="AN544" s="37"/>
      <c r="AO544" s="37"/>
      <c r="AP544" s="37"/>
    </row>
    <row r="545" customFormat="false" ht="15.75" hidden="false" customHeight="true" outlineLevel="0" collapsed="false">
      <c r="A545" s="37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  <c r="AA545" s="37"/>
      <c r="AB545" s="37"/>
      <c r="AC545" s="37"/>
      <c r="AD545" s="37"/>
      <c r="AE545" s="37"/>
      <c r="AF545" s="37"/>
      <c r="AG545" s="37"/>
      <c r="AH545" s="37"/>
      <c r="AI545" s="37"/>
      <c r="AJ545" s="37"/>
      <c r="AK545" s="37"/>
      <c r="AL545" s="37"/>
      <c r="AM545" s="37"/>
      <c r="AN545" s="37"/>
      <c r="AO545" s="37"/>
      <c r="AP545" s="37"/>
    </row>
    <row r="546" customFormat="false" ht="15.75" hidden="false" customHeight="true" outlineLevel="0" collapsed="false">
      <c r="A546" s="37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  <c r="AA546" s="37"/>
      <c r="AB546" s="37"/>
      <c r="AC546" s="37"/>
      <c r="AD546" s="37"/>
      <c r="AE546" s="37"/>
      <c r="AF546" s="37"/>
      <c r="AG546" s="37"/>
      <c r="AH546" s="37"/>
      <c r="AI546" s="37"/>
      <c r="AJ546" s="37"/>
      <c r="AK546" s="37"/>
      <c r="AL546" s="37"/>
      <c r="AM546" s="37"/>
      <c r="AN546" s="37"/>
      <c r="AO546" s="37"/>
      <c r="AP546" s="37"/>
    </row>
    <row r="547" customFormat="false" ht="15.75" hidden="false" customHeight="true" outlineLevel="0" collapsed="false">
      <c r="A547" s="37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  <c r="AA547" s="37"/>
      <c r="AB547" s="37"/>
      <c r="AC547" s="37"/>
      <c r="AD547" s="37"/>
      <c r="AE547" s="37"/>
      <c r="AF547" s="37"/>
      <c r="AG547" s="37"/>
      <c r="AH547" s="37"/>
      <c r="AI547" s="37"/>
      <c r="AJ547" s="37"/>
      <c r="AK547" s="37"/>
      <c r="AL547" s="37"/>
      <c r="AM547" s="37"/>
      <c r="AN547" s="37"/>
      <c r="AO547" s="37"/>
      <c r="AP547" s="37"/>
    </row>
    <row r="548" customFormat="false" ht="15.75" hidden="false" customHeight="true" outlineLevel="0" collapsed="false">
      <c r="A548" s="37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  <c r="AA548" s="37"/>
      <c r="AB548" s="37"/>
      <c r="AC548" s="37"/>
      <c r="AD548" s="37"/>
      <c r="AE548" s="37"/>
      <c r="AF548" s="37"/>
      <c r="AG548" s="37"/>
      <c r="AH548" s="37"/>
      <c r="AI548" s="37"/>
      <c r="AJ548" s="37"/>
      <c r="AK548" s="37"/>
      <c r="AL548" s="37"/>
      <c r="AM548" s="37"/>
      <c r="AN548" s="37"/>
      <c r="AO548" s="37"/>
      <c r="AP548" s="37"/>
    </row>
    <row r="549" customFormat="false" ht="15.75" hidden="false" customHeight="true" outlineLevel="0" collapsed="false">
      <c r="A549" s="37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  <c r="AA549" s="37"/>
      <c r="AB549" s="37"/>
      <c r="AC549" s="37"/>
      <c r="AD549" s="37"/>
      <c r="AE549" s="37"/>
      <c r="AF549" s="37"/>
      <c r="AG549" s="37"/>
      <c r="AH549" s="37"/>
      <c r="AI549" s="37"/>
      <c r="AJ549" s="37"/>
      <c r="AK549" s="37"/>
      <c r="AL549" s="37"/>
      <c r="AM549" s="37"/>
      <c r="AN549" s="37"/>
      <c r="AO549" s="37"/>
      <c r="AP549" s="37"/>
    </row>
    <row r="550" customFormat="false" ht="15.75" hidden="false" customHeight="true" outlineLevel="0" collapsed="false">
      <c r="A550" s="37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  <c r="AA550" s="37"/>
      <c r="AB550" s="37"/>
      <c r="AC550" s="37"/>
      <c r="AD550" s="37"/>
      <c r="AE550" s="37"/>
      <c r="AF550" s="37"/>
      <c r="AG550" s="37"/>
      <c r="AH550" s="37"/>
      <c r="AI550" s="37"/>
      <c r="AJ550" s="37"/>
      <c r="AK550" s="37"/>
      <c r="AL550" s="37"/>
      <c r="AM550" s="37"/>
      <c r="AN550" s="37"/>
      <c r="AO550" s="37"/>
      <c r="AP550" s="37"/>
    </row>
    <row r="551" customFormat="false" ht="15.75" hidden="false" customHeight="true" outlineLevel="0" collapsed="false">
      <c r="A551" s="37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  <c r="AA551" s="37"/>
      <c r="AB551" s="37"/>
      <c r="AC551" s="37"/>
      <c r="AD551" s="37"/>
      <c r="AE551" s="37"/>
      <c r="AF551" s="37"/>
      <c r="AG551" s="37"/>
      <c r="AH551" s="37"/>
      <c r="AI551" s="37"/>
      <c r="AJ551" s="37"/>
      <c r="AK551" s="37"/>
      <c r="AL551" s="37"/>
      <c r="AM551" s="37"/>
      <c r="AN551" s="37"/>
      <c r="AO551" s="37"/>
      <c r="AP551" s="37"/>
    </row>
    <row r="552" customFormat="false" ht="15.75" hidden="false" customHeight="true" outlineLevel="0" collapsed="false">
      <c r="A552" s="37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  <c r="AA552" s="37"/>
      <c r="AB552" s="37"/>
      <c r="AC552" s="37"/>
      <c r="AD552" s="37"/>
      <c r="AE552" s="37"/>
      <c r="AF552" s="37"/>
      <c r="AG552" s="37"/>
      <c r="AH552" s="37"/>
      <c r="AI552" s="37"/>
      <c r="AJ552" s="37"/>
      <c r="AK552" s="37"/>
      <c r="AL552" s="37"/>
      <c r="AM552" s="37"/>
      <c r="AN552" s="37"/>
      <c r="AO552" s="37"/>
      <c r="AP552" s="37"/>
    </row>
    <row r="553" customFormat="false" ht="15.75" hidden="false" customHeight="true" outlineLevel="0" collapsed="false">
      <c r="A553" s="37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  <c r="AA553" s="37"/>
      <c r="AB553" s="37"/>
      <c r="AC553" s="37"/>
      <c r="AD553" s="37"/>
      <c r="AE553" s="37"/>
      <c r="AF553" s="37"/>
      <c r="AG553" s="37"/>
      <c r="AH553" s="37"/>
      <c r="AI553" s="37"/>
      <c r="AJ553" s="37"/>
      <c r="AK553" s="37"/>
      <c r="AL553" s="37"/>
      <c r="AM553" s="37"/>
      <c r="AN553" s="37"/>
      <c r="AO553" s="37"/>
      <c r="AP553" s="37"/>
    </row>
    <row r="554" customFormat="false" ht="15.75" hidden="false" customHeight="true" outlineLevel="0" collapsed="false">
      <c r="A554" s="37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  <c r="AA554" s="37"/>
      <c r="AB554" s="37"/>
      <c r="AC554" s="37"/>
      <c r="AD554" s="37"/>
      <c r="AE554" s="37"/>
      <c r="AF554" s="37"/>
      <c r="AG554" s="37"/>
      <c r="AH554" s="37"/>
      <c r="AI554" s="37"/>
      <c r="AJ554" s="37"/>
      <c r="AK554" s="37"/>
      <c r="AL554" s="37"/>
      <c r="AM554" s="37"/>
      <c r="AN554" s="37"/>
      <c r="AO554" s="37"/>
      <c r="AP554" s="37"/>
    </row>
    <row r="555" customFormat="false" ht="15.75" hidden="false" customHeight="true" outlineLevel="0" collapsed="false">
      <c r="A555" s="37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  <c r="AA555" s="37"/>
      <c r="AB555" s="37"/>
      <c r="AC555" s="37"/>
      <c r="AD555" s="37"/>
      <c r="AE555" s="37"/>
      <c r="AF555" s="37"/>
      <c r="AG555" s="37"/>
      <c r="AH555" s="37"/>
      <c r="AI555" s="37"/>
      <c r="AJ555" s="37"/>
      <c r="AK555" s="37"/>
      <c r="AL555" s="37"/>
      <c r="AM555" s="37"/>
      <c r="AN555" s="37"/>
      <c r="AO555" s="37"/>
      <c r="AP555" s="37"/>
    </row>
    <row r="556" customFormat="false" ht="15.75" hidden="false" customHeight="true" outlineLevel="0" collapsed="false">
      <c r="A556" s="37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  <c r="AA556" s="37"/>
      <c r="AB556" s="37"/>
      <c r="AC556" s="37"/>
      <c r="AD556" s="37"/>
      <c r="AE556" s="37"/>
      <c r="AF556" s="37"/>
      <c r="AG556" s="37"/>
      <c r="AH556" s="37"/>
      <c r="AI556" s="37"/>
      <c r="AJ556" s="37"/>
      <c r="AK556" s="37"/>
      <c r="AL556" s="37"/>
      <c r="AM556" s="37"/>
      <c r="AN556" s="37"/>
      <c r="AO556" s="37"/>
      <c r="AP556" s="37"/>
    </row>
    <row r="557" customFormat="false" ht="15.75" hidden="false" customHeight="true" outlineLevel="0" collapsed="false">
      <c r="A557" s="37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  <c r="AA557" s="37"/>
      <c r="AB557" s="37"/>
      <c r="AC557" s="37"/>
      <c r="AD557" s="37"/>
      <c r="AE557" s="37"/>
      <c r="AF557" s="37"/>
      <c r="AG557" s="37"/>
      <c r="AH557" s="37"/>
      <c r="AI557" s="37"/>
      <c r="AJ557" s="37"/>
      <c r="AK557" s="37"/>
      <c r="AL557" s="37"/>
      <c r="AM557" s="37"/>
      <c r="AN557" s="37"/>
      <c r="AO557" s="37"/>
      <c r="AP557" s="37"/>
    </row>
    <row r="558" customFormat="false" ht="15.75" hidden="false" customHeight="true" outlineLevel="0" collapsed="false">
      <c r="A558" s="37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  <c r="AA558" s="37"/>
      <c r="AB558" s="37"/>
      <c r="AC558" s="37"/>
      <c r="AD558" s="37"/>
      <c r="AE558" s="37"/>
      <c r="AF558" s="37"/>
      <c r="AG558" s="37"/>
      <c r="AH558" s="37"/>
      <c r="AI558" s="37"/>
      <c r="AJ558" s="37"/>
      <c r="AK558" s="37"/>
      <c r="AL558" s="37"/>
      <c r="AM558" s="37"/>
      <c r="AN558" s="37"/>
      <c r="AO558" s="37"/>
      <c r="AP558" s="37"/>
    </row>
    <row r="559" customFormat="false" ht="15.75" hidden="false" customHeight="true" outlineLevel="0" collapsed="false">
      <c r="A559" s="37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  <c r="AA559" s="37"/>
      <c r="AB559" s="37"/>
      <c r="AC559" s="37"/>
      <c r="AD559" s="37"/>
      <c r="AE559" s="37"/>
      <c r="AF559" s="37"/>
      <c r="AG559" s="37"/>
      <c r="AH559" s="37"/>
      <c r="AI559" s="37"/>
      <c r="AJ559" s="37"/>
      <c r="AK559" s="37"/>
      <c r="AL559" s="37"/>
      <c r="AM559" s="37"/>
      <c r="AN559" s="37"/>
      <c r="AO559" s="37"/>
      <c r="AP559" s="37"/>
    </row>
    <row r="560" customFormat="false" ht="15.75" hidden="false" customHeight="true" outlineLevel="0" collapsed="false">
      <c r="A560" s="37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  <c r="AA560" s="37"/>
      <c r="AB560" s="37"/>
      <c r="AC560" s="37"/>
      <c r="AD560" s="37"/>
      <c r="AE560" s="37"/>
      <c r="AF560" s="37"/>
      <c r="AG560" s="37"/>
      <c r="AH560" s="37"/>
      <c r="AI560" s="37"/>
      <c r="AJ560" s="37"/>
      <c r="AK560" s="37"/>
      <c r="AL560" s="37"/>
      <c r="AM560" s="37"/>
      <c r="AN560" s="37"/>
      <c r="AO560" s="37"/>
      <c r="AP560" s="37"/>
    </row>
    <row r="561" customFormat="false" ht="15.75" hidden="false" customHeight="true" outlineLevel="0" collapsed="false">
      <c r="A561" s="37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  <c r="AA561" s="37"/>
      <c r="AB561" s="37"/>
      <c r="AC561" s="37"/>
      <c r="AD561" s="37"/>
      <c r="AE561" s="37"/>
      <c r="AF561" s="37"/>
      <c r="AG561" s="37"/>
      <c r="AH561" s="37"/>
      <c r="AI561" s="37"/>
      <c r="AJ561" s="37"/>
      <c r="AK561" s="37"/>
      <c r="AL561" s="37"/>
      <c r="AM561" s="37"/>
      <c r="AN561" s="37"/>
      <c r="AO561" s="37"/>
      <c r="AP561" s="37"/>
    </row>
    <row r="562" customFormat="false" ht="15.75" hidden="false" customHeight="true" outlineLevel="0" collapsed="false">
      <c r="A562" s="37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  <c r="AA562" s="37"/>
      <c r="AB562" s="37"/>
      <c r="AC562" s="37"/>
      <c r="AD562" s="37"/>
      <c r="AE562" s="37"/>
      <c r="AF562" s="37"/>
      <c r="AG562" s="37"/>
      <c r="AH562" s="37"/>
      <c r="AI562" s="37"/>
      <c r="AJ562" s="37"/>
      <c r="AK562" s="37"/>
      <c r="AL562" s="37"/>
      <c r="AM562" s="37"/>
      <c r="AN562" s="37"/>
      <c r="AO562" s="37"/>
      <c r="AP562" s="37"/>
    </row>
    <row r="563" customFormat="false" ht="15.75" hidden="false" customHeight="true" outlineLevel="0" collapsed="false">
      <c r="A563" s="37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  <c r="AA563" s="37"/>
      <c r="AB563" s="37"/>
      <c r="AC563" s="37"/>
      <c r="AD563" s="37"/>
      <c r="AE563" s="37"/>
      <c r="AF563" s="37"/>
      <c r="AG563" s="37"/>
      <c r="AH563" s="37"/>
      <c r="AI563" s="37"/>
      <c r="AJ563" s="37"/>
      <c r="AK563" s="37"/>
      <c r="AL563" s="37"/>
      <c r="AM563" s="37"/>
      <c r="AN563" s="37"/>
      <c r="AO563" s="37"/>
      <c r="AP563" s="37"/>
    </row>
    <row r="564" customFormat="false" ht="15.75" hidden="false" customHeight="true" outlineLevel="0" collapsed="false">
      <c r="A564" s="37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  <c r="AA564" s="37"/>
      <c r="AB564" s="37"/>
      <c r="AC564" s="37"/>
      <c r="AD564" s="37"/>
      <c r="AE564" s="37"/>
      <c r="AF564" s="37"/>
      <c r="AG564" s="37"/>
      <c r="AH564" s="37"/>
      <c r="AI564" s="37"/>
      <c r="AJ564" s="37"/>
      <c r="AK564" s="37"/>
      <c r="AL564" s="37"/>
      <c r="AM564" s="37"/>
      <c r="AN564" s="37"/>
      <c r="AO564" s="37"/>
      <c r="AP564" s="37"/>
    </row>
    <row r="565" customFormat="false" ht="15.75" hidden="false" customHeight="true" outlineLevel="0" collapsed="false">
      <c r="A565" s="37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  <c r="AA565" s="37"/>
      <c r="AB565" s="37"/>
      <c r="AC565" s="37"/>
      <c r="AD565" s="37"/>
      <c r="AE565" s="37"/>
      <c r="AF565" s="37"/>
      <c r="AG565" s="37"/>
      <c r="AH565" s="37"/>
      <c r="AI565" s="37"/>
      <c r="AJ565" s="37"/>
      <c r="AK565" s="37"/>
      <c r="AL565" s="37"/>
      <c r="AM565" s="37"/>
      <c r="AN565" s="37"/>
      <c r="AO565" s="37"/>
      <c r="AP565" s="37"/>
    </row>
    <row r="566" customFormat="false" ht="15.75" hidden="false" customHeight="true" outlineLevel="0" collapsed="false">
      <c r="A566" s="37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  <c r="AA566" s="37"/>
      <c r="AB566" s="37"/>
      <c r="AC566" s="37"/>
      <c r="AD566" s="37"/>
      <c r="AE566" s="37"/>
      <c r="AF566" s="37"/>
      <c r="AG566" s="37"/>
      <c r="AH566" s="37"/>
      <c r="AI566" s="37"/>
      <c r="AJ566" s="37"/>
      <c r="AK566" s="37"/>
      <c r="AL566" s="37"/>
      <c r="AM566" s="37"/>
      <c r="AN566" s="37"/>
      <c r="AO566" s="37"/>
      <c r="AP566" s="37"/>
    </row>
    <row r="567" customFormat="false" ht="15.75" hidden="false" customHeight="true" outlineLevel="0" collapsed="false">
      <c r="A567" s="37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37"/>
      <c r="AF567" s="37"/>
      <c r="AG567" s="37"/>
      <c r="AH567" s="37"/>
      <c r="AI567" s="37"/>
      <c r="AJ567" s="37"/>
      <c r="AK567" s="37"/>
      <c r="AL567" s="37"/>
      <c r="AM567" s="37"/>
      <c r="AN567" s="37"/>
      <c r="AO567" s="37"/>
      <c r="AP567" s="37"/>
    </row>
    <row r="568" customFormat="false" ht="15.75" hidden="false" customHeight="true" outlineLevel="0" collapsed="false">
      <c r="A568" s="37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  <c r="AA568" s="37"/>
      <c r="AB568" s="37"/>
      <c r="AC568" s="37"/>
      <c r="AD568" s="37"/>
      <c r="AE568" s="37"/>
      <c r="AF568" s="37"/>
      <c r="AG568" s="37"/>
      <c r="AH568" s="37"/>
      <c r="AI568" s="37"/>
      <c r="AJ568" s="37"/>
      <c r="AK568" s="37"/>
      <c r="AL568" s="37"/>
      <c r="AM568" s="37"/>
      <c r="AN568" s="37"/>
      <c r="AO568" s="37"/>
      <c r="AP568" s="37"/>
    </row>
    <row r="569" customFormat="false" ht="15.75" hidden="false" customHeight="true" outlineLevel="0" collapsed="false">
      <c r="A569" s="37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  <c r="AA569" s="37"/>
      <c r="AB569" s="37"/>
      <c r="AC569" s="37"/>
      <c r="AD569" s="37"/>
      <c r="AE569" s="37"/>
      <c r="AF569" s="37"/>
      <c r="AG569" s="37"/>
      <c r="AH569" s="37"/>
      <c r="AI569" s="37"/>
      <c r="AJ569" s="37"/>
      <c r="AK569" s="37"/>
      <c r="AL569" s="37"/>
      <c r="AM569" s="37"/>
      <c r="AN569" s="37"/>
      <c r="AO569" s="37"/>
      <c r="AP569" s="37"/>
    </row>
    <row r="570" customFormat="false" ht="15.75" hidden="false" customHeight="true" outlineLevel="0" collapsed="false">
      <c r="A570" s="37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  <c r="AA570" s="37"/>
      <c r="AB570" s="37"/>
      <c r="AC570" s="37"/>
      <c r="AD570" s="37"/>
      <c r="AE570" s="37"/>
      <c r="AF570" s="37"/>
      <c r="AG570" s="37"/>
      <c r="AH570" s="37"/>
      <c r="AI570" s="37"/>
      <c r="AJ570" s="37"/>
      <c r="AK570" s="37"/>
      <c r="AL570" s="37"/>
      <c r="AM570" s="37"/>
      <c r="AN570" s="37"/>
      <c r="AO570" s="37"/>
      <c r="AP570" s="37"/>
    </row>
    <row r="571" customFormat="false" ht="15.75" hidden="false" customHeight="true" outlineLevel="0" collapsed="false">
      <c r="A571" s="37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  <c r="AA571" s="37"/>
      <c r="AB571" s="37"/>
      <c r="AC571" s="37"/>
      <c r="AD571" s="37"/>
      <c r="AE571" s="37"/>
      <c r="AF571" s="37"/>
      <c r="AG571" s="37"/>
      <c r="AH571" s="37"/>
      <c r="AI571" s="37"/>
      <c r="AJ571" s="37"/>
      <c r="AK571" s="37"/>
      <c r="AL571" s="37"/>
      <c r="AM571" s="37"/>
      <c r="AN571" s="37"/>
      <c r="AO571" s="37"/>
      <c r="AP571" s="37"/>
    </row>
    <row r="572" customFormat="false" ht="15.75" hidden="false" customHeight="true" outlineLevel="0" collapsed="false">
      <c r="A572" s="37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  <c r="AA572" s="37"/>
      <c r="AB572" s="37"/>
      <c r="AC572" s="37"/>
      <c r="AD572" s="37"/>
      <c r="AE572" s="37"/>
      <c r="AF572" s="37"/>
      <c r="AG572" s="37"/>
      <c r="AH572" s="37"/>
      <c r="AI572" s="37"/>
      <c r="AJ572" s="37"/>
      <c r="AK572" s="37"/>
      <c r="AL572" s="37"/>
      <c r="AM572" s="37"/>
      <c r="AN572" s="37"/>
      <c r="AO572" s="37"/>
      <c r="AP572" s="37"/>
    </row>
    <row r="573" customFormat="false" ht="15.75" hidden="false" customHeight="true" outlineLevel="0" collapsed="false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  <c r="AA573" s="37"/>
      <c r="AB573" s="37"/>
      <c r="AC573" s="37"/>
      <c r="AD573" s="37"/>
      <c r="AE573" s="37"/>
      <c r="AF573" s="37"/>
      <c r="AG573" s="37"/>
      <c r="AH573" s="37"/>
      <c r="AI573" s="37"/>
      <c r="AJ573" s="37"/>
      <c r="AK573" s="37"/>
      <c r="AL573" s="37"/>
      <c r="AM573" s="37"/>
      <c r="AN573" s="37"/>
      <c r="AO573" s="37"/>
      <c r="AP573" s="37"/>
    </row>
    <row r="574" customFormat="false" ht="15.75" hidden="false" customHeight="true" outlineLevel="0" collapsed="false">
      <c r="A574" s="37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  <c r="AA574" s="37"/>
      <c r="AB574" s="37"/>
      <c r="AC574" s="37"/>
      <c r="AD574" s="37"/>
      <c r="AE574" s="37"/>
      <c r="AF574" s="37"/>
      <c r="AG574" s="37"/>
      <c r="AH574" s="37"/>
      <c r="AI574" s="37"/>
      <c r="AJ574" s="37"/>
      <c r="AK574" s="37"/>
      <c r="AL574" s="37"/>
      <c r="AM574" s="37"/>
      <c r="AN574" s="37"/>
      <c r="AO574" s="37"/>
      <c r="AP574" s="37"/>
    </row>
    <row r="575" customFormat="false" ht="15.75" hidden="false" customHeight="true" outlineLevel="0" collapsed="false">
      <c r="A575" s="37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  <c r="AA575" s="37"/>
      <c r="AB575" s="37"/>
      <c r="AC575" s="37"/>
      <c r="AD575" s="37"/>
      <c r="AE575" s="37"/>
      <c r="AF575" s="37"/>
      <c r="AG575" s="37"/>
      <c r="AH575" s="37"/>
      <c r="AI575" s="37"/>
      <c r="AJ575" s="37"/>
      <c r="AK575" s="37"/>
      <c r="AL575" s="37"/>
      <c r="AM575" s="37"/>
      <c r="AN575" s="37"/>
      <c r="AO575" s="37"/>
      <c r="AP575" s="37"/>
    </row>
    <row r="576" customFormat="false" ht="15.75" hidden="false" customHeight="true" outlineLevel="0" collapsed="false">
      <c r="A576" s="37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  <c r="AA576" s="37"/>
      <c r="AB576" s="37"/>
      <c r="AC576" s="37"/>
      <c r="AD576" s="37"/>
      <c r="AE576" s="37"/>
      <c r="AF576" s="37"/>
      <c r="AG576" s="37"/>
      <c r="AH576" s="37"/>
      <c r="AI576" s="37"/>
      <c r="AJ576" s="37"/>
      <c r="AK576" s="37"/>
      <c r="AL576" s="37"/>
      <c r="AM576" s="37"/>
      <c r="AN576" s="37"/>
      <c r="AO576" s="37"/>
      <c r="AP576" s="37"/>
    </row>
    <row r="577" customFormat="false" ht="15.75" hidden="false" customHeight="true" outlineLevel="0" collapsed="false">
      <c r="A577" s="37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  <c r="AA577" s="37"/>
      <c r="AB577" s="37"/>
      <c r="AC577" s="37"/>
      <c r="AD577" s="37"/>
      <c r="AE577" s="37"/>
      <c r="AF577" s="37"/>
      <c r="AG577" s="37"/>
      <c r="AH577" s="37"/>
      <c r="AI577" s="37"/>
      <c r="AJ577" s="37"/>
      <c r="AK577" s="37"/>
      <c r="AL577" s="37"/>
      <c r="AM577" s="37"/>
      <c r="AN577" s="37"/>
      <c r="AO577" s="37"/>
      <c r="AP577" s="37"/>
    </row>
    <row r="578" customFormat="false" ht="15.75" hidden="false" customHeight="true" outlineLevel="0" collapsed="false">
      <c r="A578" s="37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  <c r="AA578" s="37"/>
      <c r="AB578" s="37"/>
      <c r="AC578" s="37"/>
      <c r="AD578" s="37"/>
      <c r="AE578" s="37"/>
      <c r="AF578" s="37"/>
      <c r="AG578" s="37"/>
      <c r="AH578" s="37"/>
      <c r="AI578" s="37"/>
      <c r="AJ578" s="37"/>
      <c r="AK578" s="37"/>
      <c r="AL578" s="37"/>
      <c r="AM578" s="37"/>
      <c r="AN578" s="37"/>
      <c r="AO578" s="37"/>
      <c r="AP578" s="37"/>
    </row>
    <row r="579" customFormat="false" ht="15.75" hidden="false" customHeight="true" outlineLevel="0" collapsed="false">
      <c r="A579" s="37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  <c r="AA579" s="37"/>
      <c r="AB579" s="37"/>
      <c r="AC579" s="37"/>
      <c r="AD579" s="37"/>
      <c r="AE579" s="37"/>
      <c r="AF579" s="37"/>
      <c r="AG579" s="37"/>
      <c r="AH579" s="37"/>
      <c r="AI579" s="37"/>
      <c r="AJ579" s="37"/>
      <c r="AK579" s="37"/>
      <c r="AL579" s="37"/>
      <c r="AM579" s="37"/>
      <c r="AN579" s="37"/>
      <c r="AO579" s="37"/>
      <c r="AP579" s="37"/>
    </row>
    <row r="580" customFormat="false" ht="15.75" hidden="false" customHeight="true" outlineLevel="0" collapsed="false">
      <c r="A580" s="37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  <c r="AA580" s="37"/>
      <c r="AB580" s="37"/>
      <c r="AC580" s="37"/>
      <c r="AD580" s="37"/>
      <c r="AE580" s="37"/>
      <c r="AF580" s="37"/>
      <c r="AG580" s="37"/>
      <c r="AH580" s="37"/>
      <c r="AI580" s="37"/>
      <c r="AJ580" s="37"/>
      <c r="AK580" s="37"/>
      <c r="AL580" s="37"/>
      <c r="AM580" s="37"/>
      <c r="AN580" s="37"/>
      <c r="AO580" s="37"/>
      <c r="AP580" s="37"/>
    </row>
    <row r="581" customFormat="false" ht="15.75" hidden="false" customHeight="true" outlineLevel="0" collapsed="false">
      <c r="A581" s="37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  <c r="AA581" s="37"/>
      <c r="AB581" s="37"/>
      <c r="AC581" s="37"/>
      <c r="AD581" s="37"/>
      <c r="AE581" s="37"/>
      <c r="AF581" s="37"/>
      <c r="AG581" s="37"/>
      <c r="AH581" s="37"/>
      <c r="AI581" s="37"/>
      <c r="AJ581" s="37"/>
      <c r="AK581" s="37"/>
      <c r="AL581" s="37"/>
      <c r="AM581" s="37"/>
      <c r="AN581" s="37"/>
      <c r="AO581" s="37"/>
      <c r="AP581" s="37"/>
    </row>
    <row r="582" customFormat="false" ht="15.75" hidden="false" customHeight="true" outlineLevel="0" collapsed="false">
      <c r="A582" s="37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  <c r="AA582" s="37"/>
      <c r="AB582" s="37"/>
      <c r="AC582" s="37"/>
      <c r="AD582" s="37"/>
      <c r="AE582" s="37"/>
      <c r="AF582" s="37"/>
      <c r="AG582" s="37"/>
      <c r="AH582" s="37"/>
      <c r="AI582" s="37"/>
      <c r="AJ582" s="37"/>
      <c r="AK582" s="37"/>
      <c r="AL582" s="37"/>
      <c r="AM582" s="37"/>
      <c r="AN582" s="37"/>
      <c r="AO582" s="37"/>
      <c r="AP582" s="37"/>
    </row>
    <row r="583" customFormat="false" ht="15.75" hidden="false" customHeight="true" outlineLevel="0" collapsed="false">
      <c r="A583" s="37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  <c r="AA583" s="37"/>
      <c r="AB583" s="37"/>
      <c r="AC583" s="37"/>
      <c r="AD583" s="37"/>
      <c r="AE583" s="37"/>
      <c r="AF583" s="37"/>
      <c r="AG583" s="37"/>
      <c r="AH583" s="37"/>
      <c r="AI583" s="37"/>
      <c r="AJ583" s="37"/>
      <c r="AK583" s="37"/>
      <c r="AL583" s="37"/>
      <c r="AM583" s="37"/>
      <c r="AN583" s="37"/>
      <c r="AO583" s="37"/>
      <c r="AP583" s="37"/>
    </row>
    <row r="584" customFormat="false" ht="15.75" hidden="false" customHeight="true" outlineLevel="0" collapsed="false">
      <c r="A584" s="37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  <c r="AA584" s="37"/>
      <c r="AB584" s="37"/>
      <c r="AC584" s="37"/>
      <c r="AD584" s="37"/>
      <c r="AE584" s="37"/>
      <c r="AF584" s="37"/>
      <c r="AG584" s="37"/>
      <c r="AH584" s="37"/>
      <c r="AI584" s="37"/>
      <c r="AJ584" s="37"/>
      <c r="AK584" s="37"/>
      <c r="AL584" s="37"/>
      <c r="AM584" s="37"/>
      <c r="AN584" s="37"/>
      <c r="AO584" s="37"/>
      <c r="AP584" s="37"/>
    </row>
    <row r="585" customFormat="false" ht="15.75" hidden="false" customHeight="true" outlineLevel="0" collapsed="false">
      <c r="A585" s="37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  <c r="AA585" s="37"/>
      <c r="AB585" s="37"/>
      <c r="AC585" s="37"/>
      <c r="AD585" s="37"/>
      <c r="AE585" s="37"/>
      <c r="AF585" s="37"/>
      <c r="AG585" s="37"/>
      <c r="AH585" s="37"/>
      <c r="AI585" s="37"/>
      <c r="AJ585" s="37"/>
      <c r="AK585" s="37"/>
      <c r="AL585" s="37"/>
      <c r="AM585" s="37"/>
      <c r="AN585" s="37"/>
      <c r="AO585" s="37"/>
      <c r="AP585" s="37"/>
    </row>
    <row r="586" customFormat="false" ht="15.75" hidden="false" customHeight="true" outlineLevel="0" collapsed="false">
      <c r="A586" s="37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  <c r="AA586" s="37"/>
      <c r="AB586" s="37"/>
      <c r="AC586" s="37"/>
      <c r="AD586" s="37"/>
      <c r="AE586" s="37"/>
      <c r="AF586" s="37"/>
      <c r="AG586" s="37"/>
      <c r="AH586" s="37"/>
      <c r="AI586" s="37"/>
      <c r="AJ586" s="37"/>
      <c r="AK586" s="37"/>
      <c r="AL586" s="37"/>
      <c r="AM586" s="37"/>
      <c r="AN586" s="37"/>
      <c r="AO586" s="37"/>
      <c r="AP586" s="37"/>
    </row>
    <row r="587" customFormat="false" ht="15.75" hidden="false" customHeight="true" outlineLevel="0" collapsed="false">
      <c r="A587" s="37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  <c r="AA587" s="37"/>
      <c r="AB587" s="37"/>
      <c r="AC587" s="37"/>
      <c r="AD587" s="37"/>
      <c r="AE587" s="37"/>
      <c r="AF587" s="37"/>
      <c r="AG587" s="37"/>
      <c r="AH587" s="37"/>
      <c r="AI587" s="37"/>
      <c r="AJ587" s="37"/>
      <c r="AK587" s="37"/>
      <c r="AL587" s="37"/>
      <c r="AM587" s="37"/>
      <c r="AN587" s="37"/>
      <c r="AO587" s="37"/>
      <c r="AP587" s="37"/>
    </row>
    <row r="588" customFormat="false" ht="15.75" hidden="false" customHeight="true" outlineLevel="0" collapsed="false">
      <c r="A588" s="37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  <c r="AA588" s="37"/>
      <c r="AB588" s="37"/>
      <c r="AC588" s="37"/>
      <c r="AD588" s="37"/>
      <c r="AE588" s="37"/>
      <c r="AF588" s="37"/>
      <c r="AG588" s="37"/>
      <c r="AH588" s="37"/>
      <c r="AI588" s="37"/>
      <c r="AJ588" s="37"/>
      <c r="AK588" s="37"/>
      <c r="AL588" s="37"/>
      <c r="AM588" s="37"/>
      <c r="AN588" s="37"/>
      <c r="AO588" s="37"/>
      <c r="AP588" s="37"/>
    </row>
    <row r="589" customFormat="false" ht="15.75" hidden="false" customHeight="true" outlineLevel="0" collapsed="false">
      <c r="A589" s="37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  <c r="AA589" s="37"/>
      <c r="AB589" s="37"/>
      <c r="AC589" s="37"/>
      <c r="AD589" s="37"/>
      <c r="AE589" s="37"/>
      <c r="AF589" s="37"/>
      <c r="AG589" s="37"/>
      <c r="AH589" s="37"/>
      <c r="AI589" s="37"/>
      <c r="AJ589" s="37"/>
      <c r="AK589" s="37"/>
      <c r="AL589" s="37"/>
      <c r="AM589" s="37"/>
      <c r="AN589" s="37"/>
      <c r="AO589" s="37"/>
      <c r="AP589" s="37"/>
    </row>
    <row r="590" customFormat="false" ht="15.75" hidden="false" customHeight="true" outlineLevel="0" collapsed="false">
      <c r="A590" s="37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  <c r="AA590" s="37"/>
      <c r="AB590" s="37"/>
      <c r="AC590" s="37"/>
      <c r="AD590" s="37"/>
      <c r="AE590" s="37"/>
      <c r="AF590" s="37"/>
      <c r="AG590" s="37"/>
      <c r="AH590" s="37"/>
      <c r="AI590" s="37"/>
      <c r="AJ590" s="37"/>
      <c r="AK590" s="37"/>
      <c r="AL590" s="37"/>
      <c r="AM590" s="37"/>
      <c r="AN590" s="37"/>
      <c r="AO590" s="37"/>
      <c r="AP590" s="37"/>
    </row>
    <row r="591" customFormat="false" ht="15.75" hidden="false" customHeight="true" outlineLevel="0" collapsed="false">
      <c r="A591" s="37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  <c r="AA591" s="37"/>
      <c r="AB591" s="37"/>
      <c r="AC591" s="37"/>
      <c r="AD591" s="37"/>
      <c r="AE591" s="37"/>
      <c r="AF591" s="37"/>
      <c r="AG591" s="37"/>
      <c r="AH591" s="37"/>
      <c r="AI591" s="37"/>
      <c r="AJ591" s="37"/>
      <c r="AK591" s="37"/>
      <c r="AL591" s="37"/>
      <c r="AM591" s="37"/>
      <c r="AN591" s="37"/>
      <c r="AO591" s="37"/>
      <c r="AP591" s="37"/>
    </row>
    <row r="592" customFormat="false" ht="15.75" hidden="false" customHeight="true" outlineLevel="0" collapsed="false">
      <c r="A592" s="37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  <c r="AA592" s="37"/>
      <c r="AB592" s="37"/>
      <c r="AC592" s="37"/>
      <c r="AD592" s="37"/>
      <c r="AE592" s="37"/>
      <c r="AF592" s="37"/>
      <c r="AG592" s="37"/>
      <c r="AH592" s="37"/>
      <c r="AI592" s="37"/>
      <c r="AJ592" s="37"/>
      <c r="AK592" s="37"/>
      <c r="AL592" s="37"/>
      <c r="AM592" s="37"/>
      <c r="AN592" s="37"/>
      <c r="AO592" s="37"/>
      <c r="AP592" s="37"/>
    </row>
    <row r="593" customFormat="false" ht="15.75" hidden="false" customHeight="true" outlineLevel="0" collapsed="false">
      <c r="A593" s="37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  <c r="AA593" s="37"/>
      <c r="AB593" s="37"/>
      <c r="AC593" s="37"/>
      <c r="AD593" s="37"/>
      <c r="AE593" s="37"/>
      <c r="AF593" s="37"/>
      <c r="AG593" s="37"/>
      <c r="AH593" s="37"/>
      <c r="AI593" s="37"/>
      <c r="AJ593" s="37"/>
      <c r="AK593" s="37"/>
      <c r="AL593" s="37"/>
      <c r="AM593" s="37"/>
      <c r="AN593" s="37"/>
      <c r="AO593" s="37"/>
      <c r="AP593" s="37"/>
    </row>
    <row r="594" customFormat="false" ht="15.75" hidden="false" customHeight="true" outlineLevel="0" collapsed="false">
      <c r="A594" s="37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  <c r="AA594" s="37"/>
      <c r="AB594" s="37"/>
      <c r="AC594" s="37"/>
      <c r="AD594" s="37"/>
      <c r="AE594" s="37"/>
      <c r="AF594" s="37"/>
      <c r="AG594" s="37"/>
      <c r="AH594" s="37"/>
      <c r="AI594" s="37"/>
      <c r="AJ594" s="37"/>
      <c r="AK594" s="37"/>
      <c r="AL594" s="37"/>
      <c r="AM594" s="37"/>
      <c r="AN594" s="37"/>
      <c r="AO594" s="37"/>
      <c r="AP594" s="37"/>
    </row>
    <row r="595" customFormat="false" ht="15.75" hidden="false" customHeight="true" outlineLevel="0" collapsed="false">
      <c r="A595" s="37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  <c r="AA595" s="37"/>
      <c r="AB595" s="37"/>
      <c r="AC595" s="37"/>
      <c r="AD595" s="37"/>
      <c r="AE595" s="37"/>
      <c r="AF595" s="37"/>
      <c r="AG595" s="37"/>
      <c r="AH595" s="37"/>
      <c r="AI595" s="37"/>
      <c r="AJ595" s="37"/>
      <c r="AK595" s="37"/>
      <c r="AL595" s="37"/>
      <c r="AM595" s="37"/>
      <c r="AN595" s="37"/>
      <c r="AO595" s="37"/>
      <c r="AP595" s="37"/>
    </row>
    <row r="596" customFormat="false" ht="15.75" hidden="false" customHeight="true" outlineLevel="0" collapsed="false">
      <c r="A596" s="37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  <c r="AA596" s="37"/>
      <c r="AB596" s="37"/>
      <c r="AC596" s="37"/>
      <c r="AD596" s="37"/>
      <c r="AE596" s="37"/>
      <c r="AF596" s="37"/>
      <c r="AG596" s="37"/>
      <c r="AH596" s="37"/>
      <c r="AI596" s="37"/>
      <c r="AJ596" s="37"/>
      <c r="AK596" s="37"/>
      <c r="AL596" s="37"/>
      <c r="AM596" s="37"/>
      <c r="AN596" s="37"/>
      <c r="AO596" s="37"/>
      <c r="AP596" s="37"/>
    </row>
    <row r="597" customFormat="false" ht="15.75" hidden="false" customHeight="true" outlineLevel="0" collapsed="false">
      <c r="A597" s="37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  <c r="AA597" s="37"/>
      <c r="AB597" s="37"/>
      <c r="AC597" s="37"/>
      <c r="AD597" s="37"/>
      <c r="AE597" s="37"/>
      <c r="AF597" s="37"/>
      <c r="AG597" s="37"/>
      <c r="AH597" s="37"/>
      <c r="AI597" s="37"/>
      <c r="AJ597" s="37"/>
      <c r="AK597" s="37"/>
      <c r="AL597" s="37"/>
      <c r="AM597" s="37"/>
      <c r="AN597" s="37"/>
      <c r="AO597" s="37"/>
      <c r="AP597" s="37"/>
    </row>
    <row r="598" customFormat="false" ht="15.75" hidden="false" customHeight="true" outlineLevel="0" collapsed="false">
      <c r="A598" s="37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  <c r="AA598" s="37"/>
      <c r="AB598" s="37"/>
      <c r="AC598" s="37"/>
      <c r="AD598" s="37"/>
      <c r="AE598" s="37"/>
      <c r="AF598" s="37"/>
      <c r="AG598" s="37"/>
      <c r="AH598" s="37"/>
      <c r="AI598" s="37"/>
      <c r="AJ598" s="37"/>
      <c r="AK598" s="37"/>
      <c r="AL598" s="37"/>
      <c r="AM598" s="37"/>
      <c r="AN598" s="37"/>
      <c r="AO598" s="37"/>
      <c r="AP598" s="37"/>
    </row>
    <row r="599" customFormat="false" ht="15.75" hidden="false" customHeight="true" outlineLevel="0" collapsed="false">
      <c r="A599" s="37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  <c r="AA599" s="37"/>
      <c r="AB599" s="37"/>
      <c r="AC599" s="37"/>
      <c r="AD599" s="37"/>
      <c r="AE599" s="37"/>
      <c r="AF599" s="37"/>
      <c r="AG599" s="37"/>
      <c r="AH599" s="37"/>
      <c r="AI599" s="37"/>
      <c r="AJ599" s="37"/>
      <c r="AK599" s="37"/>
      <c r="AL599" s="37"/>
      <c r="AM599" s="37"/>
      <c r="AN599" s="37"/>
      <c r="AO599" s="37"/>
      <c r="AP599" s="37"/>
    </row>
    <row r="600" customFormat="false" ht="15.75" hidden="false" customHeight="true" outlineLevel="0" collapsed="false">
      <c r="A600" s="37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  <c r="AA600" s="37"/>
      <c r="AB600" s="37"/>
      <c r="AC600" s="37"/>
      <c r="AD600" s="37"/>
      <c r="AE600" s="37"/>
      <c r="AF600" s="37"/>
      <c r="AG600" s="37"/>
      <c r="AH600" s="37"/>
      <c r="AI600" s="37"/>
      <c r="AJ600" s="37"/>
      <c r="AK600" s="37"/>
      <c r="AL600" s="37"/>
      <c r="AM600" s="37"/>
      <c r="AN600" s="37"/>
      <c r="AO600" s="37"/>
      <c r="AP600" s="37"/>
    </row>
    <row r="601" customFormat="false" ht="15.75" hidden="false" customHeight="true" outlineLevel="0" collapsed="false">
      <c r="A601" s="37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  <c r="AA601" s="37"/>
      <c r="AB601" s="37"/>
      <c r="AC601" s="37"/>
      <c r="AD601" s="37"/>
      <c r="AE601" s="37"/>
      <c r="AF601" s="37"/>
      <c r="AG601" s="37"/>
      <c r="AH601" s="37"/>
      <c r="AI601" s="37"/>
      <c r="AJ601" s="37"/>
      <c r="AK601" s="37"/>
      <c r="AL601" s="37"/>
      <c r="AM601" s="37"/>
      <c r="AN601" s="37"/>
      <c r="AO601" s="37"/>
      <c r="AP601" s="37"/>
    </row>
    <row r="602" customFormat="false" ht="15.75" hidden="false" customHeight="true" outlineLevel="0" collapsed="false">
      <c r="A602" s="37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  <c r="AA602" s="37"/>
      <c r="AB602" s="37"/>
      <c r="AC602" s="37"/>
      <c r="AD602" s="37"/>
      <c r="AE602" s="37"/>
      <c r="AF602" s="37"/>
      <c r="AG602" s="37"/>
      <c r="AH602" s="37"/>
      <c r="AI602" s="37"/>
      <c r="AJ602" s="37"/>
      <c r="AK602" s="37"/>
      <c r="AL602" s="37"/>
      <c r="AM602" s="37"/>
      <c r="AN602" s="37"/>
      <c r="AO602" s="37"/>
      <c r="AP602" s="37"/>
    </row>
    <row r="603" customFormat="false" ht="15.75" hidden="false" customHeight="true" outlineLevel="0" collapsed="false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  <c r="AA603" s="37"/>
      <c r="AB603" s="37"/>
      <c r="AC603" s="37"/>
      <c r="AD603" s="37"/>
      <c r="AE603" s="37"/>
      <c r="AF603" s="37"/>
      <c r="AG603" s="37"/>
      <c r="AH603" s="37"/>
      <c r="AI603" s="37"/>
      <c r="AJ603" s="37"/>
      <c r="AK603" s="37"/>
      <c r="AL603" s="37"/>
      <c r="AM603" s="37"/>
      <c r="AN603" s="37"/>
      <c r="AO603" s="37"/>
      <c r="AP603" s="37"/>
    </row>
    <row r="604" customFormat="false" ht="15.75" hidden="false" customHeight="true" outlineLevel="0" collapsed="false">
      <c r="A604" s="37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  <c r="AA604" s="37"/>
      <c r="AB604" s="37"/>
      <c r="AC604" s="37"/>
      <c r="AD604" s="37"/>
      <c r="AE604" s="37"/>
      <c r="AF604" s="37"/>
      <c r="AG604" s="37"/>
      <c r="AH604" s="37"/>
      <c r="AI604" s="37"/>
      <c r="AJ604" s="37"/>
      <c r="AK604" s="37"/>
      <c r="AL604" s="37"/>
      <c r="AM604" s="37"/>
      <c r="AN604" s="37"/>
      <c r="AO604" s="37"/>
      <c r="AP604" s="37"/>
    </row>
    <row r="605" customFormat="false" ht="15.75" hidden="false" customHeight="true" outlineLevel="0" collapsed="false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  <c r="AA605" s="37"/>
      <c r="AB605" s="37"/>
      <c r="AC605" s="37"/>
      <c r="AD605" s="37"/>
      <c r="AE605" s="37"/>
      <c r="AF605" s="37"/>
      <c r="AG605" s="37"/>
      <c r="AH605" s="37"/>
      <c r="AI605" s="37"/>
      <c r="AJ605" s="37"/>
      <c r="AK605" s="37"/>
      <c r="AL605" s="37"/>
      <c r="AM605" s="37"/>
      <c r="AN605" s="37"/>
      <c r="AO605" s="37"/>
      <c r="AP605" s="37"/>
    </row>
    <row r="606" customFormat="false" ht="15.75" hidden="false" customHeight="true" outlineLevel="0" collapsed="false">
      <c r="A606" s="37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  <c r="AA606" s="37"/>
      <c r="AB606" s="37"/>
      <c r="AC606" s="37"/>
      <c r="AD606" s="37"/>
      <c r="AE606" s="37"/>
      <c r="AF606" s="37"/>
      <c r="AG606" s="37"/>
      <c r="AH606" s="37"/>
      <c r="AI606" s="37"/>
      <c r="AJ606" s="37"/>
      <c r="AK606" s="37"/>
      <c r="AL606" s="37"/>
      <c r="AM606" s="37"/>
      <c r="AN606" s="37"/>
      <c r="AO606" s="37"/>
      <c r="AP606" s="37"/>
    </row>
    <row r="607" customFormat="false" ht="15.75" hidden="false" customHeight="true" outlineLevel="0" collapsed="false">
      <c r="A607" s="37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  <c r="AA607" s="37"/>
      <c r="AB607" s="37"/>
      <c r="AC607" s="37"/>
      <c r="AD607" s="37"/>
      <c r="AE607" s="37"/>
      <c r="AF607" s="37"/>
      <c r="AG607" s="37"/>
      <c r="AH607" s="37"/>
      <c r="AI607" s="37"/>
      <c r="AJ607" s="37"/>
      <c r="AK607" s="37"/>
      <c r="AL607" s="37"/>
      <c r="AM607" s="37"/>
      <c r="AN607" s="37"/>
      <c r="AO607" s="37"/>
      <c r="AP607" s="37"/>
    </row>
    <row r="608" customFormat="false" ht="15.75" hidden="false" customHeight="true" outlineLevel="0" collapsed="false">
      <c r="A608" s="37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  <c r="AA608" s="37"/>
      <c r="AB608" s="37"/>
      <c r="AC608" s="37"/>
      <c r="AD608" s="37"/>
      <c r="AE608" s="37"/>
      <c r="AF608" s="37"/>
      <c r="AG608" s="37"/>
      <c r="AH608" s="37"/>
      <c r="AI608" s="37"/>
      <c r="AJ608" s="37"/>
      <c r="AK608" s="37"/>
      <c r="AL608" s="37"/>
      <c r="AM608" s="37"/>
      <c r="AN608" s="37"/>
      <c r="AO608" s="37"/>
      <c r="AP608" s="37"/>
    </row>
    <row r="609" customFormat="false" ht="15.75" hidden="false" customHeight="true" outlineLevel="0" collapsed="false">
      <c r="A609" s="37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  <c r="AA609" s="37"/>
      <c r="AB609" s="37"/>
      <c r="AC609" s="37"/>
      <c r="AD609" s="37"/>
      <c r="AE609" s="37"/>
      <c r="AF609" s="37"/>
      <c r="AG609" s="37"/>
      <c r="AH609" s="37"/>
      <c r="AI609" s="37"/>
      <c r="AJ609" s="37"/>
      <c r="AK609" s="37"/>
      <c r="AL609" s="37"/>
      <c r="AM609" s="37"/>
      <c r="AN609" s="37"/>
      <c r="AO609" s="37"/>
      <c r="AP609" s="37"/>
    </row>
    <row r="610" customFormat="false" ht="15.75" hidden="false" customHeight="true" outlineLevel="0" collapsed="false">
      <c r="A610" s="37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  <c r="AA610" s="37"/>
      <c r="AB610" s="37"/>
      <c r="AC610" s="37"/>
      <c r="AD610" s="37"/>
      <c r="AE610" s="37"/>
      <c r="AF610" s="37"/>
      <c r="AG610" s="37"/>
      <c r="AH610" s="37"/>
      <c r="AI610" s="37"/>
      <c r="AJ610" s="37"/>
      <c r="AK610" s="37"/>
      <c r="AL610" s="37"/>
      <c r="AM610" s="37"/>
      <c r="AN610" s="37"/>
      <c r="AO610" s="37"/>
      <c r="AP610" s="37"/>
    </row>
    <row r="611" customFormat="false" ht="15.75" hidden="false" customHeight="true" outlineLevel="0" collapsed="false">
      <c r="A611" s="37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  <c r="AA611" s="37"/>
      <c r="AB611" s="37"/>
      <c r="AC611" s="37"/>
      <c r="AD611" s="37"/>
      <c r="AE611" s="37"/>
      <c r="AF611" s="37"/>
      <c r="AG611" s="37"/>
      <c r="AH611" s="37"/>
      <c r="AI611" s="37"/>
      <c r="AJ611" s="37"/>
      <c r="AK611" s="37"/>
      <c r="AL611" s="37"/>
      <c r="AM611" s="37"/>
      <c r="AN611" s="37"/>
      <c r="AO611" s="37"/>
      <c r="AP611" s="37"/>
    </row>
    <row r="612" customFormat="false" ht="15.75" hidden="false" customHeight="true" outlineLevel="0" collapsed="false">
      <c r="A612" s="37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  <c r="AA612" s="37"/>
      <c r="AB612" s="37"/>
      <c r="AC612" s="37"/>
      <c r="AD612" s="37"/>
      <c r="AE612" s="37"/>
      <c r="AF612" s="37"/>
      <c r="AG612" s="37"/>
      <c r="AH612" s="37"/>
      <c r="AI612" s="37"/>
      <c r="AJ612" s="37"/>
      <c r="AK612" s="37"/>
      <c r="AL612" s="37"/>
      <c r="AM612" s="37"/>
      <c r="AN612" s="37"/>
      <c r="AO612" s="37"/>
      <c r="AP612" s="37"/>
    </row>
    <row r="613" customFormat="false" ht="15.75" hidden="false" customHeight="true" outlineLevel="0" collapsed="false">
      <c r="A613" s="37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  <c r="AA613" s="37"/>
      <c r="AB613" s="37"/>
      <c r="AC613" s="37"/>
      <c r="AD613" s="37"/>
      <c r="AE613" s="37"/>
      <c r="AF613" s="37"/>
      <c r="AG613" s="37"/>
      <c r="AH613" s="37"/>
      <c r="AI613" s="37"/>
      <c r="AJ613" s="37"/>
      <c r="AK613" s="37"/>
      <c r="AL613" s="37"/>
      <c r="AM613" s="37"/>
      <c r="AN613" s="37"/>
      <c r="AO613" s="37"/>
      <c r="AP613" s="37"/>
    </row>
    <row r="614" customFormat="false" ht="15.75" hidden="false" customHeight="true" outlineLevel="0" collapsed="false">
      <c r="A614" s="37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  <c r="AA614" s="37"/>
      <c r="AB614" s="37"/>
      <c r="AC614" s="37"/>
      <c r="AD614" s="37"/>
      <c r="AE614" s="37"/>
      <c r="AF614" s="37"/>
      <c r="AG614" s="37"/>
      <c r="AH614" s="37"/>
      <c r="AI614" s="37"/>
      <c r="AJ614" s="37"/>
      <c r="AK614" s="37"/>
      <c r="AL614" s="37"/>
      <c r="AM614" s="37"/>
      <c r="AN614" s="37"/>
      <c r="AO614" s="37"/>
      <c r="AP614" s="37"/>
    </row>
    <row r="615" customFormat="false" ht="15.75" hidden="false" customHeight="true" outlineLevel="0" collapsed="false">
      <c r="A615" s="37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  <c r="AA615" s="37"/>
      <c r="AB615" s="37"/>
      <c r="AC615" s="37"/>
      <c r="AD615" s="37"/>
      <c r="AE615" s="37"/>
      <c r="AF615" s="37"/>
      <c r="AG615" s="37"/>
      <c r="AH615" s="37"/>
      <c r="AI615" s="37"/>
      <c r="AJ615" s="37"/>
      <c r="AK615" s="37"/>
      <c r="AL615" s="37"/>
      <c r="AM615" s="37"/>
      <c r="AN615" s="37"/>
      <c r="AO615" s="37"/>
      <c r="AP615" s="37"/>
    </row>
    <row r="616" customFormat="false" ht="15.75" hidden="false" customHeight="true" outlineLevel="0" collapsed="false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  <c r="AA616" s="37"/>
      <c r="AB616" s="37"/>
      <c r="AC616" s="37"/>
      <c r="AD616" s="37"/>
      <c r="AE616" s="37"/>
      <c r="AF616" s="37"/>
      <c r="AG616" s="37"/>
      <c r="AH616" s="37"/>
      <c r="AI616" s="37"/>
      <c r="AJ616" s="37"/>
      <c r="AK616" s="37"/>
      <c r="AL616" s="37"/>
      <c r="AM616" s="37"/>
      <c r="AN616" s="37"/>
      <c r="AO616" s="37"/>
      <c r="AP616" s="37"/>
    </row>
    <row r="617" customFormat="false" ht="15.75" hidden="false" customHeight="true" outlineLevel="0" collapsed="false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  <c r="AA617" s="37"/>
      <c r="AB617" s="37"/>
      <c r="AC617" s="37"/>
      <c r="AD617" s="37"/>
      <c r="AE617" s="37"/>
      <c r="AF617" s="37"/>
      <c r="AG617" s="37"/>
      <c r="AH617" s="37"/>
      <c r="AI617" s="37"/>
      <c r="AJ617" s="37"/>
      <c r="AK617" s="37"/>
      <c r="AL617" s="37"/>
      <c r="AM617" s="37"/>
      <c r="AN617" s="37"/>
      <c r="AO617" s="37"/>
      <c r="AP617" s="37"/>
    </row>
    <row r="618" customFormat="false" ht="15.75" hidden="false" customHeight="true" outlineLevel="0" collapsed="false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  <c r="AA618" s="37"/>
      <c r="AB618" s="37"/>
      <c r="AC618" s="37"/>
      <c r="AD618" s="37"/>
      <c r="AE618" s="37"/>
      <c r="AF618" s="37"/>
      <c r="AG618" s="37"/>
      <c r="AH618" s="37"/>
      <c r="AI618" s="37"/>
      <c r="AJ618" s="37"/>
      <c r="AK618" s="37"/>
      <c r="AL618" s="37"/>
      <c r="AM618" s="37"/>
      <c r="AN618" s="37"/>
      <c r="AO618" s="37"/>
      <c r="AP618" s="37"/>
    </row>
    <row r="619" customFormat="false" ht="15.75" hidden="false" customHeight="true" outlineLevel="0" collapsed="false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  <c r="AA619" s="37"/>
      <c r="AB619" s="37"/>
      <c r="AC619" s="37"/>
      <c r="AD619" s="37"/>
      <c r="AE619" s="37"/>
      <c r="AF619" s="37"/>
      <c r="AG619" s="37"/>
      <c r="AH619" s="37"/>
      <c r="AI619" s="37"/>
      <c r="AJ619" s="37"/>
      <c r="AK619" s="37"/>
      <c r="AL619" s="37"/>
      <c r="AM619" s="37"/>
      <c r="AN619" s="37"/>
      <c r="AO619" s="37"/>
      <c r="AP619" s="37"/>
    </row>
    <row r="620" customFormat="false" ht="15.75" hidden="false" customHeight="true" outlineLevel="0" collapsed="false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  <c r="AA620" s="37"/>
      <c r="AB620" s="37"/>
      <c r="AC620" s="37"/>
      <c r="AD620" s="37"/>
      <c r="AE620" s="37"/>
      <c r="AF620" s="37"/>
      <c r="AG620" s="37"/>
      <c r="AH620" s="37"/>
      <c r="AI620" s="37"/>
      <c r="AJ620" s="37"/>
      <c r="AK620" s="37"/>
      <c r="AL620" s="37"/>
      <c r="AM620" s="37"/>
      <c r="AN620" s="37"/>
      <c r="AO620" s="37"/>
      <c r="AP620" s="37"/>
    </row>
    <row r="621" customFormat="false" ht="15.75" hidden="false" customHeight="true" outlineLevel="0" collapsed="false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  <c r="AA621" s="37"/>
      <c r="AB621" s="37"/>
      <c r="AC621" s="37"/>
      <c r="AD621" s="37"/>
      <c r="AE621" s="37"/>
      <c r="AF621" s="37"/>
      <c r="AG621" s="37"/>
      <c r="AH621" s="37"/>
      <c r="AI621" s="37"/>
      <c r="AJ621" s="37"/>
      <c r="AK621" s="37"/>
      <c r="AL621" s="37"/>
      <c r="AM621" s="37"/>
      <c r="AN621" s="37"/>
      <c r="AO621" s="37"/>
      <c r="AP621" s="37"/>
    </row>
    <row r="622" customFormat="false" ht="15.75" hidden="false" customHeight="true" outlineLevel="0" collapsed="false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  <c r="AA622" s="37"/>
      <c r="AB622" s="37"/>
      <c r="AC622" s="37"/>
      <c r="AD622" s="37"/>
      <c r="AE622" s="37"/>
      <c r="AF622" s="37"/>
      <c r="AG622" s="37"/>
      <c r="AH622" s="37"/>
      <c r="AI622" s="37"/>
      <c r="AJ622" s="37"/>
      <c r="AK622" s="37"/>
      <c r="AL622" s="37"/>
      <c r="AM622" s="37"/>
      <c r="AN622" s="37"/>
      <c r="AO622" s="37"/>
      <c r="AP622" s="37"/>
    </row>
    <row r="623" customFormat="false" ht="15.75" hidden="false" customHeight="true" outlineLevel="0" collapsed="false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  <c r="AA623" s="37"/>
      <c r="AB623" s="37"/>
      <c r="AC623" s="37"/>
      <c r="AD623" s="37"/>
      <c r="AE623" s="37"/>
      <c r="AF623" s="37"/>
      <c r="AG623" s="37"/>
      <c r="AH623" s="37"/>
      <c r="AI623" s="37"/>
      <c r="AJ623" s="37"/>
      <c r="AK623" s="37"/>
      <c r="AL623" s="37"/>
      <c r="AM623" s="37"/>
      <c r="AN623" s="37"/>
      <c r="AO623" s="37"/>
      <c r="AP623" s="37"/>
    </row>
    <row r="624" customFormat="false" ht="15.75" hidden="false" customHeight="true" outlineLevel="0" collapsed="false">
      <c r="A624" s="37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  <c r="AA624" s="37"/>
      <c r="AB624" s="37"/>
      <c r="AC624" s="37"/>
      <c r="AD624" s="37"/>
      <c r="AE624" s="37"/>
      <c r="AF624" s="37"/>
      <c r="AG624" s="37"/>
      <c r="AH624" s="37"/>
      <c r="AI624" s="37"/>
      <c r="AJ624" s="37"/>
      <c r="AK624" s="37"/>
      <c r="AL624" s="37"/>
      <c r="AM624" s="37"/>
      <c r="AN624" s="37"/>
      <c r="AO624" s="37"/>
      <c r="AP624" s="37"/>
    </row>
    <row r="625" customFormat="false" ht="15.75" hidden="false" customHeight="true" outlineLevel="0" collapsed="false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  <c r="AA625" s="37"/>
      <c r="AB625" s="37"/>
      <c r="AC625" s="37"/>
      <c r="AD625" s="37"/>
      <c r="AE625" s="37"/>
      <c r="AF625" s="37"/>
      <c r="AG625" s="37"/>
      <c r="AH625" s="37"/>
      <c r="AI625" s="37"/>
      <c r="AJ625" s="37"/>
      <c r="AK625" s="37"/>
      <c r="AL625" s="37"/>
      <c r="AM625" s="37"/>
      <c r="AN625" s="37"/>
      <c r="AO625" s="37"/>
      <c r="AP625" s="37"/>
    </row>
    <row r="626" customFormat="false" ht="15.75" hidden="false" customHeight="true" outlineLevel="0" collapsed="false">
      <c r="A626" s="37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  <c r="AA626" s="37"/>
      <c r="AB626" s="37"/>
      <c r="AC626" s="37"/>
      <c r="AD626" s="37"/>
      <c r="AE626" s="37"/>
      <c r="AF626" s="37"/>
      <c r="AG626" s="37"/>
      <c r="AH626" s="37"/>
      <c r="AI626" s="37"/>
      <c r="AJ626" s="37"/>
      <c r="AK626" s="37"/>
      <c r="AL626" s="37"/>
      <c r="AM626" s="37"/>
      <c r="AN626" s="37"/>
      <c r="AO626" s="37"/>
      <c r="AP626" s="37"/>
    </row>
    <row r="627" customFormat="false" ht="15.75" hidden="false" customHeight="true" outlineLevel="0" collapsed="false">
      <c r="A627" s="37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  <c r="AA627" s="37"/>
      <c r="AB627" s="37"/>
      <c r="AC627" s="37"/>
      <c r="AD627" s="37"/>
      <c r="AE627" s="37"/>
      <c r="AF627" s="37"/>
      <c r="AG627" s="37"/>
      <c r="AH627" s="37"/>
      <c r="AI627" s="37"/>
      <c r="AJ627" s="37"/>
      <c r="AK627" s="37"/>
      <c r="AL627" s="37"/>
      <c r="AM627" s="37"/>
      <c r="AN627" s="37"/>
      <c r="AO627" s="37"/>
      <c r="AP627" s="37"/>
    </row>
    <row r="628" customFormat="false" ht="15.75" hidden="false" customHeight="true" outlineLevel="0" collapsed="false">
      <c r="A628" s="37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  <c r="AA628" s="37"/>
      <c r="AB628" s="37"/>
      <c r="AC628" s="37"/>
      <c r="AD628" s="37"/>
      <c r="AE628" s="37"/>
      <c r="AF628" s="37"/>
      <c r="AG628" s="37"/>
      <c r="AH628" s="37"/>
      <c r="AI628" s="37"/>
      <c r="AJ628" s="37"/>
      <c r="AK628" s="37"/>
      <c r="AL628" s="37"/>
      <c r="AM628" s="37"/>
      <c r="AN628" s="37"/>
      <c r="AO628" s="37"/>
      <c r="AP628" s="37"/>
    </row>
    <row r="629" customFormat="false" ht="15.75" hidden="false" customHeight="true" outlineLevel="0" collapsed="false">
      <c r="A629" s="37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  <c r="AA629" s="37"/>
      <c r="AB629" s="37"/>
      <c r="AC629" s="37"/>
      <c r="AD629" s="37"/>
      <c r="AE629" s="37"/>
      <c r="AF629" s="37"/>
      <c r="AG629" s="37"/>
      <c r="AH629" s="37"/>
      <c r="AI629" s="37"/>
      <c r="AJ629" s="37"/>
      <c r="AK629" s="37"/>
      <c r="AL629" s="37"/>
      <c r="AM629" s="37"/>
      <c r="AN629" s="37"/>
      <c r="AO629" s="37"/>
      <c r="AP629" s="37"/>
    </row>
    <row r="630" customFormat="false" ht="15.75" hidden="false" customHeight="true" outlineLevel="0" collapsed="false">
      <c r="A630" s="37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  <c r="AA630" s="37"/>
      <c r="AB630" s="37"/>
      <c r="AC630" s="37"/>
      <c r="AD630" s="37"/>
      <c r="AE630" s="37"/>
      <c r="AF630" s="37"/>
      <c r="AG630" s="37"/>
      <c r="AH630" s="37"/>
      <c r="AI630" s="37"/>
      <c r="AJ630" s="37"/>
      <c r="AK630" s="37"/>
      <c r="AL630" s="37"/>
      <c r="AM630" s="37"/>
      <c r="AN630" s="37"/>
      <c r="AO630" s="37"/>
      <c r="AP630" s="37"/>
    </row>
    <row r="631" customFormat="false" ht="15.75" hidden="false" customHeight="true" outlineLevel="0" collapsed="false">
      <c r="A631" s="37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  <c r="AA631" s="37"/>
      <c r="AB631" s="37"/>
      <c r="AC631" s="37"/>
      <c r="AD631" s="37"/>
      <c r="AE631" s="37"/>
      <c r="AF631" s="37"/>
      <c r="AG631" s="37"/>
      <c r="AH631" s="37"/>
      <c r="AI631" s="37"/>
      <c r="AJ631" s="37"/>
      <c r="AK631" s="37"/>
      <c r="AL631" s="37"/>
      <c r="AM631" s="37"/>
      <c r="AN631" s="37"/>
      <c r="AO631" s="37"/>
      <c r="AP631" s="37"/>
    </row>
    <row r="632" customFormat="false" ht="15.75" hidden="false" customHeight="true" outlineLevel="0" collapsed="false">
      <c r="A632" s="37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  <c r="AA632" s="37"/>
      <c r="AB632" s="37"/>
      <c r="AC632" s="37"/>
      <c r="AD632" s="37"/>
      <c r="AE632" s="37"/>
      <c r="AF632" s="37"/>
      <c r="AG632" s="37"/>
      <c r="AH632" s="37"/>
      <c r="AI632" s="37"/>
      <c r="AJ632" s="37"/>
      <c r="AK632" s="37"/>
      <c r="AL632" s="37"/>
      <c r="AM632" s="37"/>
      <c r="AN632" s="37"/>
      <c r="AO632" s="37"/>
      <c r="AP632" s="37"/>
    </row>
    <row r="633" customFormat="false" ht="15.75" hidden="false" customHeight="true" outlineLevel="0" collapsed="false">
      <c r="A633" s="37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  <c r="AA633" s="37"/>
      <c r="AB633" s="37"/>
      <c r="AC633" s="37"/>
      <c r="AD633" s="37"/>
      <c r="AE633" s="37"/>
      <c r="AF633" s="37"/>
      <c r="AG633" s="37"/>
      <c r="AH633" s="37"/>
      <c r="AI633" s="37"/>
      <c r="AJ633" s="37"/>
      <c r="AK633" s="37"/>
      <c r="AL633" s="37"/>
      <c r="AM633" s="37"/>
      <c r="AN633" s="37"/>
      <c r="AO633" s="37"/>
      <c r="AP633" s="37"/>
    </row>
    <row r="634" customFormat="false" ht="15.75" hidden="false" customHeight="true" outlineLevel="0" collapsed="false">
      <c r="A634" s="37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  <c r="AA634" s="37"/>
      <c r="AB634" s="37"/>
      <c r="AC634" s="37"/>
      <c r="AD634" s="37"/>
      <c r="AE634" s="37"/>
      <c r="AF634" s="37"/>
      <c r="AG634" s="37"/>
      <c r="AH634" s="37"/>
      <c r="AI634" s="37"/>
      <c r="AJ634" s="37"/>
      <c r="AK634" s="37"/>
      <c r="AL634" s="37"/>
      <c r="AM634" s="37"/>
      <c r="AN634" s="37"/>
      <c r="AO634" s="37"/>
      <c r="AP634" s="37"/>
    </row>
    <row r="635" customFormat="false" ht="15.75" hidden="false" customHeight="true" outlineLevel="0" collapsed="false">
      <c r="A635" s="37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  <c r="AA635" s="37"/>
      <c r="AB635" s="37"/>
      <c r="AC635" s="37"/>
      <c r="AD635" s="37"/>
      <c r="AE635" s="37"/>
      <c r="AF635" s="37"/>
      <c r="AG635" s="37"/>
      <c r="AH635" s="37"/>
      <c r="AI635" s="37"/>
      <c r="AJ635" s="37"/>
      <c r="AK635" s="37"/>
      <c r="AL635" s="37"/>
      <c r="AM635" s="37"/>
      <c r="AN635" s="37"/>
      <c r="AO635" s="37"/>
      <c r="AP635" s="37"/>
    </row>
    <row r="636" customFormat="false" ht="15.75" hidden="false" customHeight="true" outlineLevel="0" collapsed="false">
      <c r="A636" s="37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  <c r="AA636" s="37"/>
      <c r="AB636" s="37"/>
      <c r="AC636" s="37"/>
      <c r="AD636" s="37"/>
      <c r="AE636" s="37"/>
      <c r="AF636" s="37"/>
      <c r="AG636" s="37"/>
      <c r="AH636" s="37"/>
      <c r="AI636" s="37"/>
      <c r="AJ636" s="37"/>
      <c r="AK636" s="37"/>
      <c r="AL636" s="37"/>
      <c r="AM636" s="37"/>
      <c r="AN636" s="37"/>
      <c r="AO636" s="37"/>
      <c r="AP636" s="37"/>
    </row>
    <row r="637" customFormat="false" ht="15.75" hidden="false" customHeight="true" outlineLevel="0" collapsed="false">
      <c r="A637" s="37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  <c r="AA637" s="37"/>
      <c r="AB637" s="37"/>
      <c r="AC637" s="37"/>
      <c r="AD637" s="37"/>
      <c r="AE637" s="37"/>
      <c r="AF637" s="37"/>
      <c r="AG637" s="37"/>
      <c r="AH637" s="37"/>
      <c r="AI637" s="37"/>
      <c r="AJ637" s="37"/>
      <c r="AK637" s="37"/>
      <c r="AL637" s="37"/>
      <c r="AM637" s="37"/>
      <c r="AN637" s="37"/>
      <c r="AO637" s="37"/>
      <c r="AP637" s="37"/>
    </row>
    <row r="638" customFormat="false" ht="15.75" hidden="false" customHeight="true" outlineLevel="0" collapsed="false">
      <c r="A638" s="37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  <c r="AA638" s="37"/>
      <c r="AB638" s="37"/>
      <c r="AC638" s="37"/>
      <c r="AD638" s="37"/>
      <c r="AE638" s="37"/>
      <c r="AF638" s="37"/>
      <c r="AG638" s="37"/>
      <c r="AH638" s="37"/>
      <c r="AI638" s="37"/>
      <c r="AJ638" s="37"/>
      <c r="AK638" s="37"/>
      <c r="AL638" s="37"/>
      <c r="AM638" s="37"/>
      <c r="AN638" s="37"/>
      <c r="AO638" s="37"/>
      <c r="AP638" s="37"/>
    </row>
    <row r="639" customFormat="false" ht="15.75" hidden="false" customHeight="true" outlineLevel="0" collapsed="false">
      <c r="A639" s="37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  <c r="AA639" s="37"/>
      <c r="AB639" s="37"/>
      <c r="AC639" s="37"/>
      <c r="AD639" s="37"/>
      <c r="AE639" s="37"/>
      <c r="AF639" s="37"/>
      <c r="AG639" s="37"/>
      <c r="AH639" s="37"/>
      <c r="AI639" s="37"/>
      <c r="AJ639" s="37"/>
      <c r="AK639" s="37"/>
      <c r="AL639" s="37"/>
      <c r="AM639" s="37"/>
      <c r="AN639" s="37"/>
      <c r="AO639" s="37"/>
      <c r="AP639" s="37"/>
    </row>
    <row r="640" customFormat="false" ht="15.75" hidden="false" customHeight="true" outlineLevel="0" collapsed="false">
      <c r="A640" s="37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  <c r="AA640" s="37"/>
      <c r="AB640" s="37"/>
      <c r="AC640" s="37"/>
      <c r="AD640" s="37"/>
      <c r="AE640" s="37"/>
      <c r="AF640" s="37"/>
      <c r="AG640" s="37"/>
      <c r="AH640" s="37"/>
      <c r="AI640" s="37"/>
      <c r="AJ640" s="37"/>
      <c r="AK640" s="37"/>
      <c r="AL640" s="37"/>
      <c r="AM640" s="37"/>
      <c r="AN640" s="37"/>
      <c r="AO640" s="37"/>
      <c r="AP640" s="37"/>
    </row>
    <row r="641" customFormat="false" ht="15.75" hidden="false" customHeight="true" outlineLevel="0" collapsed="false">
      <c r="A641" s="37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  <c r="AA641" s="37"/>
      <c r="AB641" s="37"/>
      <c r="AC641" s="37"/>
      <c r="AD641" s="37"/>
      <c r="AE641" s="37"/>
      <c r="AF641" s="37"/>
      <c r="AG641" s="37"/>
      <c r="AH641" s="37"/>
      <c r="AI641" s="37"/>
      <c r="AJ641" s="37"/>
      <c r="AK641" s="37"/>
      <c r="AL641" s="37"/>
      <c r="AM641" s="37"/>
      <c r="AN641" s="37"/>
      <c r="AO641" s="37"/>
      <c r="AP641" s="37"/>
    </row>
    <row r="642" customFormat="false" ht="15.75" hidden="false" customHeight="true" outlineLevel="0" collapsed="false">
      <c r="A642" s="37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  <c r="AA642" s="37"/>
      <c r="AB642" s="37"/>
      <c r="AC642" s="37"/>
      <c r="AD642" s="37"/>
      <c r="AE642" s="37"/>
      <c r="AF642" s="37"/>
      <c r="AG642" s="37"/>
      <c r="AH642" s="37"/>
      <c r="AI642" s="37"/>
      <c r="AJ642" s="37"/>
      <c r="AK642" s="37"/>
      <c r="AL642" s="37"/>
      <c r="AM642" s="37"/>
      <c r="AN642" s="37"/>
      <c r="AO642" s="37"/>
      <c r="AP642" s="37"/>
    </row>
    <row r="643" customFormat="false" ht="15.75" hidden="false" customHeight="true" outlineLevel="0" collapsed="false">
      <c r="A643" s="37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  <c r="AA643" s="37"/>
      <c r="AB643" s="37"/>
      <c r="AC643" s="37"/>
      <c r="AD643" s="37"/>
      <c r="AE643" s="37"/>
      <c r="AF643" s="37"/>
      <c r="AG643" s="37"/>
      <c r="AH643" s="37"/>
      <c r="AI643" s="37"/>
      <c r="AJ643" s="37"/>
      <c r="AK643" s="37"/>
      <c r="AL643" s="37"/>
      <c r="AM643" s="37"/>
      <c r="AN643" s="37"/>
      <c r="AO643" s="37"/>
      <c r="AP643" s="37"/>
    </row>
    <row r="644" customFormat="false" ht="15.75" hidden="false" customHeight="true" outlineLevel="0" collapsed="false">
      <c r="A644" s="37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  <c r="AA644" s="37"/>
      <c r="AB644" s="37"/>
      <c r="AC644" s="37"/>
      <c r="AD644" s="37"/>
      <c r="AE644" s="37"/>
      <c r="AF644" s="37"/>
      <c r="AG644" s="37"/>
      <c r="AH644" s="37"/>
      <c r="AI644" s="37"/>
      <c r="AJ644" s="37"/>
      <c r="AK644" s="37"/>
      <c r="AL644" s="37"/>
      <c r="AM644" s="37"/>
      <c r="AN644" s="37"/>
      <c r="AO644" s="37"/>
      <c r="AP644" s="37"/>
    </row>
    <row r="645" customFormat="false" ht="15.75" hidden="false" customHeight="true" outlineLevel="0" collapsed="false">
      <c r="A645" s="37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  <c r="AA645" s="37"/>
      <c r="AB645" s="37"/>
      <c r="AC645" s="37"/>
      <c r="AD645" s="37"/>
      <c r="AE645" s="37"/>
      <c r="AF645" s="37"/>
      <c r="AG645" s="37"/>
      <c r="AH645" s="37"/>
      <c r="AI645" s="37"/>
      <c r="AJ645" s="37"/>
      <c r="AK645" s="37"/>
      <c r="AL645" s="37"/>
      <c r="AM645" s="37"/>
      <c r="AN645" s="37"/>
      <c r="AO645" s="37"/>
      <c r="AP645" s="37"/>
    </row>
    <row r="646" customFormat="false" ht="15.75" hidden="false" customHeight="true" outlineLevel="0" collapsed="false">
      <c r="A646" s="37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  <c r="AA646" s="37"/>
      <c r="AB646" s="37"/>
      <c r="AC646" s="37"/>
      <c r="AD646" s="37"/>
      <c r="AE646" s="37"/>
      <c r="AF646" s="37"/>
      <c r="AG646" s="37"/>
      <c r="AH646" s="37"/>
      <c r="AI646" s="37"/>
      <c r="AJ646" s="37"/>
      <c r="AK646" s="37"/>
      <c r="AL646" s="37"/>
      <c r="AM646" s="37"/>
      <c r="AN646" s="37"/>
      <c r="AO646" s="37"/>
      <c r="AP646" s="37"/>
    </row>
    <row r="647" customFormat="false" ht="15.75" hidden="false" customHeight="true" outlineLevel="0" collapsed="false">
      <c r="A647" s="37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  <c r="AA647" s="37"/>
      <c r="AB647" s="37"/>
      <c r="AC647" s="37"/>
      <c r="AD647" s="37"/>
      <c r="AE647" s="37"/>
      <c r="AF647" s="37"/>
      <c r="AG647" s="37"/>
      <c r="AH647" s="37"/>
      <c r="AI647" s="37"/>
      <c r="AJ647" s="37"/>
      <c r="AK647" s="37"/>
      <c r="AL647" s="37"/>
      <c r="AM647" s="37"/>
      <c r="AN647" s="37"/>
      <c r="AO647" s="37"/>
      <c r="AP647" s="37"/>
    </row>
    <row r="648" customFormat="false" ht="15.75" hidden="false" customHeight="true" outlineLevel="0" collapsed="false">
      <c r="A648" s="37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  <c r="AA648" s="37"/>
      <c r="AB648" s="37"/>
      <c r="AC648" s="37"/>
      <c r="AD648" s="37"/>
      <c r="AE648" s="37"/>
      <c r="AF648" s="37"/>
      <c r="AG648" s="37"/>
      <c r="AH648" s="37"/>
      <c r="AI648" s="37"/>
      <c r="AJ648" s="37"/>
      <c r="AK648" s="37"/>
      <c r="AL648" s="37"/>
      <c r="AM648" s="37"/>
      <c r="AN648" s="37"/>
      <c r="AO648" s="37"/>
      <c r="AP648" s="37"/>
    </row>
    <row r="649" customFormat="false" ht="15.75" hidden="false" customHeight="true" outlineLevel="0" collapsed="false">
      <c r="A649" s="37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  <c r="AA649" s="37"/>
      <c r="AB649" s="37"/>
      <c r="AC649" s="37"/>
      <c r="AD649" s="37"/>
      <c r="AE649" s="37"/>
      <c r="AF649" s="37"/>
      <c r="AG649" s="37"/>
      <c r="AH649" s="37"/>
      <c r="AI649" s="37"/>
      <c r="AJ649" s="37"/>
      <c r="AK649" s="37"/>
      <c r="AL649" s="37"/>
      <c r="AM649" s="37"/>
      <c r="AN649" s="37"/>
      <c r="AO649" s="37"/>
      <c r="AP649" s="37"/>
    </row>
    <row r="650" customFormat="false" ht="15.75" hidden="false" customHeight="true" outlineLevel="0" collapsed="false">
      <c r="A650" s="37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  <c r="AA650" s="37"/>
      <c r="AB650" s="37"/>
      <c r="AC650" s="37"/>
      <c r="AD650" s="37"/>
      <c r="AE650" s="37"/>
      <c r="AF650" s="37"/>
      <c r="AG650" s="37"/>
      <c r="AH650" s="37"/>
      <c r="AI650" s="37"/>
      <c r="AJ650" s="37"/>
      <c r="AK650" s="37"/>
      <c r="AL650" s="37"/>
      <c r="AM650" s="37"/>
      <c r="AN650" s="37"/>
      <c r="AO650" s="37"/>
      <c r="AP650" s="37"/>
    </row>
    <row r="651" customFormat="false" ht="15.75" hidden="false" customHeight="true" outlineLevel="0" collapsed="false">
      <c r="A651" s="37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  <c r="AA651" s="37"/>
      <c r="AB651" s="37"/>
      <c r="AC651" s="37"/>
      <c r="AD651" s="37"/>
      <c r="AE651" s="37"/>
      <c r="AF651" s="37"/>
      <c r="AG651" s="37"/>
      <c r="AH651" s="37"/>
      <c r="AI651" s="37"/>
      <c r="AJ651" s="37"/>
      <c r="AK651" s="37"/>
      <c r="AL651" s="37"/>
      <c r="AM651" s="37"/>
      <c r="AN651" s="37"/>
      <c r="AO651" s="37"/>
      <c r="AP651" s="37"/>
    </row>
    <row r="652" customFormat="false" ht="15.75" hidden="false" customHeight="true" outlineLevel="0" collapsed="false">
      <c r="A652" s="37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  <c r="AA652" s="37"/>
      <c r="AB652" s="37"/>
      <c r="AC652" s="37"/>
      <c r="AD652" s="37"/>
      <c r="AE652" s="37"/>
      <c r="AF652" s="37"/>
      <c r="AG652" s="37"/>
      <c r="AH652" s="37"/>
      <c r="AI652" s="37"/>
      <c r="AJ652" s="37"/>
      <c r="AK652" s="37"/>
      <c r="AL652" s="37"/>
      <c r="AM652" s="37"/>
      <c r="AN652" s="37"/>
      <c r="AO652" s="37"/>
      <c r="AP652" s="37"/>
    </row>
    <row r="653" customFormat="false" ht="15.75" hidden="false" customHeight="true" outlineLevel="0" collapsed="false">
      <c r="A653" s="37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  <c r="AA653" s="37"/>
      <c r="AB653" s="37"/>
      <c r="AC653" s="37"/>
      <c r="AD653" s="37"/>
      <c r="AE653" s="37"/>
      <c r="AF653" s="37"/>
      <c r="AG653" s="37"/>
      <c r="AH653" s="37"/>
      <c r="AI653" s="37"/>
      <c r="AJ653" s="37"/>
      <c r="AK653" s="37"/>
      <c r="AL653" s="37"/>
      <c r="AM653" s="37"/>
      <c r="AN653" s="37"/>
      <c r="AO653" s="37"/>
      <c r="AP653" s="37"/>
    </row>
    <row r="654" customFormat="false" ht="15.75" hidden="false" customHeight="true" outlineLevel="0" collapsed="false">
      <c r="A654" s="37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  <c r="AA654" s="37"/>
      <c r="AB654" s="37"/>
      <c r="AC654" s="37"/>
      <c r="AD654" s="37"/>
      <c r="AE654" s="37"/>
      <c r="AF654" s="37"/>
      <c r="AG654" s="37"/>
      <c r="AH654" s="37"/>
      <c r="AI654" s="37"/>
      <c r="AJ654" s="37"/>
      <c r="AK654" s="37"/>
      <c r="AL654" s="37"/>
      <c r="AM654" s="37"/>
      <c r="AN654" s="37"/>
      <c r="AO654" s="37"/>
      <c r="AP654" s="37"/>
    </row>
    <row r="655" customFormat="false" ht="15.75" hidden="false" customHeight="true" outlineLevel="0" collapsed="false">
      <c r="A655" s="37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  <c r="AA655" s="37"/>
      <c r="AB655" s="37"/>
      <c r="AC655" s="37"/>
      <c r="AD655" s="37"/>
      <c r="AE655" s="37"/>
      <c r="AF655" s="37"/>
      <c r="AG655" s="37"/>
      <c r="AH655" s="37"/>
      <c r="AI655" s="37"/>
      <c r="AJ655" s="37"/>
      <c r="AK655" s="37"/>
      <c r="AL655" s="37"/>
      <c r="AM655" s="37"/>
      <c r="AN655" s="37"/>
      <c r="AO655" s="37"/>
      <c r="AP655" s="37"/>
    </row>
    <row r="656" customFormat="false" ht="15.75" hidden="false" customHeight="true" outlineLevel="0" collapsed="false">
      <c r="A656" s="37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  <c r="AA656" s="37"/>
      <c r="AB656" s="37"/>
      <c r="AC656" s="37"/>
      <c r="AD656" s="37"/>
      <c r="AE656" s="37"/>
      <c r="AF656" s="37"/>
      <c r="AG656" s="37"/>
      <c r="AH656" s="37"/>
      <c r="AI656" s="37"/>
      <c r="AJ656" s="37"/>
      <c r="AK656" s="37"/>
      <c r="AL656" s="37"/>
      <c r="AM656" s="37"/>
      <c r="AN656" s="37"/>
      <c r="AO656" s="37"/>
      <c r="AP656" s="37"/>
    </row>
    <row r="657" customFormat="false" ht="15.75" hidden="false" customHeight="true" outlineLevel="0" collapsed="false">
      <c r="A657" s="37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  <c r="AA657" s="37"/>
      <c r="AB657" s="37"/>
      <c r="AC657" s="37"/>
      <c r="AD657" s="37"/>
      <c r="AE657" s="37"/>
      <c r="AF657" s="37"/>
      <c r="AG657" s="37"/>
      <c r="AH657" s="37"/>
      <c r="AI657" s="37"/>
      <c r="AJ657" s="37"/>
      <c r="AK657" s="37"/>
      <c r="AL657" s="37"/>
      <c r="AM657" s="37"/>
      <c r="AN657" s="37"/>
      <c r="AO657" s="37"/>
      <c r="AP657" s="37"/>
    </row>
    <row r="658" customFormat="false" ht="15.75" hidden="false" customHeight="true" outlineLevel="0" collapsed="false">
      <c r="A658" s="37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  <c r="AA658" s="37"/>
      <c r="AB658" s="37"/>
      <c r="AC658" s="37"/>
      <c r="AD658" s="37"/>
      <c r="AE658" s="37"/>
      <c r="AF658" s="37"/>
      <c r="AG658" s="37"/>
      <c r="AH658" s="37"/>
      <c r="AI658" s="37"/>
      <c r="AJ658" s="37"/>
      <c r="AK658" s="37"/>
      <c r="AL658" s="37"/>
      <c r="AM658" s="37"/>
      <c r="AN658" s="37"/>
      <c r="AO658" s="37"/>
      <c r="AP658" s="37"/>
    </row>
    <row r="659" customFormat="false" ht="15.75" hidden="false" customHeight="true" outlineLevel="0" collapsed="false">
      <c r="A659" s="37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  <c r="AA659" s="37"/>
      <c r="AB659" s="37"/>
      <c r="AC659" s="37"/>
      <c r="AD659" s="37"/>
      <c r="AE659" s="37"/>
      <c r="AF659" s="37"/>
      <c r="AG659" s="37"/>
      <c r="AH659" s="37"/>
      <c r="AI659" s="37"/>
      <c r="AJ659" s="37"/>
      <c r="AK659" s="37"/>
      <c r="AL659" s="37"/>
      <c r="AM659" s="37"/>
      <c r="AN659" s="37"/>
      <c r="AO659" s="37"/>
      <c r="AP659" s="37"/>
    </row>
    <row r="660" customFormat="false" ht="15.75" hidden="false" customHeight="true" outlineLevel="0" collapsed="false">
      <c r="A660" s="37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  <c r="AA660" s="37"/>
      <c r="AB660" s="37"/>
      <c r="AC660" s="37"/>
      <c r="AD660" s="37"/>
      <c r="AE660" s="37"/>
      <c r="AF660" s="37"/>
      <c r="AG660" s="37"/>
      <c r="AH660" s="37"/>
      <c r="AI660" s="37"/>
      <c r="AJ660" s="37"/>
      <c r="AK660" s="37"/>
      <c r="AL660" s="37"/>
      <c r="AM660" s="37"/>
      <c r="AN660" s="37"/>
      <c r="AO660" s="37"/>
      <c r="AP660" s="37"/>
    </row>
    <row r="661" customFormat="false" ht="15.75" hidden="false" customHeight="true" outlineLevel="0" collapsed="false">
      <c r="A661" s="37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  <c r="AA661" s="37"/>
      <c r="AB661" s="37"/>
      <c r="AC661" s="37"/>
      <c r="AD661" s="37"/>
      <c r="AE661" s="37"/>
      <c r="AF661" s="37"/>
      <c r="AG661" s="37"/>
      <c r="AH661" s="37"/>
      <c r="AI661" s="37"/>
      <c r="AJ661" s="37"/>
      <c r="AK661" s="37"/>
      <c r="AL661" s="37"/>
      <c r="AM661" s="37"/>
      <c r="AN661" s="37"/>
      <c r="AO661" s="37"/>
      <c r="AP661" s="37"/>
    </row>
    <row r="662" customFormat="false" ht="15.75" hidden="false" customHeight="true" outlineLevel="0" collapsed="false">
      <c r="A662" s="37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  <c r="AA662" s="37"/>
      <c r="AB662" s="37"/>
      <c r="AC662" s="37"/>
      <c r="AD662" s="37"/>
      <c r="AE662" s="37"/>
      <c r="AF662" s="37"/>
      <c r="AG662" s="37"/>
      <c r="AH662" s="37"/>
      <c r="AI662" s="37"/>
      <c r="AJ662" s="37"/>
      <c r="AK662" s="37"/>
      <c r="AL662" s="37"/>
      <c r="AM662" s="37"/>
      <c r="AN662" s="37"/>
      <c r="AO662" s="37"/>
      <c r="AP662" s="37"/>
    </row>
    <row r="663" customFormat="false" ht="15.75" hidden="false" customHeight="true" outlineLevel="0" collapsed="false">
      <c r="A663" s="37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  <c r="AA663" s="37"/>
      <c r="AB663" s="37"/>
      <c r="AC663" s="37"/>
      <c r="AD663" s="37"/>
      <c r="AE663" s="37"/>
      <c r="AF663" s="37"/>
      <c r="AG663" s="37"/>
      <c r="AH663" s="37"/>
      <c r="AI663" s="37"/>
      <c r="AJ663" s="37"/>
      <c r="AK663" s="37"/>
      <c r="AL663" s="37"/>
      <c r="AM663" s="37"/>
      <c r="AN663" s="37"/>
      <c r="AO663" s="37"/>
      <c r="AP663" s="37"/>
    </row>
    <row r="664" customFormat="false" ht="15.75" hidden="false" customHeight="true" outlineLevel="0" collapsed="false">
      <c r="A664" s="37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  <c r="AA664" s="37"/>
      <c r="AB664" s="37"/>
      <c r="AC664" s="37"/>
      <c r="AD664" s="37"/>
      <c r="AE664" s="37"/>
      <c r="AF664" s="37"/>
      <c r="AG664" s="37"/>
      <c r="AH664" s="37"/>
      <c r="AI664" s="37"/>
      <c r="AJ664" s="37"/>
      <c r="AK664" s="37"/>
      <c r="AL664" s="37"/>
      <c r="AM664" s="37"/>
      <c r="AN664" s="37"/>
      <c r="AO664" s="37"/>
      <c r="AP664" s="37"/>
    </row>
    <row r="665" customFormat="false" ht="15.75" hidden="false" customHeight="true" outlineLevel="0" collapsed="false">
      <c r="A665" s="37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  <c r="AA665" s="37"/>
      <c r="AB665" s="37"/>
      <c r="AC665" s="37"/>
      <c r="AD665" s="37"/>
      <c r="AE665" s="37"/>
      <c r="AF665" s="37"/>
      <c r="AG665" s="37"/>
      <c r="AH665" s="37"/>
      <c r="AI665" s="37"/>
      <c r="AJ665" s="37"/>
      <c r="AK665" s="37"/>
      <c r="AL665" s="37"/>
      <c r="AM665" s="37"/>
      <c r="AN665" s="37"/>
      <c r="AO665" s="37"/>
      <c r="AP665" s="37"/>
    </row>
    <row r="666" customFormat="false" ht="15.75" hidden="false" customHeight="true" outlineLevel="0" collapsed="false">
      <c r="A666" s="37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  <c r="AA666" s="37"/>
      <c r="AB666" s="37"/>
      <c r="AC666" s="37"/>
      <c r="AD666" s="37"/>
      <c r="AE666" s="37"/>
      <c r="AF666" s="37"/>
      <c r="AG666" s="37"/>
      <c r="AH666" s="37"/>
      <c r="AI666" s="37"/>
      <c r="AJ666" s="37"/>
      <c r="AK666" s="37"/>
      <c r="AL666" s="37"/>
      <c r="AM666" s="37"/>
      <c r="AN666" s="37"/>
      <c r="AO666" s="37"/>
      <c r="AP666" s="37"/>
    </row>
    <row r="667" customFormat="false" ht="15.75" hidden="false" customHeight="true" outlineLevel="0" collapsed="false">
      <c r="A667" s="37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  <c r="AA667" s="37"/>
      <c r="AB667" s="37"/>
      <c r="AC667" s="37"/>
      <c r="AD667" s="37"/>
      <c r="AE667" s="37"/>
      <c r="AF667" s="37"/>
      <c r="AG667" s="37"/>
      <c r="AH667" s="37"/>
      <c r="AI667" s="37"/>
      <c r="AJ667" s="37"/>
      <c r="AK667" s="37"/>
      <c r="AL667" s="37"/>
      <c r="AM667" s="37"/>
      <c r="AN667" s="37"/>
      <c r="AO667" s="37"/>
      <c r="AP667" s="37"/>
    </row>
    <row r="668" customFormat="false" ht="15.75" hidden="false" customHeight="true" outlineLevel="0" collapsed="false">
      <c r="A668" s="37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  <c r="AA668" s="37"/>
      <c r="AB668" s="37"/>
      <c r="AC668" s="37"/>
      <c r="AD668" s="37"/>
      <c r="AE668" s="37"/>
      <c r="AF668" s="37"/>
      <c r="AG668" s="37"/>
      <c r="AH668" s="37"/>
      <c r="AI668" s="37"/>
      <c r="AJ668" s="37"/>
      <c r="AK668" s="37"/>
      <c r="AL668" s="37"/>
      <c r="AM668" s="37"/>
      <c r="AN668" s="37"/>
      <c r="AO668" s="37"/>
      <c r="AP668" s="37"/>
    </row>
    <row r="669" customFormat="false" ht="15.75" hidden="false" customHeight="true" outlineLevel="0" collapsed="false">
      <c r="A669" s="37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  <c r="AA669" s="37"/>
      <c r="AB669" s="37"/>
      <c r="AC669" s="37"/>
      <c r="AD669" s="37"/>
      <c r="AE669" s="37"/>
      <c r="AF669" s="37"/>
      <c r="AG669" s="37"/>
      <c r="AH669" s="37"/>
      <c r="AI669" s="37"/>
      <c r="AJ669" s="37"/>
      <c r="AK669" s="37"/>
      <c r="AL669" s="37"/>
      <c r="AM669" s="37"/>
      <c r="AN669" s="37"/>
      <c r="AO669" s="37"/>
      <c r="AP669" s="37"/>
    </row>
    <row r="670" customFormat="false" ht="15.75" hidden="false" customHeight="true" outlineLevel="0" collapsed="false">
      <c r="A670" s="37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  <c r="AA670" s="37"/>
      <c r="AB670" s="37"/>
      <c r="AC670" s="37"/>
      <c r="AD670" s="37"/>
      <c r="AE670" s="37"/>
      <c r="AF670" s="37"/>
      <c r="AG670" s="37"/>
      <c r="AH670" s="37"/>
      <c r="AI670" s="37"/>
      <c r="AJ670" s="37"/>
      <c r="AK670" s="37"/>
      <c r="AL670" s="37"/>
      <c r="AM670" s="37"/>
      <c r="AN670" s="37"/>
      <c r="AO670" s="37"/>
      <c r="AP670" s="37"/>
    </row>
    <row r="671" customFormat="false" ht="15.75" hidden="false" customHeight="true" outlineLevel="0" collapsed="false">
      <c r="A671" s="37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  <c r="AA671" s="37"/>
      <c r="AB671" s="37"/>
      <c r="AC671" s="37"/>
      <c r="AD671" s="37"/>
      <c r="AE671" s="37"/>
      <c r="AF671" s="37"/>
      <c r="AG671" s="37"/>
      <c r="AH671" s="37"/>
      <c r="AI671" s="37"/>
      <c r="AJ671" s="37"/>
      <c r="AK671" s="37"/>
      <c r="AL671" s="37"/>
      <c r="AM671" s="37"/>
      <c r="AN671" s="37"/>
      <c r="AO671" s="37"/>
      <c r="AP671" s="37"/>
    </row>
    <row r="672" customFormat="false" ht="15.75" hidden="false" customHeight="true" outlineLevel="0" collapsed="false">
      <c r="A672" s="37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  <c r="AA672" s="37"/>
      <c r="AB672" s="37"/>
      <c r="AC672" s="37"/>
      <c r="AD672" s="37"/>
      <c r="AE672" s="37"/>
      <c r="AF672" s="37"/>
      <c r="AG672" s="37"/>
      <c r="AH672" s="37"/>
      <c r="AI672" s="37"/>
      <c r="AJ672" s="37"/>
      <c r="AK672" s="37"/>
      <c r="AL672" s="37"/>
      <c r="AM672" s="37"/>
      <c r="AN672" s="37"/>
      <c r="AO672" s="37"/>
      <c r="AP672" s="37"/>
    </row>
    <row r="673" customFormat="false" ht="15.75" hidden="false" customHeight="true" outlineLevel="0" collapsed="false">
      <c r="A673" s="37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  <c r="AA673" s="37"/>
      <c r="AB673" s="37"/>
      <c r="AC673" s="37"/>
      <c r="AD673" s="37"/>
      <c r="AE673" s="37"/>
      <c r="AF673" s="37"/>
      <c r="AG673" s="37"/>
      <c r="AH673" s="37"/>
      <c r="AI673" s="37"/>
      <c r="AJ673" s="37"/>
      <c r="AK673" s="37"/>
      <c r="AL673" s="37"/>
      <c r="AM673" s="37"/>
      <c r="AN673" s="37"/>
      <c r="AO673" s="37"/>
      <c r="AP673" s="37"/>
    </row>
    <row r="674" customFormat="false" ht="15.75" hidden="false" customHeight="true" outlineLevel="0" collapsed="false">
      <c r="A674" s="37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  <c r="AA674" s="37"/>
      <c r="AB674" s="37"/>
      <c r="AC674" s="37"/>
      <c r="AD674" s="37"/>
      <c r="AE674" s="37"/>
      <c r="AF674" s="37"/>
      <c r="AG674" s="37"/>
      <c r="AH674" s="37"/>
      <c r="AI674" s="37"/>
      <c r="AJ674" s="37"/>
      <c r="AK674" s="37"/>
      <c r="AL674" s="37"/>
      <c r="AM674" s="37"/>
      <c r="AN674" s="37"/>
      <c r="AO674" s="37"/>
      <c r="AP674" s="37"/>
    </row>
    <row r="675" customFormat="false" ht="15.75" hidden="false" customHeight="true" outlineLevel="0" collapsed="false">
      <c r="A675" s="37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  <c r="AA675" s="37"/>
      <c r="AB675" s="37"/>
      <c r="AC675" s="37"/>
      <c r="AD675" s="37"/>
      <c r="AE675" s="37"/>
      <c r="AF675" s="37"/>
      <c r="AG675" s="37"/>
      <c r="AH675" s="37"/>
      <c r="AI675" s="37"/>
      <c r="AJ675" s="37"/>
      <c r="AK675" s="37"/>
      <c r="AL675" s="37"/>
      <c r="AM675" s="37"/>
      <c r="AN675" s="37"/>
      <c r="AO675" s="37"/>
      <c r="AP675" s="37"/>
    </row>
    <row r="676" customFormat="false" ht="15.75" hidden="false" customHeight="true" outlineLevel="0" collapsed="false">
      <c r="A676" s="37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  <c r="AA676" s="37"/>
      <c r="AB676" s="37"/>
      <c r="AC676" s="37"/>
      <c r="AD676" s="37"/>
      <c r="AE676" s="37"/>
      <c r="AF676" s="37"/>
      <c r="AG676" s="37"/>
      <c r="AH676" s="37"/>
      <c r="AI676" s="37"/>
      <c r="AJ676" s="37"/>
      <c r="AK676" s="37"/>
      <c r="AL676" s="37"/>
      <c r="AM676" s="37"/>
      <c r="AN676" s="37"/>
      <c r="AO676" s="37"/>
      <c r="AP676" s="37"/>
    </row>
    <row r="677" customFormat="false" ht="15.75" hidden="false" customHeight="true" outlineLevel="0" collapsed="false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  <c r="AA677" s="37"/>
      <c r="AB677" s="37"/>
      <c r="AC677" s="37"/>
      <c r="AD677" s="37"/>
      <c r="AE677" s="37"/>
      <c r="AF677" s="37"/>
      <c r="AG677" s="37"/>
      <c r="AH677" s="37"/>
      <c r="AI677" s="37"/>
      <c r="AJ677" s="37"/>
      <c r="AK677" s="37"/>
      <c r="AL677" s="37"/>
      <c r="AM677" s="37"/>
      <c r="AN677" s="37"/>
      <c r="AO677" s="37"/>
      <c r="AP677" s="37"/>
    </row>
    <row r="678" customFormat="false" ht="15.75" hidden="false" customHeight="true" outlineLevel="0" collapsed="false">
      <c r="A678" s="37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  <c r="AA678" s="37"/>
      <c r="AB678" s="37"/>
      <c r="AC678" s="37"/>
      <c r="AD678" s="37"/>
      <c r="AE678" s="37"/>
      <c r="AF678" s="37"/>
      <c r="AG678" s="37"/>
      <c r="AH678" s="37"/>
      <c r="AI678" s="37"/>
      <c r="AJ678" s="37"/>
      <c r="AK678" s="37"/>
      <c r="AL678" s="37"/>
      <c r="AM678" s="37"/>
      <c r="AN678" s="37"/>
      <c r="AO678" s="37"/>
      <c r="AP678" s="37"/>
    </row>
    <row r="679" customFormat="false" ht="15.75" hidden="false" customHeight="true" outlineLevel="0" collapsed="false">
      <c r="A679" s="37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  <c r="AA679" s="37"/>
      <c r="AB679" s="37"/>
      <c r="AC679" s="37"/>
      <c r="AD679" s="37"/>
      <c r="AE679" s="37"/>
      <c r="AF679" s="37"/>
      <c r="AG679" s="37"/>
      <c r="AH679" s="37"/>
      <c r="AI679" s="37"/>
      <c r="AJ679" s="37"/>
      <c r="AK679" s="37"/>
      <c r="AL679" s="37"/>
      <c r="AM679" s="37"/>
      <c r="AN679" s="37"/>
      <c r="AO679" s="37"/>
      <c r="AP679" s="37"/>
    </row>
    <row r="680" customFormat="false" ht="15.75" hidden="false" customHeight="true" outlineLevel="0" collapsed="false">
      <c r="A680" s="37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  <c r="AA680" s="37"/>
      <c r="AB680" s="37"/>
      <c r="AC680" s="37"/>
      <c r="AD680" s="37"/>
      <c r="AE680" s="37"/>
      <c r="AF680" s="37"/>
      <c r="AG680" s="37"/>
      <c r="AH680" s="37"/>
      <c r="AI680" s="37"/>
      <c r="AJ680" s="37"/>
      <c r="AK680" s="37"/>
      <c r="AL680" s="37"/>
      <c r="AM680" s="37"/>
      <c r="AN680" s="37"/>
      <c r="AO680" s="37"/>
      <c r="AP680" s="37"/>
    </row>
    <row r="681" customFormat="false" ht="15.75" hidden="false" customHeight="true" outlineLevel="0" collapsed="false">
      <c r="A681" s="37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  <c r="AA681" s="37"/>
      <c r="AB681" s="37"/>
      <c r="AC681" s="37"/>
      <c r="AD681" s="37"/>
      <c r="AE681" s="37"/>
      <c r="AF681" s="37"/>
      <c r="AG681" s="37"/>
      <c r="AH681" s="37"/>
      <c r="AI681" s="37"/>
      <c r="AJ681" s="37"/>
      <c r="AK681" s="37"/>
      <c r="AL681" s="37"/>
      <c r="AM681" s="37"/>
      <c r="AN681" s="37"/>
      <c r="AO681" s="37"/>
      <c r="AP681" s="37"/>
    </row>
    <row r="682" customFormat="false" ht="15.75" hidden="false" customHeight="true" outlineLevel="0" collapsed="false">
      <c r="A682" s="37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  <c r="AA682" s="37"/>
      <c r="AB682" s="37"/>
      <c r="AC682" s="37"/>
      <c r="AD682" s="37"/>
      <c r="AE682" s="37"/>
      <c r="AF682" s="37"/>
      <c r="AG682" s="37"/>
      <c r="AH682" s="37"/>
      <c r="AI682" s="37"/>
      <c r="AJ682" s="37"/>
      <c r="AK682" s="37"/>
      <c r="AL682" s="37"/>
      <c r="AM682" s="37"/>
      <c r="AN682" s="37"/>
      <c r="AO682" s="37"/>
      <c r="AP682" s="37"/>
    </row>
    <row r="683" customFormat="false" ht="15.75" hidden="false" customHeight="true" outlineLevel="0" collapsed="false">
      <c r="A683" s="37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  <c r="AA683" s="37"/>
      <c r="AB683" s="37"/>
      <c r="AC683" s="37"/>
      <c r="AD683" s="37"/>
      <c r="AE683" s="37"/>
      <c r="AF683" s="37"/>
      <c r="AG683" s="37"/>
      <c r="AH683" s="37"/>
      <c r="AI683" s="37"/>
      <c r="AJ683" s="37"/>
      <c r="AK683" s="37"/>
      <c r="AL683" s="37"/>
      <c r="AM683" s="37"/>
      <c r="AN683" s="37"/>
      <c r="AO683" s="37"/>
      <c r="AP683" s="37"/>
    </row>
    <row r="684" customFormat="false" ht="15.75" hidden="false" customHeight="true" outlineLevel="0" collapsed="false">
      <c r="A684" s="37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  <c r="AA684" s="37"/>
      <c r="AB684" s="37"/>
      <c r="AC684" s="37"/>
      <c r="AD684" s="37"/>
      <c r="AE684" s="37"/>
      <c r="AF684" s="37"/>
      <c r="AG684" s="37"/>
      <c r="AH684" s="37"/>
      <c r="AI684" s="37"/>
      <c r="AJ684" s="37"/>
      <c r="AK684" s="37"/>
      <c r="AL684" s="37"/>
      <c r="AM684" s="37"/>
      <c r="AN684" s="37"/>
      <c r="AO684" s="37"/>
      <c r="AP684" s="37"/>
    </row>
    <row r="685" customFormat="false" ht="15.75" hidden="false" customHeight="true" outlineLevel="0" collapsed="false">
      <c r="A685" s="37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  <c r="AA685" s="37"/>
      <c r="AB685" s="37"/>
      <c r="AC685" s="37"/>
      <c r="AD685" s="37"/>
      <c r="AE685" s="37"/>
      <c r="AF685" s="37"/>
      <c r="AG685" s="37"/>
      <c r="AH685" s="37"/>
      <c r="AI685" s="37"/>
      <c r="AJ685" s="37"/>
      <c r="AK685" s="37"/>
      <c r="AL685" s="37"/>
      <c r="AM685" s="37"/>
      <c r="AN685" s="37"/>
      <c r="AO685" s="37"/>
      <c r="AP685" s="37"/>
    </row>
    <row r="686" customFormat="false" ht="15.75" hidden="false" customHeight="true" outlineLevel="0" collapsed="false">
      <c r="A686" s="37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  <c r="AA686" s="37"/>
      <c r="AB686" s="37"/>
      <c r="AC686" s="37"/>
      <c r="AD686" s="37"/>
      <c r="AE686" s="37"/>
      <c r="AF686" s="37"/>
      <c r="AG686" s="37"/>
      <c r="AH686" s="37"/>
      <c r="AI686" s="37"/>
      <c r="AJ686" s="37"/>
      <c r="AK686" s="37"/>
      <c r="AL686" s="37"/>
      <c r="AM686" s="37"/>
      <c r="AN686" s="37"/>
      <c r="AO686" s="37"/>
      <c r="AP686" s="37"/>
    </row>
    <row r="687" customFormat="false" ht="15.75" hidden="false" customHeight="true" outlineLevel="0" collapsed="false">
      <c r="A687" s="37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  <c r="AA687" s="37"/>
      <c r="AB687" s="37"/>
      <c r="AC687" s="37"/>
      <c r="AD687" s="37"/>
      <c r="AE687" s="37"/>
      <c r="AF687" s="37"/>
      <c r="AG687" s="37"/>
      <c r="AH687" s="37"/>
      <c r="AI687" s="37"/>
      <c r="AJ687" s="37"/>
      <c r="AK687" s="37"/>
      <c r="AL687" s="37"/>
      <c r="AM687" s="37"/>
      <c r="AN687" s="37"/>
      <c r="AO687" s="37"/>
      <c r="AP687" s="37"/>
    </row>
    <row r="688" customFormat="false" ht="15.75" hidden="false" customHeight="true" outlineLevel="0" collapsed="false">
      <c r="A688" s="37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  <c r="AA688" s="37"/>
      <c r="AB688" s="37"/>
      <c r="AC688" s="37"/>
      <c r="AD688" s="37"/>
      <c r="AE688" s="37"/>
      <c r="AF688" s="37"/>
      <c r="AG688" s="37"/>
      <c r="AH688" s="37"/>
      <c r="AI688" s="37"/>
      <c r="AJ688" s="37"/>
      <c r="AK688" s="37"/>
      <c r="AL688" s="37"/>
      <c r="AM688" s="37"/>
      <c r="AN688" s="37"/>
      <c r="AO688" s="37"/>
      <c r="AP688" s="37"/>
    </row>
    <row r="689" customFormat="false" ht="15.75" hidden="false" customHeight="true" outlineLevel="0" collapsed="false">
      <c r="A689" s="37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  <c r="AA689" s="37"/>
      <c r="AB689" s="37"/>
      <c r="AC689" s="37"/>
      <c r="AD689" s="37"/>
      <c r="AE689" s="37"/>
      <c r="AF689" s="37"/>
      <c r="AG689" s="37"/>
      <c r="AH689" s="37"/>
      <c r="AI689" s="37"/>
      <c r="AJ689" s="37"/>
      <c r="AK689" s="37"/>
      <c r="AL689" s="37"/>
      <c r="AM689" s="37"/>
      <c r="AN689" s="37"/>
      <c r="AO689" s="37"/>
      <c r="AP689" s="37"/>
    </row>
    <row r="690" customFormat="false" ht="15.75" hidden="false" customHeight="true" outlineLevel="0" collapsed="false">
      <c r="A690" s="37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  <c r="AA690" s="37"/>
      <c r="AB690" s="37"/>
      <c r="AC690" s="37"/>
      <c r="AD690" s="37"/>
      <c r="AE690" s="37"/>
      <c r="AF690" s="37"/>
      <c r="AG690" s="37"/>
      <c r="AH690" s="37"/>
      <c r="AI690" s="37"/>
      <c r="AJ690" s="37"/>
      <c r="AK690" s="37"/>
      <c r="AL690" s="37"/>
      <c r="AM690" s="37"/>
      <c r="AN690" s="37"/>
      <c r="AO690" s="37"/>
      <c r="AP690" s="37"/>
    </row>
    <row r="691" customFormat="false" ht="15.75" hidden="false" customHeight="true" outlineLevel="0" collapsed="false">
      <c r="A691" s="37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  <c r="AA691" s="37"/>
      <c r="AB691" s="37"/>
      <c r="AC691" s="37"/>
      <c r="AD691" s="37"/>
      <c r="AE691" s="37"/>
      <c r="AF691" s="37"/>
      <c r="AG691" s="37"/>
      <c r="AH691" s="37"/>
      <c r="AI691" s="37"/>
      <c r="AJ691" s="37"/>
      <c r="AK691" s="37"/>
      <c r="AL691" s="37"/>
      <c r="AM691" s="37"/>
      <c r="AN691" s="37"/>
      <c r="AO691" s="37"/>
      <c r="AP691" s="37"/>
    </row>
    <row r="692" customFormat="false" ht="15.75" hidden="false" customHeight="true" outlineLevel="0" collapsed="false">
      <c r="A692" s="37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  <c r="AA692" s="37"/>
      <c r="AB692" s="37"/>
      <c r="AC692" s="37"/>
      <c r="AD692" s="37"/>
      <c r="AE692" s="37"/>
      <c r="AF692" s="37"/>
      <c r="AG692" s="37"/>
      <c r="AH692" s="37"/>
      <c r="AI692" s="37"/>
      <c r="AJ692" s="37"/>
      <c r="AK692" s="37"/>
      <c r="AL692" s="37"/>
      <c r="AM692" s="37"/>
      <c r="AN692" s="37"/>
      <c r="AO692" s="37"/>
      <c r="AP692" s="37"/>
    </row>
    <row r="693" customFormat="false" ht="15.75" hidden="false" customHeight="true" outlineLevel="0" collapsed="false">
      <c r="A693" s="37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  <c r="AA693" s="37"/>
      <c r="AB693" s="37"/>
      <c r="AC693" s="37"/>
      <c r="AD693" s="37"/>
      <c r="AE693" s="37"/>
      <c r="AF693" s="37"/>
      <c r="AG693" s="37"/>
      <c r="AH693" s="37"/>
      <c r="AI693" s="37"/>
      <c r="AJ693" s="37"/>
      <c r="AK693" s="37"/>
      <c r="AL693" s="37"/>
      <c r="AM693" s="37"/>
      <c r="AN693" s="37"/>
      <c r="AO693" s="37"/>
      <c r="AP693" s="37"/>
    </row>
    <row r="694" customFormat="false" ht="15.75" hidden="false" customHeight="true" outlineLevel="0" collapsed="false">
      <c r="A694" s="37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  <c r="AA694" s="37"/>
      <c r="AB694" s="37"/>
      <c r="AC694" s="37"/>
      <c r="AD694" s="37"/>
      <c r="AE694" s="37"/>
      <c r="AF694" s="37"/>
      <c r="AG694" s="37"/>
      <c r="AH694" s="37"/>
      <c r="AI694" s="37"/>
      <c r="AJ694" s="37"/>
      <c r="AK694" s="37"/>
      <c r="AL694" s="37"/>
      <c r="AM694" s="37"/>
      <c r="AN694" s="37"/>
      <c r="AO694" s="37"/>
      <c r="AP694" s="37"/>
    </row>
    <row r="695" customFormat="false" ht="15.75" hidden="false" customHeight="true" outlineLevel="0" collapsed="false">
      <c r="A695" s="37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  <c r="AA695" s="37"/>
      <c r="AB695" s="37"/>
      <c r="AC695" s="37"/>
      <c r="AD695" s="37"/>
      <c r="AE695" s="37"/>
      <c r="AF695" s="37"/>
      <c r="AG695" s="37"/>
      <c r="AH695" s="37"/>
      <c r="AI695" s="37"/>
      <c r="AJ695" s="37"/>
      <c r="AK695" s="37"/>
      <c r="AL695" s="37"/>
      <c r="AM695" s="37"/>
      <c r="AN695" s="37"/>
      <c r="AO695" s="37"/>
      <c r="AP695" s="37"/>
    </row>
    <row r="696" customFormat="false" ht="15.75" hidden="false" customHeight="true" outlineLevel="0" collapsed="false">
      <c r="A696" s="37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  <c r="AA696" s="37"/>
      <c r="AB696" s="37"/>
      <c r="AC696" s="37"/>
      <c r="AD696" s="37"/>
      <c r="AE696" s="37"/>
      <c r="AF696" s="37"/>
      <c r="AG696" s="37"/>
      <c r="AH696" s="37"/>
      <c r="AI696" s="37"/>
      <c r="AJ696" s="37"/>
      <c r="AK696" s="37"/>
      <c r="AL696" s="37"/>
      <c r="AM696" s="37"/>
      <c r="AN696" s="37"/>
      <c r="AO696" s="37"/>
      <c r="AP696" s="37"/>
    </row>
    <row r="697" customFormat="false" ht="15.75" hidden="false" customHeight="true" outlineLevel="0" collapsed="false">
      <c r="A697" s="37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  <c r="AA697" s="37"/>
      <c r="AB697" s="37"/>
      <c r="AC697" s="37"/>
      <c r="AD697" s="37"/>
      <c r="AE697" s="37"/>
      <c r="AF697" s="37"/>
      <c r="AG697" s="37"/>
      <c r="AH697" s="37"/>
      <c r="AI697" s="37"/>
      <c r="AJ697" s="37"/>
      <c r="AK697" s="37"/>
      <c r="AL697" s="37"/>
      <c r="AM697" s="37"/>
      <c r="AN697" s="37"/>
      <c r="AO697" s="37"/>
      <c r="AP697" s="37"/>
    </row>
    <row r="698" customFormat="false" ht="15.75" hidden="false" customHeight="true" outlineLevel="0" collapsed="false">
      <c r="A698" s="37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  <c r="AA698" s="37"/>
      <c r="AB698" s="37"/>
      <c r="AC698" s="37"/>
      <c r="AD698" s="37"/>
      <c r="AE698" s="37"/>
      <c r="AF698" s="37"/>
      <c r="AG698" s="37"/>
      <c r="AH698" s="37"/>
      <c r="AI698" s="37"/>
      <c r="AJ698" s="37"/>
      <c r="AK698" s="37"/>
      <c r="AL698" s="37"/>
      <c r="AM698" s="37"/>
      <c r="AN698" s="37"/>
      <c r="AO698" s="37"/>
      <c r="AP698" s="37"/>
    </row>
    <row r="699" customFormat="false" ht="15.75" hidden="false" customHeight="true" outlineLevel="0" collapsed="false">
      <c r="A699" s="37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  <c r="AA699" s="37"/>
      <c r="AB699" s="37"/>
      <c r="AC699" s="37"/>
      <c r="AD699" s="37"/>
      <c r="AE699" s="37"/>
      <c r="AF699" s="37"/>
      <c r="AG699" s="37"/>
      <c r="AH699" s="37"/>
      <c r="AI699" s="37"/>
      <c r="AJ699" s="37"/>
      <c r="AK699" s="37"/>
      <c r="AL699" s="37"/>
      <c r="AM699" s="37"/>
      <c r="AN699" s="37"/>
      <c r="AO699" s="37"/>
      <c r="AP699" s="37"/>
    </row>
    <row r="700" customFormat="false" ht="15.75" hidden="false" customHeight="true" outlineLevel="0" collapsed="false">
      <c r="A700" s="37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  <c r="AA700" s="37"/>
      <c r="AB700" s="37"/>
      <c r="AC700" s="37"/>
      <c r="AD700" s="37"/>
      <c r="AE700" s="37"/>
      <c r="AF700" s="37"/>
      <c r="AG700" s="37"/>
      <c r="AH700" s="37"/>
      <c r="AI700" s="37"/>
      <c r="AJ700" s="37"/>
      <c r="AK700" s="37"/>
      <c r="AL700" s="37"/>
      <c r="AM700" s="37"/>
      <c r="AN700" s="37"/>
      <c r="AO700" s="37"/>
      <c r="AP700" s="37"/>
    </row>
    <row r="701" customFormat="false" ht="15.75" hidden="false" customHeight="true" outlineLevel="0" collapsed="false">
      <c r="A701" s="37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  <c r="AA701" s="37"/>
      <c r="AB701" s="37"/>
      <c r="AC701" s="37"/>
      <c r="AD701" s="37"/>
      <c r="AE701" s="37"/>
      <c r="AF701" s="37"/>
      <c r="AG701" s="37"/>
      <c r="AH701" s="37"/>
      <c r="AI701" s="37"/>
      <c r="AJ701" s="37"/>
      <c r="AK701" s="37"/>
      <c r="AL701" s="37"/>
      <c r="AM701" s="37"/>
      <c r="AN701" s="37"/>
      <c r="AO701" s="37"/>
      <c r="AP701" s="37"/>
    </row>
    <row r="702" customFormat="false" ht="15.75" hidden="false" customHeight="true" outlineLevel="0" collapsed="false">
      <c r="A702" s="37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  <c r="AA702" s="37"/>
      <c r="AB702" s="37"/>
      <c r="AC702" s="37"/>
      <c r="AD702" s="37"/>
      <c r="AE702" s="37"/>
      <c r="AF702" s="37"/>
      <c r="AG702" s="37"/>
      <c r="AH702" s="37"/>
      <c r="AI702" s="37"/>
      <c r="AJ702" s="37"/>
      <c r="AK702" s="37"/>
      <c r="AL702" s="37"/>
      <c r="AM702" s="37"/>
      <c r="AN702" s="37"/>
      <c r="AO702" s="37"/>
      <c r="AP702" s="37"/>
    </row>
    <row r="703" customFormat="false" ht="15.75" hidden="false" customHeight="true" outlineLevel="0" collapsed="false">
      <c r="A703" s="37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  <c r="AA703" s="37"/>
      <c r="AB703" s="37"/>
      <c r="AC703" s="37"/>
      <c r="AD703" s="37"/>
      <c r="AE703" s="37"/>
      <c r="AF703" s="37"/>
      <c r="AG703" s="37"/>
      <c r="AH703" s="37"/>
      <c r="AI703" s="37"/>
      <c r="AJ703" s="37"/>
      <c r="AK703" s="37"/>
      <c r="AL703" s="37"/>
      <c r="AM703" s="37"/>
      <c r="AN703" s="37"/>
      <c r="AO703" s="37"/>
      <c r="AP703" s="37"/>
    </row>
    <row r="704" customFormat="false" ht="15.75" hidden="false" customHeight="true" outlineLevel="0" collapsed="false">
      <c r="A704" s="37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  <c r="AA704" s="37"/>
      <c r="AB704" s="37"/>
      <c r="AC704" s="37"/>
      <c r="AD704" s="37"/>
      <c r="AE704" s="37"/>
      <c r="AF704" s="37"/>
      <c r="AG704" s="37"/>
      <c r="AH704" s="37"/>
      <c r="AI704" s="37"/>
      <c r="AJ704" s="37"/>
      <c r="AK704" s="37"/>
      <c r="AL704" s="37"/>
      <c r="AM704" s="37"/>
      <c r="AN704" s="37"/>
      <c r="AO704" s="37"/>
      <c r="AP704" s="37"/>
    </row>
    <row r="705" customFormat="false" ht="15.75" hidden="false" customHeight="true" outlineLevel="0" collapsed="false">
      <c r="A705" s="37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  <c r="AA705" s="37"/>
      <c r="AB705" s="37"/>
      <c r="AC705" s="37"/>
      <c r="AD705" s="37"/>
      <c r="AE705" s="37"/>
      <c r="AF705" s="37"/>
      <c r="AG705" s="37"/>
      <c r="AH705" s="37"/>
      <c r="AI705" s="37"/>
      <c r="AJ705" s="37"/>
      <c r="AK705" s="37"/>
      <c r="AL705" s="37"/>
      <c r="AM705" s="37"/>
      <c r="AN705" s="37"/>
      <c r="AO705" s="37"/>
      <c r="AP705" s="37"/>
    </row>
    <row r="706" customFormat="false" ht="15.75" hidden="false" customHeight="true" outlineLevel="0" collapsed="false">
      <c r="A706" s="37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  <c r="AA706" s="37"/>
      <c r="AB706" s="37"/>
      <c r="AC706" s="37"/>
      <c r="AD706" s="37"/>
      <c r="AE706" s="37"/>
      <c r="AF706" s="37"/>
      <c r="AG706" s="37"/>
      <c r="AH706" s="37"/>
      <c r="AI706" s="37"/>
      <c r="AJ706" s="37"/>
      <c r="AK706" s="37"/>
      <c r="AL706" s="37"/>
      <c r="AM706" s="37"/>
      <c r="AN706" s="37"/>
      <c r="AO706" s="37"/>
      <c r="AP706" s="37"/>
    </row>
    <row r="707" customFormat="false" ht="15.75" hidden="false" customHeight="true" outlineLevel="0" collapsed="false">
      <c r="A707" s="37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  <c r="AA707" s="37"/>
      <c r="AB707" s="37"/>
      <c r="AC707" s="37"/>
      <c r="AD707" s="37"/>
      <c r="AE707" s="37"/>
      <c r="AF707" s="37"/>
      <c r="AG707" s="37"/>
      <c r="AH707" s="37"/>
      <c r="AI707" s="37"/>
      <c r="AJ707" s="37"/>
      <c r="AK707" s="37"/>
      <c r="AL707" s="37"/>
      <c r="AM707" s="37"/>
      <c r="AN707" s="37"/>
      <c r="AO707" s="37"/>
      <c r="AP707" s="37"/>
    </row>
    <row r="708" customFormat="false" ht="15.75" hidden="false" customHeight="true" outlineLevel="0" collapsed="false">
      <c r="A708" s="37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  <c r="AA708" s="37"/>
      <c r="AB708" s="37"/>
      <c r="AC708" s="37"/>
      <c r="AD708" s="37"/>
      <c r="AE708" s="37"/>
      <c r="AF708" s="37"/>
      <c r="AG708" s="37"/>
      <c r="AH708" s="37"/>
      <c r="AI708" s="37"/>
      <c r="AJ708" s="37"/>
      <c r="AK708" s="37"/>
      <c r="AL708" s="37"/>
      <c r="AM708" s="37"/>
      <c r="AN708" s="37"/>
      <c r="AO708" s="37"/>
      <c r="AP708" s="37"/>
    </row>
    <row r="709" customFormat="false" ht="15.75" hidden="false" customHeight="true" outlineLevel="0" collapsed="false">
      <c r="A709" s="37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  <c r="AA709" s="37"/>
      <c r="AB709" s="37"/>
      <c r="AC709" s="37"/>
      <c r="AD709" s="37"/>
      <c r="AE709" s="37"/>
      <c r="AF709" s="37"/>
      <c r="AG709" s="37"/>
      <c r="AH709" s="37"/>
      <c r="AI709" s="37"/>
      <c r="AJ709" s="37"/>
      <c r="AK709" s="37"/>
      <c r="AL709" s="37"/>
      <c r="AM709" s="37"/>
      <c r="AN709" s="37"/>
      <c r="AO709" s="37"/>
      <c r="AP709" s="37"/>
    </row>
    <row r="710" customFormat="false" ht="15.75" hidden="false" customHeight="true" outlineLevel="0" collapsed="false">
      <c r="A710" s="37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  <c r="AA710" s="37"/>
      <c r="AB710" s="37"/>
      <c r="AC710" s="37"/>
      <c r="AD710" s="37"/>
      <c r="AE710" s="37"/>
      <c r="AF710" s="37"/>
      <c r="AG710" s="37"/>
      <c r="AH710" s="37"/>
      <c r="AI710" s="37"/>
      <c r="AJ710" s="37"/>
      <c r="AK710" s="37"/>
      <c r="AL710" s="37"/>
      <c r="AM710" s="37"/>
      <c r="AN710" s="37"/>
      <c r="AO710" s="37"/>
      <c r="AP710" s="37"/>
    </row>
    <row r="711" customFormat="false" ht="15.75" hidden="false" customHeight="true" outlineLevel="0" collapsed="false">
      <c r="A711" s="37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  <c r="AA711" s="37"/>
      <c r="AB711" s="37"/>
      <c r="AC711" s="37"/>
      <c r="AD711" s="37"/>
      <c r="AE711" s="37"/>
      <c r="AF711" s="37"/>
      <c r="AG711" s="37"/>
      <c r="AH711" s="37"/>
      <c r="AI711" s="37"/>
      <c r="AJ711" s="37"/>
      <c r="AK711" s="37"/>
      <c r="AL711" s="37"/>
      <c r="AM711" s="37"/>
      <c r="AN711" s="37"/>
      <c r="AO711" s="37"/>
      <c r="AP711" s="37"/>
    </row>
    <row r="712" customFormat="false" ht="15.75" hidden="false" customHeight="true" outlineLevel="0" collapsed="false">
      <c r="A712" s="37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  <c r="AA712" s="37"/>
      <c r="AB712" s="37"/>
      <c r="AC712" s="37"/>
      <c r="AD712" s="37"/>
      <c r="AE712" s="37"/>
      <c r="AF712" s="37"/>
      <c r="AG712" s="37"/>
      <c r="AH712" s="37"/>
      <c r="AI712" s="37"/>
      <c r="AJ712" s="37"/>
      <c r="AK712" s="37"/>
      <c r="AL712" s="37"/>
      <c r="AM712" s="37"/>
      <c r="AN712" s="37"/>
      <c r="AO712" s="37"/>
      <c r="AP712" s="37"/>
    </row>
    <row r="713" customFormat="false" ht="15.75" hidden="false" customHeight="true" outlineLevel="0" collapsed="false">
      <c r="A713" s="37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  <c r="AA713" s="37"/>
      <c r="AB713" s="37"/>
      <c r="AC713" s="37"/>
      <c r="AD713" s="37"/>
      <c r="AE713" s="37"/>
      <c r="AF713" s="37"/>
      <c r="AG713" s="37"/>
      <c r="AH713" s="37"/>
      <c r="AI713" s="37"/>
      <c r="AJ713" s="37"/>
      <c r="AK713" s="37"/>
      <c r="AL713" s="37"/>
      <c r="AM713" s="37"/>
      <c r="AN713" s="37"/>
      <c r="AO713" s="37"/>
      <c r="AP713" s="37"/>
    </row>
    <row r="714" customFormat="false" ht="15.75" hidden="false" customHeight="true" outlineLevel="0" collapsed="false">
      <c r="A714" s="37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  <c r="AA714" s="37"/>
      <c r="AB714" s="37"/>
      <c r="AC714" s="37"/>
      <c r="AD714" s="37"/>
      <c r="AE714" s="37"/>
      <c r="AF714" s="37"/>
      <c r="AG714" s="37"/>
      <c r="AH714" s="37"/>
      <c r="AI714" s="37"/>
      <c r="AJ714" s="37"/>
      <c r="AK714" s="37"/>
      <c r="AL714" s="37"/>
      <c r="AM714" s="37"/>
      <c r="AN714" s="37"/>
      <c r="AO714" s="37"/>
      <c r="AP714" s="37"/>
    </row>
    <row r="715" customFormat="false" ht="15.75" hidden="false" customHeight="true" outlineLevel="0" collapsed="false">
      <c r="A715" s="37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  <c r="AA715" s="37"/>
      <c r="AB715" s="37"/>
      <c r="AC715" s="37"/>
      <c r="AD715" s="37"/>
      <c r="AE715" s="37"/>
      <c r="AF715" s="37"/>
      <c r="AG715" s="37"/>
      <c r="AH715" s="37"/>
      <c r="AI715" s="37"/>
      <c r="AJ715" s="37"/>
      <c r="AK715" s="37"/>
      <c r="AL715" s="37"/>
      <c r="AM715" s="37"/>
      <c r="AN715" s="37"/>
      <c r="AO715" s="37"/>
      <c r="AP715" s="37"/>
    </row>
    <row r="716" customFormat="false" ht="15.75" hidden="false" customHeight="true" outlineLevel="0" collapsed="false">
      <c r="A716" s="37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  <c r="AA716" s="37"/>
      <c r="AB716" s="37"/>
      <c r="AC716" s="37"/>
      <c r="AD716" s="37"/>
      <c r="AE716" s="37"/>
      <c r="AF716" s="37"/>
      <c r="AG716" s="37"/>
      <c r="AH716" s="37"/>
      <c r="AI716" s="37"/>
      <c r="AJ716" s="37"/>
      <c r="AK716" s="37"/>
      <c r="AL716" s="37"/>
      <c r="AM716" s="37"/>
      <c r="AN716" s="37"/>
      <c r="AO716" s="37"/>
      <c r="AP716" s="37"/>
    </row>
    <row r="717" customFormat="false" ht="15.75" hidden="false" customHeight="true" outlineLevel="0" collapsed="false">
      <c r="A717" s="37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  <c r="AA717" s="37"/>
      <c r="AB717" s="37"/>
      <c r="AC717" s="37"/>
      <c r="AD717" s="37"/>
      <c r="AE717" s="37"/>
      <c r="AF717" s="37"/>
      <c r="AG717" s="37"/>
      <c r="AH717" s="37"/>
      <c r="AI717" s="37"/>
      <c r="AJ717" s="37"/>
      <c r="AK717" s="37"/>
      <c r="AL717" s="37"/>
      <c r="AM717" s="37"/>
      <c r="AN717" s="37"/>
      <c r="AO717" s="37"/>
      <c r="AP717" s="37"/>
    </row>
    <row r="718" customFormat="false" ht="15.75" hidden="false" customHeight="true" outlineLevel="0" collapsed="false">
      <c r="A718" s="37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  <c r="AA718" s="37"/>
      <c r="AB718" s="37"/>
      <c r="AC718" s="37"/>
      <c r="AD718" s="37"/>
      <c r="AE718" s="37"/>
      <c r="AF718" s="37"/>
      <c r="AG718" s="37"/>
      <c r="AH718" s="37"/>
      <c r="AI718" s="37"/>
      <c r="AJ718" s="37"/>
      <c r="AK718" s="37"/>
      <c r="AL718" s="37"/>
      <c r="AM718" s="37"/>
      <c r="AN718" s="37"/>
      <c r="AO718" s="37"/>
      <c r="AP718" s="37"/>
    </row>
    <row r="719" customFormat="false" ht="15.75" hidden="false" customHeight="true" outlineLevel="0" collapsed="false">
      <c r="A719" s="37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  <c r="AA719" s="37"/>
      <c r="AB719" s="37"/>
      <c r="AC719" s="37"/>
      <c r="AD719" s="37"/>
      <c r="AE719" s="37"/>
      <c r="AF719" s="37"/>
      <c r="AG719" s="37"/>
      <c r="AH719" s="37"/>
      <c r="AI719" s="37"/>
      <c r="AJ719" s="37"/>
      <c r="AK719" s="37"/>
      <c r="AL719" s="37"/>
      <c r="AM719" s="37"/>
      <c r="AN719" s="37"/>
      <c r="AO719" s="37"/>
      <c r="AP719" s="37"/>
    </row>
    <row r="720" customFormat="false" ht="15.75" hidden="false" customHeight="true" outlineLevel="0" collapsed="false">
      <c r="A720" s="37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  <c r="AA720" s="37"/>
      <c r="AB720" s="37"/>
      <c r="AC720" s="37"/>
      <c r="AD720" s="37"/>
      <c r="AE720" s="37"/>
      <c r="AF720" s="37"/>
      <c r="AG720" s="37"/>
      <c r="AH720" s="37"/>
      <c r="AI720" s="37"/>
      <c r="AJ720" s="37"/>
      <c r="AK720" s="37"/>
      <c r="AL720" s="37"/>
      <c r="AM720" s="37"/>
      <c r="AN720" s="37"/>
      <c r="AO720" s="37"/>
      <c r="AP720" s="37"/>
    </row>
    <row r="721" customFormat="false" ht="15.75" hidden="false" customHeight="true" outlineLevel="0" collapsed="false">
      <c r="A721" s="37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  <c r="AA721" s="37"/>
      <c r="AB721" s="37"/>
      <c r="AC721" s="37"/>
      <c r="AD721" s="37"/>
      <c r="AE721" s="37"/>
      <c r="AF721" s="37"/>
      <c r="AG721" s="37"/>
      <c r="AH721" s="37"/>
      <c r="AI721" s="37"/>
      <c r="AJ721" s="37"/>
      <c r="AK721" s="37"/>
      <c r="AL721" s="37"/>
      <c r="AM721" s="37"/>
      <c r="AN721" s="37"/>
      <c r="AO721" s="37"/>
      <c r="AP721" s="37"/>
    </row>
    <row r="722" customFormat="false" ht="15.75" hidden="false" customHeight="true" outlineLevel="0" collapsed="false">
      <c r="A722" s="37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  <c r="AA722" s="37"/>
      <c r="AB722" s="37"/>
      <c r="AC722" s="37"/>
      <c r="AD722" s="37"/>
      <c r="AE722" s="37"/>
      <c r="AF722" s="37"/>
      <c r="AG722" s="37"/>
      <c r="AH722" s="37"/>
      <c r="AI722" s="37"/>
      <c r="AJ722" s="37"/>
      <c r="AK722" s="37"/>
      <c r="AL722" s="37"/>
      <c r="AM722" s="37"/>
      <c r="AN722" s="37"/>
      <c r="AO722" s="37"/>
      <c r="AP722" s="37"/>
    </row>
    <row r="723" customFormat="false" ht="15.75" hidden="false" customHeight="true" outlineLevel="0" collapsed="false">
      <c r="A723" s="37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  <c r="AA723" s="37"/>
      <c r="AB723" s="37"/>
      <c r="AC723" s="37"/>
      <c r="AD723" s="37"/>
      <c r="AE723" s="37"/>
      <c r="AF723" s="37"/>
      <c r="AG723" s="37"/>
      <c r="AH723" s="37"/>
      <c r="AI723" s="37"/>
      <c r="AJ723" s="37"/>
      <c r="AK723" s="37"/>
      <c r="AL723" s="37"/>
      <c r="AM723" s="37"/>
      <c r="AN723" s="37"/>
      <c r="AO723" s="37"/>
      <c r="AP723" s="37"/>
    </row>
    <row r="724" customFormat="false" ht="15.75" hidden="false" customHeight="true" outlineLevel="0" collapsed="false">
      <c r="A724" s="37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  <c r="AA724" s="37"/>
      <c r="AB724" s="37"/>
      <c r="AC724" s="37"/>
      <c r="AD724" s="37"/>
      <c r="AE724" s="37"/>
      <c r="AF724" s="37"/>
      <c r="AG724" s="37"/>
      <c r="AH724" s="37"/>
      <c r="AI724" s="37"/>
      <c r="AJ724" s="37"/>
      <c r="AK724" s="37"/>
      <c r="AL724" s="37"/>
      <c r="AM724" s="37"/>
      <c r="AN724" s="37"/>
      <c r="AO724" s="37"/>
      <c r="AP724" s="37"/>
    </row>
    <row r="725" customFormat="false" ht="15.75" hidden="false" customHeight="true" outlineLevel="0" collapsed="false">
      <c r="A725" s="37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  <c r="AA725" s="37"/>
      <c r="AB725" s="37"/>
      <c r="AC725" s="37"/>
      <c r="AD725" s="37"/>
      <c r="AE725" s="37"/>
      <c r="AF725" s="37"/>
      <c r="AG725" s="37"/>
      <c r="AH725" s="37"/>
      <c r="AI725" s="37"/>
      <c r="AJ725" s="37"/>
      <c r="AK725" s="37"/>
      <c r="AL725" s="37"/>
      <c r="AM725" s="37"/>
      <c r="AN725" s="37"/>
      <c r="AO725" s="37"/>
      <c r="AP725" s="37"/>
    </row>
    <row r="726" customFormat="false" ht="15.75" hidden="false" customHeight="true" outlineLevel="0" collapsed="false">
      <c r="A726" s="37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  <c r="AA726" s="37"/>
      <c r="AB726" s="37"/>
      <c r="AC726" s="37"/>
      <c r="AD726" s="37"/>
      <c r="AE726" s="37"/>
      <c r="AF726" s="37"/>
      <c r="AG726" s="37"/>
      <c r="AH726" s="37"/>
      <c r="AI726" s="37"/>
      <c r="AJ726" s="37"/>
      <c r="AK726" s="37"/>
      <c r="AL726" s="37"/>
      <c r="AM726" s="37"/>
      <c r="AN726" s="37"/>
      <c r="AO726" s="37"/>
      <c r="AP726" s="37"/>
    </row>
    <row r="727" customFormat="false" ht="15.75" hidden="false" customHeight="true" outlineLevel="0" collapsed="false">
      <c r="A727" s="37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  <c r="AA727" s="37"/>
      <c r="AB727" s="37"/>
      <c r="AC727" s="37"/>
      <c r="AD727" s="37"/>
      <c r="AE727" s="37"/>
      <c r="AF727" s="37"/>
      <c r="AG727" s="37"/>
      <c r="AH727" s="37"/>
      <c r="AI727" s="37"/>
      <c r="AJ727" s="37"/>
      <c r="AK727" s="37"/>
      <c r="AL727" s="37"/>
      <c r="AM727" s="37"/>
      <c r="AN727" s="37"/>
      <c r="AO727" s="37"/>
      <c r="AP727" s="37"/>
    </row>
    <row r="728" customFormat="false" ht="15.75" hidden="false" customHeight="true" outlineLevel="0" collapsed="false">
      <c r="A728" s="37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  <c r="AA728" s="37"/>
      <c r="AB728" s="37"/>
      <c r="AC728" s="37"/>
      <c r="AD728" s="37"/>
      <c r="AE728" s="37"/>
      <c r="AF728" s="37"/>
      <c r="AG728" s="37"/>
      <c r="AH728" s="37"/>
      <c r="AI728" s="37"/>
      <c r="AJ728" s="37"/>
      <c r="AK728" s="37"/>
      <c r="AL728" s="37"/>
      <c r="AM728" s="37"/>
      <c r="AN728" s="37"/>
      <c r="AO728" s="37"/>
      <c r="AP728" s="37"/>
    </row>
    <row r="729" customFormat="false" ht="15.75" hidden="false" customHeight="true" outlineLevel="0" collapsed="false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  <c r="AA729" s="37"/>
      <c r="AB729" s="37"/>
      <c r="AC729" s="37"/>
      <c r="AD729" s="37"/>
      <c r="AE729" s="37"/>
      <c r="AF729" s="37"/>
      <c r="AG729" s="37"/>
      <c r="AH729" s="37"/>
      <c r="AI729" s="37"/>
      <c r="AJ729" s="37"/>
      <c r="AK729" s="37"/>
      <c r="AL729" s="37"/>
      <c r="AM729" s="37"/>
      <c r="AN729" s="37"/>
      <c r="AO729" s="37"/>
      <c r="AP729" s="37"/>
    </row>
    <row r="730" customFormat="false" ht="15.75" hidden="false" customHeight="true" outlineLevel="0" collapsed="false">
      <c r="A730" s="37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  <c r="AA730" s="37"/>
      <c r="AB730" s="37"/>
      <c r="AC730" s="37"/>
      <c r="AD730" s="37"/>
      <c r="AE730" s="37"/>
      <c r="AF730" s="37"/>
      <c r="AG730" s="37"/>
      <c r="AH730" s="37"/>
      <c r="AI730" s="37"/>
      <c r="AJ730" s="37"/>
      <c r="AK730" s="37"/>
      <c r="AL730" s="37"/>
      <c r="AM730" s="37"/>
      <c r="AN730" s="37"/>
      <c r="AO730" s="37"/>
      <c r="AP730" s="37"/>
    </row>
    <row r="731" customFormat="false" ht="15.75" hidden="false" customHeight="true" outlineLevel="0" collapsed="false">
      <c r="A731" s="37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  <c r="AA731" s="37"/>
      <c r="AB731" s="37"/>
      <c r="AC731" s="37"/>
      <c r="AD731" s="37"/>
      <c r="AE731" s="37"/>
      <c r="AF731" s="37"/>
      <c r="AG731" s="37"/>
      <c r="AH731" s="37"/>
      <c r="AI731" s="37"/>
      <c r="AJ731" s="37"/>
      <c r="AK731" s="37"/>
      <c r="AL731" s="37"/>
      <c r="AM731" s="37"/>
      <c r="AN731" s="37"/>
      <c r="AO731" s="37"/>
      <c r="AP731" s="37"/>
    </row>
    <row r="732" customFormat="false" ht="15.75" hidden="false" customHeight="true" outlineLevel="0" collapsed="false">
      <c r="A732" s="37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  <c r="AA732" s="37"/>
      <c r="AB732" s="37"/>
      <c r="AC732" s="37"/>
      <c r="AD732" s="37"/>
      <c r="AE732" s="37"/>
      <c r="AF732" s="37"/>
      <c r="AG732" s="37"/>
      <c r="AH732" s="37"/>
      <c r="AI732" s="37"/>
      <c r="AJ732" s="37"/>
      <c r="AK732" s="37"/>
      <c r="AL732" s="37"/>
      <c r="AM732" s="37"/>
      <c r="AN732" s="37"/>
      <c r="AO732" s="37"/>
      <c r="AP732" s="37"/>
    </row>
    <row r="733" customFormat="false" ht="15.75" hidden="false" customHeight="true" outlineLevel="0" collapsed="false">
      <c r="A733" s="37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  <c r="AA733" s="37"/>
      <c r="AB733" s="37"/>
      <c r="AC733" s="37"/>
      <c r="AD733" s="37"/>
      <c r="AE733" s="37"/>
      <c r="AF733" s="37"/>
      <c r="AG733" s="37"/>
      <c r="AH733" s="37"/>
      <c r="AI733" s="37"/>
      <c r="AJ733" s="37"/>
      <c r="AK733" s="37"/>
      <c r="AL733" s="37"/>
      <c r="AM733" s="37"/>
      <c r="AN733" s="37"/>
      <c r="AO733" s="37"/>
      <c r="AP733" s="37"/>
    </row>
    <row r="734" customFormat="false" ht="15.75" hidden="false" customHeight="true" outlineLevel="0" collapsed="false">
      <c r="A734" s="37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  <c r="AA734" s="37"/>
      <c r="AB734" s="37"/>
      <c r="AC734" s="37"/>
      <c r="AD734" s="37"/>
      <c r="AE734" s="37"/>
      <c r="AF734" s="37"/>
      <c r="AG734" s="37"/>
      <c r="AH734" s="37"/>
      <c r="AI734" s="37"/>
      <c r="AJ734" s="37"/>
      <c r="AK734" s="37"/>
      <c r="AL734" s="37"/>
      <c r="AM734" s="37"/>
      <c r="AN734" s="37"/>
      <c r="AO734" s="37"/>
      <c r="AP734" s="37"/>
    </row>
    <row r="735" customFormat="false" ht="15.75" hidden="false" customHeight="true" outlineLevel="0" collapsed="false">
      <c r="A735" s="37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  <c r="AA735" s="37"/>
      <c r="AB735" s="37"/>
      <c r="AC735" s="37"/>
      <c r="AD735" s="37"/>
      <c r="AE735" s="37"/>
      <c r="AF735" s="37"/>
      <c r="AG735" s="37"/>
      <c r="AH735" s="37"/>
      <c r="AI735" s="37"/>
      <c r="AJ735" s="37"/>
      <c r="AK735" s="37"/>
      <c r="AL735" s="37"/>
      <c r="AM735" s="37"/>
      <c r="AN735" s="37"/>
      <c r="AO735" s="37"/>
      <c r="AP735" s="37"/>
    </row>
    <row r="736" customFormat="false" ht="15.75" hidden="false" customHeight="true" outlineLevel="0" collapsed="false">
      <c r="A736" s="37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  <c r="AA736" s="37"/>
      <c r="AB736" s="37"/>
      <c r="AC736" s="37"/>
      <c r="AD736" s="37"/>
      <c r="AE736" s="37"/>
      <c r="AF736" s="37"/>
      <c r="AG736" s="37"/>
      <c r="AH736" s="37"/>
      <c r="AI736" s="37"/>
      <c r="AJ736" s="37"/>
      <c r="AK736" s="37"/>
      <c r="AL736" s="37"/>
      <c r="AM736" s="37"/>
      <c r="AN736" s="37"/>
      <c r="AO736" s="37"/>
      <c r="AP736" s="37"/>
    </row>
    <row r="737" customFormat="false" ht="15.75" hidden="false" customHeight="true" outlineLevel="0" collapsed="false">
      <c r="A737" s="37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  <c r="AA737" s="37"/>
      <c r="AB737" s="37"/>
      <c r="AC737" s="37"/>
      <c r="AD737" s="37"/>
      <c r="AE737" s="37"/>
      <c r="AF737" s="37"/>
      <c r="AG737" s="37"/>
      <c r="AH737" s="37"/>
      <c r="AI737" s="37"/>
      <c r="AJ737" s="37"/>
      <c r="AK737" s="37"/>
      <c r="AL737" s="37"/>
      <c r="AM737" s="37"/>
      <c r="AN737" s="37"/>
      <c r="AO737" s="37"/>
      <c r="AP737" s="37"/>
    </row>
    <row r="738" customFormat="false" ht="15.75" hidden="false" customHeight="true" outlineLevel="0" collapsed="false">
      <c r="A738" s="37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  <c r="AA738" s="37"/>
      <c r="AB738" s="37"/>
      <c r="AC738" s="37"/>
      <c r="AD738" s="37"/>
      <c r="AE738" s="37"/>
      <c r="AF738" s="37"/>
      <c r="AG738" s="37"/>
      <c r="AH738" s="37"/>
      <c r="AI738" s="37"/>
      <c r="AJ738" s="37"/>
      <c r="AK738" s="37"/>
      <c r="AL738" s="37"/>
      <c r="AM738" s="37"/>
      <c r="AN738" s="37"/>
      <c r="AO738" s="37"/>
      <c r="AP738" s="37"/>
    </row>
    <row r="739" customFormat="false" ht="15.75" hidden="false" customHeight="true" outlineLevel="0" collapsed="false">
      <c r="A739" s="37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  <c r="AA739" s="37"/>
      <c r="AB739" s="37"/>
      <c r="AC739" s="37"/>
      <c r="AD739" s="37"/>
      <c r="AE739" s="37"/>
      <c r="AF739" s="37"/>
      <c r="AG739" s="37"/>
      <c r="AH739" s="37"/>
      <c r="AI739" s="37"/>
      <c r="AJ739" s="37"/>
      <c r="AK739" s="37"/>
      <c r="AL739" s="37"/>
      <c r="AM739" s="37"/>
      <c r="AN739" s="37"/>
      <c r="AO739" s="37"/>
      <c r="AP739" s="37"/>
    </row>
    <row r="740" customFormat="false" ht="15.75" hidden="false" customHeight="true" outlineLevel="0" collapsed="false">
      <c r="A740" s="37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  <c r="AA740" s="37"/>
      <c r="AB740" s="37"/>
      <c r="AC740" s="37"/>
      <c r="AD740" s="37"/>
      <c r="AE740" s="37"/>
      <c r="AF740" s="37"/>
      <c r="AG740" s="37"/>
      <c r="AH740" s="37"/>
      <c r="AI740" s="37"/>
      <c r="AJ740" s="37"/>
      <c r="AK740" s="37"/>
      <c r="AL740" s="37"/>
      <c r="AM740" s="37"/>
      <c r="AN740" s="37"/>
      <c r="AO740" s="37"/>
      <c r="AP740" s="37"/>
    </row>
    <row r="741" customFormat="false" ht="15.75" hidden="false" customHeight="true" outlineLevel="0" collapsed="false">
      <c r="A741" s="37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  <c r="AA741" s="37"/>
      <c r="AB741" s="37"/>
      <c r="AC741" s="37"/>
      <c r="AD741" s="37"/>
      <c r="AE741" s="37"/>
      <c r="AF741" s="37"/>
      <c r="AG741" s="37"/>
      <c r="AH741" s="37"/>
      <c r="AI741" s="37"/>
      <c r="AJ741" s="37"/>
      <c r="AK741" s="37"/>
      <c r="AL741" s="37"/>
      <c r="AM741" s="37"/>
      <c r="AN741" s="37"/>
      <c r="AO741" s="37"/>
      <c r="AP741" s="37"/>
    </row>
    <row r="742" customFormat="false" ht="15.75" hidden="false" customHeight="true" outlineLevel="0" collapsed="false">
      <c r="A742" s="37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  <c r="AA742" s="37"/>
      <c r="AB742" s="37"/>
      <c r="AC742" s="37"/>
      <c r="AD742" s="37"/>
      <c r="AE742" s="37"/>
      <c r="AF742" s="37"/>
      <c r="AG742" s="37"/>
      <c r="AH742" s="37"/>
      <c r="AI742" s="37"/>
      <c r="AJ742" s="37"/>
      <c r="AK742" s="37"/>
      <c r="AL742" s="37"/>
      <c r="AM742" s="37"/>
      <c r="AN742" s="37"/>
      <c r="AO742" s="37"/>
      <c r="AP742" s="37"/>
    </row>
    <row r="743" customFormat="false" ht="15.75" hidden="false" customHeight="true" outlineLevel="0" collapsed="false">
      <c r="A743" s="37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  <c r="AA743" s="37"/>
      <c r="AB743" s="37"/>
      <c r="AC743" s="37"/>
      <c r="AD743" s="37"/>
      <c r="AE743" s="37"/>
      <c r="AF743" s="37"/>
      <c r="AG743" s="37"/>
      <c r="AH743" s="37"/>
      <c r="AI743" s="37"/>
      <c r="AJ743" s="37"/>
      <c r="AK743" s="37"/>
      <c r="AL743" s="37"/>
      <c r="AM743" s="37"/>
      <c r="AN743" s="37"/>
      <c r="AO743" s="37"/>
      <c r="AP743" s="37"/>
    </row>
    <row r="744" customFormat="false" ht="15.75" hidden="false" customHeight="true" outlineLevel="0" collapsed="false">
      <c r="A744" s="37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  <c r="AA744" s="37"/>
      <c r="AB744" s="37"/>
      <c r="AC744" s="37"/>
      <c r="AD744" s="37"/>
      <c r="AE744" s="37"/>
      <c r="AF744" s="37"/>
      <c r="AG744" s="37"/>
      <c r="AH744" s="37"/>
      <c r="AI744" s="37"/>
      <c r="AJ744" s="37"/>
      <c r="AK744" s="37"/>
      <c r="AL744" s="37"/>
      <c r="AM744" s="37"/>
      <c r="AN744" s="37"/>
      <c r="AO744" s="37"/>
      <c r="AP744" s="37"/>
    </row>
    <row r="745" customFormat="false" ht="15.75" hidden="false" customHeight="true" outlineLevel="0" collapsed="false">
      <c r="A745" s="37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  <c r="AA745" s="37"/>
      <c r="AB745" s="37"/>
      <c r="AC745" s="37"/>
      <c r="AD745" s="37"/>
      <c r="AE745" s="37"/>
      <c r="AF745" s="37"/>
      <c r="AG745" s="37"/>
      <c r="AH745" s="37"/>
      <c r="AI745" s="37"/>
      <c r="AJ745" s="37"/>
      <c r="AK745" s="37"/>
      <c r="AL745" s="37"/>
      <c r="AM745" s="37"/>
      <c r="AN745" s="37"/>
      <c r="AO745" s="37"/>
      <c r="AP745" s="37"/>
    </row>
    <row r="746" customFormat="false" ht="15.75" hidden="false" customHeight="true" outlineLevel="0" collapsed="false">
      <c r="A746" s="37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  <c r="AA746" s="37"/>
      <c r="AB746" s="37"/>
      <c r="AC746" s="37"/>
      <c r="AD746" s="37"/>
      <c r="AE746" s="37"/>
      <c r="AF746" s="37"/>
      <c r="AG746" s="37"/>
      <c r="AH746" s="37"/>
      <c r="AI746" s="37"/>
      <c r="AJ746" s="37"/>
      <c r="AK746" s="37"/>
      <c r="AL746" s="37"/>
      <c r="AM746" s="37"/>
      <c r="AN746" s="37"/>
      <c r="AO746" s="37"/>
      <c r="AP746" s="37"/>
    </row>
    <row r="747" customFormat="false" ht="15.75" hidden="false" customHeight="true" outlineLevel="0" collapsed="false">
      <c r="A747" s="37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  <c r="AA747" s="37"/>
      <c r="AB747" s="37"/>
      <c r="AC747" s="37"/>
      <c r="AD747" s="37"/>
      <c r="AE747" s="37"/>
      <c r="AF747" s="37"/>
      <c r="AG747" s="37"/>
      <c r="AH747" s="37"/>
      <c r="AI747" s="37"/>
      <c r="AJ747" s="37"/>
      <c r="AK747" s="37"/>
      <c r="AL747" s="37"/>
      <c r="AM747" s="37"/>
      <c r="AN747" s="37"/>
      <c r="AO747" s="37"/>
      <c r="AP747" s="37"/>
    </row>
    <row r="748" customFormat="false" ht="15.75" hidden="false" customHeight="true" outlineLevel="0" collapsed="false">
      <c r="A748" s="37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  <c r="AA748" s="37"/>
      <c r="AB748" s="37"/>
      <c r="AC748" s="37"/>
      <c r="AD748" s="37"/>
      <c r="AE748" s="37"/>
      <c r="AF748" s="37"/>
      <c r="AG748" s="37"/>
      <c r="AH748" s="37"/>
      <c r="AI748" s="37"/>
      <c r="AJ748" s="37"/>
      <c r="AK748" s="37"/>
      <c r="AL748" s="37"/>
      <c r="AM748" s="37"/>
      <c r="AN748" s="37"/>
      <c r="AO748" s="37"/>
      <c r="AP748" s="37"/>
    </row>
    <row r="749" customFormat="false" ht="15.75" hidden="false" customHeight="true" outlineLevel="0" collapsed="false">
      <c r="A749" s="37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  <c r="AA749" s="37"/>
      <c r="AB749" s="37"/>
      <c r="AC749" s="37"/>
      <c r="AD749" s="37"/>
      <c r="AE749" s="37"/>
      <c r="AF749" s="37"/>
      <c r="AG749" s="37"/>
      <c r="AH749" s="37"/>
      <c r="AI749" s="37"/>
      <c r="AJ749" s="37"/>
      <c r="AK749" s="37"/>
      <c r="AL749" s="37"/>
      <c r="AM749" s="37"/>
      <c r="AN749" s="37"/>
      <c r="AO749" s="37"/>
      <c r="AP749" s="37"/>
    </row>
    <row r="750" customFormat="false" ht="15.75" hidden="false" customHeight="true" outlineLevel="0" collapsed="false">
      <c r="A750" s="37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  <c r="AA750" s="37"/>
      <c r="AB750" s="37"/>
      <c r="AC750" s="37"/>
      <c r="AD750" s="37"/>
      <c r="AE750" s="37"/>
      <c r="AF750" s="37"/>
      <c r="AG750" s="37"/>
      <c r="AH750" s="37"/>
      <c r="AI750" s="37"/>
      <c r="AJ750" s="37"/>
      <c r="AK750" s="37"/>
      <c r="AL750" s="37"/>
      <c r="AM750" s="37"/>
      <c r="AN750" s="37"/>
      <c r="AO750" s="37"/>
      <c r="AP750" s="37"/>
    </row>
    <row r="751" customFormat="false" ht="15.75" hidden="false" customHeight="true" outlineLevel="0" collapsed="false">
      <c r="A751" s="37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  <c r="AA751" s="37"/>
      <c r="AB751" s="37"/>
      <c r="AC751" s="37"/>
      <c r="AD751" s="37"/>
      <c r="AE751" s="37"/>
      <c r="AF751" s="37"/>
      <c r="AG751" s="37"/>
      <c r="AH751" s="37"/>
      <c r="AI751" s="37"/>
      <c r="AJ751" s="37"/>
      <c r="AK751" s="37"/>
      <c r="AL751" s="37"/>
      <c r="AM751" s="37"/>
      <c r="AN751" s="37"/>
      <c r="AO751" s="37"/>
      <c r="AP751" s="37"/>
    </row>
    <row r="752" customFormat="false" ht="15.75" hidden="false" customHeight="true" outlineLevel="0" collapsed="false">
      <c r="A752" s="37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  <c r="AA752" s="37"/>
      <c r="AB752" s="37"/>
      <c r="AC752" s="37"/>
      <c r="AD752" s="37"/>
      <c r="AE752" s="37"/>
      <c r="AF752" s="37"/>
      <c r="AG752" s="37"/>
      <c r="AH752" s="37"/>
      <c r="AI752" s="37"/>
      <c r="AJ752" s="37"/>
      <c r="AK752" s="37"/>
      <c r="AL752" s="37"/>
      <c r="AM752" s="37"/>
      <c r="AN752" s="37"/>
      <c r="AO752" s="37"/>
      <c r="AP752" s="37"/>
    </row>
    <row r="753" customFormat="false" ht="15.75" hidden="false" customHeight="true" outlineLevel="0" collapsed="false">
      <c r="A753" s="37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  <c r="AA753" s="37"/>
      <c r="AB753" s="37"/>
      <c r="AC753" s="37"/>
      <c r="AD753" s="37"/>
      <c r="AE753" s="37"/>
      <c r="AF753" s="37"/>
      <c r="AG753" s="37"/>
      <c r="AH753" s="37"/>
      <c r="AI753" s="37"/>
      <c r="AJ753" s="37"/>
      <c r="AK753" s="37"/>
      <c r="AL753" s="37"/>
      <c r="AM753" s="37"/>
      <c r="AN753" s="37"/>
      <c r="AO753" s="37"/>
      <c r="AP753" s="37"/>
    </row>
    <row r="754" customFormat="false" ht="15.75" hidden="false" customHeight="true" outlineLevel="0" collapsed="false">
      <c r="A754" s="37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  <c r="AA754" s="37"/>
      <c r="AB754" s="37"/>
      <c r="AC754" s="37"/>
      <c r="AD754" s="37"/>
      <c r="AE754" s="37"/>
      <c r="AF754" s="37"/>
      <c r="AG754" s="37"/>
      <c r="AH754" s="37"/>
      <c r="AI754" s="37"/>
      <c r="AJ754" s="37"/>
      <c r="AK754" s="37"/>
      <c r="AL754" s="37"/>
      <c r="AM754" s="37"/>
      <c r="AN754" s="37"/>
      <c r="AO754" s="37"/>
      <c r="AP754" s="37"/>
    </row>
    <row r="755" customFormat="false" ht="15.75" hidden="false" customHeight="true" outlineLevel="0" collapsed="false">
      <c r="A755" s="37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  <c r="AA755" s="37"/>
      <c r="AB755" s="37"/>
      <c r="AC755" s="37"/>
      <c r="AD755" s="37"/>
      <c r="AE755" s="37"/>
      <c r="AF755" s="37"/>
      <c r="AG755" s="37"/>
      <c r="AH755" s="37"/>
      <c r="AI755" s="37"/>
      <c r="AJ755" s="37"/>
      <c r="AK755" s="37"/>
      <c r="AL755" s="37"/>
      <c r="AM755" s="37"/>
      <c r="AN755" s="37"/>
      <c r="AO755" s="37"/>
      <c r="AP755" s="37"/>
    </row>
    <row r="756" customFormat="false" ht="15.75" hidden="false" customHeight="true" outlineLevel="0" collapsed="false">
      <c r="A756" s="37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  <c r="AA756" s="37"/>
      <c r="AB756" s="37"/>
      <c r="AC756" s="37"/>
      <c r="AD756" s="37"/>
      <c r="AE756" s="37"/>
      <c r="AF756" s="37"/>
      <c r="AG756" s="37"/>
      <c r="AH756" s="37"/>
      <c r="AI756" s="37"/>
      <c r="AJ756" s="37"/>
      <c r="AK756" s="37"/>
      <c r="AL756" s="37"/>
      <c r="AM756" s="37"/>
      <c r="AN756" s="37"/>
      <c r="AO756" s="37"/>
      <c r="AP756" s="37"/>
    </row>
    <row r="757" customFormat="false" ht="15.75" hidden="false" customHeight="true" outlineLevel="0" collapsed="false">
      <c r="A757" s="37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  <c r="AA757" s="37"/>
      <c r="AB757" s="37"/>
      <c r="AC757" s="37"/>
      <c r="AD757" s="37"/>
      <c r="AE757" s="37"/>
      <c r="AF757" s="37"/>
      <c r="AG757" s="37"/>
      <c r="AH757" s="37"/>
      <c r="AI757" s="37"/>
      <c r="AJ757" s="37"/>
      <c r="AK757" s="37"/>
      <c r="AL757" s="37"/>
      <c r="AM757" s="37"/>
      <c r="AN757" s="37"/>
      <c r="AO757" s="37"/>
      <c r="AP757" s="37"/>
    </row>
    <row r="758" customFormat="false" ht="15.75" hidden="false" customHeight="true" outlineLevel="0" collapsed="false">
      <c r="A758" s="37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  <c r="AA758" s="37"/>
      <c r="AB758" s="37"/>
      <c r="AC758" s="37"/>
      <c r="AD758" s="37"/>
      <c r="AE758" s="37"/>
      <c r="AF758" s="37"/>
      <c r="AG758" s="37"/>
      <c r="AH758" s="37"/>
      <c r="AI758" s="37"/>
      <c r="AJ758" s="37"/>
      <c r="AK758" s="37"/>
      <c r="AL758" s="37"/>
      <c r="AM758" s="37"/>
      <c r="AN758" s="37"/>
      <c r="AO758" s="37"/>
      <c r="AP758" s="37"/>
    </row>
    <row r="759" customFormat="false" ht="15.75" hidden="false" customHeight="true" outlineLevel="0" collapsed="false">
      <c r="A759" s="37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  <c r="AA759" s="37"/>
      <c r="AB759" s="37"/>
      <c r="AC759" s="37"/>
      <c r="AD759" s="37"/>
      <c r="AE759" s="37"/>
      <c r="AF759" s="37"/>
      <c r="AG759" s="37"/>
      <c r="AH759" s="37"/>
      <c r="AI759" s="37"/>
      <c r="AJ759" s="37"/>
      <c r="AK759" s="37"/>
      <c r="AL759" s="37"/>
      <c r="AM759" s="37"/>
      <c r="AN759" s="37"/>
      <c r="AO759" s="37"/>
      <c r="AP759" s="37"/>
    </row>
    <row r="760" customFormat="false" ht="15.75" hidden="false" customHeight="true" outlineLevel="0" collapsed="false">
      <c r="A760" s="37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  <c r="AA760" s="37"/>
      <c r="AB760" s="37"/>
      <c r="AC760" s="37"/>
      <c r="AD760" s="37"/>
      <c r="AE760" s="37"/>
      <c r="AF760" s="37"/>
      <c r="AG760" s="37"/>
      <c r="AH760" s="37"/>
      <c r="AI760" s="37"/>
      <c r="AJ760" s="37"/>
      <c r="AK760" s="37"/>
      <c r="AL760" s="37"/>
      <c r="AM760" s="37"/>
      <c r="AN760" s="37"/>
      <c r="AO760" s="37"/>
      <c r="AP760" s="37"/>
    </row>
    <row r="761" customFormat="false" ht="15.75" hidden="false" customHeight="true" outlineLevel="0" collapsed="false">
      <c r="A761" s="37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  <c r="AA761" s="37"/>
      <c r="AB761" s="37"/>
      <c r="AC761" s="37"/>
      <c r="AD761" s="37"/>
      <c r="AE761" s="37"/>
      <c r="AF761" s="37"/>
      <c r="AG761" s="37"/>
      <c r="AH761" s="37"/>
      <c r="AI761" s="37"/>
      <c r="AJ761" s="37"/>
      <c r="AK761" s="37"/>
      <c r="AL761" s="37"/>
      <c r="AM761" s="37"/>
      <c r="AN761" s="37"/>
      <c r="AO761" s="37"/>
      <c r="AP761" s="37"/>
    </row>
    <row r="762" customFormat="false" ht="15.75" hidden="false" customHeight="true" outlineLevel="0" collapsed="false">
      <c r="A762" s="37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  <c r="AA762" s="37"/>
      <c r="AB762" s="37"/>
      <c r="AC762" s="37"/>
      <c r="AD762" s="37"/>
      <c r="AE762" s="37"/>
      <c r="AF762" s="37"/>
      <c r="AG762" s="37"/>
      <c r="AH762" s="37"/>
      <c r="AI762" s="37"/>
      <c r="AJ762" s="37"/>
      <c r="AK762" s="37"/>
      <c r="AL762" s="37"/>
      <c r="AM762" s="37"/>
      <c r="AN762" s="37"/>
      <c r="AO762" s="37"/>
      <c r="AP762" s="37"/>
    </row>
    <row r="763" customFormat="false" ht="15.75" hidden="false" customHeight="true" outlineLevel="0" collapsed="false">
      <c r="A763" s="37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  <c r="AA763" s="37"/>
      <c r="AB763" s="37"/>
      <c r="AC763" s="37"/>
      <c r="AD763" s="37"/>
      <c r="AE763" s="37"/>
      <c r="AF763" s="37"/>
      <c r="AG763" s="37"/>
      <c r="AH763" s="37"/>
      <c r="AI763" s="37"/>
      <c r="AJ763" s="37"/>
      <c r="AK763" s="37"/>
      <c r="AL763" s="37"/>
      <c r="AM763" s="37"/>
      <c r="AN763" s="37"/>
      <c r="AO763" s="37"/>
      <c r="AP763" s="37"/>
    </row>
    <row r="764" customFormat="false" ht="15.75" hidden="false" customHeight="true" outlineLevel="0" collapsed="false">
      <c r="A764" s="37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  <c r="AA764" s="37"/>
      <c r="AB764" s="37"/>
      <c r="AC764" s="37"/>
      <c r="AD764" s="37"/>
      <c r="AE764" s="37"/>
      <c r="AF764" s="37"/>
      <c r="AG764" s="37"/>
      <c r="AH764" s="37"/>
      <c r="AI764" s="37"/>
      <c r="AJ764" s="37"/>
      <c r="AK764" s="37"/>
      <c r="AL764" s="37"/>
      <c r="AM764" s="37"/>
      <c r="AN764" s="37"/>
      <c r="AO764" s="37"/>
      <c r="AP764" s="37"/>
    </row>
    <row r="765" customFormat="false" ht="15.75" hidden="false" customHeight="true" outlineLevel="0" collapsed="false">
      <c r="A765" s="37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  <c r="AA765" s="37"/>
      <c r="AB765" s="37"/>
      <c r="AC765" s="37"/>
      <c r="AD765" s="37"/>
      <c r="AE765" s="37"/>
      <c r="AF765" s="37"/>
      <c r="AG765" s="37"/>
      <c r="AH765" s="37"/>
      <c r="AI765" s="37"/>
      <c r="AJ765" s="37"/>
      <c r="AK765" s="37"/>
      <c r="AL765" s="37"/>
      <c r="AM765" s="37"/>
      <c r="AN765" s="37"/>
      <c r="AO765" s="37"/>
      <c r="AP765" s="37"/>
    </row>
    <row r="766" customFormat="false" ht="15.75" hidden="false" customHeight="true" outlineLevel="0" collapsed="false">
      <c r="A766" s="37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  <c r="AA766" s="37"/>
      <c r="AB766" s="37"/>
      <c r="AC766" s="37"/>
      <c r="AD766" s="37"/>
      <c r="AE766" s="37"/>
      <c r="AF766" s="37"/>
      <c r="AG766" s="37"/>
      <c r="AH766" s="37"/>
      <c r="AI766" s="37"/>
      <c r="AJ766" s="37"/>
      <c r="AK766" s="37"/>
      <c r="AL766" s="37"/>
      <c r="AM766" s="37"/>
      <c r="AN766" s="37"/>
      <c r="AO766" s="37"/>
      <c r="AP766" s="37"/>
    </row>
    <row r="767" customFormat="false" ht="15.75" hidden="false" customHeight="true" outlineLevel="0" collapsed="false">
      <c r="A767" s="37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  <c r="AA767" s="37"/>
      <c r="AB767" s="37"/>
      <c r="AC767" s="37"/>
      <c r="AD767" s="37"/>
      <c r="AE767" s="37"/>
      <c r="AF767" s="37"/>
      <c r="AG767" s="37"/>
      <c r="AH767" s="37"/>
      <c r="AI767" s="37"/>
      <c r="AJ767" s="37"/>
      <c r="AK767" s="37"/>
      <c r="AL767" s="37"/>
      <c r="AM767" s="37"/>
      <c r="AN767" s="37"/>
      <c r="AO767" s="37"/>
      <c r="AP767" s="37"/>
    </row>
    <row r="768" customFormat="false" ht="15.75" hidden="false" customHeight="true" outlineLevel="0" collapsed="false">
      <c r="A768" s="37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  <c r="AA768" s="37"/>
      <c r="AB768" s="37"/>
      <c r="AC768" s="37"/>
      <c r="AD768" s="37"/>
      <c r="AE768" s="37"/>
      <c r="AF768" s="37"/>
      <c r="AG768" s="37"/>
      <c r="AH768" s="37"/>
      <c r="AI768" s="37"/>
      <c r="AJ768" s="37"/>
      <c r="AK768" s="37"/>
      <c r="AL768" s="37"/>
      <c r="AM768" s="37"/>
      <c r="AN768" s="37"/>
      <c r="AO768" s="37"/>
      <c r="AP768" s="37"/>
    </row>
    <row r="769" customFormat="false" ht="15.75" hidden="false" customHeight="true" outlineLevel="0" collapsed="false">
      <c r="A769" s="37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  <c r="AA769" s="37"/>
      <c r="AB769" s="37"/>
      <c r="AC769" s="37"/>
      <c r="AD769" s="37"/>
      <c r="AE769" s="37"/>
      <c r="AF769" s="37"/>
      <c r="AG769" s="37"/>
      <c r="AH769" s="37"/>
      <c r="AI769" s="37"/>
      <c r="AJ769" s="37"/>
      <c r="AK769" s="37"/>
      <c r="AL769" s="37"/>
      <c r="AM769" s="37"/>
      <c r="AN769" s="37"/>
      <c r="AO769" s="37"/>
      <c r="AP769" s="37"/>
    </row>
    <row r="770" customFormat="false" ht="15.75" hidden="false" customHeight="true" outlineLevel="0" collapsed="false">
      <c r="A770" s="37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  <c r="AA770" s="37"/>
      <c r="AB770" s="37"/>
      <c r="AC770" s="37"/>
      <c r="AD770" s="37"/>
      <c r="AE770" s="37"/>
      <c r="AF770" s="37"/>
      <c r="AG770" s="37"/>
      <c r="AH770" s="37"/>
      <c r="AI770" s="37"/>
      <c r="AJ770" s="37"/>
      <c r="AK770" s="37"/>
      <c r="AL770" s="37"/>
      <c r="AM770" s="37"/>
      <c r="AN770" s="37"/>
      <c r="AO770" s="37"/>
      <c r="AP770" s="37"/>
    </row>
    <row r="771" customFormat="false" ht="15.75" hidden="false" customHeight="true" outlineLevel="0" collapsed="false">
      <c r="A771" s="37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  <c r="AA771" s="37"/>
      <c r="AB771" s="37"/>
      <c r="AC771" s="37"/>
      <c r="AD771" s="37"/>
      <c r="AE771" s="37"/>
      <c r="AF771" s="37"/>
      <c r="AG771" s="37"/>
      <c r="AH771" s="37"/>
      <c r="AI771" s="37"/>
      <c r="AJ771" s="37"/>
      <c r="AK771" s="37"/>
      <c r="AL771" s="37"/>
      <c r="AM771" s="37"/>
      <c r="AN771" s="37"/>
      <c r="AO771" s="37"/>
      <c r="AP771" s="37"/>
    </row>
    <row r="772" customFormat="false" ht="15.75" hidden="false" customHeight="true" outlineLevel="0" collapsed="false">
      <c r="A772" s="37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  <c r="AA772" s="37"/>
      <c r="AB772" s="37"/>
      <c r="AC772" s="37"/>
      <c r="AD772" s="37"/>
      <c r="AE772" s="37"/>
      <c r="AF772" s="37"/>
      <c r="AG772" s="37"/>
      <c r="AH772" s="37"/>
      <c r="AI772" s="37"/>
      <c r="AJ772" s="37"/>
      <c r="AK772" s="37"/>
      <c r="AL772" s="37"/>
      <c r="AM772" s="37"/>
      <c r="AN772" s="37"/>
      <c r="AO772" s="37"/>
      <c r="AP772" s="37"/>
    </row>
    <row r="773" customFormat="false" ht="15.75" hidden="false" customHeight="true" outlineLevel="0" collapsed="false">
      <c r="A773" s="37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  <c r="AA773" s="37"/>
      <c r="AB773" s="37"/>
      <c r="AC773" s="37"/>
      <c r="AD773" s="37"/>
      <c r="AE773" s="37"/>
      <c r="AF773" s="37"/>
      <c r="AG773" s="37"/>
      <c r="AH773" s="37"/>
      <c r="AI773" s="37"/>
      <c r="AJ773" s="37"/>
      <c r="AK773" s="37"/>
      <c r="AL773" s="37"/>
      <c r="AM773" s="37"/>
      <c r="AN773" s="37"/>
      <c r="AO773" s="37"/>
      <c r="AP773" s="37"/>
    </row>
    <row r="774" customFormat="false" ht="15.75" hidden="false" customHeight="true" outlineLevel="0" collapsed="false">
      <c r="A774" s="37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  <c r="AA774" s="37"/>
      <c r="AB774" s="37"/>
      <c r="AC774" s="37"/>
      <c r="AD774" s="37"/>
      <c r="AE774" s="37"/>
      <c r="AF774" s="37"/>
      <c r="AG774" s="37"/>
      <c r="AH774" s="37"/>
      <c r="AI774" s="37"/>
      <c r="AJ774" s="37"/>
      <c r="AK774" s="37"/>
      <c r="AL774" s="37"/>
      <c r="AM774" s="37"/>
      <c r="AN774" s="37"/>
      <c r="AO774" s="37"/>
      <c r="AP774" s="37"/>
    </row>
    <row r="775" customFormat="false" ht="15.75" hidden="false" customHeight="true" outlineLevel="0" collapsed="false">
      <c r="A775" s="37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  <c r="AA775" s="37"/>
      <c r="AB775" s="37"/>
      <c r="AC775" s="37"/>
      <c r="AD775" s="37"/>
      <c r="AE775" s="37"/>
      <c r="AF775" s="37"/>
      <c r="AG775" s="37"/>
      <c r="AH775" s="37"/>
      <c r="AI775" s="37"/>
      <c r="AJ775" s="37"/>
      <c r="AK775" s="37"/>
      <c r="AL775" s="37"/>
      <c r="AM775" s="37"/>
      <c r="AN775" s="37"/>
      <c r="AO775" s="37"/>
      <c r="AP775" s="37"/>
    </row>
    <row r="776" customFormat="false" ht="15.75" hidden="false" customHeight="true" outlineLevel="0" collapsed="false">
      <c r="A776" s="37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  <c r="AA776" s="37"/>
      <c r="AB776" s="37"/>
      <c r="AC776" s="37"/>
      <c r="AD776" s="37"/>
      <c r="AE776" s="37"/>
      <c r="AF776" s="37"/>
      <c r="AG776" s="37"/>
      <c r="AH776" s="37"/>
      <c r="AI776" s="37"/>
      <c r="AJ776" s="37"/>
      <c r="AK776" s="37"/>
      <c r="AL776" s="37"/>
      <c r="AM776" s="37"/>
      <c r="AN776" s="37"/>
      <c r="AO776" s="37"/>
      <c r="AP776" s="37"/>
    </row>
    <row r="777" customFormat="false" ht="15.75" hidden="false" customHeight="true" outlineLevel="0" collapsed="false">
      <c r="A777" s="37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  <c r="AA777" s="37"/>
      <c r="AB777" s="37"/>
      <c r="AC777" s="37"/>
      <c r="AD777" s="37"/>
      <c r="AE777" s="37"/>
      <c r="AF777" s="37"/>
      <c r="AG777" s="37"/>
      <c r="AH777" s="37"/>
      <c r="AI777" s="37"/>
      <c r="AJ777" s="37"/>
      <c r="AK777" s="37"/>
      <c r="AL777" s="37"/>
      <c r="AM777" s="37"/>
      <c r="AN777" s="37"/>
      <c r="AO777" s="37"/>
      <c r="AP777" s="37"/>
    </row>
    <row r="778" customFormat="false" ht="15.75" hidden="false" customHeight="true" outlineLevel="0" collapsed="false">
      <c r="A778" s="37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  <c r="AA778" s="37"/>
      <c r="AB778" s="37"/>
      <c r="AC778" s="37"/>
      <c r="AD778" s="37"/>
      <c r="AE778" s="37"/>
      <c r="AF778" s="37"/>
      <c r="AG778" s="37"/>
      <c r="AH778" s="37"/>
      <c r="AI778" s="37"/>
      <c r="AJ778" s="37"/>
      <c r="AK778" s="37"/>
      <c r="AL778" s="37"/>
      <c r="AM778" s="37"/>
      <c r="AN778" s="37"/>
      <c r="AO778" s="37"/>
      <c r="AP778" s="37"/>
    </row>
    <row r="779" customFormat="false" ht="15.75" hidden="false" customHeight="true" outlineLevel="0" collapsed="false">
      <c r="A779" s="37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  <c r="AA779" s="37"/>
      <c r="AB779" s="37"/>
      <c r="AC779" s="37"/>
      <c r="AD779" s="37"/>
      <c r="AE779" s="37"/>
      <c r="AF779" s="37"/>
      <c r="AG779" s="37"/>
      <c r="AH779" s="37"/>
      <c r="AI779" s="37"/>
      <c r="AJ779" s="37"/>
      <c r="AK779" s="37"/>
      <c r="AL779" s="37"/>
      <c r="AM779" s="37"/>
      <c r="AN779" s="37"/>
      <c r="AO779" s="37"/>
      <c r="AP779" s="37"/>
    </row>
    <row r="780" customFormat="false" ht="15.75" hidden="false" customHeight="true" outlineLevel="0" collapsed="false">
      <c r="A780" s="37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  <c r="AA780" s="37"/>
      <c r="AB780" s="37"/>
      <c r="AC780" s="37"/>
      <c r="AD780" s="37"/>
      <c r="AE780" s="37"/>
      <c r="AF780" s="37"/>
      <c r="AG780" s="37"/>
      <c r="AH780" s="37"/>
      <c r="AI780" s="37"/>
      <c r="AJ780" s="37"/>
      <c r="AK780" s="37"/>
      <c r="AL780" s="37"/>
      <c r="AM780" s="37"/>
      <c r="AN780" s="37"/>
      <c r="AO780" s="37"/>
      <c r="AP780" s="37"/>
    </row>
    <row r="781" customFormat="false" ht="15.75" hidden="false" customHeight="true" outlineLevel="0" collapsed="false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  <c r="AA781" s="37"/>
      <c r="AB781" s="37"/>
      <c r="AC781" s="37"/>
      <c r="AD781" s="37"/>
      <c r="AE781" s="37"/>
      <c r="AF781" s="37"/>
      <c r="AG781" s="37"/>
      <c r="AH781" s="37"/>
      <c r="AI781" s="37"/>
      <c r="AJ781" s="37"/>
      <c r="AK781" s="37"/>
      <c r="AL781" s="37"/>
      <c r="AM781" s="37"/>
      <c r="AN781" s="37"/>
      <c r="AO781" s="37"/>
      <c r="AP781" s="37"/>
    </row>
    <row r="782" customFormat="false" ht="15.75" hidden="false" customHeight="true" outlineLevel="0" collapsed="false">
      <c r="A782" s="37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  <c r="AA782" s="37"/>
      <c r="AB782" s="37"/>
      <c r="AC782" s="37"/>
      <c r="AD782" s="37"/>
      <c r="AE782" s="37"/>
      <c r="AF782" s="37"/>
      <c r="AG782" s="37"/>
      <c r="AH782" s="37"/>
      <c r="AI782" s="37"/>
      <c r="AJ782" s="37"/>
      <c r="AK782" s="37"/>
      <c r="AL782" s="37"/>
      <c r="AM782" s="37"/>
      <c r="AN782" s="37"/>
      <c r="AO782" s="37"/>
      <c r="AP782" s="37"/>
    </row>
    <row r="783" customFormat="false" ht="15.75" hidden="false" customHeight="true" outlineLevel="0" collapsed="false">
      <c r="A783" s="37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  <c r="AA783" s="37"/>
      <c r="AB783" s="37"/>
      <c r="AC783" s="37"/>
      <c r="AD783" s="37"/>
      <c r="AE783" s="37"/>
      <c r="AF783" s="37"/>
      <c r="AG783" s="37"/>
      <c r="AH783" s="37"/>
      <c r="AI783" s="37"/>
      <c r="AJ783" s="37"/>
      <c r="AK783" s="37"/>
      <c r="AL783" s="37"/>
      <c r="AM783" s="37"/>
      <c r="AN783" s="37"/>
      <c r="AO783" s="37"/>
      <c r="AP783" s="37"/>
    </row>
    <row r="784" customFormat="false" ht="15.75" hidden="false" customHeight="true" outlineLevel="0" collapsed="false">
      <c r="A784" s="37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  <c r="AA784" s="37"/>
      <c r="AB784" s="37"/>
      <c r="AC784" s="37"/>
      <c r="AD784" s="37"/>
      <c r="AE784" s="37"/>
      <c r="AF784" s="37"/>
      <c r="AG784" s="37"/>
      <c r="AH784" s="37"/>
      <c r="AI784" s="37"/>
      <c r="AJ784" s="37"/>
      <c r="AK784" s="37"/>
      <c r="AL784" s="37"/>
      <c r="AM784" s="37"/>
      <c r="AN784" s="37"/>
      <c r="AO784" s="37"/>
      <c r="AP784" s="37"/>
    </row>
    <row r="785" customFormat="false" ht="15.75" hidden="false" customHeight="true" outlineLevel="0" collapsed="false">
      <c r="A785" s="37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  <c r="AA785" s="37"/>
      <c r="AB785" s="37"/>
      <c r="AC785" s="37"/>
      <c r="AD785" s="37"/>
      <c r="AE785" s="37"/>
      <c r="AF785" s="37"/>
      <c r="AG785" s="37"/>
      <c r="AH785" s="37"/>
      <c r="AI785" s="37"/>
      <c r="AJ785" s="37"/>
      <c r="AK785" s="37"/>
      <c r="AL785" s="37"/>
      <c r="AM785" s="37"/>
      <c r="AN785" s="37"/>
      <c r="AO785" s="37"/>
      <c r="AP785" s="37"/>
    </row>
    <row r="786" customFormat="false" ht="15.75" hidden="false" customHeight="true" outlineLevel="0" collapsed="false">
      <c r="A786" s="37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  <c r="AA786" s="37"/>
      <c r="AB786" s="37"/>
      <c r="AC786" s="37"/>
      <c r="AD786" s="37"/>
      <c r="AE786" s="37"/>
      <c r="AF786" s="37"/>
      <c r="AG786" s="37"/>
      <c r="AH786" s="37"/>
      <c r="AI786" s="37"/>
      <c r="AJ786" s="37"/>
      <c r="AK786" s="37"/>
      <c r="AL786" s="37"/>
      <c r="AM786" s="37"/>
      <c r="AN786" s="37"/>
      <c r="AO786" s="37"/>
      <c r="AP786" s="37"/>
    </row>
    <row r="787" customFormat="false" ht="15.75" hidden="false" customHeight="true" outlineLevel="0" collapsed="false">
      <c r="A787" s="37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  <c r="AA787" s="37"/>
      <c r="AB787" s="37"/>
      <c r="AC787" s="37"/>
      <c r="AD787" s="37"/>
      <c r="AE787" s="37"/>
      <c r="AF787" s="37"/>
      <c r="AG787" s="37"/>
      <c r="AH787" s="37"/>
      <c r="AI787" s="37"/>
      <c r="AJ787" s="37"/>
      <c r="AK787" s="37"/>
      <c r="AL787" s="37"/>
      <c r="AM787" s="37"/>
      <c r="AN787" s="37"/>
      <c r="AO787" s="37"/>
      <c r="AP787" s="37"/>
    </row>
    <row r="788" customFormat="false" ht="15.75" hidden="false" customHeight="true" outlineLevel="0" collapsed="false">
      <c r="A788" s="37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  <c r="AA788" s="37"/>
      <c r="AB788" s="37"/>
      <c r="AC788" s="37"/>
      <c r="AD788" s="37"/>
      <c r="AE788" s="37"/>
      <c r="AF788" s="37"/>
      <c r="AG788" s="37"/>
      <c r="AH788" s="37"/>
      <c r="AI788" s="37"/>
      <c r="AJ788" s="37"/>
      <c r="AK788" s="37"/>
      <c r="AL788" s="37"/>
      <c r="AM788" s="37"/>
      <c r="AN788" s="37"/>
      <c r="AO788" s="37"/>
      <c r="AP788" s="37"/>
    </row>
    <row r="789" customFormat="false" ht="15.75" hidden="false" customHeight="true" outlineLevel="0" collapsed="false">
      <c r="A789" s="37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  <c r="AA789" s="37"/>
      <c r="AB789" s="37"/>
      <c r="AC789" s="37"/>
      <c r="AD789" s="37"/>
      <c r="AE789" s="37"/>
      <c r="AF789" s="37"/>
      <c r="AG789" s="37"/>
      <c r="AH789" s="37"/>
      <c r="AI789" s="37"/>
      <c r="AJ789" s="37"/>
      <c r="AK789" s="37"/>
      <c r="AL789" s="37"/>
      <c r="AM789" s="37"/>
      <c r="AN789" s="37"/>
      <c r="AO789" s="37"/>
      <c r="AP789" s="37"/>
    </row>
    <row r="790" customFormat="false" ht="15.75" hidden="false" customHeight="true" outlineLevel="0" collapsed="false">
      <c r="A790" s="37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  <c r="AA790" s="37"/>
      <c r="AB790" s="37"/>
      <c r="AC790" s="37"/>
      <c r="AD790" s="37"/>
      <c r="AE790" s="37"/>
      <c r="AF790" s="37"/>
      <c r="AG790" s="37"/>
      <c r="AH790" s="37"/>
      <c r="AI790" s="37"/>
      <c r="AJ790" s="37"/>
      <c r="AK790" s="37"/>
      <c r="AL790" s="37"/>
      <c r="AM790" s="37"/>
      <c r="AN790" s="37"/>
      <c r="AO790" s="37"/>
      <c r="AP790" s="37"/>
    </row>
    <row r="791" customFormat="false" ht="15.75" hidden="false" customHeight="true" outlineLevel="0" collapsed="false">
      <c r="A791" s="37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  <c r="AA791" s="37"/>
      <c r="AB791" s="37"/>
      <c r="AC791" s="37"/>
      <c r="AD791" s="37"/>
      <c r="AE791" s="37"/>
      <c r="AF791" s="37"/>
      <c r="AG791" s="37"/>
      <c r="AH791" s="37"/>
      <c r="AI791" s="37"/>
      <c r="AJ791" s="37"/>
      <c r="AK791" s="37"/>
      <c r="AL791" s="37"/>
      <c r="AM791" s="37"/>
      <c r="AN791" s="37"/>
      <c r="AO791" s="37"/>
      <c r="AP791" s="37"/>
    </row>
    <row r="792" customFormat="false" ht="15.75" hidden="false" customHeight="true" outlineLevel="0" collapsed="false">
      <c r="A792" s="37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  <c r="AA792" s="37"/>
      <c r="AB792" s="37"/>
      <c r="AC792" s="37"/>
      <c r="AD792" s="37"/>
      <c r="AE792" s="37"/>
      <c r="AF792" s="37"/>
      <c r="AG792" s="37"/>
      <c r="AH792" s="37"/>
      <c r="AI792" s="37"/>
      <c r="AJ792" s="37"/>
      <c r="AK792" s="37"/>
      <c r="AL792" s="37"/>
      <c r="AM792" s="37"/>
      <c r="AN792" s="37"/>
      <c r="AO792" s="37"/>
      <c r="AP792" s="37"/>
    </row>
    <row r="793" customFormat="false" ht="15.75" hidden="false" customHeight="true" outlineLevel="0" collapsed="false">
      <c r="A793" s="37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  <c r="AA793" s="37"/>
      <c r="AB793" s="37"/>
      <c r="AC793" s="37"/>
      <c r="AD793" s="37"/>
      <c r="AE793" s="37"/>
      <c r="AF793" s="37"/>
      <c r="AG793" s="37"/>
      <c r="AH793" s="37"/>
      <c r="AI793" s="37"/>
      <c r="AJ793" s="37"/>
      <c r="AK793" s="37"/>
      <c r="AL793" s="37"/>
      <c r="AM793" s="37"/>
      <c r="AN793" s="37"/>
      <c r="AO793" s="37"/>
      <c r="AP793" s="37"/>
    </row>
    <row r="794" customFormat="false" ht="15.75" hidden="false" customHeight="true" outlineLevel="0" collapsed="false">
      <c r="A794" s="37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  <c r="AA794" s="37"/>
      <c r="AB794" s="37"/>
      <c r="AC794" s="37"/>
      <c r="AD794" s="37"/>
      <c r="AE794" s="37"/>
      <c r="AF794" s="37"/>
      <c r="AG794" s="37"/>
      <c r="AH794" s="37"/>
      <c r="AI794" s="37"/>
      <c r="AJ794" s="37"/>
      <c r="AK794" s="37"/>
      <c r="AL794" s="37"/>
      <c r="AM794" s="37"/>
      <c r="AN794" s="37"/>
      <c r="AO794" s="37"/>
      <c r="AP794" s="37"/>
    </row>
    <row r="795" customFormat="false" ht="15.75" hidden="false" customHeight="true" outlineLevel="0" collapsed="false">
      <c r="A795" s="37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  <c r="AA795" s="37"/>
      <c r="AB795" s="37"/>
      <c r="AC795" s="37"/>
      <c r="AD795" s="37"/>
      <c r="AE795" s="37"/>
      <c r="AF795" s="37"/>
      <c r="AG795" s="37"/>
      <c r="AH795" s="37"/>
      <c r="AI795" s="37"/>
      <c r="AJ795" s="37"/>
      <c r="AK795" s="37"/>
      <c r="AL795" s="37"/>
      <c r="AM795" s="37"/>
      <c r="AN795" s="37"/>
      <c r="AO795" s="37"/>
      <c r="AP795" s="37"/>
    </row>
    <row r="796" customFormat="false" ht="15.75" hidden="false" customHeight="true" outlineLevel="0" collapsed="false">
      <c r="A796" s="37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  <c r="AA796" s="37"/>
      <c r="AB796" s="37"/>
      <c r="AC796" s="37"/>
      <c r="AD796" s="37"/>
      <c r="AE796" s="37"/>
      <c r="AF796" s="37"/>
      <c r="AG796" s="37"/>
      <c r="AH796" s="37"/>
      <c r="AI796" s="37"/>
      <c r="AJ796" s="37"/>
      <c r="AK796" s="37"/>
      <c r="AL796" s="37"/>
      <c r="AM796" s="37"/>
      <c r="AN796" s="37"/>
      <c r="AO796" s="37"/>
      <c r="AP796" s="37"/>
    </row>
    <row r="797" customFormat="false" ht="15.75" hidden="false" customHeight="true" outlineLevel="0" collapsed="false">
      <c r="A797" s="37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  <c r="AA797" s="37"/>
      <c r="AB797" s="37"/>
      <c r="AC797" s="37"/>
      <c r="AD797" s="37"/>
      <c r="AE797" s="37"/>
      <c r="AF797" s="37"/>
      <c r="AG797" s="37"/>
      <c r="AH797" s="37"/>
      <c r="AI797" s="37"/>
      <c r="AJ797" s="37"/>
      <c r="AK797" s="37"/>
      <c r="AL797" s="37"/>
      <c r="AM797" s="37"/>
      <c r="AN797" s="37"/>
      <c r="AO797" s="37"/>
      <c r="AP797" s="37"/>
    </row>
    <row r="798" customFormat="false" ht="15.75" hidden="false" customHeight="true" outlineLevel="0" collapsed="false">
      <c r="A798" s="37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  <c r="AA798" s="37"/>
      <c r="AB798" s="37"/>
      <c r="AC798" s="37"/>
      <c r="AD798" s="37"/>
      <c r="AE798" s="37"/>
      <c r="AF798" s="37"/>
      <c r="AG798" s="37"/>
      <c r="AH798" s="37"/>
      <c r="AI798" s="37"/>
      <c r="AJ798" s="37"/>
      <c r="AK798" s="37"/>
      <c r="AL798" s="37"/>
      <c r="AM798" s="37"/>
      <c r="AN798" s="37"/>
      <c r="AO798" s="37"/>
      <c r="AP798" s="37"/>
    </row>
    <row r="799" customFormat="false" ht="15.75" hidden="false" customHeight="true" outlineLevel="0" collapsed="false">
      <c r="A799" s="37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  <c r="AA799" s="37"/>
      <c r="AB799" s="37"/>
      <c r="AC799" s="37"/>
      <c r="AD799" s="37"/>
      <c r="AE799" s="37"/>
      <c r="AF799" s="37"/>
      <c r="AG799" s="37"/>
      <c r="AH799" s="37"/>
      <c r="AI799" s="37"/>
      <c r="AJ799" s="37"/>
      <c r="AK799" s="37"/>
      <c r="AL799" s="37"/>
      <c r="AM799" s="37"/>
      <c r="AN799" s="37"/>
      <c r="AO799" s="37"/>
      <c r="AP799" s="37"/>
    </row>
    <row r="800" customFormat="false" ht="15.75" hidden="false" customHeight="true" outlineLevel="0" collapsed="false">
      <c r="A800" s="37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  <c r="AA800" s="37"/>
      <c r="AB800" s="37"/>
      <c r="AC800" s="37"/>
      <c r="AD800" s="37"/>
      <c r="AE800" s="37"/>
      <c r="AF800" s="37"/>
      <c r="AG800" s="37"/>
      <c r="AH800" s="37"/>
      <c r="AI800" s="37"/>
      <c r="AJ800" s="37"/>
      <c r="AK800" s="37"/>
      <c r="AL800" s="37"/>
      <c r="AM800" s="37"/>
      <c r="AN800" s="37"/>
      <c r="AO800" s="37"/>
      <c r="AP800" s="37"/>
    </row>
    <row r="801" customFormat="false" ht="15.75" hidden="false" customHeight="true" outlineLevel="0" collapsed="false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  <c r="AA801" s="37"/>
      <c r="AB801" s="37"/>
      <c r="AC801" s="37"/>
      <c r="AD801" s="37"/>
      <c r="AE801" s="37"/>
      <c r="AF801" s="37"/>
      <c r="AG801" s="37"/>
      <c r="AH801" s="37"/>
      <c r="AI801" s="37"/>
      <c r="AJ801" s="37"/>
      <c r="AK801" s="37"/>
      <c r="AL801" s="37"/>
      <c r="AM801" s="37"/>
      <c r="AN801" s="37"/>
      <c r="AO801" s="37"/>
      <c r="AP801" s="37"/>
    </row>
    <row r="802" customFormat="false" ht="15.75" hidden="false" customHeight="true" outlineLevel="0" collapsed="false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  <c r="AA802" s="37"/>
      <c r="AB802" s="37"/>
      <c r="AC802" s="37"/>
      <c r="AD802" s="37"/>
      <c r="AE802" s="37"/>
      <c r="AF802" s="37"/>
      <c r="AG802" s="37"/>
      <c r="AH802" s="37"/>
      <c r="AI802" s="37"/>
      <c r="AJ802" s="37"/>
      <c r="AK802" s="37"/>
      <c r="AL802" s="37"/>
      <c r="AM802" s="37"/>
      <c r="AN802" s="37"/>
      <c r="AO802" s="37"/>
      <c r="AP802" s="37"/>
    </row>
    <row r="803" customFormat="false" ht="15.75" hidden="false" customHeight="true" outlineLevel="0" collapsed="false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  <c r="AA803" s="37"/>
      <c r="AB803" s="37"/>
      <c r="AC803" s="37"/>
      <c r="AD803" s="37"/>
      <c r="AE803" s="37"/>
      <c r="AF803" s="37"/>
      <c r="AG803" s="37"/>
      <c r="AH803" s="37"/>
      <c r="AI803" s="37"/>
      <c r="AJ803" s="37"/>
      <c r="AK803" s="37"/>
      <c r="AL803" s="37"/>
      <c r="AM803" s="37"/>
      <c r="AN803" s="37"/>
      <c r="AO803" s="37"/>
      <c r="AP803" s="37"/>
    </row>
    <row r="804" customFormat="false" ht="15.75" hidden="false" customHeight="true" outlineLevel="0" collapsed="false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  <c r="AA804" s="37"/>
      <c r="AB804" s="37"/>
      <c r="AC804" s="37"/>
      <c r="AD804" s="37"/>
      <c r="AE804" s="37"/>
      <c r="AF804" s="37"/>
      <c r="AG804" s="37"/>
      <c r="AH804" s="37"/>
      <c r="AI804" s="37"/>
      <c r="AJ804" s="37"/>
      <c r="AK804" s="37"/>
      <c r="AL804" s="37"/>
      <c r="AM804" s="37"/>
      <c r="AN804" s="37"/>
      <c r="AO804" s="37"/>
      <c r="AP804" s="37"/>
    </row>
    <row r="805" customFormat="false" ht="15.75" hidden="false" customHeight="true" outlineLevel="0" collapsed="false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  <c r="AA805" s="37"/>
      <c r="AB805" s="37"/>
      <c r="AC805" s="37"/>
      <c r="AD805" s="37"/>
      <c r="AE805" s="37"/>
      <c r="AF805" s="37"/>
      <c r="AG805" s="37"/>
      <c r="AH805" s="37"/>
      <c r="AI805" s="37"/>
      <c r="AJ805" s="37"/>
      <c r="AK805" s="37"/>
      <c r="AL805" s="37"/>
      <c r="AM805" s="37"/>
      <c r="AN805" s="37"/>
      <c r="AO805" s="37"/>
      <c r="AP805" s="37"/>
    </row>
    <row r="806" customFormat="false" ht="15.75" hidden="false" customHeight="true" outlineLevel="0" collapsed="false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  <c r="AA806" s="37"/>
      <c r="AB806" s="37"/>
      <c r="AC806" s="37"/>
      <c r="AD806" s="37"/>
      <c r="AE806" s="37"/>
      <c r="AF806" s="37"/>
      <c r="AG806" s="37"/>
      <c r="AH806" s="37"/>
      <c r="AI806" s="37"/>
      <c r="AJ806" s="37"/>
      <c r="AK806" s="37"/>
      <c r="AL806" s="37"/>
      <c r="AM806" s="37"/>
      <c r="AN806" s="37"/>
      <c r="AO806" s="37"/>
      <c r="AP806" s="37"/>
    </row>
    <row r="807" customFormat="false" ht="15.75" hidden="false" customHeight="true" outlineLevel="0" collapsed="false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  <c r="AA807" s="37"/>
      <c r="AB807" s="37"/>
      <c r="AC807" s="37"/>
      <c r="AD807" s="37"/>
      <c r="AE807" s="37"/>
      <c r="AF807" s="37"/>
      <c r="AG807" s="37"/>
      <c r="AH807" s="37"/>
      <c r="AI807" s="37"/>
      <c r="AJ807" s="37"/>
      <c r="AK807" s="37"/>
      <c r="AL807" s="37"/>
      <c r="AM807" s="37"/>
      <c r="AN807" s="37"/>
      <c r="AO807" s="37"/>
      <c r="AP807" s="37"/>
    </row>
    <row r="808" customFormat="false" ht="15.75" hidden="false" customHeight="true" outlineLevel="0" collapsed="false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  <c r="AA808" s="37"/>
      <c r="AB808" s="37"/>
      <c r="AC808" s="37"/>
      <c r="AD808" s="37"/>
      <c r="AE808" s="37"/>
      <c r="AF808" s="37"/>
      <c r="AG808" s="37"/>
      <c r="AH808" s="37"/>
      <c r="AI808" s="37"/>
      <c r="AJ808" s="37"/>
      <c r="AK808" s="37"/>
      <c r="AL808" s="37"/>
      <c r="AM808" s="37"/>
      <c r="AN808" s="37"/>
      <c r="AO808" s="37"/>
      <c r="AP808" s="37"/>
    </row>
    <row r="809" customFormat="false" ht="15.75" hidden="false" customHeight="true" outlineLevel="0" collapsed="false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  <c r="AA809" s="37"/>
      <c r="AB809" s="37"/>
      <c r="AC809" s="37"/>
      <c r="AD809" s="37"/>
      <c r="AE809" s="37"/>
      <c r="AF809" s="37"/>
      <c r="AG809" s="37"/>
      <c r="AH809" s="37"/>
      <c r="AI809" s="37"/>
      <c r="AJ809" s="37"/>
      <c r="AK809" s="37"/>
      <c r="AL809" s="37"/>
      <c r="AM809" s="37"/>
      <c r="AN809" s="37"/>
      <c r="AO809" s="37"/>
      <c r="AP809" s="37"/>
    </row>
    <row r="810" customFormat="false" ht="15.75" hidden="false" customHeight="true" outlineLevel="0" collapsed="false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  <c r="AA810" s="37"/>
      <c r="AB810" s="37"/>
      <c r="AC810" s="37"/>
      <c r="AD810" s="37"/>
      <c r="AE810" s="37"/>
      <c r="AF810" s="37"/>
      <c r="AG810" s="37"/>
      <c r="AH810" s="37"/>
      <c r="AI810" s="37"/>
      <c r="AJ810" s="37"/>
      <c r="AK810" s="37"/>
      <c r="AL810" s="37"/>
      <c r="AM810" s="37"/>
      <c r="AN810" s="37"/>
      <c r="AO810" s="37"/>
      <c r="AP810" s="37"/>
    </row>
    <row r="811" customFormat="false" ht="15.75" hidden="false" customHeight="true" outlineLevel="0" collapsed="false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  <c r="AA811" s="37"/>
      <c r="AB811" s="37"/>
      <c r="AC811" s="37"/>
      <c r="AD811" s="37"/>
      <c r="AE811" s="37"/>
      <c r="AF811" s="37"/>
      <c r="AG811" s="37"/>
      <c r="AH811" s="37"/>
      <c r="AI811" s="37"/>
      <c r="AJ811" s="37"/>
      <c r="AK811" s="37"/>
      <c r="AL811" s="37"/>
      <c r="AM811" s="37"/>
      <c r="AN811" s="37"/>
      <c r="AO811" s="37"/>
      <c r="AP811" s="37"/>
    </row>
    <row r="812" customFormat="false" ht="15.75" hidden="false" customHeight="true" outlineLevel="0" collapsed="false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  <c r="AA812" s="37"/>
      <c r="AB812" s="37"/>
      <c r="AC812" s="37"/>
      <c r="AD812" s="37"/>
      <c r="AE812" s="37"/>
      <c r="AF812" s="37"/>
      <c r="AG812" s="37"/>
      <c r="AH812" s="37"/>
      <c r="AI812" s="37"/>
      <c r="AJ812" s="37"/>
      <c r="AK812" s="37"/>
      <c r="AL812" s="37"/>
      <c r="AM812" s="37"/>
      <c r="AN812" s="37"/>
      <c r="AO812" s="37"/>
      <c r="AP812" s="37"/>
    </row>
    <row r="813" customFormat="false" ht="15.75" hidden="false" customHeight="true" outlineLevel="0" collapsed="false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  <c r="AA813" s="37"/>
      <c r="AB813" s="37"/>
      <c r="AC813" s="37"/>
      <c r="AD813" s="37"/>
      <c r="AE813" s="37"/>
      <c r="AF813" s="37"/>
      <c r="AG813" s="37"/>
      <c r="AH813" s="37"/>
      <c r="AI813" s="37"/>
      <c r="AJ813" s="37"/>
      <c r="AK813" s="37"/>
      <c r="AL813" s="37"/>
      <c r="AM813" s="37"/>
      <c r="AN813" s="37"/>
      <c r="AO813" s="37"/>
      <c r="AP813" s="37"/>
    </row>
    <row r="814" customFormat="false" ht="15.75" hidden="false" customHeight="true" outlineLevel="0" collapsed="false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  <c r="AA814" s="37"/>
      <c r="AB814" s="37"/>
      <c r="AC814" s="37"/>
      <c r="AD814" s="37"/>
      <c r="AE814" s="37"/>
      <c r="AF814" s="37"/>
      <c r="AG814" s="37"/>
      <c r="AH814" s="37"/>
      <c r="AI814" s="37"/>
      <c r="AJ814" s="37"/>
      <c r="AK814" s="37"/>
      <c r="AL814" s="37"/>
      <c r="AM814" s="37"/>
      <c r="AN814" s="37"/>
      <c r="AO814" s="37"/>
      <c r="AP814" s="37"/>
    </row>
    <row r="815" customFormat="false" ht="15.75" hidden="false" customHeight="true" outlineLevel="0" collapsed="false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  <c r="AA815" s="37"/>
      <c r="AB815" s="37"/>
      <c r="AC815" s="37"/>
      <c r="AD815" s="37"/>
      <c r="AE815" s="37"/>
      <c r="AF815" s="37"/>
      <c r="AG815" s="37"/>
      <c r="AH815" s="37"/>
      <c r="AI815" s="37"/>
      <c r="AJ815" s="37"/>
      <c r="AK815" s="37"/>
      <c r="AL815" s="37"/>
      <c r="AM815" s="37"/>
      <c r="AN815" s="37"/>
      <c r="AO815" s="37"/>
      <c r="AP815" s="37"/>
    </row>
    <row r="816" customFormat="false" ht="15.75" hidden="false" customHeight="true" outlineLevel="0" collapsed="false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  <c r="AA816" s="37"/>
      <c r="AB816" s="37"/>
      <c r="AC816" s="37"/>
      <c r="AD816" s="37"/>
      <c r="AE816" s="37"/>
      <c r="AF816" s="37"/>
      <c r="AG816" s="37"/>
      <c r="AH816" s="37"/>
      <c r="AI816" s="37"/>
      <c r="AJ816" s="37"/>
      <c r="AK816" s="37"/>
      <c r="AL816" s="37"/>
      <c r="AM816" s="37"/>
      <c r="AN816" s="37"/>
      <c r="AO816" s="37"/>
      <c r="AP816" s="37"/>
    </row>
    <row r="817" customFormat="false" ht="15.75" hidden="false" customHeight="true" outlineLevel="0" collapsed="false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  <c r="AA817" s="37"/>
      <c r="AB817" s="37"/>
      <c r="AC817" s="37"/>
      <c r="AD817" s="37"/>
      <c r="AE817" s="37"/>
      <c r="AF817" s="37"/>
      <c r="AG817" s="37"/>
      <c r="AH817" s="37"/>
      <c r="AI817" s="37"/>
      <c r="AJ817" s="37"/>
      <c r="AK817" s="37"/>
      <c r="AL817" s="37"/>
      <c r="AM817" s="37"/>
      <c r="AN817" s="37"/>
      <c r="AO817" s="37"/>
      <c r="AP817" s="37"/>
    </row>
    <row r="818" customFormat="false" ht="15.75" hidden="false" customHeight="true" outlineLevel="0" collapsed="false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  <c r="AA818" s="37"/>
      <c r="AB818" s="37"/>
      <c r="AC818" s="37"/>
      <c r="AD818" s="37"/>
      <c r="AE818" s="37"/>
      <c r="AF818" s="37"/>
      <c r="AG818" s="37"/>
      <c r="AH818" s="37"/>
      <c r="AI818" s="37"/>
      <c r="AJ818" s="37"/>
      <c r="AK818" s="37"/>
      <c r="AL818" s="37"/>
      <c r="AM818" s="37"/>
      <c r="AN818" s="37"/>
      <c r="AO818" s="37"/>
      <c r="AP818" s="37"/>
    </row>
    <row r="819" customFormat="false" ht="15.75" hidden="false" customHeight="true" outlineLevel="0" collapsed="false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  <c r="AA819" s="37"/>
      <c r="AB819" s="37"/>
      <c r="AC819" s="37"/>
      <c r="AD819" s="37"/>
      <c r="AE819" s="37"/>
      <c r="AF819" s="37"/>
      <c r="AG819" s="37"/>
      <c r="AH819" s="37"/>
      <c r="AI819" s="37"/>
      <c r="AJ819" s="37"/>
      <c r="AK819" s="37"/>
      <c r="AL819" s="37"/>
      <c r="AM819" s="37"/>
      <c r="AN819" s="37"/>
      <c r="AO819" s="37"/>
      <c r="AP819" s="37"/>
    </row>
    <row r="820" customFormat="false" ht="15.75" hidden="false" customHeight="true" outlineLevel="0" collapsed="false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  <c r="AA820" s="37"/>
      <c r="AB820" s="37"/>
      <c r="AC820" s="37"/>
      <c r="AD820" s="37"/>
      <c r="AE820" s="37"/>
      <c r="AF820" s="37"/>
      <c r="AG820" s="37"/>
      <c r="AH820" s="37"/>
      <c r="AI820" s="37"/>
      <c r="AJ820" s="37"/>
      <c r="AK820" s="37"/>
      <c r="AL820" s="37"/>
      <c r="AM820" s="37"/>
      <c r="AN820" s="37"/>
      <c r="AO820" s="37"/>
      <c r="AP820" s="37"/>
    </row>
    <row r="821" customFormat="false" ht="15.75" hidden="false" customHeight="true" outlineLevel="0" collapsed="false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  <c r="AA821" s="37"/>
      <c r="AB821" s="37"/>
      <c r="AC821" s="37"/>
      <c r="AD821" s="37"/>
      <c r="AE821" s="37"/>
      <c r="AF821" s="37"/>
      <c r="AG821" s="37"/>
      <c r="AH821" s="37"/>
      <c r="AI821" s="37"/>
      <c r="AJ821" s="37"/>
      <c r="AK821" s="37"/>
      <c r="AL821" s="37"/>
      <c r="AM821" s="37"/>
      <c r="AN821" s="37"/>
      <c r="AO821" s="37"/>
      <c r="AP821" s="37"/>
    </row>
    <row r="822" customFormat="false" ht="15.75" hidden="false" customHeight="true" outlineLevel="0" collapsed="false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  <c r="AA822" s="37"/>
      <c r="AB822" s="37"/>
      <c r="AC822" s="37"/>
      <c r="AD822" s="37"/>
      <c r="AE822" s="37"/>
      <c r="AF822" s="37"/>
      <c r="AG822" s="37"/>
      <c r="AH822" s="37"/>
      <c r="AI822" s="37"/>
      <c r="AJ822" s="37"/>
      <c r="AK822" s="37"/>
      <c r="AL822" s="37"/>
      <c r="AM822" s="37"/>
      <c r="AN822" s="37"/>
      <c r="AO822" s="37"/>
      <c r="AP822" s="37"/>
    </row>
    <row r="823" customFormat="false" ht="15.75" hidden="false" customHeight="true" outlineLevel="0" collapsed="false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  <c r="AA823" s="37"/>
      <c r="AB823" s="37"/>
      <c r="AC823" s="37"/>
      <c r="AD823" s="37"/>
      <c r="AE823" s="37"/>
      <c r="AF823" s="37"/>
      <c r="AG823" s="37"/>
      <c r="AH823" s="37"/>
      <c r="AI823" s="37"/>
      <c r="AJ823" s="37"/>
      <c r="AK823" s="37"/>
      <c r="AL823" s="37"/>
      <c r="AM823" s="37"/>
      <c r="AN823" s="37"/>
      <c r="AO823" s="37"/>
      <c r="AP823" s="37"/>
    </row>
    <row r="824" customFormat="false" ht="15.75" hidden="false" customHeight="true" outlineLevel="0" collapsed="false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  <c r="AA824" s="37"/>
      <c r="AB824" s="37"/>
      <c r="AC824" s="37"/>
      <c r="AD824" s="37"/>
      <c r="AE824" s="37"/>
      <c r="AF824" s="37"/>
      <c r="AG824" s="37"/>
      <c r="AH824" s="37"/>
      <c r="AI824" s="37"/>
      <c r="AJ824" s="37"/>
      <c r="AK824" s="37"/>
      <c r="AL824" s="37"/>
      <c r="AM824" s="37"/>
      <c r="AN824" s="37"/>
      <c r="AO824" s="37"/>
      <c r="AP824" s="37"/>
    </row>
    <row r="825" customFormat="false" ht="15.75" hidden="false" customHeight="true" outlineLevel="0" collapsed="false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  <c r="AA825" s="37"/>
      <c r="AB825" s="37"/>
      <c r="AC825" s="37"/>
      <c r="AD825" s="37"/>
      <c r="AE825" s="37"/>
      <c r="AF825" s="37"/>
      <c r="AG825" s="37"/>
      <c r="AH825" s="37"/>
      <c r="AI825" s="37"/>
      <c r="AJ825" s="37"/>
      <c r="AK825" s="37"/>
      <c r="AL825" s="37"/>
      <c r="AM825" s="37"/>
      <c r="AN825" s="37"/>
      <c r="AO825" s="37"/>
      <c r="AP825" s="37"/>
    </row>
    <row r="826" customFormat="false" ht="15.75" hidden="false" customHeight="true" outlineLevel="0" collapsed="false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  <c r="AA826" s="37"/>
      <c r="AB826" s="37"/>
      <c r="AC826" s="37"/>
      <c r="AD826" s="37"/>
      <c r="AE826" s="37"/>
      <c r="AF826" s="37"/>
      <c r="AG826" s="37"/>
      <c r="AH826" s="37"/>
      <c r="AI826" s="37"/>
      <c r="AJ826" s="37"/>
      <c r="AK826" s="37"/>
      <c r="AL826" s="37"/>
      <c r="AM826" s="37"/>
      <c r="AN826" s="37"/>
      <c r="AO826" s="37"/>
      <c r="AP826" s="37"/>
    </row>
    <row r="827" customFormat="false" ht="15.75" hidden="false" customHeight="true" outlineLevel="0" collapsed="false">
      <c r="A827" s="37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  <c r="AA827" s="37"/>
      <c r="AB827" s="37"/>
      <c r="AC827" s="37"/>
      <c r="AD827" s="37"/>
      <c r="AE827" s="37"/>
      <c r="AF827" s="37"/>
      <c r="AG827" s="37"/>
      <c r="AH827" s="37"/>
      <c r="AI827" s="37"/>
      <c r="AJ827" s="37"/>
      <c r="AK827" s="37"/>
      <c r="AL827" s="37"/>
      <c r="AM827" s="37"/>
      <c r="AN827" s="37"/>
      <c r="AO827" s="37"/>
      <c r="AP827" s="37"/>
    </row>
    <row r="828" customFormat="false" ht="15.75" hidden="false" customHeight="true" outlineLevel="0" collapsed="false">
      <c r="A828" s="37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  <c r="AA828" s="37"/>
      <c r="AB828" s="37"/>
      <c r="AC828" s="37"/>
      <c r="AD828" s="37"/>
      <c r="AE828" s="37"/>
      <c r="AF828" s="37"/>
      <c r="AG828" s="37"/>
      <c r="AH828" s="37"/>
      <c r="AI828" s="37"/>
      <c r="AJ828" s="37"/>
      <c r="AK828" s="37"/>
      <c r="AL828" s="37"/>
      <c r="AM828" s="37"/>
      <c r="AN828" s="37"/>
      <c r="AO828" s="37"/>
      <c r="AP828" s="37"/>
    </row>
    <row r="829" customFormat="false" ht="15.75" hidden="false" customHeight="true" outlineLevel="0" collapsed="false">
      <c r="A829" s="37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  <c r="AA829" s="37"/>
      <c r="AB829" s="37"/>
      <c r="AC829" s="37"/>
      <c r="AD829" s="37"/>
      <c r="AE829" s="37"/>
      <c r="AF829" s="37"/>
      <c r="AG829" s="37"/>
      <c r="AH829" s="37"/>
      <c r="AI829" s="37"/>
      <c r="AJ829" s="37"/>
      <c r="AK829" s="37"/>
      <c r="AL829" s="37"/>
      <c r="AM829" s="37"/>
      <c r="AN829" s="37"/>
      <c r="AO829" s="37"/>
      <c r="AP829" s="37"/>
    </row>
    <row r="830" customFormat="false" ht="15.75" hidden="false" customHeight="true" outlineLevel="0" collapsed="false">
      <c r="A830" s="37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  <c r="AA830" s="37"/>
      <c r="AB830" s="37"/>
      <c r="AC830" s="37"/>
      <c r="AD830" s="37"/>
      <c r="AE830" s="37"/>
      <c r="AF830" s="37"/>
      <c r="AG830" s="37"/>
      <c r="AH830" s="37"/>
      <c r="AI830" s="37"/>
      <c r="AJ830" s="37"/>
      <c r="AK830" s="37"/>
      <c r="AL830" s="37"/>
      <c r="AM830" s="37"/>
      <c r="AN830" s="37"/>
      <c r="AO830" s="37"/>
      <c r="AP830" s="37"/>
    </row>
    <row r="831" customFormat="false" ht="15.75" hidden="false" customHeight="true" outlineLevel="0" collapsed="false">
      <c r="A831" s="37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  <c r="AA831" s="37"/>
      <c r="AB831" s="37"/>
      <c r="AC831" s="37"/>
      <c r="AD831" s="37"/>
      <c r="AE831" s="37"/>
      <c r="AF831" s="37"/>
      <c r="AG831" s="37"/>
      <c r="AH831" s="37"/>
      <c r="AI831" s="37"/>
      <c r="AJ831" s="37"/>
      <c r="AK831" s="37"/>
      <c r="AL831" s="37"/>
      <c r="AM831" s="37"/>
      <c r="AN831" s="37"/>
      <c r="AO831" s="37"/>
      <c r="AP831" s="37"/>
    </row>
    <row r="832" customFormat="false" ht="15.75" hidden="false" customHeight="true" outlineLevel="0" collapsed="false">
      <c r="A832" s="37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  <c r="AA832" s="37"/>
      <c r="AB832" s="37"/>
      <c r="AC832" s="37"/>
      <c r="AD832" s="37"/>
      <c r="AE832" s="37"/>
      <c r="AF832" s="37"/>
      <c r="AG832" s="37"/>
      <c r="AH832" s="37"/>
      <c r="AI832" s="37"/>
      <c r="AJ832" s="37"/>
      <c r="AK832" s="37"/>
      <c r="AL832" s="37"/>
      <c r="AM832" s="37"/>
      <c r="AN832" s="37"/>
      <c r="AO832" s="37"/>
      <c r="AP832" s="37"/>
    </row>
    <row r="833" customFormat="false" ht="15.75" hidden="false" customHeight="true" outlineLevel="0" collapsed="false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  <c r="AA833" s="37"/>
      <c r="AB833" s="37"/>
      <c r="AC833" s="37"/>
      <c r="AD833" s="37"/>
      <c r="AE833" s="37"/>
      <c r="AF833" s="37"/>
      <c r="AG833" s="37"/>
      <c r="AH833" s="37"/>
      <c r="AI833" s="37"/>
      <c r="AJ833" s="37"/>
      <c r="AK833" s="37"/>
      <c r="AL833" s="37"/>
      <c r="AM833" s="37"/>
      <c r="AN833" s="37"/>
      <c r="AO833" s="37"/>
      <c r="AP833" s="37"/>
    </row>
    <row r="834" customFormat="false" ht="15.75" hidden="false" customHeight="true" outlineLevel="0" collapsed="false">
      <c r="A834" s="37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  <c r="AA834" s="37"/>
      <c r="AB834" s="37"/>
      <c r="AC834" s="37"/>
      <c r="AD834" s="37"/>
      <c r="AE834" s="37"/>
      <c r="AF834" s="37"/>
      <c r="AG834" s="37"/>
      <c r="AH834" s="37"/>
      <c r="AI834" s="37"/>
      <c r="AJ834" s="37"/>
      <c r="AK834" s="37"/>
      <c r="AL834" s="37"/>
      <c r="AM834" s="37"/>
      <c r="AN834" s="37"/>
      <c r="AO834" s="37"/>
      <c r="AP834" s="37"/>
    </row>
    <row r="835" customFormat="false" ht="15.75" hidden="false" customHeight="true" outlineLevel="0" collapsed="false">
      <c r="A835" s="37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  <c r="AA835" s="37"/>
      <c r="AB835" s="37"/>
      <c r="AC835" s="37"/>
      <c r="AD835" s="37"/>
      <c r="AE835" s="37"/>
      <c r="AF835" s="37"/>
      <c r="AG835" s="37"/>
      <c r="AH835" s="37"/>
      <c r="AI835" s="37"/>
      <c r="AJ835" s="37"/>
      <c r="AK835" s="37"/>
      <c r="AL835" s="37"/>
      <c r="AM835" s="37"/>
      <c r="AN835" s="37"/>
      <c r="AO835" s="37"/>
      <c r="AP835" s="37"/>
    </row>
    <row r="836" customFormat="false" ht="15.75" hidden="false" customHeight="true" outlineLevel="0" collapsed="false">
      <c r="A836" s="37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  <c r="AA836" s="37"/>
      <c r="AB836" s="37"/>
      <c r="AC836" s="37"/>
      <c r="AD836" s="37"/>
      <c r="AE836" s="37"/>
      <c r="AF836" s="37"/>
      <c r="AG836" s="37"/>
      <c r="AH836" s="37"/>
      <c r="AI836" s="37"/>
      <c r="AJ836" s="37"/>
      <c r="AK836" s="37"/>
      <c r="AL836" s="37"/>
      <c r="AM836" s="37"/>
      <c r="AN836" s="37"/>
      <c r="AO836" s="37"/>
      <c r="AP836" s="37"/>
    </row>
    <row r="837" customFormat="false" ht="15.75" hidden="false" customHeight="true" outlineLevel="0" collapsed="false">
      <c r="A837" s="37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  <c r="AA837" s="37"/>
      <c r="AB837" s="37"/>
      <c r="AC837" s="37"/>
      <c r="AD837" s="37"/>
      <c r="AE837" s="37"/>
      <c r="AF837" s="37"/>
      <c r="AG837" s="37"/>
      <c r="AH837" s="37"/>
      <c r="AI837" s="37"/>
      <c r="AJ837" s="37"/>
      <c r="AK837" s="37"/>
      <c r="AL837" s="37"/>
      <c r="AM837" s="37"/>
      <c r="AN837" s="37"/>
      <c r="AO837" s="37"/>
      <c r="AP837" s="37"/>
    </row>
    <row r="838" customFormat="false" ht="15.75" hidden="false" customHeight="true" outlineLevel="0" collapsed="false">
      <c r="A838" s="37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  <c r="AA838" s="37"/>
      <c r="AB838" s="37"/>
      <c r="AC838" s="37"/>
      <c r="AD838" s="37"/>
      <c r="AE838" s="37"/>
      <c r="AF838" s="37"/>
      <c r="AG838" s="37"/>
      <c r="AH838" s="37"/>
      <c r="AI838" s="37"/>
      <c r="AJ838" s="37"/>
      <c r="AK838" s="37"/>
      <c r="AL838" s="37"/>
      <c r="AM838" s="37"/>
      <c r="AN838" s="37"/>
      <c r="AO838" s="37"/>
      <c r="AP838" s="37"/>
    </row>
    <row r="839" customFormat="false" ht="15.75" hidden="false" customHeight="true" outlineLevel="0" collapsed="false">
      <c r="A839" s="37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  <c r="AA839" s="37"/>
      <c r="AB839" s="37"/>
      <c r="AC839" s="37"/>
      <c r="AD839" s="37"/>
      <c r="AE839" s="37"/>
      <c r="AF839" s="37"/>
      <c r="AG839" s="37"/>
      <c r="AH839" s="37"/>
      <c r="AI839" s="37"/>
      <c r="AJ839" s="37"/>
      <c r="AK839" s="37"/>
      <c r="AL839" s="37"/>
      <c r="AM839" s="37"/>
      <c r="AN839" s="37"/>
      <c r="AO839" s="37"/>
      <c r="AP839" s="37"/>
    </row>
    <row r="840" customFormat="false" ht="15.75" hidden="false" customHeight="true" outlineLevel="0" collapsed="false">
      <c r="A840" s="37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  <c r="AA840" s="37"/>
      <c r="AB840" s="37"/>
      <c r="AC840" s="37"/>
      <c r="AD840" s="37"/>
      <c r="AE840" s="37"/>
      <c r="AF840" s="37"/>
      <c r="AG840" s="37"/>
      <c r="AH840" s="37"/>
      <c r="AI840" s="37"/>
      <c r="AJ840" s="37"/>
      <c r="AK840" s="37"/>
      <c r="AL840" s="37"/>
      <c r="AM840" s="37"/>
      <c r="AN840" s="37"/>
      <c r="AO840" s="37"/>
      <c r="AP840" s="37"/>
    </row>
    <row r="841" customFormat="false" ht="15.75" hidden="false" customHeight="true" outlineLevel="0" collapsed="false">
      <c r="A841" s="37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  <c r="AA841" s="37"/>
      <c r="AB841" s="37"/>
      <c r="AC841" s="37"/>
      <c r="AD841" s="37"/>
      <c r="AE841" s="37"/>
      <c r="AF841" s="37"/>
      <c r="AG841" s="37"/>
      <c r="AH841" s="37"/>
      <c r="AI841" s="37"/>
      <c r="AJ841" s="37"/>
      <c r="AK841" s="37"/>
      <c r="AL841" s="37"/>
      <c r="AM841" s="37"/>
      <c r="AN841" s="37"/>
      <c r="AO841" s="37"/>
      <c r="AP841" s="37"/>
    </row>
    <row r="842" customFormat="false" ht="15.75" hidden="false" customHeight="true" outlineLevel="0" collapsed="false">
      <c r="A842" s="37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  <c r="AA842" s="37"/>
      <c r="AB842" s="37"/>
      <c r="AC842" s="37"/>
      <c r="AD842" s="37"/>
      <c r="AE842" s="37"/>
      <c r="AF842" s="37"/>
      <c r="AG842" s="37"/>
      <c r="AH842" s="37"/>
      <c r="AI842" s="37"/>
      <c r="AJ842" s="37"/>
      <c r="AK842" s="37"/>
      <c r="AL842" s="37"/>
      <c r="AM842" s="37"/>
      <c r="AN842" s="37"/>
      <c r="AO842" s="37"/>
      <c r="AP842" s="37"/>
    </row>
    <row r="843" customFormat="false" ht="15.75" hidden="false" customHeight="true" outlineLevel="0" collapsed="false">
      <c r="A843" s="37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  <c r="AA843" s="37"/>
      <c r="AB843" s="37"/>
      <c r="AC843" s="37"/>
      <c r="AD843" s="37"/>
      <c r="AE843" s="37"/>
      <c r="AF843" s="37"/>
      <c r="AG843" s="37"/>
      <c r="AH843" s="37"/>
      <c r="AI843" s="37"/>
      <c r="AJ843" s="37"/>
      <c r="AK843" s="37"/>
      <c r="AL843" s="37"/>
      <c r="AM843" s="37"/>
      <c r="AN843" s="37"/>
      <c r="AO843" s="37"/>
      <c r="AP843" s="37"/>
    </row>
    <row r="844" customFormat="false" ht="15.75" hidden="false" customHeight="true" outlineLevel="0" collapsed="false">
      <c r="A844" s="37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  <c r="AA844" s="37"/>
      <c r="AB844" s="37"/>
      <c r="AC844" s="37"/>
      <c r="AD844" s="37"/>
      <c r="AE844" s="37"/>
      <c r="AF844" s="37"/>
      <c r="AG844" s="37"/>
      <c r="AH844" s="37"/>
      <c r="AI844" s="37"/>
      <c r="AJ844" s="37"/>
      <c r="AK844" s="37"/>
      <c r="AL844" s="37"/>
      <c r="AM844" s="37"/>
      <c r="AN844" s="37"/>
      <c r="AO844" s="37"/>
      <c r="AP844" s="37"/>
    </row>
    <row r="845" customFormat="false" ht="15.75" hidden="false" customHeight="true" outlineLevel="0" collapsed="false">
      <c r="A845" s="37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  <c r="AA845" s="37"/>
      <c r="AB845" s="37"/>
      <c r="AC845" s="37"/>
      <c r="AD845" s="37"/>
      <c r="AE845" s="37"/>
      <c r="AF845" s="37"/>
      <c r="AG845" s="37"/>
      <c r="AH845" s="37"/>
      <c r="AI845" s="37"/>
      <c r="AJ845" s="37"/>
      <c r="AK845" s="37"/>
      <c r="AL845" s="37"/>
      <c r="AM845" s="37"/>
      <c r="AN845" s="37"/>
      <c r="AO845" s="37"/>
      <c r="AP845" s="37"/>
    </row>
    <row r="846" customFormat="false" ht="15.75" hidden="false" customHeight="true" outlineLevel="0" collapsed="false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  <c r="AA846" s="37"/>
      <c r="AB846" s="37"/>
      <c r="AC846" s="37"/>
      <c r="AD846" s="37"/>
      <c r="AE846" s="37"/>
      <c r="AF846" s="37"/>
      <c r="AG846" s="37"/>
      <c r="AH846" s="37"/>
      <c r="AI846" s="37"/>
      <c r="AJ846" s="37"/>
      <c r="AK846" s="37"/>
      <c r="AL846" s="37"/>
      <c r="AM846" s="37"/>
      <c r="AN846" s="37"/>
      <c r="AO846" s="37"/>
      <c r="AP846" s="37"/>
    </row>
    <row r="847" customFormat="false" ht="15.75" hidden="false" customHeight="true" outlineLevel="0" collapsed="false">
      <c r="A847" s="37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  <c r="AA847" s="37"/>
      <c r="AB847" s="37"/>
      <c r="AC847" s="37"/>
      <c r="AD847" s="37"/>
      <c r="AE847" s="37"/>
      <c r="AF847" s="37"/>
      <c r="AG847" s="37"/>
      <c r="AH847" s="37"/>
      <c r="AI847" s="37"/>
      <c r="AJ847" s="37"/>
      <c r="AK847" s="37"/>
      <c r="AL847" s="37"/>
      <c r="AM847" s="37"/>
      <c r="AN847" s="37"/>
      <c r="AO847" s="37"/>
      <c r="AP847" s="37"/>
    </row>
    <row r="848" customFormat="false" ht="15.75" hidden="false" customHeight="true" outlineLevel="0" collapsed="false">
      <c r="A848" s="37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  <c r="AA848" s="37"/>
      <c r="AB848" s="37"/>
      <c r="AC848" s="37"/>
      <c r="AD848" s="37"/>
      <c r="AE848" s="37"/>
      <c r="AF848" s="37"/>
      <c r="AG848" s="37"/>
      <c r="AH848" s="37"/>
      <c r="AI848" s="37"/>
      <c r="AJ848" s="37"/>
      <c r="AK848" s="37"/>
      <c r="AL848" s="37"/>
      <c r="AM848" s="37"/>
      <c r="AN848" s="37"/>
      <c r="AO848" s="37"/>
      <c r="AP848" s="37"/>
    </row>
    <row r="849" customFormat="false" ht="15.75" hidden="false" customHeight="true" outlineLevel="0" collapsed="false">
      <c r="A849" s="37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  <c r="AA849" s="37"/>
      <c r="AB849" s="37"/>
      <c r="AC849" s="37"/>
      <c r="AD849" s="37"/>
      <c r="AE849" s="37"/>
      <c r="AF849" s="37"/>
      <c r="AG849" s="37"/>
      <c r="AH849" s="37"/>
      <c r="AI849" s="37"/>
      <c r="AJ849" s="37"/>
      <c r="AK849" s="37"/>
      <c r="AL849" s="37"/>
      <c r="AM849" s="37"/>
      <c r="AN849" s="37"/>
      <c r="AO849" s="37"/>
      <c r="AP849" s="37"/>
    </row>
    <row r="850" customFormat="false" ht="15.75" hidden="false" customHeight="true" outlineLevel="0" collapsed="false">
      <c r="A850" s="37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  <c r="AA850" s="37"/>
      <c r="AB850" s="37"/>
      <c r="AC850" s="37"/>
      <c r="AD850" s="37"/>
      <c r="AE850" s="37"/>
      <c r="AF850" s="37"/>
      <c r="AG850" s="37"/>
      <c r="AH850" s="37"/>
      <c r="AI850" s="37"/>
      <c r="AJ850" s="37"/>
      <c r="AK850" s="37"/>
      <c r="AL850" s="37"/>
      <c r="AM850" s="37"/>
      <c r="AN850" s="37"/>
      <c r="AO850" s="37"/>
      <c r="AP850" s="37"/>
    </row>
    <row r="851" customFormat="false" ht="15.75" hidden="false" customHeight="true" outlineLevel="0" collapsed="false">
      <c r="A851" s="37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  <c r="AA851" s="37"/>
      <c r="AB851" s="37"/>
      <c r="AC851" s="37"/>
      <c r="AD851" s="37"/>
      <c r="AE851" s="37"/>
      <c r="AF851" s="37"/>
      <c r="AG851" s="37"/>
      <c r="AH851" s="37"/>
      <c r="AI851" s="37"/>
      <c r="AJ851" s="37"/>
      <c r="AK851" s="37"/>
      <c r="AL851" s="37"/>
      <c r="AM851" s="37"/>
      <c r="AN851" s="37"/>
      <c r="AO851" s="37"/>
      <c r="AP851" s="37"/>
    </row>
    <row r="852" customFormat="false" ht="15.75" hidden="false" customHeight="true" outlineLevel="0" collapsed="false">
      <c r="A852" s="37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  <c r="AA852" s="37"/>
      <c r="AB852" s="37"/>
      <c r="AC852" s="37"/>
      <c r="AD852" s="37"/>
      <c r="AE852" s="37"/>
      <c r="AF852" s="37"/>
      <c r="AG852" s="37"/>
      <c r="AH852" s="37"/>
      <c r="AI852" s="37"/>
      <c r="AJ852" s="37"/>
      <c r="AK852" s="37"/>
      <c r="AL852" s="37"/>
      <c r="AM852" s="37"/>
      <c r="AN852" s="37"/>
      <c r="AO852" s="37"/>
      <c r="AP852" s="37"/>
    </row>
    <row r="853" customFormat="false" ht="15.75" hidden="false" customHeight="true" outlineLevel="0" collapsed="false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  <c r="AA853" s="37"/>
      <c r="AB853" s="37"/>
      <c r="AC853" s="37"/>
      <c r="AD853" s="37"/>
      <c r="AE853" s="37"/>
      <c r="AF853" s="37"/>
      <c r="AG853" s="37"/>
      <c r="AH853" s="37"/>
      <c r="AI853" s="37"/>
      <c r="AJ853" s="37"/>
      <c r="AK853" s="37"/>
      <c r="AL853" s="37"/>
      <c r="AM853" s="37"/>
      <c r="AN853" s="37"/>
      <c r="AO853" s="37"/>
      <c r="AP853" s="37"/>
    </row>
    <row r="854" customFormat="false" ht="15.75" hidden="false" customHeight="true" outlineLevel="0" collapsed="false">
      <c r="A854" s="37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  <c r="AA854" s="37"/>
      <c r="AB854" s="37"/>
      <c r="AC854" s="37"/>
      <c r="AD854" s="37"/>
      <c r="AE854" s="37"/>
      <c r="AF854" s="37"/>
      <c r="AG854" s="37"/>
      <c r="AH854" s="37"/>
      <c r="AI854" s="37"/>
      <c r="AJ854" s="37"/>
      <c r="AK854" s="37"/>
      <c r="AL854" s="37"/>
      <c r="AM854" s="37"/>
      <c r="AN854" s="37"/>
      <c r="AO854" s="37"/>
      <c r="AP854" s="37"/>
    </row>
    <row r="855" customFormat="false" ht="15.75" hidden="false" customHeight="true" outlineLevel="0" collapsed="false">
      <c r="A855" s="37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  <c r="AA855" s="37"/>
      <c r="AB855" s="37"/>
      <c r="AC855" s="37"/>
      <c r="AD855" s="37"/>
      <c r="AE855" s="37"/>
      <c r="AF855" s="37"/>
      <c r="AG855" s="37"/>
      <c r="AH855" s="37"/>
      <c r="AI855" s="37"/>
      <c r="AJ855" s="37"/>
      <c r="AK855" s="37"/>
      <c r="AL855" s="37"/>
      <c r="AM855" s="37"/>
      <c r="AN855" s="37"/>
      <c r="AO855" s="37"/>
      <c r="AP855" s="37"/>
    </row>
    <row r="856" customFormat="false" ht="15.75" hidden="false" customHeight="true" outlineLevel="0" collapsed="false">
      <c r="A856" s="37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  <c r="AA856" s="37"/>
      <c r="AB856" s="37"/>
      <c r="AC856" s="37"/>
      <c r="AD856" s="37"/>
      <c r="AE856" s="37"/>
      <c r="AF856" s="37"/>
      <c r="AG856" s="37"/>
      <c r="AH856" s="37"/>
      <c r="AI856" s="37"/>
      <c r="AJ856" s="37"/>
      <c r="AK856" s="37"/>
      <c r="AL856" s="37"/>
      <c r="AM856" s="37"/>
      <c r="AN856" s="37"/>
      <c r="AO856" s="37"/>
      <c r="AP856" s="37"/>
    </row>
    <row r="857" customFormat="false" ht="15.75" hidden="false" customHeight="true" outlineLevel="0" collapsed="false">
      <c r="A857" s="37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  <c r="AA857" s="37"/>
      <c r="AB857" s="37"/>
      <c r="AC857" s="37"/>
      <c r="AD857" s="37"/>
      <c r="AE857" s="37"/>
      <c r="AF857" s="37"/>
      <c r="AG857" s="37"/>
      <c r="AH857" s="37"/>
      <c r="AI857" s="37"/>
      <c r="AJ857" s="37"/>
      <c r="AK857" s="37"/>
      <c r="AL857" s="37"/>
      <c r="AM857" s="37"/>
      <c r="AN857" s="37"/>
      <c r="AO857" s="37"/>
      <c r="AP857" s="37"/>
    </row>
    <row r="858" customFormat="false" ht="15.75" hidden="false" customHeight="true" outlineLevel="0" collapsed="false">
      <c r="A858" s="37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  <c r="AA858" s="37"/>
      <c r="AB858" s="37"/>
      <c r="AC858" s="37"/>
      <c r="AD858" s="37"/>
      <c r="AE858" s="37"/>
      <c r="AF858" s="37"/>
      <c r="AG858" s="37"/>
      <c r="AH858" s="37"/>
      <c r="AI858" s="37"/>
      <c r="AJ858" s="37"/>
      <c r="AK858" s="37"/>
      <c r="AL858" s="37"/>
      <c r="AM858" s="37"/>
      <c r="AN858" s="37"/>
      <c r="AO858" s="37"/>
      <c r="AP858" s="37"/>
    </row>
    <row r="859" customFormat="false" ht="15.75" hidden="false" customHeight="true" outlineLevel="0" collapsed="false">
      <c r="A859" s="37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  <c r="AA859" s="37"/>
      <c r="AB859" s="37"/>
      <c r="AC859" s="37"/>
      <c r="AD859" s="37"/>
      <c r="AE859" s="37"/>
      <c r="AF859" s="37"/>
      <c r="AG859" s="37"/>
      <c r="AH859" s="37"/>
      <c r="AI859" s="37"/>
      <c r="AJ859" s="37"/>
      <c r="AK859" s="37"/>
      <c r="AL859" s="37"/>
      <c r="AM859" s="37"/>
      <c r="AN859" s="37"/>
      <c r="AO859" s="37"/>
      <c r="AP859" s="37"/>
    </row>
    <row r="860" customFormat="false" ht="15.75" hidden="false" customHeight="true" outlineLevel="0" collapsed="false">
      <c r="A860" s="37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  <c r="AA860" s="37"/>
      <c r="AB860" s="37"/>
      <c r="AC860" s="37"/>
      <c r="AD860" s="37"/>
      <c r="AE860" s="37"/>
      <c r="AF860" s="37"/>
      <c r="AG860" s="37"/>
      <c r="AH860" s="37"/>
      <c r="AI860" s="37"/>
      <c r="AJ860" s="37"/>
      <c r="AK860" s="37"/>
      <c r="AL860" s="37"/>
      <c r="AM860" s="37"/>
      <c r="AN860" s="37"/>
      <c r="AO860" s="37"/>
      <c r="AP860" s="37"/>
    </row>
    <row r="861" customFormat="false" ht="15.75" hidden="false" customHeight="true" outlineLevel="0" collapsed="false">
      <c r="A861" s="37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  <c r="AA861" s="37"/>
      <c r="AB861" s="37"/>
      <c r="AC861" s="37"/>
      <c r="AD861" s="37"/>
      <c r="AE861" s="37"/>
      <c r="AF861" s="37"/>
      <c r="AG861" s="37"/>
      <c r="AH861" s="37"/>
      <c r="AI861" s="37"/>
      <c r="AJ861" s="37"/>
      <c r="AK861" s="37"/>
      <c r="AL861" s="37"/>
      <c r="AM861" s="37"/>
      <c r="AN861" s="37"/>
      <c r="AO861" s="37"/>
      <c r="AP861" s="37"/>
    </row>
    <row r="862" customFormat="false" ht="15.75" hidden="false" customHeight="true" outlineLevel="0" collapsed="false">
      <c r="A862" s="37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  <c r="AA862" s="37"/>
      <c r="AB862" s="37"/>
      <c r="AC862" s="37"/>
      <c r="AD862" s="37"/>
      <c r="AE862" s="37"/>
      <c r="AF862" s="37"/>
      <c r="AG862" s="37"/>
      <c r="AH862" s="37"/>
      <c r="AI862" s="37"/>
      <c r="AJ862" s="37"/>
      <c r="AK862" s="37"/>
      <c r="AL862" s="37"/>
      <c r="AM862" s="37"/>
      <c r="AN862" s="37"/>
      <c r="AO862" s="37"/>
      <c r="AP862" s="37"/>
    </row>
    <row r="863" customFormat="false" ht="15.75" hidden="false" customHeight="true" outlineLevel="0" collapsed="false">
      <c r="A863" s="37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  <c r="AA863" s="37"/>
      <c r="AB863" s="37"/>
      <c r="AC863" s="37"/>
      <c r="AD863" s="37"/>
      <c r="AE863" s="37"/>
      <c r="AF863" s="37"/>
      <c r="AG863" s="37"/>
      <c r="AH863" s="37"/>
      <c r="AI863" s="37"/>
      <c r="AJ863" s="37"/>
      <c r="AK863" s="37"/>
      <c r="AL863" s="37"/>
      <c r="AM863" s="37"/>
      <c r="AN863" s="37"/>
      <c r="AO863" s="37"/>
      <c r="AP863" s="37"/>
    </row>
    <row r="864" customFormat="false" ht="15.75" hidden="false" customHeight="true" outlineLevel="0" collapsed="false">
      <c r="A864" s="37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  <c r="AA864" s="37"/>
      <c r="AB864" s="37"/>
      <c r="AC864" s="37"/>
      <c r="AD864" s="37"/>
      <c r="AE864" s="37"/>
      <c r="AF864" s="37"/>
      <c r="AG864" s="37"/>
      <c r="AH864" s="37"/>
      <c r="AI864" s="37"/>
      <c r="AJ864" s="37"/>
      <c r="AK864" s="37"/>
      <c r="AL864" s="37"/>
      <c r="AM864" s="37"/>
      <c r="AN864" s="37"/>
      <c r="AO864" s="37"/>
      <c r="AP864" s="37"/>
    </row>
    <row r="865" customFormat="false" ht="15.75" hidden="false" customHeight="true" outlineLevel="0" collapsed="false">
      <c r="A865" s="37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  <c r="AA865" s="37"/>
      <c r="AB865" s="37"/>
      <c r="AC865" s="37"/>
      <c r="AD865" s="37"/>
      <c r="AE865" s="37"/>
      <c r="AF865" s="37"/>
      <c r="AG865" s="37"/>
      <c r="AH865" s="37"/>
      <c r="AI865" s="37"/>
      <c r="AJ865" s="37"/>
      <c r="AK865" s="37"/>
      <c r="AL865" s="37"/>
      <c r="AM865" s="37"/>
      <c r="AN865" s="37"/>
      <c r="AO865" s="37"/>
      <c r="AP865" s="37"/>
    </row>
    <row r="866" customFormat="false" ht="15.75" hidden="false" customHeight="true" outlineLevel="0" collapsed="false">
      <c r="A866" s="37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  <c r="AA866" s="37"/>
      <c r="AB866" s="37"/>
      <c r="AC866" s="37"/>
      <c r="AD866" s="37"/>
      <c r="AE866" s="37"/>
      <c r="AF866" s="37"/>
      <c r="AG866" s="37"/>
      <c r="AH866" s="37"/>
      <c r="AI866" s="37"/>
      <c r="AJ866" s="37"/>
      <c r="AK866" s="37"/>
      <c r="AL866" s="37"/>
      <c r="AM866" s="37"/>
      <c r="AN866" s="37"/>
      <c r="AO866" s="37"/>
      <c r="AP866" s="37"/>
    </row>
    <row r="867" customFormat="false" ht="15.75" hidden="false" customHeight="true" outlineLevel="0" collapsed="false">
      <c r="A867" s="37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  <c r="AA867" s="37"/>
      <c r="AB867" s="37"/>
      <c r="AC867" s="37"/>
      <c r="AD867" s="37"/>
      <c r="AE867" s="37"/>
      <c r="AF867" s="37"/>
      <c r="AG867" s="37"/>
      <c r="AH867" s="37"/>
      <c r="AI867" s="37"/>
      <c r="AJ867" s="37"/>
      <c r="AK867" s="37"/>
      <c r="AL867" s="37"/>
      <c r="AM867" s="37"/>
      <c r="AN867" s="37"/>
      <c r="AO867" s="37"/>
      <c r="AP867" s="37"/>
    </row>
    <row r="868" customFormat="false" ht="15.75" hidden="false" customHeight="true" outlineLevel="0" collapsed="false">
      <c r="A868" s="37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  <c r="AA868" s="37"/>
      <c r="AB868" s="37"/>
      <c r="AC868" s="37"/>
      <c r="AD868" s="37"/>
      <c r="AE868" s="37"/>
      <c r="AF868" s="37"/>
      <c r="AG868" s="37"/>
      <c r="AH868" s="37"/>
      <c r="AI868" s="37"/>
      <c r="AJ868" s="37"/>
      <c r="AK868" s="37"/>
      <c r="AL868" s="37"/>
      <c r="AM868" s="37"/>
      <c r="AN868" s="37"/>
      <c r="AO868" s="37"/>
      <c r="AP868" s="37"/>
    </row>
    <row r="869" customFormat="false" ht="15.75" hidden="false" customHeight="true" outlineLevel="0" collapsed="false">
      <c r="A869" s="37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  <c r="AA869" s="37"/>
      <c r="AB869" s="37"/>
      <c r="AC869" s="37"/>
      <c r="AD869" s="37"/>
      <c r="AE869" s="37"/>
      <c r="AF869" s="37"/>
      <c r="AG869" s="37"/>
      <c r="AH869" s="37"/>
      <c r="AI869" s="37"/>
      <c r="AJ869" s="37"/>
      <c r="AK869" s="37"/>
      <c r="AL869" s="37"/>
      <c r="AM869" s="37"/>
      <c r="AN869" s="37"/>
      <c r="AO869" s="37"/>
      <c r="AP869" s="37"/>
    </row>
    <row r="870" customFormat="false" ht="15.75" hidden="false" customHeight="true" outlineLevel="0" collapsed="false">
      <c r="A870" s="37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  <c r="AA870" s="37"/>
      <c r="AB870" s="37"/>
      <c r="AC870" s="37"/>
      <c r="AD870" s="37"/>
      <c r="AE870" s="37"/>
      <c r="AF870" s="37"/>
      <c r="AG870" s="37"/>
      <c r="AH870" s="37"/>
      <c r="AI870" s="37"/>
      <c r="AJ870" s="37"/>
      <c r="AK870" s="37"/>
      <c r="AL870" s="37"/>
      <c r="AM870" s="37"/>
      <c r="AN870" s="37"/>
      <c r="AO870" s="37"/>
      <c r="AP870" s="37"/>
    </row>
    <row r="871" customFormat="false" ht="15.75" hidden="false" customHeight="true" outlineLevel="0" collapsed="false">
      <c r="A871" s="37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  <c r="AA871" s="37"/>
      <c r="AB871" s="37"/>
      <c r="AC871" s="37"/>
      <c r="AD871" s="37"/>
      <c r="AE871" s="37"/>
      <c r="AF871" s="37"/>
      <c r="AG871" s="37"/>
      <c r="AH871" s="37"/>
      <c r="AI871" s="37"/>
      <c r="AJ871" s="37"/>
      <c r="AK871" s="37"/>
      <c r="AL871" s="37"/>
      <c r="AM871" s="37"/>
      <c r="AN871" s="37"/>
      <c r="AO871" s="37"/>
      <c r="AP871" s="37"/>
    </row>
    <row r="872" customFormat="false" ht="15.75" hidden="false" customHeight="true" outlineLevel="0" collapsed="false">
      <c r="A872" s="37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  <c r="AA872" s="37"/>
      <c r="AB872" s="37"/>
      <c r="AC872" s="37"/>
      <c r="AD872" s="37"/>
      <c r="AE872" s="37"/>
      <c r="AF872" s="37"/>
      <c r="AG872" s="37"/>
      <c r="AH872" s="37"/>
      <c r="AI872" s="37"/>
      <c r="AJ872" s="37"/>
      <c r="AK872" s="37"/>
      <c r="AL872" s="37"/>
      <c r="AM872" s="37"/>
      <c r="AN872" s="37"/>
      <c r="AO872" s="37"/>
      <c r="AP872" s="37"/>
    </row>
    <row r="873" customFormat="false" ht="15.75" hidden="false" customHeight="true" outlineLevel="0" collapsed="false">
      <c r="A873" s="37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  <c r="AA873" s="37"/>
      <c r="AB873" s="37"/>
      <c r="AC873" s="37"/>
      <c r="AD873" s="37"/>
      <c r="AE873" s="37"/>
      <c r="AF873" s="37"/>
      <c r="AG873" s="37"/>
      <c r="AH873" s="37"/>
      <c r="AI873" s="37"/>
      <c r="AJ873" s="37"/>
      <c r="AK873" s="37"/>
      <c r="AL873" s="37"/>
      <c r="AM873" s="37"/>
      <c r="AN873" s="37"/>
      <c r="AO873" s="37"/>
      <c r="AP873" s="37"/>
    </row>
    <row r="874" customFormat="false" ht="15.75" hidden="false" customHeight="true" outlineLevel="0" collapsed="false">
      <c r="A874" s="37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  <c r="AA874" s="37"/>
      <c r="AB874" s="37"/>
      <c r="AC874" s="37"/>
      <c r="AD874" s="37"/>
      <c r="AE874" s="37"/>
      <c r="AF874" s="37"/>
      <c r="AG874" s="37"/>
      <c r="AH874" s="37"/>
      <c r="AI874" s="37"/>
      <c r="AJ874" s="37"/>
      <c r="AK874" s="37"/>
      <c r="AL874" s="37"/>
      <c r="AM874" s="37"/>
      <c r="AN874" s="37"/>
      <c r="AO874" s="37"/>
      <c r="AP874" s="37"/>
    </row>
    <row r="875" customFormat="false" ht="15.75" hidden="false" customHeight="true" outlineLevel="0" collapsed="false">
      <c r="A875" s="37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  <c r="AA875" s="37"/>
      <c r="AB875" s="37"/>
      <c r="AC875" s="37"/>
      <c r="AD875" s="37"/>
      <c r="AE875" s="37"/>
      <c r="AF875" s="37"/>
      <c r="AG875" s="37"/>
      <c r="AH875" s="37"/>
      <c r="AI875" s="37"/>
      <c r="AJ875" s="37"/>
      <c r="AK875" s="37"/>
      <c r="AL875" s="37"/>
      <c r="AM875" s="37"/>
      <c r="AN875" s="37"/>
      <c r="AO875" s="37"/>
      <c r="AP875" s="37"/>
    </row>
    <row r="876" customFormat="false" ht="15.75" hidden="false" customHeight="true" outlineLevel="0" collapsed="false">
      <c r="A876" s="37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  <c r="AA876" s="37"/>
      <c r="AB876" s="37"/>
      <c r="AC876" s="37"/>
      <c r="AD876" s="37"/>
      <c r="AE876" s="37"/>
      <c r="AF876" s="37"/>
      <c r="AG876" s="37"/>
      <c r="AH876" s="37"/>
      <c r="AI876" s="37"/>
      <c r="AJ876" s="37"/>
      <c r="AK876" s="37"/>
      <c r="AL876" s="37"/>
      <c r="AM876" s="37"/>
      <c r="AN876" s="37"/>
      <c r="AO876" s="37"/>
      <c r="AP876" s="37"/>
    </row>
    <row r="877" customFormat="false" ht="15.75" hidden="false" customHeight="true" outlineLevel="0" collapsed="false">
      <c r="A877" s="37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  <c r="AA877" s="37"/>
      <c r="AB877" s="37"/>
      <c r="AC877" s="37"/>
      <c r="AD877" s="37"/>
      <c r="AE877" s="37"/>
      <c r="AF877" s="37"/>
      <c r="AG877" s="37"/>
      <c r="AH877" s="37"/>
      <c r="AI877" s="37"/>
      <c r="AJ877" s="37"/>
      <c r="AK877" s="37"/>
      <c r="AL877" s="37"/>
      <c r="AM877" s="37"/>
      <c r="AN877" s="37"/>
      <c r="AO877" s="37"/>
      <c r="AP877" s="37"/>
    </row>
    <row r="878" customFormat="false" ht="15.75" hidden="false" customHeight="true" outlineLevel="0" collapsed="false">
      <c r="A878" s="37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  <c r="AA878" s="37"/>
      <c r="AB878" s="37"/>
      <c r="AC878" s="37"/>
      <c r="AD878" s="37"/>
      <c r="AE878" s="37"/>
      <c r="AF878" s="37"/>
      <c r="AG878" s="37"/>
      <c r="AH878" s="37"/>
      <c r="AI878" s="37"/>
      <c r="AJ878" s="37"/>
      <c r="AK878" s="37"/>
      <c r="AL878" s="37"/>
      <c r="AM878" s="37"/>
      <c r="AN878" s="37"/>
      <c r="AO878" s="37"/>
      <c r="AP878" s="37"/>
    </row>
    <row r="879" customFormat="false" ht="15.75" hidden="false" customHeight="true" outlineLevel="0" collapsed="false">
      <c r="A879" s="37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  <c r="AA879" s="37"/>
      <c r="AB879" s="37"/>
      <c r="AC879" s="37"/>
      <c r="AD879" s="37"/>
      <c r="AE879" s="37"/>
      <c r="AF879" s="37"/>
      <c r="AG879" s="37"/>
      <c r="AH879" s="37"/>
      <c r="AI879" s="37"/>
      <c r="AJ879" s="37"/>
      <c r="AK879" s="37"/>
      <c r="AL879" s="37"/>
      <c r="AM879" s="37"/>
      <c r="AN879" s="37"/>
      <c r="AO879" s="37"/>
      <c r="AP879" s="37"/>
    </row>
    <row r="880" customFormat="false" ht="15.75" hidden="false" customHeight="true" outlineLevel="0" collapsed="false">
      <c r="A880" s="37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  <c r="AA880" s="37"/>
      <c r="AB880" s="37"/>
      <c r="AC880" s="37"/>
      <c r="AD880" s="37"/>
      <c r="AE880" s="37"/>
      <c r="AF880" s="37"/>
      <c r="AG880" s="37"/>
      <c r="AH880" s="37"/>
      <c r="AI880" s="37"/>
      <c r="AJ880" s="37"/>
      <c r="AK880" s="37"/>
      <c r="AL880" s="37"/>
      <c r="AM880" s="37"/>
      <c r="AN880" s="37"/>
      <c r="AO880" s="37"/>
      <c r="AP880" s="37"/>
    </row>
    <row r="881" customFormat="false" ht="15.75" hidden="false" customHeight="true" outlineLevel="0" collapsed="false">
      <c r="A881" s="37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  <c r="AA881" s="37"/>
      <c r="AB881" s="37"/>
      <c r="AC881" s="37"/>
      <c r="AD881" s="37"/>
      <c r="AE881" s="37"/>
      <c r="AF881" s="37"/>
      <c r="AG881" s="37"/>
      <c r="AH881" s="37"/>
      <c r="AI881" s="37"/>
      <c r="AJ881" s="37"/>
      <c r="AK881" s="37"/>
      <c r="AL881" s="37"/>
      <c r="AM881" s="37"/>
      <c r="AN881" s="37"/>
      <c r="AO881" s="37"/>
      <c r="AP881" s="37"/>
    </row>
    <row r="882" customFormat="false" ht="15.75" hidden="false" customHeight="true" outlineLevel="0" collapsed="false">
      <c r="A882" s="37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  <c r="AA882" s="37"/>
      <c r="AB882" s="37"/>
      <c r="AC882" s="37"/>
      <c r="AD882" s="37"/>
      <c r="AE882" s="37"/>
      <c r="AF882" s="37"/>
      <c r="AG882" s="37"/>
      <c r="AH882" s="37"/>
      <c r="AI882" s="37"/>
      <c r="AJ882" s="37"/>
      <c r="AK882" s="37"/>
      <c r="AL882" s="37"/>
      <c r="AM882" s="37"/>
      <c r="AN882" s="37"/>
      <c r="AO882" s="37"/>
      <c r="AP882" s="37"/>
    </row>
    <row r="883" customFormat="false" ht="15.75" hidden="false" customHeight="true" outlineLevel="0" collapsed="false">
      <c r="A883" s="37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  <c r="AA883" s="37"/>
      <c r="AB883" s="37"/>
      <c r="AC883" s="37"/>
      <c r="AD883" s="37"/>
      <c r="AE883" s="37"/>
      <c r="AF883" s="37"/>
      <c r="AG883" s="37"/>
      <c r="AH883" s="37"/>
      <c r="AI883" s="37"/>
      <c r="AJ883" s="37"/>
      <c r="AK883" s="37"/>
      <c r="AL883" s="37"/>
      <c r="AM883" s="37"/>
      <c r="AN883" s="37"/>
      <c r="AO883" s="37"/>
      <c r="AP883" s="37"/>
    </row>
    <row r="884" customFormat="false" ht="15.75" hidden="false" customHeight="true" outlineLevel="0" collapsed="false">
      <c r="A884" s="37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  <c r="AA884" s="37"/>
      <c r="AB884" s="37"/>
      <c r="AC884" s="37"/>
      <c r="AD884" s="37"/>
      <c r="AE884" s="37"/>
      <c r="AF884" s="37"/>
      <c r="AG884" s="37"/>
      <c r="AH884" s="37"/>
      <c r="AI884" s="37"/>
      <c r="AJ884" s="37"/>
      <c r="AK884" s="37"/>
      <c r="AL884" s="37"/>
      <c r="AM884" s="37"/>
      <c r="AN884" s="37"/>
      <c r="AO884" s="37"/>
      <c r="AP884" s="37"/>
    </row>
    <row r="885" customFormat="false" ht="15.75" hidden="false" customHeight="true" outlineLevel="0" collapsed="false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  <c r="AA885" s="37"/>
      <c r="AB885" s="37"/>
      <c r="AC885" s="37"/>
      <c r="AD885" s="37"/>
      <c r="AE885" s="37"/>
      <c r="AF885" s="37"/>
      <c r="AG885" s="37"/>
      <c r="AH885" s="37"/>
      <c r="AI885" s="37"/>
      <c r="AJ885" s="37"/>
      <c r="AK885" s="37"/>
      <c r="AL885" s="37"/>
      <c r="AM885" s="37"/>
      <c r="AN885" s="37"/>
      <c r="AO885" s="37"/>
      <c r="AP885" s="37"/>
    </row>
    <row r="886" customFormat="false" ht="15.75" hidden="false" customHeight="true" outlineLevel="0" collapsed="false">
      <c r="A886" s="37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  <c r="AA886" s="37"/>
      <c r="AB886" s="37"/>
      <c r="AC886" s="37"/>
      <c r="AD886" s="37"/>
      <c r="AE886" s="37"/>
      <c r="AF886" s="37"/>
      <c r="AG886" s="37"/>
      <c r="AH886" s="37"/>
      <c r="AI886" s="37"/>
      <c r="AJ886" s="37"/>
      <c r="AK886" s="37"/>
      <c r="AL886" s="37"/>
      <c r="AM886" s="37"/>
      <c r="AN886" s="37"/>
      <c r="AO886" s="37"/>
      <c r="AP886" s="37"/>
    </row>
    <row r="887" customFormat="false" ht="15.75" hidden="false" customHeight="true" outlineLevel="0" collapsed="false">
      <c r="A887" s="37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  <c r="AA887" s="37"/>
      <c r="AB887" s="37"/>
      <c r="AC887" s="37"/>
      <c r="AD887" s="37"/>
      <c r="AE887" s="37"/>
      <c r="AF887" s="37"/>
      <c r="AG887" s="37"/>
      <c r="AH887" s="37"/>
      <c r="AI887" s="37"/>
      <c r="AJ887" s="37"/>
      <c r="AK887" s="37"/>
      <c r="AL887" s="37"/>
      <c r="AM887" s="37"/>
      <c r="AN887" s="37"/>
      <c r="AO887" s="37"/>
      <c r="AP887" s="37"/>
    </row>
    <row r="888" customFormat="false" ht="15.75" hidden="false" customHeight="true" outlineLevel="0" collapsed="false">
      <c r="A888" s="37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  <c r="AA888" s="37"/>
      <c r="AB888" s="37"/>
      <c r="AC888" s="37"/>
      <c r="AD888" s="37"/>
      <c r="AE888" s="37"/>
      <c r="AF888" s="37"/>
      <c r="AG888" s="37"/>
      <c r="AH888" s="37"/>
      <c r="AI888" s="37"/>
      <c r="AJ888" s="37"/>
      <c r="AK888" s="37"/>
      <c r="AL888" s="37"/>
      <c r="AM888" s="37"/>
      <c r="AN888" s="37"/>
      <c r="AO888" s="37"/>
      <c r="AP888" s="37"/>
    </row>
    <row r="889" customFormat="false" ht="15.75" hidden="false" customHeight="true" outlineLevel="0" collapsed="false">
      <c r="A889" s="37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  <c r="AA889" s="37"/>
      <c r="AB889" s="37"/>
      <c r="AC889" s="37"/>
      <c r="AD889" s="37"/>
      <c r="AE889" s="37"/>
      <c r="AF889" s="37"/>
      <c r="AG889" s="37"/>
      <c r="AH889" s="37"/>
      <c r="AI889" s="37"/>
      <c r="AJ889" s="37"/>
      <c r="AK889" s="37"/>
      <c r="AL889" s="37"/>
      <c r="AM889" s="37"/>
      <c r="AN889" s="37"/>
      <c r="AO889" s="37"/>
      <c r="AP889" s="37"/>
    </row>
    <row r="890" customFormat="false" ht="15.75" hidden="false" customHeight="true" outlineLevel="0" collapsed="false">
      <c r="A890" s="37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  <c r="AA890" s="37"/>
      <c r="AB890" s="37"/>
      <c r="AC890" s="37"/>
      <c r="AD890" s="37"/>
      <c r="AE890" s="37"/>
      <c r="AF890" s="37"/>
      <c r="AG890" s="37"/>
      <c r="AH890" s="37"/>
      <c r="AI890" s="37"/>
      <c r="AJ890" s="37"/>
      <c r="AK890" s="37"/>
      <c r="AL890" s="37"/>
      <c r="AM890" s="37"/>
      <c r="AN890" s="37"/>
      <c r="AO890" s="37"/>
      <c r="AP890" s="37"/>
    </row>
    <row r="891" customFormat="false" ht="15.75" hidden="false" customHeight="true" outlineLevel="0" collapsed="false">
      <c r="A891" s="37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  <c r="AA891" s="37"/>
      <c r="AB891" s="37"/>
      <c r="AC891" s="37"/>
      <c r="AD891" s="37"/>
      <c r="AE891" s="37"/>
      <c r="AF891" s="37"/>
      <c r="AG891" s="37"/>
      <c r="AH891" s="37"/>
      <c r="AI891" s="37"/>
      <c r="AJ891" s="37"/>
      <c r="AK891" s="37"/>
      <c r="AL891" s="37"/>
      <c r="AM891" s="37"/>
      <c r="AN891" s="37"/>
      <c r="AO891" s="37"/>
      <c r="AP891" s="37"/>
    </row>
    <row r="892" customFormat="false" ht="15.75" hidden="false" customHeight="true" outlineLevel="0" collapsed="false">
      <c r="A892" s="37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  <c r="AA892" s="37"/>
      <c r="AB892" s="37"/>
      <c r="AC892" s="37"/>
      <c r="AD892" s="37"/>
      <c r="AE892" s="37"/>
      <c r="AF892" s="37"/>
      <c r="AG892" s="37"/>
      <c r="AH892" s="37"/>
      <c r="AI892" s="37"/>
      <c r="AJ892" s="37"/>
      <c r="AK892" s="37"/>
      <c r="AL892" s="37"/>
      <c r="AM892" s="37"/>
      <c r="AN892" s="37"/>
      <c r="AO892" s="37"/>
      <c r="AP892" s="37"/>
    </row>
    <row r="893" customFormat="false" ht="15.75" hidden="false" customHeight="true" outlineLevel="0" collapsed="false">
      <c r="A893" s="37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  <c r="AA893" s="37"/>
      <c r="AB893" s="37"/>
      <c r="AC893" s="37"/>
      <c r="AD893" s="37"/>
      <c r="AE893" s="37"/>
      <c r="AF893" s="37"/>
      <c r="AG893" s="37"/>
      <c r="AH893" s="37"/>
      <c r="AI893" s="37"/>
      <c r="AJ893" s="37"/>
      <c r="AK893" s="37"/>
      <c r="AL893" s="37"/>
      <c r="AM893" s="37"/>
      <c r="AN893" s="37"/>
      <c r="AO893" s="37"/>
      <c r="AP893" s="37"/>
    </row>
    <row r="894" customFormat="false" ht="15.75" hidden="false" customHeight="true" outlineLevel="0" collapsed="false">
      <c r="A894" s="37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  <c r="AA894" s="37"/>
      <c r="AB894" s="37"/>
      <c r="AC894" s="37"/>
      <c r="AD894" s="37"/>
      <c r="AE894" s="37"/>
      <c r="AF894" s="37"/>
      <c r="AG894" s="37"/>
      <c r="AH894" s="37"/>
      <c r="AI894" s="37"/>
      <c r="AJ894" s="37"/>
      <c r="AK894" s="37"/>
      <c r="AL894" s="37"/>
      <c r="AM894" s="37"/>
      <c r="AN894" s="37"/>
      <c r="AO894" s="37"/>
      <c r="AP894" s="37"/>
    </row>
    <row r="895" customFormat="false" ht="15.75" hidden="false" customHeight="true" outlineLevel="0" collapsed="false">
      <c r="A895" s="37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  <c r="AA895" s="37"/>
      <c r="AB895" s="37"/>
      <c r="AC895" s="37"/>
      <c r="AD895" s="37"/>
      <c r="AE895" s="37"/>
      <c r="AF895" s="37"/>
      <c r="AG895" s="37"/>
      <c r="AH895" s="37"/>
      <c r="AI895" s="37"/>
      <c r="AJ895" s="37"/>
      <c r="AK895" s="37"/>
      <c r="AL895" s="37"/>
      <c r="AM895" s="37"/>
      <c r="AN895" s="37"/>
      <c r="AO895" s="37"/>
      <c r="AP895" s="37"/>
    </row>
    <row r="896" customFormat="false" ht="15.75" hidden="false" customHeight="true" outlineLevel="0" collapsed="false">
      <c r="A896" s="37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  <c r="AA896" s="37"/>
      <c r="AB896" s="37"/>
      <c r="AC896" s="37"/>
      <c r="AD896" s="37"/>
      <c r="AE896" s="37"/>
      <c r="AF896" s="37"/>
      <c r="AG896" s="37"/>
      <c r="AH896" s="37"/>
      <c r="AI896" s="37"/>
      <c r="AJ896" s="37"/>
      <c r="AK896" s="37"/>
      <c r="AL896" s="37"/>
      <c r="AM896" s="37"/>
      <c r="AN896" s="37"/>
      <c r="AO896" s="37"/>
      <c r="AP896" s="37"/>
    </row>
    <row r="897" customFormat="false" ht="15.75" hidden="false" customHeight="true" outlineLevel="0" collapsed="false">
      <c r="A897" s="37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  <c r="AA897" s="37"/>
      <c r="AB897" s="37"/>
      <c r="AC897" s="37"/>
      <c r="AD897" s="37"/>
      <c r="AE897" s="37"/>
      <c r="AF897" s="37"/>
      <c r="AG897" s="37"/>
      <c r="AH897" s="37"/>
      <c r="AI897" s="37"/>
      <c r="AJ897" s="37"/>
      <c r="AK897" s="37"/>
      <c r="AL897" s="37"/>
      <c r="AM897" s="37"/>
      <c r="AN897" s="37"/>
      <c r="AO897" s="37"/>
      <c r="AP897" s="37"/>
    </row>
    <row r="898" customFormat="false" ht="15.75" hidden="false" customHeight="true" outlineLevel="0" collapsed="false">
      <c r="A898" s="37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  <c r="AA898" s="37"/>
      <c r="AB898" s="37"/>
      <c r="AC898" s="37"/>
      <c r="AD898" s="37"/>
      <c r="AE898" s="37"/>
      <c r="AF898" s="37"/>
      <c r="AG898" s="37"/>
      <c r="AH898" s="37"/>
      <c r="AI898" s="37"/>
      <c r="AJ898" s="37"/>
      <c r="AK898" s="37"/>
      <c r="AL898" s="37"/>
      <c r="AM898" s="37"/>
      <c r="AN898" s="37"/>
      <c r="AO898" s="37"/>
      <c r="AP898" s="37"/>
    </row>
    <row r="899" customFormat="false" ht="15.75" hidden="false" customHeight="true" outlineLevel="0" collapsed="false">
      <c r="A899" s="37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  <c r="AA899" s="37"/>
      <c r="AB899" s="37"/>
      <c r="AC899" s="37"/>
      <c r="AD899" s="37"/>
      <c r="AE899" s="37"/>
      <c r="AF899" s="37"/>
      <c r="AG899" s="37"/>
      <c r="AH899" s="37"/>
      <c r="AI899" s="37"/>
      <c r="AJ899" s="37"/>
      <c r="AK899" s="37"/>
      <c r="AL899" s="37"/>
      <c r="AM899" s="37"/>
      <c r="AN899" s="37"/>
      <c r="AO899" s="37"/>
      <c r="AP899" s="37"/>
    </row>
    <row r="900" customFormat="false" ht="15.75" hidden="false" customHeight="true" outlineLevel="0" collapsed="false">
      <c r="A900" s="37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  <c r="AA900" s="37"/>
      <c r="AB900" s="37"/>
      <c r="AC900" s="37"/>
      <c r="AD900" s="37"/>
      <c r="AE900" s="37"/>
      <c r="AF900" s="37"/>
      <c r="AG900" s="37"/>
      <c r="AH900" s="37"/>
      <c r="AI900" s="37"/>
      <c r="AJ900" s="37"/>
      <c r="AK900" s="37"/>
      <c r="AL900" s="37"/>
      <c r="AM900" s="37"/>
      <c r="AN900" s="37"/>
      <c r="AO900" s="37"/>
      <c r="AP900" s="37"/>
    </row>
    <row r="901" customFormat="false" ht="15.75" hidden="false" customHeight="true" outlineLevel="0" collapsed="false">
      <c r="A901" s="37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  <c r="AA901" s="37"/>
      <c r="AB901" s="37"/>
      <c r="AC901" s="37"/>
      <c r="AD901" s="37"/>
      <c r="AE901" s="37"/>
      <c r="AF901" s="37"/>
      <c r="AG901" s="37"/>
      <c r="AH901" s="37"/>
      <c r="AI901" s="37"/>
      <c r="AJ901" s="37"/>
      <c r="AK901" s="37"/>
      <c r="AL901" s="37"/>
      <c r="AM901" s="37"/>
      <c r="AN901" s="37"/>
      <c r="AO901" s="37"/>
      <c r="AP901" s="37"/>
    </row>
    <row r="902" customFormat="false" ht="15.75" hidden="false" customHeight="true" outlineLevel="0" collapsed="false">
      <c r="A902" s="37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  <c r="AA902" s="37"/>
      <c r="AB902" s="37"/>
      <c r="AC902" s="37"/>
      <c r="AD902" s="37"/>
      <c r="AE902" s="37"/>
      <c r="AF902" s="37"/>
      <c r="AG902" s="37"/>
      <c r="AH902" s="37"/>
      <c r="AI902" s="37"/>
      <c r="AJ902" s="37"/>
      <c r="AK902" s="37"/>
      <c r="AL902" s="37"/>
      <c r="AM902" s="37"/>
      <c r="AN902" s="37"/>
      <c r="AO902" s="37"/>
      <c r="AP902" s="37"/>
    </row>
    <row r="903" customFormat="false" ht="15.75" hidden="false" customHeight="true" outlineLevel="0" collapsed="false">
      <c r="A903" s="37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  <c r="AA903" s="37"/>
      <c r="AB903" s="37"/>
      <c r="AC903" s="37"/>
      <c r="AD903" s="37"/>
      <c r="AE903" s="37"/>
      <c r="AF903" s="37"/>
      <c r="AG903" s="37"/>
      <c r="AH903" s="37"/>
      <c r="AI903" s="37"/>
      <c r="AJ903" s="37"/>
      <c r="AK903" s="37"/>
      <c r="AL903" s="37"/>
      <c r="AM903" s="37"/>
      <c r="AN903" s="37"/>
      <c r="AO903" s="37"/>
      <c r="AP903" s="37"/>
    </row>
    <row r="904" customFormat="false" ht="15.75" hidden="false" customHeight="true" outlineLevel="0" collapsed="false">
      <c r="A904" s="37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  <c r="AA904" s="37"/>
      <c r="AB904" s="37"/>
      <c r="AC904" s="37"/>
      <c r="AD904" s="37"/>
      <c r="AE904" s="37"/>
      <c r="AF904" s="37"/>
      <c r="AG904" s="37"/>
      <c r="AH904" s="37"/>
      <c r="AI904" s="37"/>
      <c r="AJ904" s="37"/>
      <c r="AK904" s="37"/>
      <c r="AL904" s="37"/>
      <c r="AM904" s="37"/>
      <c r="AN904" s="37"/>
      <c r="AO904" s="37"/>
      <c r="AP904" s="37"/>
    </row>
    <row r="905" customFormat="false" ht="15.75" hidden="false" customHeight="true" outlineLevel="0" collapsed="false">
      <c r="A905" s="37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  <c r="AA905" s="37"/>
      <c r="AB905" s="37"/>
      <c r="AC905" s="37"/>
      <c r="AD905" s="37"/>
      <c r="AE905" s="37"/>
      <c r="AF905" s="37"/>
      <c r="AG905" s="37"/>
      <c r="AH905" s="37"/>
      <c r="AI905" s="37"/>
      <c r="AJ905" s="37"/>
      <c r="AK905" s="37"/>
      <c r="AL905" s="37"/>
      <c r="AM905" s="37"/>
      <c r="AN905" s="37"/>
      <c r="AO905" s="37"/>
      <c r="AP905" s="37"/>
    </row>
    <row r="906" customFormat="false" ht="15.75" hidden="false" customHeight="true" outlineLevel="0" collapsed="false">
      <c r="A906" s="37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  <c r="AA906" s="37"/>
      <c r="AB906" s="37"/>
      <c r="AC906" s="37"/>
      <c r="AD906" s="37"/>
      <c r="AE906" s="37"/>
      <c r="AF906" s="37"/>
      <c r="AG906" s="37"/>
      <c r="AH906" s="37"/>
      <c r="AI906" s="37"/>
      <c r="AJ906" s="37"/>
      <c r="AK906" s="37"/>
      <c r="AL906" s="37"/>
      <c r="AM906" s="37"/>
      <c r="AN906" s="37"/>
      <c r="AO906" s="37"/>
      <c r="AP906" s="37"/>
    </row>
    <row r="907" customFormat="false" ht="15.75" hidden="false" customHeight="true" outlineLevel="0" collapsed="false">
      <c r="A907" s="37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  <c r="AA907" s="37"/>
      <c r="AB907" s="37"/>
      <c r="AC907" s="37"/>
      <c r="AD907" s="37"/>
      <c r="AE907" s="37"/>
      <c r="AF907" s="37"/>
      <c r="AG907" s="37"/>
      <c r="AH907" s="37"/>
      <c r="AI907" s="37"/>
      <c r="AJ907" s="37"/>
      <c r="AK907" s="37"/>
      <c r="AL907" s="37"/>
      <c r="AM907" s="37"/>
      <c r="AN907" s="37"/>
      <c r="AO907" s="37"/>
      <c r="AP907" s="37"/>
    </row>
    <row r="908" customFormat="false" ht="15.75" hidden="false" customHeight="true" outlineLevel="0" collapsed="false">
      <c r="A908" s="37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  <c r="AA908" s="37"/>
      <c r="AB908" s="37"/>
      <c r="AC908" s="37"/>
      <c r="AD908" s="37"/>
      <c r="AE908" s="37"/>
      <c r="AF908" s="37"/>
      <c r="AG908" s="37"/>
      <c r="AH908" s="37"/>
      <c r="AI908" s="37"/>
      <c r="AJ908" s="37"/>
      <c r="AK908" s="37"/>
      <c r="AL908" s="37"/>
      <c r="AM908" s="37"/>
      <c r="AN908" s="37"/>
      <c r="AO908" s="37"/>
      <c r="AP908" s="37"/>
    </row>
    <row r="909" customFormat="false" ht="15.75" hidden="false" customHeight="true" outlineLevel="0" collapsed="false">
      <c r="A909" s="37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  <c r="AA909" s="37"/>
      <c r="AB909" s="37"/>
      <c r="AC909" s="37"/>
      <c r="AD909" s="37"/>
      <c r="AE909" s="37"/>
      <c r="AF909" s="37"/>
      <c r="AG909" s="37"/>
      <c r="AH909" s="37"/>
      <c r="AI909" s="37"/>
      <c r="AJ909" s="37"/>
      <c r="AK909" s="37"/>
      <c r="AL909" s="37"/>
      <c r="AM909" s="37"/>
      <c r="AN909" s="37"/>
      <c r="AO909" s="37"/>
      <c r="AP909" s="37"/>
    </row>
    <row r="910" customFormat="false" ht="15.75" hidden="false" customHeight="true" outlineLevel="0" collapsed="false">
      <c r="A910" s="37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  <c r="AA910" s="37"/>
      <c r="AB910" s="37"/>
      <c r="AC910" s="37"/>
      <c r="AD910" s="37"/>
      <c r="AE910" s="37"/>
      <c r="AF910" s="37"/>
      <c r="AG910" s="37"/>
      <c r="AH910" s="37"/>
      <c r="AI910" s="37"/>
      <c r="AJ910" s="37"/>
      <c r="AK910" s="37"/>
      <c r="AL910" s="37"/>
      <c r="AM910" s="37"/>
      <c r="AN910" s="37"/>
      <c r="AO910" s="37"/>
      <c r="AP910" s="37"/>
    </row>
    <row r="911" customFormat="false" ht="15.75" hidden="false" customHeight="true" outlineLevel="0" collapsed="false">
      <c r="A911" s="37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  <c r="AA911" s="37"/>
      <c r="AB911" s="37"/>
      <c r="AC911" s="37"/>
      <c r="AD911" s="37"/>
      <c r="AE911" s="37"/>
      <c r="AF911" s="37"/>
      <c r="AG911" s="37"/>
      <c r="AH911" s="37"/>
      <c r="AI911" s="37"/>
      <c r="AJ911" s="37"/>
      <c r="AK911" s="37"/>
      <c r="AL911" s="37"/>
      <c r="AM911" s="37"/>
      <c r="AN911" s="37"/>
      <c r="AO911" s="37"/>
      <c r="AP911" s="37"/>
    </row>
    <row r="912" customFormat="false" ht="15.75" hidden="false" customHeight="true" outlineLevel="0" collapsed="false">
      <c r="A912" s="37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  <c r="AA912" s="37"/>
      <c r="AB912" s="37"/>
      <c r="AC912" s="37"/>
      <c r="AD912" s="37"/>
      <c r="AE912" s="37"/>
      <c r="AF912" s="37"/>
      <c r="AG912" s="37"/>
      <c r="AH912" s="37"/>
      <c r="AI912" s="37"/>
      <c r="AJ912" s="37"/>
      <c r="AK912" s="37"/>
      <c r="AL912" s="37"/>
      <c r="AM912" s="37"/>
      <c r="AN912" s="37"/>
      <c r="AO912" s="37"/>
      <c r="AP912" s="37"/>
    </row>
    <row r="913" customFormat="false" ht="15.75" hidden="false" customHeight="true" outlineLevel="0" collapsed="false">
      <c r="A913" s="37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  <c r="AA913" s="37"/>
      <c r="AB913" s="37"/>
      <c r="AC913" s="37"/>
      <c r="AD913" s="37"/>
      <c r="AE913" s="37"/>
      <c r="AF913" s="37"/>
      <c r="AG913" s="37"/>
      <c r="AH913" s="37"/>
      <c r="AI913" s="37"/>
      <c r="AJ913" s="37"/>
      <c r="AK913" s="37"/>
      <c r="AL913" s="37"/>
      <c r="AM913" s="37"/>
      <c r="AN913" s="37"/>
      <c r="AO913" s="37"/>
      <c r="AP913" s="37"/>
    </row>
    <row r="914" customFormat="false" ht="15.75" hidden="false" customHeight="true" outlineLevel="0" collapsed="false">
      <c r="A914" s="37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  <c r="AA914" s="37"/>
      <c r="AB914" s="37"/>
      <c r="AC914" s="37"/>
      <c r="AD914" s="37"/>
      <c r="AE914" s="37"/>
      <c r="AF914" s="37"/>
      <c r="AG914" s="37"/>
      <c r="AH914" s="37"/>
      <c r="AI914" s="37"/>
      <c r="AJ914" s="37"/>
      <c r="AK914" s="37"/>
      <c r="AL914" s="37"/>
      <c r="AM914" s="37"/>
      <c r="AN914" s="37"/>
      <c r="AO914" s="37"/>
      <c r="AP914" s="37"/>
    </row>
    <row r="915" customFormat="false" ht="15.75" hidden="false" customHeight="true" outlineLevel="0" collapsed="false">
      <c r="A915" s="37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  <c r="AA915" s="37"/>
      <c r="AB915" s="37"/>
      <c r="AC915" s="37"/>
      <c r="AD915" s="37"/>
      <c r="AE915" s="37"/>
      <c r="AF915" s="37"/>
      <c r="AG915" s="37"/>
      <c r="AH915" s="37"/>
      <c r="AI915" s="37"/>
      <c r="AJ915" s="37"/>
      <c r="AK915" s="37"/>
      <c r="AL915" s="37"/>
      <c r="AM915" s="37"/>
      <c r="AN915" s="37"/>
      <c r="AO915" s="37"/>
      <c r="AP915" s="37"/>
    </row>
    <row r="916" customFormat="false" ht="15.75" hidden="false" customHeight="true" outlineLevel="0" collapsed="false">
      <c r="A916" s="37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  <c r="AA916" s="37"/>
      <c r="AB916" s="37"/>
      <c r="AC916" s="37"/>
      <c r="AD916" s="37"/>
      <c r="AE916" s="37"/>
      <c r="AF916" s="37"/>
      <c r="AG916" s="37"/>
      <c r="AH916" s="37"/>
      <c r="AI916" s="37"/>
      <c r="AJ916" s="37"/>
      <c r="AK916" s="37"/>
      <c r="AL916" s="37"/>
      <c r="AM916" s="37"/>
      <c r="AN916" s="37"/>
      <c r="AO916" s="37"/>
      <c r="AP916" s="37"/>
    </row>
    <row r="917" customFormat="false" ht="15.75" hidden="false" customHeight="true" outlineLevel="0" collapsed="false">
      <c r="A917" s="37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  <c r="AA917" s="37"/>
      <c r="AB917" s="37"/>
      <c r="AC917" s="37"/>
      <c r="AD917" s="37"/>
      <c r="AE917" s="37"/>
      <c r="AF917" s="37"/>
      <c r="AG917" s="37"/>
      <c r="AH917" s="37"/>
      <c r="AI917" s="37"/>
      <c r="AJ917" s="37"/>
      <c r="AK917" s="37"/>
      <c r="AL917" s="37"/>
      <c r="AM917" s="37"/>
      <c r="AN917" s="37"/>
      <c r="AO917" s="37"/>
      <c r="AP917" s="37"/>
    </row>
    <row r="918" customFormat="false" ht="15.75" hidden="false" customHeight="true" outlineLevel="0" collapsed="false">
      <c r="A918" s="37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  <c r="AA918" s="37"/>
      <c r="AB918" s="37"/>
      <c r="AC918" s="37"/>
      <c r="AD918" s="37"/>
      <c r="AE918" s="37"/>
      <c r="AF918" s="37"/>
      <c r="AG918" s="37"/>
      <c r="AH918" s="37"/>
      <c r="AI918" s="37"/>
      <c r="AJ918" s="37"/>
      <c r="AK918" s="37"/>
      <c r="AL918" s="37"/>
      <c r="AM918" s="37"/>
      <c r="AN918" s="37"/>
      <c r="AO918" s="37"/>
      <c r="AP918" s="37"/>
    </row>
    <row r="919" customFormat="false" ht="15.75" hidden="false" customHeight="true" outlineLevel="0" collapsed="false">
      <c r="A919" s="37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  <c r="AA919" s="37"/>
      <c r="AB919" s="37"/>
      <c r="AC919" s="37"/>
      <c r="AD919" s="37"/>
      <c r="AE919" s="37"/>
      <c r="AF919" s="37"/>
      <c r="AG919" s="37"/>
      <c r="AH919" s="37"/>
      <c r="AI919" s="37"/>
      <c r="AJ919" s="37"/>
      <c r="AK919" s="37"/>
      <c r="AL919" s="37"/>
      <c r="AM919" s="37"/>
      <c r="AN919" s="37"/>
      <c r="AO919" s="37"/>
      <c r="AP919" s="37"/>
    </row>
    <row r="920" customFormat="false" ht="15.75" hidden="false" customHeight="true" outlineLevel="0" collapsed="false">
      <c r="A920" s="37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  <c r="AA920" s="37"/>
      <c r="AB920" s="37"/>
      <c r="AC920" s="37"/>
      <c r="AD920" s="37"/>
      <c r="AE920" s="37"/>
      <c r="AF920" s="37"/>
      <c r="AG920" s="37"/>
      <c r="AH920" s="37"/>
      <c r="AI920" s="37"/>
      <c r="AJ920" s="37"/>
      <c r="AK920" s="37"/>
      <c r="AL920" s="37"/>
      <c r="AM920" s="37"/>
      <c r="AN920" s="37"/>
      <c r="AO920" s="37"/>
      <c r="AP920" s="37"/>
    </row>
    <row r="921" customFormat="false" ht="15.75" hidden="false" customHeight="true" outlineLevel="0" collapsed="false">
      <c r="A921" s="37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  <c r="AA921" s="37"/>
      <c r="AB921" s="37"/>
      <c r="AC921" s="37"/>
      <c r="AD921" s="37"/>
      <c r="AE921" s="37"/>
      <c r="AF921" s="37"/>
      <c r="AG921" s="37"/>
      <c r="AH921" s="37"/>
      <c r="AI921" s="37"/>
      <c r="AJ921" s="37"/>
      <c r="AK921" s="37"/>
      <c r="AL921" s="37"/>
      <c r="AM921" s="37"/>
      <c r="AN921" s="37"/>
      <c r="AO921" s="37"/>
      <c r="AP921" s="37"/>
    </row>
    <row r="922" customFormat="false" ht="15.75" hidden="false" customHeight="true" outlineLevel="0" collapsed="false">
      <c r="A922" s="37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  <c r="AA922" s="37"/>
      <c r="AB922" s="37"/>
      <c r="AC922" s="37"/>
      <c r="AD922" s="37"/>
      <c r="AE922" s="37"/>
      <c r="AF922" s="37"/>
      <c r="AG922" s="37"/>
      <c r="AH922" s="37"/>
      <c r="AI922" s="37"/>
      <c r="AJ922" s="37"/>
      <c r="AK922" s="37"/>
      <c r="AL922" s="37"/>
      <c r="AM922" s="37"/>
      <c r="AN922" s="37"/>
      <c r="AO922" s="37"/>
      <c r="AP922" s="37"/>
    </row>
    <row r="923" customFormat="false" ht="15.75" hidden="false" customHeight="true" outlineLevel="0" collapsed="false">
      <c r="A923" s="37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  <c r="AA923" s="37"/>
      <c r="AB923" s="37"/>
      <c r="AC923" s="37"/>
      <c r="AD923" s="37"/>
      <c r="AE923" s="37"/>
      <c r="AF923" s="37"/>
      <c r="AG923" s="37"/>
      <c r="AH923" s="37"/>
      <c r="AI923" s="37"/>
      <c r="AJ923" s="37"/>
      <c r="AK923" s="37"/>
      <c r="AL923" s="37"/>
      <c r="AM923" s="37"/>
      <c r="AN923" s="37"/>
      <c r="AO923" s="37"/>
      <c r="AP923" s="37"/>
    </row>
    <row r="924" customFormat="false" ht="15.75" hidden="false" customHeight="true" outlineLevel="0" collapsed="false">
      <c r="A924" s="37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  <c r="AA924" s="37"/>
      <c r="AB924" s="37"/>
      <c r="AC924" s="37"/>
      <c r="AD924" s="37"/>
      <c r="AE924" s="37"/>
      <c r="AF924" s="37"/>
      <c r="AG924" s="37"/>
      <c r="AH924" s="37"/>
      <c r="AI924" s="37"/>
      <c r="AJ924" s="37"/>
      <c r="AK924" s="37"/>
      <c r="AL924" s="37"/>
      <c r="AM924" s="37"/>
      <c r="AN924" s="37"/>
      <c r="AO924" s="37"/>
      <c r="AP924" s="37"/>
    </row>
    <row r="925" customFormat="false" ht="15.75" hidden="false" customHeight="true" outlineLevel="0" collapsed="false">
      <c r="A925" s="37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  <c r="AA925" s="37"/>
      <c r="AB925" s="37"/>
      <c r="AC925" s="37"/>
      <c r="AD925" s="37"/>
      <c r="AE925" s="37"/>
      <c r="AF925" s="37"/>
      <c r="AG925" s="37"/>
      <c r="AH925" s="37"/>
      <c r="AI925" s="37"/>
      <c r="AJ925" s="37"/>
      <c r="AK925" s="37"/>
      <c r="AL925" s="37"/>
      <c r="AM925" s="37"/>
      <c r="AN925" s="37"/>
      <c r="AO925" s="37"/>
      <c r="AP925" s="37"/>
    </row>
    <row r="926" customFormat="false" ht="15.75" hidden="false" customHeight="true" outlineLevel="0" collapsed="false">
      <c r="A926" s="37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  <c r="AA926" s="37"/>
      <c r="AB926" s="37"/>
      <c r="AC926" s="37"/>
      <c r="AD926" s="37"/>
      <c r="AE926" s="37"/>
      <c r="AF926" s="37"/>
      <c r="AG926" s="37"/>
      <c r="AH926" s="37"/>
      <c r="AI926" s="37"/>
      <c r="AJ926" s="37"/>
      <c r="AK926" s="37"/>
      <c r="AL926" s="37"/>
      <c r="AM926" s="37"/>
      <c r="AN926" s="37"/>
      <c r="AO926" s="37"/>
      <c r="AP926" s="37"/>
    </row>
    <row r="927" customFormat="false" ht="15.75" hidden="false" customHeight="true" outlineLevel="0" collapsed="false">
      <c r="A927" s="37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  <c r="AA927" s="37"/>
      <c r="AB927" s="37"/>
      <c r="AC927" s="37"/>
      <c r="AD927" s="37"/>
      <c r="AE927" s="37"/>
      <c r="AF927" s="37"/>
      <c r="AG927" s="37"/>
      <c r="AH927" s="37"/>
      <c r="AI927" s="37"/>
      <c r="AJ927" s="37"/>
      <c r="AK927" s="37"/>
      <c r="AL927" s="37"/>
      <c r="AM927" s="37"/>
      <c r="AN927" s="37"/>
      <c r="AO927" s="37"/>
      <c r="AP927" s="37"/>
    </row>
    <row r="928" customFormat="false" ht="15.75" hidden="false" customHeight="true" outlineLevel="0" collapsed="false">
      <c r="A928" s="37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  <c r="AA928" s="37"/>
      <c r="AB928" s="37"/>
      <c r="AC928" s="37"/>
      <c r="AD928" s="37"/>
      <c r="AE928" s="37"/>
      <c r="AF928" s="37"/>
      <c r="AG928" s="37"/>
      <c r="AH928" s="37"/>
      <c r="AI928" s="37"/>
      <c r="AJ928" s="37"/>
      <c r="AK928" s="37"/>
      <c r="AL928" s="37"/>
      <c r="AM928" s="37"/>
      <c r="AN928" s="37"/>
      <c r="AO928" s="37"/>
      <c r="AP928" s="37"/>
    </row>
    <row r="929" customFormat="false" ht="15.75" hidden="false" customHeight="true" outlineLevel="0" collapsed="false">
      <c r="A929" s="37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  <c r="AA929" s="37"/>
      <c r="AB929" s="37"/>
      <c r="AC929" s="37"/>
      <c r="AD929" s="37"/>
      <c r="AE929" s="37"/>
      <c r="AF929" s="37"/>
      <c r="AG929" s="37"/>
      <c r="AH929" s="37"/>
      <c r="AI929" s="37"/>
      <c r="AJ929" s="37"/>
      <c r="AK929" s="37"/>
      <c r="AL929" s="37"/>
      <c r="AM929" s="37"/>
      <c r="AN929" s="37"/>
      <c r="AO929" s="37"/>
      <c r="AP929" s="37"/>
    </row>
    <row r="930" customFormat="false" ht="15.75" hidden="false" customHeight="true" outlineLevel="0" collapsed="false">
      <c r="A930" s="37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  <c r="AA930" s="37"/>
      <c r="AB930" s="37"/>
      <c r="AC930" s="37"/>
      <c r="AD930" s="37"/>
      <c r="AE930" s="37"/>
      <c r="AF930" s="37"/>
      <c r="AG930" s="37"/>
      <c r="AH930" s="37"/>
      <c r="AI930" s="37"/>
      <c r="AJ930" s="37"/>
      <c r="AK930" s="37"/>
      <c r="AL930" s="37"/>
      <c r="AM930" s="37"/>
      <c r="AN930" s="37"/>
      <c r="AO930" s="37"/>
      <c r="AP930" s="37"/>
    </row>
    <row r="931" customFormat="false" ht="15.75" hidden="false" customHeight="true" outlineLevel="0" collapsed="false">
      <c r="A931" s="37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  <c r="AA931" s="37"/>
      <c r="AB931" s="37"/>
      <c r="AC931" s="37"/>
      <c r="AD931" s="37"/>
      <c r="AE931" s="37"/>
      <c r="AF931" s="37"/>
      <c r="AG931" s="37"/>
      <c r="AH931" s="37"/>
      <c r="AI931" s="37"/>
      <c r="AJ931" s="37"/>
      <c r="AK931" s="37"/>
      <c r="AL931" s="37"/>
      <c r="AM931" s="37"/>
      <c r="AN931" s="37"/>
      <c r="AO931" s="37"/>
      <c r="AP931" s="37"/>
    </row>
    <row r="932" customFormat="false" ht="15.75" hidden="false" customHeight="true" outlineLevel="0" collapsed="false">
      <c r="A932" s="37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  <c r="AA932" s="37"/>
      <c r="AB932" s="37"/>
      <c r="AC932" s="37"/>
      <c r="AD932" s="37"/>
      <c r="AE932" s="37"/>
      <c r="AF932" s="37"/>
      <c r="AG932" s="37"/>
      <c r="AH932" s="37"/>
      <c r="AI932" s="37"/>
      <c r="AJ932" s="37"/>
      <c r="AK932" s="37"/>
      <c r="AL932" s="37"/>
      <c r="AM932" s="37"/>
      <c r="AN932" s="37"/>
      <c r="AO932" s="37"/>
      <c r="AP932" s="37"/>
    </row>
    <row r="933" customFormat="false" ht="15.75" hidden="false" customHeight="true" outlineLevel="0" collapsed="false">
      <c r="A933" s="37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  <c r="AA933" s="37"/>
      <c r="AB933" s="37"/>
      <c r="AC933" s="37"/>
      <c r="AD933" s="37"/>
      <c r="AE933" s="37"/>
      <c r="AF933" s="37"/>
      <c r="AG933" s="37"/>
      <c r="AH933" s="37"/>
      <c r="AI933" s="37"/>
      <c r="AJ933" s="37"/>
      <c r="AK933" s="37"/>
      <c r="AL933" s="37"/>
      <c r="AM933" s="37"/>
      <c r="AN933" s="37"/>
      <c r="AO933" s="37"/>
      <c r="AP933" s="37"/>
    </row>
    <row r="934" customFormat="false" ht="15.75" hidden="false" customHeight="true" outlineLevel="0" collapsed="false">
      <c r="A934" s="37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  <c r="AA934" s="37"/>
      <c r="AB934" s="37"/>
      <c r="AC934" s="37"/>
      <c r="AD934" s="37"/>
      <c r="AE934" s="37"/>
      <c r="AF934" s="37"/>
      <c r="AG934" s="37"/>
      <c r="AH934" s="37"/>
      <c r="AI934" s="37"/>
      <c r="AJ934" s="37"/>
      <c r="AK934" s="37"/>
      <c r="AL934" s="37"/>
      <c r="AM934" s="37"/>
      <c r="AN934" s="37"/>
      <c r="AO934" s="37"/>
      <c r="AP934" s="37"/>
    </row>
    <row r="935" customFormat="false" ht="15.75" hidden="false" customHeight="true" outlineLevel="0" collapsed="false">
      <c r="A935" s="37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  <c r="AA935" s="37"/>
      <c r="AB935" s="37"/>
      <c r="AC935" s="37"/>
      <c r="AD935" s="37"/>
      <c r="AE935" s="37"/>
      <c r="AF935" s="37"/>
      <c r="AG935" s="37"/>
      <c r="AH935" s="37"/>
      <c r="AI935" s="37"/>
      <c r="AJ935" s="37"/>
      <c r="AK935" s="37"/>
      <c r="AL935" s="37"/>
      <c r="AM935" s="37"/>
      <c r="AN935" s="37"/>
      <c r="AO935" s="37"/>
      <c r="AP935" s="37"/>
    </row>
    <row r="936" customFormat="false" ht="15.75" hidden="false" customHeight="true" outlineLevel="0" collapsed="false">
      <c r="A936" s="37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  <c r="AA936" s="37"/>
      <c r="AB936" s="37"/>
      <c r="AC936" s="37"/>
      <c r="AD936" s="37"/>
      <c r="AE936" s="37"/>
      <c r="AF936" s="37"/>
      <c r="AG936" s="37"/>
      <c r="AH936" s="37"/>
      <c r="AI936" s="37"/>
      <c r="AJ936" s="37"/>
      <c r="AK936" s="37"/>
      <c r="AL936" s="37"/>
      <c r="AM936" s="37"/>
      <c r="AN936" s="37"/>
      <c r="AO936" s="37"/>
      <c r="AP936" s="37"/>
    </row>
    <row r="937" customFormat="false" ht="15.75" hidden="false" customHeight="true" outlineLevel="0" collapsed="false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  <c r="AA937" s="37"/>
      <c r="AB937" s="37"/>
      <c r="AC937" s="37"/>
      <c r="AD937" s="37"/>
      <c r="AE937" s="37"/>
      <c r="AF937" s="37"/>
      <c r="AG937" s="37"/>
      <c r="AH937" s="37"/>
      <c r="AI937" s="37"/>
      <c r="AJ937" s="37"/>
      <c r="AK937" s="37"/>
      <c r="AL937" s="37"/>
      <c r="AM937" s="37"/>
      <c r="AN937" s="37"/>
      <c r="AO937" s="37"/>
      <c r="AP937" s="37"/>
    </row>
    <row r="938" customFormat="false" ht="15.75" hidden="false" customHeight="true" outlineLevel="0" collapsed="false">
      <c r="A938" s="37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  <c r="AA938" s="37"/>
      <c r="AB938" s="37"/>
      <c r="AC938" s="37"/>
      <c r="AD938" s="37"/>
      <c r="AE938" s="37"/>
      <c r="AF938" s="37"/>
      <c r="AG938" s="37"/>
      <c r="AH938" s="37"/>
      <c r="AI938" s="37"/>
      <c r="AJ938" s="37"/>
      <c r="AK938" s="37"/>
      <c r="AL938" s="37"/>
      <c r="AM938" s="37"/>
      <c r="AN938" s="37"/>
      <c r="AO938" s="37"/>
      <c r="AP938" s="37"/>
    </row>
    <row r="939" customFormat="false" ht="15.75" hidden="false" customHeight="true" outlineLevel="0" collapsed="false">
      <c r="A939" s="37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  <c r="AA939" s="37"/>
      <c r="AB939" s="37"/>
      <c r="AC939" s="37"/>
      <c r="AD939" s="37"/>
      <c r="AE939" s="37"/>
      <c r="AF939" s="37"/>
      <c r="AG939" s="37"/>
      <c r="AH939" s="37"/>
      <c r="AI939" s="37"/>
      <c r="AJ939" s="37"/>
      <c r="AK939" s="37"/>
      <c r="AL939" s="37"/>
      <c r="AM939" s="37"/>
      <c r="AN939" s="37"/>
      <c r="AO939" s="37"/>
      <c r="AP939" s="37"/>
    </row>
    <row r="940" customFormat="false" ht="15.75" hidden="false" customHeight="true" outlineLevel="0" collapsed="false">
      <c r="A940" s="37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  <c r="AA940" s="37"/>
      <c r="AB940" s="37"/>
      <c r="AC940" s="37"/>
      <c r="AD940" s="37"/>
      <c r="AE940" s="37"/>
      <c r="AF940" s="37"/>
      <c r="AG940" s="37"/>
      <c r="AH940" s="37"/>
      <c r="AI940" s="37"/>
      <c r="AJ940" s="37"/>
      <c r="AK940" s="37"/>
      <c r="AL940" s="37"/>
      <c r="AM940" s="37"/>
      <c r="AN940" s="37"/>
      <c r="AO940" s="37"/>
      <c r="AP940" s="37"/>
    </row>
    <row r="941" customFormat="false" ht="15.75" hidden="false" customHeight="true" outlineLevel="0" collapsed="false">
      <c r="A941" s="37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  <c r="AA941" s="37"/>
      <c r="AB941" s="37"/>
      <c r="AC941" s="37"/>
      <c r="AD941" s="37"/>
      <c r="AE941" s="37"/>
      <c r="AF941" s="37"/>
      <c r="AG941" s="37"/>
      <c r="AH941" s="37"/>
      <c r="AI941" s="37"/>
      <c r="AJ941" s="37"/>
      <c r="AK941" s="37"/>
      <c r="AL941" s="37"/>
      <c r="AM941" s="37"/>
      <c r="AN941" s="37"/>
      <c r="AO941" s="37"/>
      <c r="AP941" s="37"/>
    </row>
    <row r="942" customFormat="false" ht="15.75" hidden="false" customHeight="true" outlineLevel="0" collapsed="false">
      <c r="A942" s="37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  <c r="AA942" s="37"/>
      <c r="AB942" s="37"/>
      <c r="AC942" s="37"/>
      <c r="AD942" s="37"/>
      <c r="AE942" s="37"/>
      <c r="AF942" s="37"/>
      <c r="AG942" s="37"/>
      <c r="AH942" s="37"/>
      <c r="AI942" s="37"/>
      <c r="AJ942" s="37"/>
      <c r="AK942" s="37"/>
      <c r="AL942" s="37"/>
      <c r="AM942" s="37"/>
      <c r="AN942" s="37"/>
      <c r="AO942" s="37"/>
      <c r="AP942" s="37"/>
    </row>
    <row r="943" customFormat="false" ht="15.75" hidden="false" customHeight="true" outlineLevel="0" collapsed="false">
      <c r="A943" s="37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  <c r="AA943" s="37"/>
      <c r="AB943" s="37"/>
      <c r="AC943" s="37"/>
      <c r="AD943" s="37"/>
      <c r="AE943" s="37"/>
      <c r="AF943" s="37"/>
      <c r="AG943" s="37"/>
      <c r="AH943" s="37"/>
      <c r="AI943" s="37"/>
      <c r="AJ943" s="37"/>
      <c r="AK943" s="37"/>
      <c r="AL943" s="37"/>
      <c r="AM943" s="37"/>
      <c r="AN943" s="37"/>
      <c r="AO943" s="37"/>
      <c r="AP943" s="37"/>
    </row>
    <row r="944" customFormat="false" ht="15.75" hidden="false" customHeight="true" outlineLevel="0" collapsed="false">
      <c r="A944" s="37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  <c r="AA944" s="37"/>
      <c r="AB944" s="37"/>
      <c r="AC944" s="37"/>
      <c r="AD944" s="37"/>
      <c r="AE944" s="37"/>
      <c r="AF944" s="37"/>
      <c r="AG944" s="37"/>
      <c r="AH944" s="37"/>
      <c r="AI944" s="37"/>
      <c r="AJ944" s="37"/>
      <c r="AK944" s="37"/>
      <c r="AL944" s="37"/>
      <c r="AM944" s="37"/>
      <c r="AN944" s="37"/>
      <c r="AO944" s="37"/>
      <c r="AP944" s="37"/>
    </row>
    <row r="945" customFormat="false" ht="15.75" hidden="false" customHeight="true" outlineLevel="0" collapsed="false">
      <c r="A945" s="37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  <c r="AA945" s="37"/>
      <c r="AB945" s="37"/>
      <c r="AC945" s="37"/>
      <c r="AD945" s="37"/>
      <c r="AE945" s="37"/>
      <c r="AF945" s="37"/>
      <c r="AG945" s="37"/>
      <c r="AH945" s="37"/>
      <c r="AI945" s="37"/>
      <c r="AJ945" s="37"/>
      <c r="AK945" s="37"/>
      <c r="AL945" s="37"/>
      <c r="AM945" s="37"/>
      <c r="AN945" s="37"/>
      <c r="AO945" s="37"/>
      <c r="AP945" s="37"/>
    </row>
    <row r="946" customFormat="false" ht="15.75" hidden="false" customHeight="true" outlineLevel="0" collapsed="false">
      <c r="A946" s="37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  <c r="AA946" s="37"/>
      <c r="AB946" s="37"/>
      <c r="AC946" s="37"/>
      <c r="AD946" s="37"/>
      <c r="AE946" s="37"/>
      <c r="AF946" s="37"/>
      <c r="AG946" s="37"/>
      <c r="AH946" s="37"/>
      <c r="AI946" s="37"/>
      <c r="AJ946" s="37"/>
      <c r="AK946" s="37"/>
      <c r="AL946" s="37"/>
      <c r="AM946" s="37"/>
      <c r="AN946" s="37"/>
      <c r="AO946" s="37"/>
      <c r="AP946" s="37"/>
    </row>
    <row r="947" customFormat="false" ht="15.75" hidden="false" customHeight="true" outlineLevel="0" collapsed="false">
      <c r="A947" s="37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  <c r="AA947" s="37"/>
      <c r="AB947" s="37"/>
      <c r="AC947" s="37"/>
      <c r="AD947" s="37"/>
      <c r="AE947" s="37"/>
      <c r="AF947" s="37"/>
      <c r="AG947" s="37"/>
      <c r="AH947" s="37"/>
      <c r="AI947" s="37"/>
      <c r="AJ947" s="37"/>
      <c r="AK947" s="37"/>
      <c r="AL947" s="37"/>
      <c r="AM947" s="37"/>
      <c r="AN947" s="37"/>
      <c r="AO947" s="37"/>
      <c r="AP947" s="37"/>
    </row>
    <row r="948" customFormat="false" ht="15.75" hidden="false" customHeight="true" outlineLevel="0" collapsed="false">
      <c r="A948" s="37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  <c r="AA948" s="37"/>
      <c r="AB948" s="37"/>
      <c r="AC948" s="37"/>
      <c r="AD948" s="37"/>
      <c r="AE948" s="37"/>
      <c r="AF948" s="37"/>
      <c r="AG948" s="37"/>
      <c r="AH948" s="37"/>
      <c r="AI948" s="37"/>
      <c r="AJ948" s="37"/>
      <c r="AK948" s="37"/>
      <c r="AL948" s="37"/>
      <c r="AM948" s="37"/>
      <c r="AN948" s="37"/>
      <c r="AO948" s="37"/>
      <c r="AP948" s="37"/>
    </row>
    <row r="949" customFormat="false" ht="15.75" hidden="false" customHeight="true" outlineLevel="0" collapsed="false">
      <c r="A949" s="37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  <c r="AA949" s="37"/>
      <c r="AB949" s="37"/>
      <c r="AC949" s="37"/>
      <c r="AD949" s="37"/>
      <c r="AE949" s="37"/>
      <c r="AF949" s="37"/>
      <c r="AG949" s="37"/>
      <c r="AH949" s="37"/>
      <c r="AI949" s="37"/>
      <c r="AJ949" s="37"/>
      <c r="AK949" s="37"/>
      <c r="AL949" s="37"/>
      <c r="AM949" s="37"/>
      <c r="AN949" s="37"/>
      <c r="AO949" s="37"/>
      <c r="AP949" s="37"/>
    </row>
    <row r="950" customFormat="false" ht="15.75" hidden="false" customHeight="true" outlineLevel="0" collapsed="false">
      <c r="A950" s="37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  <c r="AA950" s="37"/>
      <c r="AB950" s="37"/>
      <c r="AC950" s="37"/>
      <c r="AD950" s="37"/>
      <c r="AE950" s="37"/>
      <c r="AF950" s="37"/>
      <c r="AG950" s="37"/>
      <c r="AH950" s="37"/>
      <c r="AI950" s="37"/>
      <c r="AJ950" s="37"/>
      <c r="AK950" s="37"/>
      <c r="AL950" s="37"/>
      <c r="AM950" s="37"/>
      <c r="AN950" s="37"/>
      <c r="AO950" s="37"/>
      <c r="AP950" s="37"/>
    </row>
    <row r="951" customFormat="false" ht="15.75" hidden="false" customHeight="true" outlineLevel="0" collapsed="false">
      <c r="A951" s="37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  <c r="AA951" s="37"/>
      <c r="AB951" s="37"/>
      <c r="AC951" s="37"/>
      <c r="AD951" s="37"/>
      <c r="AE951" s="37"/>
      <c r="AF951" s="37"/>
      <c r="AG951" s="37"/>
      <c r="AH951" s="37"/>
      <c r="AI951" s="37"/>
      <c r="AJ951" s="37"/>
      <c r="AK951" s="37"/>
      <c r="AL951" s="37"/>
      <c r="AM951" s="37"/>
      <c r="AN951" s="37"/>
      <c r="AO951" s="37"/>
      <c r="AP951" s="37"/>
    </row>
    <row r="952" customFormat="false" ht="15.75" hidden="false" customHeight="true" outlineLevel="0" collapsed="false">
      <c r="A952" s="37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  <c r="AA952" s="37"/>
      <c r="AB952" s="37"/>
      <c r="AC952" s="37"/>
      <c r="AD952" s="37"/>
      <c r="AE952" s="37"/>
      <c r="AF952" s="37"/>
      <c r="AG952" s="37"/>
      <c r="AH952" s="37"/>
      <c r="AI952" s="37"/>
      <c r="AJ952" s="37"/>
      <c r="AK952" s="37"/>
      <c r="AL952" s="37"/>
      <c r="AM952" s="37"/>
      <c r="AN952" s="37"/>
      <c r="AO952" s="37"/>
      <c r="AP952" s="37"/>
    </row>
    <row r="953" customFormat="false" ht="15.75" hidden="false" customHeight="true" outlineLevel="0" collapsed="false">
      <c r="A953" s="37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  <c r="AA953" s="37"/>
      <c r="AB953" s="37"/>
      <c r="AC953" s="37"/>
      <c r="AD953" s="37"/>
      <c r="AE953" s="37"/>
      <c r="AF953" s="37"/>
      <c r="AG953" s="37"/>
      <c r="AH953" s="37"/>
      <c r="AI953" s="37"/>
      <c r="AJ953" s="37"/>
      <c r="AK953" s="37"/>
      <c r="AL953" s="37"/>
      <c r="AM953" s="37"/>
      <c r="AN953" s="37"/>
      <c r="AO953" s="37"/>
      <c r="AP953" s="37"/>
    </row>
    <row r="954" customFormat="false" ht="15.75" hidden="false" customHeight="true" outlineLevel="0" collapsed="false">
      <c r="A954" s="37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  <c r="AA954" s="37"/>
      <c r="AB954" s="37"/>
      <c r="AC954" s="37"/>
      <c r="AD954" s="37"/>
      <c r="AE954" s="37"/>
      <c r="AF954" s="37"/>
      <c r="AG954" s="37"/>
      <c r="AH954" s="37"/>
      <c r="AI954" s="37"/>
      <c r="AJ954" s="37"/>
      <c r="AK954" s="37"/>
      <c r="AL954" s="37"/>
      <c r="AM954" s="37"/>
      <c r="AN954" s="37"/>
      <c r="AO954" s="37"/>
      <c r="AP954" s="37"/>
    </row>
    <row r="955" customFormat="false" ht="15.75" hidden="false" customHeight="true" outlineLevel="0" collapsed="false">
      <c r="A955" s="37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  <c r="AA955" s="37"/>
      <c r="AB955" s="37"/>
      <c r="AC955" s="37"/>
      <c r="AD955" s="37"/>
      <c r="AE955" s="37"/>
      <c r="AF955" s="37"/>
      <c r="AG955" s="37"/>
      <c r="AH955" s="37"/>
      <c r="AI955" s="37"/>
      <c r="AJ955" s="37"/>
      <c r="AK955" s="37"/>
      <c r="AL955" s="37"/>
      <c r="AM955" s="37"/>
      <c r="AN955" s="37"/>
      <c r="AO955" s="37"/>
      <c r="AP955" s="37"/>
    </row>
    <row r="956" customFormat="false" ht="15.75" hidden="false" customHeight="true" outlineLevel="0" collapsed="false">
      <c r="A956" s="37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  <c r="AA956" s="37"/>
      <c r="AB956" s="37"/>
      <c r="AC956" s="37"/>
      <c r="AD956" s="37"/>
      <c r="AE956" s="37"/>
      <c r="AF956" s="37"/>
      <c r="AG956" s="37"/>
      <c r="AH956" s="37"/>
      <c r="AI956" s="37"/>
      <c r="AJ956" s="37"/>
      <c r="AK956" s="37"/>
      <c r="AL956" s="37"/>
      <c r="AM956" s="37"/>
      <c r="AN956" s="37"/>
      <c r="AO956" s="37"/>
      <c r="AP956" s="37"/>
    </row>
    <row r="957" customFormat="false" ht="15.75" hidden="false" customHeight="true" outlineLevel="0" collapsed="false">
      <c r="A957" s="37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  <c r="AA957" s="37"/>
      <c r="AB957" s="37"/>
      <c r="AC957" s="37"/>
      <c r="AD957" s="37"/>
      <c r="AE957" s="37"/>
      <c r="AF957" s="37"/>
      <c r="AG957" s="37"/>
      <c r="AH957" s="37"/>
      <c r="AI957" s="37"/>
      <c r="AJ957" s="37"/>
      <c r="AK957" s="37"/>
      <c r="AL957" s="37"/>
      <c r="AM957" s="37"/>
      <c r="AN957" s="37"/>
      <c r="AO957" s="37"/>
      <c r="AP957" s="37"/>
    </row>
    <row r="958" customFormat="false" ht="15.75" hidden="false" customHeight="true" outlineLevel="0" collapsed="false">
      <c r="A958" s="37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  <c r="AA958" s="37"/>
      <c r="AB958" s="37"/>
      <c r="AC958" s="37"/>
      <c r="AD958" s="37"/>
      <c r="AE958" s="37"/>
      <c r="AF958" s="37"/>
      <c r="AG958" s="37"/>
      <c r="AH958" s="37"/>
      <c r="AI958" s="37"/>
      <c r="AJ958" s="37"/>
      <c r="AK958" s="37"/>
      <c r="AL958" s="37"/>
      <c r="AM958" s="37"/>
      <c r="AN958" s="37"/>
      <c r="AO958" s="37"/>
      <c r="AP958" s="37"/>
    </row>
    <row r="959" customFormat="false" ht="15.75" hidden="false" customHeight="true" outlineLevel="0" collapsed="false">
      <c r="A959" s="37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  <c r="AA959" s="37"/>
      <c r="AB959" s="37"/>
      <c r="AC959" s="37"/>
      <c r="AD959" s="37"/>
      <c r="AE959" s="37"/>
      <c r="AF959" s="37"/>
      <c r="AG959" s="37"/>
      <c r="AH959" s="37"/>
      <c r="AI959" s="37"/>
      <c r="AJ959" s="37"/>
      <c r="AK959" s="37"/>
      <c r="AL959" s="37"/>
      <c r="AM959" s="37"/>
      <c r="AN959" s="37"/>
      <c r="AO959" s="37"/>
      <c r="AP959" s="37"/>
    </row>
    <row r="960" customFormat="false" ht="15.75" hidden="false" customHeight="true" outlineLevel="0" collapsed="false">
      <c r="A960" s="37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  <c r="AA960" s="37"/>
      <c r="AB960" s="37"/>
      <c r="AC960" s="37"/>
      <c r="AD960" s="37"/>
      <c r="AE960" s="37"/>
      <c r="AF960" s="37"/>
      <c r="AG960" s="37"/>
      <c r="AH960" s="37"/>
      <c r="AI960" s="37"/>
      <c r="AJ960" s="37"/>
      <c r="AK960" s="37"/>
      <c r="AL960" s="37"/>
      <c r="AM960" s="37"/>
      <c r="AN960" s="37"/>
      <c r="AO960" s="37"/>
      <c r="AP960" s="37"/>
    </row>
    <row r="961" customFormat="false" ht="15.75" hidden="false" customHeight="true" outlineLevel="0" collapsed="false">
      <c r="A961" s="37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  <c r="AA961" s="37"/>
      <c r="AB961" s="37"/>
      <c r="AC961" s="37"/>
      <c r="AD961" s="37"/>
      <c r="AE961" s="37"/>
      <c r="AF961" s="37"/>
      <c r="AG961" s="37"/>
      <c r="AH961" s="37"/>
      <c r="AI961" s="37"/>
      <c r="AJ961" s="37"/>
      <c r="AK961" s="37"/>
      <c r="AL961" s="37"/>
      <c r="AM961" s="37"/>
      <c r="AN961" s="37"/>
      <c r="AO961" s="37"/>
      <c r="AP961" s="37"/>
    </row>
    <row r="962" customFormat="false" ht="15.75" hidden="false" customHeight="true" outlineLevel="0" collapsed="false">
      <c r="A962" s="37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  <c r="AA962" s="37"/>
      <c r="AB962" s="37"/>
      <c r="AC962" s="37"/>
      <c r="AD962" s="37"/>
      <c r="AE962" s="37"/>
      <c r="AF962" s="37"/>
      <c r="AG962" s="37"/>
      <c r="AH962" s="37"/>
      <c r="AI962" s="37"/>
      <c r="AJ962" s="37"/>
      <c r="AK962" s="37"/>
      <c r="AL962" s="37"/>
      <c r="AM962" s="37"/>
      <c r="AN962" s="37"/>
      <c r="AO962" s="37"/>
      <c r="AP962" s="37"/>
    </row>
    <row r="963" customFormat="false" ht="15.75" hidden="false" customHeight="true" outlineLevel="0" collapsed="false">
      <c r="A963" s="37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  <c r="AA963" s="37"/>
      <c r="AB963" s="37"/>
      <c r="AC963" s="37"/>
      <c r="AD963" s="37"/>
      <c r="AE963" s="37"/>
      <c r="AF963" s="37"/>
      <c r="AG963" s="37"/>
      <c r="AH963" s="37"/>
      <c r="AI963" s="37"/>
      <c r="AJ963" s="37"/>
      <c r="AK963" s="37"/>
      <c r="AL963" s="37"/>
      <c r="AM963" s="37"/>
      <c r="AN963" s="37"/>
      <c r="AO963" s="37"/>
      <c r="AP963" s="37"/>
    </row>
    <row r="964" customFormat="false" ht="15.75" hidden="false" customHeight="true" outlineLevel="0" collapsed="false">
      <c r="A964" s="37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  <c r="AA964" s="37"/>
      <c r="AB964" s="37"/>
      <c r="AC964" s="37"/>
      <c r="AD964" s="37"/>
      <c r="AE964" s="37"/>
      <c r="AF964" s="37"/>
      <c r="AG964" s="37"/>
      <c r="AH964" s="37"/>
      <c r="AI964" s="37"/>
      <c r="AJ964" s="37"/>
      <c r="AK964" s="37"/>
      <c r="AL964" s="37"/>
      <c r="AM964" s="37"/>
      <c r="AN964" s="37"/>
      <c r="AO964" s="37"/>
      <c r="AP964" s="37"/>
    </row>
    <row r="965" customFormat="false" ht="15.75" hidden="false" customHeight="true" outlineLevel="0" collapsed="false">
      <c r="A965" s="37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  <c r="AA965" s="37"/>
      <c r="AB965" s="37"/>
      <c r="AC965" s="37"/>
      <c r="AD965" s="37"/>
      <c r="AE965" s="37"/>
      <c r="AF965" s="37"/>
      <c r="AG965" s="37"/>
      <c r="AH965" s="37"/>
      <c r="AI965" s="37"/>
      <c r="AJ965" s="37"/>
      <c r="AK965" s="37"/>
      <c r="AL965" s="37"/>
      <c r="AM965" s="37"/>
      <c r="AN965" s="37"/>
      <c r="AO965" s="37"/>
      <c r="AP965" s="37"/>
    </row>
    <row r="966" customFormat="false" ht="15.75" hidden="false" customHeight="true" outlineLevel="0" collapsed="false">
      <c r="A966" s="37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  <c r="AA966" s="37"/>
      <c r="AB966" s="37"/>
      <c r="AC966" s="37"/>
      <c r="AD966" s="37"/>
      <c r="AE966" s="37"/>
      <c r="AF966" s="37"/>
      <c r="AG966" s="37"/>
      <c r="AH966" s="37"/>
      <c r="AI966" s="37"/>
      <c r="AJ966" s="37"/>
      <c r="AK966" s="37"/>
      <c r="AL966" s="37"/>
      <c r="AM966" s="37"/>
      <c r="AN966" s="37"/>
      <c r="AO966" s="37"/>
      <c r="AP966" s="37"/>
    </row>
    <row r="967" customFormat="false" ht="15.75" hidden="false" customHeight="true" outlineLevel="0" collapsed="false">
      <c r="A967" s="37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  <c r="AA967" s="37"/>
      <c r="AB967" s="37"/>
      <c r="AC967" s="37"/>
      <c r="AD967" s="37"/>
      <c r="AE967" s="37"/>
      <c r="AF967" s="37"/>
      <c r="AG967" s="37"/>
      <c r="AH967" s="37"/>
      <c r="AI967" s="37"/>
      <c r="AJ967" s="37"/>
      <c r="AK967" s="37"/>
      <c r="AL967" s="37"/>
      <c r="AM967" s="37"/>
      <c r="AN967" s="37"/>
      <c r="AO967" s="37"/>
      <c r="AP967" s="37"/>
    </row>
    <row r="968" customFormat="false" ht="15.75" hidden="false" customHeight="true" outlineLevel="0" collapsed="false">
      <c r="A968" s="37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  <c r="AA968" s="37"/>
      <c r="AB968" s="37"/>
      <c r="AC968" s="37"/>
      <c r="AD968" s="37"/>
      <c r="AE968" s="37"/>
      <c r="AF968" s="37"/>
      <c r="AG968" s="37"/>
      <c r="AH968" s="37"/>
      <c r="AI968" s="37"/>
      <c r="AJ968" s="37"/>
      <c r="AK968" s="37"/>
      <c r="AL968" s="37"/>
      <c r="AM968" s="37"/>
      <c r="AN968" s="37"/>
      <c r="AO968" s="37"/>
      <c r="AP968" s="37"/>
    </row>
    <row r="969" customFormat="false" ht="15.75" hidden="false" customHeight="true" outlineLevel="0" collapsed="false">
      <c r="A969" s="37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  <c r="AA969" s="37"/>
      <c r="AB969" s="37"/>
      <c r="AC969" s="37"/>
      <c r="AD969" s="37"/>
      <c r="AE969" s="37"/>
      <c r="AF969" s="37"/>
      <c r="AG969" s="37"/>
      <c r="AH969" s="37"/>
      <c r="AI969" s="37"/>
      <c r="AJ969" s="37"/>
      <c r="AK969" s="37"/>
      <c r="AL969" s="37"/>
      <c r="AM969" s="37"/>
      <c r="AN969" s="37"/>
      <c r="AO969" s="37"/>
      <c r="AP969" s="37"/>
    </row>
    <row r="970" customFormat="false" ht="15.75" hidden="false" customHeight="true" outlineLevel="0" collapsed="false">
      <c r="A970" s="37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  <c r="AA970" s="37"/>
      <c r="AB970" s="37"/>
      <c r="AC970" s="37"/>
      <c r="AD970" s="37"/>
      <c r="AE970" s="37"/>
      <c r="AF970" s="37"/>
      <c r="AG970" s="37"/>
      <c r="AH970" s="37"/>
      <c r="AI970" s="37"/>
      <c r="AJ970" s="37"/>
      <c r="AK970" s="37"/>
      <c r="AL970" s="37"/>
      <c r="AM970" s="37"/>
      <c r="AN970" s="37"/>
      <c r="AO970" s="37"/>
      <c r="AP970" s="37"/>
    </row>
    <row r="971" customFormat="false" ht="15.75" hidden="false" customHeight="true" outlineLevel="0" collapsed="false">
      <c r="A971" s="37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  <c r="AA971" s="37"/>
      <c r="AB971" s="37"/>
      <c r="AC971" s="37"/>
      <c r="AD971" s="37"/>
      <c r="AE971" s="37"/>
      <c r="AF971" s="37"/>
      <c r="AG971" s="37"/>
      <c r="AH971" s="37"/>
      <c r="AI971" s="37"/>
      <c r="AJ971" s="37"/>
      <c r="AK971" s="37"/>
      <c r="AL971" s="37"/>
      <c r="AM971" s="37"/>
      <c r="AN971" s="37"/>
      <c r="AO971" s="37"/>
      <c r="AP971" s="37"/>
    </row>
    <row r="972" customFormat="false" ht="15.75" hidden="false" customHeight="true" outlineLevel="0" collapsed="false">
      <c r="A972" s="37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  <c r="AA972" s="37"/>
      <c r="AB972" s="37"/>
      <c r="AC972" s="37"/>
      <c r="AD972" s="37"/>
      <c r="AE972" s="37"/>
      <c r="AF972" s="37"/>
      <c r="AG972" s="37"/>
      <c r="AH972" s="37"/>
      <c r="AI972" s="37"/>
      <c r="AJ972" s="37"/>
      <c r="AK972" s="37"/>
      <c r="AL972" s="37"/>
      <c r="AM972" s="37"/>
      <c r="AN972" s="37"/>
      <c r="AO972" s="37"/>
      <c r="AP972" s="37"/>
    </row>
    <row r="973" customFormat="false" ht="15.75" hidden="false" customHeight="true" outlineLevel="0" collapsed="false">
      <c r="A973" s="37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  <c r="AA973" s="37"/>
      <c r="AB973" s="37"/>
      <c r="AC973" s="37"/>
      <c r="AD973" s="37"/>
      <c r="AE973" s="37"/>
      <c r="AF973" s="37"/>
      <c r="AG973" s="37"/>
      <c r="AH973" s="37"/>
      <c r="AI973" s="37"/>
      <c r="AJ973" s="37"/>
      <c r="AK973" s="37"/>
      <c r="AL973" s="37"/>
      <c r="AM973" s="37"/>
      <c r="AN973" s="37"/>
      <c r="AO973" s="37"/>
      <c r="AP973" s="37"/>
    </row>
    <row r="974" customFormat="false" ht="15.75" hidden="false" customHeight="true" outlineLevel="0" collapsed="false">
      <c r="A974" s="37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  <c r="AA974" s="37"/>
      <c r="AB974" s="37"/>
      <c r="AC974" s="37"/>
      <c r="AD974" s="37"/>
      <c r="AE974" s="37"/>
      <c r="AF974" s="37"/>
      <c r="AG974" s="37"/>
      <c r="AH974" s="37"/>
      <c r="AI974" s="37"/>
      <c r="AJ974" s="37"/>
      <c r="AK974" s="37"/>
      <c r="AL974" s="37"/>
      <c r="AM974" s="37"/>
      <c r="AN974" s="37"/>
      <c r="AO974" s="37"/>
      <c r="AP974" s="37"/>
    </row>
    <row r="975" customFormat="false" ht="15.75" hidden="false" customHeight="true" outlineLevel="0" collapsed="false">
      <c r="A975" s="37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  <c r="AA975" s="37"/>
      <c r="AB975" s="37"/>
      <c r="AC975" s="37"/>
      <c r="AD975" s="37"/>
      <c r="AE975" s="37"/>
      <c r="AF975" s="37"/>
      <c r="AG975" s="37"/>
      <c r="AH975" s="37"/>
      <c r="AI975" s="37"/>
      <c r="AJ975" s="37"/>
      <c r="AK975" s="37"/>
      <c r="AL975" s="37"/>
      <c r="AM975" s="37"/>
      <c r="AN975" s="37"/>
      <c r="AO975" s="37"/>
      <c r="AP975" s="37"/>
    </row>
    <row r="976" customFormat="false" ht="15.75" hidden="false" customHeight="true" outlineLevel="0" collapsed="false">
      <c r="A976" s="37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  <c r="AA976" s="37"/>
      <c r="AB976" s="37"/>
      <c r="AC976" s="37"/>
      <c r="AD976" s="37"/>
      <c r="AE976" s="37"/>
      <c r="AF976" s="37"/>
      <c r="AG976" s="37"/>
      <c r="AH976" s="37"/>
      <c r="AI976" s="37"/>
      <c r="AJ976" s="37"/>
      <c r="AK976" s="37"/>
      <c r="AL976" s="37"/>
      <c r="AM976" s="37"/>
      <c r="AN976" s="37"/>
      <c r="AO976" s="37"/>
      <c r="AP976" s="37"/>
    </row>
    <row r="977" customFormat="false" ht="15.75" hidden="false" customHeight="true" outlineLevel="0" collapsed="false">
      <c r="A977" s="37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  <c r="AA977" s="37"/>
      <c r="AB977" s="37"/>
      <c r="AC977" s="37"/>
      <c r="AD977" s="37"/>
      <c r="AE977" s="37"/>
      <c r="AF977" s="37"/>
      <c r="AG977" s="37"/>
      <c r="AH977" s="37"/>
      <c r="AI977" s="37"/>
      <c r="AJ977" s="37"/>
      <c r="AK977" s="37"/>
      <c r="AL977" s="37"/>
      <c r="AM977" s="37"/>
      <c r="AN977" s="37"/>
      <c r="AO977" s="37"/>
      <c r="AP977" s="37"/>
    </row>
    <row r="978" customFormat="false" ht="15.75" hidden="false" customHeight="true" outlineLevel="0" collapsed="false">
      <c r="A978" s="37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  <c r="AA978" s="37"/>
      <c r="AB978" s="37"/>
      <c r="AC978" s="37"/>
      <c r="AD978" s="37"/>
      <c r="AE978" s="37"/>
      <c r="AF978" s="37"/>
      <c r="AG978" s="37"/>
      <c r="AH978" s="37"/>
      <c r="AI978" s="37"/>
      <c r="AJ978" s="37"/>
      <c r="AK978" s="37"/>
      <c r="AL978" s="37"/>
      <c r="AM978" s="37"/>
      <c r="AN978" s="37"/>
      <c r="AO978" s="37"/>
      <c r="AP978" s="37"/>
    </row>
    <row r="979" customFormat="false" ht="15.75" hidden="false" customHeight="true" outlineLevel="0" collapsed="false">
      <c r="A979" s="37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  <c r="AA979" s="37"/>
      <c r="AB979" s="37"/>
      <c r="AC979" s="37"/>
      <c r="AD979" s="37"/>
      <c r="AE979" s="37"/>
      <c r="AF979" s="37"/>
      <c r="AG979" s="37"/>
      <c r="AH979" s="37"/>
      <c r="AI979" s="37"/>
      <c r="AJ979" s="37"/>
      <c r="AK979" s="37"/>
      <c r="AL979" s="37"/>
      <c r="AM979" s="37"/>
      <c r="AN979" s="37"/>
      <c r="AO979" s="37"/>
      <c r="AP979" s="37"/>
    </row>
    <row r="980" customFormat="false" ht="15.75" hidden="false" customHeight="true" outlineLevel="0" collapsed="false">
      <c r="A980" s="37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  <c r="AA980" s="37"/>
      <c r="AB980" s="37"/>
      <c r="AC980" s="37"/>
      <c r="AD980" s="37"/>
      <c r="AE980" s="37"/>
      <c r="AF980" s="37"/>
      <c r="AG980" s="37"/>
      <c r="AH980" s="37"/>
      <c r="AI980" s="37"/>
      <c r="AJ980" s="37"/>
      <c r="AK980" s="37"/>
      <c r="AL980" s="37"/>
      <c r="AM980" s="37"/>
      <c r="AN980" s="37"/>
      <c r="AO980" s="37"/>
      <c r="AP980" s="37"/>
    </row>
    <row r="981" customFormat="false" ht="15.75" hidden="false" customHeight="true" outlineLevel="0" collapsed="false">
      <c r="A981" s="37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  <c r="AA981" s="37"/>
      <c r="AB981" s="37"/>
      <c r="AC981" s="37"/>
      <c r="AD981" s="37"/>
      <c r="AE981" s="37"/>
      <c r="AF981" s="37"/>
      <c r="AG981" s="37"/>
      <c r="AH981" s="37"/>
      <c r="AI981" s="37"/>
      <c r="AJ981" s="37"/>
      <c r="AK981" s="37"/>
      <c r="AL981" s="37"/>
      <c r="AM981" s="37"/>
      <c r="AN981" s="37"/>
      <c r="AO981" s="37"/>
      <c r="AP981" s="37"/>
    </row>
    <row r="982" customFormat="false" ht="15.75" hidden="false" customHeight="true" outlineLevel="0" collapsed="false">
      <c r="A982" s="37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  <c r="AA982" s="37"/>
      <c r="AB982" s="37"/>
      <c r="AC982" s="37"/>
      <c r="AD982" s="37"/>
      <c r="AE982" s="37"/>
      <c r="AF982" s="37"/>
      <c r="AG982" s="37"/>
      <c r="AH982" s="37"/>
      <c r="AI982" s="37"/>
      <c r="AJ982" s="37"/>
      <c r="AK982" s="37"/>
      <c r="AL982" s="37"/>
      <c r="AM982" s="37"/>
      <c r="AN982" s="37"/>
      <c r="AO982" s="37"/>
      <c r="AP982" s="37"/>
    </row>
    <row r="983" customFormat="false" ht="15.75" hidden="false" customHeight="true" outlineLevel="0" collapsed="false">
      <c r="A983" s="37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  <c r="AA983" s="37"/>
      <c r="AB983" s="37"/>
      <c r="AC983" s="37"/>
      <c r="AD983" s="37"/>
      <c r="AE983" s="37"/>
      <c r="AF983" s="37"/>
      <c r="AG983" s="37"/>
      <c r="AH983" s="37"/>
      <c r="AI983" s="37"/>
      <c r="AJ983" s="37"/>
      <c r="AK983" s="37"/>
      <c r="AL983" s="37"/>
      <c r="AM983" s="37"/>
      <c r="AN983" s="37"/>
      <c r="AO983" s="37"/>
      <c r="AP983" s="37"/>
    </row>
    <row r="984" customFormat="false" ht="15.75" hidden="false" customHeight="true" outlineLevel="0" collapsed="false">
      <c r="A984" s="37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  <c r="AA984" s="37"/>
      <c r="AB984" s="37"/>
      <c r="AC984" s="37"/>
      <c r="AD984" s="37"/>
      <c r="AE984" s="37"/>
      <c r="AF984" s="37"/>
      <c r="AG984" s="37"/>
      <c r="AH984" s="37"/>
      <c r="AI984" s="37"/>
      <c r="AJ984" s="37"/>
      <c r="AK984" s="37"/>
      <c r="AL984" s="37"/>
      <c r="AM984" s="37"/>
      <c r="AN984" s="37"/>
      <c r="AO984" s="37"/>
      <c r="AP984" s="37"/>
    </row>
    <row r="985" customFormat="false" ht="15.75" hidden="false" customHeight="true" outlineLevel="0" collapsed="false">
      <c r="A985" s="37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  <c r="AA985" s="37"/>
      <c r="AB985" s="37"/>
      <c r="AC985" s="37"/>
      <c r="AD985" s="37"/>
      <c r="AE985" s="37"/>
      <c r="AF985" s="37"/>
      <c r="AG985" s="37"/>
      <c r="AH985" s="37"/>
      <c r="AI985" s="37"/>
      <c r="AJ985" s="37"/>
      <c r="AK985" s="37"/>
      <c r="AL985" s="37"/>
      <c r="AM985" s="37"/>
      <c r="AN985" s="37"/>
      <c r="AO985" s="37"/>
      <c r="AP985" s="37"/>
    </row>
    <row r="986" customFormat="false" ht="15.75" hidden="false" customHeight="true" outlineLevel="0" collapsed="false">
      <c r="A986" s="37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  <c r="AA986" s="37"/>
      <c r="AB986" s="37"/>
      <c r="AC986" s="37"/>
      <c r="AD986" s="37"/>
      <c r="AE986" s="37"/>
      <c r="AF986" s="37"/>
      <c r="AG986" s="37"/>
      <c r="AH986" s="37"/>
      <c r="AI986" s="37"/>
      <c r="AJ986" s="37"/>
      <c r="AK986" s="37"/>
      <c r="AL986" s="37"/>
      <c r="AM986" s="37"/>
      <c r="AN986" s="37"/>
      <c r="AO986" s="37"/>
      <c r="AP986" s="37"/>
    </row>
    <row r="987" customFormat="false" ht="15.75" hidden="false" customHeight="true" outlineLevel="0" collapsed="false">
      <c r="A987" s="37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  <c r="AA987" s="37"/>
      <c r="AB987" s="37"/>
      <c r="AC987" s="37"/>
      <c r="AD987" s="37"/>
      <c r="AE987" s="37"/>
      <c r="AF987" s="37"/>
      <c r="AG987" s="37"/>
      <c r="AH987" s="37"/>
      <c r="AI987" s="37"/>
      <c r="AJ987" s="37"/>
      <c r="AK987" s="37"/>
      <c r="AL987" s="37"/>
      <c r="AM987" s="37"/>
      <c r="AN987" s="37"/>
      <c r="AO987" s="37"/>
      <c r="AP987" s="37"/>
    </row>
    <row r="988" customFormat="false" ht="15.75" hidden="false" customHeight="true" outlineLevel="0" collapsed="false">
      <c r="A988" s="37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  <c r="AA988" s="37"/>
      <c r="AB988" s="37"/>
      <c r="AC988" s="37"/>
      <c r="AD988" s="37"/>
      <c r="AE988" s="37"/>
      <c r="AF988" s="37"/>
      <c r="AG988" s="37"/>
      <c r="AH988" s="37"/>
      <c r="AI988" s="37"/>
      <c r="AJ988" s="37"/>
      <c r="AK988" s="37"/>
      <c r="AL988" s="37"/>
      <c r="AM988" s="37"/>
      <c r="AN988" s="37"/>
      <c r="AO988" s="37"/>
      <c r="AP988" s="37"/>
    </row>
    <row r="989" customFormat="false" ht="15.75" hidden="false" customHeight="true" outlineLevel="0" collapsed="false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  <c r="AA989" s="37"/>
      <c r="AB989" s="37"/>
      <c r="AC989" s="37"/>
      <c r="AD989" s="37"/>
      <c r="AE989" s="37"/>
      <c r="AF989" s="37"/>
      <c r="AG989" s="37"/>
      <c r="AH989" s="37"/>
      <c r="AI989" s="37"/>
      <c r="AJ989" s="37"/>
      <c r="AK989" s="37"/>
      <c r="AL989" s="37"/>
      <c r="AM989" s="37"/>
      <c r="AN989" s="37"/>
      <c r="AO989" s="37"/>
      <c r="AP989" s="37"/>
    </row>
    <row r="990" customFormat="false" ht="15.75" hidden="false" customHeight="true" outlineLevel="0" collapsed="false">
      <c r="A990" s="37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  <c r="AA990" s="37"/>
      <c r="AB990" s="37"/>
      <c r="AC990" s="37"/>
      <c r="AD990" s="37"/>
      <c r="AE990" s="37"/>
      <c r="AF990" s="37"/>
      <c r="AG990" s="37"/>
      <c r="AH990" s="37"/>
      <c r="AI990" s="37"/>
      <c r="AJ990" s="37"/>
      <c r="AK990" s="37"/>
      <c r="AL990" s="37"/>
      <c r="AM990" s="37"/>
      <c r="AN990" s="37"/>
      <c r="AO990" s="37"/>
      <c r="AP990" s="37"/>
    </row>
    <row r="991" customFormat="false" ht="15.75" hidden="false" customHeight="true" outlineLevel="0" collapsed="false">
      <c r="A991" s="37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  <c r="AA991" s="37"/>
      <c r="AB991" s="37"/>
      <c r="AC991" s="37"/>
      <c r="AD991" s="37"/>
      <c r="AE991" s="37"/>
      <c r="AF991" s="37"/>
      <c r="AG991" s="37"/>
      <c r="AH991" s="37"/>
      <c r="AI991" s="37"/>
      <c r="AJ991" s="37"/>
      <c r="AK991" s="37"/>
      <c r="AL991" s="37"/>
      <c r="AM991" s="37"/>
      <c r="AN991" s="37"/>
      <c r="AO991" s="37"/>
      <c r="AP991" s="37"/>
    </row>
    <row r="992" customFormat="false" ht="15.75" hidden="false" customHeight="true" outlineLevel="0" collapsed="false">
      <c r="A992" s="37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  <c r="AA992" s="37"/>
      <c r="AB992" s="37"/>
      <c r="AC992" s="37"/>
      <c r="AD992" s="37"/>
      <c r="AE992" s="37"/>
      <c r="AF992" s="37"/>
      <c r="AG992" s="37"/>
      <c r="AH992" s="37"/>
      <c r="AI992" s="37"/>
      <c r="AJ992" s="37"/>
      <c r="AK992" s="37"/>
      <c r="AL992" s="37"/>
      <c r="AM992" s="37"/>
      <c r="AN992" s="37"/>
      <c r="AO992" s="37"/>
      <c r="AP992" s="37"/>
    </row>
    <row r="993" customFormat="false" ht="15.75" hidden="false" customHeight="true" outlineLevel="0" collapsed="false">
      <c r="A993" s="37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  <c r="AA993" s="37"/>
      <c r="AB993" s="37"/>
      <c r="AC993" s="37"/>
      <c r="AD993" s="37"/>
      <c r="AE993" s="37"/>
      <c r="AF993" s="37"/>
      <c r="AG993" s="37"/>
      <c r="AH993" s="37"/>
      <c r="AI993" s="37"/>
      <c r="AJ993" s="37"/>
      <c r="AK993" s="37"/>
      <c r="AL993" s="37"/>
      <c r="AM993" s="37"/>
      <c r="AN993" s="37"/>
      <c r="AO993" s="37"/>
      <c r="AP993" s="37"/>
    </row>
    <row r="994" customFormat="false" ht="15.75" hidden="false" customHeight="true" outlineLevel="0" collapsed="false">
      <c r="A994" s="37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  <c r="AA994" s="37"/>
      <c r="AB994" s="37"/>
      <c r="AC994" s="37"/>
      <c r="AD994" s="37"/>
      <c r="AE994" s="37"/>
      <c r="AF994" s="37"/>
      <c r="AG994" s="37"/>
      <c r="AH994" s="37"/>
      <c r="AI994" s="37"/>
      <c r="AJ994" s="37"/>
      <c r="AK994" s="37"/>
      <c r="AL994" s="37"/>
      <c r="AM994" s="37"/>
      <c r="AN994" s="37"/>
      <c r="AO994" s="37"/>
      <c r="AP994" s="37"/>
    </row>
    <row r="995" customFormat="false" ht="15.75" hidden="false" customHeight="true" outlineLevel="0" collapsed="false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  <c r="AA995" s="37"/>
      <c r="AB995" s="37"/>
      <c r="AC995" s="37"/>
      <c r="AD995" s="37"/>
      <c r="AE995" s="37"/>
      <c r="AF995" s="37"/>
      <c r="AG995" s="37"/>
      <c r="AH995" s="37"/>
      <c r="AI995" s="37"/>
      <c r="AJ995" s="37"/>
      <c r="AK995" s="37"/>
      <c r="AL995" s="37"/>
      <c r="AM995" s="37"/>
      <c r="AN995" s="37"/>
      <c r="AO995" s="37"/>
      <c r="AP995" s="37"/>
    </row>
    <row r="996" customFormat="false" ht="15.75" hidden="false" customHeight="true" outlineLevel="0" collapsed="false">
      <c r="A996" s="37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  <c r="AA996" s="37"/>
      <c r="AB996" s="37"/>
      <c r="AC996" s="37"/>
      <c r="AD996" s="37"/>
      <c r="AE996" s="37"/>
      <c r="AF996" s="37"/>
      <c r="AG996" s="37"/>
      <c r="AH996" s="37"/>
      <c r="AI996" s="37"/>
      <c r="AJ996" s="37"/>
      <c r="AK996" s="37"/>
      <c r="AL996" s="37"/>
      <c r="AM996" s="37"/>
      <c r="AN996" s="37"/>
      <c r="AO996" s="37"/>
      <c r="AP996" s="37"/>
    </row>
    <row r="997" customFormat="false" ht="15.75" hidden="false" customHeight="true" outlineLevel="0" collapsed="false">
      <c r="A997" s="37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  <c r="AA997" s="37"/>
      <c r="AB997" s="37"/>
      <c r="AC997" s="37"/>
      <c r="AD997" s="37"/>
      <c r="AE997" s="37"/>
      <c r="AF997" s="37"/>
      <c r="AG997" s="37"/>
      <c r="AH997" s="37"/>
      <c r="AI997" s="37"/>
      <c r="AJ997" s="37"/>
      <c r="AK997" s="37"/>
      <c r="AL997" s="37"/>
      <c r="AM997" s="37"/>
      <c r="AN997" s="37"/>
      <c r="AO997" s="37"/>
      <c r="AP997" s="37"/>
    </row>
    <row r="998" customFormat="false" ht="15.75" hidden="false" customHeight="true" outlineLevel="0" collapsed="false">
      <c r="A998" s="37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  <c r="AA998" s="37"/>
      <c r="AB998" s="37"/>
      <c r="AC998" s="37"/>
      <c r="AD998" s="37"/>
      <c r="AE998" s="37"/>
      <c r="AF998" s="37"/>
      <c r="AG998" s="37"/>
      <c r="AH998" s="37"/>
      <c r="AI998" s="37"/>
      <c r="AJ998" s="37"/>
      <c r="AK998" s="37"/>
      <c r="AL998" s="37"/>
      <c r="AM998" s="37"/>
      <c r="AN998" s="37"/>
      <c r="AO998" s="37"/>
      <c r="AP998" s="37"/>
    </row>
    <row r="999" customFormat="false" ht="15.75" hidden="false" customHeight="true" outlineLevel="0" collapsed="false">
      <c r="A999" s="37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  <c r="AA999" s="37"/>
      <c r="AB999" s="37"/>
      <c r="AC999" s="37"/>
      <c r="AD999" s="37"/>
      <c r="AE999" s="37"/>
      <c r="AF999" s="37"/>
      <c r="AG999" s="37"/>
      <c r="AH999" s="37"/>
      <c r="AI999" s="37"/>
      <c r="AJ999" s="37"/>
      <c r="AK999" s="37"/>
      <c r="AL999" s="37"/>
      <c r="AM999" s="37"/>
      <c r="AN999" s="37"/>
      <c r="AO999" s="37"/>
      <c r="AP999" s="37"/>
    </row>
    <row r="1000" customFormat="false" ht="15.75" hidden="false" customHeight="true" outlineLevel="0" collapsed="false">
      <c r="A1000" s="37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V1000" s="37"/>
      <c r="W1000" s="37"/>
      <c r="X1000" s="37"/>
      <c r="Y1000" s="37"/>
      <c r="Z1000" s="37"/>
      <c r="AA1000" s="37"/>
      <c r="AB1000" s="37"/>
      <c r="AC1000" s="37"/>
      <c r="AD1000" s="37"/>
      <c r="AE1000" s="37"/>
      <c r="AF1000" s="37"/>
      <c r="AG1000" s="37"/>
      <c r="AH1000" s="37"/>
      <c r="AI1000" s="37"/>
      <c r="AJ1000" s="37"/>
      <c r="AK1000" s="37"/>
      <c r="AL1000" s="37"/>
      <c r="AM1000" s="37"/>
      <c r="AN1000" s="37"/>
      <c r="AO1000" s="37"/>
      <c r="AP1000" s="37"/>
    </row>
  </sheetData>
  <mergeCells count="23">
    <mergeCell ref="A1:C1"/>
    <mergeCell ref="D1:F1"/>
    <mergeCell ref="G1:I1"/>
    <mergeCell ref="J1:L1"/>
    <mergeCell ref="M1:O1"/>
    <mergeCell ref="P1:R1"/>
    <mergeCell ref="S1:U1"/>
    <mergeCell ref="V1:X1"/>
    <mergeCell ref="Y1:AA1"/>
    <mergeCell ref="AB1:AD1"/>
    <mergeCell ref="AE1:AG1"/>
    <mergeCell ref="AH1:AJ1"/>
    <mergeCell ref="AK1:AM1"/>
    <mergeCell ref="AN1:AP1"/>
    <mergeCell ref="AQ1:AS1"/>
    <mergeCell ref="AT1:AV1"/>
    <mergeCell ref="AW1:AY1"/>
    <mergeCell ref="AZ1:BB1"/>
    <mergeCell ref="BC1:BE1"/>
    <mergeCell ref="BF1:BH1"/>
    <mergeCell ref="BI1:BK1"/>
    <mergeCell ref="BL1:BN1"/>
    <mergeCell ref="BP1:BR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true"/>
  </sheetPr>
  <dimension ref="A1:X99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J50" activeCellId="0" sqref="J50"/>
    </sheetView>
  </sheetViews>
  <sheetFormatPr defaultColWidth="12.66796875" defaultRowHeight="12.75" customHeight="true" zeroHeight="false" outlineLevelRow="0" outlineLevelCol="0"/>
  <cols>
    <col collapsed="false" customWidth="true" hidden="false" outlineLevel="0" max="1" min="1" style="34" width="26.88"/>
    <col collapsed="false" customWidth="true" hidden="false" outlineLevel="0" max="2" min="2" style="34" width="9.67"/>
    <col collapsed="false" customWidth="true" hidden="false" outlineLevel="0" max="4" min="3" style="34" width="10.66"/>
    <col collapsed="false" customWidth="true" hidden="false" outlineLevel="0" max="5" min="5" style="34" width="16.44"/>
    <col collapsed="false" customWidth="true" hidden="false" outlineLevel="0" max="6" min="6" style="34" width="20.44"/>
    <col collapsed="false" customWidth="true" hidden="false" outlineLevel="0" max="7" min="7" style="34" width="9.67"/>
    <col collapsed="false" customWidth="true" hidden="false" outlineLevel="0" max="9" min="8" style="34" width="10.66"/>
    <col collapsed="false" customWidth="true" hidden="false" outlineLevel="0" max="10" min="10" style="34" width="16.44"/>
    <col collapsed="false" customWidth="true" hidden="false" outlineLevel="0" max="11" min="11" style="34" width="20.44"/>
    <col collapsed="false" customWidth="true" hidden="false" outlineLevel="0" max="24" min="12" style="34" width="14.33"/>
  </cols>
  <sheetData>
    <row r="1" customFormat="false" ht="15.75" hidden="false" customHeight="true" outlineLevel="0" collapsed="false">
      <c r="A1" s="68" t="s">
        <v>585</v>
      </c>
      <c r="B1" s="69" t="s">
        <v>32</v>
      </c>
      <c r="C1" s="69"/>
      <c r="D1" s="69"/>
      <c r="E1" s="69"/>
      <c r="F1" s="69"/>
      <c r="G1" s="69" t="s">
        <v>52</v>
      </c>
      <c r="H1" s="69"/>
      <c r="I1" s="69"/>
      <c r="J1" s="69"/>
      <c r="K1" s="69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</row>
    <row r="2" customFormat="false" ht="15.75" hidden="false" customHeight="true" outlineLevel="0" collapsed="false">
      <c r="A2" s="71"/>
      <c r="B2" s="72" t="s">
        <v>586</v>
      </c>
      <c r="C2" s="72" t="s">
        <v>587</v>
      </c>
      <c r="D2" s="72" t="s">
        <v>588</v>
      </c>
      <c r="E2" s="72" t="s">
        <v>589</v>
      </c>
      <c r="F2" s="73" t="s">
        <v>590</v>
      </c>
      <c r="G2" s="72" t="s">
        <v>586</v>
      </c>
      <c r="H2" s="72" t="s">
        <v>587</v>
      </c>
      <c r="I2" s="72" t="s">
        <v>588</v>
      </c>
      <c r="J2" s="74" t="s">
        <v>589</v>
      </c>
      <c r="K2" s="73" t="s">
        <v>590</v>
      </c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</row>
    <row r="3" customFormat="false" ht="15.75" hidden="false" customHeight="true" outlineLevel="0" collapsed="false">
      <c r="A3" s="75" t="s">
        <v>591</v>
      </c>
      <c r="B3" s="76" t="n">
        <f aca="false">COUNTIF(Broad!B3:B53,"&gt;0")</f>
        <v>16</v>
      </c>
      <c r="C3" s="77" t="n">
        <f aca="false">COUNTIF(Broad!B3:B53,"&lt;0")</f>
        <v>34</v>
      </c>
      <c r="D3" s="78" t="n">
        <f aca="false">AVERAGE(Broad!B3:B52)</f>
        <v>-21.5459333333333</v>
      </c>
      <c r="E3" s="78" t="n">
        <v>40.3374</v>
      </c>
      <c r="F3" s="79" t="n">
        <f aca="false">D3-E3</f>
        <v>-61.8833333333333</v>
      </c>
      <c r="G3" s="76" t="n">
        <f aca="false">COUNTIF(Broad!C3:C53,"&gt;0")</f>
        <v>25</v>
      </c>
      <c r="H3" s="77" t="n">
        <f aca="false">COUNTIF(Broad!C3:C53,"&lt;0")</f>
        <v>25</v>
      </c>
      <c r="I3" s="78" t="n">
        <f aca="false">AVERAGE(Broad!C3:C52)</f>
        <v>9.2589275</v>
      </c>
      <c r="J3" s="80" t="n">
        <v>43.7364625</v>
      </c>
      <c r="K3" s="81" t="n">
        <f aca="false">I3-J3</f>
        <v>-34.477535</v>
      </c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</row>
    <row r="4" customFormat="false" ht="15.75" hidden="false" customHeight="true" outlineLevel="0" collapsed="false">
      <c r="A4" s="83" t="s">
        <v>266</v>
      </c>
      <c r="B4" s="84" t="n">
        <f aca="false">COUNTIF(Broad!E3:E502,"&gt;0")</f>
        <v>216</v>
      </c>
      <c r="C4" s="85" t="n">
        <f aca="false">COUNTIF(Broad!E3:E502,"&lt;0")</f>
        <v>279</v>
      </c>
      <c r="D4" s="86" t="n">
        <f aca="false">AVERAGE(Broad!E3:E500)</f>
        <v>-7.41183935742972</v>
      </c>
      <c r="E4" s="86" t="n">
        <v>32.7190555555556</v>
      </c>
      <c r="F4" s="87" t="n">
        <f aca="false">D4-E4</f>
        <v>-40.1308949129853</v>
      </c>
      <c r="G4" s="84" t="n">
        <f aca="false">COUNTIF(Broad!F3:F501,"&gt;0")</f>
        <v>226</v>
      </c>
      <c r="H4" s="85" t="n">
        <f aca="false">COUNTIF(Broad!F3:F501,"&lt;0")</f>
        <v>268</v>
      </c>
      <c r="I4" s="86" t="n">
        <f aca="false">AVERAGE(Broad!F3:F500)</f>
        <v>2.30238303212851</v>
      </c>
      <c r="J4" s="87" t="n">
        <v>22.1902976907631</v>
      </c>
      <c r="K4" s="88" t="n">
        <f aca="false">I4-J4</f>
        <v>-19.8879146586346</v>
      </c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</row>
    <row r="5" customFormat="false" ht="15.75" hidden="false" customHeight="true" outlineLevel="0" collapsed="false">
      <c r="A5" s="75" t="s">
        <v>592</v>
      </c>
      <c r="B5" s="76" t="n">
        <f aca="false">COUNTIF(Broad!H3:H53,"&gt;0")</f>
        <v>28</v>
      </c>
      <c r="C5" s="77" t="n">
        <f aca="false">COUNTIF(Broad!H3:H53,"&lt;0")</f>
        <v>21</v>
      </c>
      <c r="D5" s="78" t="n">
        <f aca="false">AVERAGE(Broad!H3:H52)</f>
        <v>13.7061333333333</v>
      </c>
      <c r="E5" s="78" t="n">
        <v>45.7281666666667</v>
      </c>
      <c r="F5" s="79" t="n">
        <f aca="false">D5-E5</f>
        <v>-32.0220333333334</v>
      </c>
      <c r="G5" s="76" t="n">
        <f aca="false">COUNTIF(Broad!I3:I53,"&gt;0")</f>
        <v>26</v>
      </c>
      <c r="H5" s="77" t="n">
        <f aca="false">COUNTIF(Broad!I3:I53,"&lt;0")</f>
        <v>23</v>
      </c>
      <c r="I5" s="78" t="n">
        <f aca="false">AVERAGE(Broad!I3:I52)</f>
        <v>18.10032</v>
      </c>
      <c r="J5" s="79" t="n">
        <v>33.536235</v>
      </c>
      <c r="K5" s="81" t="n">
        <f aca="false">I5-J5</f>
        <v>-15.435915</v>
      </c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</row>
    <row r="6" customFormat="false" ht="15.75" hidden="false" customHeight="true" outlineLevel="0" collapsed="false">
      <c r="A6" s="83" t="s">
        <v>593</v>
      </c>
      <c r="B6" s="84" t="n">
        <f aca="false">COUNTIF(Broad!K3:K153,"&gt;0")</f>
        <v>72</v>
      </c>
      <c r="C6" s="85" t="n">
        <f aca="false">COUNTIF(Broad!K3:K153,"&lt;0")</f>
        <v>77</v>
      </c>
      <c r="D6" s="86" t="n">
        <f aca="false">AVERAGE(Broad!K3:K152)</f>
        <v>-2.41697777777778</v>
      </c>
      <c r="E6" s="86" t="n">
        <v>33.0899355555556</v>
      </c>
      <c r="F6" s="87" t="n">
        <f aca="false">D6-E6</f>
        <v>-35.5069133333334</v>
      </c>
      <c r="G6" s="84" t="n">
        <f aca="false">COUNTIF(Broad!L3:L153,"&gt;0")</f>
        <v>77</v>
      </c>
      <c r="H6" s="85" t="n">
        <f aca="false">COUNTIF(Broad!L3:L153,"&lt;0")</f>
        <v>72</v>
      </c>
      <c r="I6" s="86" t="n">
        <f aca="false">AVERAGE(Broad!L3:L152)</f>
        <v>7.73513333333333</v>
      </c>
      <c r="J6" s="87" t="n">
        <v>25.2720208333333</v>
      </c>
      <c r="K6" s="88" t="n">
        <f aca="false">I6-J6</f>
        <v>-17.5368875</v>
      </c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</row>
    <row r="7" customFormat="false" ht="15.75" hidden="false" customHeight="true" outlineLevel="0" collapsed="false">
      <c r="A7" s="75" t="s">
        <v>594</v>
      </c>
      <c r="B7" s="76" t="n">
        <f aca="false">COUNTIF(Broad!N3:N52,"&gt;0")</f>
        <v>21</v>
      </c>
      <c r="C7" s="77" t="n">
        <f aca="false">COUNTIF(Broad!N3:N52,"&lt;0")</f>
        <v>29</v>
      </c>
      <c r="D7" s="78" t="n">
        <f aca="false">AVERAGE(Broad!N3:N51)</f>
        <v>-6.76185714285715</v>
      </c>
      <c r="E7" s="78" t="n">
        <v>20.1505442176871</v>
      </c>
      <c r="F7" s="79" t="n">
        <f aca="false">D7-E7</f>
        <v>-26.9124013605442</v>
      </c>
      <c r="G7" s="76" t="n">
        <f aca="false">COUNTIF(Broad!O3:O52,"&gt;0")</f>
        <v>17</v>
      </c>
      <c r="H7" s="77" t="n">
        <f aca="false">COUNTIF(Broad!O3:O52,"&lt;0")</f>
        <v>33</v>
      </c>
      <c r="I7" s="78" t="n">
        <f aca="false">AVERAGE(Broad!O3:O51)</f>
        <v>-12.493931122449</v>
      </c>
      <c r="J7" s="79" t="n">
        <v>0.13540306122449</v>
      </c>
      <c r="K7" s="81" t="n">
        <f aca="false">I7-J7</f>
        <v>-12.6293341836735</v>
      </c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</row>
    <row r="8" customFormat="false" ht="15.75" hidden="false" customHeight="true" outlineLevel="0" collapsed="false">
      <c r="A8" s="83" t="s">
        <v>595</v>
      </c>
      <c r="B8" s="84" t="n">
        <f aca="false">COUNTIF(Broad!Q3:Q251,"&gt;0")</f>
        <v>111</v>
      </c>
      <c r="C8" s="85" t="n">
        <f aca="false">COUNTIF(Broad!Q3:Q251,"&lt;0")</f>
        <v>135</v>
      </c>
      <c r="D8" s="86" t="n">
        <f aca="false">AVERAGE(Broad!Q3:Q250)</f>
        <v>-3.27612634408602</v>
      </c>
      <c r="E8" s="86" t="n">
        <v>33.4013279569893</v>
      </c>
      <c r="F8" s="87" t="n">
        <f aca="false">D8-E8</f>
        <v>-36.6774543010753</v>
      </c>
      <c r="G8" s="84" t="n">
        <f aca="false">COUNTIF(Broad!R3:R251,"&gt;0")</f>
        <v>107</v>
      </c>
      <c r="H8" s="85" t="n">
        <f aca="false">COUNTIF(Broad!R3:R251,"&lt;0")</f>
        <v>139</v>
      </c>
      <c r="I8" s="86" t="n">
        <f aca="false">AVERAGE(Broad!R3:R250)</f>
        <v>-0.000470766129032203</v>
      </c>
      <c r="J8" s="87" t="n">
        <v>16.8339627016129</v>
      </c>
      <c r="K8" s="88" t="n">
        <f aca="false">I8-J8</f>
        <v>-16.8344334677419</v>
      </c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</row>
    <row r="9" customFormat="false" ht="15.75" hidden="false" customHeight="true" outlineLevel="0" collapsed="false">
      <c r="A9" s="75" t="s">
        <v>596</v>
      </c>
      <c r="B9" s="76" t="n">
        <f aca="false">COUNTIF(Broad!T3:T252,"&gt;0")</f>
        <v>105</v>
      </c>
      <c r="C9" s="77" t="n">
        <f aca="false">COUNTIF(Broad!T3:T252,"&lt;0")</f>
        <v>143</v>
      </c>
      <c r="D9" s="78" t="n">
        <f aca="false">AVERAGE(Broad!T3:T252)</f>
        <v>-10.9630533333333</v>
      </c>
      <c r="E9" s="78" t="n">
        <v>31.871348</v>
      </c>
      <c r="F9" s="79" t="n">
        <f aca="false">D9-E9</f>
        <v>-42.8344013333333</v>
      </c>
      <c r="G9" s="76" t="n">
        <f aca="false">COUNTIF(Broad!U3:U252,"&gt;0")</f>
        <v>119</v>
      </c>
      <c r="H9" s="77" t="n">
        <f aca="false">COUNTIF(Broad!U3:U252,"&lt;0")</f>
        <v>129</v>
      </c>
      <c r="I9" s="78" t="n">
        <f aca="false">AVERAGE(Broad!U3:U252)</f>
        <v>5.098224</v>
      </c>
      <c r="J9" s="79" t="n">
        <v>27.629427</v>
      </c>
      <c r="K9" s="81" t="n">
        <f aca="false">I9-J9</f>
        <v>-22.531203</v>
      </c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</row>
    <row r="10" customFormat="false" ht="15.75" hidden="false" customHeight="true" outlineLevel="0" collapsed="false">
      <c r="A10" s="89" t="s">
        <v>597</v>
      </c>
      <c r="B10" s="90" t="n">
        <f aca="false">COUNTIF(Broad!W3:W400,"&gt;0")</f>
        <v>183</v>
      </c>
      <c r="C10" s="91" t="n">
        <f aca="false">COUNTIF(Broad!W3:W400,"&lt;0")</f>
        <v>211</v>
      </c>
      <c r="D10" s="92" t="n">
        <f aca="false">AVERAGE(Broad!W3:W400)</f>
        <v>-2.95232663316583</v>
      </c>
      <c r="E10" s="92" t="n">
        <v>33.2839690117253</v>
      </c>
      <c r="F10" s="93" t="n">
        <f aca="false">D10-E10</f>
        <v>-36.2362956448911</v>
      </c>
      <c r="G10" s="90" t="n">
        <f aca="false">COUNTIF(Broad!X3:X401,"&gt;0")</f>
        <v>184</v>
      </c>
      <c r="H10" s="91" t="n">
        <f aca="false">COUNTIF(Broad!X3:X401,"&lt;0")</f>
        <v>211</v>
      </c>
      <c r="I10" s="92" t="n">
        <f aca="false">AVERAGE(Broad!X3:X400)</f>
        <v>2.91495791457286</v>
      </c>
      <c r="J10" s="93" t="n">
        <v>20.0141353643216</v>
      </c>
      <c r="K10" s="94" t="n">
        <f aca="false">I10-J10</f>
        <v>-17.0991774497487</v>
      </c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</row>
    <row r="11" customFormat="false" ht="15.75" hidden="false" customHeight="true" outlineLevel="0" collapsed="false">
      <c r="A11" s="95"/>
      <c r="B11" s="69" t="s">
        <v>32</v>
      </c>
      <c r="C11" s="69"/>
      <c r="D11" s="69"/>
      <c r="E11" s="69"/>
      <c r="F11" s="69"/>
      <c r="G11" s="69" t="s">
        <v>52</v>
      </c>
      <c r="H11" s="69"/>
      <c r="I11" s="69"/>
      <c r="J11" s="69"/>
      <c r="K11" s="69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</row>
    <row r="12" customFormat="false" ht="15.75" hidden="false" customHeight="true" outlineLevel="0" collapsed="false">
      <c r="A12" s="96" t="s">
        <v>598</v>
      </c>
      <c r="B12" s="69" t="s">
        <v>586</v>
      </c>
      <c r="C12" s="69" t="s">
        <v>587</v>
      </c>
      <c r="D12" s="69" t="s">
        <v>588</v>
      </c>
      <c r="E12" s="69" t="s">
        <v>589</v>
      </c>
      <c r="F12" s="97" t="s">
        <v>590</v>
      </c>
      <c r="G12" s="69" t="s">
        <v>586</v>
      </c>
      <c r="H12" s="69" t="s">
        <v>587</v>
      </c>
      <c r="I12" s="69" t="s">
        <v>588</v>
      </c>
      <c r="J12" s="69" t="s">
        <v>589</v>
      </c>
      <c r="K12" s="97" t="s">
        <v>590</v>
      </c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</row>
    <row r="13" customFormat="false" ht="15.75" hidden="false" customHeight="true" outlineLevel="0" collapsed="false">
      <c r="A13" s="75" t="s">
        <v>599</v>
      </c>
      <c r="B13" s="76" t="n">
        <f aca="false">COUNTIF(Thematic!B3:B35,"&gt;0")</f>
        <v>6</v>
      </c>
      <c r="C13" s="77" t="n">
        <f aca="false">COUNTIF(Thematic!B3:B35,"&lt;0")</f>
        <v>24</v>
      </c>
      <c r="D13" s="78" t="n">
        <f aca="false">AVERAGE(Thematic!B3:B32)</f>
        <v>-39.4365555555556</v>
      </c>
      <c r="E13" s="79" t="n">
        <v>22.5637777777778</v>
      </c>
      <c r="F13" s="81" t="n">
        <f aca="false">D13-E13</f>
        <v>-62.0003333333334</v>
      </c>
      <c r="G13" s="76" t="n">
        <f aca="false">COUNTIF(Thematic!C3:C35,"&gt;0")</f>
        <v>12</v>
      </c>
      <c r="H13" s="77" t="n">
        <f aca="false">COUNTIF(Thematic!C3:C35,"&lt;0")</f>
        <v>18</v>
      </c>
      <c r="I13" s="78" t="n">
        <f aca="false">AVERAGE(Thematic!C3:C32)</f>
        <v>-14.7010958333333</v>
      </c>
      <c r="J13" s="78" t="n">
        <v>21.7901208333333</v>
      </c>
      <c r="K13" s="79" t="n">
        <f aca="false">I13-J13</f>
        <v>-36.4912166666666</v>
      </c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</row>
    <row r="14" customFormat="false" ht="15.75" hidden="false" customHeight="true" outlineLevel="0" collapsed="false">
      <c r="A14" s="83" t="s">
        <v>600</v>
      </c>
      <c r="B14" s="84" t="n">
        <f aca="false">COUNTIF(Thematic!E3:E15,"&gt;0")</f>
        <v>1</v>
      </c>
      <c r="C14" s="85" t="n">
        <f aca="false">COUNTIF(Thematic!E3:E15,"&lt;0")</f>
        <v>10</v>
      </c>
      <c r="D14" s="86" t="n">
        <f aca="false">AVERAGE(Thematic!E3:E15)</f>
        <v>-53.5839393939394</v>
      </c>
      <c r="E14" s="87" t="n">
        <v>2.07939393939394</v>
      </c>
      <c r="F14" s="81" t="n">
        <f aca="false">D14-E14</f>
        <v>-55.6633333333333</v>
      </c>
      <c r="G14" s="84" t="n">
        <f aca="false">COUNTIF(Thematic!F3:F15,"&gt;0")</f>
        <v>1</v>
      </c>
      <c r="H14" s="85" t="n">
        <f aca="false">COUNTIF(Thematic!F3:F15,"&lt;0")</f>
        <v>10</v>
      </c>
      <c r="I14" s="86" t="n">
        <f aca="false">AVERAGE(Thematic!F3:F15)</f>
        <v>-50.5025</v>
      </c>
      <c r="J14" s="86" t="n">
        <v>-19.9211363636364</v>
      </c>
      <c r="K14" s="87" t="n">
        <f aca="false">I14-J14</f>
        <v>-30.5813636363636</v>
      </c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</row>
    <row r="15" customFormat="false" ht="15.75" hidden="false" customHeight="true" outlineLevel="0" collapsed="false">
      <c r="A15" s="83" t="s">
        <v>601</v>
      </c>
      <c r="B15" s="84" t="n">
        <f aca="false">COUNTIF(Thematic!H3:H25,"&gt;0")</f>
        <v>14</v>
      </c>
      <c r="C15" s="85" t="n">
        <f aca="false">COUNTIF(Thematic!H3:H25,"&lt;0")</f>
        <v>9</v>
      </c>
      <c r="D15" s="86" t="n">
        <f aca="false">AVERAGE(Thematic!H3:H32)</f>
        <v>3.29724137931034</v>
      </c>
      <c r="E15" s="87" t="n">
        <v>48.0843103448276</v>
      </c>
      <c r="F15" s="81" t="n">
        <f aca="false">D15-E15</f>
        <v>-44.7870689655173</v>
      </c>
      <c r="G15" s="84" t="n">
        <f aca="false">COUNTIF(Thematic!I3:I25,"&gt;0")</f>
        <v>19</v>
      </c>
      <c r="H15" s="85" t="n">
        <f aca="false">COUNTIF(Thematic!I3:I25,"&lt;0")</f>
        <v>4</v>
      </c>
      <c r="I15" s="86" t="n">
        <f aca="false">AVERAGE(Thematic!I3:I32)</f>
        <v>50.8437931034483</v>
      </c>
      <c r="J15" s="86" t="n">
        <v>77.0572844827586</v>
      </c>
      <c r="K15" s="87" t="n">
        <f aca="false">I15-J15</f>
        <v>-26.2134913793103</v>
      </c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</row>
    <row r="16" customFormat="false" ht="15.75" hidden="false" customHeight="true" outlineLevel="0" collapsed="false">
      <c r="A16" s="75" t="s">
        <v>602</v>
      </c>
      <c r="B16" s="76" t="n">
        <f aca="false">COUNTIF(Thematic!K3:K35,"&gt;0")</f>
        <v>10</v>
      </c>
      <c r="C16" s="77" t="n">
        <f aca="false">COUNTIF(Thematic!K3:K35,"&lt;0")</f>
        <v>20</v>
      </c>
      <c r="D16" s="78" t="n">
        <f aca="false">AVERAGE(Thematic!K3:K32)</f>
        <v>-22.2201111111111</v>
      </c>
      <c r="E16" s="79" t="n">
        <v>43.7737222222222</v>
      </c>
      <c r="F16" s="81" t="n">
        <f aca="false">D16-E16</f>
        <v>-65.9938333333333</v>
      </c>
      <c r="G16" s="76" t="n">
        <f aca="false">COUNTIF(Thematic!L3:L35,"&gt;0")</f>
        <v>11</v>
      </c>
      <c r="H16" s="77" t="n">
        <f aca="false">COUNTIF(Thematic!L3:L35,"&lt;0")</f>
        <v>19</v>
      </c>
      <c r="I16" s="78" t="n">
        <f aca="false">AVERAGE(Thematic!L3:L32)</f>
        <v>1.49569583333333</v>
      </c>
      <c r="J16" s="78" t="n">
        <v>36.707425</v>
      </c>
      <c r="K16" s="79" t="n">
        <f aca="false">I16-J16</f>
        <v>-35.2117291666667</v>
      </c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</row>
    <row r="17" customFormat="false" ht="15.75" hidden="false" customHeight="true" outlineLevel="0" collapsed="false">
      <c r="A17" s="89" t="s">
        <v>603</v>
      </c>
      <c r="B17" s="90" t="n">
        <f aca="false">COUNTIF(Thematic!N3:N35,"&gt;0")</f>
        <v>12</v>
      </c>
      <c r="C17" s="91" t="n">
        <f aca="false">COUNTIF(Thematic!N3:N35,"&lt;0")</f>
        <v>17</v>
      </c>
      <c r="D17" s="92" t="n">
        <f aca="false">AVERAGE(Thematic!N3:N32)</f>
        <v>-21.9642528735632</v>
      </c>
      <c r="E17" s="93" t="n">
        <v>43.9561494252874</v>
      </c>
      <c r="F17" s="81" t="n">
        <f aca="false">D17-E17</f>
        <v>-65.9204022988506</v>
      </c>
      <c r="G17" s="90" t="n">
        <f aca="false">COUNTIF(Thematic!O3:O35,"&gt;0")</f>
        <v>11</v>
      </c>
      <c r="H17" s="91" t="n">
        <f aca="false">COUNTIF(Thematic!O3:O35,"&lt;0")</f>
        <v>18</v>
      </c>
      <c r="I17" s="92" t="n">
        <f aca="false">AVERAGE(Thematic!O3:O32)</f>
        <v>-7.17655172413793</v>
      </c>
      <c r="J17" s="92" t="n">
        <v>27.3111853448276</v>
      </c>
      <c r="K17" s="93" t="n">
        <f aca="false">I17-J17</f>
        <v>-34.4877370689655</v>
      </c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</row>
    <row r="18" customFormat="false" ht="15.75" hidden="false" customHeight="true" outlineLevel="0" collapsed="false">
      <c r="A18" s="98"/>
      <c r="B18" s="69" t="s">
        <v>32</v>
      </c>
      <c r="C18" s="69"/>
      <c r="D18" s="69"/>
      <c r="E18" s="69"/>
      <c r="F18" s="69"/>
      <c r="G18" s="69" t="s">
        <v>52</v>
      </c>
      <c r="H18" s="69"/>
      <c r="I18" s="69"/>
      <c r="J18" s="69"/>
      <c r="K18" s="69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</row>
    <row r="19" customFormat="false" ht="15.75" hidden="false" customHeight="true" outlineLevel="0" collapsed="false">
      <c r="A19" s="99" t="s">
        <v>604</v>
      </c>
      <c r="B19" s="69" t="s">
        <v>586</v>
      </c>
      <c r="C19" s="69" t="s">
        <v>587</v>
      </c>
      <c r="D19" s="69" t="s">
        <v>588</v>
      </c>
      <c r="E19" s="69" t="s">
        <v>589</v>
      </c>
      <c r="F19" s="97" t="s">
        <v>590</v>
      </c>
      <c r="G19" s="69" t="s">
        <v>586</v>
      </c>
      <c r="H19" s="69" t="s">
        <v>587</v>
      </c>
      <c r="I19" s="69" t="s">
        <v>588</v>
      </c>
      <c r="J19" s="69" t="s">
        <v>589</v>
      </c>
      <c r="K19" s="97" t="s">
        <v>590</v>
      </c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</row>
    <row r="20" customFormat="false" ht="15.75" hidden="false" customHeight="true" outlineLevel="0" collapsed="false">
      <c r="A20" s="75" t="s">
        <v>605</v>
      </c>
      <c r="B20" s="76" t="n">
        <f aca="false">COUNTIF(Sector!B3:B25,"&gt;0")</f>
        <v>5</v>
      </c>
      <c r="C20" s="77" t="n">
        <f aca="false">COUNTIF(Sector!B3:B22,"&lt;0")</f>
        <v>10</v>
      </c>
      <c r="D20" s="78" t="n">
        <f aca="false">AVERAGE(Sector!B3:B32)</f>
        <v>-15.4455555555556</v>
      </c>
      <c r="E20" s="78" t="n">
        <v>32.6049111111111</v>
      </c>
      <c r="F20" s="79" t="n">
        <f aca="false">D20-E20</f>
        <v>-48.0504666666667</v>
      </c>
      <c r="G20" s="76" t="n">
        <f aca="false">COUNTIF(Sector!C3:C22,"&gt;0")</f>
        <v>11</v>
      </c>
      <c r="H20" s="77" t="n">
        <f aca="false">COUNTIF(Sector!C3:C22,"&lt;0")</f>
        <v>4</v>
      </c>
      <c r="I20" s="78" t="n">
        <f aca="false">AVERAGE(Sector!C3:C32)</f>
        <v>61.3268416666667</v>
      </c>
      <c r="J20" s="80" t="n">
        <v>90.817675</v>
      </c>
      <c r="K20" s="81" t="n">
        <f aca="false">I20-J20</f>
        <v>-29.4908333333333</v>
      </c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</row>
    <row r="21" customFormat="false" ht="15.75" hidden="false" customHeight="true" outlineLevel="0" collapsed="false">
      <c r="A21" s="83" t="s">
        <v>606</v>
      </c>
      <c r="B21" s="84" t="n">
        <f aca="false">COUNTIF(Sector!E3:E25,"&gt;0")</f>
        <v>1</v>
      </c>
      <c r="C21" s="85" t="n">
        <f aca="false">COUNTIF(Sector!E3:E22,"&lt;0")</f>
        <v>11</v>
      </c>
      <c r="D21" s="86" t="n">
        <f aca="false">AVERAGE(Sector!E3:E32)</f>
        <v>-69.8061111111111</v>
      </c>
      <c r="E21" s="86" t="n">
        <v>14.2055555555556</v>
      </c>
      <c r="F21" s="87" t="n">
        <f aca="false">D21-E21</f>
        <v>-84.0116666666667</v>
      </c>
      <c r="G21" s="84" t="n">
        <f aca="false">COUNTIF(Sector!F3:F22,"&gt;0")</f>
        <v>2</v>
      </c>
      <c r="H21" s="85" t="n">
        <f aca="false">COUNTIF(Sector!F3:F22,"&lt;0")</f>
        <v>10</v>
      </c>
      <c r="I21" s="86" t="n">
        <f aca="false">AVERAGE(Sector!F3:F32)</f>
        <v>-36.0839583333333</v>
      </c>
      <c r="J21" s="87" t="n">
        <v>10.0398958333333</v>
      </c>
      <c r="K21" s="88" t="n">
        <f aca="false">I21-J21</f>
        <v>-46.1238541666666</v>
      </c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</row>
    <row r="22" customFormat="false" ht="15.75" hidden="false" customHeight="true" outlineLevel="0" collapsed="false">
      <c r="A22" s="75" t="s">
        <v>607</v>
      </c>
      <c r="B22" s="76" t="n">
        <f aca="false">COUNTIF(Sector!H3:H25,"&gt;0")</f>
        <v>7</v>
      </c>
      <c r="C22" s="77" t="n">
        <f aca="false">COUNTIF(Sector!H3:H22,"&lt;0")</f>
        <v>8</v>
      </c>
      <c r="D22" s="78" t="n">
        <f aca="false">AVERAGE(Sector!H3:H32)</f>
        <v>-7.06444444444444</v>
      </c>
      <c r="E22" s="78" t="n">
        <v>7.75088888888889</v>
      </c>
      <c r="F22" s="79" t="n">
        <f aca="false">D22-E22</f>
        <v>-14.8153333333333</v>
      </c>
      <c r="G22" s="76" t="n">
        <f aca="false">COUNTIF(Sector!I3:I22,"&gt;0")</f>
        <v>8</v>
      </c>
      <c r="H22" s="77" t="n">
        <f aca="false">COUNTIF(Sector!I3:I22,"&lt;0")</f>
        <v>7</v>
      </c>
      <c r="I22" s="78" t="n">
        <f aca="false">AVERAGE(Sector!I3:I33)</f>
        <v>-5.87741666666667</v>
      </c>
      <c r="J22" s="79" t="n">
        <v>2.36390833333333</v>
      </c>
      <c r="K22" s="81" t="n">
        <f aca="false">I22-J22</f>
        <v>-8.241325</v>
      </c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</row>
    <row r="23" customFormat="false" ht="15.75" hidden="false" customHeight="true" outlineLevel="0" collapsed="false">
      <c r="A23" s="83" t="s">
        <v>608</v>
      </c>
      <c r="B23" s="84" t="n">
        <f aca="false">COUNTIF(Sector!K3:K25,"&gt;0")</f>
        <v>7</v>
      </c>
      <c r="C23" s="85" t="n">
        <f aca="false">COUNTIF(Sector!K3:K22,"&lt;0")</f>
        <v>7</v>
      </c>
      <c r="D23" s="86" t="n">
        <f aca="false">AVERAGE(Sector!K3:K32)</f>
        <v>-10.8454761904762</v>
      </c>
      <c r="E23" s="86" t="n">
        <v>19.2380952380952</v>
      </c>
      <c r="F23" s="87" t="n">
        <f aca="false">D23-E23</f>
        <v>-30.0835714285714</v>
      </c>
      <c r="G23" s="84" t="n">
        <f aca="false">COUNTIF(Sector!L3:L22,"&gt;0")</f>
        <v>6</v>
      </c>
      <c r="H23" s="85" t="n">
        <f aca="false">COUNTIF(Sector!L3:L22,"&lt;0")</f>
        <v>8</v>
      </c>
      <c r="I23" s="86" t="n">
        <f aca="false">AVERAGE(Sector!L3:L32)</f>
        <v>-5.30419642857143</v>
      </c>
      <c r="J23" s="87" t="n">
        <v>11.1354464285714</v>
      </c>
      <c r="K23" s="88" t="n">
        <f aca="false">I23-J23</f>
        <v>-16.4396428571428</v>
      </c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</row>
    <row r="24" customFormat="false" ht="15.75" hidden="false" customHeight="true" outlineLevel="0" collapsed="false">
      <c r="A24" s="75" t="s">
        <v>609</v>
      </c>
      <c r="B24" s="76" t="n">
        <f aca="false">COUNTIF(Sector!N3:N25,"&gt;0")</f>
        <v>10</v>
      </c>
      <c r="C24" s="77" t="n">
        <f aca="false">COUNTIF(Sector!N3:N22,"&lt;0")</f>
        <v>5</v>
      </c>
      <c r="D24" s="78" t="n">
        <f aca="false">AVERAGE(Sector!N3:N32)</f>
        <v>-2.88577777777778</v>
      </c>
      <c r="E24" s="78" t="n">
        <v>46.2864444444445</v>
      </c>
      <c r="F24" s="79" t="n">
        <f aca="false">D24-E24</f>
        <v>-49.1722222222223</v>
      </c>
      <c r="G24" s="76" t="n">
        <f aca="false">COUNTIF(Sector!O3:O22,"&gt;0")</f>
        <v>11</v>
      </c>
      <c r="H24" s="77" t="n">
        <f aca="false">COUNTIF(Sector!O3:O22,"&lt;0")</f>
        <v>4</v>
      </c>
      <c r="I24" s="78" t="n">
        <f aca="false">AVERAGE(Sector!O3:O32)</f>
        <v>13.1</v>
      </c>
      <c r="J24" s="79" t="n">
        <v>42.8022333333333</v>
      </c>
      <c r="K24" s="81" t="n">
        <f aca="false">I24-J24</f>
        <v>-29.7022333333333</v>
      </c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</row>
    <row r="25" customFormat="false" ht="15.75" hidden="false" customHeight="true" outlineLevel="0" collapsed="false">
      <c r="A25" s="83" t="s">
        <v>610</v>
      </c>
      <c r="B25" s="84" t="n">
        <f aca="false">COUNTIF(Sector!Q3:Q25,"&gt;0")</f>
        <v>7</v>
      </c>
      <c r="C25" s="85" t="n">
        <f aca="false">COUNTIF(Sector!Q3:Q22,"&lt;0")</f>
        <v>3</v>
      </c>
      <c r="D25" s="86" t="n">
        <f aca="false">AVERAGE(Sector!Q3:Q32)</f>
        <v>31.5313333333333</v>
      </c>
      <c r="E25" s="86" t="n">
        <v>103.961666666667</v>
      </c>
      <c r="F25" s="87" t="n">
        <f aca="false">D25-E25</f>
        <v>-72.4303333333337</v>
      </c>
      <c r="G25" s="84" t="n">
        <f aca="false">COUNTIF(Sector!R3:R22,"&gt;0")</f>
        <v>4</v>
      </c>
      <c r="H25" s="85" t="n">
        <f aca="false">COUNTIF(Sector!R3:R22,"&lt;0")</f>
        <v>6</v>
      </c>
      <c r="I25" s="86" t="n">
        <f aca="false">AVERAGE(Sector!R3:R32)</f>
        <v>0.4904375</v>
      </c>
      <c r="J25" s="87" t="n">
        <v>30.07175</v>
      </c>
      <c r="K25" s="88" t="n">
        <f aca="false">I25-J25</f>
        <v>-29.5813125</v>
      </c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</row>
    <row r="26" customFormat="false" ht="15.75" hidden="false" customHeight="true" outlineLevel="0" collapsed="false">
      <c r="A26" s="75" t="s">
        <v>611</v>
      </c>
      <c r="B26" s="76" t="n">
        <f aca="false">COUNTIF(Sector!T3:T24,"&gt;0")</f>
        <v>0</v>
      </c>
      <c r="C26" s="77" t="n">
        <f aca="false">COUNTIF(Sector!T3:T21,"&lt;0")</f>
        <v>5</v>
      </c>
      <c r="D26" s="78" t="n">
        <f aca="false">AVERAGE(Sector!T3:T31)</f>
        <v>-46.9686666666667</v>
      </c>
      <c r="E26" s="78" t="n">
        <v>60.188</v>
      </c>
      <c r="F26" s="79" t="n">
        <f aca="false">D26-E26</f>
        <v>-107.156666666667</v>
      </c>
      <c r="G26" s="76" t="n">
        <f aca="false">COUNTIF(Sector!U3:U21,"&gt;0")</f>
        <v>2</v>
      </c>
      <c r="H26" s="77" t="n">
        <f aca="false">COUNTIF(Sector!U3:U21,"&lt;0")</f>
        <v>3</v>
      </c>
      <c r="I26" s="78" t="n">
        <f aca="false">AVERAGE(Sector!U3:U31)</f>
        <v>6.662</v>
      </c>
      <c r="J26" s="79" t="n">
        <v>66.0055</v>
      </c>
      <c r="K26" s="81" t="n">
        <f aca="false">I26-J26</f>
        <v>-59.3435</v>
      </c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</row>
    <row r="27" customFormat="false" ht="15.75" hidden="false" customHeight="true" outlineLevel="0" collapsed="false">
      <c r="A27" s="89" t="s">
        <v>612</v>
      </c>
      <c r="B27" s="90" t="n">
        <f aca="false">COUNTIF(Sector!W3:W25,"&gt;0")</f>
        <v>4</v>
      </c>
      <c r="C27" s="91" t="n">
        <f aca="false">COUNTIF(Sector!W3:W22,"&lt;0")</f>
        <v>11</v>
      </c>
      <c r="D27" s="92" t="n">
        <f aca="false">AVERAGE(Sector!W3:W32)</f>
        <v>-24.9675555555556</v>
      </c>
      <c r="E27" s="92" t="n">
        <v>56.068</v>
      </c>
      <c r="F27" s="93" t="n">
        <f aca="false">D27-E27</f>
        <v>-81.0355555555556</v>
      </c>
      <c r="G27" s="90" t="n">
        <f aca="false">COUNTIF(Sector!X3:X22,"&gt;0")</f>
        <v>9</v>
      </c>
      <c r="H27" s="91" t="n">
        <f aca="false">COUNTIF(Sector!X3:X22,"&lt;0")</f>
        <v>6</v>
      </c>
      <c r="I27" s="92" t="n">
        <f aca="false">AVERAGE(Sector!X3:X32)</f>
        <v>5.79573333333333</v>
      </c>
      <c r="J27" s="93" t="n">
        <v>49.7222416666667</v>
      </c>
      <c r="K27" s="94" t="n">
        <f aca="false">I27-J27</f>
        <v>-43.9265083333334</v>
      </c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</row>
    <row r="28" customFormat="false" ht="15.75" hidden="false" customHeight="true" outlineLevel="0" collapsed="false">
      <c r="A28" s="75" t="s">
        <v>613</v>
      </c>
      <c r="B28" s="76" t="n">
        <f aca="false">COUNTIF(Sector!Z3:Z25,"&gt;0")</f>
        <v>3</v>
      </c>
      <c r="C28" s="77" t="n">
        <f aca="false">COUNTIF(Sector!Z3:Z22,"&lt;0")</f>
        <v>12</v>
      </c>
      <c r="D28" s="78" t="n">
        <f aca="false">AVERAGE(Sector!Z3:Z32)</f>
        <v>-31.3818666666667</v>
      </c>
      <c r="E28" s="78" t="n">
        <v>59.8851111111111</v>
      </c>
      <c r="F28" s="79" t="n">
        <f aca="false">D28-E28</f>
        <v>-91.2669777777778</v>
      </c>
      <c r="G28" s="76" t="n">
        <f aca="false">COUNTIF(Sector!AA3:AA22,"&gt;0")</f>
        <v>1</v>
      </c>
      <c r="H28" s="77" t="n">
        <f aca="false">COUNTIF(Sector!AA3:AA22,"&lt;0")</f>
        <v>14</v>
      </c>
      <c r="I28" s="78" t="n">
        <f aca="false">AVERAGE(Sector!AA3:AA32)</f>
        <v>-44.83695</v>
      </c>
      <c r="J28" s="80" t="n">
        <v>-4.42525</v>
      </c>
      <c r="K28" s="81" t="n">
        <f aca="false">I28-J28</f>
        <v>-40.4117</v>
      </c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</row>
    <row r="29" customFormat="false" ht="15.75" hidden="false" customHeight="true" outlineLevel="0" collapsed="false">
      <c r="A29" s="83" t="s">
        <v>614</v>
      </c>
      <c r="B29" s="84" t="n">
        <f aca="false">COUNTIF(Sector!AC3:AC26,"&gt;0")</f>
        <v>16</v>
      </c>
      <c r="C29" s="85" t="n">
        <f aca="false">COUNTIF(Sector!AC3:AC26,"&lt;0")</f>
        <v>8</v>
      </c>
      <c r="D29" s="86" t="n">
        <f aca="false">AVERAGE(Sector!AC3:AC30)</f>
        <v>31.1669444444444</v>
      </c>
      <c r="E29" s="86" t="n">
        <v>17.0923055555556</v>
      </c>
      <c r="F29" s="87" t="n">
        <f aca="false">D29-E29</f>
        <v>14.0746388888888</v>
      </c>
      <c r="G29" s="84" t="n">
        <f aca="false">COUNTIF(Sector!AD3:AD26,"&gt;0")</f>
        <v>16</v>
      </c>
      <c r="H29" s="85" t="n">
        <f aca="false">COUNTIF(Sector!AD3:AD26,"&lt;0")</f>
        <v>8</v>
      </c>
      <c r="I29" s="86" t="n">
        <f aca="false">AVERAGE(Sector!AD3:AD32)</f>
        <v>38.6073385416667</v>
      </c>
      <c r="J29" s="87" t="n">
        <v>29.6374270833333</v>
      </c>
      <c r="K29" s="88" t="n">
        <f aca="false">I29-J29</f>
        <v>8.96991145833337</v>
      </c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</row>
    <row r="30" customFormat="false" ht="15.75" hidden="false" customHeight="true" outlineLevel="0" collapsed="false">
      <c r="A30" s="75" t="s">
        <v>615</v>
      </c>
      <c r="B30" s="76" t="n">
        <f aca="false">COUNTIF(Sector!AF3:AF22,"&gt;0")</f>
        <v>2</v>
      </c>
      <c r="C30" s="77" t="n">
        <f aca="false">COUNTIF(Sector!AF3:AF22,"&lt;0")</f>
        <v>9</v>
      </c>
      <c r="D30" s="78" t="n">
        <f aca="false">AVERAGE(Sector!AF3:AF22)</f>
        <v>-42.0284848484849</v>
      </c>
      <c r="E30" s="78" t="n">
        <v>34.8221212121212</v>
      </c>
      <c r="F30" s="79" t="n">
        <f aca="false">D30-E30</f>
        <v>-76.8506060606061</v>
      </c>
      <c r="G30" s="76" t="n">
        <f aca="false">COUNTIF(Sector!AG3:AG22,"&gt;0")</f>
        <v>6</v>
      </c>
      <c r="H30" s="77" t="n">
        <f aca="false">COUNTIF(Sector!AG3:AG22,"&lt;0")</f>
        <v>5</v>
      </c>
      <c r="I30" s="78" t="n">
        <f aca="false">AVERAGE(Sector!AG3:AG22)</f>
        <v>24.575</v>
      </c>
      <c r="J30" s="79" t="n">
        <v>71.05375</v>
      </c>
      <c r="K30" s="81" t="n">
        <f aca="false">I30-J30</f>
        <v>-46.47875</v>
      </c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</row>
    <row r="31" customFormat="false" ht="15.75" hidden="false" customHeight="true" outlineLevel="0" collapsed="false">
      <c r="A31" s="83" t="s">
        <v>616</v>
      </c>
      <c r="B31" s="84" t="n">
        <f aca="false">COUNTIF(Sector!AI3:AI22,"&gt;0")</f>
        <v>2</v>
      </c>
      <c r="C31" s="85" t="n">
        <f aca="false">COUNTIF(Sector!AI3:AI22,"&lt;0")</f>
        <v>8</v>
      </c>
      <c r="D31" s="86" t="n">
        <f aca="false">AVERAGE(Sector!AI3:AI32)</f>
        <v>-54.015</v>
      </c>
      <c r="E31" s="86" t="n">
        <v>27.0976666666667</v>
      </c>
      <c r="F31" s="87" t="n">
        <f aca="false">D31-E31</f>
        <v>-81.1126666666667</v>
      </c>
      <c r="G31" s="84" t="n">
        <f aca="false">COUNTIF(Sector!AJ3:AJ22,"&gt;0")</f>
        <v>2</v>
      </c>
      <c r="H31" s="85" t="n">
        <f aca="false">COUNTIF(Sector!AJ3:AJ22,"&lt;0")</f>
        <v>8</v>
      </c>
      <c r="I31" s="86" t="n">
        <f aca="false">AVERAGE(Sector!AJ3:AJ32)</f>
        <v>-36.012625</v>
      </c>
      <c r="J31" s="87" t="n">
        <v>5.1142625</v>
      </c>
      <c r="K31" s="88" t="n">
        <f aca="false">I31-J31</f>
        <v>-41.1268875</v>
      </c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</row>
    <row r="32" customFormat="false" ht="15.75" hidden="false" customHeight="true" outlineLevel="0" collapsed="false">
      <c r="A32" s="75" t="s">
        <v>617</v>
      </c>
      <c r="B32" s="76" t="n">
        <f aca="false">COUNTIF(Sector!AL3:AL22,"&gt;0")</f>
        <v>2</v>
      </c>
      <c r="C32" s="77" t="n">
        <f aca="false">COUNTIF(Sector!AL3:AL22,"&lt;0")</f>
        <v>10</v>
      </c>
      <c r="D32" s="78" t="n">
        <f aca="false">AVERAGE(Sector!AL3:AL32)</f>
        <v>-43.7855555555556</v>
      </c>
      <c r="E32" s="78" t="n">
        <v>32.8297222222222</v>
      </c>
      <c r="F32" s="79" t="n">
        <f aca="false">D32-E32</f>
        <v>-76.6152777777778</v>
      </c>
      <c r="G32" s="76" t="n">
        <f aca="false">COUNTIF(Sector!AM3:AM22,"&gt;0")</f>
        <v>4</v>
      </c>
      <c r="H32" s="77" t="n">
        <f aca="false">COUNTIF(Sector!AM3:AM22,"&lt;0")</f>
        <v>8</v>
      </c>
      <c r="I32" s="78" t="n">
        <f aca="false">AVERAGE(Sector!AM3:AM32)</f>
        <v>-16.6325</v>
      </c>
      <c r="J32" s="79" t="n">
        <v>24.0021875</v>
      </c>
      <c r="K32" s="81" t="n">
        <f aca="false">I32-J32</f>
        <v>-40.6346875</v>
      </c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</row>
    <row r="33" customFormat="false" ht="15.75" hidden="false" customHeight="true" outlineLevel="0" collapsed="false">
      <c r="A33" s="83" t="s">
        <v>618</v>
      </c>
      <c r="B33" s="84" t="n">
        <f aca="false">COUNTIF(Sector!AO3:AO22,"&gt;0")</f>
        <v>4</v>
      </c>
      <c r="C33" s="85" t="n">
        <f aca="false">COUNTIF(Sector!AO3:AO22,"&lt;0")</f>
        <v>6</v>
      </c>
      <c r="D33" s="86" t="n">
        <f aca="false">AVERAGE(Sector!AO3:AO32)</f>
        <v>1.50433333333333</v>
      </c>
      <c r="E33" s="86" t="n">
        <v>91.2296666666667</v>
      </c>
      <c r="F33" s="87" t="n">
        <f aca="false">D33-E33</f>
        <v>-89.7253333333334</v>
      </c>
      <c r="G33" s="84" t="n">
        <f aca="false">COUNTIF(Sector!AP3:AP22,"&gt;0")</f>
        <v>3</v>
      </c>
      <c r="H33" s="85" t="n">
        <f aca="false">COUNTIF(Sector!AP3:AP22,"&lt;0")</f>
        <v>7</v>
      </c>
      <c r="I33" s="86" t="n">
        <f aca="false">AVERAGE(Sector!AP3:AP32)</f>
        <v>-12.66525</v>
      </c>
      <c r="J33" s="87" t="n">
        <v>26.3592125</v>
      </c>
      <c r="K33" s="88" t="n">
        <f aca="false">I33-J33</f>
        <v>-39.0244625</v>
      </c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</row>
    <row r="34" customFormat="false" ht="15.75" hidden="false" customHeight="true" outlineLevel="0" collapsed="false">
      <c r="A34" s="75" t="s">
        <v>619</v>
      </c>
      <c r="B34" s="76" t="n">
        <f aca="false">COUNTIF(Sector!AR3:AR22,"&gt;0")</f>
        <v>12</v>
      </c>
      <c r="C34" s="77" t="n">
        <f aca="false">COUNTIF(Sector!AR3:AR22,"&lt;0")</f>
        <v>8</v>
      </c>
      <c r="D34" s="78" t="n">
        <f aca="false">AVERAGE(Sector!AR3:AR22)</f>
        <v>3.95316666666667</v>
      </c>
      <c r="E34" s="78" t="n">
        <v>2.14866666666667</v>
      </c>
      <c r="F34" s="79" t="n">
        <f aca="false">D34-E34</f>
        <v>1.8045</v>
      </c>
      <c r="G34" s="76" t="n">
        <f aca="false">COUNTIF(Sector!AS2:AS22,"&gt;0")</f>
        <v>10</v>
      </c>
      <c r="H34" s="77" t="n">
        <f aca="false">COUNTIF(Sector!AS3:AS22,"&lt;0")</f>
        <v>10</v>
      </c>
      <c r="I34" s="78" t="n">
        <f aca="false">AVERAGE(Sector!AS3:AS22)</f>
        <v>-2.8065625</v>
      </c>
      <c r="J34" s="79" t="n">
        <v>-3.26676875</v>
      </c>
      <c r="K34" s="81" t="n">
        <f aca="false">I34-J34</f>
        <v>0.46020625</v>
      </c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</row>
    <row r="35" customFormat="false" ht="15.75" hidden="false" customHeight="true" outlineLevel="0" collapsed="false">
      <c r="A35" s="89" t="s">
        <v>620</v>
      </c>
      <c r="B35" s="90" t="n">
        <f aca="false">COUNTIF(Sector!AU3:AU33,"&gt;0")</f>
        <v>15</v>
      </c>
      <c r="C35" s="91" t="n">
        <f aca="false">COUNTIF(Sector!AU3:AU33,"&lt;0")</f>
        <v>15</v>
      </c>
      <c r="D35" s="92" t="n">
        <f aca="false">AVERAGE(Sector!AU3:AU33)</f>
        <v>-6.58222222222222</v>
      </c>
      <c r="E35" s="92" t="n">
        <v>21.2491111111111</v>
      </c>
      <c r="F35" s="93" t="n">
        <f aca="false">D35-E35</f>
        <v>-27.8313333333333</v>
      </c>
      <c r="G35" s="90" t="n">
        <f aca="false">COUNTIF(Sector!AV3:AV33,"&gt;0")</f>
        <v>14</v>
      </c>
      <c r="H35" s="91" t="n">
        <f aca="false">COUNTIF(Sector!AV3:AV33,"&lt;0")</f>
        <v>16</v>
      </c>
      <c r="I35" s="92" t="n">
        <f aca="false">AVERAGE(Sector!AV3:AV33)</f>
        <v>15.8161666666667</v>
      </c>
      <c r="J35" s="93" t="n">
        <v>30.8241625</v>
      </c>
      <c r="K35" s="94" t="n">
        <f aca="false">I35-J35</f>
        <v>-15.0079958333333</v>
      </c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</row>
    <row r="36" customFormat="false" ht="15.75" hidden="false" customHeight="true" outlineLevel="0" collapsed="false">
      <c r="A36" s="75" t="s">
        <v>621</v>
      </c>
      <c r="B36" s="76" t="n">
        <f aca="false">COUNTIF(Sector!AX3:AX22,"&gt;0")</f>
        <v>2</v>
      </c>
      <c r="C36" s="77" t="n">
        <f aca="false">COUNTIF(Sector!AX3:AX22,"&lt;0")</f>
        <v>18</v>
      </c>
      <c r="D36" s="78" t="n">
        <f aca="false">AVERAGE(Sector!AX3:AX22)</f>
        <v>-64.632</v>
      </c>
      <c r="E36" s="78" t="n">
        <v>-0.698833333333336</v>
      </c>
      <c r="F36" s="79" t="n">
        <f aca="false">D36-E36</f>
        <v>-63.9331666666667</v>
      </c>
      <c r="G36" s="76" t="n">
        <f aca="false">COUNTIF(Sector!AY3:AY22,"&gt;0")</f>
        <v>0</v>
      </c>
      <c r="H36" s="77" t="n">
        <f aca="false">COUNTIF(Sector!AV3:AY22,"&lt;0")</f>
        <v>49</v>
      </c>
      <c r="I36" s="78" t="n">
        <f aca="false">AVERAGE(Sector!AY3:AY22)</f>
        <v>-68.7876875</v>
      </c>
      <c r="J36" s="80" t="n">
        <v>-34.6186875</v>
      </c>
      <c r="K36" s="81" t="n">
        <f aca="false">I36-J36</f>
        <v>-34.169</v>
      </c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</row>
    <row r="37" customFormat="false" ht="15.75" hidden="false" customHeight="true" outlineLevel="0" collapsed="false">
      <c r="A37" s="75" t="s">
        <v>622</v>
      </c>
      <c r="B37" s="76" t="n">
        <f aca="false">COUNTIF(Sector!BA3:BA32,"&gt;0")</f>
        <v>13</v>
      </c>
      <c r="C37" s="77" t="n">
        <f aca="false">COUNTIF(Sector!BA3:BA3223,"&lt;0")</f>
        <v>16</v>
      </c>
      <c r="D37" s="78" t="n">
        <f aca="false">AVERAGE(Sector!BA3:BA32)</f>
        <v>-10.1901149425287</v>
      </c>
      <c r="E37" s="78" t="n">
        <v>31.8203563218391</v>
      </c>
      <c r="F37" s="79" t="n">
        <f aca="false">D37-E37</f>
        <v>-42.0104712643678</v>
      </c>
      <c r="G37" s="76" t="n">
        <f aca="false">COUNTIF(Sector!BB3:BB32,"&gt;0")</f>
        <v>17</v>
      </c>
      <c r="H37" s="77" t="n">
        <f aca="false">COUNTIF(Sector!BB3:BB32,"&lt;0")</f>
        <v>12</v>
      </c>
      <c r="I37" s="78" t="n">
        <f aca="false">AVERAGE(Sector!BB3:BB32)</f>
        <v>18.5837974137931</v>
      </c>
      <c r="J37" s="80" t="n">
        <v>41.9794655172414</v>
      </c>
      <c r="K37" s="81" t="n">
        <f aca="false">I37-J37</f>
        <v>-23.3956681034483</v>
      </c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</row>
    <row r="38" customFormat="false" ht="15.75" hidden="false" customHeight="true" outlineLevel="0" collapsed="false">
      <c r="A38" s="75" t="s">
        <v>623</v>
      </c>
      <c r="B38" s="76" t="n">
        <f aca="false">COUNTIF(Sector!BD3:BD42,"&gt;0")</f>
        <v>10</v>
      </c>
      <c r="C38" s="77" t="n">
        <f aca="false">COUNTIF(Sector!BD3:BD42,"&lt;0")</f>
        <v>30</v>
      </c>
      <c r="D38" s="78" t="n">
        <f aca="false">AVERAGE(Sector!BD3:BD42)</f>
        <v>-27.16545</v>
      </c>
      <c r="E38" s="78" t="n">
        <v>26.045</v>
      </c>
      <c r="F38" s="79" t="n">
        <f aca="false">D38-E38</f>
        <v>-53.21045</v>
      </c>
      <c r="G38" s="76" t="n">
        <f aca="false">COUNTIF(Sector!BE3:BE42,"&gt;0")</f>
        <v>8</v>
      </c>
      <c r="H38" s="77" t="n">
        <f aca="false">COUNTIF(Sector!BE3:BE42,"&lt;0")</f>
        <v>32</v>
      </c>
      <c r="I38" s="78" t="n">
        <f aca="false">AVERAGE(Sector!BE3:BE42)</f>
        <v>-36.239678125</v>
      </c>
      <c r="J38" s="80" t="n">
        <v>-10.278478125</v>
      </c>
      <c r="K38" s="81" t="n">
        <f aca="false">I38-J38</f>
        <v>-25.9612</v>
      </c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</row>
    <row r="39" customFormat="false" ht="15.75" hidden="false" customHeight="true" outlineLevel="0" collapsed="false">
      <c r="A39" s="82" t="s">
        <v>571</v>
      </c>
      <c r="B39" s="76" t="n">
        <f aca="false">COUNTIF(Sector!BG3:BG43,"&gt;0")</f>
        <v>2</v>
      </c>
      <c r="C39" s="77" t="n">
        <f aca="false">COUNTIF(Sector!BG3:BG43,"&lt;0")</f>
        <v>4</v>
      </c>
      <c r="D39" s="78" t="n">
        <f aca="false">AVERAGE(Sector!BG3:BG43)</f>
        <v>-14.1677777777778</v>
      </c>
      <c r="E39" s="78" t="n">
        <v>20.1861111111111</v>
      </c>
      <c r="F39" s="79" t="n">
        <f aca="false">D39-E39</f>
        <v>-34.3538888888889</v>
      </c>
      <c r="G39" s="76" t="n">
        <f aca="false">COUNTIF(Sector!BH3:BH43,"&gt;0")</f>
        <v>1</v>
      </c>
      <c r="H39" s="77" t="n">
        <f aca="false">COUNTIF(Sector!BH3:BH43,"&lt;0")</f>
        <v>5</v>
      </c>
      <c r="I39" s="78" t="n">
        <f aca="false">AVERAGE(Sector!BH3:BH43)</f>
        <v>-30.6011041666667</v>
      </c>
      <c r="J39" s="80" t="n">
        <v>-15.8225625</v>
      </c>
      <c r="K39" s="81" t="n">
        <f aca="false">I39-J39</f>
        <v>-14.7785416666667</v>
      </c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</row>
    <row r="40" customFormat="false" ht="15.75" hidden="false" customHeight="true" outlineLevel="0" collapsed="false">
      <c r="A40" s="82" t="s">
        <v>572</v>
      </c>
      <c r="B40" s="76" t="n">
        <f aca="false">COUNTIF(Sector!BJ3:BJ44,"&gt;0")</f>
        <v>4</v>
      </c>
      <c r="C40" s="77" t="n">
        <f aca="false">COUNTIF(Sector!BJ3:BJ44,"&lt;0")</f>
        <v>6</v>
      </c>
      <c r="D40" s="78" t="n">
        <f aca="false">AVERAGE(Sector!BJ3:BJ44)</f>
        <v>-4.38633333333333</v>
      </c>
      <c r="E40" s="78" t="n">
        <v>57.2026666666667</v>
      </c>
      <c r="F40" s="79" t="n">
        <f aca="false">D40-E40</f>
        <v>-61.589</v>
      </c>
      <c r="G40" s="76" t="n">
        <f aca="false">COUNTIF(Sector!BK3:BK44,"&gt;0")</f>
        <v>2</v>
      </c>
      <c r="H40" s="77" t="n">
        <f aca="false">COUNTIF(Sector!BK3:BK44,"&lt;0")</f>
        <v>8</v>
      </c>
      <c r="I40" s="78" t="n">
        <f aca="false">AVERAGE(Sector!BK3:BK44)</f>
        <v>-38.142375</v>
      </c>
      <c r="J40" s="80" t="n">
        <v>-12.522</v>
      </c>
      <c r="K40" s="81" t="n">
        <f aca="false">I40-J40</f>
        <v>-25.620375</v>
      </c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</row>
    <row r="41" customFormat="false" ht="15.75" hidden="false" customHeight="true" outlineLevel="0" collapsed="false">
      <c r="A41" s="82" t="s">
        <v>573</v>
      </c>
      <c r="B41" s="76" t="n">
        <f aca="false">COUNTIF(Sector!BM3:BM45,"&gt;0")</f>
        <v>6</v>
      </c>
      <c r="C41" s="77" t="n">
        <f aca="false">COUNTIF(Sector!BM3:BM45,"&lt;0")</f>
        <v>9</v>
      </c>
      <c r="D41" s="78" t="n">
        <f aca="false">AVERAGE(Sector!BM4:BM45)</f>
        <v>2.33214285714286</v>
      </c>
      <c r="E41" s="78" t="n">
        <v>26.0926190476191</v>
      </c>
      <c r="F41" s="79" t="n">
        <f aca="false">D41-E41</f>
        <v>-23.7604761904762</v>
      </c>
      <c r="G41" s="76" t="n">
        <f aca="false">COUNTIF(Sector!BN3:BN45,"&gt;0")</f>
        <v>9</v>
      </c>
      <c r="H41" s="77" t="n">
        <f aca="false">COUNTIF(Sector!BN3:BN45,"&lt;0")</f>
        <v>6</v>
      </c>
      <c r="I41" s="78" t="n">
        <f aca="false">AVERAGE(Sector!BN4:BN45)</f>
        <v>19.1451339285714</v>
      </c>
      <c r="J41" s="80" t="n">
        <v>32.2923035714286</v>
      </c>
      <c r="K41" s="81" t="n">
        <f aca="false">I41-J41</f>
        <v>-13.1471696428572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</row>
    <row r="42" customFormat="false" ht="15.75" hidden="false" customHeight="true" outlineLevel="0" collapsed="false">
      <c r="A42" s="82" t="s">
        <v>574</v>
      </c>
      <c r="B42" s="76" t="n">
        <f aca="false">COUNTIF(Sector!BQ3:BQ46,"&gt;0")</f>
        <v>14</v>
      </c>
      <c r="C42" s="77" t="n">
        <f aca="false">COUNTIF(Sector!BQ3:BQ46,"&lt;0")</f>
        <v>10</v>
      </c>
      <c r="D42" s="78" t="n">
        <f aca="false">AVERAGE(Sector!BQ3:BQ46)</f>
        <v>15.5173611111111</v>
      </c>
      <c r="E42" s="78" t="n">
        <v>41.158125</v>
      </c>
      <c r="F42" s="79" t="n">
        <f aca="false">D42-E42</f>
        <v>-25.6407638888889</v>
      </c>
      <c r="G42" s="76" t="n">
        <f aca="false">COUNTIF(Sector!BR3:BR46,"&gt;0")</f>
        <v>13</v>
      </c>
      <c r="H42" s="77" t="n">
        <f aca="false">COUNTIF(Sector!BR3:BR46,"&lt;0")</f>
        <v>11</v>
      </c>
      <c r="I42" s="78" t="n">
        <f aca="false">AVERAGE(Sector!BR3:BR46)</f>
        <v>15.5620572916667</v>
      </c>
      <c r="J42" s="80" t="n">
        <v>28.358828125</v>
      </c>
      <c r="K42" s="81" t="n">
        <f aca="false">I42-J42</f>
        <v>-12.7967708333333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</row>
    <row r="43" customFormat="false" ht="15.75" hidden="false" customHeight="true" outlineLevel="0" collapsed="false">
      <c r="A43" s="82"/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</row>
    <row r="44" customFormat="false" ht="15.75" hidden="false" customHeight="true" outlineLevel="0" collapsed="false">
      <c r="A44" s="82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</row>
    <row r="45" customFormat="false" ht="15.75" hidden="false" customHeight="true" outlineLevel="0" collapsed="false">
      <c r="A45" s="82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</row>
    <row r="46" customFormat="false" ht="15.75" hidden="false" customHeight="true" outlineLevel="0" collapsed="false">
      <c r="A46" s="82"/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</row>
    <row r="47" customFormat="false" ht="15.75" hidden="false" customHeight="true" outlineLevel="0" collapsed="false">
      <c r="A47" s="82"/>
      <c r="B47" s="82"/>
      <c r="C47" s="82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</row>
    <row r="48" customFormat="false" ht="15.75" hidden="false" customHeight="true" outlineLevel="0" collapsed="false">
      <c r="A48" s="82"/>
      <c r="B48" s="82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</row>
    <row r="49" customFormat="false" ht="15.75" hidden="false" customHeight="true" outlineLevel="0" collapsed="false">
      <c r="A49" s="82"/>
      <c r="B49" s="82"/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</row>
    <row r="50" customFormat="false" ht="15.75" hidden="false" customHeight="true" outlineLevel="0" collapsed="false">
      <c r="A50" s="82"/>
      <c r="B50" s="82"/>
      <c r="C50" s="82"/>
      <c r="D50" s="82"/>
      <c r="E50" s="82"/>
      <c r="F50" s="82"/>
      <c r="G50" s="82"/>
      <c r="H50" s="82"/>
      <c r="I50" s="82"/>
      <c r="J50" s="82" t="s">
        <v>624</v>
      </c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</row>
    <row r="51" customFormat="false" ht="15.75" hidden="false" customHeight="true" outlineLevel="0" collapsed="false">
      <c r="A51" s="82"/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</row>
    <row r="52" customFormat="false" ht="15.75" hidden="false" customHeight="true" outlineLevel="0" collapsed="false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</row>
    <row r="53" customFormat="false" ht="15.75" hidden="false" customHeight="true" outlineLevel="0" collapsed="false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</row>
    <row r="54" customFormat="false" ht="15.75" hidden="false" customHeight="true" outlineLevel="0" collapsed="false">
      <c r="A54" s="82"/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</row>
    <row r="55" customFormat="false" ht="15.75" hidden="false" customHeight="true" outlineLevel="0" collapsed="false">
      <c r="A55" s="82"/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</row>
    <row r="56" customFormat="false" ht="15.75" hidden="false" customHeight="true" outlineLevel="0" collapsed="false">
      <c r="A56" s="82"/>
      <c r="B56" s="82"/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</row>
    <row r="57" customFormat="false" ht="15.75" hidden="false" customHeight="true" outlineLevel="0" collapsed="false">
      <c r="A57" s="82"/>
      <c r="B57" s="82"/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2"/>
    </row>
    <row r="58" customFormat="false" ht="15.75" hidden="false" customHeight="true" outlineLevel="0" collapsed="false">
      <c r="A58" s="82"/>
      <c r="B58" s="82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</row>
    <row r="59" customFormat="false" ht="15.75" hidden="false" customHeight="true" outlineLevel="0" collapsed="false">
      <c r="A59" s="82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</row>
    <row r="60" customFormat="false" ht="15.75" hidden="false" customHeight="true" outlineLevel="0" collapsed="false">
      <c r="A60" s="82"/>
      <c r="B60" s="82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</row>
    <row r="61" customFormat="false" ht="15.75" hidden="false" customHeight="true" outlineLevel="0" collapsed="false">
      <c r="A61" s="82"/>
      <c r="B61" s="82"/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</row>
    <row r="62" customFormat="false" ht="15.75" hidden="false" customHeight="true" outlineLevel="0" collapsed="false">
      <c r="A62" s="82"/>
      <c r="B62" s="82"/>
      <c r="C62" s="82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</row>
    <row r="63" customFormat="false" ht="15.75" hidden="false" customHeight="true" outlineLevel="0" collapsed="false">
      <c r="A63" s="82"/>
      <c r="B63" s="82"/>
      <c r="C63" s="82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</row>
    <row r="64" customFormat="false" ht="15.75" hidden="false" customHeight="true" outlineLevel="0" collapsed="false">
      <c r="A64" s="82"/>
      <c r="B64" s="82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</row>
    <row r="65" customFormat="false" ht="15.75" hidden="false" customHeight="true" outlineLevel="0" collapsed="false">
      <c r="A65" s="82"/>
      <c r="B65" s="82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</row>
    <row r="66" customFormat="false" ht="15.75" hidden="false" customHeight="true" outlineLevel="0" collapsed="false">
      <c r="A66" s="82"/>
      <c r="B66" s="82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</row>
    <row r="67" customFormat="false" ht="15.75" hidden="false" customHeight="true" outlineLevel="0" collapsed="false">
      <c r="A67" s="82"/>
      <c r="B67" s="82"/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</row>
    <row r="68" customFormat="false" ht="15.75" hidden="false" customHeight="true" outlineLevel="0" collapsed="false">
      <c r="A68" s="82"/>
      <c r="B68" s="82"/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</row>
    <row r="69" customFormat="false" ht="15.75" hidden="false" customHeight="true" outlineLevel="0" collapsed="false">
      <c r="A69" s="82"/>
      <c r="B69" s="82"/>
      <c r="C69" s="82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</row>
    <row r="70" customFormat="false" ht="15.75" hidden="false" customHeight="true" outlineLevel="0" collapsed="false">
      <c r="A70" s="82"/>
      <c r="B70" s="82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</row>
    <row r="71" customFormat="false" ht="15.75" hidden="false" customHeight="true" outlineLevel="0" collapsed="false">
      <c r="A71" s="82"/>
      <c r="B71" s="82"/>
      <c r="C71" s="82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</row>
    <row r="72" customFormat="false" ht="15.75" hidden="false" customHeight="true" outlineLevel="0" collapsed="false">
      <c r="A72" s="82"/>
      <c r="B72" s="82"/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</row>
    <row r="73" customFormat="false" ht="15.75" hidden="false" customHeight="true" outlineLevel="0" collapsed="false">
      <c r="A73" s="82"/>
      <c r="B73" s="82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</row>
    <row r="74" customFormat="false" ht="15.75" hidden="false" customHeight="true" outlineLevel="0" collapsed="false">
      <c r="A74" s="82"/>
      <c r="B74" s="82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</row>
    <row r="75" customFormat="false" ht="15.75" hidden="false" customHeight="true" outlineLevel="0" collapsed="false">
      <c r="A75" s="82"/>
      <c r="B75" s="82"/>
      <c r="C75" s="82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</row>
    <row r="76" customFormat="false" ht="15.75" hidden="false" customHeight="true" outlineLevel="0" collapsed="false">
      <c r="A76" s="82"/>
      <c r="B76" s="82"/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</row>
    <row r="77" customFormat="false" ht="15.75" hidden="false" customHeight="true" outlineLevel="0" collapsed="false">
      <c r="A77" s="82"/>
      <c r="B77" s="82"/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</row>
    <row r="78" customFormat="false" ht="15.75" hidden="false" customHeight="true" outlineLevel="0" collapsed="false">
      <c r="A78" s="82"/>
      <c r="B78" s="82"/>
      <c r="C78" s="82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</row>
    <row r="79" customFormat="false" ht="15.75" hidden="false" customHeight="true" outlineLevel="0" collapsed="false">
      <c r="A79" s="82"/>
      <c r="B79" s="82"/>
      <c r="C79" s="82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</row>
    <row r="80" customFormat="false" ht="15.75" hidden="false" customHeight="true" outlineLevel="0" collapsed="false">
      <c r="A80" s="82"/>
      <c r="B80" s="82"/>
      <c r="C80" s="82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</row>
    <row r="81" customFormat="false" ht="15.75" hidden="false" customHeight="true" outlineLevel="0" collapsed="false">
      <c r="A81" s="82"/>
      <c r="B81" s="82"/>
      <c r="C81" s="82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</row>
    <row r="82" customFormat="false" ht="15.75" hidden="false" customHeight="true" outlineLevel="0" collapsed="false">
      <c r="A82" s="82"/>
      <c r="B82" s="82"/>
      <c r="C82" s="82"/>
      <c r="D82" s="82"/>
      <c r="E82" s="82"/>
      <c r="F82" s="82"/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</row>
    <row r="83" customFormat="false" ht="15.75" hidden="false" customHeight="true" outlineLevel="0" collapsed="false">
      <c r="A83" s="82"/>
      <c r="B83" s="82"/>
      <c r="C83" s="82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</row>
    <row r="84" customFormat="false" ht="15.75" hidden="false" customHeight="true" outlineLevel="0" collapsed="false">
      <c r="A84" s="82"/>
      <c r="B84" s="82"/>
      <c r="C84" s="82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</row>
    <row r="85" customFormat="false" ht="15.75" hidden="false" customHeight="true" outlineLevel="0" collapsed="false">
      <c r="A85" s="82"/>
      <c r="B85" s="82"/>
      <c r="C85" s="82"/>
      <c r="D85" s="82"/>
      <c r="E85" s="82"/>
      <c r="F85" s="82"/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2"/>
      <c r="V85" s="82"/>
      <c r="W85" s="82"/>
      <c r="X85" s="82"/>
    </row>
    <row r="86" customFormat="false" ht="15.75" hidden="false" customHeight="true" outlineLevel="0" collapsed="false">
      <c r="A86" s="82"/>
      <c r="B86" s="82"/>
      <c r="C86" s="82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</row>
    <row r="87" customFormat="false" ht="15.75" hidden="false" customHeight="true" outlineLevel="0" collapsed="false">
      <c r="A87" s="82"/>
      <c r="B87" s="82"/>
      <c r="C87" s="82"/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  <c r="R87" s="82"/>
      <c r="S87" s="82"/>
      <c r="T87" s="82"/>
      <c r="U87" s="82"/>
      <c r="V87" s="82"/>
      <c r="W87" s="82"/>
      <c r="X87" s="82"/>
    </row>
    <row r="88" customFormat="false" ht="15.75" hidden="false" customHeight="true" outlineLevel="0" collapsed="false">
      <c r="A88" s="82"/>
      <c r="B88" s="82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</row>
    <row r="89" customFormat="false" ht="15.75" hidden="false" customHeight="true" outlineLevel="0" collapsed="false">
      <c r="A89" s="82"/>
      <c r="B89" s="82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</row>
    <row r="90" customFormat="false" ht="15.75" hidden="false" customHeight="true" outlineLevel="0" collapsed="false">
      <c r="A90" s="82"/>
      <c r="B90" s="82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</row>
    <row r="91" customFormat="false" ht="15.75" hidden="false" customHeight="true" outlineLevel="0" collapsed="false">
      <c r="A91" s="82"/>
      <c r="B91" s="82"/>
      <c r="C91" s="82"/>
      <c r="D91" s="82"/>
      <c r="E91" s="82"/>
      <c r="F91" s="82"/>
      <c r="G91" s="82"/>
      <c r="H91" s="82"/>
      <c r="I91" s="82"/>
      <c r="J91" s="82"/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</row>
    <row r="92" customFormat="false" ht="15.75" hidden="false" customHeight="true" outlineLevel="0" collapsed="false">
      <c r="A92" s="82"/>
      <c r="B92" s="82"/>
      <c r="C92" s="82"/>
      <c r="D92" s="82"/>
      <c r="E92" s="82"/>
      <c r="F92" s="82"/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</row>
    <row r="93" customFormat="false" ht="15.75" hidden="false" customHeight="true" outlineLevel="0" collapsed="false">
      <c r="A93" s="82"/>
      <c r="B93" s="82"/>
      <c r="C93" s="82"/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</row>
    <row r="94" customFormat="false" ht="15.75" hidden="false" customHeight="true" outlineLevel="0" collapsed="false">
      <c r="A94" s="82"/>
      <c r="B94" s="82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</row>
    <row r="95" customFormat="false" ht="15.75" hidden="false" customHeight="true" outlineLevel="0" collapsed="false">
      <c r="A95" s="82"/>
      <c r="B95" s="82"/>
      <c r="C95" s="82"/>
      <c r="D95" s="82"/>
      <c r="E95" s="82"/>
      <c r="F95" s="82"/>
      <c r="G95" s="82"/>
      <c r="H95" s="82"/>
      <c r="I95" s="82"/>
      <c r="J95" s="82"/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</row>
    <row r="96" customFormat="false" ht="15.75" hidden="false" customHeight="true" outlineLevel="0" collapsed="false">
      <c r="A96" s="82"/>
      <c r="B96" s="82"/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</row>
    <row r="97" customFormat="false" ht="15.75" hidden="false" customHeight="true" outlineLevel="0" collapsed="false">
      <c r="A97" s="82"/>
      <c r="B97" s="82"/>
      <c r="C97" s="82"/>
      <c r="D97" s="82"/>
      <c r="E97" s="82"/>
      <c r="F97" s="82"/>
      <c r="G97" s="82"/>
      <c r="H97" s="82"/>
      <c r="I97" s="82"/>
      <c r="J97" s="82"/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</row>
    <row r="98" customFormat="false" ht="15.75" hidden="false" customHeight="true" outlineLevel="0" collapsed="false">
      <c r="A98" s="82"/>
      <c r="B98" s="82"/>
      <c r="C98" s="82"/>
      <c r="D98" s="82"/>
      <c r="E98" s="82"/>
      <c r="F98" s="82"/>
      <c r="G98" s="82"/>
      <c r="H98" s="82"/>
      <c r="I98" s="82"/>
      <c r="J98" s="82"/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</row>
    <row r="99" customFormat="false" ht="15.75" hidden="false" customHeight="true" outlineLevel="0" collapsed="false">
      <c r="A99" s="82"/>
      <c r="B99" s="82"/>
      <c r="C99" s="82"/>
      <c r="D99" s="82"/>
      <c r="E99" s="82"/>
      <c r="F99" s="82"/>
      <c r="G99" s="82"/>
      <c r="H99" s="82"/>
      <c r="I99" s="82"/>
      <c r="J99" s="82"/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</row>
    <row r="100" customFormat="false" ht="15.75" hidden="false" customHeight="true" outlineLevel="0" collapsed="false">
      <c r="A100" s="82"/>
      <c r="B100" s="82"/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</row>
    <row r="101" customFormat="false" ht="15.75" hidden="false" customHeight="true" outlineLevel="0" collapsed="false">
      <c r="A101" s="82"/>
      <c r="B101" s="82"/>
      <c r="C101" s="82"/>
      <c r="D101" s="82"/>
      <c r="E101" s="82"/>
      <c r="F101" s="82"/>
      <c r="G101" s="82"/>
      <c r="H101" s="82"/>
      <c r="I101" s="8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</row>
    <row r="102" customFormat="false" ht="15.75" hidden="false" customHeight="true" outlineLevel="0" collapsed="false">
      <c r="A102" s="82"/>
      <c r="B102" s="82"/>
      <c r="C102" s="82"/>
      <c r="D102" s="82"/>
      <c r="E102" s="82"/>
      <c r="F102" s="82"/>
      <c r="G102" s="82"/>
      <c r="H102" s="82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</row>
    <row r="103" customFormat="false" ht="15.75" hidden="false" customHeight="true" outlineLevel="0" collapsed="false">
      <c r="A103" s="82"/>
      <c r="B103" s="82"/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</row>
    <row r="104" customFormat="false" ht="15.75" hidden="false" customHeight="true" outlineLevel="0" collapsed="false">
      <c r="A104" s="82"/>
      <c r="B104" s="82"/>
      <c r="C104" s="82"/>
      <c r="D104" s="82"/>
      <c r="E104" s="82"/>
      <c r="F104" s="82"/>
      <c r="G104" s="82"/>
      <c r="H104" s="82"/>
      <c r="I104" s="82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</row>
    <row r="105" customFormat="false" ht="15.75" hidden="false" customHeight="true" outlineLevel="0" collapsed="false">
      <c r="A105" s="82"/>
      <c r="B105" s="82"/>
      <c r="C105" s="82"/>
      <c r="D105" s="82"/>
      <c r="E105" s="82"/>
      <c r="F105" s="82"/>
      <c r="G105" s="82"/>
      <c r="H105" s="82"/>
      <c r="I105" s="82"/>
      <c r="J105" s="82"/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</row>
    <row r="106" customFormat="false" ht="15.75" hidden="false" customHeight="true" outlineLevel="0" collapsed="false">
      <c r="A106" s="82"/>
      <c r="B106" s="82"/>
      <c r="C106" s="82"/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</row>
    <row r="107" customFormat="false" ht="15.75" hidden="false" customHeight="true" outlineLevel="0" collapsed="false">
      <c r="A107" s="82"/>
      <c r="B107" s="82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</row>
    <row r="108" customFormat="false" ht="15.75" hidden="false" customHeight="true" outlineLevel="0" collapsed="false">
      <c r="A108" s="82"/>
      <c r="B108" s="82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</row>
    <row r="109" customFormat="false" ht="15.75" hidden="false" customHeight="true" outlineLevel="0" collapsed="false">
      <c r="A109" s="82"/>
      <c r="B109" s="82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82"/>
      <c r="Q109" s="82"/>
      <c r="R109" s="82"/>
      <c r="S109" s="82"/>
      <c r="T109" s="82"/>
      <c r="U109" s="82"/>
      <c r="V109" s="82"/>
      <c r="W109" s="82"/>
      <c r="X109" s="82"/>
    </row>
    <row r="110" customFormat="false" ht="15.75" hidden="false" customHeight="true" outlineLevel="0" collapsed="false">
      <c r="A110" s="82"/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</row>
    <row r="111" customFormat="false" ht="15.75" hidden="false" customHeight="true" outlineLevel="0" collapsed="false">
      <c r="A111" s="82"/>
      <c r="B111" s="82"/>
      <c r="C111" s="82"/>
      <c r="D111" s="82"/>
      <c r="E111" s="82"/>
      <c r="F111" s="82"/>
      <c r="G111" s="82"/>
      <c r="H111" s="82"/>
      <c r="I111" s="82"/>
      <c r="J111" s="82"/>
      <c r="K111" s="82"/>
      <c r="L111" s="82"/>
      <c r="M111" s="82"/>
      <c r="N111" s="82"/>
      <c r="O111" s="82"/>
      <c r="P111" s="82"/>
      <c r="Q111" s="82"/>
      <c r="R111" s="82"/>
      <c r="S111" s="82"/>
      <c r="T111" s="82"/>
      <c r="U111" s="82"/>
      <c r="V111" s="82"/>
      <c r="W111" s="82"/>
      <c r="X111" s="82"/>
    </row>
    <row r="112" customFormat="false" ht="15.75" hidden="false" customHeight="true" outlineLevel="0" collapsed="false">
      <c r="A112" s="82"/>
      <c r="B112" s="82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</row>
    <row r="113" customFormat="false" ht="15.75" hidden="false" customHeight="true" outlineLevel="0" collapsed="false">
      <c r="A113" s="82"/>
      <c r="B113" s="82"/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</row>
    <row r="114" customFormat="false" ht="15.75" hidden="false" customHeight="true" outlineLevel="0" collapsed="false">
      <c r="A114" s="82"/>
      <c r="B114" s="82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</row>
    <row r="115" customFormat="false" ht="15.75" hidden="false" customHeight="true" outlineLevel="0" collapsed="false">
      <c r="A115" s="82"/>
      <c r="B115" s="82"/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</row>
    <row r="116" customFormat="false" ht="15.75" hidden="false" customHeight="true" outlineLevel="0" collapsed="false">
      <c r="A116" s="82"/>
      <c r="B116" s="82"/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82"/>
      <c r="W116" s="82"/>
      <c r="X116" s="82"/>
    </row>
    <row r="117" customFormat="false" ht="15.75" hidden="false" customHeight="true" outlineLevel="0" collapsed="false">
      <c r="A117" s="82"/>
      <c r="B117" s="82"/>
      <c r="C117" s="82"/>
      <c r="D117" s="82"/>
      <c r="E117" s="82"/>
      <c r="F117" s="82"/>
      <c r="G117" s="82"/>
      <c r="H117" s="82"/>
      <c r="I117" s="82"/>
      <c r="J117" s="82"/>
      <c r="K117" s="82"/>
      <c r="L117" s="82"/>
      <c r="M117" s="82"/>
      <c r="N117" s="82"/>
      <c r="O117" s="82"/>
      <c r="P117" s="82"/>
      <c r="Q117" s="82"/>
      <c r="R117" s="82"/>
      <c r="S117" s="82"/>
      <c r="T117" s="82"/>
      <c r="U117" s="82"/>
      <c r="V117" s="82"/>
      <c r="W117" s="82"/>
      <c r="X117" s="82"/>
    </row>
    <row r="118" customFormat="false" ht="15.75" hidden="false" customHeight="true" outlineLevel="0" collapsed="false">
      <c r="A118" s="82"/>
      <c r="B118" s="82"/>
      <c r="C118" s="82"/>
      <c r="D118" s="82"/>
      <c r="E118" s="82"/>
      <c r="F118" s="82"/>
      <c r="G118" s="82"/>
      <c r="H118" s="82"/>
      <c r="I118" s="82"/>
      <c r="J118" s="82"/>
      <c r="K118" s="82"/>
      <c r="L118" s="82"/>
      <c r="M118" s="82"/>
      <c r="N118" s="82"/>
      <c r="O118" s="82"/>
      <c r="P118" s="82"/>
      <c r="Q118" s="82"/>
      <c r="R118" s="82"/>
      <c r="S118" s="82"/>
      <c r="T118" s="82"/>
      <c r="U118" s="82"/>
      <c r="V118" s="82"/>
      <c r="W118" s="82"/>
      <c r="X118" s="82"/>
    </row>
    <row r="119" customFormat="false" ht="15.75" hidden="false" customHeight="true" outlineLevel="0" collapsed="false">
      <c r="A119" s="82"/>
      <c r="B119" s="82"/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2"/>
      <c r="N119" s="82"/>
      <c r="O119" s="82"/>
      <c r="P119" s="82"/>
      <c r="Q119" s="82"/>
      <c r="R119" s="82"/>
      <c r="S119" s="82"/>
      <c r="T119" s="82"/>
      <c r="U119" s="82"/>
      <c r="V119" s="82"/>
      <c r="W119" s="82"/>
      <c r="X119" s="82"/>
    </row>
    <row r="120" customFormat="false" ht="15.75" hidden="false" customHeight="true" outlineLevel="0" collapsed="false">
      <c r="A120" s="82"/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</row>
    <row r="121" customFormat="false" ht="15.75" hidden="false" customHeight="true" outlineLevel="0" collapsed="false">
      <c r="A121" s="82"/>
      <c r="B121" s="82"/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</row>
    <row r="122" customFormat="false" ht="15.75" hidden="false" customHeight="true" outlineLevel="0" collapsed="false">
      <c r="A122" s="82"/>
      <c r="B122" s="82"/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</row>
    <row r="123" customFormat="false" ht="15.75" hidden="false" customHeight="true" outlineLevel="0" collapsed="false">
      <c r="A123" s="82"/>
      <c r="B123" s="82"/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82"/>
      <c r="O123" s="82"/>
      <c r="P123" s="82"/>
      <c r="Q123" s="82"/>
      <c r="R123" s="82"/>
      <c r="S123" s="82"/>
      <c r="T123" s="82"/>
      <c r="U123" s="82"/>
      <c r="V123" s="82"/>
      <c r="W123" s="82"/>
      <c r="X123" s="82"/>
    </row>
    <row r="124" customFormat="false" ht="15.75" hidden="false" customHeight="true" outlineLevel="0" collapsed="false">
      <c r="A124" s="82"/>
      <c r="B124" s="82"/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</row>
    <row r="125" customFormat="false" ht="15.75" hidden="false" customHeight="true" outlineLevel="0" collapsed="false">
      <c r="A125" s="82"/>
      <c r="B125" s="82"/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</row>
    <row r="126" customFormat="false" ht="15.75" hidden="false" customHeight="true" outlineLevel="0" collapsed="false">
      <c r="A126" s="82"/>
      <c r="B126" s="82"/>
      <c r="C126" s="82"/>
      <c r="D126" s="82"/>
      <c r="E126" s="82"/>
      <c r="F126" s="82"/>
      <c r="G126" s="82"/>
      <c r="H126" s="82"/>
      <c r="I126" s="82"/>
      <c r="J126" s="82"/>
      <c r="K126" s="82"/>
      <c r="L126" s="82"/>
      <c r="M126" s="82"/>
      <c r="N126" s="82"/>
      <c r="O126" s="82"/>
      <c r="P126" s="82"/>
      <c r="Q126" s="82"/>
      <c r="R126" s="82"/>
      <c r="S126" s="82"/>
      <c r="T126" s="82"/>
      <c r="U126" s="82"/>
      <c r="V126" s="82"/>
      <c r="W126" s="82"/>
      <c r="X126" s="82"/>
    </row>
    <row r="127" customFormat="false" ht="15.75" hidden="false" customHeight="true" outlineLevel="0" collapsed="false">
      <c r="A127" s="82"/>
      <c r="B127" s="82"/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82"/>
      <c r="W127" s="82"/>
      <c r="X127" s="82"/>
    </row>
    <row r="128" customFormat="false" ht="15.75" hidden="false" customHeight="true" outlineLevel="0" collapsed="false">
      <c r="A128" s="82"/>
      <c r="B128" s="82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</row>
    <row r="129" customFormat="false" ht="15.75" hidden="false" customHeight="true" outlineLevel="0" collapsed="false">
      <c r="A129" s="82"/>
      <c r="B129" s="82"/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</row>
    <row r="130" customFormat="false" ht="15.75" hidden="false" customHeight="true" outlineLevel="0" collapsed="false">
      <c r="A130" s="82"/>
      <c r="B130" s="82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</row>
    <row r="131" customFormat="false" ht="15.75" hidden="false" customHeight="true" outlineLevel="0" collapsed="false">
      <c r="A131" s="82"/>
      <c r="B131" s="82"/>
      <c r="C131" s="82"/>
      <c r="D131" s="82"/>
      <c r="E131" s="82"/>
      <c r="F131" s="82"/>
      <c r="G131" s="82"/>
      <c r="H131" s="82"/>
      <c r="I131" s="82"/>
      <c r="J131" s="82"/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2"/>
      <c r="V131" s="82"/>
      <c r="W131" s="82"/>
      <c r="X131" s="82"/>
    </row>
    <row r="132" customFormat="false" ht="15.75" hidden="false" customHeight="true" outlineLevel="0" collapsed="false">
      <c r="A132" s="82"/>
      <c r="B132" s="82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</row>
    <row r="133" customFormat="false" ht="15.75" hidden="false" customHeight="true" outlineLevel="0" collapsed="false">
      <c r="A133" s="82"/>
      <c r="B133" s="82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</row>
    <row r="134" customFormat="false" ht="15.75" hidden="false" customHeight="true" outlineLevel="0" collapsed="false">
      <c r="A134" s="82"/>
      <c r="B134" s="82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</row>
    <row r="135" customFormat="false" ht="15.75" hidden="false" customHeight="true" outlineLevel="0" collapsed="false">
      <c r="A135" s="82"/>
      <c r="B135" s="82"/>
      <c r="C135" s="82"/>
      <c r="D135" s="82"/>
      <c r="E135" s="82"/>
      <c r="F135" s="82"/>
      <c r="G135" s="82"/>
      <c r="H135" s="82"/>
      <c r="I135" s="82"/>
      <c r="J135" s="82"/>
      <c r="K135" s="82"/>
      <c r="L135" s="82"/>
      <c r="M135" s="82"/>
      <c r="N135" s="82"/>
      <c r="O135" s="82"/>
      <c r="P135" s="82"/>
      <c r="Q135" s="82"/>
      <c r="R135" s="82"/>
      <c r="S135" s="82"/>
      <c r="T135" s="82"/>
      <c r="U135" s="82"/>
      <c r="V135" s="82"/>
      <c r="W135" s="82"/>
      <c r="X135" s="82"/>
    </row>
    <row r="136" customFormat="false" ht="15.75" hidden="false" customHeight="true" outlineLevel="0" collapsed="false">
      <c r="A136" s="82"/>
      <c r="B136" s="82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</row>
    <row r="137" customFormat="false" ht="15.75" hidden="false" customHeight="true" outlineLevel="0" collapsed="false">
      <c r="A137" s="82"/>
      <c r="B137" s="82"/>
      <c r="C137" s="82"/>
      <c r="D137" s="82"/>
      <c r="E137" s="82"/>
      <c r="F137" s="82"/>
      <c r="G137" s="82"/>
      <c r="H137" s="82"/>
      <c r="I137" s="82"/>
      <c r="J137" s="82"/>
      <c r="K137" s="82"/>
      <c r="L137" s="82"/>
      <c r="M137" s="82"/>
      <c r="N137" s="82"/>
      <c r="O137" s="82"/>
      <c r="P137" s="82"/>
      <c r="Q137" s="82"/>
      <c r="R137" s="82"/>
      <c r="S137" s="82"/>
      <c r="T137" s="82"/>
      <c r="U137" s="82"/>
      <c r="V137" s="82"/>
      <c r="W137" s="82"/>
      <c r="X137" s="82"/>
    </row>
    <row r="138" customFormat="false" ht="15.75" hidden="false" customHeight="true" outlineLevel="0" collapsed="false">
      <c r="A138" s="82"/>
      <c r="B138" s="82"/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2"/>
      <c r="N138" s="82"/>
      <c r="O138" s="82"/>
      <c r="P138" s="82"/>
      <c r="Q138" s="82"/>
      <c r="R138" s="82"/>
      <c r="S138" s="82"/>
      <c r="T138" s="82"/>
      <c r="U138" s="82"/>
      <c r="V138" s="82"/>
      <c r="W138" s="82"/>
      <c r="X138" s="82"/>
    </row>
    <row r="139" customFormat="false" ht="15.75" hidden="false" customHeight="true" outlineLevel="0" collapsed="false">
      <c r="A139" s="82"/>
      <c r="B139" s="82"/>
      <c r="C139" s="82"/>
      <c r="D139" s="82"/>
      <c r="E139" s="82"/>
      <c r="F139" s="82"/>
      <c r="G139" s="82"/>
      <c r="H139" s="82"/>
      <c r="I139" s="82"/>
      <c r="J139" s="82"/>
      <c r="K139" s="82"/>
      <c r="L139" s="82"/>
      <c r="M139" s="82"/>
      <c r="N139" s="82"/>
      <c r="O139" s="82"/>
      <c r="P139" s="82"/>
      <c r="Q139" s="82"/>
      <c r="R139" s="82"/>
      <c r="S139" s="82"/>
      <c r="T139" s="82"/>
      <c r="U139" s="82"/>
      <c r="V139" s="82"/>
      <c r="W139" s="82"/>
      <c r="X139" s="82"/>
    </row>
    <row r="140" customFormat="false" ht="15.75" hidden="false" customHeight="true" outlineLevel="0" collapsed="false">
      <c r="A140" s="82"/>
      <c r="B140" s="82"/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2"/>
      <c r="N140" s="82"/>
      <c r="O140" s="82"/>
      <c r="P140" s="82"/>
      <c r="Q140" s="82"/>
      <c r="R140" s="82"/>
      <c r="S140" s="82"/>
      <c r="T140" s="82"/>
      <c r="U140" s="82"/>
      <c r="V140" s="82"/>
      <c r="W140" s="82"/>
      <c r="X140" s="82"/>
    </row>
    <row r="141" customFormat="false" ht="15.75" hidden="false" customHeight="true" outlineLevel="0" collapsed="false">
      <c r="A141" s="82"/>
      <c r="B141" s="82"/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2"/>
      <c r="N141" s="82"/>
      <c r="O141" s="82"/>
      <c r="P141" s="82"/>
      <c r="Q141" s="82"/>
      <c r="R141" s="82"/>
      <c r="S141" s="82"/>
      <c r="T141" s="82"/>
      <c r="U141" s="82"/>
      <c r="V141" s="82"/>
      <c r="W141" s="82"/>
      <c r="X141" s="82"/>
    </row>
    <row r="142" customFormat="false" ht="15.75" hidden="false" customHeight="true" outlineLevel="0" collapsed="false">
      <c r="A142" s="82"/>
      <c r="B142" s="82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2"/>
      <c r="O142" s="82"/>
      <c r="P142" s="82"/>
      <c r="Q142" s="82"/>
      <c r="R142" s="82"/>
      <c r="S142" s="82"/>
      <c r="T142" s="82"/>
      <c r="U142" s="82"/>
      <c r="V142" s="82"/>
      <c r="W142" s="82"/>
      <c r="X142" s="82"/>
    </row>
    <row r="143" customFormat="false" ht="15.75" hidden="false" customHeight="true" outlineLevel="0" collapsed="false">
      <c r="A143" s="82"/>
      <c r="B143" s="82"/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  <c r="R143" s="82"/>
      <c r="S143" s="82"/>
      <c r="T143" s="82"/>
      <c r="U143" s="82"/>
      <c r="V143" s="82"/>
      <c r="W143" s="82"/>
      <c r="X143" s="82"/>
    </row>
    <row r="144" customFormat="false" ht="15.75" hidden="false" customHeight="true" outlineLevel="0" collapsed="false">
      <c r="A144" s="82"/>
      <c r="B144" s="82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</row>
    <row r="145" customFormat="false" ht="15.75" hidden="false" customHeight="true" outlineLevel="0" collapsed="false">
      <c r="A145" s="82"/>
      <c r="B145" s="82"/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</row>
    <row r="146" customFormat="false" ht="15.75" hidden="false" customHeight="true" outlineLevel="0" collapsed="false">
      <c r="A146" s="82"/>
      <c r="B146" s="82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</row>
    <row r="147" customFormat="false" ht="15.75" hidden="false" customHeight="true" outlineLevel="0" collapsed="false">
      <c r="A147" s="82"/>
      <c r="B147" s="82"/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2"/>
      <c r="N147" s="82"/>
      <c r="O147" s="82"/>
      <c r="P147" s="82"/>
      <c r="Q147" s="82"/>
      <c r="R147" s="82"/>
      <c r="S147" s="82"/>
      <c r="T147" s="82"/>
      <c r="U147" s="82"/>
      <c r="V147" s="82"/>
      <c r="W147" s="82"/>
      <c r="X147" s="82"/>
    </row>
    <row r="148" customFormat="false" ht="15.75" hidden="false" customHeight="true" outlineLevel="0" collapsed="false">
      <c r="A148" s="82"/>
      <c r="B148" s="82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</row>
    <row r="149" customFormat="false" ht="15.75" hidden="false" customHeight="true" outlineLevel="0" collapsed="false">
      <c r="A149" s="82"/>
      <c r="B149" s="82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  <c r="S149" s="82"/>
      <c r="T149" s="82"/>
      <c r="U149" s="82"/>
      <c r="V149" s="82"/>
      <c r="W149" s="82"/>
      <c r="X149" s="82"/>
    </row>
    <row r="150" customFormat="false" ht="15.75" hidden="false" customHeight="true" outlineLevel="0" collapsed="false">
      <c r="A150" s="82"/>
      <c r="B150" s="82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</row>
    <row r="151" customFormat="false" ht="15.75" hidden="false" customHeight="true" outlineLevel="0" collapsed="false">
      <c r="A151" s="82"/>
      <c r="B151" s="82"/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82"/>
      <c r="P151" s="82"/>
      <c r="Q151" s="82"/>
      <c r="R151" s="82"/>
      <c r="S151" s="82"/>
      <c r="T151" s="82"/>
      <c r="U151" s="82"/>
      <c r="V151" s="82"/>
      <c r="W151" s="82"/>
      <c r="X151" s="82"/>
    </row>
    <row r="152" customFormat="false" ht="15.75" hidden="false" customHeight="true" outlineLevel="0" collapsed="false">
      <c r="A152" s="82"/>
      <c r="B152" s="82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</row>
    <row r="153" customFormat="false" ht="15.75" hidden="false" customHeight="true" outlineLevel="0" collapsed="false">
      <c r="A153" s="82"/>
      <c r="B153" s="82"/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2"/>
      <c r="N153" s="82"/>
      <c r="O153" s="82"/>
      <c r="P153" s="82"/>
      <c r="Q153" s="82"/>
      <c r="R153" s="82"/>
      <c r="S153" s="82"/>
      <c r="T153" s="82"/>
      <c r="U153" s="82"/>
      <c r="V153" s="82"/>
      <c r="W153" s="82"/>
      <c r="X153" s="82"/>
    </row>
    <row r="154" customFormat="false" ht="15.75" hidden="false" customHeight="true" outlineLevel="0" collapsed="false">
      <c r="A154" s="82"/>
      <c r="B154" s="82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</row>
    <row r="155" customFormat="false" ht="15.75" hidden="false" customHeight="true" outlineLevel="0" collapsed="false">
      <c r="A155" s="82"/>
      <c r="B155" s="82"/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2"/>
      <c r="N155" s="82"/>
      <c r="O155" s="82"/>
      <c r="P155" s="82"/>
      <c r="Q155" s="82"/>
      <c r="R155" s="82"/>
      <c r="S155" s="82"/>
      <c r="T155" s="82"/>
      <c r="U155" s="82"/>
      <c r="V155" s="82"/>
      <c r="W155" s="82"/>
      <c r="X155" s="82"/>
    </row>
    <row r="156" customFormat="false" ht="15.75" hidden="false" customHeight="true" outlineLevel="0" collapsed="false">
      <c r="A156" s="82"/>
      <c r="B156" s="82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</row>
    <row r="157" customFormat="false" ht="15.75" hidden="false" customHeight="true" outlineLevel="0" collapsed="false">
      <c r="A157" s="82"/>
      <c r="B157" s="82"/>
      <c r="C157" s="82"/>
      <c r="D157" s="82"/>
      <c r="E157" s="82"/>
      <c r="F157" s="82"/>
      <c r="G157" s="82"/>
      <c r="H157" s="82"/>
      <c r="I157" s="82"/>
      <c r="J157" s="82"/>
      <c r="K157" s="82"/>
      <c r="L157" s="82"/>
      <c r="M157" s="82"/>
      <c r="N157" s="82"/>
      <c r="O157" s="82"/>
      <c r="P157" s="82"/>
      <c r="Q157" s="82"/>
      <c r="R157" s="82"/>
      <c r="S157" s="82"/>
      <c r="T157" s="82"/>
      <c r="U157" s="82"/>
      <c r="V157" s="82"/>
      <c r="W157" s="82"/>
      <c r="X157" s="82"/>
    </row>
    <row r="158" customFormat="false" ht="15.75" hidden="false" customHeight="true" outlineLevel="0" collapsed="false">
      <c r="A158" s="82"/>
      <c r="B158" s="82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2"/>
      <c r="N158" s="82"/>
      <c r="O158" s="82"/>
      <c r="P158" s="82"/>
      <c r="Q158" s="82"/>
      <c r="R158" s="82"/>
      <c r="S158" s="82"/>
      <c r="T158" s="82"/>
      <c r="U158" s="82"/>
      <c r="V158" s="82"/>
      <c r="W158" s="82"/>
      <c r="X158" s="82"/>
    </row>
    <row r="159" customFormat="false" ht="15.75" hidden="false" customHeight="true" outlineLevel="0" collapsed="false">
      <c r="A159" s="82"/>
      <c r="B159" s="82"/>
      <c r="C159" s="82"/>
      <c r="D159" s="82"/>
      <c r="E159" s="82"/>
      <c r="F159" s="82"/>
      <c r="G159" s="82"/>
      <c r="H159" s="82"/>
      <c r="I159" s="82"/>
      <c r="J159" s="82"/>
      <c r="K159" s="82"/>
      <c r="L159" s="82"/>
      <c r="M159" s="82"/>
      <c r="N159" s="82"/>
      <c r="O159" s="82"/>
      <c r="P159" s="82"/>
      <c r="Q159" s="82"/>
      <c r="R159" s="82"/>
      <c r="S159" s="82"/>
      <c r="T159" s="82"/>
      <c r="U159" s="82"/>
      <c r="V159" s="82"/>
      <c r="W159" s="82"/>
      <c r="X159" s="82"/>
    </row>
    <row r="160" customFormat="false" ht="15.75" hidden="false" customHeight="true" outlineLevel="0" collapsed="false">
      <c r="A160" s="82"/>
      <c r="B160" s="82"/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2"/>
      <c r="N160" s="82"/>
      <c r="O160" s="82"/>
      <c r="P160" s="82"/>
      <c r="Q160" s="82"/>
      <c r="R160" s="82"/>
      <c r="S160" s="82"/>
      <c r="T160" s="82"/>
      <c r="U160" s="82"/>
      <c r="V160" s="82"/>
      <c r="W160" s="82"/>
      <c r="X160" s="82"/>
    </row>
    <row r="161" customFormat="false" ht="15.75" hidden="false" customHeight="true" outlineLevel="0" collapsed="false">
      <c r="A161" s="82"/>
      <c r="B161" s="82"/>
      <c r="C161" s="82"/>
      <c r="D161" s="82"/>
      <c r="E161" s="82"/>
      <c r="F161" s="82"/>
      <c r="G161" s="82"/>
      <c r="H161" s="82"/>
      <c r="I161" s="82"/>
      <c r="J161" s="82"/>
      <c r="K161" s="82"/>
      <c r="L161" s="82"/>
      <c r="M161" s="82"/>
      <c r="N161" s="82"/>
      <c r="O161" s="82"/>
      <c r="P161" s="82"/>
      <c r="Q161" s="82"/>
      <c r="R161" s="82"/>
      <c r="S161" s="82"/>
      <c r="T161" s="82"/>
      <c r="U161" s="82"/>
      <c r="V161" s="82"/>
      <c r="W161" s="82"/>
      <c r="X161" s="82"/>
    </row>
    <row r="162" customFormat="false" ht="15.75" hidden="false" customHeight="true" outlineLevel="0" collapsed="false">
      <c r="A162" s="82"/>
      <c r="B162" s="82"/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2"/>
      <c r="N162" s="82"/>
      <c r="O162" s="82"/>
      <c r="P162" s="82"/>
      <c r="Q162" s="82"/>
      <c r="R162" s="82"/>
      <c r="S162" s="82"/>
      <c r="T162" s="82"/>
      <c r="U162" s="82"/>
      <c r="V162" s="82"/>
      <c r="W162" s="82"/>
      <c r="X162" s="82"/>
    </row>
    <row r="163" customFormat="false" ht="15.75" hidden="false" customHeight="true" outlineLevel="0" collapsed="false">
      <c r="A163" s="82"/>
      <c r="B163" s="82"/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</row>
    <row r="164" customFormat="false" ht="15.75" hidden="false" customHeight="true" outlineLevel="0" collapsed="false">
      <c r="A164" s="82"/>
      <c r="B164" s="82"/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2"/>
      <c r="N164" s="82"/>
      <c r="O164" s="82"/>
      <c r="P164" s="82"/>
      <c r="Q164" s="82"/>
      <c r="R164" s="82"/>
      <c r="S164" s="82"/>
      <c r="T164" s="82"/>
      <c r="U164" s="82"/>
      <c r="V164" s="82"/>
      <c r="W164" s="82"/>
      <c r="X164" s="82"/>
    </row>
    <row r="165" customFormat="false" ht="15.75" hidden="false" customHeight="true" outlineLevel="0" collapsed="false">
      <c r="A165" s="82"/>
      <c r="B165" s="82"/>
      <c r="C165" s="82"/>
      <c r="D165" s="82"/>
      <c r="E165" s="82"/>
      <c r="F165" s="82"/>
      <c r="G165" s="82"/>
      <c r="H165" s="82"/>
      <c r="I165" s="82"/>
      <c r="J165" s="82"/>
      <c r="K165" s="82"/>
      <c r="L165" s="82"/>
      <c r="M165" s="82"/>
      <c r="N165" s="82"/>
      <c r="O165" s="82"/>
      <c r="P165" s="82"/>
      <c r="Q165" s="82"/>
      <c r="R165" s="82"/>
      <c r="S165" s="82"/>
      <c r="T165" s="82"/>
      <c r="U165" s="82"/>
      <c r="V165" s="82"/>
      <c r="W165" s="82"/>
      <c r="X165" s="82"/>
    </row>
    <row r="166" customFormat="false" ht="15.75" hidden="false" customHeight="true" outlineLevel="0" collapsed="false">
      <c r="A166" s="82"/>
      <c r="B166" s="82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2"/>
      <c r="N166" s="82"/>
      <c r="O166" s="82"/>
      <c r="P166" s="82"/>
      <c r="Q166" s="82"/>
      <c r="R166" s="82"/>
      <c r="S166" s="82"/>
      <c r="T166" s="82"/>
      <c r="U166" s="82"/>
      <c r="V166" s="82"/>
      <c r="W166" s="82"/>
      <c r="X166" s="82"/>
    </row>
    <row r="167" customFormat="false" ht="15.75" hidden="false" customHeight="true" outlineLevel="0" collapsed="false">
      <c r="A167" s="82"/>
      <c r="B167" s="82"/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</row>
    <row r="168" customFormat="false" ht="15.75" hidden="false" customHeight="true" outlineLevel="0" collapsed="false">
      <c r="A168" s="82"/>
      <c r="B168" s="82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2"/>
      <c r="N168" s="82"/>
      <c r="O168" s="82"/>
      <c r="P168" s="82"/>
      <c r="Q168" s="82"/>
      <c r="R168" s="82"/>
      <c r="S168" s="82"/>
      <c r="T168" s="82"/>
      <c r="U168" s="82"/>
      <c r="V168" s="82"/>
      <c r="W168" s="82"/>
      <c r="X168" s="82"/>
    </row>
    <row r="169" customFormat="false" ht="15.75" hidden="false" customHeight="true" outlineLevel="0" collapsed="false">
      <c r="A169" s="82"/>
      <c r="B169" s="82"/>
      <c r="C169" s="82"/>
      <c r="D169" s="82"/>
      <c r="E169" s="82"/>
      <c r="F169" s="82"/>
      <c r="G169" s="82"/>
      <c r="H169" s="82"/>
      <c r="I169" s="82"/>
      <c r="J169" s="82"/>
      <c r="K169" s="82"/>
      <c r="L169" s="82"/>
      <c r="M169" s="82"/>
      <c r="N169" s="82"/>
      <c r="O169" s="82"/>
      <c r="P169" s="82"/>
      <c r="Q169" s="82"/>
      <c r="R169" s="82"/>
      <c r="S169" s="82"/>
      <c r="T169" s="82"/>
      <c r="U169" s="82"/>
      <c r="V169" s="82"/>
      <c r="W169" s="82"/>
      <c r="X169" s="82"/>
    </row>
    <row r="170" customFormat="false" ht="15.75" hidden="false" customHeight="true" outlineLevel="0" collapsed="false">
      <c r="A170" s="82"/>
      <c r="B170" s="82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2"/>
      <c r="O170" s="82"/>
      <c r="P170" s="82"/>
      <c r="Q170" s="82"/>
      <c r="R170" s="82"/>
      <c r="S170" s="82"/>
      <c r="T170" s="82"/>
      <c r="U170" s="82"/>
      <c r="V170" s="82"/>
      <c r="W170" s="82"/>
      <c r="X170" s="82"/>
    </row>
    <row r="171" customFormat="false" ht="15.75" hidden="false" customHeight="true" outlineLevel="0" collapsed="false">
      <c r="A171" s="82"/>
      <c r="B171" s="82"/>
      <c r="C171" s="82"/>
      <c r="D171" s="82"/>
      <c r="E171" s="82"/>
      <c r="F171" s="82"/>
      <c r="G171" s="82"/>
      <c r="H171" s="82"/>
      <c r="I171" s="82"/>
      <c r="J171" s="82"/>
      <c r="K171" s="82"/>
      <c r="L171" s="82"/>
      <c r="M171" s="82"/>
      <c r="N171" s="82"/>
      <c r="O171" s="82"/>
      <c r="P171" s="82"/>
      <c r="Q171" s="82"/>
      <c r="R171" s="82"/>
      <c r="S171" s="82"/>
      <c r="T171" s="82"/>
      <c r="U171" s="82"/>
      <c r="V171" s="82"/>
      <c r="W171" s="82"/>
      <c r="X171" s="82"/>
    </row>
    <row r="172" customFormat="false" ht="15.75" hidden="false" customHeight="true" outlineLevel="0" collapsed="false">
      <c r="A172" s="82"/>
      <c r="B172" s="82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2"/>
      <c r="N172" s="82"/>
      <c r="O172" s="82"/>
      <c r="P172" s="82"/>
      <c r="Q172" s="82"/>
      <c r="R172" s="82"/>
      <c r="S172" s="82"/>
      <c r="T172" s="82"/>
      <c r="U172" s="82"/>
      <c r="V172" s="82"/>
      <c r="W172" s="82"/>
      <c r="X172" s="82"/>
    </row>
    <row r="173" customFormat="false" ht="15.75" hidden="false" customHeight="true" outlineLevel="0" collapsed="false">
      <c r="A173" s="82"/>
      <c r="B173" s="82"/>
      <c r="C173" s="82"/>
      <c r="D173" s="82"/>
      <c r="E173" s="82"/>
      <c r="F173" s="82"/>
      <c r="G173" s="82"/>
      <c r="H173" s="82"/>
      <c r="I173" s="82"/>
      <c r="J173" s="82"/>
      <c r="K173" s="82"/>
      <c r="L173" s="82"/>
      <c r="M173" s="82"/>
      <c r="N173" s="82"/>
      <c r="O173" s="82"/>
      <c r="P173" s="82"/>
      <c r="Q173" s="82"/>
      <c r="R173" s="82"/>
      <c r="S173" s="82"/>
      <c r="T173" s="82"/>
      <c r="U173" s="82"/>
      <c r="V173" s="82"/>
      <c r="W173" s="82"/>
      <c r="X173" s="82"/>
    </row>
    <row r="174" customFormat="false" ht="15.75" hidden="false" customHeight="true" outlineLevel="0" collapsed="false">
      <c r="A174" s="82"/>
      <c r="B174" s="82"/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2"/>
      <c r="N174" s="82"/>
      <c r="O174" s="82"/>
      <c r="P174" s="82"/>
      <c r="Q174" s="82"/>
      <c r="R174" s="82"/>
      <c r="S174" s="82"/>
      <c r="T174" s="82"/>
      <c r="U174" s="82"/>
      <c r="V174" s="82"/>
      <c r="W174" s="82"/>
      <c r="X174" s="82"/>
    </row>
    <row r="175" customFormat="false" ht="15.75" hidden="false" customHeight="true" outlineLevel="0" collapsed="false">
      <c r="A175" s="82"/>
      <c r="B175" s="82"/>
      <c r="C175" s="82"/>
      <c r="D175" s="82"/>
      <c r="E175" s="82"/>
      <c r="F175" s="82"/>
      <c r="G175" s="82"/>
      <c r="H175" s="82"/>
      <c r="I175" s="82"/>
      <c r="J175" s="82"/>
      <c r="K175" s="82"/>
      <c r="L175" s="82"/>
      <c r="M175" s="82"/>
      <c r="N175" s="82"/>
      <c r="O175" s="82"/>
      <c r="P175" s="82"/>
      <c r="Q175" s="82"/>
      <c r="R175" s="82"/>
      <c r="S175" s="82"/>
      <c r="T175" s="82"/>
      <c r="U175" s="82"/>
      <c r="V175" s="82"/>
      <c r="W175" s="82"/>
      <c r="X175" s="82"/>
    </row>
    <row r="176" customFormat="false" ht="15.75" hidden="false" customHeight="true" outlineLevel="0" collapsed="false">
      <c r="A176" s="82"/>
      <c r="B176" s="82"/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</row>
    <row r="177" customFormat="false" ht="15.75" hidden="false" customHeight="true" outlineLevel="0" collapsed="false">
      <c r="A177" s="82"/>
      <c r="B177" s="82"/>
      <c r="C177" s="82"/>
      <c r="D177" s="82"/>
      <c r="E177" s="82"/>
      <c r="F177" s="82"/>
      <c r="G177" s="82"/>
      <c r="H177" s="82"/>
      <c r="I177" s="82"/>
      <c r="J177" s="82"/>
      <c r="K177" s="82"/>
      <c r="L177" s="82"/>
      <c r="M177" s="82"/>
      <c r="N177" s="82"/>
      <c r="O177" s="82"/>
      <c r="P177" s="82"/>
      <c r="Q177" s="82"/>
      <c r="R177" s="82"/>
      <c r="S177" s="82"/>
      <c r="T177" s="82"/>
      <c r="U177" s="82"/>
      <c r="V177" s="82"/>
      <c r="W177" s="82"/>
      <c r="X177" s="82"/>
    </row>
    <row r="178" customFormat="false" ht="15.75" hidden="false" customHeight="true" outlineLevel="0" collapsed="false">
      <c r="A178" s="82"/>
      <c r="B178" s="82"/>
      <c r="C178" s="82"/>
      <c r="D178" s="82"/>
      <c r="E178" s="82"/>
      <c r="F178" s="82"/>
      <c r="G178" s="82"/>
      <c r="H178" s="82"/>
      <c r="I178" s="82"/>
      <c r="J178" s="82"/>
      <c r="K178" s="82"/>
      <c r="L178" s="82"/>
      <c r="M178" s="82"/>
      <c r="N178" s="82"/>
      <c r="O178" s="82"/>
      <c r="P178" s="82"/>
      <c r="Q178" s="82"/>
      <c r="R178" s="82"/>
      <c r="S178" s="82"/>
      <c r="T178" s="82"/>
      <c r="U178" s="82"/>
      <c r="V178" s="82"/>
      <c r="W178" s="82"/>
      <c r="X178" s="82"/>
    </row>
    <row r="179" customFormat="false" ht="15.75" hidden="false" customHeight="true" outlineLevel="0" collapsed="false">
      <c r="A179" s="82"/>
      <c r="B179" s="82"/>
      <c r="C179" s="82"/>
      <c r="D179" s="82"/>
      <c r="E179" s="82"/>
      <c r="F179" s="82"/>
      <c r="G179" s="82"/>
      <c r="H179" s="82"/>
      <c r="I179" s="82"/>
      <c r="J179" s="82"/>
      <c r="K179" s="82"/>
      <c r="L179" s="82"/>
      <c r="M179" s="82"/>
      <c r="N179" s="82"/>
      <c r="O179" s="82"/>
      <c r="P179" s="82"/>
      <c r="Q179" s="82"/>
      <c r="R179" s="82"/>
      <c r="S179" s="82"/>
      <c r="T179" s="82"/>
      <c r="U179" s="82"/>
      <c r="V179" s="82"/>
      <c r="W179" s="82"/>
      <c r="X179" s="82"/>
    </row>
    <row r="180" customFormat="false" ht="15.75" hidden="false" customHeight="true" outlineLevel="0" collapsed="false">
      <c r="A180" s="82"/>
      <c r="B180" s="82"/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</row>
    <row r="181" customFormat="false" ht="15.75" hidden="false" customHeight="true" outlineLevel="0" collapsed="false">
      <c r="A181" s="82"/>
      <c r="B181" s="82"/>
      <c r="C181" s="82"/>
      <c r="D181" s="82"/>
      <c r="E181" s="82"/>
      <c r="F181" s="82"/>
      <c r="G181" s="82"/>
      <c r="H181" s="82"/>
      <c r="I181" s="82"/>
      <c r="J181" s="82"/>
      <c r="K181" s="82"/>
      <c r="L181" s="82"/>
      <c r="M181" s="82"/>
      <c r="N181" s="82"/>
      <c r="O181" s="82"/>
      <c r="P181" s="82"/>
      <c r="Q181" s="82"/>
      <c r="R181" s="82"/>
      <c r="S181" s="82"/>
      <c r="T181" s="82"/>
      <c r="U181" s="82"/>
      <c r="V181" s="82"/>
      <c r="W181" s="82"/>
      <c r="X181" s="82"/>
    </row>
    <row r="182" customFormat="false" ht="15.75" hidden="false" customHeight="true" outlineLevel="0" collapsed="false">
      <c r="A182" s="82"/>
      <c r="B182" s="82"/>
      <c r="C182" s="82"/>
      <c r="D182" s="82"/>
      <c r="E182" s="82"/>
      <c r="F182" s="82"/>
      <c r="G182" s="82"/>
      <c r="H182" s="82"/>
      <c r="I182" s="82"/>
      <c r="J182" s="82"/>
      <c r="K182" s="82"/>
      <c r="L182" s="82"/>
      <c r="M182" s="82"/>
      <c r="N182" s="82"/>
      <c r="O182" s="82"/>
      <c r="P182" s="82"/>
      <c r="Q182" s="82"/>
      <c r="R182" s="82"/>
      <c r="S182" s="82"/>
      <c r="T182" s="82"/>
      <c r="U182" s="82"/>
      <c r="V182" s="82"/>
      <c r="W182" s="82"/>
      <c r="X182" s="82"/>
    </row>
    <row r="183" customFormat="false" ht="15.75" hidden="false" customHeight="true" outlineLevel="0" collapsed="false">
      <c r="A183" s="82"/>
      <c r="B183" s="82"/>
      <c r="C183" s="82"/>
      <c r="D183" s="82"/>
      <c r="E183" s="82"/>
      <c r="F183" s="82"/>
      <c r="G183" s="82"/>
      <c r="H183" s="82"/>
      <c r="I183" s="82"/>
      <c r="J183" s="82"/>
      <c r="K183" s="82"/>
      <c r="L183" s="82"/>
      <c r="M183" s="82"/>
      <c r="N183" s="82"/>
      <c r="O183" s="82"/>
      <c r="P183" s="82"/>
      <c r="Q183" s="82"/>
      <c r="R183" s="82"/>
      <c r="S183" s="82"/>
      <c r="T183" s="82"/>
      <c r="U183" s="82"/>
      <c r="V183" s="82"/>
      <c r="W183" s="82"/>
      <c r="X183" s="82"/>
    </row>
    <row r="184" customFormat="false" ht="15.75" hidden="false" customHeight="true" outlineLevel="0" collapsed="false">
      <c r="A184" s="82"/>
      <c r="B184" s="82"/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2"/>
      <c r="N184" s="82"/>
      <c r="O184" s="82"/>
      <c r="P184" s="82"/>
      <c r="Q184" s="82"/>
      <c r="R184" s="82"/>
      <c r="S184" s="82"/>
      <c r="T184" s="82"/>
      <c r="U184" s="82"/>
      <c r="V184" s="82"/>
      <c r="W184" s="82"/>
      <c r="X184" s="82"/>
    </row>
    <row r="185" customFormat="false" ht="15.75" hidden="false" customHeight="true" outlineLevel="0" collapsed="false">
      <c r="A185" s="82"/>
      <c r="B185" s="82"/>
      <c r="C185" s="82"/>
      <c r="D185" s="82"/>
      <c r="E185" s="82"/>
      <c r="F185" s="82"/>
      <c r="G185" s="82"/>
      <c r="H185" s="82"/>
      <c r="I185" s="82"/>
      <c r="J185" s="82"/>
      <c r="K185" s="82"/>
      <c r="L185" s="82"/>
      <c r="M185" s="82"/>
      <c r="N185" s="82"/>
      <c r="O185" s="82"/>
      <c r="P185" s="82"/>
      <c r="Q185" s="82"/>
      <c r="R185" s="82"/>
      <c r="S185" s="82"/>
      <c r="T185" s="82"/>
      <c r="U185" s="82"/>
      <c r="V185" s="82"/>
      <c r="W185" s="82"/>
      <c r="X185" s="82"/>
    </row>
    <row r="186" customFormat="false" ht="15.75" hidden="false" customHeight="true" outlineLevel="0" collapsed="false">
      <c r="A186" s="82"/>
      <c r="B186" s="82"/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</row>
    <row r="187" customFormat="false" ht="15.75" hidden="false" customHeight="true" outlineLevel="0" collapsed="false">
      <c r="A187" s="82"/>
      <c r="B187" s="82"/>
      <c r="C187" s="82"/>
      <c r="D187" s="82"/>
      <c r="E187" s="82"/>
      <c r="F187" s="82"/>
      <c r="G187" s="82"/>
      <c r="H187" s="82"/>
      <c r="I187" s="82"/>
      <c r="J187" s="82"/>
      <c r="K187" s="82"/>
      <c r="L187" s="82"/>
      <c r="M187" s="82"/>
      <c r="N187" s="82"/>
      <c r="O187" s="82"/>
      <c r="P187" s="82"/>
      <c r="Q187" s="82"/>
      <c r="R187" s="82"/>
      <c r="S187" s="82"/>
      <c r="T187" s="82"/>
      <c r="U187" s="82"/>
      <c r="V187" s="82"/>
      <c r="W187" s="82"/>
      <c r="X187" s="82"/>
    </row>
    <row r="188" customFormat="false" ht="15.75" hidden="false" customHeight="true" outlineLevel="0" collapsed="false">
      <c r="A188" s="82"/>
      <c r="B188" s="82"/>
      <c r="C188" s="82"/>
      <c r="D188" s="82"/>
      <c r="E188" s="82"/>
      <c r="F188" s="82"/>
      <c r="G188" s="82"/>
      <c r="H188" s="82"/>
      <c r="I188" s="82"/>
      <c r="J188" s="82"/>
      <c r="K188" s="82"/>
      <c r="L188" s="82"/>
      <c r="M188" s="82"/>
      <c r="N188" s="82"/>
      <c r="O188" s="82"/>
      <c r="P188" s="82"/>
      <c r="Q188" s="82"/>
      <c r="R188" s="82"/>
      <c r="S188" s="82"/>
      <c r="T188" s="82"/>
      <c r="U188" s="82"/>
      <c r="V188" s="82"/>
      <c r="W188" s="82"/>
      <c r="X188" s="82"/>
    </row>
    <row r="189" customFormat="false" ht="15.75" hidden="false" customHeight="true" outlineLevel="0" collapsed="false">
      <c r="A189" s="82"/>
      <c r="B189" s="82"/>
      <c r="C189" s="82"/>
      <c r="D189" s="82"/>
      <c r="E189" s="82"/>
      <c r="F189" s="82"/>
      <c r="G189" s="82"/>
      <c r="H189" s="82"/>
      <c r="I189" s="82"/>
      <c r="J189" s="82"/>
      <c r="K189" s="82"/>
      <c r="L189" s="82"/>
      <c r="M189" s="82"/>
      <c r="N189" s="82"/>
      <c r="O189" s="82"/>
      <c r="P189" s="82"/>
      <c r="Q189" s="82"/>
      <c r="R189" s="82"/>
      <c r="S189" s="82"/>
      <c r="T189" s="82"/>
      <c r="U189" s="82"/>
      <c r="V189" s="82"/>
      <c r="W189" s="82"/>
      <c r="X189" s="82"/>
    </row>
    <row r="190" customFormat="false" ht="15.75" hidden="false" customHeight="true" outlineLevel="0" collapsed="false">
      <c r="A190" s="82"/>
      <c r="B190" s="82"/>
      <c r="C190" s="82"/>
      <c r="D190" s="82"/>
      <c r="E190" s="82"/>
      <c r="F190" s="82"/>
      <c r="G190" s="82"/>
      <c r="H190" s="82"/>
      <c r="I190" s="82"/>
      <c r="J190" s="82"/>
      <c r="K190" s="82"/>
      <c r="L190" s="82"/>
      <c r="M190" s="82"/>
      <c r="N190" s="82"/>
      <c r="O190" s="82"/>
      <c r="P190" s="82"/>
      <c r="Q190" s="82"/>
      <c r="R190" s="82"/>
      <c r="S190" s="82"/>
      <c r="T190" s="82"/>
      <c r="U190" s="82"/>
      <c r="V190" s="82"/>
      <c r="W190" s="82"/>
      <c r="X190" s="82"/>
    </row>
    <row r="191" customFormat="false" ht="15.75" hidden="false" customHeight="true" outlineLevel="0" collapsed="false">
      <c r="A191" s="82"/>
      <c r="B191" s="82"/>
      <c r="C191" s="82"/>
      <c r="D191" s="82"/>
      <c r="E191" s="82"/>
      <c r="F191" s="82"/>
      <c r="G191" s="82"/>
      <c r="H191" s="82"/>
      <c r="I191" s="82"/>
      <c r="J191" s="82"/>
      <c r="K191" s="82"/>
      <c r="L191" s="82"/>
      <c r="M191" s="82"/>
      <c r="N191" s="82"/>
      <c r="O191" s="82"/>
      <c r="P191" s="82"/>
      <c r="Q191" s="82"/>
      <c r="R191" s="82"/>
      <c r="S191" s="82"/>
      <c r="T191" s="82"/>
      <c r="U191" s="82"/>
      <c r="V191" s="82"/>
      <c r="W191" s="82"/>
      <c r="X191" s="82"/>
    </row>
    <row r="192" customFormat="false" ht="15.75" hidden="false" customHeight="true" outlineLevel="0" collapsed="false">
      <c r="A192" s="82"/>
      <c r="B192" s="82"/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</row>
    <row r="193" customFormat="false" ht="15.75" hidden="false" customHeight="true" outlineLevel="0" collapsed="false">
      <c r="A193" s="82"/>
      <c r="B193" s="82"/>
      <c r="C193" s="82"/>
      <c r="D193" s="82"/>
      <c r="E193" s="82"/>
      <c r="F193" s="82"/>
      <c r="G193" s="82"/>
      <c r="H193" s="82"/>
      <c r="I193" s="82"/>
      <c r="J193" s="82"/>
      <c r="K193" s="82"/>
      <c r="L193" s="82"/>
      <c r="M193" s="82"/>
      <c r="N193" s="82"/>
      <c r="O193" s="82"/>
      <c r="P193" s="82"/>
      <c r="Q193" s="82"/>
      <c r="R193" s="82"/>
      <c r="S193" s="82"/>
      <c r="T193" s="82"/>
      <c r="U193" s="82"/>
      <c r="V193" s="82"/>
      <c r="W193" s="82"/>
      <c r="X193" s="82"/>
    </row>
    <row r="194" customFormat="false" ht="15.75" hidden="false" customHeight="true" outlineLevel="0" collapsed="false">
      <c r="A194" s="82"/>
      <c r="B194" s="82"/>
      <c r="C194" s="82"/>
      <c r="D194" s="82"/>
      <c r="E194" s="82"/>
      <c r="F194" s="82"/>
      <c r="G194" s="82"/>
      <c r="H194" s="82"/>
      <c r="I194" s="82"/>
      <c r="J194" s="82"/>
      <c r="K194" s="82"/>
      <c r="L194" s="82"/>
      <c r="M194" s="82"/>
      <c r="N194" s="82"/>
      <c r="O194" s="82"/>
      <c r="P194" s="82"/>
      <c r="Q194" s="82"/>
      <c r="R194" s="82"/>
      <c r="S194" s="82"/>
      <c r="T194" s="82"/>
      <c r="U194" s="82"/>
      <c r="V194" s="82"/>
      <c r="W194" s="82"/>
      <c r="X194" s="82"/>
    </row>
    <row r="195" customFormat="false" ht="15.75" hidden="false" customHeight="true" outlineLevel="0" collapsed="false">
      <c r="A195" s="82"/>
      <c r="B195" s="82"/>
      <c r="C195" s="82"/>
      <c r="D195" s="82"/>
      <c r="E195" s="82"/>
      <c r="F195" s="82"/>
      <c r="G195" s="82"/>
      <c r="H195" s="82"/>
      <c r="I195" s="82"/>
      <c r="J195" s="82"/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</row>
    <row r="196" customFormat="false" ht="15.75" hidden="false" customHeight="true" outlineLevel="0" collapsed="false">
      <c r="A196" s="82"/>
      <c r="B196" s="82"/>
      <c r="C196" s="82"/>
      <c r="D196" s="82"/>
      <c r="E196" s="82"/>
      <c r="F196" s="82"/>
      <c r="G196" s="82"/>
      <c r="H196" s="82"/>
      <c r="I196" s="82"/>
      <c r="J196" s="82"/>
      <c r="K196" s="82"/>
      <c r="L196" s="82"/>
      <c r="M196" s="82"/>
      <c r="N196" s="82"/>
      <c r="O196" s="82"/>
      <c r="P196" s="82"/>
      <c r="Q196" s="82"/>
      <c r="R196" s="82"/>
      <c r="S196" s="82"/>
      <c r="T196" s="82"/>
      <c r="U196" s="82"/>
      <c r="V196" s="82"/>
      <c r="W196" s="82"/>
      <c r="X196" s="82"/>
    </row>
    <row r="197" customFormat="false" ht="15.75" hidden="false" customHeight="true" outlineLevel="0" collapsed="false">
      <c r="A197" s="82"/>
      <c r="B197" s="82"/>
      <c r="C197" s="82"/>
      <c r="D197" s="82"/>
      <c r="E197" s="82"/>
      <c r="F197" s="82"/>
      <c r="G197" s="82"/>
      <c r="H197" s="82"/>
      <c r="I197" s="82"/>
      <c r="J197" s="82"/>
      <c r="K197" s="82"/>
      <c r="L197" s="82"/>
      <c r="M197" s="82"/>
      <c r="N197" s="82"/>
      <c r="O197" s="82"/>
      <c r="P197" s="82"/>
      <c r="Q197" s="82"/>
      <c r="R197" s="82"/>
      <c r="S197" s="82"/>
      <c r="T197" s="82"/>
      <c r="U197" s="82"/>
      <c r="V197" s="82"/>
      <c r="W197" s="82"/>
      <c r="X197" s="82"/>
    </row>
    <row r="198" customFormat="false" ht="15.75" hidden="false" customHeight="true" outlineLevel="0" collapsed="false">
      <c r="A198" s="82"/>
      <c r="B198" s="82"/>
      <c r="C198" s="82"/>
      <c r="D198" s="82"/>
      <c r="E198" s="82"/>
      <c r="F198" s="82"/>
      <c r="G198" s="82"/>
      <c r="H198" s="82"/>
      <c r="I198" s="82"/>
      <c r="J198" s="82"/>
      <c r="K198" s="82"/>
      <c r="L198" s="82"/>
      <c r="M198" s="82"/>
      <c r="N198" s="82"/>
      <c r="O198" s="82"/>
      <c r="P198" s="82"/>
      <c r="Q198" s="82"/>
      <c r="R198" s="82"/>
      <c r="S198" s="82"/>
      <c r="T198" s="82"/>
      <c r="U198" s="82"/>
      <c r="V198" s="82"/>
      <c r="W198" s="82"/>
      <c r="X198" s="82"/>
    </row>
    <row r="199" customFormat="false" ht="15.75" hidden="false" customHeight="true" outlineLevel="0" collapsed="false">
      <c r="A199" s="82"/>
      <c r="B199" s="82"/>
      <c r="C199" s="82"/>
      <c r="D199" s="82"/>
      <c r="E199" s="82"/>
      <c r="F199" s="82"/>
      <c r="G199" s="82"/>
      <c r="H199" s="82"/>
      <c r="I199" s="82"/>
      <c r="J199" s="82"/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</row>
    <row r="200" customFormat="false" ht="15.75" hidden="false" customHeight="true" outlineLevel="0" collapsed="false">
      <c r="A200" s="82"/>
      <c r="B200" s="82"/>
      <c r="C200" s="82"/>
      <c r="D200" s="82"/>
      <c r="E200" s="82"/>
      <c r="F200" s="82"/>
      <c r="G200" s="82"/>
      <c r="H200" s="82"/>
      <c r="I200" s="82"/>
      <c r="J200" s="82"/>
      <c r="K200" s="82"/>
      <c r="L200" s="82"/>
      <c r="M200" s="82"/>
      <c r="N200" s="82"/>
      <c r="O200" s="82"/>
      <c r="P200" s="82"/>
      <c r="Q200" s="82"/>
      <c r="R200" s="82"/>
      <c r="S200" s="82"/>
      <c r="T200" s="82"/>
      <c r="U200" s="82"/>
      <c r="V200" s="82"/>
      <c r="W200" s="82"/>
      <c r="X200" s="82"/>
    </row>
    <row r="201" customFormat="false" ht="15.75" hidden="false" customHeight="true" outlineLevel="0" collapsed="false">
      <c r="A201" s="82"/>
      <c r="B201" s="82"/>
      <c r="C201" s="82"/>
      <c r="D201" s="82"/>
      <c r="E201" s="82"/>
      <c r="F201" s="82"/>
      <c r="G201" s="82"/>
      <c r="H201" s="82"/>
      <c r="I201" s="82"/>
      <c r="J201" s="82"/>
      <c r="K201" s="82"/>
      <c r="L201" s="82"/>
      <c r="M201" s="82"/>
      <c r="N201" s="82"/>
      <c r="O201" s="82"/>
      <c r="P201" s="82"/>
      <c r="Q201" s="82"/>
      <c r="R201" s="82"/>
      <c r="S201" s="82"/>
      <c r="T201" s="82"/>
      <c r="U201" s="82"/>
      <c r="V201" s="82"/>
      <c r="W201" s="82"/>
      <c r="X201" s="82"/>
    </row>
    <row r="202" customFormat="false" ht="15.75" hidden="false" customHeight="true" outlineLevel="0" collapsed="false">
      <c r="A202" s="82"/>
      <c r="B202" s="82"/>
      <c r="C202" s="82"/>
      <c r="D202" s="82"/>
      <c r="E202" s="82"/>
      <c r="F202" s="82"/>
      <c r="G202" s="82"/>
      <c r="H202" s="82"/>
      <c r="I202" s="82"/>
      <c r="J202" s="82"/>
      <c r="K202" s="82"/>
      <c r="L202" s="82"/>
      <c r="M202" s="82"/>
      <c r="N202" s="82"/>
      <c r="O202" s="82"/>
      <c r="P202" s="82"/>
      <c r="Q202" s="82"/>
      <c r="R202" s="82"/>
      <c r="S202" s="82"/>
      <c r="T202" s="82"/>
      <c r="U202" s="82"/>
      <c r="V202" s="82"/>
      <c r="W202" s="82"/>
      <c r="X202" s="82"/>
    </row>
    <row r="203" customFormat="false" ht="15.75" hidden="false" customHeight="true" outlineLevel="0" collapsed="false">
      <c r="A203" s="82"/>
      <c r="B203" s="82"/>
      <c r="C203" s="82"/>
      <c r="D203" s="82"/>
      <c r="E203" s="82"/>
      <c r="F203" s="82"/>
      <c r="G203" s="82"/>
      <c r="H203" s="82"/>
      <c r="I203" s="82"/>
      <c r="J203" s="82"/>
      <c r="K203" s="82"/>
      <c r="L203" s="82"/>
      <c r="M203" s="82"/>
      <c r="N203" s="82"/>
      <c r="O203" s="82"/>
      <c r="P203" s="82"/>
      <c r="Q203" s="82"/>
      <c r="R203" s="82"/>
      <c r="S203" s="82"/>
      <c r="T203" s="82"/>
      <c r="U203" s="82"/>
      <c r="V203" s="82"/>
      <c r="W203" s="82"/>
      <c r="X203" s="82"/>
    </row>
    <row r="204" customFormat="false" ht="15.75" hidden="false" customHeight="true" outlineLevel="0" collapsed="false">
      <c r="A204" s="82"/>
      <c r="B204" s="82"/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2"/>
      <c r="N204" s="82"/>
      <c r="O204" s="82"/>
      <c r="P204" s="82"/>
      <c r="Q204" s="82"/>
      <c r="R204" s="82"/>
      <c r="S204" s="82"/>
      <c r="T204" s="82"/>
      <c r="U204" s="82"/>
      <c r="V204" s="82"/>
      <c r="W204" s="82"/>
      <c r="X204" s="82"/>
    </row>
    <row r="205" customFormat="false" ht="15.75" hidden="false" customHeight="true" outlineLevel="0" collapsed="false">
      <c r="A205" s="82"/>
      <c r="B205" s="82"/>
      <c r="C205" s="82"/>
      <c r="D205" s="82"/>
      <c r="E205" s="82"/>
      <c r="F205" s="82"/>
      <c r="G205" s="82"/>
      <c r="H205" s="82"/>
      <c r="I205" s="82"/>
      <c r="J205" s="82"/>
      <c r="K205" s="82"/>
      <c r="L205" s="82"/>
      <c r="M205" s="82"/>
      <c r="N205" s="82"/>
      <c r="O205" s="82"/>
      <c r="P205" s="82"/>
      <c r="Q205" s="82"/>
      <c r="R205" s="82"/>
      <c r="S205" s="82"/>
      <c r="T205" s="82"/>
      <c r="U205" s="82"/>
      <c r="V205" s="82"/>
      <c r="W205" s="82"/>
      <c r="X205" s="82"/>
    </row>
    <row r="206" customFormat="false" ht="15.75" hidden="false" customHeight="true" outlineLevel="0" collapsed="false">
      <c r="A206" s="82"/>
      <c r="B206" s="82"/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2"/>
      <c r="N206" s="82"/>
      <c r="O206" s="82"/>
      <c r="P206" s="82"/>
      <c r="Q206" s="82"/>
      <c r="R206" s="82"/>
      <c r="S206" s="82"/>
      <c r="T206" s="82"/>
      <c r="U206" s="82"/>
      <c r="V206" s="82"/>
      <c r="W206" s="82"/>
      <c r="X206" s="82"/>
    </row>
    <row r="207" customFormat="false" ht="15.75" hidden="false" customHeight="true" outlineLevel="0" collapsed="false">
      <c r="A207" s="82"/>
      <c r="B207" s="82"/>
      <c r="C207" s="82"/>
      <c r="D207" s="82"/>
      <c r="E207" s="82"/>
      <c r="F207" s="82"/>
      <c r="G207" s="82"/>
      <c r="H207" s="82"/>
      <c r="I207" s="82"/>
      <c r="J207" s="82"/>
      <c r="K207" s="82"/>
      <c r="L207" s="82"/>
      <c r="M207" s="82"/>
      <c r="N207" s="82"/>
      <c r="O207" s="82"/>
      <c r="P207" s="82"/>
      <c r="Q207" s="82"/>
      <c r="R207" s="82"/>
      <c r="S207" s="82"/>
      <c r="T207" s="82"/>
      <c r="U207" s="82"/>
      <c r="V207" s="82"/>
      <c r="W207" s="82"/>
      <c r="X207" s="82"/>
    </row>
    <row r="208" customFormat="false" ht="15.75" hidden="false" customHeight="true" outlineLevel="0" collapsed="false">
      <c r="A208" s="82"/>
      <c r="B208" s="82"/>
      <c r="C208" s="82"/>
      <c r="D208" s="82"/>
      <c r="E208" s="82"/>
      <c r="F208" s="82"/>
      <c r="G208" s="82"/>
      <c r="H208" s="82"/>
      <c r="I208" s="82"/>
      <c r="J208" s="82"/>
      <c r="K208" s="82"/>
      <c r="L208" s="82"/>
      <c r="M208" s="82"/>
      <c r="N208" s="82"/>
      <c r="O208" s="82"/>
      <c r="P208" s="82"/>
      <c r="Q208" s="82"/>
      <c r="R208" s="82"/>
      <c r="S208" s="82"/>
      <c r="T208" s="82"/>
      <c r="U208" s="82"/>
      <c r="V208" s="82"/>
      <c r="W208" s="82"/>
      <c r="X208" s="82"/>
    </row>
    <row r="209" customFormat="false" ht="15.75" hidden="false" customHeight="true" outlineLevel="0" collapsed="false">
      <c r="A209" s="82"/>
      <c r="B209" s="82"/>
      <c r="C209" s="82"/>
      <c r="D209" s="82"/>
      <c r="E209" s="82"/>
      <c r="F209" s="82"/>
      <c r="G209" s="82"/>
      <c r="H209" s="82"/>
      <c r="I209" s="82"/>
      <c r="J209" s="82"/>
      <c r="K209" s="82"/>
      <c r="L209" s="82"/>
      <c r="M209" s="82"/>
      <c r="N209" s="82"/>
      <c r="O209" s="82"/>
      <c r="P209" s="82"/>
      <c r="Q209" s="82"/>
      <c r="R209" s="82"/>
      <c r="S209" s="82"/>
      <c r="T209" s="82"/>
      <c r="U209" s="82"/>
      <c r="V209" s="82"/>
      <c r="W209" s="82"/>
      <c r="X209" s="82"/>
    </row>
    <row r="210" customFormat="false" ht="15.75" hidden="false" customHeight="true" outlineLevel="0" collapsed="false">
      <c r="A210" s="82"/>
      <c r="B210" s="82"/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</row>
    <row r="211" customFormat="false" ht="15.75" hidden="false" customHeight="true" outlineLevel="0" collapsed="false">
      <c r="A211" s="82"/>
      <c r="B211" s="82"/>
      <c r="C211" s="82"/>
      <c r="D211" s="82"/>
      <c r="E211" s="82"/>
      <c r="F211" s="82"/>
      <c r="G211" s="82"/>
      <c r="H211" s="82"/>
      <c r="I211" s="82"/>
      <c r="J211" s="82"/>
      <c r="K211" s="82"/>
      <c r="L211" s="82"/>
      <c r="M211" s="82"/>
      <c r="N211" s="82"/>
      <c r="O211" s="82"/>
      <c r="P211" s="82"/>
      <c r="Q211" s="82"/>
      <c r="R211" s="82"/>
      <c r="S211" s="82"/>
      <c r="T211" s="82"/>
      <c r="U211" s="82"/>
      <c r="V211" s="82"/>
      <c r="W211" s="82"/>
      <c r="X211" s="82"/>
    </row>
    <row r="212" customFormat="false" ht="15.75" hidden="false" customHeight="true" outlineLevel="0" collapsed="false">
      <c r="A212" s="82"/>
      <c r="B212" s="82"/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2"/>
      <c r="N212" s="82"/>
      <c r="O212" s="82"/>
      <c r="P212" s="82"/>
      <c r="Q212" s="82"/>
      <c r="R212" s="82"/>
      <c r="S212" s="82"/>
      <c r="T212" s="82"/>
      <c r="U212" s="82"/>
      <c r="V212" s="82"/>
      <c r="W212" s="82"/>
      <c r="X212" s="82"/>
    </row>
    <row r="213" customFormat="false" ht="15.75" hidden="false" customHeight="true" outlineLevel="0" collapsed="false">
      <c r="A213" s="82"/>
      <c r="B213" s="82"/>
      <c r="C213" s="82"/>
      <c r="D213" s="82"/>
      <c r="E213" s="82"/>
      <c r="F213" s="82"/>
      <c r="G213" s="82"/>
      <c r="H213" s="82"/>
      <c r="I213" s="82"/>
      <c r="J213" s="82"/>
      <c r="K213" s="82"/>
      <c r="L213" s="82"/>
      <c r="M213" s="82"/>
      <c r="N213" s="82"/>
      <c r="O213" s="82"/>
      <c r="P213" s="82"/>
      <c r="Q213" s="82"/>
      <c r="R213" s="82"/>
      <c r="S213" s="82"/>
      <c r="T213" s="82"/>
      <c r="U213" s="82"/>
      <c r="V213" s="82"/>
      <c r="W213" s="82"/>
      <c r="X213" s="82"/>
    </row>
    <row r="214" customFormat="false" ht="15.75" hidden="false" customHeight="true" outlineLevel="0" collapsed="false">
      <c r="A214" s="82"/>
      <c r="B214" s="82"/>
      <c r="C214" s="82"/>
      <c r="D214" s="82"/>
      <c r="E214" s="82"/>
      <c r="F214" s="82"/>
      <c r="G214" s="82"/>
      <c r="H214" s="82"/>
      <c r="I214" s="82"/>
      <c r="J214" s="82"/>
      <c r="K214" s="82"/>
      <c r="L214" s="82"/>
      <c r="M214" s="82"/>
      <c r="N214" s="82"/>
      <c r="O214" s="82"/>
      <c r="P214" s="82"/>
      <c r="Q214" s="82"/>
      <c r="R214" s="82"/>
      <c r="S214" s="82"/>
      <c r="T214" s="82"/>
      <c r="U214" s="82"/>
      <c r="V214" s="82"/>
      <c r="W214" s="82"/>
      <c r="X214" s="82"/>
    </row>
    <row r="215" customFormat="false" ht="15.75" hidden="false" customHeight="true" outlineLevel="0" collapsed="false">
      <c r="A215" s="82"/>
      <c r="B215" s="82"/>
      <c r="C215" s="82"/>
      <c r="D215" s="82"/>
      <c r="E215" s="82"/>
      <c r="F215" s="82"/>
      <c r="G215" s="82"/>
      <c r="H215" s="82"/>
      <c r="I215" s="82"/>
      <c r="J215" s="82"/>
      <c r="K215" s="82"/>
      <c r="L215" s="82"/>
      <c r="M215" s="82"/>
      <c r="N215" s="82"/>
      <c r="O215" s="82"/>
      <c r="P215" s="82"/>
      <c r="Q215" s="82"/>
      <c r="R215" s="82"/>
      <c r="S215" s="82"/>
      <c r="T215" s="82"/>
      <c r="U215" s="82"/>
      <c r="V215" s="82"/>
      <c r="W215" s="82"/>
      <c r="X215" s="82"/>
    </row>
    <row r="216" customFormat="false" ht="15.75" hidden="false" customHeight="true" outlineLevel="0" collapsed="false">
      <c r="A216" s="82"/>
      <c r="B216" s="82"/>
      <c r="C216" s="82"/>
      <c r="D216" s="82"/>
      <c r="E216" s="82"/>
      <c r="F216" s="82"/>
      <c r="G216" s="82"/>
      <c r="H216" s="82"/>
      <c r="I216" s="82"/>
      <c r="J216" s="82"/>
      <c r="K216" s="82"/>
      <c r="L216" s="82"/>
      <c r="M216" s="82"/>
      <c r="N216" s="82"/>
      <c r="O216" s="82"/>
      <c r="P216" s="82"/>
      <c r="Q216" s="82"/>
      <c r="R216" s="82"/>
      <c r="S216" s="82"/>
      <c r="T216" s="82"/>
      <c r="U216" s="82"/>
      <c r="V216" s="82"/>
      <c r="W216" s="82"/>
      <c r="X216" s="82"/>
    </row>
    <row r="217" customFormat="false" ht="15.75" hidden="false" customHeight="true" outlineLevel="0" collapsed="false">
      <c r="A217" s="82"/>
      <c r="B217" s="82"/>
      <c r="C217" s="82"/>
      <c r="D217" s="82"/>
      <c r="E217" s="82"/>
      <c r="F217" s="82"/>
      <c r="G217" s="82"/>
      <c r="H217" s="82"/>
      <c r="I217" s="82"/>
      <c r="J217" s="82"/>
      <c r="K217" s="82"/>
      <c r="L217" s="82"/>
      <c r="M217" s="82"/>
      <c r="N217" s="82"/>
      <c r="O217" s="82"/>
      <c r="P217" s="82"/>
      <c r="Q217" s="82"/>
      <c r="R217" s="82"/>
      <c r="S217" s="82"/>
      <c r="T217" s="82"/>
      <c r="U217" s="82"/>
      <c r="V217" s="82"/>
      <c r="W217" s="82"/>
      <c r="X217" s="82"/>
    </row>
    <row r="218" customFormat="false" ht="15.75" hidden="false" customHeight="true" outlineLevel="0" collapsed="false">
      <c r="A218" s="82"/>
      <c r="B218" s="82"/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</row>
    <row r="219" customFormat="false" ht="15.75" hidden="false" customHeight="true" outlineLevel="0" collapsed="false">
      <c r="A219" s="82"/>
      <c r="B219" s="82"/>
      <c r="C219" s="82"/>
      <c r="D219" s="82"/>
      <c r="E219" s="82"/>
      <c r="F219" s="82"/>
      <c r="G219" s="82"/>
      <c r="H219" s="82"/>
      <c r="I219" s="82"/>
      <c r="J219" s="82"/>
      <c r="K219" s="82"/>
      <c r="L219" s="82"/>
      <c r="M219" s="82"/>
      <c r="N219" s="82"/>
      <c r="O219" s="82"/>
      <c r="P219" s="82"/>
      <c r="Q219" s="82"/>
      <c r="R219" s="82"/>
      <c r="S219" s="82"/>
      <c r="T219" s="82"/>
      <c r="U219" s="82"/>
      <c r="V219" s="82"/>
      <c r="W219" s="82"/>
      <c r="X219" s="82"/>
    </row>
    <row r="220" customFormat="false" ht="15.75" hidden="false" customHeight="true" outlineLevel="0" collapsed="false">
      <c r="A220" s="82"/>
      <c r="B220" s="82"/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V220" s="82"/>
      <c r="W220" s="82"/>
      <c r="X220" s="82"/>
    </row>
    <row r="221" customFormat="false" ht="15.75" hidden="false" customHeight="true" outlineLevel="0" collapsed="false">
      <c r="A221" s="82"/>
      <c r="B221" s="82"/>
      <c r="C221" s="82"/>
      <c r="D221" s="82"/>
      <c r="E221" s="82"/>
      <c r="F221" s="82"/>
      <c r="G221" s="82"/>
      <c r="H221" s="82"/>
      <c r="I221" s="82"/>
      <c r="J221" s="82"/>
      <c r="K221" s="82"/>
      <c r="L221" s="82"/>
      <c r="M221" s="82"/>
      <c r="N221" s="82"/>
      <c r="O221" s="82"/>
      <c r="P221" s="82"/>
      <c r="Q221" s="82"/>
      <c r="R221" s="82"/>
      <c r="S221" s="82"/>
      <c r="T221" s="82"/>
      <c r="U221" s="82"/>
      <c r="V221" s="82"/>
      <c r="W221" s="82"/>
      <c r="X221" s="82"/>
    </row>
    <row r="222" customFormat="false" ht="15.75" hidden="false" customHeight="true" outlineLevel="0" collapsed="false">
      <c r="A222" s="82"/>
      <c r="B222" s="82"/>
      <c r="C222" s="82"/>
      <c r="D222" s="82"/>
      <c r="E222" s="82"/>
      <c r="F222" s="82"/>
      <c r="G222" s="82"/>
      <c r="H222" s="82"/>
      <c r="I222" s="82"/>
      <c r="J222" s="82"/>
      <c r="K222" s="82"/>
      <c r="L222" s="82"/>
      <c r="M222" s="82"/>
      <c r="N222" s="82"/>
      <c r="O222" s="82"/>
      <c r="P222" s="82"/>
      <c r="Q222" s="82"/>
      <c r="R222" s="82"/>
      <c r="S222" s="82"/>
      <c r="T222" s="82"/>
      <c r="U222" s="82"/>
      <c r="V222" s="82"/>
      <c r="W222" s="82"/>
      <c r="X222" s="82"/>
    </row>
    <row r="223" customFormat="false" ht="15.75" hidden="false" customHeight="true" outlineLevel="0" collapsed="false">
      <c r="A223" s="82"/>
      <c r="B223" s="82"/>
      <c r="C223" s="82"/>
      <c r="D223" s="82"/>
      <c r="E223" s="82"/>
      <c r="F223" s="82"/>
      <c r="G223" s="82"/>
      <c r="H223" s="82"/>
      <c r="I223" s="82"/>
      <c r="J223" s="82"/>
      <c r="K223" s="82"/>
      <c r="L223" s="82"/>
      <c r="M223" s="82"/>
      <c r="N223" s="82"/>
      <c r="O223" s="82"/>
      <c r="P223" s="82"/>
      <c r="Q223" s="82"/>
      <c r="R223" s="82"/>
      <c r="S223" s="82"/>
      <c r="T223" s="82"/>
      <c r="U223" s="82"/>
      <c r="V223" s="82"/>
      <c r="W223" s="82"/>
      <c r="X223" s="82"/>
    </row>
    <row r="224" customFormat="false" ht="15.75" hidden="false" customHeight="true" outlineLevel="0" collapsed="false">
      <c r="A224" s="82"/>
      <c r="B224" s="82"/>
      <c r="C224" s="82"/>
      <c r="D224" s="82"/>
      <c r="E224" s="82"/>
      <c r="F224" s="82"/>
      <c r="G224" s="82"/>
      <c r="H224" s="82"/>
      <c r="I224" s="82"/>
      <c r="J224" s="82"/>
      <c r="K224" s="82"/>
      <c r="L224" s="82"/>
      <c r="M224" s="82"/>
      <c r="N224" s="82"/>
      <c r="O224" s="82"/>
      <c r="P224" s="82"/>
      <c r="Q224" s="82"/>
      <c r="R224" s="82"/>
      <c r="S224" s="82"/>
      <c r="T224" s="82"/>
      <c r="U224" s="82"/>
      <c r="V224" s="82"/>
      <c r="W224" s="82"/>
      <c r="X224" s="82"/>
    </row>
    <row r="225" customFormat="false" ht="15.75" hidden="false" customHeight="true" outlineLevel="0" collapsed="false">
      <c r="A225" s="82"/>
      <c r="B225" s="82"/>
      <c r="C225" s="82"/>
      <c r="D225" s="82"/>
      <c r="E225" s="82"/>
      <c r="F225" s="82"/>
      <c r="G225" s="82"/>
      <c r="H225" s="82"/>
      <c r="I225" s="82"/>
      <c r="J225" s="82"/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</row>
    <row r="226" customFormat="false" ht="15.75" hidden="false" customHeight="true" outlineLevel="0" collapsed="false">
      <c r="A226" s="82"/>
      <c r="B226" s="82"/>
      <c r="C226" s="82"/>
      <c r="D226" s="82"/>
      <c r="E226" s="82"/>
      <c r="F226" s="82"/>
      <c r="G226" s="82"/>
      <c r="H226" s="82"/>
      <c r="I226" s="82"/>
      <c r="J226" s="82"/>
      <c r="K226" s="82"/>
      <c r="L226" s="82"/>
      <c r="M226" s="82"/>
      <c r="N226" s="82"/>
      <c r="O226" s="82"/>
      <c r="P226" s="82"/>
      <c r="Q226" s="82"/>
      <c r="R226" s="82"/>
      <c r="S226" s="82"/>
      <c r="T226" s="82"/>
      <c r="U226" s="82"/>
      <c r="V226" s="82"/>
      <c r="W226" s="82"/>
      <c r="X226" s="82"/>
    </row>
    <row r="227" customFormat="false" ht="15.75" hidden="false" customHeight="true" outlineLevel="0" collapsed="false">
      <c r="A227" s="82"/>
      <c r="B227" s="82"/>
      <c r="C227" s="82"/>
      <c r="D227" s="82"/>
      <c r="E227" s="82"/>
      <c r="F227" s="82"/>
      <c r="G227" s="82"/>
      <c r="H227" s="82"/>
      <c r="I227" s="82"/>
      <c r="J227" s="82"/>
      <c r="K227" s="82"/>
      <c r="L227" s="82"/>
      <c r="M227" s="82"/>
      <c r="N227" s="82"/>
      <c r="O227" s="82"/>
      <c r="P227" s="82"/>
      <c r="Q227" s="82"/>
      <c r="R227" s="82"/>
      <c r="S227" s="82"/>
      <c r="T227" s="82"/>
      <c r="U227" s="82"/>
      <c r="V227" s="82"/>
      <c r="W227" s="82"/>
      <c r="X227" s="82"/>
    </row>
    <row r="228" customFormat="false" ht="15.75" hidden="false" customHeight="true" outlineLevel="0" collapsed="false">
      <c r="A228" s="82"/>
      <c r="B228" s="82"/>
      <c r="C228" s="82"/>
      <c r="D228" s="82"/>
      <c r="E228" s="82"/>
      <c r="F228" s="82"/>
      <c r="G228" s="82"/>
      <c r="H228" s="82"/>
      <c r="I228" s="82"/>
      <c r="J228" s="82"/>
      <c r="K228" s="82"/>
      <c r="L228" s="82"/>
      <c r="M228" s="82"/>
      <c r="N228" s="82"/>
      <c r="O228" s="82"/>
      <c r="P228" s="82"/>
      <c r="Q228" s="82"/>
      <c r="R228" s="82"/>
      <c r="S228" s="82"/>
      <c r="T228" s="82"/>
      <c r="U228" s="82"/>
      <c r="V228" s="82"/>
      <c r="W228" s="82"/>
      <c r="X228" s="82"/>
    </row>
    <row r="229" customFormat="false" ht="15.75" hidden="false" customHeight="true" outlineLevel="0" collapsed="false">
      <c r="A229" s="82"/>
      <c r="B229" s="82"/>
      <c r="C229" s="82"/>
      <c r="D229" s="82"/>
      <c r="E229" s="82"/>
      <c r="F229" s="82"/>
      <c r="G229" s="82"/>
      <c r="H229" s="82"/>
      <c r="I229" s="82"/>
      <c r="J229" s="82"/>
      <c r="K229" s="82"/>
      <c r="L229" s="82"/>
      <c r="M229" s="82"/>
      <c r="N229" s="82"/>
      <c r="O229" s="82"/>
      <c r="P229" s="82"/>
      <c r="Q229" s="82"/>
      <c r="R229" s="82"/>
      <c r="S229" s="82"/>
      <c r="T229" s="82"/>
      <c r="U229" s="82"/>
      <c r="V229" s="82"/>
      <c r="W229" s="82"/>
      <c r="X229" s="82"/>
    </row>
    <row r="230" customFormat="false" ht="15.75" hidden="false" customHeight="true" outlineLevel="0" collapsed="false">
      <c r="A230" s="82"/>
      <c r="B230" s="82"/>
      <c r="C230" s="82"/>
      <c r="D230" s="82"/>
      <c r="E230" s="82"/>
      <c r="F230" s="82"/>
      <c r="G230" s="82"/>
      <c r="H230" s="82"/>
      <c r="I230" s="82"/>
      <c r="J230" s="82"/>
      <c r="K230" s="82"/>
      <c r="L230" s="82"/>
      <c r="M230" s="82"/>
      <c r="N230" s="82"/>
      <c r="O230" s="82"/>
      <c r="P230" s="82"/>
      <c r="Q230" s="82"/>
      <c r="R230" s="82"/>
      <c r="S230" s="82"/>
      <c r="T230" s="82"/>
      <c r="U230" s="82"/>
      <c r="V230" s="82"/>
      <c r="W230" s="82"/>
      <c r="X230" s="82"/>
    </row>
    <row r="231" customFormat="false" ht="15.75" hidden="false" customHeight="true" outlineLevel="0" collapsed="false">
      <c r="A231" s="82"/>
      <c r="B231" s="82"/>
      <c r="C231" s="82"/>
      <c r="D231" s="82"/>
      <c r="E231" s="82"/>
      <c r="F231" s="82"/>
      <c r="G231" s="82"/>
      <c r="H231" s="82"/>
      <c r="I231" s="82"/>
      <c r="J231" s="82"/>
      <c r="K231" s="82"/>
      <c r="L231" s="82"/>
      <c r="M231" s="82"/>
      <c r="N231" s="82"/>
      <c r="O231" s="82"/>
      <c r="P231" s="82"/>
      <c r="Q231" s="82"/>
      <c r="R231" s="82"/>
      <c r="S231" s="82"/>
      <c r="T231" s="82"/>
      <c r="U231" s="82"/>
      <c r="V231" s="82"/>
      <c r="W231" s="82"/>
      <c r="X231" s="82"/>
    </row>
    <row r="232" customFormat="false" ht="15.75" hidden="false" customHeight="true" outlineLevel="0" collapsed="false">
      <c r="A232" s="82"/>
      <c r="B232" s="82"/>
      <c r="C232" s="82"/>
      <c r="D232" s="82"/>
      <c r="E232" s="82"/>
      <c r="F232" s="82"/>
      <c r="G232" s="82"/>
      <c r="H232" s="82"/>
      <c r="I232" s="82"/>
      <c r="J232" s="82"/>
      <c r="K232" s="82"/>
      <c r="L232" s="82"/>
      <c r="M232" s="82"/>
      <c r="N232" s="82"/>
      <c r="O232" s="82"/>
      <c r="P232" s="82"/>
      <c r="Q232" s="82"/>
      <c r="R232" s="82"/>
      <c r="S232" s="82"/>
      <c r="T232" s="82"/>
      <c r="U232" s="82"/>
      <c r="V232" s="82"/>
      <c r="W232" s="82"/>
      <c r="X232" s="82"/>
    </row>
    <row r="233" customFormat="false" ht="15.75" hidden="false" customHeight="true" outlineLevel="0" collapsed="false">
      <c r="A233" s="82"/>
      <c r="B233" s="82"/>
      <c r="C233" s="82"/>
      <c r="D233" s="82"/>
      <c r="E233" s="82"/>
      <c r="F233" s="82"/>
      <c r="G233" s="82"/>
      <c r="H233" s="82"/>
      <c r="I233" s="82"/>
      <c r="J233" s="82"/>
      <c r="K233" s="82"/>
      <c r="L233" s="82"/>
      <c r="M233" s="82"/>
      <c r="N233" s="82"/>
      <c r="O233" s="82"/>
      <c r="P233" s="82"/>
      <c r="Q233" s="82"/>
      <c r="R233" s="82"/>
      <c r="S233" s="82"/>
      <c r="T233" s="82"/>
      <c r="U233" s="82"/>
      <c r="V233" s="82"/>
      <c r="W233" s="82"/>
      <c r="X233" s="82"/>
    </row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</sheetData>
  <mergeCells count="6">
    <mergeCell ref="B1:F1"/>
    <mergeCell ref="G1:K1"/>
    <mergeCell ref="B11:F11"/>
    <mergeCell ref="G11:K11"/>
    <mergeCell ref="B18:F18"/>
    <mergeCell ref="G18:K18"/>
  </mergeCells>
  <conditionalFormatting sqref="K1:K38 K43:K1048576">
    <cfRule type="colorScale" priority="2">
      <colorScale>
        <cfvo type="min" val="0"/>
        <cfvo type="percentile" val="50"/>
        <cfvo type="max" val="0"/>
        <color rgb="FFF8696B"/>
        <color rgb="FFFCFCFF"/>
        <color rgb="FF5A8AC6"/>
      </colorScale>
    </cfRule>
  </conditionalFormatting>
  <conditionalFormatting sqref="F1:F38 F43:F1048576">
    <cfRule type="colorScale" priority="3">
      <colorScale>
        <cfvo type="min" val="0"/>
        <cfvo type="percentile" val="50"/>
        <cfvo type="max" val="0"/>
        <color rgb="FFF8696B"/>
        <color rgb="FFFCFCFF"/>
        <color rgb="FF5A8AC6"/>
      </colorScale>
    </cfRule>
  </conditionalFormatting>
  <conditionalFormatting sqref="F3:F10 F13:F17 F20:F42 K3:K10 K13:K17 K20:K42">
    <cfRule type="cellIs" priority="4" operator="greaterThanOrEqual" aboveAverage="0" equalAverage="0" bottom="0" percent="0" rank="0" text="" dxfId="18">
      <formula>0</formula>
    </cfRule>
    <cfRule type="cellIs" priority="5" operator="lessThan" aboveAverage="0" equalAverage="0" bottom="0" percent="0" rank="0" text="" dxfId="48">
      <formula>0</formula>
    </cfRule>
  </conditionalFormatting>
  <conditionalFormatting sqref="D3:E10 D13:E17 D20:E42 I3:J10 I13:J17 I20:J42">
    <cfRule type="cellIs" priority="6" operator="greaterThanOrEqual" aboveAverage="0" equalAverage="0" bottom="0" percent="0" rank="0" text="" dxfId="18">
      <formula>60</formula>
    </cfRule>
    <cfRule type="cellIs" priority="7" operator="lessThanOrEqual" aboveAverage="0" equalAverage="0" bottom="0" percent="0" rank="0" text="" dxfId="48">
      <formula>-60</formula>
    </cfRule>
  </conditionalFormatting>
  <conditionalFormatting sqref="K39:K42">
    <cfRule type="colorScale" priority="8">
      <colorScale>
        <cfvo type="min" val="0"/>
        <cfvo type="percentile" val="50"/>
        <cfvo type="max" val="0"/>
        <color rgb="FFF8696B"/>
        <color rgb="FFFCFCFF"/>
        <color rgb="FF5A8AC6"/>
      </colorScale>
    </cfRule>
  </conditionalFormatting>
  <conditionalFormatting sqref="F39:F42">
    <cfRule type="colorScale" priority="9">
      <colorScale>
        <cfvo type="min" val="0"/>
        <cfvo type="percentile" val="50"/>
        <cfvo type="max" val="0"/>
        <color rgb="FFF8696B"/>
        <color rgb="FFFCFCFF"/>
        <color rgb="FF5A8AC6"/>
      </colorScale>
    </cfRule>
  </conditionalFormatting>
  <printOptions headings="false" gridLines="true" gridLinesSet="true" horizontalCentered="true" verticalCentered="false"/>
  <pageMargins left="0" right="0" top="0.196527777777778" bottom="0.236111111111111" header="0.511811023622047" footer="0.511811023622047"/>
  <pageSetup paperSize="1" scale="100" fitToWidth="1" fitToHeight="0" pageOrder="overThenDown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true"/>
  </sheetPr>
  <dimension ref="A1:X155"/>
  <sheetViews>
    <sheetView showFormulas="false" showGridLines="true" showRowColHeaders="true" showZeros="true" rightToLeft="false" tabSelected="false" showOutlineSymbols="true" defaultGridColor="true" view="normal" topLeftCell="A7" colorId="64" zoomScale="65" zoomScaleNormal="65" zoomScalePageLayoutView="100" workbookViewId="0">
      <selection pane="topLeft" activeCell="B53" activeCellId="0" sqref="B53"/>
    </sheetView>
  </sheetViews>
  <sheetFormatPr defaultColWidth="12.66796875" defaultRowHeight="12.75" customHeight="true" zeroHeight="false" outlineLevelRow="0" outlineLevelCol="0"/>
  <cols>
    <col collapsed="false" customWidth="true" hidden="false" outlineLevel="0" max="1" min="1" style="34" width="24.67"/>
    <col collapsed="false" customWidth="true" hidden="false" outlineLevel="0" max="2" min="2" style="34" width="11.44"/>
    <col collapsed="false" customWidth="true" hidden="false" outlineLevel="0" max="3" min="3" style="34" width="15.33"/>
    <col collapsed="false" customWidth="true" hidden="false" outlineLevel="0" max="5" min="4" style="34" width="20.44"/>
    <col collapsed="false" customWidth="true" hidden="false" outlineLevel="0" max="11" min="11" style="34" width="15.66"/>
    <col collapsed="false" customWidth="true" hidden="false" outlineLevel="0" max="17" min="17" style="34" width="20.03"/>
    <col collapsed="false" customWidth="true" hidden="false" outlineLevel="0" max="24" min="23" style="34" width="15.77"/>
  </cols>
  <sheetData>
    <row r="1" customFormat="false" ht="15.75" hidden="false" customHeight="true" outlineLevel="0" collapsed="false">
      <c r="A1" s="100" t="s">
        <v>625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</row>
    <row r="2" customFormat="false" ht="15.75" hidden="false" customHeight="true" outlineLevel="0" collapsed="false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</row>
    <row r="3" customFormat="false" ht="15.75" hidden="false" customHeight="true" outlineLevel="0" collapsed="false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</row>
    <row r="4" customFormat="false" ht="15.75" hidden="false" customHeight="true" outlineLevel="0" collapsed="false">
      <c r="A4" s="102" t="s">
        <v>32</v>
      </c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</row>
    <row r="5" customFormat="false" ht="15.75" hidden="false" customHeight="true" outlineLevel="0" collapsed="false">
      <c r="A5" s="103" t="s">
        <v>0</v>
      </c>
      <c r="B5" s="104" t="s">
        <v>552</v>
      </c>
      <c r="C5" s="104" t="s">
        <v>553</v>
      </c>
      <c r="D5" s="105" t="s">
        <v>554</v>
      </c>
      <c r="E5" s="104" t="s">
        <v>555</v>
      </c>
      <c r="F5" s="104" t="s">
        <v>556</v>
      </c>
      <c r="G5" s="104" t="s">
        <v>557</v>
      </c>
      <c r="H5" s="104" t="s">
        <v>626</v>
      </c>
      <c r="I5" s="104" t="s">
        <v>559</v>
      </c>
      <c r="J5" s="104" t="s">
        <v>560</v>
      </c>
      <c r="K5" s="104" t="s">
        <v>627</v>
      </c>
      <c r="L5" s="104" t="s">
        <v>562</v>
      </c>
      <c r="M5" s="104" t="s">
        <v>563</v>
      </c>
      <c r="N5" s="104" t="s">
        <v>564</v>
      </c>
      <c r="O5" s="104" t="s">
        <v>565</v>
      </c>
      <c r="P5" s="104" t="s">
        <v>566</v>
      </c>
      <c r="Q5" s="104" t="s">
        <v>628</v>
      </c>
      <c r="R5" s="104" t="s">
        <v>568</v>
      </c>
      <c r="S5" s="104" t="s">
        <v>629</v>
      </c>
      <c r="T5" s="104" t="s">
        <v>630</v>
      </c>
      <c r="U5" s="104" t="s">
        <v>571</v>
      </c>
      <c r="V5" s="104" t="s">
        <v>572</v>
      </c>
      <c r="W5" s="104" t="s">
        <v>573</v>
      </c>
      <c r="X5" s="104" t="s">
        <v>631</v>
      </c>
    </row>
    <row r="6" customFormat="false" ht="15.75" hidden="false" customHeight="true" outlineLevel="0" collapsed="false">
      <c r="A6" s="106" t="n">
        <v>45845</v>
      </c>
      <c r="B6" s="107" t="n">
        <v>3.81533333333333</v>
      </c>
      <c r="C6" s="107" t="n">
        <v>-2.99833333333333</v>
      </c>
      <c r="D6" s="107" t="n">
        <v>7.05311111111111</v>
      </c>
      <c r="E6" s="107" t="n">
        <v>-20.8935714285714</v>
      </c>
      <c r="F6" s="107" t="n">
        <v>76.6117777777778</v>
      </c>
      <c r="G6" s="107" t="n">
        <v>-17.546</v>
      </c>
      <c r="H6" s="107" t="n">
        <v>-8.404</v>
      </c>
      <c r="I6" s="107" t="n">
        <v>-59.1742222222222</v>
      </c>
      <c r="J6" s="107" t="n">
        <v>39.9317777777778</v>
      </c>
      <c r="K6" s="107" t="n">
        <v>31.3098611111111</v>
      </c>
      <c r="L6" s="107" t="n">
        <v>-29.5934444444444</v>
      </c>
      <c r="M6" s="107" t="n">
        <v>-26.62</v>
      </c>
      <c r="N6" s="107" t="n">
        <v>0.4775</v>
      </c>
      <c r="O6" s="107" t="n">
        <v>-2.199</v>
      </c>
      <c r="P6" s="107" t="n">
        <v>-16.5353333333333</v>
      </c>
      <c r="Q6" s="107" t="n">
        <v>-24.5267888888889</v>
      </c>
      <c r="R6" s="107" t="n">
        <v>-10.6468333333333</v>
      </c>
      <c r="S6" s="107" t="n">
        <v>7.9267816091954</v>
      </c>
      <c r="T6" s="107" t="n">
        <v>11.6144166666667</v>
      </c>
      <c r="U6" s="107" t="n">
        <v>-28.8272222222222</v>
      </c>
      <c r="V6" s="107" t="n">
        <v>-38.7546666666667</v>
      </c>
      <c r="W6" s="107"/>
      <c r="X6" s="107"/>
    </row>
    <row r="7" customFormat="false" ht="15.75" hidden="false" customHeight="true" outlineLevel="0" collapsed="false">
      <c r="A7" s="106" t="n">
        <v>45846</v>
      </c>
      <c r="B7" s="107" t="n">
        <v>-22.5826666666667</v>
      </c>
      <c r="C7" s="107" t="n">
        <v>-5.82527777777778</v>
      </c>
      <c r="D7" s="107" t="n">
        <v>-10.4082222222222</v>
      </c>
      <c r="E7" s="107" t="n">
        <v>15.6021428571429</v>
      </c>
      <c r="F7" s="107" t="n">
        <v>41.74</v>
      </c>
      <c r="G7" s="107" t="n">
        <v>-5.099</v>
      </c>
      <c r="H7" s="107" t="n">
        <v>29.456</v>
      </c>
      <c r="I7" s="107" t="n">
        <v>-39.4055555555556</v>
      </c>
      <c r="J7" s="107" t="n">
        <v>15.7951333333333</v>
      </c>
      <c r="K7" s="107" t="n">
        <v>-29.7075</v>
      </c>
      <c r="L7" s="107" t="n">
        <v>-8.77055555555556</v>
      </c>
      <c r="M7" s="107" t="n">
        <v>-24.9443333333333</v>
      </c>
      <c r="N7" s="107" t="n">
        <v>-44.8944444444444</v>
      </c>
      <c r="O7" s="107" t="n">
        <v>10.36</v>
      </c>
      <c r="P7" s="107" t="n">
        <v>-14.933</v>
      </c>
      <c r="Q7" s="107" t="n">
        <v>-32.924</v>
      </c>
      <c r="R7" s="107" t="n">
        <v>16.0773333333333</v>
      </c>
      <c r="S7" s="107" t="n">
        <v>11.0590804597701</v>
      </c>
      <c r="T7" s="107" t="n">
        <v>13.0213416666667</v>
      </c>
      <c r="U7" s="107" t="n">
        <v>-28.9883333333333</v>
      </c>
      <c r="V7" s="107" t="n">
        <v>-60.799</v>
      </c>
      <c r="W7" s="107" t="n">
        <v>-17.1935714285714</v>
      </c>
      <c r="X7" s="107"/>
    </row>
    <row r="8" customFormat="false" ht="15.75" hidden="false" customHeight="true" outlineLevel="0" collapsed="false">
      <c r="A8" s="106" t="n">
        <v>45847</v>
      </c>
      <c r="B8" s="107" t="n">
        <v>17.3728888888889</v>
      </c>
      <c r="C8" s="107" t="n">
        <v>-4.82277777777778</v>
      </c>
      <c r="D8" s="107" t="n">
        <v>20.9804444444444</v>
      </c>
      <c r="E8" s="107" t="n">
        <v>31.7445238095238</v>
      </c>
      <c r="F8" s="107" t="n">
        <v>47.6104444444445</v>
      </c>
      <c r="G8" s="107" t="n">
        <v>-77.0946666666667</v>
      </c>
      <c r="H8" s="107" t="n">
        <v>12.8666666666667</v>
      </c>
      <c r="I8" s="107" t="n">
        <v>-81.764</v>
      </c>
      <c r="J8" s="107" t="n">
        <v>-15.97</v>
      </c>
      <c r="K8" s="107" t="n">
        <v>-20.6658333333333</v>
      </c>
      <c r="L8" s="107" t="n">
        <v>51.6708333333333</v>
      </c>
      <c r="M8" s="107" t="n">
        <v>-20.8593333333333</v>
      </c>
      <c r="N8" s="107" t="n">
        <v>-27.3391666666667</v>
      </c>
      <c r="O8" s="107" t="n">
        <v>-27.1313333333333</v>
      </c>
      <c r="P8" s="107" t="n">
        <v>-3.97911666666667</v>
      </c>
      <c r="Q8" s="107" t="n">
        <v>-14.8462222222222</v>
      </c>
      <c r="R8" s="107" t="n">
        <v>15.8131666666667</v>
      </c>
      <c r="S8" s="107" t="n">
        <v>13.1589655172414</v>
      </c>
      <c r="T8" s="107" t="n">
        <v>9.46175</v>
      </c>
      <c r="U8" s="107" t="n">
        <v>21.4915</v>
      </c>
      <c r="V8" s="107" t="n">
        <v>-9.72666666666666</v>
      </c>
      <c r="W8" s="107" t="n">
        <v>10.2545238095238</v>
      </c>
      <c r="X8" s="107"/>
    </row>
    <row r="9" customFormat="false" ht="15.75" hidden="false" customHeight="true" outlineLevel="0" collapsed="false">
      <c r="A9" s="106" t="n">
        <v>45848</v>
      </c>
      <c r="B9" s="107" t="n">
        <v>4.83088888888889</v>
      </c>
      <c r="C9" s="107" t="n">
        <v>-31.8311111111111</v>
      </c>
      <c r="D9" s="107" t="n">
        <v>22.9306666666667</v>
      </c>
      <c r="E9" s="107" t="n">
        <v>32.2977857142857</v>
      </c>
      <c r="F9" s="107" t="n">
        <v>24.3171111111111</v>
      </c>
      <c r="G9" s="107" t="n">
        <v>-100.713333333333</v>
      </c>
      <c r="H9" s="107" t="n">
        <v>-59.1833333333334</v>
      </c>
      <c r="I9" s="107" t="n">
        <v>-21.4371111111111</v>
      </c>
      <c r="J9" s="107" t="n">
        <v>-49.1430888888889</v>
      </c>
      <c r="K9" s="107" t="n">
        <v>-48.8245833333333</v>
      </c>
      <c r="L9" s="107" t="n">
        <v>3.06722222222222</v>
      </c>
      <c r="M9" s="107" t="n">
        <v>-24.472</v>
      </c>
      <c r="N9" s="107" t="n">
        <v>-70.1063888888889</v>
      </c>
      <c r="O9" s="107" t="n">
        <v>-7.10433333333333</v>
      </c>
      <c r="P9" s="107" t="n">
        <v>-27.6963333333333</v>
      </c>
      <c r="Q9" s="107" t="n">
        <v>-16.6119222222222</v>
      </c>
      <c r="R9" s="107" t="n">
        <v>-7.46981666666667</v>
      </c>
      <c r="S9" s="107" t="n">
        <v>-8.14758620689655</v>
      </c>
      <c r="T9" s="107" t="n">
        <v>-14.1396583333333</v>
      </c>
      <c r="U9" s="107" t="n">
        <v>-67.9044444444445</v>
      </c>
      <c r="V9" s="107" t="n">
        <v>-10.5893333333333</v>
      </c>
      <c r="W9" s="107" t="n">
        <v>41.5957142857143</v>
      </c>
      <c r="X9" s="107"/>
    </row>
    <row r="10" customFormat="false" ht="15.75" hidden="false" customHeight="true" outlineLevel="0" collapsed="false">
      <c r="A10" s="106" t="n">
        <v>45849</v>
      </c>
      <c r="B10" s="107" t="n">
        <v>-68.2511111111111</v>
      </c>
      <c r="C10" s="107" t="n">
        <v>-54.9044444444444</v>
      </c>
      <c r="D10" s="107" t="n">
        <v>-22.3151111111111</v>
      </c>
      <c r="E10" s="107" t="n">
        <v>-42.7104761904762</v>
      </c>
      <c r="F10" s="107" t="n">
        <v>-11.3351111111111</v>
      </c>
      <c r="G10" s="107" t="n">
        <v>-120.167333333333</v>
      </c>
      <c r="H10" s="107" t="n">
        <v>-36.604</v>
      </c>
      <c r="I10" s="107" t="n">
        <v>-37.8946666666667</v>
      </c>
      <c r="J10" s="107" t="n">
        <v>-74.9426666666667</v>
      </c>
      <c r="K10" s="107" t="n">
        <v>-26.3777777777778</v>
      </c>
      <c r="L10" s="107" t="n">
        <v>3.61972222222222</v>
      </c>
      <c r="M10" s="107" t="n">
        <v>-31.3993333333333</v>
      </c>
      <c r="N10" s="107" t="n">
        <v>-101.377222222222</v>
      </c>
      <c r="O10" s="107" t="n">
        <v>-28.8256666666667</v>
      </c>
      <c r="P10" s="107" t="n">
        <v>-53.1708333333333</v>
      </c>
      <c r="Q10" s="107" t="n">
        <v>-57.3784444444445</v>
      </c>
      <c r="R10" s="107" t="n">
        <v>-39.1078333333333</v>
      </c>
      <c r="S10" s="107" t="n">
        <v>-26.5785057471264</v>
      </c>
      <c r="T10" s="107" t="n">
        <v>-49.6367916666667</v>
      </c>
      <c r="U10" s="107" t="n">
        <v>-110.523333333333</v>
      </c>
      <c r="V10" s="107" t="n">
        <v>-93.0223333333333</v>
      </c>
      <c r="W10" s="107" t="n">
        <v>-12.4314285714286</v>
      </c>
      <c r="X10" s="107"/>
    </row>
    <row r="11" customFormat="false" ht="15.75" hidden="false" customHeight="true" outlineLevel="0" collapsed="false">
      <c r="A11" s="106" t="n">
        <v>45852</v>
      </c>
      <c r="B11" s="107" t="n">
        <v>-38.5733333333333</v>
      </c>
      <c r="C11" s="107" t="n">
        <v>-20.6730555555556</v>
      </c>
      <c r="D11" s="107" t="n">
        <v>14.2035555555556</v>
      </c>
      <c r="E11" s="107" t="n">
        <v>-26.4119047619048</v>
      </c>
      <c r="F11" s="107" t="n">
        <v>-15.9888444444444</v>
      </c>
      <c r="G11" s="107" t="n">
        <v>-102.644333333333</v>
      </c>
      <c r="H11" s="107" t="n">
        <v>-15.238</v>
      </c>
      <c r="I11" s="107" t="n">
        <v>-28.0396666666667</v>
      </c>
      <c r="J11" s="107" t="n">
        <v>-52.1037777777778</v>
      </c>
      <c r="K11" s="107" t="n">
        <v>17.2554722222222</v>
      </c>
      <c r="L11" s="107" t="n">
        <v>-11.6815555555556</v>
      </c>
      <c r="M11" s="107" t="n">
        <v>-20.6536666666667</v>
      </c>
      <c r="N11" s="107" t="n">
        <v>-28.0736111111111</v>
      </c>
      <c r="O11" s="107" t="n">
        <v>15.29</v>
      </c>
      <c r="P11" s="107" t="n">
        <v>-29.5068333333333</v>
      </c>
      <c r="Q11" s="107" t="n">
        <v>-4.94388888888889</v>
      </c>
      <c r="R11" s="107" t="n">
        <v>-29.1373333333333</v>
      </c>
      <c r="S11" s="107" t="n">
        <v>-10.9835172413793</v>
      </c>
      <c r="T11" s="107" t="n">
        <v>-24.838</v>
      </c>
      <c r="U11" s="107" t="n">
        <v>-103.723888888889</v>
      </c>
      <c r="V11" s="107" t="n">
        <v>-62.7386666666667</v>
      </c>
      <c r="W11" s="107" t="n">
        <v>2.69809523809524</v>
      </c>
      <c r="X11" s="107" t="n">
        <v>-26.8316666666667</v>
      </c>
    </row>
    <row r="12" customFormat="false" ht="15.75" hidden="false" customHeight="true" outlineLevel="0" collapsed="false">
      <c r="A12" s="106" t="n">
        <v>45853</v>
      </c>
      <c r="B12" s="107" t="n">
        <v>47.1757777777778</v>
      </c>
      <c r="C12" s="107" t="n">
        <v>29.0780555555556</v>
      </c>
      <c r="D12" s="107" t="n">
        <v>52.7433333333333</v>
      </c>
      <c r="E12" s="107" t="n">
        <v>12.2907142857143</v>
      </c>
      <c r="F12" s="107" t="n">
        <v>38.3699555555556</v>
      </c>
      <c r="G12" s="107" t="n">
        <v>-23.331</v>
      </c>
      <c r="H12" s="107" t="n">
        <v>-10.104</v>
      </c>
      <c r="I12" s="107" t="n">
        <v>-20.0762222222222</v>
      </c>
      <c r="J12" s="107" t="n">
        <v>7.68022222222222</v>
      </c>
      <c r="K12" s="107" t="n">
        <v>64.6633333333333</v>
      </c>
      <c r="L12" s="107" t="n">
        <v>16.3245454545455</v>
      </c>
      <c r="M12" s="107" t="n">
        <v>23.1766666666667</v>
      </c>
      <c r="N12" s="107" t="n">
        <v>45.7497222222222</v>
      </c>
      <c r="O12" s="107" t="n">
        <v>66.6063333333333</v>
      </c>
      <c r="P12" s="107" t="n">
        <v>46.7323333333333</v>
      </c>
      <c r="Q12" s="107" t="n">
        <v>23.4777777777778</v>
      </c>
      <c r="R12" s="107" t="n">
        <v>12.4633333333333</v>
      </c>
      <c r="S12" s="107" t="n">
        <v>38.010091954023</v>
      </c>
      <c r="T12" s="107" t="n">
        <v>15.6805833333333</v>
      </c>
      <c r="U12" s="107" t="n">
        <v>-56.4205555555556</v>
      </c>
      <c r="V12" s="107" t="n">
        <v>-2.02133333333333</v>
      </c>
      <c r="W12" s="107" t="n">
        <v>55.4321428571429</v>
      </c>
      <c r="X12" s="107" t="n">
        <v>48.8491666666667</v>
      </c>
    </row>
    <row r="13" customFormat="false" ht="15.75" hidden="false" customHeight="true" outlineLevel="0" collapsed="false">
      <c r="A13" s="106" t="n">
        <v>45854</v>
      </c>
      <c r="B13" s="107" t="n">
        <v>12.4702222222222</v>
      </c>
      <c r="C13" s="107" t="n">
        <v>38.5422222222222</v>
      </c>
      <c r="D13" s="107" t="n">
        <v>34.2095555555556</v>
      </c>
      <c r="E13" s="107" t="n">
        <v>-20.5616666666667</v>
      </c>
      <c r="F13" s="107" t="n">
        <v>46.2971111111111</v>
      </c>
      <c r="G13" s="107" t="n">
        <v>3.64833333333333</v>
      </c>
      <c r="H13" s="107" t="n">
        <v>-34.5013333333333</v>
      </c>
      <c r="I13" s="107" t="n">
        <v>-43.9622222222222</v>
      </c>
      <c r="J13" s="107" t="n">
        <v>32.9444444444444</v>
      </c>
      <c r="K13" s="107" t="n">
        <v>56.1379166666667</v>
      </c>
      <c r="L13" s="107" t="n">
        <v>14.9809090909091</v>
      </c>
      <c r="M13" s="107" t="n">
        <v>27.08</v>
      </c>
      <c r="N13" s="107" t="n">
        <v>94.3958333333333</v>
      </c>
      <c r="O13" s="107" t="n">
        <v>50.4803333333333</v>
      </c>
      <c r="P13" s="107" t="n">
        <v>10.4225</v>
      </c>
      <c r="Q13" s="107" t="n">
        <v>20.5672222222222</v>
      </c>
      <c r="R13" s="107" t="n">
        <v>3.05856666666667</v>
      </c>
      <c r="S13" s="107" t="n">
        <v>4.77586206896552</v>
      </c>
      <c r="T13" s="107" t="n">
        <v>24.1370333333333</v>
      </c>
      <c r="U13" s="107" t="n">
        <v>-65.4888888888889</v>
      </c>
      <c r="V13" s="107" t="n">
        <v>11.383</v>
      </c>
      <c r="W13" s="107" t="n">
        <v>66.5459761904762</v>
      </c>
      <c r="X13" s="107" t="n">
        <v>23.9773611111111</v>
      </c>
    </row>
    <row r="14" customFormat="false" ht="15.75" hidden="false" customHeight="true" outlineLevel="0" collapsed="false">
      <c r="A14" s="106" t="n">
        <v>45855</v>
      </c>
      <c r="B14" s="107" t="n">
        <v>29.6244</v>
      </c>
      <c r="C14" s="107" t="n">
        <v>-15.0866666666667</v>
      </c>
      <c r="D14" s="107" t="n">
        <v>52.5704444444445</v>
      </c>
      <c r="E14" s="107" t="n">
        <v>-7.5952380952381</v>
      </c>
      <c r="F14" s="107" t="n">
        <v>63.4088888888889</v>
      </c>
      <c r="G14" s="107" t="n">
        <v>-51.1390333333333</v>
      </c>
      <c r="H14" s="107" t="n">
        <v>-84.7753333333333</v>
      </c>
      <c r="I14" s="107" t="n">
        <v>14.34</v>
      </c>
      <c r="J14" s="107" t="n">
        <v>32.0346666666667</v>
      </c>
      <c r="K14" s="107" t="n">
        <v>54.1865277777778</v>
      </c>
      <c r="L14" s="107" t="n">
        <v>32.1366666666667</v>
      </c>
      <c r="M14" s="107" t="n">
        <v>-11.8423333333333</v>
      </c>
      <c r="N14" s="107" t="n">
        <v>22.7736111111111</v>
      </c>
      <c r="O14" s="107" t="n">
        <v>68.647</v>
      </c>
      <c r="P14" s="107" t="n">
        <v>-0.90216666666667</v>
      </c>
      <c r="Q14" s="107" t="n">
        <v>-6.657</v>
      </c>
      <c r="R14" s="107" t="n">
        <v>-7.30116666666667</v>
      </c>
      <c r="S14" s="107" t="n">
        <v>24.9919540229885</v>
      </c>
      <c r="T14" s="107" t="n">
        <v>20.9145</v>
      </c>
      <c r="U14" s="107" t="n">
        <v>-78.955</v>
      </c>
      <c r="V14" s="107" t="n">
        <v>-28.0718333333333</v>
      </c>
      <c r="W14" s="107" t="n">
        <v>31.1004761904762</v>
      </c>
      <c r="X14" s="107" t="n">
        <v>-3.91291666666667</v>
      </c>
    </row>
    <row r="15" customFormat="false" ht="15.75" hidden="false" customHeight="true" outlineLevel="0" collapsed="false">
      <c r="A15" s="106" t="n">
        <v>45856</v>
      </c>
      <c r="B15" s="107" t="n">
        <v>-20.0315555555556</v>
      </c>
      <c r="C15" s="107" t="n">
        <v>-57.5613888888889</v>
      </c>
      <c r="D15" s="107" t="n">
        <v>-4.94222222222223</v>
      </c>
      <c r="E15" s="107" t="n">
        <v>-15.6702380952381</v>
      </c>
      <c r="F15" s="107" t="n">
        <v>-13.5426666666667</v>
      </c>
      <c r="G15" s="107" t="n">
        <v>-61.3983333333333</v>
      </c>
      <c r="H15" s="107" t="n">
        <v>-100.288</v>
      </c>
      <c r="I15" s="107" t="n">
        <v>23.8346666666667</v>
      </c>
      <c r="J15" s="107" t="n">
        <v>-22.8517777777778</v>
      </c>
      <c r="K15" s="107" t="n">
        <v>0.246652777777777</v>
      </c>
      <c r="L15" s="107" t="n">
        <v>50.0490909090909</v>
      </c>
      <c r="M15" s="107" t="n">
        <v>-53.2846666666667</v>
      </c>
      <c r="N15" s="107" t="n">
        <v>-27.2619444444444</v>
      </c>
      <c r="O15" s="107" t="n">
        <v>51.2573333333333</v>
      </c>
      <c r="P15" s="107" t="n">
        <v>-39.114</v>
      </c>
      <c r="Q15" s="107" t="n">
        <v>-24.0462222222222</v>
      </c>
      <c r="R15" s="107" t="n">
        <v>-37.2603333333333</v>
      </c>
      <c r="S15" s="107" t="n">
        <v>-10.8744597701149</v>
      </c>
      <c r="T15" s="107" t="n">
        <v>-23.6219166666667</v>
      </c>
      <c r="U15" s="107" t="n">
        <v>-89.1105555555556</v>
      </c>
      <c r="V15" s="107" t="n">
        <v>-102.248666666667</v>
      </c>
      <c r="W15" s="107" t="n">
        <v>-13.2178571428571</v>
      </c>
      <c r="X15" s="107" t="n">
        <v>-49.2730555555556</v>
      </c>
    </row>
    <row r="16" customFormat="false" ht="15.75" hidden="false" customHeight="true" outlineLevel="0" collapsed="false">
      <c r="A16" s="106" t="n">
        <v>45861</v>
      </c>
      <c r="B16" s="107" t="n">
        <v>12.4695555555556</v>
      </c>
      <c r="C16" s="107" t="n">
        <v>-14.9555</v>
      </c>
      <c r="D16" s="107" t="n">
        <v>6.46711111111111</v>
      </c>
      <c r="E16" s="107" t="n">
        <v>-0.883333333333333</v>
      </c>
      <c r="F16" s="107" t="n">
        <v>-47.2697777777778</v>
      </c>
      <c r="G16" s="107" t="n">
        <v>-34.1373333333333</v>
      </c>
      <c r="H16" s="107" t="n">
        <v>-20.8446666666667</v>
      </c>
      <c r="I16" s="107" t="n">
        <v>31.5471111111111</v>
      </c>
      <c r="J16" s="107" t="n">
        <v>26.4542222222222</v>
      </c>
      <c r="K16" s="107" t="n">
        <v>5.08736111111111</v>
      </c>
      <c r="L16" s="107" t="n">
        <v>31.0739393939394</v>
      </c>
      <c r="M16" s="107" t="n">
        <v>-3.712</v>
      </c>
      <c r="N16" s="107" t="n">
        <v>-80.8749444444444</v>
      </c>
      <c r="O16" s="107" t="n">
        <v>-86.049</v>
      </c>
      <c r="P16" s="107" t="n">
        <v>-7.01316666666667</v>
      </c>
      <c r="Q16" s="107" t="n">
        <v>-24.9841111111111</v>
      </c>
      <c r="R16" s="107" t="n">
        <v>-0.329833333333333</v>
      </c>
      <c r="S16" s="107" t="n">
        <v>19.7324137931034</v>
      </c>
      <c r="T16" s="107" t="n">
        <v>7.34375</v>
      </c>
      <c r="U16" s="107" t="n">
        <v>-46.8344444444444</v>
      </c>
      <c r="V16" s="107" t="n">
        <v>-87.4476666666667</v>
      </c>
      <c r="W16" s="107" t="n">
        <v>-3.31457142857143</v>
      </c>
      <c r="X16" s="107" t="n">
        <v>-20.26375</v>
      </c>
    </row>
    <row r="17" customFormat="false" ht="15.75" hidden="false" customHeight="true" outlineLevel="0" collapsed="false">
      <c r="A17" s="106" t="n">
        <v>45862</v>
      </c>
      <c r="B17" s="107" t="n">
        <v>18.2226666666667</v>
      </c>
      <c r="C17" s="107" t="n">
        <v>2.90472222222222</v>
      </c>
      <c r="D17" s="107" t="n">
        <v>8.156</v>
      </c>
      <c r="E17" s="107" t="n">
        <v>-15.1722857142857</v>
      </c>
      <c r="F17" s="107" t="n">
        <v>-75.844</v>
      </c>
      <c r="G17" s="107" t="n">
        <v>-68.941</v>
      </c>
      <c r="H17" s="107" t="n">
        <v>-70.0033333333333</v>
      </c>
      <c r="I17" s="107" t="n">
        <v>30.1031111111111</v>
      </c>
      <c r="J17" s="107" t="n">
        <v>-15.5108888888889</v>
      </c>
      <c r="K17" s="107" t="n">
        <v>45.79375</v>
      </c>
      <c r="L17" s="107" t="n">
        <v>11.1633333333333</v>
      </c>
      <c r="M17" s="107" t="n">
        <v>-2.67433333333333</v>
      </c>
      <c r="N17" s="107" t="n">
        <v>-7.4125</v>
      </c>
      <c r="O17" s="107" t="n">
        <v>-66.5963333333333</v>
      </c>
      <c r="P17" s="107" t="n">
        <v>22.2458333333333</v>
      </c>
      <c r="Q17" s="107" t="n">
        <v>-16.1237333333333</v>
      </c>
      <c r="R17" s="107" t="n">
        <v>-6.83033333333333</v>
      </c>
      <c r="S17" s="107" t="n">
        <v>-6.93597701149425</v>
      </c>
      <c r="T17" s="107" t="n">
        <v>-36.85005</v>
      </c>
      <c r="U17" s="107" t="n">
        <v>-29.9522222222222</v>
      </c>
      <c r="V17" s="107" t="n">
        <v>-46.6756666666667</v>
      </c>
      <c r="W17" s="107" t="n">
        <v>-47.7340476190476</v>
      </c>
      <c r="X17" s="107" t="n">
        <v>-16.8843055555556</v>
      </c>
    </row>
    <row r="18" customFormat="false" ht="15.75" hidden="false" customHeight="true" outlineLevel="0" collapsed="false">
      <c r="A18" s="106" t="n">
        <v>45863</v>
      </c>
      <c r="B18" s="107" t="n">
        <v>-65.9195555555556</v>
      </c>
      <c r="C18" s="107" t="n">
        <v>-57.84</v>
      </c>
      <c r="D18" s="107" t="n">
        <v>-38.5611111111111</v>
      </c>
      <c r="E18" s="107" t="n">
        <v>-91.0840476190476</v>
      </c>
      <c r="F18" s="107" t="n">
        <v>-95.6553333333334</v>
      </c>
      <c r="G18" s="107" t="n">
        <v>-90.906</v>
      </c>
      <c r="H18" s="107" t="n">
        <v>-44.018</v>
      </c>
      <c r="I18" s="107" t="n">
        <v>-65.1897777777778</v>
      </c>
      <c r="J18" s="107" t="n">
        <v>-95.6402222222222</v>
      </c>
      <c r="K18" s="107" t="n">
        <v>37.6652777777778</v>
      </c>
      <c r="L18" s="107" t="n">
        <v>-42.3551515151515</v>
      </c>
      <c r="M18" s="107" t="n">
        <v>-85.2306666666667</v>
      </c>
      <c r="N18" s="107" t="n">
        <v>-53.3580555555556</v>
      </c>
      <c r="O18" s="107" t="n">
        <v>-57.0903333333333</v>
      </c>
      <c r="P18" s="107" t="n">
        <v>-62.5706666666667</v>
      </c>
      <c r="Q18" s="107" t="n">
        <v>-87.4112222222222</v>
      </c>
      <c r="R18" s="107" t="n">
        <v>-95.857</v>
      </c>
      <c r="S18" s="107" t="n">
        <v>-71.35</v>
      </c>
      <c r="T18" s="107" t="n">
        <v>-102.485083333333</v>
      </c>
      <c r="U18" s="107" t="n">
        <v>-98.8233333333333</v>
      </c>
      <c r="V18" s="107" t="n">
        <v>-116.662333333333</v>
      </c>
      <c r="W18" s="107" t="n">
        <v>-98.6388095238095</v>
      </c>
      <c r="X18" s="107" t="n">
        <v>-70.4326388888889</v>
      </c>
    </row>
    <row r="19" customFormat="false" ht="15.75" hidden="false" customHeight="true" outlineLevel="0" collapsed="false">
      <c r="A19" s="106" t="n">
        <v>45866</v>
      </c>
      <c r="B19" s="107" t="n">
        <v>-51.982</v>
      </c>
      <c r="C19" s="107" t="n">
        <v>-75.8941666666667</v>
      </c>
      <c r="D19" s="107" t="n">
        <v>-54.0055555555556</v>
      </c>
      <c r="E19" s="107" t="n">
        <v>-87.7259523809524</v>
      </c>
      <c r="F19" s="107" t="n">
        <v>-57.0402222222222</v>
      </c>
      <c r="G19" s="107" t="n">
        <v>-93.5486666666667</v>
      </c>
      <c r="H19" s="107" t="n">
        <v>-20.1726666666667</v>
      </c>
      <c r="I19" s="107" t="n">
        <v>-94.0633333333333</v>
      </c>
      <c r="J19" s="107" t="n">
        <v>-96.5715555555556</v>
      </c>
      <c r="K19" s="107" t="n">
        <v>32.3729166666667</v>
      </c>
      <c r="L19" s="107" t="n">
        <v>-33.5418181818182</v>
      </c>
      <c r="M19" s="107" t="n">
        <v>-73.9323333333333</v>
      </c>
      <c r="N19" s="107" t="n">
        <v>-87.1448888888889</v>
      </c>
      <c r="O19" s="107" t="n">
        <v>-90.5963333333334</v>
      </c>
      <c r="P19" s="107" t="n">
        <v>-41.7438333333333</v>
      </c>
      <c r="Q19" s="107" t="n">
        <v>-84.2808888888889</v>
      </c>
      <c r="R19" s="107" t="n">
        <v>-109.370166666667</v>
      </c>
      <c r="S19" s="107" t="n">
        <v>-63.5305747126437</v>
      </c>
      <c r="T19" s="107" t="n">
        <v>-94.5954166666667</v>
      </c>
      <c r="U19" s="107" t="n">
        <v>-121.737222222222</v>
      </c>
      <c r="V19" s="107" t="n">
        <v>-118.846333333333</v>
      </c>
      <c r="W19" s="107" t="n">
        <v>-82.447619047619</v>
      </c>
      <c r="X19" s="107" t="n">
        <v>-52.8408333333333</v>
      </c>
    </row>
    <row r="20" customFormat="false" ht="15.75" hidden="false" customHeight="true" outlineLevel="0" collapsed="false">
      <c r="A20" s="106" t="n">
        <v>45867</v>
      </c>
      <c r="B20" s="107" t="n">
        <v>9.53311111111111</v>
      </c>
      <c r="C20" s="107" t="n">
        <v>-55.1319444444445</v>
      </c>
      <c r="D20" s="107" t="n">
        <v>-48.478</v>
      </c>
      <c r="E20" s="107" t="n">
        <v>-54.1942857142857</v>
      </c>
      <c r="F20" s="107" t="n">
        <v>-35.5068888888889</v>
      </c>
      <c r="G20" s="107" t="n">
        <v>-53.1406666666667</v>
      </c>
      <c r="H20" s="107" t="n">
        <v>-42.722</v>
      </c>
      <c r="I20" s="107" t="n">
        <v>-26.4748888888889</v>
      </c>
      <c r="J20" s="107" t="n">
        <v>-53.4173333333333</v>
      </c>
      <c r="K20" s="107" t="n">
        <v>60.6027777777778</v>
      </c>
      <c r="L20" s="107" t="n">
        <v>-23.6767272727273</v>
      </c>
      <c r="M20" s="107" t="n">
        <v>-67.8826666666667</v>
      </c>
      <c r="N20" s="107" t="n">
        <v>-81.3280555555556</v>
      </c>
      <c r="O20" s="107" t="n">
        <v>-61.38</v>
      </c>
      <c r="P20" s="107" t="n">
        <v>20.4198333333333</v>
      </c>
      <c r="Q20" s="107" t="n">
        <v>-74.7531111111111</v>
      </c>
      <c r="R20" s="107" t="n">
        <v>-63.4355</v>
      </c>
      <c r="S20" s="107" t="n">
        <v>-24.466</v>
      </c>
      <c r="T20" s="107" t="n">
        <v>-44.6221666666667</v>
      </c>
      <c r="U20" s="107" t="n">
        <v>-112.421666666667</v>
      </c>
      <c r="V20" s="107" t="n">
        <v>-71.94</v>
      </c>
      <c r="W20" s="107" t="n">
        <v>-45.1069047619048</v>
      </c>
      <c r="X20" s="107" t="n">
        <v>-10.1786111111111</v>
      </c>
    </row>
    <row r="21" customFormat="false" ht="15.75" hidden="false" customHeight="true" outlineLevel="0" collapsed="false">
      <c r="A21" s="106" t="n">
        <v>45868</v>
      </c>
      <c r="B21" s="107" t="n">
        <v>-12.4853333333333</v>
      </c>
      <c r="C21" s="107" t="n">
        <v>-35.3497222222222</v>
      </c>
      <c r="D21" s="107" t="n">
        <v>12.9553333333333</v>
      </c>
      <c r="E21" s="107" t="n">
        <v>-23.7016666666667</v>
      </c>
      <c r="F21" s="107" t="n">
        <v>8.19488888888889</v>
      </c>
      <c r="G21" s="107" t="n">
        <v>-15.703</v>
      </c>
      <c r="H21" s="107" t="n">
        <v>18.5894</v>
      </c>
      <c r="I21" s="107" t="n">
        <v>1.10444444444444</v>
      </c>
      <c r="J21" s="107" t="n">
        <v>-13.4957777777778</v>
      </c>
      <c r="K21" s="107" t="n">
        <v>64.0340277777778</v>
      </c>
      <c r="L21" s="107" t="n">
        <v>33.4272727272727</v>
      </c>
      <c r="M21" s="107" t="n">
        <v>-46.696</v>
      </c>
      <c r="N21" s="107" t="n">
        <v>-31.9341666666667</v>
      </c>
      <c r="O21" s="107" t="n">
        <v>-32.366</v>
      </c>
      <c r="P21" s="107" t="n">
        <v>51.5513333333333</v>
      </c>
      <c r="Q21" s="107" t="n">
        <v>-38.6211111111111</v>
      </c>
      <c r="R21" s="107" t="n">
        <v>-2.66833333333333</v>
      </c>
      <c r="S21" s="107" t="n">
        <v>3.75195402298851</v>
      </c>
      <c r="T21" s="107" t="n">
        <v>5.084</v>
      </c>
      <c r="U21" s="107" t="n">
        <v>-17.8722222222222</v>
      </c>
      <c r="V21" s="107" t="n">
        <v>-25.5696666666667</v>
      </c>
      <c r="W21" s="107" t="n">
        <v>-1.08142857142857</v>
      </c>
      <c r="X21" s="107" t="n">
        <v>2.86208333333333</v>
      </c>
    </row>
    <row r="22" customFormat="false" ht="15.75" hidden="false" customHeight="true" outlineLevel="0" collapsed="false">
      <c r="A22" s="106" t="n">
        <v>45869</v>
      </c>
      <c r="B22" s="107" t="n">
        <v>-58.7006666666667</v>
      </c>
      <c r="C22" s="107" t="n">
        <v>-68.7561111111111</v>
      </c>
      <c r="D22" s="107" t="n">
        <v>-48.934</v>
      </c>
      <c r="E22" s="107" t="n">
        <v>-50.0326190476191</v>
      </c>
      <c r="F22" s="107" t="n">
        <v>44.0262222222222</v>
      </c>
      <c r="G22" s="107" t="n">
        <v>-50.6183333333333</v>
      </c>
      <c r="H22" s="107" t="n">
        <v>-21.438</v>
      </c>
      <c r="I22" s="107" t="n">
        <v>-54.874</v>
      </c>
      <c r="J22" s="107" t="n">
        <v>-89.0555555555556</v>
      </c>
      <c r="K22" s="107" t="n">
        <v>-24.0565277777778</v>
      </c>
      <c r="L22" s="107" t="n">
        <v>-11.0106060606061</v>
      </c>
      <c r="M22" s="107" t="n">
        <v>-52.2396666666667</v>
      </c>
      <c r="N22" s="107" t="n">
        <v>-101.661388888889</v>
      </c>
      <c r="O22" s="107" t="n">
        <v>-71.793</v>
      </c>
      <c r="P22" s="107" t="n">
        <v>-26.5666666666667</v>
      </c>
      <c r="Q22" s="107" t="n">
        <v>-62.7542222222222</v>
      </c>
      <c r="R22" s="107" t="n">
        <v>-86.3568333333333</v>
      </c>
      <c r="S22" s="107" t="n">
        <v>-20.2889655172414</v>
      </c>
      <c r="T22" s="107" t="n">
        <v>-72.2123333333333</v>
      </c>
      <c r="U22" s="107" t="n">
        <v>-30.1966666666667</v>
      </c>
      <c r="V22" s="107" t="n">
        <v>-99.5443333333333</v>
      </c>
      <c r="W22" s="107" t="n">
        <v>-60.8761428571429</v>
      </c>
      <c r="X22" s="107" t="n">
        <v>-53.0055555555556</v>
      </c>
    </row>
    <row r="23" customFormat="false" ht="15.75" hidden="false" customHeight="true" outlineLevel="0" collapsed="false">
      <c r="A23" s="106" t="n">
        <v>45870</v>
      </c>
      <c r="B23" s="107" t="n">
        <v>-47.1111111111111</v>
      </c>
      <c r="C23" s="107" t="n">
        <v>-67.8469444444445</v>
      </c>
      <c r="D23" s="107" t="n">
        <v>-51.9797777777778</v>
      </c>
      <c r="E23" s="107" t="n">
        <v>-55.2366666666667</v>
      </c>
      <c r="F23" s="107" t="n">
        <v>62.3195555555556</v>
      </c>
      <c r="G23" s="107" t="n">
        <v>-85.9576666666667</v>
      </c>
      <c r="H23" s="107" t="n">
        <v>-102.02</v>
      </c>
      <c r="I23" s="107" t="n">
        <v>-71.8137777777778</v>
      </c>
      <c r="J23" s="107" t="n">
        <v>-88.3775555555556</v>
      </c>
      <c r="K23" s="107" t="n">
        <v>-77.4098611111111</v>
      </c>
      <c r="L23" s="107" t="n">
        <v>-22.8363636363636</v>
      </c>
      <c r="M23" s="107" t="n">
        <v>-63.6376666666667</v>
      </c>
      <c r="N23" s="107" t="n">
        <v>-97.0419444444444</v>
      </c>
      <c r="O23" s="107" t="n">
        <v>-65.7233333333333</v>
      </c>
      <c r="P23" s="107" t="n">
        <v>-60.1711666666667</v>
      </c>
      <c r="Q23" s="107" t="n">
        <v>-66.7112222222222</v>
      </c>
      <c r="R23" s="107" t="n">
        <v>-93.7916666666667</v>
      </c>
      <c r="S23" s="107" t="n">
        <v>-13.6547126436782</v>
      </c>
      <c r="T23" s="107" t="n">
        <v>-72.0584166666667</v>
      </c>
      <c r="U23" s="107" t="n">
        <v>-71.0383333333333</v>
      </c>
      <c r="V23" s="107" t="n">
        <v>-96.4646666666667</v>
      </c>
      <c r="W23" s="107" t="n">
        <v>-74.0711904761905</v>
      </c>
      <c r="X23" s="107" t="n">
        <v>-60.9577777777778</v>
      </c>
    </row>
    <row r="24" customFormat="false" ht="15.75" hidden="false" customHeight="true" outlineLevel="0" collapsed="false">
      <c r="A24" s="106" t="n">
        <v>45873</v>
      </c>
      <c r="B24" s="107" t="n">
        <v>15.1015555555556</v>
      </c>
      <c r="C24" s="107" t="n">
        <v>-29.8027777777778</v>
      </c>
      <c r="D24" s="107" t="n">
        <v>-8.20422222222222</v>
      </c>
      <c r="E24" s="107" t="n">
        <v>16.8645238095238</v>
      </c>
      <c r="F24" s="107" t="n">
        <v>17.1093333333333</v>
      </c>
      <c r="G24" s="107" t="n">
        <v>-19.5653333333333</v>
      </c>
      <c r="H24" s="107" t="n">
        <v>-52.4413333333333</v>
      </c>
      <c r="I24" s="107" t="n">
        <v>-1.14688888888889</v>
      </c>
      <c r="J24" s="107" t="n">
        <v>-64.6944444444444</v>
      </c>
      <c r="K24" s="107" t="n">
        <v>-66.2138888888889</v>
      </c>
      <c r="L24" s="107" t="n">
        <v>-2.82</v>
      </c>
      <c r="M24" s="107" t="n">
        <v>-33.9873333333333</v>
      </c>
      <c r="N24" s="107" t="n">
        <v>-39.9877777777778</v>
      </c>
      <c r="O24" s="107" t="n">
        <v>-44.5403333333333</v>
      </c>
      <c r="P24" s="107" t="n">
        <v>-24.3245</v>
      </c>
      <c r="Q24" s="107" t="n">
        <v>-1.16433333333333</v>
      </c>
      <c r="R24" s="107" t="n">
        <v>-45.6425</v>
      </c>
      <c r="S24" s="107" t="n">
        <v>-25.9780459770115</v>
      </c>
      <c r="T24" s="107" t="n">
        <v>-55.0600833333333</v>
      </c>
      <c r="U24" s="107" t="n">
        <v>-17.1955555555556</v>
      </c>
      <c r="V24" s="107" t="n">
        <v>-16.122</v>
      </c>
      <c r="W24" s="107" t="n">
        <v>4.39595238095238</v>
      </c>
      <c r="X24" s="107" t="n">
        <v>-14.9931944444444</v>
      </c>
    </row>
    <row r="25" customFormat="false" ht="15.75" hidden="false" customHeight="true" outlineLevel="0" collapsed="false">
      <c r="A25" s="106" t="n">
        <v>45874</v>
      </c>
      <c r="B25" s="107" t="n">
        <v>25.1357777777778</v>
      </c>
      <c r="C25" s="107" t="n">
        <v>-2.90611111111111</v>
      </c>
      <c r="D25" s="107" t="n">
        <v>-7.14266666666667</v>
      </c>
      <c r="E25" s="107" t="n">
        <v>30.3416666666667</v>
      </c>
      <c r="F25" s="107" t="n">
        <v>-19.6288888888889</v>
      </c>
      <c r="G25" s="107" t="n">
        <v>9.671</v>
      </c>
      <c r="H25" s="107" t="n">
        <v>2.08933333333333</v>
      </c>
      <c r="I25" s="107" t="n">
        <v>28.8397777777778</v>
      </c>
      <c r="J25" s="107" t="n">
        <v>-58.4204444444444</v>
      </c>
      <c r="K25" s="107" t="n">
        <v>-50.2976388888889</v>
      </c>
      <c r="L25" s="107" t="n">
        <v>12.6793939393939</v>
      </c>
      <c r="M25" s="107" t="n">
        <v>-5.29433333333333</v>
      </c>
      <c r="N25" s="107" t="n">
        <v>-16.7352777777778</v>
      </c>
      <c r="O25" s="107" t="n">
        <v>-13.064</v>
      </c>
      <c r="P25" s="107" t="n">
        <v>11.8941833333333</v>
      </c>
      <c r="Q25" s="107" t="n">
        <v>2.92466666666667</v>
      </c>
      <c r="R25" s="107" t="n">
        <v>-7.55616666666666</v>
      </c>
      <c r="S25" s="107" t="n">
        <v>-5.70831034482759</v>
      </c>
      <c r="T25" s="107" t="n">
        <v>-27.3076916666667</v>
      </c>
      <c r="U25" s="107" t="n">
        <v>33.995</v>
      </c>
      <c r="V25" s="107" t="n">
        <v>13.1746666666667</v>
      </c>
      <c r="W25" s="107" t="n">
        <v>9.06476190476191</v>
      </c>
      <c r="X25" s="107" t="n">
        <v>-9.43416666666667</v>
      </c>
    </row>
    <row r="26" customFormat="false" ht="15.75" hidden="false" customHeight="true" outlineLevel="0" collapsed="false">
      <c r="A26" s="106" t="n">
        <v>45875</v>
      </c>
      <c r="B26" s="107" t="n">
        <v>-1.25222222222222</v>
      </c>
      <c r="C26" s="107" t="n">
        <v>-8.04333333333334</v>
      </c>
      <c r="D26" s="107" t="n">
        <v>-38.3366666666667</v>
      </c>
      <c r="E26" s="107" t="n">
        <v>-24.2088095238095</v>
      </c>
      <c r="F26" s="107" t="n">
        <v>-66.6362222222222</v>
      </c>
      <c r="G26" s="107" t="n">
        <v>-69.2646666666667</v>
      </c>
      <c r="H26" s="107" t="n">
        <v>32.8213333333333</v>
      </c>
      <c r="I26" s="107" t="n">
        <v>-17.2171111111111</v>
      </c>
      <c r="J26" s="107" t="n">
        <v>-59.1422222222222</v>
      </c>
      <c r="K26" s="107" t="n">
        <v>-86.5916666666667</v>
      </c>
      <c r="L26" s="107" t="n">
        <v>-5.08787878787879</v>
      </c>
      <c r="M26" s="107" t="n">
        <v>-26.171</v>
      </c>
      <c r="N26" s="107" t="n">
        <v>-26.7955555555556</v>
      </c>
      <c r="O26" s="107" t="n">
        <v>-76.2253333333333</v>
      </c>
      <c r="P26" s="107" t="n">
        <v>-20.8756666666667</v>
      </c>
      <c r="Q26" s="107" t="n">
        <v>-32.836</v>
      </c>
      <c r="R26" s="107" t="n">
        <v>-21.7725</v>
      </c>
      <c r="S26" s="107" t="n">
        <v>-35.5645862068966</v>
      </c>
      <c r="T26" s="107" t="n">
        <v>-49.1866666666667</v>
      </c>
      <c r="U26" s="107" t="n">
        <v>-7.75883333333334</v>
      </c>
      <c r="V26" s="107" t="n">
        <v>-58.7096666666667</v>
      </c>
      <c r="W26" s="107" t="n">
        <v>-31.7552380952381</v>
      </c>
      <c r="X26" s="107" t="n">
        <v>-49.7916666666667</v>
      </c>
    </row>
    <row r="27" customFormat="false" ht="15.75" hidden="false" customHeight="true" outlineLevel="0" collapsed="false">
      <c r="A27" s="13" t="n">
        <v>45876</v>
      </c>
      <c r="B27" s="107" t="n">
        <v>-32.5028888888889</v>
      </c>
      <c r="C27" s="107" t="n">
        <v>-15.9816666666667</v>
      </c>
      <c r="D27" s="107" t="n">
        <v>-42.7711111111111</v>
      </c>
      <c r="E27" s="107" t="n">
        <v>-62.0499761904762</v>
      </c>
      <c r="F27" s="107" t="n">
        <v>-49.3608888888889</v>
      </c>
      <c r="G27" s="107" t="n">
        <v>-26.307</v>
      </c>
      <c r="H27" s="107" t="n">
        <v>-9.92266666666667</v>
      </c>
      <c r="I27" s="107" t="n">
        <v>-31.8855555555556</v>
      </c>
      <c r="J27" s="107" t="n">
        <v>-79.8884444444445</v>
      </c>
      <c r="K27" s="107" t="n">
        <v>-53.0483333333333</v>
      </c>
      <c r="L27" s="107" t="n">
        <v>-36.5193939393939</v>
      </c>
      <c r="M27" s="107" t="n">
        <v>-26.0396666666667</v>
      </c>
      <c r="N27" s="107" t="n">
        <v>-35.1858333333333</v>
      </c>
      <c r="O27" s="107" t="n">
        <v>-75.7513333333333</v>
      </c>
      <c r="P27" s="107" t="n">
        <v>-68.2408333333333</v>
      </c>
      <c r="Q27" s="107" t="n">
        <v>-9.81686666666667</v>
      </c>
      <c r="R27" s="107" t="n">
        <v>-76.4261333333333</v>
      </c>
      <c r="S27" s="107" t="n">
        <v>-49.6306896551724</v>
      </c>
      <c r="T27" s="107" t="n">
        <v>-63.3916666666667</v>
      </c>
      <c r="U27" s="107" t="n">
        <v>-67.4233333333333</v>
      </c>
      <c r="V27" s="107" t="n">
        <v>-103.258666666667</v>
      </c>
      <c r="W27" s="107" t="n">
        <v>-15.13</v>
      </c>
      <c r="X27" s="107" t="n">
        <v>-41.9931944444445</v>
      </c>
    </row>
    <row r="28" customFormat="false" ht="31.5" hidden="false" customHeight="true" outlineLevel="0" collapsed="false">
      <c r="A28" s="108" t="s">
        <v>632</v>
      </c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48"/>
      <c r="Q28" s="48"/>
      <c r="R28" s="48"/>
      <c r="S28" s="48"/>
      <c r="T28" s="48"/>
      <c r="U28" s="48"/>
      <c r="V28" s="48"/>
      <c r="W28" s="107"/>
      <c r="X28" s="107"/>
    </row>
    <row r="29" customFormat="false" ht="34.5" hidden="false" customHeight="true" outlineLevel="0" collapsed="false">
      <c r="A29" s="108"/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48"/>
      <c r="Q29" s="48"/>
      <c r="R29" s="48"/>
      <c r="S29" s="48"/>
      <c r="T29" s="48"/>
      <c r="U29" s="48"/>
      <c r="V29" s="48"/>
      <c r="W29" s="107"/>
      <c r="X29" s="107"/>
    </row>
    <row r="30" customFormat="false" ht="15.75" hidden="false" customHeight="true" outlineLevel="0" collapsed="false">
      <c r="A30" s="110" t="s">
        <v>52</v>
      </c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W30" s="107"/>
      <c r="X30" s="107"/>
    </row>
    <row r="31" customFormat="false" ht="15.75" hidden="false" customHeight="true" outlineLevel="0" collapsed="false">
      <c r="A31" s="104" t="s">
        <v>0</v>
      </c>
      <c r="B31" s="104" t="s">
        <v>552</v>
      </c>
      <c r="C31" s="104" t="s">
        <v>553</v>
      </c>
      <c r="D31" s="105" t="s">
        <v>554</v>
      </c>
      <c r="E31" s="104" t="s">
        <v>555</v>
      </c>
      <c r="F31" s="104" t="s">
        <v>556</v>
      </c>
      <c r="G31" s="104" t="s">
        <v>557</v>
      </c>
      <c r="H31" s="104" t="s">
        <v>626</v>
      </c>
      <c r="I31" s="104" t="s">
        <v>559</v>
      </c>
      <c r="J31" s="104" t="s">
        <v>560</v>
      </c>
      <c r="K31" s="104" t="s">
        <v>627</v>
      </c>
      <c r="L31" s="104" t="s">
        <v>562</v>
      </c>
      <c r="M31" s="104" t="s">
        <v>563</v>
      </c>
      <c r="N31" s="104" t="s">
        <v>564</v>
      </c>
      <c r="O31" s="104" t="s">
        <v>565</v>
      </c>
      <c r="P31" s="104" t="s">
        <v>566</v>
      </c>
      <c r="Q31" s="104" t="s">
        <v>628</v>
      </c>
      <c r="R31" s="104" t="s">
        <v>568</v>
      </c>
      <c r="S31" s="104" t="s">
        <v>629</v>
      </c>
      <c r="T31" s="104" t="s">
        <v>630</v>
      </c>
      <c r="U31" s="104" t="s">
        <v>571</v>
      </c>
      <c r="V31" s="104" t="s">
        <v>572</v>
      </c>
      <c r="W31" s="107" t="s">
        <v>573</v>
      </c>
      <c r="X31" s="107"/>
    </row>
    <row r="32" customFormat="false" ht="15.75" hidden="false" customHeight="true" outlineLevel="0" collapsed="false">
      <c r="A32" s="106" t="n">
        <v>45845</v>
      </c>
      <c r="B32" s="107" t="n">
        <v>47.0565666666667</v>
      </c>
      <c r="C32" s="107" t="n">
        <v>51.43246875</v>
      </c>
      <c r="D32" s="107" t="n">
        <v>41.4552916666667</v>
      </c>
      <c r="E32" s="107" t="n">
        <v>25.0350892857143</v>
      </c>
      <c r="F32" s="107" t="n">
        <v>42.2397666666667</v>
      </c>
      <c r="G32" s="107" t="n">
        <v>25.603625</v>
      </c>
      <c r="H32" s="107" t="n">
        <v>57.30175</v>
      </c>
      <c r="I32" s="107" t="n">
        <v>20.96225</v>
      </c>
      <c r="J32" s="107" t="n">
        <v>74.5136666666667</v>
      </c>
      <c r="K32" s="107" t="n">
        <v>69.3294270833333</v>
      </c>
      <c r="L32" s="107" t="n">
        <v>27.0835416666667</v>
      </c>
      <c r="M32" s="107" t="n">
        <v>41.4462125</v>
      </c>
      <c r="N32" s="107" t="n">
        <v>39.62</v>
      </c>
      <c r="O32" s="107" t="n">
        <v>20.10625</v>
      </c>
      <c r="P32" s="107" t="n">
        <v>39.1979625</v>
      </c>
      <c r="Q32" s="107" t="n">
        <v>46.2695791666667</v>
      </c>
      <c r="R32" s="107" t="n">
        <v>16.082875</v>
      </c>
      <c r="S32" s="107" t="n">
        <v>48.8923879310345</v>
      </c>
      <c r="T32" s="107" t="n">
        <v>46.15278125</v>
      </c>
      <c r="U32" s="107" t="n">
        <v>2.78291666666666</v>
      </c>
      <c r="V32" s="107" t="n">
        <v>-4.6675</v>
      </c>
      <c r="W32" s="107"/>
      <c r="X32" s="107"/>
    </row>
    <row r="33" customFormat="false" ht="15.75" hidden="false" customHeight="true" outlineLevel="0" collapsed="false">
      <c r="A33" s="106" t="n">
        <v>45846</v>
      </c>
      <c r="B33" s="107" t="n">
        <v>31.5574166666667</v>
      </c>
      <c r="C33" s="107" t="n">
        <v>51.0364270833333</v>
      </c>
      <c r="D33" s="107" t="n">
        <v>25.8074083333333</v>
      </c>
      <c r="E33" s="107" t="n">
        <v>40.4212232142857</v>
      </c>
      <c r="F33" s="107" t="n">
        <v>30.8045</v>
      </c>
      <c r="G33" s="107" t="n">
        <v>29.649</v>
      </c>
      <c r="H33" s="107" t="n">
        <v>73.12975</v>
      </c>
      <c r="I33" s="107" t="n">
        <v>26.0726666666667</v>
      </c>
      <c r="J33" s="107" t="n">
        <v>61.2925083333333</v>
      </c>
      <c r="K33" s="107" t="n">
        <v>32.1844270833333</v>
      </c>
      <c r="L33" s="107" t="n">
        <v>34.1934375</v>
      </c>
      <c r="M33" s="107" t="n">
        <v>42.1542125</v>
      </c>
      <c r="N33" s="107" t="n">
        <v>14.7802083333333</v>
      </c>
      <c r="O33" s="107" t="n">
        <v>28.474675</v>
      </c>
      <c r="P33" s="107" t="n">
        <v>36.70496875</v>
      </c>
      <c r="Q33" s="107" t="n">
        <v>37.8240416666667</v>
      </c>
      <c r="R33" s="107" t="n">
        <v>30.6541875</v>
      </c>
      <c r="S33" s="107" t="n">
        <v>50.0195775862069</v>
      </c>
      <c r="T33" s="107" t="n">
        <v>47.152846875</v>
      </c>
      <c r="U33" s="107" t="n">
        <v>3.39791666666666</v>
      </c>
      <c r="V33" s="107" t="n">
        <v>-16.558375</v>
      </c>
      <c r="W33" s="107" t="n">
        <v>46.8791071428571</v>
      </c>
      <c r="X33" s="107"/>
    </row>
    <row r="34" customFormat="false" ht="15.75" hidden="false" customHeight="true" outlineLevel="0" collapsed="false">
      <c r="A34" s="106" t="n">
        <v>45847</v>
      </c>
      <c r="B34" s="107" t="n">
        <v>48.3275833333333</v>
      </c>
      <c r="C34" s="107" t="n">
        <v>49.4058333333333</v>
      </c>
      <c r="D34" s="107" t="n">
        <v>40.8108666666667</v>
      </c>
      <c r="E34" s="107" t="n">
        <v>52.5526785714286</v>
      </c>
      <c r="F34" s="107" t="n">
        <v>42.259375</v>
      </c>
      <c r="G34" s="107" t="n">
        <v>-6.3628</v>
      </c>
      <c r="H34" s="107" t="n">
        <v>68.22725</v>
      </c>
      <c r="I34" s="107" t="n">
        <v>-1.8185</v>
      </c>
      <c r="J34" s="107" t="n">
        <v>39.0735833333333</v>
      </c>
      <c r="K34" s="107" t="n">
        <v>33.7441666666667</v>
      </c>
      <c r="L34" s="107" t="n">
        <v>62.5278125</v>
      </c>
      <c r="M34" s="107" t="n">
        <v>42.577675</v>
      </c>
      <c r="N34" s="107" t="n">
        <v>17.3385416666667</v>
      </c>
      <c r="O34" s="107" t="n">
        <v>6.5629625</v>
      </c>
      <c r="P34" s="107" t="n">
        <v>41.10295625</v>
      </c>
      <c r="Q34" s="107" t="n">
        <v>43.7450583333333</v>
      </c>
      <c r="R34" s="107" t="n">
        <v>31.0340625</v>
      </c>
      <c r="S34" s="107" t="n">
        <v>50.4558189655172</v>
      </c>
      <c r="T34" s="107" t="n">
        <v>43.70025</v>
      </c>
      <c r="U34" s="107" t="n">
        <v>27.3118125</v>
      </c>
      <c r="V34" s="107" t="n">
        <v>6.06475</v>
      </c>
      <c r="W34" s="107" t="n">
        <v>59.9189285714286</v>
      </c>
      <c r="X34" s="107"/>
    </row>
    <row r="35" customFormat="false" ht="15.75" hidden="false" customHeight="true" outlineLevel="0" collapsed="false">
      <c r="A35" s="106" t="n">
        <v>45848</v>
      </c>
      <c r="B35" s="107" t="n">
        <v>41.0818333333333</v>
      </c>
      <c r="C35" s="107" t="n">
        <v>33.7091666666667</v>
      </c>
      <c r="D35" s="107" t="n">
        <v>43.5480833333333</v>
      </c>
      <c r="E35" s="107" t="n">
        <v>57.7404196428571</v>
      </c>
      <c r="F35" s="107" t="n">
        <v>31.6576833333333</v>
      </c>
      <c r="G35" s="107" t="n">
        <v>-24.6004</v>
      </c>
      <c r="H35" s="107" t="n">
        <v>27.2305</v>
      </c>
      <c r="I35" s="107" t="n">
        <v>22.9726666666667</v>
      </c>
      <c r="J35" s="107" t="n">
        <v>19.8600916666667</v>
      </c>
      <c r="K35" s="107" t="n">
        <v>13.4357291666667</v>
      </c>
      <c r="L35" s="107" t="n">
        <v>40.9795833333333</v>
      </c>
      <c r="M35" s="107" t="n">
        <v>36.935375</v>
      </c>
      <c r="N35" s="107" t="n">
        <v>-4.3928125</v>
      </c>
      <c r="O35" s="107" t="n">
        <v>13.345625</v>
      </c>
      <c r="P35" s="107" t="n">
        <v>27.9949375</v>
      </c>
      <c r="Q35" s="107" t="n">
        <v>41.1506125</v>
      </c>
      <c r="R35" s="107" t="n">
        <v>21.87919375</v>
      </c>
      <c r="S35" s="107" t="n">
        <v>38.7880172413793</v>
      </c>
      <c r="T35" s="107" t="n">
        <v>31.590128125</v>
      </c>
      <c r="U35" s="107" t="n">
        <v>-14.113125</v>
      </c>
      <c r="V35" s="107" t="n">
        <v>6.608925</v>
      </c>
      <c r="W35" s="107" t="n">
        <v>77.1133035714286</v>
      </c>
      <c r="X35" s="107"/>
    </row>
    <row r="36" customFormat="false" ht="15.75" hidden="false" customHeight="true" outlineLevel="0" collapsed="false">
      <c r="A36" s="106" t="n">
        <v>45849</v>
      </c>
      <c r="B36" s="107" t="n">
        <v>-0.0199249999999984</v>
      </c>
      <c r="C36" s="107" t="n">
        <v>18.0427083333333</v>
      </c>
      <c r="D36" s="107" t="n">
        <v>15.7273333333333</v>
      </c>
      <c r="E36" s="107" t="n">
        <v>20.3386607142857</v>
      </c>
      <c r="F36" s="107" t="n">
        <v>17.5194166666667</v>
      </c>
      <c r="G36" s="107" t="n">
        <v>-50.2501625</v>
      </c>
      <c r="H36" s="107" t="n">
        <v>32.12775</v>
      </c>
      <c r="I36" s="107" t="n">
        <v>14.4396666666667</v>
      </c>
      <c r="J36" s="107" t="n">
        <v>0.232866666666666</v>
      </c>
      <c r="K36" s="107" t="n">
        <v>23.9921927083333</v>
      </c>
      <c r="L36" s="107" t="n">
        <v>41.7828333333333</v>
      </c>
      <c r="M36" s="107" t="n">
        <v>27.61875</v>
      </c>
      <c r="N36" s="107" t="n">
        <v>-22.745625</v>
      </c>
      <c r="O36" s="107" t="n">
        <v>1.2155</v>
      </c>
      <c r="P36" s="107" t="n">
        <v>6.9915625</v>
      </c>
      <c r="Q36" s="107" t="n">
        <v>17.4570875</v>
      </c>
      <c r="R36" s="107" t="n">
        <v>2.9985875</v>
      </c>
      <c r="S36" s="107" t="n">
        <v>29.3910775862069</v>
      </c>
      <c r="T36" s="107" t="n">
        <v>9.953628125</v>
      </c>
      <c r="U36" s="107" t="n">
        <v>-41.1745833333333</v>
      </c>
      <c r="V36" s="107" t="n">
        <v>-35.435875</v>
      </c>
      <c r="W36" s="107" t="n">
        <v>51.4998214285714</v>
      </c>
      <c r="X36" s="107"/>
    </row>
    <row r="37" customFormat="false" ht="15.75" hidden="false" customHeight="true" outlineLevel="0" collapsed="false">
      <c r="A37" s="106" t="n">
        <v>45852</v>
      </c>
      <c r="B37" s="107" t="n">
        <v>8.21625</v>
      </c>
      <c r="C37" s="107" t="n">
        <v>31.2929166666667</v>
      </c>
      <c r="D37" s="107" t="n">
        <v>30.1891666666667</v>
      </c>
      <c r="E37" s="107" t="n">
        <v>21.2974107142857</v>
      </c>
      <c r="F37" s="107" t="n">
        <v>12.4807666666667</v>
      </c>
      <c r="G37" s="107" t="n">
        <v>-54.26975</v>
      </c>
      <c r="H37" s="107" t="n">
        <v>40.6005</v>
      </c>
      <c r="I37" s="107" t="n">
        <v>16.8145083333333</v>
      </c>
      <c r="J37" s="107" t="n">
        <v>5.87025</v>
      </c>
      <c r="K37" s="107" t="n">
        <v>46.0525208333333</v>
      </c>
      <c r="L37" s="107" t="n">
        <v>32.7753541666667</v>
      </c>
      <c r="M37" s="107" t="n">
        <v>30.100875</v>
      </c>
      <c r="N37" s="107" t="n">
        <v>8.415</v>
      </c>
      <c r="O37" s="107" t="n">
        <v>21.07125</v>
      </c>
      <c r="P37" s="107" t="n">
        <v>13.4945625</v>
      </c>
      <c r="Q37" s="107" t="n">
        <v>40.7850416666667</v>
      </c>
      <c r="R37" s="107" t="n">
        <v>4.35346875</v>
      </c>
      <c r="S37" s="107" t="n">
        <v>34.0428189655172</v>
      </c>
      <c r="T37" s="107" t="n">
        <v>19.217009375</v>
      </c>
      <c r="U37" s="107" t="n">
        <v>-47.2152083333333</v>
      </c>
      <c r="V37" s="107" t="n">
        <v>-26.4741</v>
      </c>
      <c r="W37" s="107" t="n">
        <v>62.2323214285714</v>
      </c>
      <c r="X37" s="107" t="n">
        <v>15.1930208333333</v>
      </c>
    </row>
    <row r="38" customFormat="false" ht="15.75" hidden="false" customHeight="true" outlineLevel="0" collapsed="false">
      <c r="A38" s="106" t="n">
        <v>45853</v>
      </c>
      <c r="B38" s="107" t="n">
        <v>56.1924166666667</v>
      </c>
      <c r="C38" s="107" t="n">
        <v>56.4654166666667</v>
      </c>
      <c r="D38" s="107" t="n">
        <v>57.6151666666667</v>
      </c>
      <c r="E38" s="107" t="n">
        <v>40.8538392857143</v>
      </c>
      <c r="F38" s="107" t="n">
        <v>41.0862333333333</v>
      </c>
      <c r="G38" s="107" t="n">
        <v>-20.854375</v>
      </c>
      <c r="H38" s="107" t="n">
        <v>42.83375</v>
      </c>
      <c r="I38" s="107" t="n">
        <v>20.0444166666667</v>
      </c>
      <c r="J38" s="107" t="n">
        <v>34.5899166666667</v>
      </c>
      <c r="K38" s="107" t="n">
        <v>77.1951822916667</v>
      </c>
      <c r="L38" s="107" t="n">
        <v>50.8119318181818</v>
      </c>
      <c r="M38" s="107" t="n">
        <v>53.2115</v>
      </c>
      <c r="N38" s="107" t="n">
        <v>44.7458333333333</v>
      </c>
      <c r="O38" s="107" t="n">
        <v>52.81085</v>
      </c>
      <c r="P38" s="107" t="n">
        <v>55.726875</v>
      </c>
      <c r="Q38" s="107" t="n">
        <v>57.2745416666667</v>
      </c>
      <c r="R38" s="107" t="n">
        <v>22.9401875</v>
      </c>
      <c r="S38" s="107" t="n">
        <v>57.2603189655172</v>
      </c>
      <c r="T38" s="107" t="n">
        <v>37.26826875</v>
      </c>
      <c r="U38" s="107" t="n">
        <v>-28.4595833333333</v>
      </c>
      <c r="V38" s="107" t="n">
        <v>1.031875</v>
      </c>
      <c r="W38" s="107" t="n">
        <v>88.8798214285714</v>
      </c>
      <c r="X38" s="107" t="n">
        <v>54.11875</v>
      </c>
    </row>
    <row r="39" customFormat="false" ht="15.75" hidden="false" customHeight="true" outlineLevel="0" collapsed="false">
      <c r="A39" s="106" t="n">
        <v>45854</v>
      </c>
      <c r="B39" s="107" t="n">
        <v>15.1617416666667</v>
      </c>
      <c r="C39" s="107" t="n">
        <v>66.0648958333333</v>
      </c>
      <c r="D39" s="107" t="n">
        <v>51.3375833333333</v>
      </c>
      <c r="E39" s="107" t="n">
        <v>27.7151785714286</v>
      </c>
      <c r="F39" s="107" t="n">
        <v>53.9091666666667</v>
      </c>
      <c r="G39" s="107" t="n">
        <v>-5.8169375</v>
      </c>
      <c r="H39" s="107" t="n">
        <v>25.36625</v>
      </c>
      <c r="I39" s="107" t="n">
        <v>6.66066666666667</v>
      </c>
      <c r="J39" s="107" t="n">
        <v>48.02425</v>
      </c>
      <c r="K39" s="107" t="n">
        <v>79.4255885416667</v>
      </c>
      <c r="L39" s="107" t="n">
        <v>51.0263636363636</v>
      </c>
      <c r="M39" s="107" t="n">
        <v>56.366875</v>
      </c>
      <c r="N39" s="107" t="n">
        <v>77.4622916666667</v>
      </c>
      <c r="O39" s="107" t="n">
        <v>49.6800375</v>
      </c>
      <c r="P39" s="107" t="n">
        <v>43.2743125</v>
      </c>
      <c r="Q39" s="107" t="n">
        <v>59.1079583333333</v>
      </c>
      <c r="R39" s="107" t="n">
        <v>18.7393375</v>
      </c>
      <c r="S39" s="107" t="n">
        <v>29.2444827586207</v>
      </c>
      <c r="T39" s="107" t="n">
        <v>43.39510625</v>
      </c>
      <c r="U39" s="107" t="n">
        <v>-33.629375</v>
      </c>
      <c r="V39" s="107" t="n">
        <v>7.839625</v>
      </c>
      <c r="W39" s="107" t="n">
        <v>96.3592053571429</v>
      </c>
      <c r="X39" s="107" t="n">
        <v>27.6444166666667</v>
      </c>
    </row>
    <row r="40" customFormat="false" ht="15.75" hidden="false" customHeight="true" outlineLevel="0" collapsed="false">
      <c r="A40" s="106" t="n">
        <v>45855</v>
      </c>
      <c r="B40" s="107" t="n">
        <v>29.14925</v>
      </c>
      <c r="C40" s="107" t="n">
        <v>41.6833541666667</v>
      </c>
      <c r="D40" s="107" t="n">
        <v>60.7094833333333</v>
      </c>
      <c r="E40" s="107" t="n">
        <v>35.0671428571429</v>
      </c>
      <c r="F40" s="107" t="n">
        <v>67.3740833333333</v>
      </c>
      <c r="G40" s="107" t="n">
        <v>-33.6274375</v>
      </c>
      <c r="H40" s="107" t="n">
        <v>-7.30125</v>
      </c>
      <c r="I40" s="107" t="n">
        <v>33.576</v>
      </c>
      <c r="J40" s="107" t="n">
        <v>51.6248333333333</v>
      </c>
      <c r="K40" s="107" t="n">
        <v>83.1159739583333</v>
      </c>
      <c r="L40" s="107" t="n">
        <v>63.9107954545455</v>
      </c>
      <c r="M40" s="107" t="n">
        <v>36.9319</v>
      </c>
      <c r="N40" s="107" t="n">
        <v>48.5555208333333</v>
      </c>
      <c r="O40" s="107" t="n">
        <v>63.549875</v>
      </c>
      <c r="P40" s="107" t="n">
        <v>39.089125</v>
      </c>
      <c r="Q40" s="107" t="n">
        <v>46.5374166666667</v>
      </c>
      <c r="R40" s="107" t="n">
        <v>14.16403125</v>
      </c>
      <c r="S40" s="107" t="n">
        <v>41.6354525862069</v>
      </c>
      <c r="T40" s="107" t="n">
        <v>47.437775</v>
      </c>
      <c r="U40" s="107" t="n">
        <v>-44.17875</v>
      </c>
      <c r="V40" s="107" t="n">
        <v>-8.965875</v>
      </c>
      <c r="W40" s="107" t="n">
        <v>82.3276785714286</v>
      </c>
      <c r="X40" s="107" t="n">
        <v>17.60953125</v>
      </c>
    </row>
    <row r="41" customFormat="false" ht="15.75" hidden="false" customHeight="true" outlineLevel="0" collapsed="false">
      <c r="A41" s="106" t="n">
        <v>45856</v>
      </c>
      <c r="B41" s="107" t="n">
        <v>-10.2392583333333</v>
      </c>
      <c r="C41" s="107" t="n">
        <v>11.1728125</v>
      </c>
      <c r="D41" s="107" t="n">
        <v>32.5996666666667</v>
      </c>
      <c r="E41" s="107" t="n">
        <v>28.6298214285714</v>
      </c>
      <c r="F41" s="107" t="n">
        <v>30.6070833333333</v>
      </c>
      <c r="G41" s="107" t="n">
        <v>-39.46425</v>
      </c>
      <c r="H41" s="107" t="n">
        <v>-29.305</v>
      </c>
      <c r="I41" s="107" t="n">
        <v>41.4066666666667</v>
      </c>
      <c r="J41" s="107" t="n">
        <v>24.1758166666667</v>
      </c>
      <c r="K41" s="107" t="n">
        <v>54.7095520833333</v>
      </c>
      <c r="L41" s="107" t="n">
        <v>79.2346590909091</v>
      </c>
      <c r="M41" s="107" t="n">
        <v>8.7725</v>
      </c>
      <c r="N41" s="107" t="n">
        <v>21.43540625</v>
      </c>
      <c r="O41" s="107" t="n">
        <v>57.5935</v>
      </c>
      <c r="P41" s="107" t="n">
        <v>18.97745625</v>
      </c>
      <c r="Q41" s="107" t="n">
        <v>35.4996208333333</v>
      </c>
      <c r="R41" s="107" t="n">
        <v>-1.2783125</v>
      </c>
      <c r="S41" s="107" t="n">
        <v>26.3073362068966</v>
      </c>
      <c r="T41" s="107" t="n">
        <v>23.53074375</v>
      </c>
      <c r="U41" s="107" t="n">
        <v>-57.38625</v>
      </c>
      <c r="V41" s="107" t="n">
        <v>-45.944625</v>
      </c>
      <c r="W41" s="107" t="n">
        <v>60.5616964285714</v>
      </c>
      <c r="X41" s="107" t="n">
        <v>-4.23828125</v>
      </c>
    </row>
    <row r="42" customFormat="false" ht="15.75" hidden="false" customHeight="true" outlineLevel="0" collapsed="false">
      <c r="A42" s="106" t="n">
        <v>45861</v>
      </c>
      <c r="B42" s="107" t="n">
        <v>38.7735</v>
      </c>
      <c r="C42" s="107" t="n">
        <v>24.092</v>
      </c>
      <c r="D42" s="107" t="n">
        <v>29.6013333333333</v>
      </c>
      <c r="E42" s="107" t="n">
        <v>33.6366071428571</v>
      </c>
      <c r="F42" s="107" t="n">
        <v>-1.551275</v>
      </c>
      <c r="G42" s="107" t="n">
        <v>-31.90725</v>
      </c>
      <c r="H42" s="107" t="n">
        <v>7.8065</v>
      </c>
      <c r="I42" s="107" t="n">
        <v>58.41025</v>
      </c>
      <c r="J42" s="107" t="n">
        <v>39.4026666666667</v>
      </c>
      <c r="K42" s="107" t="n">
        <v>42.8641666666667</v>
      </c>
      <c r="L42" s="107" t="n">
        <v>86.5645454545455</v>
      </c>
      <c r="M42" s="107" t="n">
        <v>35.29325</v>
      </c>
      <c r="N42" s="107" t="n">
        <v>-22.2071666666667</v>
      </c>
      <c r="O42" s="107" t="n">
        <v>-19.40175</v>
      </c>
      <c r="P42" s="107" t="n">
        <v>25.839</v>
      </c>
      <c r="Q42" s="107" t="n">
        <v>26.3410791666667</v>
      </c>
      <c r="R42" s="107" t="n">
        <v>19.2601875</v>
      </c>
      <c r="S42" s="107" t="n">
        <v>52.9996982758621</v>
      </c>
      <c r="T42" s="107" t="n">
        <v>33.82640625</v>
      </c>
      <c r="U42" s="107" t="n">
        <v>-27.52375</v>
      </c>
      <c r="V42" s="107" t="n">
        <v>-37.0405</v>
      </c>
      <c r="W42" s="107" t="n">
        <v>57.9376517857143</v>
      </c>
      <c r="X42" s="107" t="n">
        <v>12.8846354166667</v>
      </c>
    </row>
    <row r="43" customFormat="false" ht="15.75" hidden="false" customHeight="true" outlineLevel="0" collapsed="false">
      <c r="A43" s="106" t="n">
        <v>45862</v>
      </c>
      <c r="B43" s="107" t="n">
        <v>43.1940333333333</v>
      </c>
      <c r="C43" s="107" t="n">
        <v>33.396875</v>
      </c>
      <c r="D43" s="107" t="n">
        <v>29.6826083333333</v>
      </c>
      <c r="E43" s="107" t="n">
        <v>25.4753035714286</v>
      </c>
      <c r="F43" s="107" t="n">
        <v>-25.04775</v>
      </c>
      <c r="G43" s="107" t="n">
        <v>-59.934</v>
      </c>
      <c r="H43" s="107" t="n">
        <v>-19.32275</v>
      </c>
      <c r="I43" s="107" t="n">
        <v>58.9748333333333</v>
      </c>
      <c r="J43" s="107" t="n">
        <v>18.1473333333333</v>
      </c>
      <c r="K43" s="107" t="n">
        <v>66.5984583333333</v>
      </c>
      <c r="L43" s="107" t="n">
        <v>72.4854545454545</v>
      </c>
      <c r="M43" s="107" t="n">
        <v>33.832625</v>
      </c>
      <c r="N43" s="107" t="n">
        <v>13.4984375</v>
      </c>
      <c r="O43" s="107" t="n">
        <v>-18.763875</v>
      </c>
      <c r="P43" s="107" t="n">
        <v>38.7444375</v>
      </c>
      <c r="Q43" s="107" t="n">
        <v>22.16635</v>
      </c>
      <c r="R43" s="107" t="n">
        <v>12.1908375</v>
      </c>
      <c r="S43" s="107" t="n">
        <v>37.4257370689655</v>
      </c>
      <c r="T43" s="107" t="n">
        <v>9.9763125</v>
      </c>
      <c r="U43" s="107" t="n">
        <v>-19.5595833333333</v>
      </c>
      <c r="V43" s="107" t="n">
        <v>-31.680225</v>
      </c>
      <c r="W43" s="107" t="n">
        <v>19.4883035714286</v>
      </c>
      <c r="X43" s="107" t="n">
        <v>8.55895833333333</v>
      </c>
    </row>
    <row r="44" customFormat="false" ht="15.75" hidden="false" customHeight="true" outlineLevel="0" collapsed="false">
      <c r="A44" s="106" t="n">
        <v>45863</v>
      </c>
      <c r="B44" s="107" t="n">
        <v>-6.23375</v>
      </c>
      <c r="C44" s="107" t="n">
        <v>0.3734375</v>
      </c>
      <c r="D44" s="107" t="n">
        <v>1.06225</v>
      </c>
      <c r="E44" s="107" t="n">
        <v>-32.8540714285714</v>
      </c>
      <c r="F44" s="107" t="n">
        <v>-49.451625</v>
      </c>
      <c r="G44" s="107" t="n">
        <v>-80.351625</v>
      </c>
      <c r="H44" s="107" t="n">
        <v>-11.73775</v>
      </c>
      <c r="I44" s="107" t="n">
        <v>6.552725</v>
      </c>
      <c r="J44" s="107" t="n">
        <v>-33.37305</v>
      </c>
      <c r="K44" s="107" t="n">
        <v>66.7002395833333</v>
      </c>
      <c r="L44" s="107" t="n">
        <v>38.1105681818182</v>
      </c>
      <c r="M44" s="107" t="n">
        <v>-12.03925</v>
      </c>
      <c r="N44" s="107" t="n">
        <v>-12.4607916666667</v>
      </c>
      <c r="O44" s="107" t="n">
        <v>-17.2444125</v>
      </c>
      <c r="P44" s="107" t="n">
        <v>-7.5531875</v>
      </c>
      <c r="Q44" s="107" t="n">
        <v>-19.3390833333333</v>
      </c>
      <c r="R44" s="107" t="n">
        <v>-40.69095625</v>
      </c>
      <c r="S44" s="107" t="n">
        <v>-3.10230603448276</v>
      </c>
      <c r="T44" s="107" t="n">
        <v>-36.418859375</v>
      </c>
      <c r="U44" s="107" t="n">
        <v>-54.444375</v>
      </c>
      <c r="V44" s="107" t="n">
        <v>-74.6779</v>
      </c>
      <c r="W44" s="107" t="n">
        <v>-13.5571428571429</v>
      </c>
      <c r="X44" s="107" t="n">
        <v>-23.6019791666667</v>
      </c>
    </row>
    <row r="45" customFormat="false" ht="15.75" hidden="false" customHeight="true" outlineLevel="0" collapsed="false">
      <c r="A45" s="106" t="n">
        <v>45866</v>
      </c>
      <c r="B45" s="107" t="n">
        <v>-6.98436666666667</v>
      </c>
      <c r="C45" s="107" t="n">
        <v>-27.3058333333333</v>
      </c>
      <c r="D45" s="107" t="n">
        <v>-14.9403666666667</v>
      </c>
      <c r="E45" s="107" t="n">
        <v>-46.2030357142857</v>
      </c>
      <c r="F45" s="107" t="n">
        <v>-38.9165833333333</v>
      </c>
      <c r="G45" s="107" t="n">
        <v>-90.795125</v>
      </c>
      <c r="H45" s="107" t="n">
        <v>-1.5875</v>
      </c>
      <c r="I45" s="107" t="n">
        <v>-27.8641833333333</v>
      </c>
      <c r="J45" s="107" t="n">
        <v>-47.26335</v>
      </c>
      <c r="K45" s="107" t="n">
        <v>65.9746770833333</v>
      </c>
      <c r="L45" s="107" t="n">
        <v>33.3313636363636</v>
      </c>
      <c r="M45" s="107" t="n">
        <v>-28.048375</v>
      </c>
      <c r="N45" s="107" t="n">
        <v>-40.5724583333333</v>
      </c>
      <c r="O45" s="107" t="n">
        <v>-51.562125</v>
      </c>
      <c r="P45" s="107" t="n">
        <v>-6.519875</v>
      </c>
      <c r="Q45" s="107" t="n">
        <v>-32.397625</v>
      </c>
      <c r="R45" s="107" t="n">
        <v>-59.68848125</v>
      </c>
      <c r="S45" s="107" t="n">
        <v>-9.38824137931034</v>
      </c>
      <c r="T45" s="107" t="n">
        <v>-46.603440625</v>
      </c>
      <c r="U45" s="107" t="n">
        <v>-79.0270833333333</v>
      </c>
      <c r="V45" s="107" t="n">
        <v>-84.587025</v>
      </c>
      <c r="W45" s="107" t="n">
        <v>-19.5584821428571</v>
      </c>
      <c r="X45" s="107" t="n">
        <v>-21.4858854166667</v>
      </c>
    </row>
    <row r="46" customFormat="false" ht="15.75" hidden="false" customHeight="true" outlineLevel="0" collapsed="false">
      <c r="A46" s="106" t="n">
        <v>45867</v>
      </c>
      <c r="B46" s="107" t="n">
        <v>23.5845333333333</v>
      </c>
      <c r="C46" s="107" t="n">
        <v>-23.165625</v>
      </c>
      <c r="D46" s="107" t="n">
        <v>-16.982</v>
      </c>
      <c r="E46" s="107" t="n">
        <v>-37.6703303571429</v>
      </c>
      <c r="F46" s="107" t="n">
        <v>-29.41325</v>
      </c>
      <c r="G46" s="107" t="n">
        <v>-72.79375</v>
      </c>
      <c r="H46" s="107" t="n">
        <v>-11.9045</v>
      </c>
      <c r="I46" s="107" t="n">
        <v>3.12083333333333</v>
      </c>
      <c r="J46" s="107" t="n">
        <v>-31.4980583333333</v>
      </c>
      <c r="K46" s="107" t="n">
        <v>88.822125</v>
      </c>
      <c r="L46" s="107" t="n">
        <v>33.6773863636364</v>
      </c>
      <c r="M46" s="107" t="n">
        <v>-31.314375</v>
      </c>
      <c r="N46" s="107" t="n">
        <v>-42.8478125</v>
      </c>
      <c r="O46" s="107" t="n">
        <v>-42.10725</v>
      </c>
      <c r="P46" s="107" t="n">
        <v>27.97255</v>
      </c>
      <c r="Q46" s="107" t="n">
        <v>-35.4218958333333</v>
      </c>
      <c r="R46" s="107" t="n">
        <v>-40.9435625</v>
      </c>
      <c r="S46" s="107" t="n">
        <v>7.52421551724138</v>
      </c>
      <c r="T46" s="107" t="n">
        <v>-25.856678125</v>
      </c>
      <c r="U46" s="107" t="n">
        <v>-85.9616666666667</v>
      </c>
      <c r="V46" s="107" t="n">
        <v>-66.527625</v>
      </c>
      <c r="W46" s="107" t="n">
        <v>-7.00723214285714</v>
      </c>
      <c r="X46" s="107" t="n">
        <v>-1.1803125</v>
      </c>
    </row>
    <row r="47" customFormat="false" ht="15.75" hidden="false" customHeight="true" outlineLevel="0" collapsed="false">
      <c r="A47" s="106" t="n">
        <v>45868</v>
      </c>
      <c r="B47" s="107" t="n">
        <v>13.1835</v>
      </c>
      <c r="C47" s="107" t="n">
        <v>-15.6144791666667</v>
      </c>
      <c r="D47" s="107" t="n">
        <v>13.0135</v>
      </c>
      <c r="E47" s="107" t="n">
        <v>-21.4402232142857</v>
      </c>
      <c r="F47" s="107" t="n">
        <v>-7.2129</v>
      </c>
      <c r="G47" s="107" t="n">
        <v>-51.449875</v>
      </c>
      <c r="H47" s="107" t="n">
        <v>13.465025</v>
      </c>
      <c r="I47" s="107" t="n">
        <v>19.983075</v>
      </c>
      <c r="J47" s="107" t="n">
        <v>-14.7835833333333</v>
      </c>
      <c r="K47" s="107" t="n">
        <v>95.1637239583333</v>
      </c>
      <c r="L47" s="107" t="n">
        <v>62.1148863636364</v>
      </c>
      <c r="M47" s="107" t="n">
        <v>-25.10925</v>
      </c>
      <c r="N47" s="107" t="n">
        <v>-22.7239791666667</v>
      </c>
      <c r="O47" s="107" t="n">
        <v>-29.411775</v>
      </c>
      <c r="P47" s="107" t="n">
        <v>54.010975</v>
      </c>
      <c r="Q47" s="107" t="n">
        <v>-20.6614041666667</v>
      </c>
      <c r="R47" s="107" t="n">
        <v>-14.607625</v>
      </c>
      <c r="S47" s="107" t="n">
        <v>22.522974137931</v>
      </c>
      <c r="T47" s="107" t="n">
        <v>0.556875000000001</v>
      </c>
      <c r="U47" s="107" t="n">
        <v>-42.1589583333333</v>
      </c>
      <c r="V47" s="107" t="n">
        <v>-51.5975</v>
      </c>
      <c r="W47" s="107" t="n">
        <v>13.4925892857143</v>
      </c>
      <c r="X47" s="107" t="n">
        <v>6.32833333333333</v>
      </c>
    </row>
    <row r="48" customFormat="false" ht="15.75" hidden="false" customHeight="true" outlineLevel="0" collapsed="false">
      <c r="A48" s="106" t="n">
        <v>45869</v>
      </c>
      <c r="B48" s="107" t="n">
        <v>-18.6743333333333</v>
      </c>
      <c r="C48" s="107" t="n">
        <v>-36.7759375</v>
      </c>
      <c r="D48" s="107" t="n">
        <v>-19.8474166666667</v>
      </c>
      <c r="E48" s="107" t="n">
        <v>-40.240625</v>
      </c>
      <c r="F48" s="107" t="n">
        <v>18.99225</v>
      </c>
      <c r="G48" s="107" t="n">
        <v>-67.32535</v>
      </c>
      <c r="H48" s="107" t="n">
        <v>-4.92575</v>
      </c>
      <c r="I48" s="107" t="n">
        <v>-16.1810833333333</v>
      </c>
      <c r="J48" s="107" t="n">
        <v>-61.3098333333333</v>
      </c>
      <c r="K48" s="107" t="n">
        <v>44.3441145833333</v>
      </c>
      <c r="L48" s="107" t="n">
        <v>39.99625</v>
      </c>
      <c r="M48" s="107" t="n">
        <v>-31.57295</v>
      </c>
      <c r="N48" s="107" t="n">
        <v>-64.5638541666667</v>
      </c>
      <c r="O48" s="107" t="n">
        <v>-51.723</v>
      </c>
      <c r="P48" s="107" t="n">
        <v>11.523125</v>
      </c>
      <c r="Q48" s="107" t="n">
        <v>-37.4006083333333</v>
      </c>
      <c r="R48" s="107" t="n">
        <v>-60.27105</v>
      </c>
      <c r="S48" s="107" t="n">
        <v>8.11918965517242</v>
      </c>
      <c r="T48" s="107" t="n">
        <v>-43.9707625</v>
      </c>
      <c r="U48" s="107" t="n">
        <v>-47.10375</v>
      </c>
      <c r="V48" s="107" t="n">
        <v>-87.383625</v>
      </c>
      <c r="W48" s="107" t="n">
        <v>-16.9870357142857</v>
      </c>
      <c r="X48" s="107" t="n">
        <v>-26.20965625</v>
      </c>
    </row>
    <row r="49" customFormat="false" ht="15.75" hidden="false" customHeight="true" outlineLevel="0" collapsed="false">
      <c r="A49" s="106" t="n">
        <v>45870</v>
      </c>
      <c r="B49" s="107" t="n">
        <v>-21.4011416666667</v>
      </c>
      <c r="C49" s="107" t="n">
        <v>-44.7986875</v>
      </c>
      <c r="D49" s="107" t="n">
        <v>-27.4344166666667</v>
      </c>
      <c r="E49" s="107" t="n">
        <v>-50.8527678571429</v>
      </c>
      <c r="F49" s="107" t="n">
        <v>45.1815833333333</v>
      </c>
      <c r="G49" s="107" t="n">
        <v>-90.22925</v>
      </c>
      <c r="H49" s="107" t="n">
        <v>-52.46725</v>
      </c>
      <c r="I49" s="107" t="n">
        <v>-39.6628333333333</v>
      </c>
      <c r="J49" s="107" t="n">
        <v>-77.9198166666667</v>
      </c>
      <c r="K49" s="107" t="n">
        <v>-4.6288125</v>
      </c>
      <c r="L49" s="107" t="n">
        <v>32.0435227272727</v>
      </c>
      <c r="M49" s="107" t="n">
        <v>-43.579</v>
      </c>
      <c r="N49" s="107" t="n">
        <v>-74.18825</v>
      </c>
      <c r="O49" s="107" t="n">
        <v>-53.9971875</v>
      </c>
      <c r="P49" s="107" t="n">
        <v>-14.85638125</v>
      </c>
      <c r="Q49" s="107" t="n">
        <v>-46.269375</v>
      </c>
      <c r="R49" s="107" t="n">
        <v>-80.6113125</v>
      </c>
      <c r="S49" s="107" t="n">
        <v>8.84336206896552</v>
      </c>
      <c r="T49" s="107" t="n">
        <v>-55.52780625</v>
      </c>
      <c r="U49" s="107" t="n">
        <v>-68.2301458333333</v>
      </c>
      <c r="V49" s="107" t="n">
        <v>-99.18775</v>
      </c>
      <c r="W49" s="107" t="n">
        <v>-27.9932142857143</v>
      </c>
      <c r="X49" s="107" t="n">
        <v>-41.6047395833333</v>
      </c>
    </row>
    <row r="50" customFormat="false" ht="15.75" hidden="false" customHeight="true" outlineLevel="0" collapsed="false">
      <c r="A50" s="106" t="n">
        <v>45873</v>
      </c>
      <c r="B50" s="107" t="n">
        <v>18.0502666666667</v>
      </c>
      <c r="C50" s="107" t="n">
        <v>-30.35</v>
      </c>
      <c r="D50" s="107" t="n">
        <v>-6.8295</v>
      </c>
      <c r="E50" s="107" t="n">
        <v>-10.9064285714286</v>
      </c>
      <c r="F50" s="107" t="n">
        <v>22.6735</v>
      </c>
      <c r="G50" s="107" t="n">
        <v>-60.195625</v>
      </c>
      <c r="H50" s="107" t="n">
        <v>-32.9685</v>
      </c>
      <c r="I50" s="107" t="n">
        <v>-0.51333333333333</v>
      </c>
      <c r="J50" s="107" t="n">
        <v>-74.1027416666667</v>
      </c>
      <c r="K50" s="107" t="n">
        <v>-9.79145833333333</v>
      </c>
      <c r="L50" s="107" t="n">
        <v>45.7275</v>
      </c>
      <c r="M50" s="107" t="n">
        <v>-33.22175</v>
      </c>
      <c r="N50" s="107" t="n">
        <v>-48.0499166666667</v>
      </c>
      <c r="O50" s="107" t="n">
        <v>-45.346875</v>
      </c>
      <c r="P50" s="107" t="n">
        <v>-0.613156250000003</v>
      </c>
      <c r="Q50" s="107" t="n">
        <v>-13.903125</v>
      </c>
      <c r="R50" s="107" t="n">
        <v>-59.0981875</v>
      </c>
      <c r="S50" s="107" t="n">
        <v>-2.22030172413793</v>
      </c>
      <c r="T50" s="107" t="n">
        <v>-53.701221875</v>
      </c>
      <c r="U50" s="107" t="n">
        <v>-44.7039583333333</v>
      </c>
      <c r="V50" s="107" t="n">
        <v>-60.525125</v>
      </c>
      <c r="W50" s="107" t="n">
        <v>7.87723214285715</v>
      </c>
      <c r="X50" s="107" t="n">
        <v>-20.9478125</v>
      </c>
    </row>
    <row r="51" customFormat="false" ht="15.75" hidden="false" customHeight="true" outlineLevel="0" collapsed="false">
      <c r="A51" s="106" t="n">
        <v>45874</v>
      </c>
      <c r="B51" s="107" t="n">
        <v>28.0894166666667</v>
      </c>
      <c r="C51" s="107" t="n">
        <v>-15.618375</v>
      </c>
      <c r="D51" s="107" t="n">
        <v>-4.547</v>
      </c>
      <c r="E51" s="107" t="n">
        <v>1.73615178571429</v>
      </c>
      <c r="F51" s="107" t="n">
        <v>0.908808333333337</v>
      </c>
      <c r="G51" s="107" t="n">
        <v>-42.544375</v>
      </c>
      <c r="H51" s="107" t="n">
        <v>-4.08</v>
      </c>
      <c r="I51" s="107" t="n">
        <v>20.2700166666667</v>
      </c>
      <c r="J51" s="107" t="n">
        <v>-73.2799166666667</v>
      </c>
      <c r="K51" s="107" t="n">
        <v>-8.57595833333333</v>
      </c>
      <c r="L51" s="107" t="n">
        <v>51.43875</v>
      </c>
      <c r="M51" s="107" t="n">
        <v>-18.323375</v>
      </c>
      <c r="N51" s="107" t="n">
        <v>-34.484625</v>
      </c>
      <c r="O51" s="107" t="n">
        <v>-30.880875</v>
      </c>
      <c r="P51" s="107" t="n">
        <v>19.72840625</v>
      </c>
      <c r="Q51" s="107" t="n">
        <v>-8.26495416666667</v>
      </c>
      <c r="R51" s="107" t="n">
        <v>-36.755375</v>
      </c>
      <c r="S51" s="107" t="n">
        <v>7.2592974137931</v>
      </c>
      <c r="T51" s="107" t="n">
        <v>-40.822509375</v>
      </c>
      <c r="U51" s="107" t="n">
        <v>-17.7497916666667</v>
      </c>
      <c r="V51" s="107" t="n">
        <v>-39.14275</v>
      </c>
      <c r="W51" s="107" t="n">
        <v>11.7806517857143</v>
      </c>
      <c r="X51" s="107" t="n">
        <v>-17.1062552083333</v>
      </c>
    </row>
    <row r="52" customFormat="false" ht="15.75" hidden="false" customHeight="true" outlineLevel="0" collapsed="false">
      <c r="A52" s="106" t="n">
        <v>45875</v>
      </c>
      <c r="B52" s="107" t="n">
        <v>12.227</v>
      </c>
      <c r="C52" s="107" t="n">
        <v>-17.2353125</v>
      </c>
      <c r="D52" s="107" t="n">
        <v>-24.948725</v>
      </c>
      <c r="E52" s="107" t="n">
        <v>-26.0732142857143</v>
      </c>
      <c r="F52" s="107" t="n">
        <v>-33.3964166666667</v>
      </c>
      <c r="G52" s="107" t="n">
        <v>-81.216625</v>
      </c>
      <c r="H52" s="107" t="n">
        <v>14.8165</v>
      </c>
      <c r="I52" s="107" t="n">
        <v>-0.279499999999997</v>
      </c>
      <c r="J52" s="107" t="n">
        <v>-77.681075</v>
      </c>
      <c r="K52" s="107" t="n">
        <v>-40.7181458333333</v>
      </c>
      <c r="L52" s="107" t="n">
        <v>39.6417045454545</v>
      </c>
      <c r="M52" s="107" t="n">
        <v>-29.17975</v>
      </c>
      <c r="N52" s="107" t="n">
        <v>-39.57125</v>
      </c>
      <c r="O52" s="107" t="n">
        <v>-62.3524</v>
      </c>
      <c r="P52" s="107" t="n">
        <v>1.6505625</v>
      </c>
      <c r="Q52" s="107" t="n">
        <v>-25.8115</v>
      </c>
      <c r="R52" s="107" t="n">
        <v>-44.98499375</v>
      </c>
      <c r="S52" s="107" t="n">
        <v>-12.7987198275862</v>
      </c>
      <c r="T52" s="107" t="n">
        <v>-55.284546875</v>
      </c>
      <c r="U52" s="107" t="n">
        <v>-34.1864375</v>
      </c>
      <c r="V52" s="107" t="n">
        <v>-73.1705</v>
      </c>
      <c r="W52" s="107" t="n">
        <v>-6.53514285714286</v>
      </c>
      <c r="X52" s="107" t="n">
        <v>-39.1527604166667</v>
      </c>
    </row>
    <row r="53" customFormat="false" ht="15.75" hidden="false" customHeight="true" outlineLevel="0" collapsed="false">
      <c r="A53" s="13" t="n">
        <v>45876</v>
      </c>
      <c r="B53" s="107" t="n">
        <v>-7.2555</v>
      </c>
      <c r="C53" s="107" t="n">
        <v>-21.4074895833333</v>
      </c>
      <c r="D53" s="107" t="n">
        <v>-30.4725</v>
      </c>
      <c r="E53" s="107" t="n">
        <v>-48.5962410714286</v>
      </c>
      <c r="F53" s="107" t="n">
        <v>-30.3533333333333</v>
      </c>
      <c r="G53" s="107" t="n">
        <v>-61.909</v>
      </c>
      <c r="H53" s="107" t="n">
        <v>-3.6705</v>
      </c>
      <c r="I53" s="107" t="n">
        <v>-11.2605</v>
      </c>
      <c r="J53" s="107" t="n">
        <v>-89.93425</v>
      </c>
      <c r="K53" s="107" t="n">
        <v>-28.9714114583333</v>
      </c>
      <c r="L53" s="107" t="n">
        <v>19.1328409090909</v>
      </c>
      <c r="M53" s="107" t="n">
        <v>-28.4341</v>
      </c>
      <c r="N53" s="107" t="n">
        <v>-46.4271979166667</v>
      </c>
      <c r="O53" s="107" t="n">
        <v>-67.499625</v>
      </c>
      <c r="P53" s="107" t="n">
        <v>-34.75185625</v>
      </c>
      <c r="Q53" s="107" t="n">
        <v>-14.8187541666667</v>
      </c>
      <c r="R53" s="107" t="n">
        <v>-77.7723625</v>
      </c>
      <c r="S53" s="107" t="n">
        <v>-25.6899568965517</v>
      </c>
      <c r="T53" s="107" t="n">
        <v>-67.212153125</v>
      </c>
      <c r="U53" s="107" t="n">
        <v>-60.2096666666667</v>
      </c>
      <c r="V53" s="107" t="n">
        <v>-100.9215</v>
      </c>
      <c r="W53" s="107" t="n">
        <v>0.0940624999999995</v>
      </c>
      <c r="X53" s="107" t="n">
        <v>-37.898046875</v>
      </c>
    </row>
    <row r="54" customFormat="false" ht="39" hidden="false" customHeight="true" outlineLevel="0" collapsed="false">
      <c r="A54" s="108" t="s">
        <v>632</v>
      </c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48"/>
      <c r="N54" s="48"/>
      <c r="O54" s="109"/>
      <c r="P54" s="109"/>
      <c r="Q54" s="109"/>
      <c r="R54" s="48"/>
      <c r="S54" s="48"/>
      <c r="T54" s="48"/>
      <c r="U54" s="48"/>
      <c r="V54" s="48"/>
      <c r="W54" s="107"/>
      <c r="X54" s="107"/>
    </row>
    <row r="55" customFormat="false" ht="15.75" hidden="false" customHeight="true" outlineLevel="0" collapsed="false">
      <c r="A55" s="111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</row>
    <row r="56" customFormat="false" ht="15.75" hidden="false" customHeight="true" outlineLevel="0" collapsed="false">
      <c r="A56" s="111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</row>
    <row r="57" customFormat="false" ht="15.75" hidden="false" customHeight="true" outlineLevel="0" collapsed="false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</row>
    <row r="58" customFormat="false" ht="15.75" hidden="false" customHeight="true" outlineLevel="0" collapsed="false">
      <c r="A58" s="111"/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</row>
    <row r="59" customFormat="false" ht="15.75" hidden="false" customHeight="true" outlineLevel="0" collapsed="false">
      <c r="A59" s="111"/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3"/>
    </row>
    <row r="60" customFormat="false" ht="15.75" hidden="false" customHeight="true" outlineLevel="0" collapsed="false">
      <c r="A60" s="111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</row>
    <row r="61" customFormat="false" ht="15.75" hidden="false" customHeight="true" outlineLevel="0" collapsed="false">
      <c r="A61" s="111"/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3"/>
    </row>
    <row r="62" customFormat="false" ht="15.75" hidden="false" customHeight="true" outlineLevel="0" collapsed="false">
      <c r="A62" s="111"/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</row>
    <row r="63" customFormat="false" ht="15.75" hidden="false" customHeight="true" outlineLevel="0" collapsed="false">
      <c r="A63" s="111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</row>
    <row r="64" customFormat="false" ht="15.75" hidden="false" customHeight="true" outlineLevel="0" collapsed="false">
      <c r="A64" s="111"/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  <c r="O64" s="113"/>
    </row>
    <row r="65" customFormat="false" ht="15.75" hidden="false" customHeight="true" outlineLevel="0" collapsed="false">
      <c r="A65" s="111"/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</row>
    <row r="66" customFormat="false" ht="15.75" hidden="false" customHeight="true" outlineLevel="0" collapsed="false">
      <c r="A66" s="111"/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  <c r="O66" s="113"/>
    </row>
    <row r="67" customFormat="false" ht="15.75" hidden="false" customHeight="true" outlineLevel="0" collapsed="false">
      <c r="A67" s="111"/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</row>
    <row r="68" customFormat="false" ht="15.75" hidden="false" customHeight="true" outlineLevel="0" collapsed="false">
      <c r="A68" s="111"/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</row>
    <row r="69" customFormat="false" ht="15.75" hidden="false" customHeight="true" outlineLevel="0" collapsed="false">
      <c r="A69" s="111"/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</row>
    <row r="70" customFormat="false" ht="15.75" hidden="false" customHeight="true" outlineLevel="0" collapsed="false">
      <c r="A70" s="111"/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</row>
    <row r="71" customFormat="false" ht="15.75" hidden="false" customHeight="true" outlineLevel="0" collapsed="false">
      <c r="A71" s="111"/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3"/>
    </row>
    <row r="72" customFormat="false" ht="15.75" hidden="false" customHeight="true" outlineLevel="0" collapsed="false">
      <c r="A72" s="111"/>
      <c r="B72" s="112"/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</row>
    <row r="73" customFormat="false" ht="15.75" hidden="false" customHeight="true" outlineLevel="0" collapsed="false">
      <c r="A73" s="111"/>
      <c r="B73" s="112"/>
      <c r="C73" s="112"/>
      <c r="D73" s="112"/>
      <c r="E73" s="112"/>
      <c r="F73" s="112"/>
      <c r="G73" s="112"/>
      <c r="H73" s="112"/>
      <c r="I73" s="112"/>
      <c r="J73" s="112"/>
      <c r="K73" s="112"/>
      <c r="L73" s="112"/>
      <c r="M73" s="112"/>
      <c r="N73" s="112"/>
      <c r="O73" s="112"/>
    </row>
    <row r="74" customFormat="false" ht="15.75" hidden="false" customHeight="true" outlineLevel="0" collapsed="false">
      <c r="A74" s="111"/>
      <c r="B74" s="112"/>
      <c r="C74" s="112"/>
      <c r="D74" s="112"/>
      <c r="E74" s="112"/>
      <c r="F74" s="112"/>
      <c r="G74" s="112"/>
      <c r="H74" s="112"/>
      <c r="I74" s="112"/>
      <c r="J74" s="112"/>
      <c r="K74" s="112"/>
      <c r="L74" s="112"/>
      <c r="M74" s="112"/>
      <c r="N74" s="112"/>
      <c r="O74" s="112"/>
    </row>
    <row r="75" customFormat="false" ht="15.75" hidden="false" customHeight="true" outlineLevel="0" collapsed="false">
      <c r="A75" s="111"/>
      <c r="B75" s="112"/>
      <c r="C75" s="112"/>
      <c r="D75" s="112"/>
      <c r="E75" s="112"/>
      <c r="F75" s="112"/>
      <c r="G75" s="112"/>
      <c r="H75" s="112"/>
      <c r="I75" s="112"/>
      <c r="J75" s="112"/>
      <c r="K75" s="112"/>
      <c r="L75" s="112"/>
      <c r="M75" s="112"/>
      <c r="N75" s="112"/>
      <c r="O75" s="112"/>
    </row>
    <row r="76" customFormat="false" ht="15.75" hidden="false" customHeight="true" outlineLevel="0" collapsed="false">
      <c r="A76" s="111"/>
      <c r="B76" s="112"/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</row>
    <row r="77" customFormat="false" ht="15.75" hidden="false" customHeight="true" outlineLevel="0" collapsed="false">
      <c r="A77" s="111"/>
      <c r="B77" s="112"/>
      <c r="C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2"/>
      <c r="O77" s="112"/>
    </row>
    <row r="78" customFormat="false" ht="15.75" hidden="false" customHeight="true" outlineLevel="0" collapsed="false">
      <c r="A78" s="111"/>
      <c r="B78" s="112"/>
      <c r="C78" s="112"/>
      <c r="D78" s="112"/>
      <c r="E78" s="112"/>
      <c r="F78" s="112"/>
      <c r="G78" s="112"/>
      <c r="H78" s="112"/>
      <c r="I78" s="112"/>
      <c r="J78" s="112"/>
      <c r="K78" s="112"/>
      <c r="L78" s="112"/>
      <c r="M78" s="112"/>
      <c r="N78" s="112"/>
      <c r="O78" s="112"/>
    </row>
    <row r="79" customFormat="false" ht="15.75" hidden="false" customHeight="true" outlineLevel="0" collapsed="false">
      <c r="A79" s="111"/>
      <c r="B79" s="112"/>
      <c r="C79" s="112"/>
      <c r="D79" s="112"/>
      <c r="E79" s="112"/>
      <c r="F79" s="112"/>
      <c r="G79" s="112"/>
      <c r="H79" s="112"/>
      <c r="I79" s="112"/>
      <c r="J79" s="112"/>
      <c r="K79" s="112"/>
      <c r="L79" s="112"/>
      <c r="M79" s="112"/>
      <c r="N79" s="112"/>
      <c r="O79" s="112"/>
    </row>
    <row r="80" customFormat="false" ht="15.75" hidden="false" customHeight="true" outlineLevel="0" collapsed="false">
      <c r="A80" s="111"/>
      <c r="B80" s="112"/>
      <c r="C80" s="112"/>
      <c r="D80" s="112"/>
      <c r="E80" s="112"/>
      <c r="F80" s="112"/>
      <c r="G80" s="112"/>
      <c r="H80" s="112"/>
      <c r="I80" s="112"/>
      <c r="J80" s="112"/>
      <c r="K80" s="112"/>
      <c r="L80" s="112"/>
      <c r="M80" s="112"/>
      <c r="N80" s="112"/>
      <c r="O80" s="112"/>
    </row>
    <row r="81" customFormat="false" ht="15.75" hidden="false" customHeight="true" outlineLevel="0" collapsed="false">
      <c r="A81" s="111"/>
      <c r="B81" s="112"/>
      <c r="C81" s="112"/>
      <c r="D81" s="112"/>
      <c r="E81" s="112"/>
      <c r="F81" s="112"/>
      <c r="G81" s="112"/>
      <c r="H81" s="112"/>
      <c r="I81" s="112"/>
      <c r="J81" s="112"/>
      <c r="K81" s="112"/>
      <c r="L81" s="112"/>
      <c r="M81" s="112"/>
      <c r="N81" s="112"/>
      <c r="O81" s="112"/>
    </row>
    <row r="82" customFormat="false" ht="15.75" hidden="false" customHeight="true" outlineLevel="0" collapsed="false">
      <c r="A82" s="111"/>
      <c r="B82" s="112"/>
      <c r="C82" s="112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112"/>
    </row>
    <row r="83" customFormat="false" ht="15.75" hidden="false" customHeight="true" outlineLevel="0" collapsed="false">
      <c r="A83" s="111"/>
      <c r="B83" s="112"/>
      <c r="C83" s="112"/>
      <c r="D83" s="112"/>
      <c r="E83" s="112"/>
      <c r="F83" s="112"/>
      <c r="G83" s="112"/>
      <c r="H83" s="112"/>
      <c r="I83" s="112"/>
      <c r="J83" s="112"/>
      <c r="K83" s="112"/>
      <c r="L83" s="112"/>
      <c r="M83" s="112"/>
      <c r="N83" s="112"/>
      <c r="O83" s="112"/>
    </row>
    <row r="84" customFormat="false" ht="15.75" hidden="false" customHeight="true" outlineLevel="0" collapsed="false">
      <c r="A84" s="111"/>
      <c r="B84" s="112"/>
      <c r="C84" s="112"/>
      <c r="D84" s="112"/>
      <c r="E84" s="112"/>
      <c r="F84" s="112"/>
      <c r="G84" s="112"/>
      <c r="H84" s="112"/>
      <c r="I84" s="112"/>
      <c r="J84" s="112"/>
      <c r="K84" s="112"/>
      <c r="L84" s="112"/>
      <c r="M84" s="112"/>
      <c r="N84" s="112"/>
      <c r="O84" s="112"/>
    </row>
    <row r="85" customFormat="false" ht="15.75" hidden="false" customHeight="true" outlineLevel="0" collapsed="false">
      <c r="A85" s="111"/>
      <c r="B85" s="112"/>
      <c r="C85" s="112"/>
      <c r="D85" s="112"/>
      <c r="E85" s="112"/>
      <c r="F85" s="112"/>
      <c r="G85" s="112"/>
      <c r="H85" s="112"/>
      <c r="I85" s="112"/>
      <c r="J85" s="112"/>
      <c r="K85" s="112"/>
      <c r="L85" s="112"/>
      <c r="M85" s="112"/>
      <c r="N85" s="112"/>
      <c r="O85" s="112"/>
    </row>
    <row r="86" customFormat="false" ht="15.75" hidden="false" customHeight="true" outlineLevel="0" collapsed="false">
      <c r="A86" s="111"/>
      <c r="B86" s="112"/>
      <c r="C86" s="112"/>
      <c r="D86" s="112"/>
      <c r="E86" s="112"/>
      <c r="F86" s="112"/>
      <c r="G86" s="112"/>
      <c r="H86" s="112"/>
      <c r="I86" s="112"/>
      <c r="J86" s="112"/>
      <c r="K86" s="112"/>
      <c r="L86" s="112"/>
      <c r="M86" s="112"/>
      <c r="N86" s="112"/>
      <c r="O86" s="112"/>
    </row>
    <row r="87" customFormat="false" ht="15.75" hidden="false" customHeight="true" outlineLevel="0" collapsed="false">
      <c r="A87" s="111"/>
      <c r="B87" s="112"/>
      <c r="C87" s="112"/>
      <c r="D87" s="112"/>
      <c r="E87" s="112"/>
      <c r="F87" s="112"/>
      <c r="G87" s="112"/>
      <c r="H87" s="112"/>
      <c r="I87" s="112"/>
      <c r="J87" s="112"/>
      <c r="K87" s="112"/>
      <c r="L87" s="112"/>
      <c r="M87" s="112"/>
      <c r="N87" s="112"/>
      <c r="O87" s="112"/>
    </row>
    <row r="88" customFormat="false" ht="15.75" hidden="false" customHeight="true" outlineLevel="0" collapsed="false">
      <c r="A88" s="111"/>
      <c r="B88" s="112"/>
      <c r="C88" s="112"/>
      <c r="D88" s="112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</row>
    <row r="89" customFormat="false" ht="15.75" hidden="false" customHeight="true" outlineLevel="0" collapsed="false">
      <c r="A89" s="111"/>
      <c r="B89" s="112"/>
      <c r="C89" s="112"/>
      <c r="D89" s="112"/>
      <c r="E89" s="112"/>
      <c r="F89" s="112"/>
      <c r="G89" s="112"/>
      <c r="H89" s="112"/>
      <c r="I89" s="112"/>
      <c r="J89" s="112"/>
      <c r="K89" s="112"/>
      <c r="L89" s="112"/>
      <c r="M89" s="112"/>
      <c r="N89" s="112"/>
      <c r="O89" s="112"/>
    </row>
    <row r="90" customFormat="false" ht="15.75" hidden="false" customHeight="true" outlineLevel="0" collapsed="false">
      <c r="A90" s="111"/>
      <c r="B90" s="112"/>
      <c r="C90" s="112"/>
      <c r="D90" s="112"/>
      <c r="E90" s="112"/>
      <c r="F90" s="112"/>
      <c r="G90" s="112"/>
      <c r="H90" s="112"/>
      <c r="I90" s="112"/>
      <c r="J90" s="112"/>
      <c r="K90" s="112"/>
      <c r="L90" s="112"/>
      <c r="M90" s="112"/>
      <c r="N90" s="112"/>
      <c r="O90" s="112"/>
    </row>
    <row r="91" customFormat="false" ht="15.75" hidden="false" customHeight="true" outlineLevel="0" collapsed="false">
      <c r="A91" s="111"/>
      <c r="B91" s="112"/>
      <c r="C91" s="112"/>
      <c r="D91" s="112"/>
      <c r="E91" s="112"/>
      <c r="F91" s="112"/>
      <c r="G91" s="112"/>
      <c r="H91" s="112"/>
      <c r="I91" s="112"/>
      <c r="J91" s="112"/>
      <c r="K91" s="112"/>
      <c r="L91" s="112"/>
      <c r="M91" s="112"/>
      <c r="N91" s="112"/>
      <c r="O91" s="112"/>
    </row>
    <row r="92" customFormat="false" ht="15.75" hidden="false" customHeight="true" outlineLevel="0" collapsed="false">
      <c r="A92" s="111"/>
      <c r="B92" s="112"/>
      <c r="C92" s="112"/>
      <c r="D92" s="112"/>
      <c r="E92" s="112"/>
      <c r="F92" s="112"/>
      <c r="G92" s="112"/>
      <c r="H92" s="112"/>
      <c r="I92" s="112"/>
      <c r="J92" s="112"/>
      <c r="K92" s="112"/>
      <c r="L92" s="112"/>
      <c r="M92" s="112"/>
      <c r="N92" s="112"/>
      <c r="O92" s="112"/>
    </row>
    <row r="93" customFormat="false" ht="15.75" hidden="false" customHeight="true" outlineLevel="0" collapsed="false">
      <c r="A93" s="111"/>
      <c r="B93" s="112"/>
      <c r="C93" s="112"/>
      <c r="D93" s="112"/>
      <c r="E93" s="112"/>
      <c r="F93" s="112"/>
      <c r="G93" s="112"/>
      <c r="H93" s="112"/>
      <c r="I93" s="112"/>
      <c r="J93" s="112"/>
      <c r="K93" s="112"/>
      <c r="L93" s="112"/>
      <c r="M93" s="112"/>
      <c r="N93" s="112"/>
      <c r="O93" s="112"/>
    </row>
    <row r="94" customFormat="false" ht="15.75" hidden="false" customHeight="true" outlineLevel="0" collapsed="false">
      <c r="A94" s="111"/>
      <c r="B94" s="112"/>
      <c r="C94" s="112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</row>
    <row r="95" customFormat="false" ht="15.75" hidden="false" customHeight="true" outlineLevel="0" collapsed="false">
      <c r="A95" s="111"/>
      <c r="B95" s="112"/>
      <c r="C95" s="112"/>
      <c r="D95" s="112"/>
      <c r="E95" s="112"/>
      <c r="F95" s="112"/>
      <c r="G95" s="112"/>
      <c r="H95" s="112"/>
      <c r="I95" s="112"/>
      <c r="J95" s="112"/>
      <c r="K95" s="112"/>
      <c r="L95" s="112"/>
      <c r="M95" s="112"/>
      <c r="N95" s="112"/>
      <c r="O95" s="112"/>
    </row>
    <row r="96" customFormat="false" ht="15.75" hidden="false" customHeight="true" outlineLevel="0" collapsed="false">
      <c r="A96" s="111"/>
      <c r="B96" s="112"/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112"/>
      <c r="N96" s="112"/>
      <c r="O96" s="112"/>
    </row>
    <row r="97" customFormat="false" ht="15.75" hidden="false" customHeight="true" outlineLevel="0" collapsed="false">
      <c r="A97" s="111"/>
      <c r="B97" s="112"/>
      <c r="C97" s="112"/>
      <c r="D97" s="112"/>
      <c r="E97" s="112"/>
      <c r="F97" s="112"/>
      <c r="G97" s="112"/>
      <c r="H97" s="112"/>
      <c r="I97" s="112"/>
      <c r="J97" s="112"/>
      <c r="K97" s="112"/>
      <c r="L97" s="112"/>
      <c r="M97" s="112"/>
      <c r="N97" s="112"/>
      <c r="O97" s="112"/>
    </row>
    <row r="98" customFormat="false" ht="15.75" hidden="false" customHeight="true" outlineLevel="0" collapsed="false">
      <c r="A98" s="111"/>
      <c r="B98" s="112"/>
      <c r="C98" s="112"/>
      <c r="D98" s="112"/>
      <c r="E98" s="112"/>
      <c r="F98" s="112"/>
      <c r="G98" s="112"/>
      <c r="H98" s="112"/>
      <c r="I98" s="112"/>
      <c r="J98" s="112"/>
      <c r="K98" s="112"/>
      <c r="L98" s="112"/>
      <c r="M98" s="112"/>
      <c r="N98" s="112"/>
      <c r="O98" s="112"/>
    </row>
    <row r="99" customFormat="false" ht="15.75" hidden="false" customHeight="true" outlineLevel="0" collapsed="false">
      <c r="A99" s="111"/>
      <c r="B99" s="112"/>
      <c r="C99" s="112"/>
      <c r="D99" s="112"/>
      <c r="E99" s="112"/>
      <c r="F99" s="112"/>
      <c r="G99" s="112"/>
      <c r="H99" s="112"/>
      <c r="I99" s="112"/>
      <c r="J99" s="112"/>
      <c r="K99" s="112"/>
      <c r="L99" s="112"/>
      <c r="M99" s="112"/>
      <c r="N99" s="112"/>
      <c r="O99" s="112"/>
    </row>
    <row r="100" customFormat="false" ht="15.75" hidden="false" customHeight="true" outlineLevel="0" collapsed="false">
      <c r="A100" s="111"/>
      <c r="B100" s="112"/>
      <c r="C100" s="112"/>
      <c r="D100" s="112"/>
      <c r="E100" s="112"/>
      <c r="F100" s="112"/>
      <c r="G100" s="112"/>
      <c r="H100" s="112"/>
      <c r="I100" s="112"/>
      <c r="J100" s="112"/>
      <c r="K100" s="112"/>
      <c r="L100" s="112"/>
      <c r="M100" s="112"/>
      <c r="N100" s="112"/>
      <c r="O100" s="112"/>
    </row>
    <row r="101" customFormat="false" ht="15.75" hidden="false" customHeight="true" outlineLevel="0" collapsed="false">
      <c r="A101" s="111"/>
      <c r="B101" s="112"/>
      <c r="C101" s="112"/>
      <c r="D101" s="112"/>
      <c r="E101" s="112"/>
      <c r="F101" s="112"/>
      <c r="G101" s="112"/>
      <c r="H101" s="112"/>
      <c r="I101" s="112"/>
      <c r="J101" s="112"/>
      <c r="K101" s="112"/>
      <c r="L101" s="112"/>
      <c r="M101" s="112"/>
      <c r="N101" s="112"/>
      <c r="O101" s="112"/>
    </row>
    <row r="102" customFormat="false" ht="15.75" hidden="false" customHeight="true" outlineLevel="0" collapsed="false">
      <c r="A102" s="111"/>
      <c r="B102" s="112"/>
      <c r="C102" s="112"/>
      <c r="D102" s="112"/>
      <c r="E102" s="112"/>
      <c r="F102" s="112"/>
      <c r="G102" s="112"/>
      <c r="H102" s="112"/>
      <c r="I102" s="112"/>
      <c r="J102" s="112"/>
      <c r="K102" s="112"/>
      <c r="L102" s="112"/>
      <c r="M102" s="112"/>
      <c r="N102" s="112"/>
      <c r="O102" s="112"/>
    </row>
    <row r="103" customFormat="false" ht="15.75" hidden="false" customHeight="true" outlineLevel="0" collapsed="false">
      <c r="A103" s="111"/>
      <c r="B103" s="112"/>
      <c r="C103" s="112"/>
      <c r="D103" s="112"/>
      <c r="E103" s="112"/>
      <c r="F103" s="112"/>
      <c r="G103" s="112"/>
      <c r="H103" s="112"/>
      <c r="I103" s="112"/>
      <c r="J103" s="112"/>
      <c r="K103" s="112"/>
      <c r="L103" s="112"/>
      <c r="M103" s="112"/>
      <c r="N103" s="112"/>
      <c r="O103" s="112"/>
    </row>
    <row r="104" customFormat="false" ht="15.75" hidden="false" customHeight="true" outlineLevel="0" collapsed="false">
      <c r="A104" s="111"/>
      <c r="B104" s="112"/>
      <c r="C104" s="112"/>
      <c r="D104" s="112"/>
      <c r="E104" s="112"/>
      <c r="F104" s="112"/>
      <c r="G104" s="112"/>
      <c r="H104" s="112"/>
      <c r="I104" s="112"/>
      <c r="J104" s="112"/>
      <c r="K104" s="112"/>
      <c r="L104" s="112"/>
      <c r="M104" s="112"/>
      <c r="N104" s="112"/>
      <c r="O104" s="112"/>
    </row>
    <row r="105" customFormat="false" ht="15.75" hidden="false" customHeight="true" outlineLevel="0" collapsed="false">
      <c r="A105" s="111"/>
      <c r="B105" s="112"/>
      <c r="C105" s="112"/>
      <c r="D105" s="112"/>
      <c r="E105" s="112"/>
      <c r="F105" s="112"/>
      <c r="G105" s="112"/>
      <c r="H105" s="112"/>
      <c r="I105" s="112"/>
      <c r="J105" s="112"/>
      <c r="K105" s="112"/>
      <c r="L105" s="112"/>
      <c r="M105" s="112"/>
      <c r="N105" s="112"/>
      <c r="O105" s="112"/>
    </row>
    <row r="106" customFormat="false" ht="15.75" hidden="false" customHeight="true" outlineLevel="0" collapsed="false">
      <c r="A106" s="111"/>
      <c r="B106" s="112"/>
      <c r="C106" s="112"/>
      <c r="D106" s="112"/>
      <c r="E106" s="112"/>
      <c r="F106" s="112"/>
      <c r="G106" s="112"/>
      <c r="H106" s="112"/>
      <c r="I106" s="112"/>
      <c r="J106" s="112"/>
      <c r="K106" s="112"/>
      <c r="L106" s="112"/>
      <c r="M106" s="112"/>
      <c r="N106" s="112"/>
      <c r="O106" s="112"/>
    </row>
    <row r="107" customFormat="false" ht="15.75" hidden="false" customHeight="true" outlineLevel="0" collapsed="false">
      <c r="A107" s="111"/>
      <c r="B107" s="112"/>
      <c r="C107" s="112"/>
      <c r="D107" s="112"/>
      <c r="E107" s="112"/>
      <c r="F107" s="112"/>
      <c r="G107" s="112"/>
      <c r="H107" s="112"/>
      <c r="I107" s="112"/>
      <c r="J107" s="112"/>
      <c r="K107" s="112"/>
      <c r="L107" s="112"/>
      <c r="M107" s="112"/>
      <c r="N107" s="112"/>
      <c r="O107" s="112"/>
    </row>
    <row r="108" customFormat="false" ht="15.75" hidden="false" customHeight="true" outlineLevel="0" collapsed="false">
      <c r="A108" s="111"/>
      <c r="B108" s="112"/>
      <c r="C108" s="112"/>
      <c r="D108" s="112"/>
      <c r="E108" s="112"/>
      <c r="F108" s="112"/>
      <c r="G108" s="112"/>
      <c r="H108" s="112"/>
      <c r="I108" s="112"/>
      <c r="J108" s="112"/>
      <c r="K108" s="112"/>
      <c r="L108" s="112"/>
      <c r="M108" s="112"/>
      <c r="N108" s="112"/>
      <c r="O108" s="112"/>
    </row>
    <row r="109" customFormat="false" ht="15.75" hidden="false" customHeight="true" outlineLevel="0" collapsed="false">
      <c r="A109" s="111"/>
      <c r="B109" s="112"/>
      <c r="C109" s="112"/>
      <c r="D109" s="112"/>
      <c r="E109" s="112"/>
      <c r="F109" s="112"/>
      <c r="G109" s="112"/>
      <c r="H109" s="112"/>
      <c r="I109" s="112"/>
      <c r="J109" s="112"/>
      <c r="K109" s="112"/>
      <c r="L109" s="112"/>
      <c r="M109" s="112"/>
      <c r="N109" s="112"/>
      <c r="O109" s="112"/>
    </row>
    <row r="110" customFormat="false" ht="15.75" hidden="false" customHeight="true" outlineLevel="0" collapsed="false">
      <c r="A110" s="111"/>
      <c r="B110" s="112"/>
      <c r="C110" s="112"/>
      <c r="D110" s="112"/>
      <c r="E110" s="112"/>
      <c r="F110" s="112"/>
      <c r="G110" s="112"/>
      <c r="H110" s="112"/>
      <c r="I110" s="112"/>
      <c r="J110" s="112"/>
      <c r="K110" s="112"/>
      <c r="L110" s="112"/>
      <c r="M110" s="112"/>
      <c r="N110" s="112"/>
      <c r="O110" s="112"/>
    </row>
    <row r="111" customFormat="false" ht="15.75" hidden="false" customHeight="true" outlineLevel="0" collapsed="false">
      <c r="A111" s="111"/>
      <c r="B111" s="112"/>
      <c r="C111" s="112"/>
      <c r="D111" s="112"/>
      <c r="E111" s="112"/>
      <c r="F111" s="112"/>
      <c r="G111" s="112"/>
      <c r="H111" s="112"/>
      <c r="I111" s="112"/>
      <c r="J111" s="112"/>
      <c r="K111" s="112"/>
      <c r="L111" s="112"/>
      <c r="M111" s="112"/>
      <c r="N111" s="112"/>
      <c r="O111" s="112"/>
    </row>
    <row r="112" customFormat="false" ht="15.75" hidden="false" customHeight="true" outlineLevel="0" collapsed="false">
      <c r="A112" s="111"/>
      <c r="B112" s="112"/>
      <c r="C112" s="112"/>
      <c r="D112" s="112"/>
      <c r="E112" s="112"/>
      <c r="F112" s="112"/>
      <c r="G112" s="112"/>
      <c r="H112" s="112"/>
      <c r="I112" s="112"/>
      <c r="J112" s="112"/>
      <c r="K112" s="112"/>
      <c r="L112" s="112"/>
      <c r="M112" s="112"/>
      <c r="N112" s="112"/>
      <c r="O112" s="112"/>
    </row>
    <row r="113" customFormat="false" ht="15.75" hidden="false" customHeight="true" outlineLevel="0" collapsed="false">
      <c r="A113" s="111"/>
      <c r="B113" s="112"/>
      <c r="C113" s="11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</row>
    <row r="114" customFormat="false" ht="15.75" hidden="false" customHeight="true" outlineLevel="0" collapsed="false">
      <c r="A114" s="111"/>
      <c r="B114" s="112"/>
      <c r="C114" s="112"/>
      <c r="D114" s="112"/>
      <c r="E114" s="112"/>
      <c r="F114" s="112"/>
      <c r="G114" s="112"/>
      <c r="H114" s="112"/>
      <c r="I114" s="112"/>
      <c r="J114" s="112"/>
      <c r="K114" s="112"/>
      <c r="L114" s="112"/>
      <c r="M114" s="112"/>
      <c r="N114" s="112"/>
      <c r="O114" s="112"/>
    </row>
    <row r="115" customFormat="false" ht="15.75" hidden="false" customHeight="true" outlineLevel="0" collapsed="false">
      <c r="A115" s="111"/>
      <c r="B115" s="112"/>
      <c r="C115" s="112"/>
      <c r="D115" s="112"/>
      <c r="E115" s="112"/>
      <c r="F115" s="112"/>
      <c r="G115" s="112"/>
      <c r="H115" s="112"/>
      <c r="I115" s="112"/>
      <c r="J115" s="112"/>
      <c r="K115" s="112"/>
      <c r="L115" s="112"/>
      <c r="M115" s="112"/>
      <c r="N115" s="112"/>
      <c r="O115" s="112"/>
    </row>
    <row r="116" customFormat="false" ht="15.75" hidden="false" customHeight="true" outlineLevel="0" collapsed="false">
      <c r="A116" s="111"/>
      <c r="B116" s="112"/>
      <c r="C116" s="112"/>
      <c r="D116" s="112"/>
      <c r="E116" s="112"/>
      <c r="F116" s="112"/>
      <c r="G116" s="112"/>
      <c r="H116" s="112"/>
      <c r="I116" s="112"/>
      <c r="J116" s="112"/>
      <c r="K116" s="112"/>
      <c r="L116" s="112"/>
      <c r="M116" s="112"/>
      <c r="N116" s="112"/>
      <c r="O116" s="112"/>
    </row>
    <row r="117" customFormat="false" ht="15.75" hidden="false" customHeight="true" outlineLevel="0" collapsed="false">
      <c r="A117" s="111"/>
      <c r="B117" s="112"/>
      <c r="C117" s="112"/>
      <c r="D117" s="112"/>
      <c r="E117" s="112"/>
      <c r="F117" s="112"/>
      <c r="G117" s="112"/>
      <c r="H117" s="112"/>
      <c r="I117" s="112"/>
      <c r="J117" s="112"/>
      <c r="K117" s="112"/>
      <c r="L117" s="112"/>
      <c r="M117" s="112"/>
      <c r="N117" s="112"/>
      <c r="O117" s="112"/>
    </row>
    <row r="118" customFormat="false" ht="15.75" hidden="false" customHeight="true" outlineLevel="0" collapsed="false">
      <c r="A118" s="111"/>
      <c r="B118" s="112"/>
      <c r="C118" s="112"/>
      <c r="D118" s="112"/>
      <c r="E118" s="112"/>
      <c r="F118" s="112"/>
      <c r="G118" s="112"/>
      <c r="H118" s="112"/>
      <c r="I118" s="112"/>
      <c r="J118" s="112"/>
      <c r="K118" s="112"/>
      <c r="L118" s="112"/>
      <c r="M118" s="112"/>
      <c r="N118" s="112"/>
      <c r="O118" s="112"/>
    </row>
    <row r="119" customFormat="false" ht="15.75" hidden="false" customHeight="true" outlineLevel="0" collapsed="false">
      <c r="A119" s="111"/>
      <c r="B119" s="112"/>
      <c r="C119" s="112"/>
      <c r="D119" s="112"/>
      <c r="E119" s="112"/>
      <c r="F119" s="112"/>
      <c r="G119" s="112"/>
      <c r="H119" s="112"/>
      <c r="I119" s="112"/>
      <c r="J119" s="112"/>
      <c r="K119" s="112"/>
      <c r="L119" s="112"/>
      <c r="M119" s="112"/>
      <c r="N119" s="112"/>
      <c r="O119" s="112"/>
    </row>
    <row r="120" customFormat="false" ht="15.75" hidden="false" customHeight="true" outlineLevel="0" collapsed="false">
      <c r="A120" s="111"/>
      <c r="B120" s="112"/>
      <c r="C120" s="112"/>
      <c r="D120" s="112"/>
      <c r="E120" s="112"/>
      <c r="F120" s="112"/>
      <c r="G120" s="112"/>
      <c r="H120" s="112"/>
      <c r="I120" s="112"/>
      <c r="J120" s="112"/>
      <c r="K120" s="112"/>
      <c r="L120" s="112"/>
      <c r="M120" s="112"/>
      <c r="N120" s="112"/>
      <c r="O120" s="112"/>
    </row>
    <row r="121" customFormat="false" ht="15.75" hidden="false" customHeight="true" outlineLevel="0" collapsed="false">
      <c r="A121" s="111"/>
      <c r="B121" s="112"/>
      <c r="C121" s="112"/>
      <c r="D121" s="112"/>
      <c r="E121" s="112"/>
      <c r="F121" s="112"/>
      <c r="G121" s="112"/>
      <c r="H121" s="112"/>
      <c r="I121" s="112"/>
      <c r="J121" s="112"/>
      <c r="K121" s="112"/>
      <c r="L121" s="112"/>
      <c r="M121" s="112"/>
      <c r="N121" s="112"/>
      <c r="O121" s="112"/>
    </row>
    <row r="122" customFormat="false" ht="15.75" hidden="false" customHeight="true" outlineLevel="0" collapsed="false">
      <c r="A122" s="111"/>
      <c r="B122" s="112"/>
      <c r="C122" s="112"/>
      <c r="D122" s="112"/>
      <c r="E122" s="112"/>
      <c r="F122" s="112"/>
      <c r="G122" s="112"/>
      <c r="H122" s="112"/>
      <c r="I122" s="112"/>
      <c r="J122" s="112"/>
      <c r="K122" s="112"/>
      <c r="L122" s="112"/>
      <c r="M122" s="112"/>
      <c r="N122" s="112"/>
      <c r="O122" s="112"/>
    </row>
    <row r="123" customFormat="false" ht="15.75" hidden="false" customHeight="true" outlineLevel="0" collapsed="false">
      <c r="A123" s="111"/>
      <c r="B123" s="112"/>
      <c r="C123" s="112"/>
      <c r="D123" s="112"/>
      <c r="E123" s="112"/>
      <c r="F123" s="112"/>
      <c r="G123" s="112"/>
      <c r="H123" s="112"/>
      <c r="I123" s="112"/>
      <c r="J123" s="112"/>
      <c r="K123" s="112"/>
      <c r="L123" s="112"/>
      <c r="M123" s="112"/>
      <c r="N123" s="112"/>
      <c r="O123" s="112"/>
    </row>
    <row r="124" customFormat="false" ht="15.75" hidden="false" customHeight="true" outlineLevel="0" collapsed="false">
      <c r="A124" s="111"/>
      <c r="B124" s="112"/>
      <c r="C124" s="112"/>
      <c r="D124" s="112"/>
      <c r="E124" s="112"/>
      <c r="F124" s="112"/>
      <c r="G124" s="112"/>
      <c r="H124" s="112"/>
      <c r="I124" s="112"/>
      <c r="J124" s="112"/>
      <c r="K124" s="112"/>
      <c r="L124" s="112"/>
      <c r="M124" s="112"/>
      <c r="N124" s="112"/>
      <c r="O124" s="112"/>
    </row>
    <row r="125" customFormat="false" ht="15.75" hidden="false" customHeight="true" outlineLevel="0" collapsed="false">
      <c r="A125" s="111"/>
      <c r="B125" s="112"/>
      <c r="C125" s="112"/>
      <c r="D125" s="112"/>
      <c r="E125" s="112"/>
      <c r="F125" s="112"/>
      <c r="G125" s="112"/>
      <c r="H125" s="112"/>
      <c r="I125" s="112"/>
      <c r="J125" s="112"/>
      <c r="K125" s="112"/>
      <c r="L125" s="112"/>
      <c r="M125" s="112"/>
      <c r="N125" s="112"/>
      <c r="O125" s="112"/>
    </row>
    <row r="126" customFormat="false" ht="15.75" hidden="false" customHeight="true" outlineLevel="0" collapsed="false">
      <c r="A126" s="111"/>
      <c r="B126" s="112"/>
      <c r="C126" s="112"/>
      <c r="D126" s="112"/>
      <c r="E126" s="112"/>
      <c r="F126" s="112"/>
      <c r="G126" s="112"/>
      <c r="H126" s="112"/>
      <c r="I126" s="112"/>
      <c r="J126" s="112"/>
      <c r="K126" s="112"/>
      <c r="L126" s="112"/>
      <c r="M126" s="112"/>
      <c r="N126" s="112"/>
      <c r="O126" s="112"/>
    </row>
    <row r="127" customFormat="false" ht="15.75" hidden="false" customHeight="true" outlineLevel="0" collapsed="false">
      <c r="A127" s="111"/>
      <c r="B127" s="112"/>
      <c r="C127" s="112"/>
      <c r="D127" s="112"/>
      <c r="E127" s="112"/>
      <c r="F127" s="112"/>
      <c r="G127" s="112"/>
      <c r="H127" s="112"/>
      <c r="I127" s="112"/>
      <c r="J127" s="112"/>
      <c r="K127" s="112"/>
      <c r="L127" s="112"/>
      <c r="M127" s="112"/>
      <c r="N127" s="112"/>
      <c r="O127" s="112"/>
    </row>
    <row r="128" customFormat="false" ht="15.75" hidden="false" customHeight="true" outlineLevel="0" collapsed="false">
      <c r="A128" s="111"/>
      <c r="B128" s="112"/>
      <c r="C128" s="112"/>
      <c r="D128" s="112"/>
      <c r="E128" s="112"/>
      <c r="F128" s="112"/>
      <c r="G128" s="112"/>
      <c r="H128" s="112"/>
      <c r="I128" s="112"/>
      <c r="J128" s="112"/>
      <c r="K128" s="112"/>
      <c r="L128" s="112"/>
      <c r="M128" s="112"/>
      <c r="N128" s="112"/>
      <c r="O128" s="112"/>
    </row>
    <row r="129" customFormat="false" ht="15.75" hidden="false" customHeight="true" outlineLevel="0" collapsed="false">
      <c r="A129" s="111"/>
      <c r="B129" s="112"/>
      <c r="C129" s="112"/>
      <c r="D129" s="112"/>
      <c r="E129" s="112"/>
      <c r="F129" s="112"/>
      <c r="G129" s="112"/>
      <c r="H129" s="112"/>
      <c r="I129" s="112"/>
      <c r="J129" s="112"/>
      <c r="K129" s="112"/>
      <c r="L129" s="112"/>
      <c r="M129" s="112"/>
      <c r="N129" s="112"/>
      <c r="O129" s="112"/>
    </row>
    <row r="130" customFormat="false" ht="15.75" hidden="false" customHeight="true" outlineLevel="0" collapsed="false">
      <c r="A130" s="111"/>
      <c r="B130" s="112"/>
      <c r="C130" s="112"/>
      <c r="D130" s="112"/>
      <c r="E130" s="112"/>
      <c r="F130" s="112"/>
      <c r="G130" s="112"/>
      <c r="H130" s="112"/>
      <c r="I130" s="112"/>
      <c r="J130" s="112"/>
      <c r="K130" s="112"/>
      <c r="L130" s="112"/>
      <c r="M130" s="112"/>
      <c r="N130" s="112"/>
      <c r="O130" s="112"/>
    </row>
    <row r="131" customFormat="false" ht="15.75" hidden="false" customHeight="true" outlineLevel="0" collapsed="false">
      <c r="A131" s="111"/>
      <c r="B131" s="112"/>
      <c r="C131" s="112"/>
      <c r="D131" s="112"/>
      <c r="E131" s="112"/>
      <c r="F131" s="112"/>
      <c r="G131" s="112"/>
      <c r="H131" s="112"/>
      <c r="I131" s="112"/>
      <c r="J131" s="112"/>
      <c r="K131" s="112"/>
      <c r="L131" s="112"/>
      <c r="M131" s="112"/>
      <c r="N131" s="112"/>
      <c r="O131" s="112"/>
    </row>
    <row r="132" customFormat="false" ht="15.75" hidden="false" customHeight="true" outlineLevel="0" collapsed="false">
      <c r="A132" s="111"/>
      <c r="B132" s="112"/>
      <c r="C132" s="112"/>
      <c r="D132" s="112"/>
      <c r="E132" s="112"/>
      <c r="F132" s="112"/>
      <c r="G132" s="112"/>
      <c r="H132" s="112"/>
      <c r="I132" s="112"/>
      <c r="J132" s="112"/>
      <c r="K132" s="112"/>
      <c r="L132" s="112"/>
      <c r="M132" s="112"/>
      <c r="N132" s="112"/>
      <c r="O132" s="112"/>
    </row>
    <row r="133" customFormat="false" ht="15.75" hidden="false" customHeight="true" outlineLevel="0" collapsed="false">
      <c r="A133" s="111"/>
      <c r="B133" s="112"/>
      <c r="C133" s="112"/>
      <c r="D133" s="112"/>
      <c r="E133" s="112"/>
      <c r="F133" s="112"/>
      <c r="G133" s="112"/>
      <c r="H133" s="112"/>
      <c r="I133" s="112"/>
      <c r="J133" s="112"/>
      <c r="K133" s="112"/>
      <c r="L133" s="112"/>
      <c r="M133" s="112"/>
      <c r="N133" s="112"/>
      <c r="O133" s="112"/>
    </row>
    <row r="134" customFormat="false" ht="15.75" hidden="false" customHeight="true" outlineLevel="0" collapsed="false">
      <c r="A134" s="111"/>
      <c r="B134" s="112"/>
      <c r="C134" s="112"/>
      <c r="D134" s="112"/>
      <c r="E134" s="112"/>
      <c r="F134" s="112"/>
      <c r="G134" s="112"/>
      <c r="H134" s="112"/>
      <c r="I134" s="112"/>
      <c r="J134" s="112"/>
      <c r="K134" s="112"/>
      <c r="L134" s="112"/>
      <c r="M134" s="112"/>
      <c r="N134" s="112"/>
      <c r="O134" s="112"/>
    </row>
    <row r="135" customFormat="false" ht="15.75" hidden="false" customHeight="true" outlineLevel="0" collapsed="false">
      <c r="A135" s="111"/>
      <c r="B135" s="112"/>
      <c r="C135" s="112"/>
      <c r="D135" s="112"/>
      <c r="E135" s="112"/>
      <c r="F135" s="112"/>
      <c r="G135" s="112"/>
      <c r="H135" s="112"/>
      <c r="I135" s="112"/>
      <c r="J135" s="112"/>
      <c r="K135" s="112"/>
      <c r="L135" s="112"/>
      <c r="M135" s="112"/>
      <c r="N135" s="112"/>
      <c r="O135" s="112"/>
    </row>
    <row r="136" customFormat="false" ht="15.75" hidden="false" customHeight="true" outlineLevel="0" collapsed="false">
      <c r="A136" s="111"/>
      <c r="B136" s="112"/>
      <c r="C136" s="112"/>
      <c r="D136" s="112"/>
      <c r="E136" s="112"/>
      <c r="F136" s="112"/>
      <c r="G136" s="112"/>
      <c r="H136" s="112"/>
      <c r="I136" s="112"/>
      <c r="J136" s="112"/>
      <c r="K136" s="112"/>
      <c r="L136" s="112"/>
      <c r="M136" s="112"/>
      <c r="N136" s="112"/>
      <c r="O136" s="112"/>
    </row>
    <row r="137" customFormat="false" ht="15.75" hidden="false" customHeight="true" outlineLevel="0" collapsed="false">
      <c r="A137" s="111"/>
      <c r="B137" s="112"/>
      <c r="C137" s="112"/>
      <c r="D137" s="112"/>
      <c r="E137" s="112"/>
      <c r="F137" s="112"/>
      <c r="G137" s="112"/>
      <c r="H137" s="112"/>
      <c r="I137" s="112"/>
      <c r="J137" s="112"/>
      <c r="K137" s="112"/>
      <c r="L137" s="112"/>
      <c r="M137" s="112"/>
      <c r="N137" s="112"/>
      <c r="O137" s="112"/>
    </row>
    <row r="138" customFormat="false" ht="15.75" hidden="false" customHeight="true" outlineLevel="0" collapsed="false">
      <c r="A138" s="111"/>
      <c r="B138" s="112"/>
      <c r="C138" s="112"/>
      <c r="D138" s="112"/>
      <c r="E138" s="112"/>
      <c r="F138" s="112"/>
      <c r="G138" s="112"/>
      <c r="H138" s="112"/>
      <c r="I138" s="112"/>
      <c r="J138" s="112"/>
      <c r="K138" s="112"/>
      <c r="L138" s="112"/>
      <c r="M138" s="112"/>
      <c r="N138" s="112"/>
      <c r="O138" s="112"/>
    </row>
    <row r="139" customFormat="false" ht="15.75" hidden="false" customHeight="true" outlineLevel="0" collapsed="false">
      <c r="A139" s="111"/>
      <c r="B139" s="112"/>
      <c r="C139" s="112"/>
      <c r="D139" s="112"/>
      <c r="E139" s="112"/>
      <c r="F139" s="112"/>
      <c r="G139" s="112"/>
      <c r="H139" s="112"/>
      <c r="I139" s="112"/>
      <c r="J139" s="112"/>
      <c r="K139" s="112"/>
      <c r="L139" s="112"/>
      <c r="M139" s="112"/>
      <c r="N139" s="112"/>
      <c r="O139" s="112"/>
    </row>
    <row r="140" customFormat="false" ht="15.75" hidden="false" customHeight="true" outlineLevel="0" collapsed="false">
      <c r="A140" s="111"/>
      <c r="B140" s="112"/>
      <c r="C140" s="112"/>
      <c r="D140" s="112"/>
      <c r="E140" s="112"/>
      <c r="F140" s="112"/>
      <c r="G140" s="112"/>
      <c r="H140" s="112"/>
      <c r="I140" s="112"/>
      <c r="J140" s="112"/>
      <c r="K140" s="112"/>
      <c r="L140" s="112"/>
      <c r="M140" s="112"/>
      <c r="N140" s="112"/>
      <c r="O140" s="112"/>
    </row>
    <row r="141" customFormat="false" ht="15.75" hidden="false" customHeight="true" outlineLevel="0" collapsed="false">
      <c r="A141" s="111"/>
      <c r="B141" s="112"/>
      <c r="C141" s="112"/>
      <c r="D141" s="112"/>
      <c r="E141" s="112"/>
      <c r="F141" s="112"/>
      <c r="G141" s="112"/>
      <c r="H141" s="112"/>
      <c r="I141" s="112"/>
      <c r="J141" s="112"/>
      <c r="K141" s="112"/>
      <c r="L141" s="112"/>
      <c r="M141" s="112"/>
      <c r="N141" s="112"/>
      <c r="O141" s="112"/>
    </row>
    <row r="142" customFormat="false" ht="15.75" hidden="false" customHeight="true" outlineLevel="0" collapsed="false">
      <c r="A142" s="111"/>
      <c r="B142" s="112"/>
      <c r="C142" s="112"/>
      <c r="D142" s="112"/>
      <c r="E142" s="112"/>
      <c r="F142" s="112"/>
      <c r="G142" s="112"/>
      <c r="H142" s="112"/>
      <c r="I142" s="112"/>
      <c r="J142" s="112"/>
      <c r="K142" s="112"/>
      <c r="L142" s="112"/>
      <c r="M142" s="112"/>
      <c r="N142" s="112"/>
      <c r="O142" s="112"/>
    </row>
    <row r="143" customFormat="false" ht="15.75" hidden="false" customHeight="true" outlineLevel="0" collapsed="false">
      <c r="A143" s="111"/>
      <c r="B143" s="112"/>
      <c r="C143" s="112"/>
      <c r="D143" s="112"/>
      <c r="E143" s="112"/>
      <c r="F143" s="112"/>
      <c r="G143" s="112"/>
      <c r="H143" s="112"/>
      <c r="I143" s="112"/>
      <c r="J143" s="112"/>
      <c r="K143" s="112"/>
      <c r="L143" s="112"/>
      <c r="M143" s="112"/>
      <c r="N143" s="112"/>
      <c r="O143" s="112"/>
    </row>
    <row r="144" customFormat="false" ht="15.75" hidden="false" customHeight="true" outlineLevel="0" collapsed="false">
      <c r="A144" s="111"/>
      <c r="B144" s="112"/>
      <c r="C144" s="112"/>
      <c r="D144" s="112"/>
      <c r="E144" s="112"/>
      <c r="F144" s="112"/>
      <c r="G144" s="112"/>
      <c r="H144" s="112"/>
      <c r="I144" s="112"/>
      <c r="J144" s="112"/>
      <c r="K144" s="112"/>
      <c r="L144" s="112"/>
      <c r="M144" s="112"/>
      <c r="N144" s="112"/>
      <c r="O144" s="112"/>
    </row>
    <row r="145" customFormat="false" ht="15.75" hidden="false" customHeight="true" outlineLevel="0" collapsed="false">
      <c r="A145" s="111"/>
      <c r="B145" s="112"/>
      <c r="C145" s="112"/>
      <c r="D145" s="112"/>
      <c r="E145" s="112"/>
      <c r="F145" s="112"/>
      <c r="G145" s="112"/>
      <c r="H145" s="112"/>
      <c r="I145" s="112"/>
      <c r="J145" s="112"/>
      <c r="K145" s="112"/>
      <c r="L145" s="112"/>
      <c r="M145" s="112"/>
      <c r="N145" s="112"/>
      <c r="O145" s="112"/>
    </row>
    <row r="146" customFormat="false" ht="15" hidden="false" customHeight="true" outlineLevel="0" collapsed="false">
      <c r="A146" s="111"/>
      <c r="B146" s="112"/>
      <c r="C146" s="112"/>
      <c r="D146" s="112"/>
      <c r="E146" s="112"/>
      <c r="F146" s="112"/>
      <c r="G146" s="112"/>
      <c r="H146" s="112"/>
      <c r="I146" s="112"/>
      <c r="J146" s="112"/>
      <c r="K146" s="112"/>
      <c r="L146" s="112"/>
      <c r="M146" s="112"/>
      <c r="N146" s="112"/>
      <c r="O146" s="112"/>
    </row>
    <row r="147" customFormat="false" ht="15" hidden="false" customHeight="true" outlineLevel="0" collapsed="false">
      <c r="A147" s="111"/>
      <c r="B147" s="112"/>
      <c r="C147" s="112"/>
      <c r="D147" s="112"/>
      <c r="E147" s="112"/>
      <c r="F147" s="112"/>
      <c r="G147" s="112"/>
      <c r="H147" s="112"/>
      <c r="I147" s="112"/>
      <c r="J147" s="112"/>
      <c r="K147" s="112"/>
      <c r="L147" s="112"/>
      <c r="M147" s="112"/>
      <c r="N147" s="112"/>
      <c r="O147" s="112"/>
    </row>
    <row r="148" customFormat="false" ht="15" hidden="false" customHeight="true" outlineLevel="0" collapsed="false">
      <c r="A148" s="111"/>
      <c r="B148" s="112"/>
      <c r="C148" s="112"/>
      <c r="D148" s="112"/>
      <c r="E148" s="112"/>
      <c r="F148" s="112"/>
      <c r="G148" s="112"/>
      <c r="H148" s="112"/>
      <c r="I148" s="112"/>
      <c r="J148" s="112"/>
      <c r="K148" s="112"/>
      <c r="L148" s="112"/>
      <c r="M148" s="112"/>
      <c r="N148" s="112"/>
      <c r="O148" s="112"/>
    </row>
    <row r="149" customFormat="false" ht="15" hidden="false" customHeight="true" outlineLevel="0" collapsed="false">
      <c r="A149" s="111"/>
      <c r="B149" s="112"/>
      <c r="C149" s="112"/>
      <c r="D149" s="112"/>
      <c r="E149" s="112"/>
      <c r="F149" s="112"/>
      <c r="G149" s="112"/>
      <c r="H149" s="112"/>
      <c r="I149" s="112"/>
      <c r="J149" s="112"/>
      <c r="K149" s="112"/>
      <c r="L149" s="112"/>
      <c r="M149" s="112"/>
      <c r="N149" s="112"/>
      <c r="O149" s="112"/>
    </row>
    <row r="150" customFormat="false" ht="15" hidden="false" customHeight="true" outlineLevel="0" collapsed="false">
      <c r="A150" s="111"/>
      <c r="B150" s="112"/>
      <c r="C150" s="112"/>
      <c r="D150" s="112"/>
      <c r="E150" s="112"/>
      <c r="F150" s="112"/>
      <c r="G150" s="112"/>
      <c r="H150" s="112"/>
      <c r="I150" s="112"/>
      <c r="J150" s="112"/>
      <c r="K150" s="112"/>
      <c r="L150" s="112"/>
      <c r="M150" s="112"/>
      <c r="N150" s="112"/>
      <c r="O150" s="112"/>
    </row>
    <row r="151" customFormat="false" ht="15" hidden="false" customHeight="true" outlineLevel="0" collapsed="false">
      <c r="A151" s="111"/>
      <c r="B151" s="112"/>
      <c r="C151" s="112"/>
      <c r="D151" s="112"/>
      <c r="E151" s="112"/>
      <c r="F151" s="112"/>
      <c r="G151" s="112"/>
      <c r="H151" s="112"/>
      <c r="I151" s="112"/>
      <c r="J151" s="112"/>
      <c r="K151" s="112"/>
      <c r="L151" s="112"/>
      <c r="M151" s="112"/>
      <c r="N151" s="112"/>
      <c r="O151" s="112"/>
    </row>
    <row r="152" customFormat="false" ht="15" hidden="false" customHeight="true" outlineLevel="0" collapsed="false">
      <c r="A152" s="111"/>
      <c r="B152" s="112"/>
      <c r="C152" s="112"/>
      <c r="D152" s="112"/>
      <c r="E152" s="112"/>
      <c r="F152" s="112"/>
      <c r="G152" s="112"/>
      <c r="H152" s="112"/>
      <c r="I152" s="112"/>
      <c r="J152" s="112"/>
      <c r="K152" s="112"/>
      <c r="L152" s="112"/>
      <c r="M152" s="112"/>
      <c r="N152" s="112"/>
      <c r="O152" s="112"/>
    </row>
    <row r="153" customFormat="false" ht="15" hidden="false" customHeight="true" outlineLevel="0" collapsed="false">
      <c r="A153" s="111"/>
      <c r="B153" s="112"/>
      <c r="C153" s="112"/>
      <c r="D153" s="112"/>
      <c r="E153" s="112"/>
      <c r="F153" s="112"/>
      <c r="G153" s="112"/>
      <c r="H153" s="112"/>
      <c r="I153" s="112"/>
      <c r="J153" s="112"/>
      <c r="K153" s="112"/>
      <c r="L153" s="112"/>
      <c r="M153" s="112"/>
      <c r="N153" s="112"/>
      <c r="O153" s="112"/>
    </row>
    <row r="154" customFormat="false" ht="15" hidden="false" customHeight="true" outlineLevel="0" collapsed="false">
      <c r="A154" s="111"/>
      <c r="B154" s="112"/>
      <c r="C154" s="112"/>
      <c r="D154" s="112"/>
      <c r="E154" s="112"/>
      <c r="F154" s="112"/>
      <c r="G154" s="112"/>
      <c r="H154" s="112"/>
      <c r="I154" s="112"/>
      <c r="J154" s="112"/>
      <c r="K154" s="112"/>
      <c r="L154" s="112"/>
      <c r="M154" s="112"/>
      <c r="N154" s="112"/>
      <c r="O154" s="112"/>
    </row>
    <row r="155" customFormat="false" ht="15" hidden="false" customHeight="true" outlineLevel="0" collapsed="false">
      <c r="A155" s="111"/>
      <c r="B155" s="112"/>
      <c r="C155" s="112"/>
      <c r="D155" s="112"/>
      <c r="E155" s="112"/>
      <c r="F155" s="112"/>
      <c r="G155" s="112"/>
      <c r="H155" s="112"/>
      <c r="I155" s="112"/>
      <c r="J155" s="112"/>
      <c r="K155" s="112"/>
      <c r="L155" s="112"/>
      <c r="M155" s="112"/>
      <c r="N155" s="112"/>
      <c r="O155" s="112"/>
    </row>
  </sheetData>
  <mergeCells count="3">
    <mergeCell ref="A1:O2"/>
    <mergeCell ref="A4:O4"/>
    <mergeCell ref="A30:O30"/>
  </mergeCells>
  <conditionalFormatting sqref="C6:O52 C57:O71">
    <cfRule type="cellIs" priority="2" operator="greaterThanOrEqual" aboveAverage="0" equalAverage="0" bottom="0" percent="0" rank="0" text="" dxfId="18">
      <formula>60</formula>
    </cfRule>
  </conditionalFormatting>
  <conditionalFormatting sqref="C54:L54 O54:Q54">
    <cfRule type="cellIs" priority="3" operator="greaterThanOrEqual" aboveAverage="0" equalAverage="0" bottom="0" percent="0" rank="0" text="" dxfId="18">
      <formula>60</formula>
    </cfRule>
  </conditionalFormatting>
  <conditionalFormatting sqref="C54:L54 C57:O71 O54:Q54">
    <cfRule type="cellIs" priority="4" operator="lessThanOrEqual" aboveAverage="0" equalAverage="0" bottom="0" percent="0" rank="0" text="" dxfId="48">
      <formula>-60</formula>
    </cfRule>
  </conditionalFormatting>
  <conditionalFormatting sqref="B6:B31 P32:T52">
    <cfRule type="cellIs" priority="5" operator="greaterThanOrEqual" aboveAverage="0" equalAverage="0" bottom="0" percent="0" rank="0" text="" dxfId="18">
      <formula>60</formula>
    </cfRule>
    <cfRule type="cellIs" priority="6" operator="lessThanOrEqual" aboveAverage="0" equalAverage="0" bottom="0" percent="0" rank="0" text="" dxfId="48">
      <formula>-60</formula>
    </cfRule>
  </conditionalFormatting>
  <conditionalFormatting sqref="C6:O52">
    <cfRule type="cellIs" priority="7" operator="lessThanOrEqual" aboveAverage="0" equalAverage="0" bottom="0" percent="0" rank="0" text="" dxfId="48">
      <formula>-60</formula>
    </cfRule>
  </conditionalFormatting>
  <conditionalFormatting sqref="U32:V52">
    <cfRule type="cellIs" priority="8" operator="greaterThanOrEqual" aboveAverage="0" equalAverage="0" bottom="0" percent="0" rank="0" text="" dxfId="18">
      <formula>60</formula>
    </cfRule>
    <cfRule type="cellIs" priority="9" operator="lessThanOrEqual" aboveAverage="0" equalAverage="0" bottom="0" percent="0" rank="0" text="" dxfId="48">
      <formula>-60</formula>
    </cfRule>
  </conditionalFormatting>
  <conditionalFormatting sqref="P6:T27 V6:V27 W6:X52 W54:X54">
    <cfRule type="cellIs" priority="10" operator="greaterThanOrEqual" aboveAverage="0" equalAverage="0" bottom="0" percent="0" rank="0" text="" dxfId="18">
      <formula>60</formula>
    </cfRule>
    <cfRule type="cellIs" priority="11" operator="lessThanOrEqual" aboveAverage="0" equalAverage="0" bottom="0" percent="0" rank="0" text="" dxfId="48">
      <formula>-60</formula>
    </cfRule>
  </conditionalFormatting>
  <conditionalFormatting sqref="U6:U27">
    <cfRule type="cellIs" priority="12" operator="greaterThanOrEqual" aboveAverage="0" equalAverage="0" bottom="0" percent="0" rank="0" text="" dxfId="18">
      <formula>60</formula>
    </cfRule>
    <cfRule type="cellIs" priority="13" operator="lessThanOrEqual" aboveAverage="0" equalAverage="0" bottom="0" percent="0" rank="0" text="" dxfId="48">
      <formula>-60</formula>
    </cfRule>
  </conditionalFormatting>
  <conditionalFormatting sqref="B57:B71">
    <cfRule type="cellIs" priority="14" operator="greaterThanOrEqual" aboveAverage="0" equalAverage="0" bottom="0" percent="0" rank="0" text="" dxfId="18">
      <formula>60</formula>
    </cfRule>
    <cfRule type="cellIs" priority="15" operator="lessThanOrEqual" aboveAverage="0" equalAverage="0" bottom="0" percent="0" rank="0" text="" dxfId="48">
      <formula>-60</formula>
    </cfRule>
  </conditionalFormatting>
  <conditionalFormatting sqref="B54">
    <cfRule type="cellIs" priority="16" operator="greaterThanOrEqual" aboveAverage="0" equalAverage="0" bottom="0" percent="0" rank="0" text="" dxfId="18">
      <formula>60</formula>
    </cfRule>
    <cfRule type="cellIs" priority="17" operator="lessThanOrEqual" aboveAverage="0" equalAverage="0" bottom="0" percent="0" rank="0" text="" dxfId="48">
      <formula>-60</formula>
    </cfRule>
  </conditionalFormatting>
  <conditionalFormatting sqref="B32:B52">
    <cfRule type="cellIs" priority="18" operator="greaterThanOrEqual" aboveAverage="0" equalAverage="0" bottom="0" percent="0" rank="0" text="" dxfId="18">
      <formula>60</formula>
    </cfRule>
    <cfRule type="cellIs" priority="19" operator="lessThanOrEqual" aboveAverage="0" equalAverage="0" bottom="0" percent="0" rank="0" text="" dxfId="48">
      <formula>-60</formula>
    </cfRule>
  </conditionalFormatting>
  <conditionalFormatting sqref="B28:B31">
    <cfRule type="cellIs" priority="20" operator="greaterThanOrEqual" aboveAverage="0" equalAverage="0" bottom="0" percent="0" rank="0" text="" dxfId="18">
      <formula>60</formula>
    </cfRule>
    <cfRule type="cellIs" priority="21" operator="lessThanOrEqual" aboveAverage="0" equalAverage="0" bottom="0" percent="0" rank="0" text="" dxfId="48">
      <formula>-60</formula>
    </cfRule>
    <cfRule type="cellIs" priority="22" operator="greaterThanOrEqual" aboveAverage="0" equalAverage="0" bottom="0" percent="0" rank="0" text="" dxfId="18">
      <formula>60</formula>
    </cfRule>
    <cfRule type="cellIs" priority="23" operator="lessThanOrEqual" aboveAverage="0" equalAverage="0" bottom="0" percent="0" rank="0" text="" dxfId="48">
      <formula>-60</formula>
    </cfRule>
  </conditionalFormatting>
  <conditionalFormatting sqref="B6:O27">
    <cfRule type="cellIs" priority="24" operator="greaterThanOrEqual" aboveAverage="0" equalAverage="0" bottom="0" percent="0" rank="0" text="" dxfId="18">
      <formula>60</formula>
    </cfRule>
    <cfRule type="cellIs" priority="25" operator="lessThanOrEqual" aboveAverage="0" equalAverage="0" bottom="0" percent="0" rank="0" text="" dxfId="48">
      <formula>-60</formula>
    </cfRule>
  </conditionalFormatting>
  <conditionalFormatting sqref="C53:O53">
    <cfRule type="cellIs" priority="26" operator="greaterThanOrEqual" aboveAverage="0" equalAverage="0" bottom="0" percent="0" rank="0" text="" dxfId="18">
      <formula>60</formula>
    </cfRule>
    <cfRule type="cellIs" priority="27" operator="lessThanOrEqual" aboveAverage="0" equalAverage="0" bottom="0" percent="0" rank="0" text="" dxfId="48">
      <formula>-60</formula>
    </cfRule>
  </conditionalFormatting>
  <conditionalFormatting sqref="P53:T53">
    <cfRule type="cellIs" priority="28" operator="greaterThanOrEqual" aboveAverage="0" equalAverage="0" bottom="0" percent="0" rank="0" text="" dxfId="18">
      <formula>60</formula>
    </cfRule>
    <cfRule type="cellIs" priority="29" operator="lessThanOrEqual" aboveAverage="0" equalAverage="0" bottom="0" percent="0" rank="0" text="" dxfId="48">
      <formula>-60</formula>
    </cfRule>
  </conditionalFormatting>
  <conditionalFormatting sqref="U53:V53">
    <cfRule type="cellIs" priority="30" operator="greaterThanOrEqual" aboveAverage="0" equalAverage="0" bottom="0" percent="0" rank="0" text="" dxfId="18">
      <formula>60</formula>
    </cfRule>
    <cfRule type="cellIs" priority="31" operator="lessThanOrEqual" aboveAverage="0" equalAverage="0" bottom="0" percent="0" rank="0" text="" dxfId="48">
      <formula>-60</formula>
    </cfRule>
  </conditionalFormatting>
  <conditionalFormatting sqref="W53:X53">
    <cfRule type="cellIs" priority="32" operator="greaterThanOrEqual" aboveAverage="0" equalAverage="0" bottom="0" percent="0" rank="0" text="" dxfId="18">
      <formula>60</formula>
    </cfRule>
    <cfRule type="cellIs" priority="33" operator="lessThanOrEqual" aboveAverage="0" equalAverage="0" bottom="0" percent="0" rank="0" text="" dxfId="48">
      <formula>-60</formula>
    </cfRule>
  </conditionalFormatting>
  <conditionalFormatting sqref="B53">
    <cfRule type="cellIs" priority="34" operator="greaterThanOrEqual" aboveAverage="0" equalAverage="0" bottom="0" percent="0" rank="0" text="" dxfId="18">
      <formula>60</formula>
    </cfRule>
    <cfRule type="cellIs" priority="35" operator="lessThanOrEqual" aboveAverage="0" equalAverage="0" bottom="0" percent="0" rank="0" text="" dxfId="48">
      <formula>-60</formula>
    </cfRule>
  </conditionalFormatting>
  <printOptions headings="false" gridLines="false" gridLinesSet="true" horizontalCentered="true" verticalCentered="true"/>
  <pageMargins left="0" right="0" top="0.275694444444444" bottom="0.39375" header="0.511811023622047" footer="0.511811023622047"/>
  <pageSetup paperSize="1" scale="100" fitToWidth="1" fitToHeight="0" pageOrder="overThenDown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Z99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O89" activeCellId="0" sqref="O89"/>
    </sheetView>
  </sheetViews>
  <sheetFormatPr defaultColWidth="12.66796875" defaultRowHeight="12.75" customHeight="true" zeroHeight="false" outlineLevelRow="0" outlineLevelCol="0"/>
  <sheetData>
    <row r="1" customFormat="false" ht="15.75" hidden="false" customHeight="true" outlineLevel="0" collapsed="false">
      <c r="A1" s="34" t="s">
        <v>633</v>
      </c>
      <c r="B1" s="34" t="s">
        <v>634</v>
      </c>
      <c r="C1" s="34" t="s">
        <v>635</v>
      </c>
      <c r="D1" s="34" t="s">
        <v>636</v>
      </c>
      <c r="E1" s="34" t="s">
        <v>637</v>
      </c>
      <c r="F1" s="34" t="s">
        <v>638</v>
      </c>
      <c r="G1" s="34" t="s">
        <v>639</v>
      </c>
      <c r="H1" s="34" t="s">
        <v>640</v>
      </c>
      <c r="I1" s="34" t="s">
        <v>641</v>
      </c>
      <c r="J1" s="34" t="s">
        <v>642</v>
      </c>
      <c r="K1" s="34" t="s">
        <v>643</v>
      </c>
      <c r="L1" s="34" t="s">
        <v>644</v>
      </c>
      <c r="M1" s="34" t="s">
        <v>645</v>
      </c>
      <c r="N1" s="34" t="s">
        <v>646</v>
      </c>
      <c r="O1" s="34" t="s">
        <v>647</v>
      </c>
      <c r="P1" s="34" t="s">
        <v>648</v>
      </c>
      <c r="Q1" s="34" t="s">
        <v>649</v>
      </c>
      <c r="R1" s="34" t="s">
        <v>650</v>
      </c>
      <c r="S1" s="34" t="s">
        <v>651</v>
      </c>
      <c r="T1" s="34" t="s">
        <v>652</v>
      </c>
      <c r="U1" s="34" t="s">
        <v>653</v>
      </c>
      <c r="V1" s="34" t="s">
        <v>654</v>
      </c>
      <c r="W1" s="114" t="s">
        <v>655</v>
      </c>
      <c r="X1" s="37"/>
      <c r="Y1" s="37"/>
      <c r="Z1" s="37"/>
    </row>
    <row r="2" customFormat="false" ht="15.75" hidden="false" customHeight="true" outlineLevel="0" collapsed="false">
      <c r="A2" s="34" t="s">
        <v>124</v>
      </c>
      <c r="B2" s="34" t="n">
        <v>45580</v>
      </c>
      <c r="C2" s="34" t="n">
        <v>46125</v>
      </c>
      <c r="D2" s="34" t="n">
        <v>45380</v>
      </c>
      <c r="E2" s="34" t="n">
        <v>-0.675</v>
      </c>
      <c r="F2" s="34" t="n">
        <v>1133.29</v>
      </c>
      <c r="G2" s="34" t="n">
        <v>50590</v>
      </c>
      <c r="H2" s="34" t="n">
        <v>43365</v>
      </c>
      <c r="I2" s="34" t="n">
        <v>-7.95</v>
      </c>
      <c r="J2" s="34" t="n">
        <v>52.4</v>
      </c>
      <c r="K2" s="34" t="n">
        <v>12049</v>
      </c>
      <c r="L2" s="34" t="n">
        <v>0.505</v>
      </c>
      <c r="M2" s="34" t="n">
        <v>46003.31</v>
      </c>
      <c r="N2" s="34" t="n">
        <v>44893.64</v>
      </c>
      <c r="O2" s="34" t="n">
        <v>45890</v>
      </c>
      <c r="P2" s="34" t="n">
        <v>46003.31</v>
      </c>
      <c r="Q2" s="34" t="n">
        <v>44893.64</v>
      </c>
      <c r="R2" s="34" t="n">
        <v>45715</v>
      </c>
      <c r="S2" s="34" t="n">
        <v>9.9</v>
      </c>
      <c r="T2" s="34" t="n">
        <v>0</v>
      </c>
      <c r="U2" s="34" t="n">
        <v>50590</v>
      </c>
      <c r="V2" s="34" t="n">
        <v>38850</v>
      </c>
    </row>
    <row r="3" customFormat="false" ht="15.75" hidden="false" customHeight="true" outlineLevel="0" collapsed="false">
      <c r="A3" s="34" t="s">
        <v>141</v>
      </c>
      <c r="B3" s="34" t="n">
        <v>39345</v>
      </c>
      <c r="C3" s="34" t="n">
        <v>39780</v>
      </c>
      <c r="D3" s="34" t="n">
        <v>39165</v>
      </c>
      <c r="E3" s="34" t="n">
        <v>-0.329</v>
      </c>
      <c r="F3" s="34" t="n">
        <v>835.28</v>
      </c>
      <c r="G3" s="34" t="n">
        <v>41290</v>
      </c>
      <c r="H3" s="34" t="n">
        <v>30945</v>
      </c>
      <c r="I3" s="34" t="n">
        <v>13.12</v>
      </c>
      <c r="J3" s="34" t="n">
        <v>52.86</v>
      </c>
      <c r="K3" s="34" t="n">
        <v>14967</v>
      </c>
      <c r="L3" s="34" t="n">
        <v>0.697</v>
      </c>
      <c r="M3" s="34" t="n">
        <v>40568.02</v>
      </c>
      <c r="N3" s="34" t="n">
        <v>39137.45</v>
      </c>
      <c r="O3" s="34" t="n">
        <v>39475</v>
      </c>
      <c r="P3" s="34" t="n">
        <v>40568.02</v>
      </c>
      <c r="Q3" s="34" t="n">
        <v>39137.45</v>
      </c>
      <c r="R3" s="34" t="n">
        <v>39725</v>
      </c>
      <c r="S3" s="34" t="n">
        <v>4.71</v>
      </c>
      <c r="T3" s="34" t="n">
        <v>0.001</v>
      </c>
      <c r="U3" s="34" t="n">
        <v>41290</v>
      </c>
      <c r="V3" s="34" t="n">
        <v>25921.6</v>
      </c>
    </row>
    <row r="4" customFormat="false" ht="15.75" hidden="false" customHeight="true" outlineLevel="0" collapsed="false">
      <c r="A4" s="34" t="s">
        <v>171</v>
      </c>
      <c r="B4" s="34" t="n">
        <v>30005</v>
      </c>
      <c r="C4" s="34" t="n">
        <v>30800</v>
      </c>
      <c r="D4" s="34" t="n">
        <v>29910</v>
      </c>
      <c r="E4" s="34" t="n">
        <v>-1.96</v>
      </c>
      <c r="F4" s="34" t="n">
        <v>716.19</v>
      </c>
      <c r="G4" s="34" t="n">
        <v>32490</v>
      </c>
      <c r="H4" s="34" t="n">
        <v>28355</v>
      </c>
      <c r="I4" s="34" t="n">
        <v>-126.96</v>
      </c>
      <c r="J4" s="34" t="n">
        <v>34.16</v>
      </c>
      <c r="K4" s="34" t="n">
        <v>23082</v>
      </c>
      <c r="L4" s="34" t="n">
        <v>1.9</v>
      </c>
      <c r="M4" s="34" t="n">
        <v>31590.42</v>
      </c>
      <c r="N4" s="34" t="n">
        <v>31057.78</v>
      </c>
      <c r="O4" s="34" t="n">
        <v>30605</v>
      </c>
      <c r="P4" s="34" t="n">
        <v>31590.42</v>
      </c>
      <c r="Q4" s="34" t="n">
        <v>31356.97</v>
      </c>
      <c r="R4" s="34" t="n">
        <v>30800</v>
      </c>
      <c r="S4" s="34" t="n">
        <v>7.65</v>
      </c>
      <c r="T4" s="34" t="n">
        <v>0.001</v>
      </c>
      <c r="U4" s="34" t="n">
        <v>32490</v>
      </c>
      <c r="V4" s="34" t="n">
        <v>23500</v>
      </c>
    </row>
    <row r="5" customFormat="false" ht="15.75" hidden="false" customHeight="true" outlineLevel="0" collapsed="false">
      <c r="A5" s="34" t="s">
        <v>36</v>
      </c>
      <c r="B5" s="34" t="n">
        <v>16893</v>
      </c>
      <c r="C5" s="34" t="n">
        <v>17036</v>
      </c>
      <c r="D5" s="34" t="n">
        <v>16680</v>
      </c>
      <c r="E5" s="34" t="n">
        <v>1</v>
      </c>
      <c r="F5" s="34" t="n">
        <v>383.99</v>
      </c>
      <c r="G5" s="34" t="n">
        <v>17149</v>
      </c>
      <c r="H5" s="34" t="n">
        <v>13280</v>
      </c>
      <c r="I5" s="34" t="n">
        <v>62.89</v>
      </c>
      <c r="J5" s="34" t="n">
        <v>62.67</v>
      </c>
      <c r="K5" s="34" t="n">
        <v>304647</v>
      </c>
      <c r="L5" s="34" t="n">
        <v>1.84</v>
      </c>
      <c r="M5" s="34" t="n">
        <v>16150.52</v>
      </c>
      <c r="N5" s="34" t="n">
        <v>16560.26</v>
      </c>
      <c r="O5" s="34" t="n">
        <v>16725</v>
      </c>
      <c r="P5" s="34" t="n">
        <v>16150.52</v>
      </c>
      <c r="Q5" s="34" t="n">
        <v>16560.26</v>
      </c>
      <c r="R5" s="34" t="n">
        <v>16750</v>
      </c>
      <c r="S5" s="34" t="n">
        <v>11.78</v>
      </c>
      <c r="T5" s="34" t="n">
        <v>0.002</v>
      </c>
      <c r="U5" s="34" t="n">
        <v>19148.9</v>
      </c>
      <c r="V5" s="34" t="n">
        <v>12022</v>
      </c>
    </row>
    <row r="6" customFormat="false" ht="15.75" hidden="false" customHeight="true" outlineLevel="0" collapsed="false">
      <c r="A6" s="34" t="s">
        <v>440</v>
      </c>
      <c r="B6" s="34" t="n">
        <v>14845</v>
      </c>
      <c r="C6" s="34" t="n">
        <v>15039</v>
      </c>
      <c r="D6" s="34" t="n">
        <v>14574</v>
      </c>
      <c r="E6" s="34" t="n">
        <v>1.81</v>
      </c>
      <c r="F6" s="34" t="n">
        <v>437.67</v>
      </c>
      <c r="G6" s="34" t="n">
        <v>17820</v>
      </c>
      <c r="H6" s="34" t="n">
        <v>13631</v>
      </c>
      <c r="I6" s="34" t="n">
        <v>51.29</v>
      </c>
      <c r="J6" s="34" t="n">
        <v>53.23</v>
      </c>
      <c r="K6" s="34" t="n">
        <v>140765</v>
      </c>
      <c r="L6" s="34" t="n">
        <v>1.37</v>
      </c>
      <c r="M6" s="34" t="n">
        <v>14297.07</v>
      </c>
      <c r="N6" s="34" t="n">
        <v>14983.61</v>
      </c>
      <c r="O6" s="34" t="n">
        <v>14581</v>
      </c>
      <c r="P6" s="34" t="n">
        <v>14297.07</v>
      </c>
      <c r="Q6" s="34" t="n">
        <v>14983.61</v>
      </c>
      <c r="R6" s="34" t="n">
        <v>14578</v>
      </c>
      <c r="S6" s="34" t="n">
        <v>16.69</v>
      </c>
      <c r="T6" s="34" t="n">
        <v>0.003</v>
      </c>
      <c r="U6" s="34" t="n">
        <v>17820</v>
      </c>
      <c r="V6" s="34" t="n">
        <v>8482.5</v>
      </c>
    </row>
    <row r="7" customFormat="false" ht="15.75" hidden="false" customHeight="true" outlineLevel="0" collapsed="false">
      <c r="A7" s="34" t="s">
        <v>158</v>
      </c>
      <c r="B7" s="34" t="n">
        <v>14349</v>
      </c>
      <c r="C7" s="34" t="n">
        <v>14370</v>
      </c>
      <c r="D7" s="34" t="n">
        <v>14230</v>
      </c>
      <c r="E7" s="34" t="n">
        <v>0.483</v>
      </c>
      <c r="F7" s="34" t="n">
        <v>284.48</v>
      </c>
      <c r="G7" s="34" t="n">
        <v>14401</v>
      </c>
      <c r="H7" s="34" t="n">
        <v>12176</v>
      </c>
      <c r="I7" s="34" t="n">
        <v>146.63</v>
      </c>
      <c r="J7" s="34" t="n">
        <v>91.69</v>
      </c>
      <c r="K7" s="34" t="n">
        <v>458935</v>
      </c>
      <c r="L7" s="34" t="n">
        <v>0.894</v>
      </c>
      <c r="M7" s="34" t="n">
        <v>13746.24</v>
      </c>
      <c r="N7" s="34" t="n">
        <v>14023.12</v>
      </c>
      <c r="O7" s="34" t="n">
        <v>14280</v>
      </c>
      <c r="P7" s="34" t="n">
        <v>13694.32</v>
      </c>
      <c r="Q7" s="34" t="n">
        <v>13986.41</v>
      </c>
      <c r="R7" s="34" t="n">
        <v>14349</v>
      </c>
      <c r="S7" s="34" t="n">
        <v>0.361</v>
      </c>
      <c r="T7" s="34" t="n">
        <v>0.002</v>
      </c>
      <c r="U7" s="34" t="n">
        <v>14401</v>
      </c>
      <c r="V7" s="34" t="n">
        <v>10725</v>
      </c>
    </row>
    <row r="8" customFormat="false" ht="15.75" hidden="false" customHeight="true" outlineLevel="0" collapsed="false">
      <c r="A8" s="34" t="s">
        <v>127</v>
      </c>
      <c r="B8" s="34" t="n">
        <v>12589</v>
      </c>
      <c r="C8" s="34" t="n">
        <v>12864</v>
      </c>
      <c r="D8" s="34" t="n">
        <v>12563</v>
      </c>
      <c r="E8" s="34" t="n">
        <v>-2.18</v>
      </c>
      <c r="F8" s="34" t="n">
        <v>224.58</v>
      </c>
      <c r="G8" s="34" t="n">
        <v>12930</v>
      </c>
      <c r="H8" s="34" t="n">
        <v>11018</v>
      </c>
      <c r="I8" s="34" t="n">
        <v>90.09</v>
      </c>
      <c r="J8" s="34" t="n">
        <v>51.54</v>
      </c>
      <c r="K8" s="34" t="n">
        <v>226948</v>
      </c>
      <c r="L8" s="34" t="n">
        <v>1.46</v>
      </c>
      <c r="M8" s="34" t="n">
        <v>12430.46</v>
      </c>
      <c r="N8" s="34" t="n">
        <v>12932.09</v>
      </c>
      <c r="O8" s="34" t="n">
        <v>12870</v>
      </c>
      <c r="P8" s="34" t="n">
        <v>12430.46</v>
      </c>
      <c r="Q8" s="34" t="n">
        <v>12639.23</v>
      </c>
      <c r="R8" s="34" t="n">
        <v>12864</v>
      </c>
      <c r="S8" s="34" t="n">
        <v>2.64</v>
      </c>
      <c r="T8" s="34" t="n">
        <v>0.002</v>
      </c>
      <c r="U8" s="34" t="n">
        <v>12930</v>
      </c>
      <c r="V8" s="34" t="n">
        <v>10047.85</v>
      </c>
    </row>
    <row r="9" customFormat="false" ht="15.75" hidden="false" customHeight="true" outlineLevel="0" collapsed="false">
      <c r="A9" s="34" t="s">
        <v>54</v>
      </c>
      <c r="B9" s="34" t="n">
        <v>8624</v>
      </c>
      <c r="C9" s="34" t="n">
        <v>8744</v>
      </c>
      <c r="D9" s="34" t="n">
        <v>8610</v>
      </c>
      <c r="E9" s="34" t="n">
        <v>-0.862</v>
      </c>
      <c r="F9" s="34" t="n">
        <v>179.35</v>
      </c>
      <c r="G9" s="34" t="n">
        <v>9775</v>
      </c>
      <c r="H9" s="34" t="n">
        <v>8319.5</v>
      </c>
      <c r="I9" s="34" t="n">
        <v>69.7</v>
      </c>
      <c r="J9" s="34" t="n">
        <v>51.37</v>
      </c>
      <c r="K9" s="34" t="n">
        <v>34763</v>
      </c>
      <c r="L9" s="34" t="n">
        <v>0.345</v>
      </c>
      <c r="M9" s="34" t="n">
        <v>8782.37</v>
      </c>
      <c r="N9" s="34" t="n">
        <v>8583.19</v>
      </c>
      <c r="O9" s="34" t="n">
        <v>8699</v>
      </c>
      <c r="P9" s="34" t="n">
        <v>8782.37</v>
      </c>
      <c r="Q9" s="34" t="n">
        <v>8583.19</v>
      </c>
      <c r="R9" s="34" t="n">
        <v>8744</v>
      </c>
      <c r="S9" s="34" t="n">
        <v>34.77</v>
      </c>
      <c r="T9" s="34" t="n">
        <v>0.002</v>
      </c>
      <c r="U9" s="34" t="n">
        <v>13220</v>
      </c>
      <c r="V9" s="34" t="n">
        <v>7038</v>
      </c>
    </row>
    <row r="10" customFormat="false" ht="15.75" hidden="false" customHeight="true" outlineLevel="0" collapsed="false">
      <c r="A10" s="34" t="s">
        <v>131</v>
      </c>
      <c r="B10" s="34" t="n">
        <v>8679.5</v>
      </c>
      <c r="C10" s="34" t="n">
        <v>8715</v>
      </c>
      <c r="D10" s="34" t="n">
        <v>8581</v>
      </c>
      <c r="E10" s="34" t="n">
        <v>-0.058</v>
      </c>
      <c r="F10" s="34" t="n">
        <v>181.59</v>
      </c>
      <c r="G10" s="34" t="n">
        <v>8872.5</v>
      </c>
      <c r="H10" s="34" t="n">
        <v>7858.5</v>
      </c>
      <c r="I10" s="34" t="n">
        <v>120.31</v>
      </c>
      <c r="J10" s="34" t="n">
        <v>67.31</v>
      </c>
      <c r="K10" s="34" t="n">
        <v>369872</v>
      </c>
      <c r="L10" s="34" t="n">
        <v>0.724</v>
      </c>
      <c r="M10" s="34" t="n">
        <v>8468.98</v>
      </c>
      <c r="N10" s="34" t="n">
        <v>8643.49</v>
      </c>
      <c r="O10" s="34" t="n">
        <v>8684.5</v>
      </c>
      <c r="P10" s="34" t="n">
        <v>8468.98</v>
      </c>
      <c r="Q10" s="34" t="n">
        <v>8643.49</v>
      </c>
      <c r="R10" s="34" t="n">
        <v>8684.5</v>
      </c>
      <c r="S10" s="34" t="n">
        <v>32.05</v>
      </c>
      <c r="T10" s="34" t="n">
        <v>0.002</v>
      </c>
      <c r="U10" s="34" t="n">
        <v>12774</v>
      </c>
      <c r="V10" s="34" t="n">
        <v>7089.35</v>
      </c>
    </row>
    <row r="11" customFormat="false" ht="15.75" hidden="false" customHeight="true" outlineLevel="0" collapsed="false">
      <c r="A11" s="34" t="s">
        <v>27</v>
      </c>
      <c r="B11" s="34" t="n">
        <v>7960</v>
      </c>
      <c r="C11" s="34" t="n">
        <v>8080</v>
      </c>
      <c r="D11" s="34" t="n">
        <v>7923</v>
      </c>
      <c r="E11" s="34" t="n">
        <v>0.416</v>
      </c>
      <c r="F11" s="34" t="n">
        <v>235.72</v>
      </c>
      <c r="G11" s="34" t="n">
        <v>9115</v>
      </c>
      <c r="H11" s="34" t="n">
        <v>7372</v>
      </c>
      <c r="I11" s="34" t="n">
        <v>7.64</v>
      </c>
      <c r="J11" s="34" t="n">
        <v>43.77</v>
      </c>
      <c r="K11" s="34" t="n">
        <v>470294</v>
      </c>
      <c r="L11" s="34" t="n">
        <v>0.691</v>
      </c>
      <c r="M11" s="34" t="n">
        <v>7834.35</v>
      </c>
      <c r="N11" s="34" t="n">
        <v>8238.76</v>
      </c>
      <c r="O11" s="34" t="n">
        <v>7927</v>
      </c>
      <c r="P11" s="34" t="n">
        <v>7834.35</v>
      </c>
      <c r="Q11" s="34" t="n">
        <v>8319.43</v>
      </c>
      <c r="R11" s="34" t="n">
        <v>7928</v>
      </c>
      <c r="S11" s="34" t="n">
        <v>12.67</v>
      </c>
      <c r="T11" s="34" t="n">
        <v>0.006</v>
      </c>
      <c r="U11" s="34" t="n">
        <v>9115</v>
      </c>
      <c r="V11" s="34" t="n">
        <v>4408.15</v>
      </c>
    </row>
    <row r="12" customFormat="false" ht="15.75" hidden="false" customHeight="true" outlineLevel="0" collapsed="false">
      <c r="A12" s="34" t="s">
        <v>129</v>
      </c>
      <c r="B12" s="34" t="n">
        <v>7930</v>
      </c>
      <c r="C12" s="34" t="n">
        <v>7980</v>
      </c>
      <c r="D12" s="34" t="n">
        <v>7852</v>
      </c>
      <c r="E12" s="34" t="n">
        <v>0.044</v>
      </c>
      <c r="F12" s="34" t="n">
        <v>146.56</v>
      </c>
      <c r="G12" s="34" t="n">
        <v>7980</v>
      </c>
      <c r="H12" s="34" t="n">
        <v>6912</v>
      </c>
      <c r="I12" s="34" t="n">
        <v>118.23</v>
      </c>
      <c r="J12" s="34" t="n">
        <v>81.09</v>
      </c>
      <c r="K12" s="34" t="n">
        <v>843635</v>
      </c>
      <c r="L12" s="34" t="n">
        <v>1.75</v>
      </c>
      <c r="M12" s="34" t="n">
        <v>7620.73</v>
      </c>
      <c r="N12" s="34" t="n">
        <v>7768.37</v>
      </c>
      <c r="O12" s="34" t="n">
        <v>7926.5</v>
      </c>
      <c r="P12" s="34" t="n">
        <v>7600.37</v>
      </c>
      <c r="Q12" s="34" t="n">
        <v>7750.19</v>
      </c>
      <c r="R12" s="34" t="n">
        <v>7895</v>
      </c>
      <c r="S12" s="34" t="n">
        <v>0.627</v>
      </c>
      <c r="T12" s="34" t="n">
        <v>0.003</v>
      </c>
      <c r="U12" s="34" t="n">
        <v>7980</v>
      </c>
      <c r="V12" s="34" t="n">
        <v>6001</v>
      </c>
    </row>
    <row r="13" customFormat="false" ht="15.75" hidden="false" customHeight="true" outlineLevel="0" collapsed="false">
      <c r="A13" s="34" t="s">
        <v>296</v>
      </c>
      <c r="B13" s="34" t="n">
        <v>7260.5</v>
      </c>
      <c r="C13" s="34" t="n">
        <v>7434</v>
      </c>
      <c r="D13" s="34" t="n">
        <v>7230.5</v>
      </c>
      <c r="E13" s="34" t="n">
        <v>-0.982</v>
      </c>
      <c r="F13" s="34" t="n">
        <v>253.01</v>
      </c>
      <c r="G13" s="34" t="n">
        <v>8173.5</v>
      </c>
      <c r="H13" s="34" t="n">
        <v>6290.5</v>
      </c>
      <c r="I13" s="34" t="n">
        <v>-37.87</v>
      </c>
      <c r="J13" s="34" t="n">
        <v>45.97</v>
      </c>
      <c r="K13" s="34" t="n">
        <v>302423</v>
      </c>
      <c r="L13" s="34" t="n">
        <v>1.61</v>
      </c>
      <c r="M13" s="34" t="n">
        <v>7512.77</v>
      </c>
      <c r="N13" s="34" t="n">
        <v>7104.33</v>
      </c>
      <c r="O13" s="34" t="n">
        <v>7332.5</v>
      </c>
      <c r="P13" s="34" t="n">
        <v>7512.77</v>
      </c>
      <c r="Q13" s="34" t="n">
        <v>7104.33</v>
      </c>
      <c r="R13" s="34" t="n">
        <v>7358.5</v>
      </c>
      <c r="S13" s="34" t="n">
        <v>11.21</v>
      </c>
      <c r="T13" s="34" t="n">
        <v>0.006</v>
      </c>
      <c r="U13" s="34" t="n">
        <v>8177</v>
      </c>
      <c r="V13" s="34" t="n">
        <v>4190.35</v>
      </c>
    </row>
    <row r="14" customFormat="false" ht="15.75" hidden="false" customHeight="true" outlineLevel="0" collapsed="false">
      <c r="A14" s="34" t="s">
        <v>173</v>
      </c>
      <c r="B14" s="34" t="n">
        <v>7116</v>
      </c>
      <c r="C14" s="34" t="n">
        <v>7164</v>
      </c>
      <c r="D14" s="34" t="n">
        <v>7059.5</v>
      </c>
      <c r="E14" s="34" t="n">
        <v>0.445</v>
      </c>
      <c r="F14" s="34" t="n">
        <v>140.31</v>
      </c>
      <c r="G14" s="34" t="n">
        <v>7208</v>
      </c>
      <c r="H14" s="34" t="n">
        <v>5760</v>
      </c>
      <c r="I14" s="34" t="n">
        <v>120.45</v>
      </c>
      <c r="J14" s="34" t="n">
        <v>65.07</v>
      </c>
      <c r="K14" s="34" t="n">
        <v>172152</v>
      </c>
      <c r="L14" s="34" t="n">
        <v>1.23</v>
      </c>
      <c r="M14" s="34" t="n">
        <v>6855.16</v>
      </c>
      <c r="N14" s="34" t="n">
        <v>7009.58</v>
      </c>
      <c r="O14" s="34" t="n">
        <v>7084.5</v>
      </c>
      <c r="P14" s="34" t="n">
        <v>6855.16</v>
      </c>
      <c r="Q14" s="34" t="n">
        <v>7009.58</v>
      </c>
      <c r="R14" s="34" t="n">
        <v>7100</v>
      </c>
      <c r="S14" s="34" t="n">
        <v>6.43</v>
      </c>
      <c r="T14" s="34" t="n">
        <v>0.005</v>
      </c>
      <c r="U14" s="34" t="n">
        <v>7605</v>
      </c>
      <c r="V14" s="34" t="n">
        <v>4555</v>
      </c>
    </row>
    <row r="15" customFormat="false" ht="15.75" hidden="false" customHeight="true" outlineLevel="0" collapsed="false">
      <c r="A15" s="34" t="s">
        <v>487</v>
      </c>
      <c r="B15" s="34" t="n">
        <v>6980.5</v>
      </c>
      <c r="C15" s="34" t="n">
        <v>7049.5</v>
      </c>
      <c r="D15" s="34" t="n">
        <v>6904</v>
      </c>
      <c r="E15" s="34" t="n">
        <v>1.03</v>
      </c>
      <c r="F15" s="34" t="n">
        <v>241.93</v>
      </c>
      <c r="G15" s="34" t="n">
        <v>8508.5</v>
      </c>
      <c r="H15" s="34" t="n">
        <v>6670</v>
      </c>
      <c r="I15" s="34" t="n">
        <v>-14.43</v>
      </c>
      <c r="J15" s="34" t="n">
        <v>52.94</v>
      </c>
      <c r="K15" s="34" t="n">
        <v>88659</v>
      </c>
      <c r="L15" s="34" t="n">
        <v>0.206</v>
      </c>
      <c r="M15" s="34" t="n">
        <v>7274.01</v>
      </c>
      <c r="N15" s="34" t="n">
        <v>7023.88</v>
      </c>
      <c r="O15" s="34" t="n">
        <v>6909.5</v>
      </c>
      <c r="P15" s="34" t="n">
        <v>7274.01</v>
      </c>
      <c r="Q15" s="34" t="n">
        <v>7023.88</v>
      </c>
      <c r="R15" s="34" t="n">
        <v>6929</v>
      </c>
      <c r="S15" s="34" t="n">
        <v>17.96</v>
      </c>
      <c r="T15" s="34" t="n">
        <v>0.005</v>
      </c>
      <c r="U15" s="34" t="n">
        <v>8508.5</v>
      </c>
      <c r="V15" s="34" t="n">
        <v>4735.45</v>
      </c>
    </row>
    <row r="16" customFormat="false" ht="15.75" hidden="false" customHeight="true" outlineLevel="0" collapsed="false">
      <c r="A16" s="34" t="s">
        <v>468</v>
      </c>
      <c r="B16" s="34" t="n">
        <v>6209</v>
      </c>
      <c r="C16" s="34" t="n">
        <v>6246.5</v>
      </c>
      <c r="D16" s="34" t="n">
        <v>6090</v>
      </c>
      <c r="E16" s="34" t="n">
        <v>1.03</v>
      </c>
      <c r="F16" s="34" t="n">
        <v>192.66</v>
      </c>
      <c r="G16" s="34" t="n">
        <v>6515</v>
      </c>
      <c r="H16" s="34" t="n">
        <v>5317.5</v>
      </c>
      <c r="I16" s="34" t="n">
        <v>47.81</v>
      </c>
      <c r="J16" s="34" t="n">
        <v>58.74</v>
      </c>
      <c r="K16" s="34" t="n">
        <v>280060</v>
      </c>
      <c r="L16" s="34" t="n">
        <v>1.42</v>
      </c>
      <c r="M16" s="34" t="n">
        <v>6299.28</v>
      </c>
      <c r="N16" s="34" t="n">
        <v>6053.98</v>
      </c>
      <c r="O16" s="34" t="n">
        <v>6145.5</v>
      </c>
      <c r="P16" s="34" t="n">
        <v>6299.28</v>
      </c>
      <c r="Q16" s="34" t="n">
        <v>6053.98</v>
      </c>
      <c r="R16" s="34" t="n">
        <v>6160</v>
      </c>
      <c r="S16" s="34" t="n">
        <v>20.62</v>
      </c>
      <c r="T16" s="34" t="n">
        <v>0.006</v>
      </c>
      <c r="U16" s="34" t="n">
        <v>7822</v>
      </c>
      <c r="V16" s="34" t="n">
        <v>3825.15</v>
      </c>
    </row>
    <row r="17" customFormat="false" ht="15.75" hidden="false" customHeight="true" outlineLevel="0" collapsed="false">
      <c r="A17" s="34" t="s">
        <v>90</v>
      </c>
      <c r="B17" s="34" t="n">
        <v>6151.5</v>
      </c>
      <c r="C17" s="34" t="n">
        <v>6188</v>
      </c>
      <c r="D17" s="34" t="n">
        <v>6088</v>
      </c>
      <c r="E17" s="34" t="n">
        <v>2.05</v>
      </c>
      <c r="F17" s="34" t="n">
        <v>142.69</v>
      </c>
      <c r="G17" s="34" t="n">
        <v>7071.5</v>
      </c>
      <c r="H17" s="34" t="n">
        <v>5856.5</v>
      </c>
      <c r="I17" s="34" t="n">
        <v>-35.36</v>
      </c>
      <c r="J17" s="34" t="n">
        <v>49.82</v>
      </c>
      <c r="K17" s="34" t="n">
        <v>681525</v>
      </c>
      <c r="L17" s="34" t="n">
        <v>3.1</v>
      </c>
      <c r="M17" s="34" t="n">
        <v>6291.09</v>
      </c>
      <c r="N17" s="34" t="n">
        <v>5993.17</v>
      </c>
      <c r="O17" s="34" t="n">
        <v>6028</v>
      </c>
      <c r="P17" s="34" t="n">
        <v>6291.09</v>
      </c>
      <c r="Q17" s="34" t="n">
        <v>5993.17</v>
      </c>
      <c r="R17" s="34" t="n">
        <v>6088</v>
      </c>
      <c r="S17" s="34" t="n">
        <v>13.01</v>
      </c>
      <c r="T17" s="34" t="n">
        <v>0.004</v>
      </c>
      <c r="U17" s="34" t="n">
        <v>7071.5</v>
      </c>
      <c r="V17" s="34" t="n">
        <v>4858.95</v>
      </c>
    </row>
    <row r="18" customFormat="false" ht="15.75" hidden="false" customHeight="true" outlineLevel="0" collapsed="false">
      <c r="A18" s="34" t="s">
        <v>144</v>
      </c>
      <c r="B18" s="34" t="n">
        <v>6086.5</v>
      </c>
      <c r="C18" s="34" t="n">
        <v>6145</v>
      </c>
      <c r="D18" s="34" t="n">
        <v>6072.5</v>
      </c>
      <c r="E18" s="34" t="n">
        <v>-0.205</v>
      </c>
      <c r="F18" s="34" t="n">
        <v>127.67</v>
      </c>
      <c r="G18" s="34" t="n">
        <v>6232.5</v>
      </c>
      <c r="H18" s="34" t="n">
        <v>5176</v>
      </c>
      <c r="I18" s="34" t="n">
        <v>117.72</v>
      </c>
      <c r="J18" s="34" t="n">
        <v>62.94</v>
      </c>
      <c r="K18" s="34" t="n">
        <v>596200</v>
      </c>
      <c r="L18" s="34" t="n">
        <v>0.865</v>
      </c>
      <c r="M18" s="34" t="n">
        <v>5854.85</v>
      </c>
      <c r="N18" s="34" t="n">
        <v>5987.8</v>
      </c>
      <c r="O18" s="34" t="n">
        <v>6099</v>
      </c>
      <c r="P18" s="34" t="n">
        <v>5854.85</v>
      </c>
      <c r="Q18" s="34" t="n">
        <v>5987.8</v>
      </c>
      <c r="R18" s="34" t="n">
        <v>6099</v>
      </c>
      <c r="S18" s="34" t="n">
        <v>2.34</v>
      </c>
      <c r="T18" s="34" t="n">
        <v>0.006</v>
      </c>
      <c r="U18" s="34" t="n">
        <v>6232.5</v>
      </c>
      <c r="V18" s="34" t="n">
        <v>3780</v>
      </c>
    </row>
    <row r="19" customFormat="false" ht="15.75" hidden="false" customHeight="true" outlineLevel="0" collapsed="false">
      <c r="A19" s="34" t="s">
        <v>73</v>
      </c>
      <c r="B19" s="34" t="n">
        <v>5924.5</v>
      </c>
      <c r="C19" s="34" t="n">
        <v>5973</v>
      </c>
      <c r="D19" s="34" t="n">
        <v>5913.5</v>
      </c>
      <c r="E19" s="34" t="n">
        <v>-0.845</v>
      </c>
      <c r="F19" s="34" t="n">
        <v>98.02</v>
      </c>
      <c r="G19" s="34" t="n">
        <v>6024.5</v>
      </c>
      <c r="H19" s="34" t="n">
        <v>5219.5</v>
      </c>
      <c r="I19" s="34" t="n">
        <v>122.41</v>
      </c>
      <c r="J19" s="34" t="n">
        <v>73.81</v>
      </c>
      <c r="K19" s="34" t="n">
        <v>273431</v>
      </c>
      <c r="L19" s="34" t="n">
        <v>0.548</v>
      </c>
      <c r="M19" s="34" t="n">
        <v>5746.41</v>
      </c>
      <c r="N19" s="34" t="n">
        <v>5844.83</v>
      </c>
      <c r="O19" s="34" t="n">
        <v>5975</v>
      </c>
      <c r="P19" s="34" t="n">
        <v>5740.21</v>
      </c>
      <c r="Q19" s="34" t="n">
        <v>5842.73</v>
      </c>
      <c r="R19" s="34" t="n">
        <v>5970</v>
      </c>
      <c r="S19" s="34" t="n">
        <v>1.66</v>
      </c>
      <c r="T19" s="34" t="n">
        <v>0.004</v>
      </c>
      <c r="U19" s="34" t="n">
        <v>6024.5</v>
      </c>
      <c r="V19" s="34" t="n">
        <v>4508.75</v>
      </c>
    </row>
    <row r="20" customFormat="false" ht="15.75" hidden="false" customHeight="true" outlineLevel="0" collapsed="false">
      <c r="A20" s="34" t="s">
        <v>108</v>
      </c>
      <c r="B20" s="34" t="n">
        <v>5828</v>
      </c>
      <c r="C20" s="34" t="n">
        <v>5869.5</v>
      </c>
      <c r="D20" s="34" t="n">
        <v>5794.5</v>
      </c>
      <c r="E20" s="34" t="n">
        <v>0.587</v>
      </c>
      <c r="F20" s="34" t="n">
        <v>114.12</v>
      </c>
      <c r="G20" s="34" t="n">
        <v>5869.5</v>
      </c>
      <c r="H20" s="34" t="n">
        <v>4700</v>
      </c>
      <c r="I20" s="34" t="n">
        <v>192.87</v>
      </c>
      <c r="J20" s="34" t="n">
        <v>77.5</v>
      </c>
      <c r="K20" s="34" t="n">
        <v>593439</v>
      </c>
      <c r="L20" s="34" t="n">
        <v>1.25</v>
      </c>
      <c r="M20" s="34" t="n">
        <v>5602.3</v>
      </c>
      <c r="N20" s="34" t="n">
        <v>5717.15</v>
      </c>
      <c r="O20" s="34" t="n">
        <v>5794</v>
      </c>
      <c r="P20" s="34" t="n">
        <v>5509.81</v>
      </c>
      <c r="Q20" s="34" t="n">
        <v>5629.03</v>
      </c>
      <c r="R20" s="34" t="n">
        <v>5807.5</v>
      </c>
      <c r="S20" s="34" t="n">
        <v>0.707</v>
      </c>
      <c r="T20" s="34" t="n">
        <v>0.007</v>
      </c>
      <c r="U20" s="34" t="n">
        <v>5869.5</v>
      </c>
      <c r="V20" s="34" t="n">
        <v>3563.05</v>
      </c>
    </row>
    <row r="21" customFormat="false" ht="15.75" hidden="false" customHeight="true" outlineLevel="0" collapsed="false">
      <c r="A21" s="34" t="s">
        <v>240</v>
      </c>
      <c r="B21" s="34" t="n">
        <v>5579.5</v>
      </c>
      <c r="C21" s="34" t="n">
        <v>5659</v>
      </c>
      <c r="D21" s="34" t="n">
        <v>5555.5</v>
      </c>
      <c r="E21" s="34" t="n">
        <v>-1.4</v>
      </c>
      <c r="F21" s="34" t="n">
        <v>124.24</v>
      </c>
      <c r="G21" s="34" t="n">
        <v>6487</v>
      </c>
      <c r="H21" s="34" t="n">
        <v>5555.5</v>
      </c>
      <c r="I21" s="34" t="n">
        <v>-105.68</v>
      </c>
      <c r="J21" s="34" t="n">
        <v>24.45</v>
      </c>
      <c r="K21" s="34" t="n">
        <v>163525</v>
      </c>
      <c r="L21" s="34" t="n">
        <v>1.31</v>
      </c>
      <c r="M21" s="34" t="n">
        <v>5858.87</v>
      </c>
      <c r="N21" s="34" t="n">
        <v>5733.06</v>
      </c>
      <c r="O21" s="34" t="n">
        <v>5659</v>
      </c>
      <c r="P21" s="34" t="n">
        <v>5918.94</v>
      </c>
      <c r="Q21" s="34" t="n">
        <v>5788.1</v>
      </c>
      <c r="R21" s="34" t="n">
        <v>5659</v>
      </c>
      <c r="S21" s="34" t="n">
        <v>38.55</v>
      </c>
      <c r="T21" s="34" t="n">
        <v>0.003</v>
      </c>
      <c r="U21" s="34" t="n">
        <v>9080</v>
      </c>
      <c r="V21" s="34" t="n">
        <v>4700</v>
      </c>
    </row>
    <row r="22" customFormat="false" ht="15.75" hidden="false" customHeight="true" outlineLevel="0" collapsed="false">
      <c r="A22" s="34" t="s">
        <v>153</v>
      </c>
      <c r="B22" s="34" t="n">
        <v>5568</v>
      </c>
      <c r="C22" s="34" t="n">
        <v>5667.5</v>
      </c>
      <c r="D22" s="34" t="n">
        <v>5525.5</v>
      </c>
      <c r="E22" s="34" t="n">
        <v>-0.527</v>
      </c>
      <c r="F22" s="34" t="n">
        <v>153.97</v>
      </c>
      <c r="G22" s="34" t="n">
        <v>5930.5</v>
      </c>
      <c r="H22" s="34" t="n">
        <v>5298</v>
      </c>
      <c r="I22" s="34" t="n">
        <v>13.61</v>
      </c>
      <c r="J22" s="34" t="n">
        <v>53.57</v>
      </c>
      <c r="K22" s="34" t="n">
        <v>269981</v>
      </c>
      <c r="L22" s="34" t="n">
        <v>0.988</v>
      </c>
      <c r="M22" s="34" t="n">
        <v>5352.17</v>
      </c>
      <c r="N22" s="34" t="n">
        <v>5500.46</v>
      </c>
      <c r="O22" s="34" t="n">
        <v>5597.5</v>
      </c>
      <c r="P22" s="34" t="n">
        <v>5352.17</v>
      </c>
      <c r="Q22" s="34" t="n">
        <v>5500.46</v>
      </c>
      <c r="R22" s="34" t="n">
        <v>5622</v>
      </c>
      <c r="S22" s="34" t="n">
        <v>13.94</v>
      </c>
      <c r="T22" s="34" t="n">
        <v>0.004</v>
      </c>
      <c r="U22" s="34" t="n">
        <v>6469.9</v>
      </c>
      <c r="V22" s="34" t="n">
        <v>4506</v>
      </c>
    </row>
    <row r="23" customFormat="false" ht="15.75" hidden="false" customHeight="true" outlineLevel="0" collapsed="false">
      <c r="A23" s="34" t="s">
        <v>137</v>
      </c>
      <c r="B23" s="34" t="n">
        <v>5426</v>
      </c>
      <c r="C23" s="34" t="n">
        <v>5479</v>
      </c>
      <c r="D23" s="34" t="n">
        <v>5420</v>
      </c>
      <c r="E23" s="34" t="n">
        <v>0.074</v>
      </c>
      <c r="F23" s="34" t="n">
        <v>116.36</v>
      </c>
      <c r="G23" s="34" t="n">
        <v>5479</v>
      </c>
      <c r="H23" s="34" t="n">
        <v>4716.2</v>
      </c>
      <c r="I23" s="34" t="n">
        <v>114.66</v>
      </c>
      <c r="J23" s="34" t="n">
        <v>78.51</v>
      </c>
      <c r="K23" s="34" t="n">
        <v>99592</v>
      </c>
      <c r="L23" s="34" t="n">
        <v>0.724</v>
      </c>
      <c r="M23" s="34" t="n">
        <v>5216.55</v>
      </c>
      <c r="N23" s="34" t="n">
        <v>5333.03</v>
      </c>
      <c r="O23" s="34" t="n">
        <v>5422</v>
      </c>
      <c r="P23" s="34" t="n">
        <v>5172.53</v>
      </c>
      <c r="Q23" s="34" t="n">
        <v>5295.39</v>
      </c>
      <c r="R23" s="34" t="n">
        <v>5470</v>
      </c>
      <c r="S23" s="34" t="n">
        <v>15.74</v>
      </c>
      <c r="T23" s="34" t="n">
        <v>0.003</v>
      </c>
      <c r="U23" s="34" t="n">
        <v>6439.9</v>
      </c>
      <c r="V23" s="34" t="n">
        <v>4491.65</v>
      </c>
    </row>
    <row r="24" customFormat="false" ht="15.75" hidden="false" customHeight="true" outlineLevel="0" collapsed="false">
      <c r="A24" s="34" t="s">
        <v>38</v>
      </c>
      <c r="B24" s="34" t="n">
        <v>5418</v>
      </c>
      <c r="C24" s="34" t="n">
        <v>5484.5</v>
      </c>
      <c r="D24" s="34" t="n">
        <v>5404</v>
      </c>
      <c r="E24" s="34" t="n">
        <v>-0.633</v>
      </c>
      <c r="F24" s="34" t="n">
        <v>120.28</v>
      </c>
      <c r="G24" s="34" t="n">
        <v>6261</v>
      </c>
      <c r="H24" s="34" t="n">
        <v>4957.5</v>
      </c>
      <c r="I24" s="34" t="n">
        <v>62.98</v>
      </c>
      <c r="J24" s="34" t="n">
        <v>53.77</v>
      </c>
      <c r="K24" s="34" t="n">
        <v>443698</v>
      </c>
      <c r="L24" s="34" t="n">
        <v>0.731</v>
      </c>
      <c r="M24" s="34" t="n">
        <v>5273.57</v>
      </c>
      <c r="N24" s="34" t="n">
        <v>5417.78</v>
      </c>
      <c r="O24" s="34" t="n">
        <v>5452.5</v>
      </c>
      <c r="P24" s="34" t="n">
        <v>5273.57</v>
      </c>
      <c r="Q24" s="34" t="n">
        <v>5417.78</v>
      </c>
      <c r="R24" s="34" t="n">
        <v>5452.5</v>
      </c>
      <c r="S24" s="34" t="n">
        <v>35.07</v>
      </c>
      <c r="T24" s="34" t="n">
        <v>0.003</v>
      </c>
      <c r="U24" s="34" t="n">
        <v>8345</v>
      </c>
      <c r="V24" s="34" t="n">
        <v>4488</v>
      </c>
    </row>
    <row r="25" customFormat="false" ht="15.75" hidden="false" customHeight="true" outlineLevel="0" collapsed="false">
      <c r="A25" s="34" t="s">
        <v>149</v>
      </c>
      <c r="B25" s="34" t="n">
        <v>5369</v>
      </c>
      <c r="C25" s="34" t="n">
        <v>5420</v>
      </c>
      <c r="D25" s="34" t="n">
        <v>5330.5</v>
      </c>
      <c r="E25" s="34" t="n">
        <v>0.402</v>
      </c>
      <c r="F25" s="34" t="n">
        <v>117.92</v>
      </c>
      <c r="G25" s="34" t="n">
        <v>6180</v>
      </c>
      <c r="H25" s="34" t="n">
        <v>5008.5</v>
      </c>
      <c r="I25" s="34" t="n">
        <v>169.91</v>
      </c>
      <c r="J25" s="34" t="n">
        <v>65.06</v>
      </c>
      <c r="K25" s="34" t="n">
        <v>477640</v>
      </c>
      <c r="L25" s="34" t="n">
        <v>1.56</v>
      </c>
      <c r="M25" s="34" t="n">
        <v>5409.97</v>
      </c>
      <c r="N25" s="34" t="n">
        <v>5251.88</v>
      </c>
      <c r="O25" s="34" t="n">
        <v>5347.5</v>
      </c>
      <c r="P25" s="34" t="n">
        <v>5409.97</v>
      </c>
      <c r="Q25" s="34" t="n">
        <v>5196.87</v>
      </c>
      <c r="R25" s="34" t="n">
        <v>5370</v>
      </c>
      <c r="S25" s="34" t="n">
        <v>20.91</v>
      </c>
      <c r="T25" s="34" t="n">
        <v>0.004</v>
      </c>
      <c r="U25" s="34" t="n">
        <v>6788.9</v>
      </c>
      <c r="V25" s="34" t="n">
        <v>4148.95</v>
      </c>
    </row>
    <row r="26" customFormat="false" ht="15.75" hidden="false" customHeight="true" outlineLevel="0" collapsed="false">
      <c r="A26" s="34" t="s">
        <v>87</v>
      </c>
      <c r="B26" s="34" t="n">
        <v>5224.5</v>
      </c>
      <c r="C26" s="34" t="n">
        <v>5257.5</v>
      </c>
      <c r="D26" s="34" t="n">
        <v>5203</v>
      </c>
      <c r="E26" s="34" t="n">
        <v>-0.201</v>
      </c>
      <c r="F26" s="34" t="n">
        <v>105.82</v>
      </c>
      <c r="G26" s="34" t="n">
        <v>5554.5</v>
      </c>
      <c r="H26" s="34" t="n">
        <v>4939.5</v>
      </c>
      <c r="I26" s="34" t="n">
        <v>196.82</v>
      </c>
      <c r="J26" s="34" t="n">
        <v>68.61</v>
      </c>
      <c r="K26" s="34" t="n">
        <v>94919</v>
      </c>
      <c r="L26" s="34" t="n">
        <v>0.493</v>
      </c>
      <c r="M26" s="34" t="n">
        <v>5239.21</v>
      </c>
      <c r="N26" s="34" t="n">
        <v>5123.54</v>
      </c>
      <c r="O26" s="34" t="n">
        <v>5235</v>
      </c>
      <c r="P26" s="34" t="n">
        <v>5239.21</v>
      </c>
      <c r="Q26" s="34" t="n">
        <v>5085.49</v>
      </c>
      <c r="R26" s="34" t="n">
        <v>5235</v>
      </c>
      <c r="S26" s="34" t="n">
        <v>22.81</v>
      </c>
      <c r="T26" s="34" t="n">
        <v>0.005</v>
      </c>
      <c r="U26" s="34" t="n">
        <v>6767.95</v>
      </c>
      <c r="V26" s="34" t="n">
        <v>3802</v>
      </c>
    </row>
    <row r="27" customFormat="false" ht="15.75" hidden="false" customHeight="true" outlineLevel="0" collapsed="false">
      <c r="A27" s="34" t="s">
        <v>65</v>
      </c>
      <c r="B27" s="34" t="n">
        <v>5063</v>
      </c>
      <c r="C27" s="34" t="n">
        <v>5170</v>
      </c>
      <c r="D27" s="34" t="n">
        <v>5051</v>
      </c>
      <c r="E27" s="34" t="n">
        <v>-1.53</v>
      </c>
      <c r="F27" s="34" t="n">
        <v>101.91</v>
      </c>
      <c r="G27" s="34" t="n">
        <v>6175</v>
      </c>
      <c r="H27" s="34" t="n">
        <v>5002.5</v>
      </c>
      <c r="I27" s="34" t="n">
        <v>-43.37</v>
      </c>
      <c r="J27" s="34" t="n">
        <v>36.18</v>
      </c>
      <c r="K27" s="34" t="n">
        <v>219898</v>
      </c>
      <c r="L27" s="34" t="n">
        <v>0.582</v>
      </c>
      <c r="M27" s="34" t="n">
        <v>5268.66</v>
      </c>
      <c r="N27" s="34" t="n">
        <v>5156.71</v>
      </c>
      <c r="O27" s="34" t="n">
        <v>5141.5</v>
      </c>
      <c r="P27" s="34" t="n">
        <v>5268.66</v>
      </c>
      <c r="Q27" s="34" t="n">
        <v>5156.71</v>
      </c>
      <c r="R27" s="34" t="n">
        <v>5170</v>
      </c>
      <c r="S27" s="34" t="n">
        <v>43.37</v>
      </c>
      <c r="T27" s="34" t="n">
        <v>0.002</v>
      </c>
      <c r="U27" s="34" t="n">
        <v>9149.95</v>
      </c>
      <c r="V27" s="34" t="n">
        <v>4684.45</v>
      </c>
    </row>
    <row r="28" customFormat="false" ht="15.75" hidden="false" customHeight="true" outlineLevel="0" collapsed="false">
      <c r="A28" s="34" t="s">
        <v>139</v>
      </c>
      <c r="B28" s="34" t="n">
        <v>4997.9</v>
      </c>
      <c r="C28" s="34" t="n">
        <v>5123.3</v>
      </c>
      <c r="D28" s="34" t="n">
        <v>4982</v>
      </c>
      <c r="E28" s="34" t="n">
        <v>-1.95</v>
      </c>
      <c r="F28" s="34" t="n">
        <v>139.06</v>
      </c>
      <c r="G28" s="34" t="n">
        <v>5165</v>
      </c>
      <c r="H28" s="34" t="n">
        <v>4190</v>
      </c>
      <c r="I28" s="34" t="n">
        <v>110.55</v>
      </c>
      <c r="J28" s="34" t="n">
        <v>65.46</v>
      </c>
      <c r="K28" s="34" t="n">
        <v>1357451</v>
      </c>
      <c r="L28" s="34" t="n">
        <v>1.66</v>
      </c>
      <c r="M28" s="34" t="n">
        <v>4867.25</v>
      </c>
      <c r="N28" s="34" t="n">
        <v>5187.15</v>
      </c>
      <c r="O28" s="34" t="n">
        <v>5097.1</v>
      </c>
      <c r="P28" s="34" t="n">
        <v>4867.25</v>
      </c>
      <c r="Q28" s="34" t="n">
        <v>5002.65</v>
      </c>
      <c r="R28" s="34" t="n">
        <v>5097.1</v>
      </c>
      <c r="S28" s="34" t="n">
        <v>19.99</v>
      </c>
      <c r="T28" s="34" t="n">
        <v>0.007</v>
      </c>
      <c r="U28" s="34" t="n">
        <v>6246.25</v>
      </c>
      <c r="V28" s="34" t="n">
        <v>3344</v>
      </c>
    </row>
    <row r="29" customFormat="false" ht="15.75" hidden="false" customHeight="true" outlineLevel="0" collapsed="false">
      <c r="A29" s="34" t="s">
        <v>246</v>
      </c>
      <c r="B29" s="34" t="n">
        <v>4698.8</v>
      </c>
      <c r="C29" s="34" t="n">
        <v>4730</v>
      </c>
      <c r="D29" s="34" t="n">
        <v>4636.8</v>
      </c>
      <c r="E29" s="34" t="n">
        <v>0.147</v>
      </c>
      <c r="F29" s="34" t="n">
        <v>105.7</v>
      </c>
      <c r="G29" s="34" t="n">
        <v>4759.9</v>
      </c>
      <c r="H29" s="34" t="n">
        <v>3930</v>
      </c>
      <c r="I29" s="34" t="n">
        <v>144.01</v>
      </c>
      <c r="J29" s="34" t="n">
        <v>80.41</v>
      </c>
      <c r="K29" s="34" t="n">
        <v>449638</v>
      </c>
      <c r="L29" s="34" t="n">
        <v>0.515</v>
      </c>
      <c r="M29" s="34" t="n">
        <v>4499.33</v>
      </c>
      <c r="N29" s="34" t="n">
        <v>4605.31</v>
      </c>
      <c r="O29" s="34" t="n">
        <v>4691.9</v>
      </c>
      <c r="P29" s="34" t="n">
        <v>4499.33</v>
      </c>
      <c r="Q29" s="34" t="n">
        <v>4605.31</v>
      </c>
      <c r="R29" s="34" t="n">
        <v>4708</v>
      </c>
      <c r="S29" s="34" t="n">
        <v>14.33</v>
      </c>
      <c r="T29" s="34" t="n">
        <v>0.007</v>
      </c>
      <c r="U29" s="34" t="n">
        <v>5484.85</v>
      </c>
      <c r="V29" s="34" t="n">
        <v>3340</v>
      </c>
    </row>
    <row r="30" customFormat="false" ht="15.75" hidden="false" customHeight="true" outlineLevel="0" collapsed="false">
      <c r="A30" s="34" t="s">
        <v>226</v>
      </c>
      <c r="B30" s="34" t="n">
        <v>4637.8</v>
      </c>
      <c r="C30" s="34" t="n">
        <v>4658.8</v>
      </c>
      <c r="D30" s="34" t="n">
        <v>4550.1</v>
      </c>
      <c r="E30" s="34" t="n">
        <v>1.34</v>
      </c>
      <c r="F30" s="34" t="n">
        <v>122.51</v>
      </c>
      <c r="G30" s="34" t="n">
        <v>4739</v>
      </c>
      <c r="H30" s="34" t="n">
        <v>4019.5</v>
      </c>
      <c r="I30" s="34" t="n">
        <v>171.06</v>
      </c>
      <c r="J30" s="34" t="n">
        <v>73.66</v>
      </c>
      <c r="K30" s="34" t="n">
        <v>136020</v>
      </c>
      <c r="L30" s="34" t="n">
        <v>0.451</v>
      </c>
      <c r="M30" s="34" t="n">
        <v>4360.64</v>
      </c>
      <c r="N30" s="34" t="n">
        <v>4482.54</v>
      </c>
      <c r="O30" s="34" t="n">
        <v>4576.4</v>
      </c>
      <c r="P30" s="34" t="n">
        <v>4338.71</v>
      </c>
      <c r="Q30" s="34" t="n">
        <v>4462.08</v>
      </c>
      <c r="R30" s="34" t="n">
        <v>4550.1</v>
      </c>
      <c r="S30" s="34" t="n">
        <v>17.4</v>
      </c>
      <c r="T30" s="34" t="n">
        <v>0.008</v>
      </c>
      <c r="U30" s="34" t="n">
        <v>6460</v>
      </c>
      <c r="V30" s="34" t="n">
        <v>3095</v>
      </c>
    </row>
    <row r="31" customFormat="false" ht="15.75" hidden="false" customHeight="true" outlineLevel="0" collapsed="false">
      <c r="A31" s="34" t="s">
        <v>192</v>
      </c>
      <c r="B31" s="34" t="n">
        <v>4473</v>
      </c>
      <c r="C31" s="34" t="n">
        <v>4532</v>
      </c>
      <c r="D31" s="34" t="n">
        <v>4463</v>
      </c>
      <c r="E31" s="34" t="n">
        <v>-0.022</v>
      </c>
      <c r="F31" s="34" t="n">
        <v>106.74</v>
      </c>
      <c r="G31" s="34" t="n">
        <v>5132.6</v>
      </c>
      <c r="H31" s="34" t="n">
        <v>4325</v>
      </c>
      <c r="I31" s="34" t="n">
        <v>-35.51</v>
      </c>
      <c r="J31" s="34" t="n">
        <v>43.29</v>
      </c>
      <c r="K31" s="34" t="n">
        <v>1422930</v>
      </c>
      <c r="L31" s="34" t="n">
        <v>0.776</v>
      </c>
      <c r="M31" s="34" t="n">
        <v>4625.34</v>
      </c>
      <c r="N31" s="34" t="n">
        <v>4440.42</v>
      </c>
      <c r="O31" s="34" t="n">
        <v>4474</v>
      </c>
      <c r="P31" s="34" t="n">
        <v>4625.34</v>
      </c>
      <c r="Q31" s="34" t="n">
        <v>4440.42</v>
      </c>
      <c r="R31" s="34" t="n">
        <v>4485.2</v>
      </c>
      <c r="S31" s="34" t="n">
        <v>13.4</v>
      </c>
      <c r="T31" s="34" t="n">
        <v>0.007</v>
      </c>
      <c r="U31" s="34" t="n">
        <v>5674.75</v>
      </c>
      <c r="V31" s="34" t="n">
        <v>3046.05</v>
      </c>
    </row>
    <row r="32" customFormat="false" ht="15.75" hidden="false" customHeight="true" outlineLevel="0" collapsed="false">
      <c r="A32" s="34" t="s">
        <v>209</v>
      </c>
      <c r="B32" s="34" t="n">
        <v>3954.8</v>
      </c>
      <c r="C32" s="34" t="n">
        <v>4015</v>
      </c>
      <c r="D32" s="34" t="n">
        <v>3938</v>
      </c>
      <c r="E32" s="34" t="n">
        <v>0.038</v>
      </c>
      <c r="F32" s="34" t="n">
        <v>100.04</v>
      </c>
      <c r="G32" s="34" t="n">
        <v>4079</v>
      </c>
      <c r="H32" s="34" t="n">
        <v>3525.3</v>
      </c>
      <c r="I32" s="34" t="n">
        <v>132.38</v>
      </c>
      <c r="J32" s="34" t="n">
        <v>64.77</v>
      </c>
      <c r="K32" s="34" t="n">
        <v>195265</v>
      </c>
      <c r="L32" s="34" t="n">
        <v>1.2</v>
      </c>
      <c r="M32" s="34" t="n">
        <v>3784.36</v>
      </c>
      <c r="N32" s="34" t="n">
        <v>3887.98</v>
      </c>
      <c r="O32" s="34" t="n">
        <v>3953.3</v>
      </c>
      <c r="P32" s="34" t="n">
        <v>3784.36</v>
      </c>
      <c r="Q32" s="34" t="n">
        <v>3887.98</v>
      </c>
      <c r="R32" s="34" t="n">
        <v>3959</v>
      </c>
      <c r="S32" s="34" t="n">
        <v>16.3</v>
      </c>
      <c r="T32" s="34" t="n">
        <v>0.01</v>
      </c>
      <c r="U32" s="34" t="n">
        <v>5039.7</v>
      </c>
      <c r="V32" s="34" t="n">
        <v>2424</v>
      </c>
    </row>
    <row r="33" customFormat="false" ht="15.75" hidden="false" customHeight="true" outlineLevel="0" collapsed="false">
      <c r="A33" s="34" t="s">
        <v>208</v>
      </c>
      <c r="B33" s="34" t="n">
        <v>3905</v>
      </c>
      <c r="C33" s="34" t="n">
        <v>3917</v>
      </c>
      <c r="D33" s="34" t="n">
        <v>3882</v>
      </c>
      <c r="E33" s="34" t="n">
        <v>0.246</v>
      </c>
      <c r="F33" s="34" t="n">
        <v>79.15</v>
      </c>
      <c r="G33" s="34" t="n">
        <v>4375</v>
      </c>
      <c r="H33" s="34" t="n">
        <v>3632.4</v>
      </c>
      <c r="I33" s="34" t="n">
        <v>61.73</v>
      </c>
      <c r="J33" s="34" t="n">
        <v>58.17</v>
      </c>
      <c r="K33" s="34" t="n">
        <v>250669</v>
      </c>
      <c r="L33" s="34" t="n">
        <v>0.475</v>
      </c>
      <c r="M33" s="34" t="n">
        <v>3907.3</v>
      </c>
      <c r="N33" s="34" t="n">
        <v>3815.22</v>
      </c>
      <c r="O33" s="34" t="n">
        <v>3895.4</v>
      </c>
      <c r="P33" s="34" t="n">
        <v>3907.3</v>
      </c>
      <c r="Q33" s="34" t="n">
        <v>3796.75</v>
      </c>
      <c r="R33" s="34" t="n">
        <v>3898</v>
      </c>
      <c r="S33" s="34" t="n">
        <v>27.25</v>
      </c>
      <c r="T33" s="34" t="n">
        <v>0.006</v>
      </c>
      <c r="U33" s="34" t="n">
        <v>5367.5</v>
      </c>
      <c r="V33" s="34" t="n">
        <v>3031.05</v>
      </c>
    </row>
    <row r="34" customFormat="false" ht="15.75" hidden="false" customHeight="true" outlineLevel="0" collapsed="false">
      <c r="A34" s="34" t="s">
        <v>96</v>
      </c>
      <c r="B34" s="34" t="n">
        <v>3916</v>
      </c>
      <c r="C34" s="34" t="n">
        <v>3932</v>
      </c>
      <c r="D34" s="34" t="n">
        <v>3875</v>
      </c>
      <c r="E34" s="34" t="n">
        <v>0.764</v>
      </c>
      <c r="F34" s="34" t="n">
        <v>82.19</v>
      </c>
      <c r="G34" s="34" t="n">
        <v>3932</v>
      </c>
      <c r="H34" s="34" t="n">
        <v>3212.2</v>
      </c>
      <c r="I34" s="34" t="n">
        <v>123.11</v>
      </c>
      <c r="J34" s="34" t="n">
        <v>81.32</v>
      </c>
      <c r="K34" s="34" t="n">
        <v>558597</v>
      </c>
      <c r="L34" s="34" t="n">
        <v>0.795</v>
      </c>
      <c r="M34" s="34" t="n">
        <v>3737.12</v>
      </c>
      <c r="N34" s="34" t="n">
        <v>3820.31</v>
      </c>
      <c r="O34" s="34" t="n">
        <v>3886.3</v>
      </c>
      <c r="P34" s="34" t="n">
        <v>3684.8</v>
      </c>
      <c r="Q34" s="34" t="n">
        <v>3770.9</v>
      </c>
      <c r="R34" s="34" t="n">
        <v>3904</v>
      </c>
      <c r="S34" s="34" t="n">
        <v>0.407</v>
      </c>
      <c r="T34" s="34" t="n">
        <v>0.009</v>
      </c>
      <c r="U34" s="34" t="n">
        <v>4171.9</v>
      </c>
      <c r="V34" s="34" t="n">
        <v>2580</v>
      </c>
    </row>
    <row r="35" customFormat="false" ht="15.75" hidden="false" customHeight="true" outlineLevel="0" collapsed="false">
      <c r="A35" s="34" t="s">
        <v>148</v>
      </c>
      <c r="B35" s="34" t="n">
        <v>3865.1</v>
      </c>
      <c r="C35" s="34" t="n">
        <v>3882.7</v>
      </c>
      <c r="D35" s="34" t="n">
        <v>3838.4</v>
      </c>
      <c r="E35" s="34" t="n">
        <v>-0.121</v>
      </c>
      <c r="F35" s="34" t="n">
        <v>96.38</v>
      </c>
      <c r="G35" s="34" t="n">
        <v>4330</v>
      </c>
      <c r="H35" s="34" t="n">
        <v>3664.1</v>
      </c>
      <c r="I35" s="34" t="n">
        <v>-48.58</v>
      </c>
      <c r="J35" s="34" t="n">
        <v>47.12</v>
      </c>
      <c r="K35" s="34" t="n">
        <v>60860</v>
      </c>
      <c r="L35" s="34" t="n">
        <v>0.375</v>
      </c>
      <c r="M35" s="34" t="n">
        <v>3955.22</v>
      </c>
      <c r="N35" s="34" t="n">
        <v>3762.09</v>
      </c>
      <c r="O35" s="34" t="n">
        <v>3869.8</v>
      </c>
      <c r="P35" s="34" t="n">
        <v>3955.22</v>
      </c>
      <c r="Q35" s="34" t="n">
        <v>3724.37</v>
      </c>
      <c r="R35" s="34" t="n">
        <v>3869.7</v>
      </c>
      <c r="S35" s="34" t="n">
        <v>19.55</v>
      </c>
      <c r="T35" s="34" t="n">
        <v>0.006</v>
      </c>
      <c r="U35" s="34" t="n">
        <v>4804.05</v>
      </c>
      <c r="V35" s="34" t="n">
        <v>2951.1</v>
      </c>
    </row>
    <row r="36" customFormat="false" ht="15.75" hidden="false" customHeight="true" outlineLevel="0" collapsed="false">
      <c r="A36" s="34" t="s">
        <v>115</v>
      </c>
      <c r="B36" s="34" t="n">
        <v>3685.3</v>
      </c>
      <c r="C36" s="34" t="n">
        <v>3698</v>
      </c>
      <c r="D36" s="34" t="n">
        <v>3635</v>
      </c>
      <c r="E36" s="34" t="n">
        <v>1.04</v>
      </c>
      <c r="F36" s="34" t="n">
        <v>60.75</v>
      </c>
      <c r="G36" s="34" t="n">
        <v>3787.9</v>
      </c>
      <c r="H36" s="34" t="n">
        <v>3140.1</v>
      </c>
      <c r="I36" s="34" t="n">
        <v>53.93</v>
      </c>
      <c r="J36" s="34" t="n">
        <v>66.1</v>
      </c>
      <c r="K36" s="34" t="n">
        <v>279866</v>
      </c>
      <c r="L36" s="34" t="n">
        <v>1.8</v>
      </c>
      <c r="M36" s="34" t="n">
        <v>3702.11</v>
      </c>
      <c r="N36" s="34" t="n">
        <v>3603.26</v>
      </c>
      <c r="O36" s="34" t="n">
        <v>3647.4</v>
      </c>
      <c r="P36" s="34" t="n">
        <v>3702.11</v>
      </c>
      <c r="Q36" s="34" t="n">
        <v>3596.26</v>
      </c>
      <c r="R36" s="34" t="n">
        <v>3643</v>
      </c>
      <c r="S36" s="34" t="n">
        <v>2.71</v>
      </c>
      <c r="T36" s="34" t="n">
        <v>0.006</v>
      </c>
      <c r="U36" s="34" t="n">
        <v>3787.9</v>
      </c>
      <c r="V36" s="34" t="n">
        <v>2886.45</v>
      </c>
    </row>
    <row r="37" customFormat="false" ht="15.75" hidden="false" customHeight="true" outlineLevel="0" collapsed="false">
      <c r="A37" s="34" t="s">
        <v>142</v>
      </c>
      <c r="B37" s="34" t="n">
        <v>3621</v>
      </c>
      <c r="C37" s="34" t="n">
        <v>3641.4</v>
      </c>
      <c r="D37" s="34" t="n">
        <v>3607.7</v>
      </c>
      <c r="E37" s="34" t="n">
        <v>0.13</v>
      </c>
      <c r="F37" s="34" t="n">
        <v>51.97</v>
      </c>
      <c r="G37" s="34" t="n">
        <v>3726.5</v>
      </c>
      <c r="H37" s="34" t="n">
        <v>3307</v>
      </c>
      <c r="I37" s="34" t="n">
        <v>153.37</v>
      </c>
      <c r="J37" s="34" t="n">
        <v>84.28</v>
      </c>
      <c r="K37" s="34" t="n">
        <v>691836</v>
      </c>
      <c r="L37" s="34" t="n">
        <v>1.03</v>
      </c>
      <c r="M37" s="34" t="n">
        <v>3517.21</v>
      </c>
      <c r="N37" s="34" t="n">
        <v>3570.88</v>
      </c>
      <c r="O37" s="34" t="n">
        <v>3616.3</v>
      </c>
      <c r="P37" s="34" t="n">
        <v>3494.82</v>
      </c>
      <c r="Q37" s="34" t="n">
        <v>3550.71</v>
      </c>
      <c r="R37" s="34" t="n">
        <v>3616.3</v>
      </c>
      <c r="S37" s="34" t="n">
        <v>6.36</v>
      </c>
      <c r="T37" s="34" t="n">
        <v>0.005</v>
      </c>
      <c r="U37" s="34" t="n">
        <v>3867</v>
      </c>
      <c r="V37" s="34" t="n">
        <v>2925</v>
      </c>
    </row>
    <row r="38" customFormat="false" ht="15.75" hidden="false" customHeight="true" outlineLevel="0" collapsed="false">
      <c r="A38" s="34" t="s">
        <v>93</v>
      </c>
      <c r="B38" s="34" t="n">
        <v>3595.8</v>
      </c>
      <c r="C38" s="34" t="n">
        <v>3634.5</v>
      </c>
      <c r="D38" s="34" t="n">
        <v>3582</v>
      </c>
      <c r="E38" s="34" t="n">
        <v>-0.465</v>
      </c>
      <c r="F38" s="34" t="n">
        <v>56.87</v>
      </c>
      <c r="G38" s="34" t="n">
        <v>3731.4</v>
      </c>
      <c r="H38" s="34" t="n">
        <v>3405.1</v>
      </c>
      <c r="I38" s="34" t="n">
        <v>-7.3</v>
      </c>
      <c r="J38" s="34" t="n">
        <v>42.75</v>
      </c>
      <c r="K38" s="34" t="n">
        <v>1060422</v>
      </c>
      <c r="L38" s="34" t="n">
        <v>0.653</v>
      </c>
      <c r="M38" s="34" t="n">
        <v>3582.25</v>
      </c>
      <c r="N38" s="34" t="n">
        <v>3657.58</v>
      </c>
      <c r="O38" s="34" t="n">
        <v>3612.6</v>
      </c>
      <c r="P38" s="34" t="n">
        <v>3582.25</v>
      </c>
      <c r="Q38" s="34" t="n">
        <v>3657.58</v>
      </c>
      <c r="R38" s="34" t="n">
        <v>3610</v>
      </c>
      <c r="S38" s="34" t="n">
        <v>9.28</v>
      </c>
      <c r="T38" s="34" t="n">
        <v>0.005</v>
      </c>
      <c r="U38" s="34" t="n">
        <v>3963.5</v>
      </c>
      <c r="V38" s="34" t="n">
        <v>2965.3</v>
      </c>
    </row>
    <row r="39" customFormat="false" ht="15.75" hidden="false" customHeight="true" outlineLevel="0" collapsed="false">
      <c r="A39" s="34" t="s">
        <v>94</v>
      </c>
      <c r="B39" s="34" t="n">
        <v>3403</v>
      </c>
      <c r="C39" s="34" t="n">
        <v>3420</v>
      </c>
      <c r="D39" s="34" t="n">
        <v>3375.4</v>
      </c>
      <c r="E39" s="34" t="n">
        <v>0.827</v>
      </c>
      <c r="F39" s="34" t="n">
        <v>69.26</v>
      </c>
      <c r="G39" s="34" t="n">
        <v>3432</v>
      </c>
      <c r="H39" s="34" t="n">
        <v>2932</v>
      </c>
      <c r="I39" s="34" t="n">
        <v>140.79</v>
      </c>
      <c r="J39" s="34" t="n">
        <v>71.11</v>
      </c>
      <c r="K39" s="34" t="n">
        <v>2509867</v>
      </c>
      <c r="L39" s="34" t="n">
        <v>1.28</v>
      </c>
      <c r="M39" s="34" t="n">
        <v>3258.05</v>
      </c>
      <c r="N39" s="34" t="n">
        <v>3327.88</v>
      </c>
      <c r="O39" s="34" t="n">
        <v>3375.1</v>
      </c>
      <c r="P39" s="34" t="n">
        <v>3244.82</v>
      </c>
      <c r="Q39" s="34" t="n">
        <v>3317.41</v>
      </c>
      <c r="R39" s="34" t="n">
        <v>3380</v>
      </c>
      <c r="S39" s="34" t="n">
        <v>0.845</v>
      </c>
      <c r="T39" s="34" t="n">
        <v>0.009</v>
      </c>
      <c r="U39" s="34" t="n">
        <v>3432</v>
      </c>
      <c r="V39" s="34" t="n">
        <v>2425</v>
      </c>
    </row>
    <row r="40" customFormat="false" ht="15.75" hidden="false" customHeight="true" outlineLevel="0" collapsed="false">
      <c r="A40" s="34" t="s">
        <v>78</v>
      </c>
      <c r="B40" s="34" t="n">
        <v>3294.6</v>
      </c>
      <c r="C40" s="34" t="n">
        <v>3305</v>
      </c>
      <c r="D40" s="34" t="n">
        <v>3273.5</v>
      </c>
      <c r="E40" s="34" t="n">
        <v>0.418</v>
      </c>
      <c r="F40" s="34" t="n">
        <v>72.36</v>
      </c>
      <c r="G40" s="34" t="n">
        <v>3308</v>
      </c>
      <c r="H40" s="34" t="n">
        <v>2655.1</v>
      </c>
      <c r="I40" s="34" t="n">
        <v>150.45</v>
      </c>
      <c r="J40" s="34" t="n">
        <v>84.81</v>
      </c>
      <c r="K40" s="34" t="n">
        <v>1323992</v>
      </c>
      <c r="L40" s="34" t="n">
        <v>0.927</v>
      </c>
      <c r="M40" s="34" t="n">
        <v>3145.46</v>
      </c>
      <c r="N40" s="34" t="n">
        <v>3217.35</v>
      </c>
      <c r="O40" s="34" t="n">
        <v>3280.9</v>
      </c>
      <c r="P40" s="34" t="n">
        <v>3115.23</v>
      </c>
      <c r="Q40" s="34" t="n">
        <v>3191.61</v>
      </c>
      <c r="R40" s="34" t="n">
        <v>3281</v>
      </c>
      <c r="S40" s="34" t="n">
        <v>0.405</v>
      </c>
      <c r="T40" s="34" t="n">
        <v>0.011</v>
      </c>
      <c r="U40" s="34" t="n">
        <v>3308</v>
      </c>
      <c r="V40" s="34" t="n">
        <v>2171.4</v>
      </c>
    </row>
    <row r="41" customFormat="false" ht="15.75" hidden="false" customHeight="true" outlineLevel="0" collapsed="false">
      <c r="A41" s="34" t="s">
        <v>101</v>
      </c>
      <c r="B41" s="34" t="n">
        <v>3173.2</v>
      </c>
      <c r="C41" s="34" t="n">
        <v>3234.3</v>
      </c>
      <c r="D41" s="34" t="n">
        <v>3158</v>
      </c>
      <c r="E41" s="34" t="n">
        <v>-0.751</v>
      </c>
      <c r="F41" s="34" t="n">
        <v>81.16</v>
      </c>
      <c r="G41" s="34" t="n">
        <v>3385</v>
      </c>
      <c r="H41" s="34" t="n">
        <v>2925</v>
      </c>
      <c r="I41" s="34" t="n">
        <v>123.94</v>
      </c>
      <c r="J41" s="34" t="n">
        <v>59.51</v>
      </c>
      <c r="K41" s="34" t="n">
        <v>290165</v>
      </c>
      <c r="L41" s="34" t="n">
        <v>0.409</v>
      </c>
      <c r="M41" s="34" t="n">
        <v>3033.12</v>
      </c>
      <c r="N41" s="34" t="n">
        <v>3114.64</v>
      </c>
      <c r="O41" s="34" t="n">
        <v>3197.2</v>
      </c>
      <c r="P41" s="34" t="n">
        <v>3028.32</v>
      </c>
      <c r="Q41" s="34" t="n">
        <v>3110.41</v>
      </c>
      <c r="R41" s="34" t="n">
        <v>3210</v>
      </c>
      <c r="S41" s="34" t="n">
        <v>33.51</v>
      </c>
      <c r="T41" s="34" t="n">
        <v>0.007</v>
      </c>
      <c r="U41" s="34" t="n">
        <v>4772.21</v>
      </c>
      <c r="V41" s="34" t="n">
        <v>2450</v>
      </c>
    </row>
    <row r="42" customFormat="false" ht="15.75" hidden="false" customHeight="true" outlineLevel="0" collapsed="false">
      <c r="A42" s="34" t="s">
        <v>79</v>
      </c>
      <c r="B42" s="34" t="n">
        <v>3087.2</v>
      </c>
      <c r="C42" s="34" t="n">
        <v>3106.8</v>
      </c>
      <c r="D42" s="34" t="n">
        <v>3067.3</v>
      </c>
      <c r="E42" s="34" t="n">
        <v>0.266</v>
      </c>
      <c r="F42" s="34" t="n">
        <v>44.78</v>
      </c>
      <c r="G42" s="34" t="n">
        <v>3125</v>
      </c>
      <c r="H42" s="34" t="n">
        <v>2845.6</v>
      </c>
      <c r="I42" s="34" t="n">
        <v>62.11</v>
      </c>
      <c r="J42" s="34" t="n">
        <v>64.17</v>
      </c>
      <c r="K42" s="34" t="n">
        <v>357791</v>
      </c>
      <c r="L42" s="34" t="n">
        <v>3.02</v>
      </c>
      <c r="M42" s="34" t="n">
        <v>2996.1</v>
      </c>
      <c r="N42" s="34" t="n">
        <v>3045.05</v>
      </c>
      <c r="O42" s="34" t="n">
        <v>3079</v>
      </c>
      <c r="P42" s="34" t="n">
        <v>2996.1</v>
      </c>
      <c r="Q42" s="34" t="n">
        <v>3045.05</v>
      </c>
      <c r="R42" s="34" t="n">
        <v>3079</v>
      </c>
      <c r="S42" s="34" t="n">
        <v>9.6</v>
      </c>
      <c r="T42" s="34" t="n">
        <v>0.005</v>
      </c>
      <c r="U42" s="34" t="n">
        <v>3415</v>
      </c>
      <c r="V42" s="34" t="n">
        <v>2622.2</v>
      </c>
    </row>
    <row r="43" customFormat="false" ht="15.75" hidden="false" customHeight="true" outlineLevel="0" collapsed="false">
      <c r="A43" s="34" t="s">
        <v>241</v>
      </c>
      <c r="B43" s="34" t="n">
        <v>3072.1</v>
      </c>
      <c r="C43" s="34" t="n">
        <v>3189.1</v>
      </c>
      <c r="D43" s="34" t="n">
        <v>3063.5</v>
      </c>
      <c r="E43" s="34" t="n">
        <v>-0.817</v>
      </c>
      <c r="F43" s="34" t="n">
        <v>96.02</v>
      </c>
      <c r="G43" s="34" t="n">
        <v>3251.7</v>
      </c>
      <c r="H43" s="34" t="n">
        <v>2772</v>
      </c>
      <c r="I43" s="34" t="n">
        <v>93.33</v>
      </c>
      <c r="J43" s="34" t="n">
        <v>55.58</v>
      </c>
      <c r="K43" s="34" t="n">
        <v>376900</v>
      </c>
      <c r="L43" s="34" t="n">
        <v>2.26</v>
      </c>
      <c r="M43" s="34" t="n">
        <v>3018.24</v>
      </c>
      <c r="N43" s="34" t="n">
        <v>3219.75</v>
      </c>
      <c r="O43" s="34" t="n">
        <v>3097.4</v>
      </c>
      <c r="P43" s="34" t="n">
        <v>3018.24</v>
      </c>
      <c r="Q43" s="34" t="n">
        <v>3234.93</v>
      </c>
      <c r="R43" s="34" t="n">
        <v>3085</v>
      </c>
      <c r="S43" s="34" t="n">
        <v>36.14</v>
      </c>
      <c r="T43" s="34" t="n">
        <v>0.007</v>
      </c>
      <c r="U43" s="34" t="n">
        <v>4810.8</v>
      </c>
      <c r="V43" s="34" t="n">
        <v>2407.1</v>
      </c>
    </row>
    <row r="44" customFormat="false" ht="15.75" hidden="false" customHeight="true" outlineLevel="0" collapsed="false">
      <c r="A44" s="34" t="s">
        <v>135</v>
      </c>
      <c r="B44" s="34" t="n">
        <v>3054</v>
      </c>
      <c r="C44" s="34" t="n">
        <v>3095.7</v>
      </c>
      <c r="D44" s="34" t="n">
        <v>3050</v>
      </c>
      <c r="E44" s="34" t="n">
        <v>-1.57</v>
      </c>
      <c r="F44" s="34" t="n">
        <v>46.1</v>
      </c>
      <c r="G44" s="34" t="n">
        <v>3538</v>
      </c>
      <c r="H44" s="34" t="n">
        <v>2991.6</v>
      </c>
      <c r="I44" s="34" t="n">
        <v>40.63</v>
      </c>
      <c r="J44" s="34" t="n">
        <v>47.77</v>
      </c>
      <c r="K44" s="34" t="n">
        <v>1593633</v>
      </c>
      <c r="L44" s="34" t="n">
        <v>0.493</v>
      </c>
      <c r="M44" s="34" t="n">
        <v>3017.23</v>
      </c>
      <c r="N44" s="34" t="n">
        <v>3118.3</v>
      </c>
      <c r="O44" s="34" t="n">
        <v>3102.6</v>
      </c>
      <c r="P44" s="34" t="n">
        <v>3017.23</v>
      </c>
      <c r="Q44" s="34" t="n">
        <v>3061.89</v>
      </c>
      <c r="R44" s="34" t="n">
        <v>3086</v>
      </c>
      <c r="S44" s="34" t="n">
        <v>33.5</v>
      </c>
      <c r="T44" s="34" t="n">
        <v>0.001</v>
      </c>
      <c r="U44" s="34" t="n">
        <v>4592.25</v>
      </c>
      <c r="V44" s="34" t="n">
        <v>2991.6</v>
      </c>
    </row>
    <row r="45" customFormat="false" ht="15.75" hidden="false" customHeight="true" outlineLevel="0" collapsed="false">
      <c r="A45" s="34" t="s">
        <v>203</v>
      </c>
      <c r="B45" s="34" t="n">
        <v>2917.5</v>
      </c>
      <c r="C45" s="34" t="n">
        <v>2937.5</v>
      </c>
      <c r="D45" s="34" t="n">
        <v>2901</v>
      </c>
      <c r="E45" s="34" t="n">
        <v>0.161</v>
      </c>
      <c r="F45" s="34" t="n">
        <v>68.08</v>
      </c>
      <c r="G45" s="34" t="n">
        <v>3325</v>
      </c>
      <c r="H45" s="34" t="n">
        <v>2820</v>
      </c>
      <c r="I45" s="34" t="n">
        <v>-40.04</v>
      </c>
      <c r="J45" s="34" t="n">
        <v>45.33</v>
      </c>
      <c r="K45" s="34" t="n">
        <v>313233</v>
      </c>
      <c r="L45" s="34" t="n">
        <v>1.02</v>
      </c>
      <c r="M45" s="34" t="n">
        <v>2995.11</v>
      </c>
      <c r="N45" s="34" t="n">
        <v>2881.27</v>
      </c>
      <c r="O45" s="34" t="n">
        <v>2912.8</v>
      </c>
      <c r="P45" s="34" t="n">
        <v>2995.11</v>
      </c>
      <c r="Q45" s="34" t="n">
        <v>2881.27</v>
      </c>
      <c r="R45" s="34" t="n">
        <v>2913</v>
      </c>
      <c r="S45" s="34" t="n">
        <v>12.26</v>
      </c>
      <c r="T45" s="34" t="n">
        <v>0.009</v>
      </c>
      <c r="U45" s="34" t="n">
        <v>3325</v>
      </c>
      <c r="V45" s="34" t="n">
        <v>2126.85</v>
      </c>
    </row>
    <row r="46" customFormat="false" ht="15.75" hidden="false" customHeight="true" outlineLevel="0" collapsed="false">
      <c r="A46" s="34" t="s">
        <v>122</v>
      </c>
      <c r="B46" s="34" t="n">
        <v>2848.6</v>
      </c>
      <c r="C46" s="34" t="n">
        <v>2878</v>
      </c>
      <c r="D46" s="34" t="n">
        <v>2824</v>
      </c>
      <c r="E46" s="34" t="n">
        <v>-0.203</v>
      </c>
      <c r="F46" s="34" t="n">
        <v>73.98</v>
      </c>
      <c r="G46" s="34" t="n">
        <v>2950.4</v>
      </c>
      <c r="H46" s="34" t="n">
        <v>2592.1</v>
      </c>
      <c r="I46" s="34" t="n">
        <v>166.91</v>
      </c>
      <c r="J46" s="34" t="n">
        <v>70.46</v>
      </c>
      <c r="K46" s="34" t="n">
        <v>283753</v>
      </c>
      <c r="L46" s="34" t="n">
        <v>0.622</v>
      </c>
      <c r="M46" s="34" t="n">
        <v>2702.2</v>
      </c>
      <c r="N46" s="34" t="n">
        <v>2776.6</v>
      </c>
      <c r="O46" s="34" t="n">
        <v>2854.4</v>
      </c>
      <c r="P46" s="34" t="n">
        <v>2697.97</v>
      </c>
      <c r="Q46" s="34" t="n">
        <v>2774.63</v>
      </c>
      <c r="R46" s="34" t="n">
        <v>2850</v>
      </c>
      <c r="S46" s="34" t="n">
        <v>12.02</v>
      </c>
      <c r="T46" s="34" t="n">
        <v>0.011</v>
      </c>
      <c r="U46" s="34" t="n">
        <v>3237.95</v>
      </c>
      <c r="V46" s="34" t="n">
        <v>2044.55</v>
      </c>
    </row>
    <row r="47" customFormat="false" ht="15.75" hidden="false" customHeight="true" outlineLevel="0" collapsed="false">
      <c r="A47" s="34" t="s">
        <v>81</v>
      </c>
      <c r="B47" s="34" t="n">
        <v>2813.8</v>
      </c>
      <c r="C47" s="34" t="n">
        <v>2881.1</v>
      </c>
      <c r="D47" s="34" t="n">
        <v>2801.4</v>
      </c>
      <c r="E47" s="34" t="n">
        <v>-2.34</v>
      </c>
      <c r="F47" s="34" t="n">
        <v>61.99</v>
      </c>
      <c r="G47" s="34" t="n">
        <v>2898.4</v>
      </c>
      <c r="H47" s="34" t="n">
        <v>2635.8</v>
      </c>
      <c r="I47" s="34" t="n">
        <v>101.89</v>
      </c>
      <c r="J47" s="34" t="n">
        <v>52.92</v>
      </c>
      <c r="K47" s="34" t="n">
        <v>671885</v>
      </c>
      <c r="L47" s="34" t="n">
        <v>0.59</v>
      </c>
      <c r="M47" s="34" t="n">
        <v>2760.57</v>
      </c>
      <c r="N47" s="34" t="n">
        <v>2901.49</v>
      </c>
      <c r="O47" s="34" t="n">
        <v>2881.2</v>
      </c>
      <c r="P47" s="34" t="n">
        <v>2760.57</v>
      </c>
      <c r="Q47" s="34" t="n">
        <v>2818.64</v>
      </c>
      <c r="R47" s="34" t="n">
        <v>2881.1</v>
      </c>
      <c r="S47" s="34" t="n">
        <v>2.92</v>
      </c>
      <c r="T47" s="34" t="n">
        <v>0.007</v>
      </c>
      <c r="U47" s="34" t="n">
        <v>2898.4</v>
      </c>
      <c r="V47" s="34" t="n">
        <v>2276.95</v>
      </c>
    </row>
    <row r="48" customFormat="false" ht="15.75" hidden="false" customHeight="true" outlineLevel="0" collapsed="false">
      <c r="A48" s="34" t="s">
        <v>411</v>
      </c>
      <c r="B48" s="34" t="n">
        <v>2700.3</v>
      </c>
      <c r="C48" s="34" t="n">
        <v>2757.9</v>
      </c>
      <c r="D48" s="34" t="n">
        <v>2695.5</v>
      </c>
      <c r="E48" s="34" t="n">
        <v>-2.44</v>
      </c>
      <c r="F48" s="34" t="n">
        <v>83.11</v>
      </c>
      <c r="G48" s="34" t="n">
        <v>3369</v>
      </c>
      <c r="H48" s="34" t="n">
        <v>2623.2</v>
      </c>
      <c r="I48" s="34" t="n">
        <v>-64.77</v>
      </c>
      <c r="J48" s="34" t="n">
        <v>38.43</v>
      </c>
      <c r="K48" s="34" t="n">
        <v>1126718</v>
      </c>
      <c r="L48" s="34" t="n">
        <v>0.532</v>
      </c>
      <c r="M48" s="34" t="n">
        <v>2890.32</v>
      </c>
      <c r="N48" s="34" t="n">
        <v>2789.09</v>
      </c>
      <c r="O48" s="34" t="n">
        <v>2767.8</v>
      </c>
      <c r="P48" s="34" t="n">
        <v>2890.32</v>
      </c>
      <c r="Q48" s="34" t="n">
        <v>2789.09</v>
      </c>
      <c r="R48" s="34" t="n">
        <v>2754.9</v>
      </c>
      <c r="S48" s="34" t="n">
        <v>28.47</v>
      </c>
      <c r="T48" s="34" t="n">
        <v>0.011</v>
      </c>
      <c r="U48" s="34" t="n">
        <v>3775</v>
      </c>
      <c r="V48" s="34" t="n">
        <v>1918.05</v>
      </c>
    </row>
    <row r="49" customFormat="false" ht="15.75" hidden="false" customHeight="true" outlineLevel="0" collapsed="false">
      <c r="A49" s="34" t="s">
        <v>117</v>
      </c>
      <c r="B49" s="34" t="n">
        <v>2680.6</v>
      </c>
      <c r="C49" s="34" t="n">
        <v>2695</v>
      </c>
      <c r="D49" s="34" t="n">
        <v>2670</v>
      </c>
      <c r="E49" s="34" t="n">
        <v>0.179</v>
      </c>
      <c r="F49" s="34" t="n">
        <v>75.4</v>
      </c>
      <c r="G49" s="34" t="n">
        <v>2807</v>
      </c>
      <c r="H49" s="34" t="n">
        <v>2476.6</v>
      </c>
      <c r="I49" s="34" t="n">
        <v>49.8</v>
      </c>
      <c r="J49" s="34" t="n">
        <v>53.18</v>
      </c>
      <c r="K49" s="34" t="n">
        <v>294043</v>
      </c>
      <c r="L49" s="34" t="n">
        <v>0.67</v>
      </c>
      <c r="M49" s="34" t="n">
        <v>2615.44</v>
      </c>
      <c r="N49" s="34" t="n">
        <v>2755.06</v>
      </c>
      <c r="O49" s="34" t="n">
        <v>2675.8</v>
      </c>
      <c r="P49" s="34" t="n">
        <v>2615.44</v>
      </c>
      <c r="Q49" s="34" t="n">
        <v>2755.06</v>
      </c>
      <c r="R49" s="34" t="n">
        <v>2684</v>
      </c>
      <c r="S49" s="34" t="n">
        <v>4.5</v>
      </c>
      <c r="T49" s="34" t="n">
        <v>0.013</v>
      </c>
      <c r="U49" s="34" t="n">
        <v>2807</v>
      </c>
      <c r="V49" s="34" t="n">
        <v>1756.05</v>
      </c>
    </row>
    <row r="50" customFormat="false" ht="15.75" hidden="false" customHeight="true" outlineLevel="0" collapsed="false">
      <c r="A50" s="34" t="s">
        <v>187</v>
      </c>
      <c r="B50" s="34" t="n">
        <v>2629.9</v>
      </c>
      <c r="C50" s="34" t="n">
        <v>2658.5</v>
      </c>
      <c r="D50" s="34" t="n">
        <v>2619</v>
      </c>
      <c r="E50" s="34" t="n">
        <v>-0.683</v>
      </c>
      <c r="F50" s="34" t="n">
        <v>57.32</v>
      </c>
      <c r="G50" s="34" t="n">
        <v>2727.5</v>
      </c>
      <c r="H50" s="34" t="n">
        <v>2258.7</v>
      </c>
      <c r="I50" s="34" t="n">
        <v>126.03</v>
      </c>
      <c r="J50" s="34" t="n">
        <v>66.69</v>
      </c>
      <c r="K50" s="34" t="n">
        <v>1223450</v>
      </c>
      <c r="L50" s="34" t="n">
        <v>0.547</v>
      </c>
      <c r="M50" s="34" t="n">
        <v>2530.44</v>
      </c>
      <c r="N50" s="34" t="n">
        <v>2588.82</v>
      </c>
      <c r="O50" s="34" t="n">
        <v>2648</v>
      </c>
      <c r="P50" s="34" t="n">
        <v>2530.44</v>
      </c>
      <c r="Q50" s="34" t="n">
        <v>2588.82</v>
      </c>
      <c r="R50" s="34" t="n">
        <v>2647</v>
      </c>
      <c r="S50" s="34" t="n">
        <v>13.35</v>
      </c>
      <c r="T50" s="34" t="n">
        <v>0.007</v>
      </c>
      <c r="U50" s="34" t="n">
        <v>3035</v>
      </c>
      <c r="V50" s="34" t="n">
        <v>2136</v>
      </c>
    </row>
    <row r="51" customFormat="false" ht="15.75" hidden="false" customHeight="true" outlineLevel="0" collapsed="false">
      <c r="A51" s="34" t="s">
        <v>407</v>
      </c>
      <c r="B51" s="34" t="n">
        <v>2606.8</v>
      </c>
      <c r="C51" s="34" t="n">
        <v>2651.5</v>
      </c>
      <c r="D51" s="34" t="n">
        <v>2587.9</v>
      </c>
      <c r="E51" s="34" t="n">
        <v>0.258</v>
      </c>
      <c r="F51" s="34" t="n">
        <v>70.91</v>
      </c>
      <c r="G51" s="34" t="n">
        <v>2716.5</v>
      </c>
      <c r="H51" s="34" t="n">
        <v>2258</v>
      </c>
      <c r="I51" s="34" t="n">
        <v>101.04</v>
      </c>
      <c r="J51" s="34" t="n">
        <v>72.17</v>
      </c>
      <c r="K51" s="34" t="n">
        <v>731362</v>
      </c>
      <c r="L51" s="34" t="n">
        <v>0.609</v>
      </c>
      <c r="M51" s="34" t="n">
        <v>2477.61</v>
      </c>
      <c r="N51" s="34" t="n">
        <v>2548.65</v>
      </c>
      <c r="O51" s="34" t="n">
        <v>2600.1</v>
      </c>
      <c r="P51" s="34" t="n">
        <v>2416.75</v>
      </c>
      <c r="Q51" s="34" t="n">
        <v>2488.63</v>
      </c>
      <c r="R51" s="34" t="n">
        <v>2588</v>
      </c>
      <c r="S51" s="34" t="n">
        <v>14.67</v>
      </c>
      <c r="T51" s="34" t="n">
        <v>0.008</v>
      </c>
      <c r="U51" s="34" t="n">
        <v>3054.8</v>
      </c>
      <c r="V51" s="34" t="n">
        <v>2115.1</v>
      </c>
    </row>
    <row r="52" customFormat="false" ht="15.75" hidden="false" customHeight="true" outlineLevel="0" collapsed="false">
      <c r="A52" s="34" t="s">
        <v>229</v>
      </c>
      <c r="B52" s="34" t="n">
        <v>2518.6</v>
      </c>
      <c r="C52" s="34" t="n">
        <v>2568</v>
      </c>
      <c r="D52" s="34" t="n">
        <v>2508.2</v>
      </c>
      <c r="E52" s="34" t="n">
        <v>-0.757</v>
      </c>
      <c r="F52" s="34" t="n">
        <v>91.41</v>
      </c>
      <c r="G52" s="34" t="n">
        <v>3015</v>
      </c>
      <c r="H52" s="34" t="n">
        <v>2502</v>
      </c>
      <c r="I52" s="34" t="n">
        <v>-141.02</v>
      </c>
      <c r="J52" s="34" t="n">
        <v>35.31</v>
      </c>
      <c r="K52" s="34" t="n">
        <v>1200046</v>
      </c>
      <c r="L52" s="34" t="n">
        <v>0.467</v>
      </c>
      <c r="M52" s="34" t="n">
        <v>2718.22</v>
      </c>
      <c r="N52" s="34" t="n">
        <v>2628.16</v>
      </c>
      <c r="O52" s="34" t="n">
        <v>2537.8</v>
      </c>
      <c r="P52" s="34" t="n">
        <v>2525.34</v>
      </c>
      <c r="Q52" s="34" t="n">
        <v>2725.72</v>
      </c>
      <c r="R52" s="34" t="n">
        <v>2545</v>
      </c>
      <c r="S52" s="34" t="n">
        <v>28.1</v>
      </c>
      <c r="T52" s="34" t="n">
        <v>0.009</v>
      </c>
      <c r="U52" s="34" t="n">
        <v>3503.15</v>
      </c>
      <c r="V52" s="34" t="n">
        <v>1941</v>
      </c>
    </row>
    <row r="53" customFormat="false" ht="15.75" hidden="false" customHeight="true" outlineLevel="0" collapsed="false">
      <c r="A53" s="34" t="s">
        <v>119</v>
      </c>
      <c r="B53" s="34" t="n">
        <v>2504.5</v>
      </c>
      <c r="C53" s="34" t="n">
        <v>2569.3</v>
      </c>
      <c r="D53" s="34" t="n">
        <v>2501.1</v>
      </c>
      <c r="E53" s="34" t="n">
        <v>-2.42</v>
      </c>
      <c r="F53" s="34" t="n">
        <v>43.41</v>
      </c>
      <c r="G53" s="34" t="n">
        <v>2595</v>
      </c>
      <c r="H53" s="34" t="n">
        <v>2174.8</v>
      </c>
      <c r="I53" s="34" t="n">
        <v>60.32</v>
      </c>
      <c r="J53" s="34" t="n">
        <v>46.71</v>
      </c>
      <c r="K53" s="34" t="n">
        <v>523750</v>
      </c>
      <c r="L53" s="34" t="n">
        <v>0.67</v>
      </c>
      <c r="M53" s="34" t="n">
        <v>2484.28</v>
      </c>
      <c r="N53" s="34" t="n">
        <v>2579.53</v>
      </c>
      <c r="O53" s="34" t="n">
        <v>2566.6</v>
      </c>
      <c r="P53" s="34" t="n">
        <v>2484.28</v>
      </c>
      <c r="Q53" s="34" t="n">
        <v>2530.48</v>
      </c>
      <c r="R53" s="34" t="n">
        <v>2562.8</v>
      </c>
      <c r="S53" s="34" t="n">
        <v>26.23</v>
      </c>
      <c r="T53" s="34" t="n">
        <v>0.006</v>
      </c>
      <c r="U53" s="34" t="n">
        <v>3394.9</v>
      </c>
      <c r="V53" s="34" t="n">
        <v>2124.75</v>
      </c>
    </row>
    <row r="54" customFormat="false" ht="15.75" hidden="false" customHeight="true" outlineLevel="0" collapsed="false">
      <c r="A54" s="34" t="s">
        <v>100</v>
      </c>
      <c r="B54" s="34" t="n">
        <v>2324.9</v>
      </c>
      <c r="C54" s="34" t="n">
        <v>2376.3</v>
      </c>
      <c r="D54" s="34" t="n">
        <v>2321</v>
      </c>
      <c r="E54" s="34" t="n">
        <v>-2.2</v>
      </c>
      <c r="F54" s="34" t="n">
        <v>59.21</v>
      </c>
      <c r="G54" s="34" t="n">
        <v>2681.6</v>
      </c>
      <c r="H54" s="34" t="n">
        <v>2164.8</v>
      </c>
      <c r="I54" s="34" t="n">
        <v>-23.52</v>
      </c>
      <c r="J54" s="34" t="n">
        <v>43.6</v>
      </c>
      <c r="K54" s="34" t="n">
        <v>583820</v>
      </c>
      <c r="L54" s="34" t="n">
        <v>1.32</v>
      </c>
      <c r="M54" s="34" t="n">
        <v>2263.76</v>
      </c>
      <c r="N54" s="34" t="n">
        <v>2408.47</v>
      </c>
      <c r="O54" s="34" t="n">
        <v>2377.2</v>
      </c>
      <c r="P54" s="34" t="n">
        <v>2263.76</v>
      </c>
      <c r="Q54" s="34" t="n">
        <v>2324.99</v>
      </c>
      <c r="R54" s="34" t="n">
        <v>2369.9</v>
      </c>
      <c r="S54" s="34" t="n">
        <v>27.6</v>
      </c>
      <c r="T54" s="34" t="n">
        <v>0.006</v>
      </c>
      <c r="U54" s="34" t="n">
        <v>3743.9</v>
      </c>
      <c r="V54" s="34" t="n">
        <v>2025</v>
      </c>
    </row>
    <row r="55" customFormat="false" ht="15.75" hidden="false" customHeight="true" outlineLevel="0" collapsed="false">
      <c r="A55" s="34" t="s">
        <v>200</v>
      </c>
      <c r="B55" s="34" t="n">
        <v>2319.2</v>
      </c>
      <c r="C55" s="34" t="n">
        <v>2354</v>
      </c>
      <c r="D55" s="34" t="n">
        <v>2314.6</v>
      </c>
      <c r="E55" s="34" t="n">
        <v>-1.26</v>
      </c>
      <c r="F55" s="34" t="n">
        <v>47.86</v>
      </c>
      <c r="G55" s="34" t="n">
        <v>2394.2</v>
      </c>
      <c r="H55" s="34" t="n">
        <v>2025</v>
      </c>
      <c r="I55" s="34" t="n">
        <v>112.48</v>
      </c>
      <c r="J55" s="34" t="n">
        <v>60.39</v>
      </c>
      <c r="K55" s="34" t="n">
        <v>374359</v>
      </c>
      <c r="L55" s="34" t="n">
        <v>4.17</v>
      </c>
      <c r="M55" s="34" t="n">
        <v>2243.03</v>
      </c>
      <c r="N55" s="34" t="n">
        <v>2295.04</v>
      </c>
      <c r="O55" s="34" t="n">
        <v>2348.9</v>
      </c>
      <c r="P55" s="34" t="n">
        <v>2243.03</v>
      </c>
      <c r="Q55" s="34" t="n">
        <v>2295.04</v>
      </c>
      <c r="R55" s="34" t="n">
        <v>2343.3</v>
      </c>
      <c r="S55" s="34" t="n">
        <v>3.13</v>
      </c>
      <c r="T55" s="34" t="n">
        <v>0.013</v>
      </c>
      <c r="U55" s="34" t="n">
        <v>2394.2</v>
      </c>
      <c r="V55" s="34" t="n">
        <v>1601</v>
      </c>
    </row>
    <row r="56" customFormat="false" ht="15.75" hidden="false" customHeight="true" outlineLevel="0" collapsed="false">
      <c r="A56" s="34" t="s">
        <v>121</v>
      </c>
      <c r="B56" s="34" t="n">
        <v>2299.3</v>
      </c>
      <c r="C56" s="34" t="n">
        <v>2359.8</v>
      </c>
      <c r="D56" s="34" t="n">
        <v>2294</v>
      </c>
      <c r="E56" s="34" t="n">
        <v>-2.18</v>
      </c>
      <c r="F56" s="34" t="n">
        <v>53.99</v>
      </c>
      <c r="G56" s="34" t="n">
        <v>2491.9</v>
      </c>
      <c r="H56" s="34" t="n">
        <v>2151</v>
      </c>
      <c r="I56" s="34" t="n">
        <v>158.89</v>
      </c>
      <c r="J56" s="34" t="n">
        <v>57.6</v>
      </c>
      <c r="K56" s="34" t="n">
        <v>621239</v>
      </c>
      <c r="L56" s="34" t="n">
        <v>0.891</v>
      </c>
      <c r="M56" s="34" t="n">
        <v>2250.73</v>
      </c>
      <c r="N56" s="34" t="n">
        <v>2378.4</v>
      </c>
      <c r="O56" s="34" t="n">
        <v>2350.5</v>
      </c>
      <c r="P56" s="34" t="n">
        <v>2250.73</v>
      </c>
      <c r="Q56" s="34" t="n">
        <v>2300.64</v>
      </c>
      <c r="R56" s="34" t="n">
        <v>2355</v>
      </c>
      <c r="S56" s="34" t="n">
        <v>40.89</v>
      </c>
      <c r="T56" s="34" t="n">
        <v>0.003</v>
      </c>
      <c r="U56" s="34" t="n">
        <v>3890</v>
      </c>
      <c r="V56" s="34" t="n">
        <v>2151</v>
      </c>
    </row>
    <row r="57" customFormat="false" ht="15.75" hidden="false" customHeight="true" outlineLevel="0" collapsed="false">
      <c r="A57" s="34" t="s">
        <v>232</v>
      </c>
      <c r="B57" s="34" t="n">
        <v>2332.8</v>
      </c>
      <c r="C57" s="34" t="n">
        <v>2353.5</v>
      </c>
      <c r="D57" s="34" t="n">
        <v>2292.2</v>
      </c>
      <c r="E57" s="34" t="n">
        <v>0.026</v>
      </c>
      <c r="F57" s="34" t="n">
        <v>91.57</v>
      </c>
      <c r="G57" s="34" t="n">
        <v>2865.6</v>
      </c>
      <c r="H57" s="34" t="n">
        <v>2282</v>
      </c>
      <c r="I57" s="34" t="n">
        <v>-178.04</v>
      </c>
      <c r="J57" s="34" t="n">
        <v>33.62</v>
      </c>
      <c r="K57" s="34" t="n">
        <v>5909979</v>
      </c>
      <c r="L57" s="34" t="n">
        <v>0.486</v>
      </c>
      <c r="M57" s="34" t="n">
        <v>2505.39</v>
      </c>
      <c r="N57" s="34" t="n">
        <v>2414.12</v>
      </c>
      <c r="O57" s="34" t="n">
        <v>2332.2</v>
      </c>
      <c r="P57" s="34" t="n">
        <v>2546.44</v>
      </c>
      <c r="Q57" s="34" t="n">
        <v>2522</v>
      </c>
      <c r="R57" s="34" t="n">
        <v>2331.3</v>
      </c>
      <c r="S57" s="34" t="n">
        <v>23.01</v>
      </c>
      <c r="T57" s="34" t="n">
        <v>0.027</v>
      </c>
      <c r="U57" s="34" t="n">
        <v>3030</v>
      </c>
      <c r="V57" s="34" t="n">
        <v>893.67</v>
      </c>
    </row>
    <row r="58" customFormat="false" ht="15.75" hidden="false" customHeight="true" outlineLevel="0" collapsed="false">
      <c r="A58" s="34" t="s">
        <v>165</v>
      </c>
      <c r="B58" s="34" t="n">
        <v>2052.9</v>
      </c>
      <c r="C58" s="34" t="n">
        <v>2069.9</v>
      </c>
      <c r="D58" s="34" t="n">
        <v>2040.4</v>
      </c>
      <c r="E58" s="34" t="n">
        <v>-0.034</v>
      </c>
      <c r="F58" s="34" t="n">
        <v>51.67</v>
      </c>
      <c r="G58" s="34" t="n">
        <v>2494</v>
      </c>
      <c r="H58" s="34" t="n">
        <v>1934.8</v>
      </c>
      <c r="I58" s="34" t="n">
        <v>-4.43</v>
      </c>
      <c r="J58" s="34" t="n">
        <v>54.13</v>
      </c>
      <c r="K58" s="34" t="n">
        <v>405640</v>
      </c>
      <c r="L58" s="34" t="n">
        <v>0.314</v>
      </c>
      <c r="M58" s="34" t="n">
        <v>2065.71</v>
      </c>
      <c r="N58" s="34" t="n">
        <v>2013.1</v>
      </c>
      <c r="O58" s="34" t="n">
        <v>2053.6</v>
      </c>
      <c r="P58" s="34" t="n">
        <v>2065.71</v>
      </c>
      <c r="Q58" s="34" t="n">
        <v>2013.1</v>
      </c>
      <c r="R58" s="34" t="n">
        <v>2066.6</v>
      </c>
      <c r="S58" s="34" t="n">
        <v>39.6</v>
      </c>
      <c r="T58" s="34" t="n">
        <v>0.004</v>
      </c>
      <c r="U58" s="34" t="n">
        <v>3402.7</v>
      </c>
      <c r="V58" s="34" t="n">
        <v>1900</v>
      </c>
    </row>
    <row r="59" customFormat="false" ht="15.75" hidden="false" customHeight="true" outlineLevel="0" collapsed="false">
      <c r="A59" s="34" t="s">
        <v>58</v>
      </c>
      <c r="B59" s="34" t="n">
        <v>1986.6</v>
      </c>
      <c r="C59" s="34" t="n">
        <v>2018.6</v>
      </c>
      <c r="D59" s="34" t="n">
        <v>1980.2</v>
      </c>
      <c r="E59" s="34" t="n">
        <v>-1.55</v>
      </c>
      <c r="F59" s="34" t="n">
        <v>36.41</v>
      </c>
      <c r="G59" s="34" t="n">
        <v>2242.7</v>
      </c>
      <c r="H59" s="34" t="n">
        <v>1935</v>
      </c>
      <c r="I59" s="34" t="n">
        <v>-7.61</v>
      </c>
      <c r="J59" s="34" t="n">
        <v>42</v>
      </c>
      <c r="K59" s="34" t="n">
        <v>1791662</v>
      </c>
      <c r="L59" s="34" t="n">
        <v>0.618</v>
      </c>
      <c r="M59" s="34" t="n">
        <v>2054.16</v>
      </c>
      <c r="N59" s="34" t="n">
        <v>2036.7</v>
      </c>
      <c r="O59" s="34" t="n">
        <v>2017.8</v>
      </c>
      <c r="P59" s="34" t="n">
        <v>2054.16</v>
      </c>
      <c r="Q59" s="34" t="n">
        <v>1988.77</v>
      </c>
      <c r="R59" s="34" t="n">
        <v>2010.2</v>
      </c>
      <c r="S59" s="34" t="n">
        <v>13.7</v>
      </c>
      <c r="T59" s="34" t="n">
        <v>0.008</v>
      </c>
      <c r="U59" s="34" t="n">
        <v>2301.9</v>
      </c>
      <c r="V59" s="34" t="n">
        <v>1679.05</v>
      </c>
    </row>
    <row r="60" customFormat="false" ht="15.75" hidden="false" customHeight="true" outlineLevel="0" collapsed="false">
      <c r="A60" s="34" t="s">
        <v>136</v>
      </c>
      <c r="B60" s="34" t="n">
        <v>1965.9</v>
      </c>
      <c r="C60" s="34" t="n">
        <v>1977.3</v>
      </c>
      <c r="D60" s="34" t="n">
        <v>1963.5</v>
      </c>
      <c r="E60" s="34" t="n">
        <v>-0.712</v>
      </c>
      <c r="F60" s="34" t="n">
        <v>36.01</v>
      </c>
      <c r="G60" s="34" t="n">
        <v>2068.5</v>
      </c>
      <c r="H60" s="34" t="n">
        <v>1890.6</v>
      </c>
      <c r="I60" s="34" t="n">
        <v>56.4</v>
      </c>
      <c r="J60" s="34" t="n">
        <v>54.4</v>
      </c>
      <c r="K60" s="34" t="n">
        <v>709436</v>
      </c>
      <c r="L60" s="34" t="n">
        <v>0.302</v>
      </c>
      <c r="M60" s="34" t="n">
        <v>1908.18</v>
      </c>
      <c r="N60" s="34" t="n">
        <v>1947.21</v>
      </c>
      <c r="O60" s="34" t="n">
        <v>1980</v>
      </c>
      <c r="P60" s="34" t="n">
        <v>1908.18</v>
      </c>
      <c r="Q60" s="34" t="n">
        <v>1947.21</v>
      </c>
      <c r="R60" s="34" t="n">
        <v>1975</v>
      </c>
      <c r="S60" s="34" t="n">
        <v>7.92</v>
      </c>
      <c r="T60" s="34" t="n">
        <v>0.011</v>
      </c>
      <c r="U60" s="34" t="n">
        <v>2135</v>
      </c>
      <c r="V60" s="34" t="n">
        <v>1551.65</v>
      </c>
    </row>
    <row r="61" customFormat="false" ht="15.75" hidden="false" customHeight="true" outlineLevel="0" collapsed="false">
      <c r="A61" s="34" t="s">
        <v>146</v>
      </c>
      <c r="B61" s="34" t="n">
        <v>1974.7</v>
      </c>
      <c r="C61" s="34" t="n">
        <v>1978.8</v>
      </c>
      <c r="D61" s="34" t="n">
        <v>1962.5</v>
      </c>
      <c r="E61" s="34" t="n">
        <v>0.622</v>
      </c>
      <c r="F61" s="34" t="n">
        <v>39.39</v>
      </c>
      <c r="G61" s="34" t="n">
        <v>2019.6</v>
      </c>
      <c r="H61" s="34" t="n">
        <v>1836.8</v>
      </c>
      <c r="I61" s="34" t="n">
        <v>72.38</v>
      </c>
      <c r="J61" s="34" t="n">
        <v>59.26</v>
      </c>
      <c r="K61" s="34" t="n">
        <v>380574</v>
      </c>
      <c r="L61" s="34" t="n">
        <v>0.337</v>
      </c>
      <c r="M61" s="34" t="n">
        <v>1888.79</v>
      </c>
      <c r="N61" s="34" t="n">
        <v>1934.74</v>
      </c>
      <c r="O61" s="34" t="n">
        <v>1962.5</v>
      </c>
      <c r="P61" s="34" t="n">
        <v>1885.74</v>
      </c>
      <c r="Q61" s="34" t="n">
        <v>1934.74</v>
      </c>
      <c r="R61" s="34" t="n">
        <v>1970</v>
      </c>
      <c r="S61" s="34" t="n">
        <v>17.82</v>
      </c>
      <c r="T61" s="34" t="n">
        <v>0.005</v>
      </c>
      <c r="U61" s="34" t="n">
        <v>2402.9</v>
      </c>
      <c r="V61" s="34" t="n">
        <v>1795.2</v>
      </c>
    </row>
    <row r="62" customFormat="false" ht="15.75" hidden="false" customHeight="true" outlineLevel="0" collapsed="false">
      <c r="A62" s="34" t="s">
        <v>59</v>
      </c>
      <c r="B62" s="34" t="n">
        <v>1964.6</v>
      </c>
      <c r="C62" s="34" t="n">
        <v>1996</v>
      </c>
      <c r="D62" s="34" t="n">
        <v>1957.1</v>
      </c>
      <c r="E62" s="34" t="n">
        <v>-1.34</v>
      </c>
      <c r="F62" s="34" t="n">
        <v>24.71</v>
      </c>
      <c r="G62" s="34" t="n">
        <v>2037.7</v>
      </c>
      <c r="H62" s="34" t="n">
        <v>1913</v>
      </c>
      <c r="I62" s="34" t="n">
        <v>-111.49</v>
      </c>
      <c r="J62" s="34" t="n">
        <v>35.43</v>
      </c>
      <c r="K62" s="34" t="n">
        <v>9916715</v>
      </c>
      <c r="L62" s="34" t="n">
        <v>1.59</v>
      </c>
      <c r="M62" s="34" t="n">
        <v>2026.06</v>
      </c>
      <c r="N62" s="34" t="n">
        <v>2001.31</v>
      </c>
      <c r="O62" s="34" t="n">
        <v>1991.2</v>
      </c>
      <c r="P62" s="34" t="n">
        <v>2026.9</v>
      </c>
      <c r="Q62" s="34" t="n">
        <v>2003.63</v>
      </c>
      <c r="R62" s="34" t="n">
        <v>1989.9</v>
      </c>
      <c r="S62" s="34" t="n">
        <v>3.59</v>
      </c>
      <c r="T62" s="34" t="n">
        <v>0.009</v>
      </c>
      <c r="U62" s="34" t="n">
        <v>2037.7</v>
      </c>
      <c r="V62" s="34" t="n">
        <v>1613</v>
      </c>
    </row>
    <row r="63" customFormat="false" ht="15.75" hidden="false" customHeight="true" outlineLevel="0" collapsed="false">
      <c r="A63" s="34" t="s">
        <v>95</v>
      </c>
      <c r="B63" s="34" t="n">
        <v>1937.3</v>
      </c>
      <c r="C63" s="34" t="n">
        <v>1959.5</v>
      </c>
      <c r="D63" s="34" t="n">
        <v>1930</v>
      </c>
      <c r="E63" s="34" t="n">
        <v>-0.185</v>
      </c>
      <c r="F63" s="34" t="n">
        <v>50.94</v>
      </c>
      <c r="G63" s="34" t="n">
        <v>2284.8</v>
      </c>
      <c r="H63" s="34" t="n">
        <v>1605</v>
      </c>
      <c r="I63" s="34" t="n">
        <v>-126.02</v>
      </c>
      <c r="J63" s="34" t="n">
        <v>29.21</v>
      </c>
      <c r="K63" s="34" t="n">
        <v>466930</v>
      </c>
      <c r="L63" s="34" t="n">
        <v>0.525</v>
      </c>
      <c r="M63" s="34" t="n">
        <v>2041.43</v>
      </c>
      <c r="N63" s="34" t="n">
        <v>1986.94</v>
      </c>
      <c r="O63" s="34" t="n">
        <v>1940.9</v>
      </c>
      <c r="P63" s="34" t="n">
        <v>2041.43</v>
      </c>
      <c r="Q63" s="34" t="n">
        <v>1986.94</v>
      </c>
      <c r="R63" s="34" t="n">
        <v>1940.9</v>
      </c>
      <c r="S63" s="34" t="n">
        <v>15.21</v>
      </c>
      <c r="T63" s="34" t="n">
        <v>0.018</v>
      </c>
      <c r="U63" s="34" t="n">
        <v>2284.8</v>
      </c>
      <c r="V63" s="34" t="n">
        <v>1275.5</v>
      </c>
    </row>
    <row r="64" customFormat="false" ht="15.75" hidden="false" customHeight="true" outlineLevel="0" collapsed="false">
      <c r="A64" s="34" t="s">
        <v>123</v>
      </c>
      <c r="B64" s="34" t="n">
        <v>1933.3</v>
      </c>
      <c r="C64" s="34" t="n">
        <v>1947.7</v>
      </c>
      <c r="D64" s="34" t="n">
        <v>1917.4</v>
      </c>
      <c r="E64" s="34" t="n">
        <v>0.176</v>
      </c>
      <c r="F64" s="34" t="n">
        <v>31.1</v>
      </c>
      <c r="G64" s="34" t="n">
        <v>2045.8</v>
      </c>
      <c r="H64" s="34" t="n">
        <v>1815</v>
      </c>
      <c r="I64" s="34" t="n">
        <v>78.37</v>
      </c>
      <c r="J64" s="34" t="n">
        <v>66.2</v>
      </c>
      <c r="K64" s="34" t="n">
        <v>3271902</v>
      </c>
      <c r="L64" s="34" t="n">
        <v>0.969</v>
      </c>
      <c r="M64" s="34" t="n">
        <v>1871.25</v>
      </c>
      <c r="N64" s="34" t="n">
        <v>1905.12</v>
      </c>
      <c r="O64" s="34" t="n">
        <v>1929.9</v>
      </c>
      <c r="P64" s="34" t="n">
        <v>1871.25</v>
      </c>
      <c r="Q64" s="34" t="n">
        <v>1905.12</v>
      </c>
      <c r="R64" s="34" t="n">
        <v>1934</v>
      </c>
      <c r="S64" s="34" t="n">
        <v>5.5</v>
      </c>
      <c r="T64" s="34" t="n">
        <v>0.012</v>
      </c>
      <c r="U64" s="34" t="n">
        <v>2045.8</v>
      </c>
      <c r="V64" s="34" t="n">
        <v>1502</v>
      </c>
    </row>
    <row r="65" customFormat="false" ht="15.75" hidden="false" customHeight="true" outlineLevel="0" collapsed="false">
      <c r="A65" s="34" t="s">
        <v>199</v>
      </c>
      <c r="B65" s="34" t="n">
        <v>1910.7</v>
      </c>
      <c r="C65" s="34" t="n">
        <v>1976.9</v>
      </c>
      <c r="D65" s="34" t="n">
        <v>1908</v>
      </c>
      <c r="E65" s="34" t="n">
        <v>-2.87</v>
      </c>
      <c r="F65" s="34" t="n">
        <v>45.06</v>
      </c>
      <c r="G65" s="34" t="n">
        <v>2068.7</v>
      </c>
      <c r="H65" s="34" t="n">
        <v>1852</v>
      </c>
      <c r="I65" s="34" t="n">
        <v>56.64</v>
      </c>
      <c r="J65" s="34" t="n">
        <v>42.66</v>
      </c>
      <c r="K65" s="34" t="n">
        <v>383275</v>
      </c>
      <c r="L65" s="34" t="n">
        <v>0.548</v>
      </c>
      <c r="M65" s="34" t="n">
        <v>1897.72</v>
      </c>
      <c r="N65" s="34" t="n">
        <v>1984.15</v>
      </c>
      <c r="O65" s="34" t="n">
        <v>1967.1</v>
      </c>
      <c r="P65" s="34" t="n">
        <v>1897.72</v>
      </c>
      <c r="Q65" s="34" t="n">
        <v>1939.11</v>
      </c>
      <c r="R65" s="34" t="n">
        <v>1963.1</v>
      </c>
      <c r="S65" s="34" t="n">
        <v>16.99</v>
      </c>
      <c r="T65" s="34" t="n">
        <v>0.008</v>
      </c>
      <c r="U65" s="34" t="n">
        <v>2301.9</v>
      </c>
      <c r="V65" s="34" t="n">
        <v>1613.7</v>
      </c>
    </row>
    <row r="66" customFormat="false" ht="15.75" hidden="false" customHeight="true" outlineLevel="0" collapsed="false">
      <c r="A66" s="34" t="s">
        <v>287</v>
      </c>
      <c r="B66" s="34" t="n">
        <v>1917.4</v>
      </c>
      <c r="C66" s="34" t="n">
        <v>1937</v>
      </c>
      <c r="D66" s="34" t="n">
        <v>1894.9</v>
      </c>
      <c r="E66" s="34" t="n">
        <v>0.847</v>
      </c>
      <c r="F66" s="34" t="n">
        <v>59.52</v>
      </c>
      <c r="G66" s="34" t="n">
        <v>1983.6</v>
      </c>
      <c r="H66" s="34" t="n">
        <v>1566.5</v>
      </c>
      <c r="I66" s="34" t="n">
        <v>130.12</v>
      </c>
      <c r="J66" s="34" t="n">
        <v>70.15</v>
      </c>
      <c r="K66" s="34" t="n">
        <v>259210</v>
      </c>
      <c r="L66" s="34" t="n">
        <v>0.946</v>
      </c>
      <c r="M66" s="34" t="n">
        <v>1828.89</v>
      </c>
      <c r="N66" s="34" t="n">
        <v>1890.87</v>
      </c>
      <c r="O66" s="34" t="n">
        <v>1901.3</v>
      </c>
      <c r="P66" s="34" t="n">
        <v>1828.89</v>
      </c>
      <c r="Q66" s="34" t="n">
        <v>1890.87</v>
      </c>
      <c r="R66" s="34" t="n">
        <v>1897</v>
      </c>
      <c r="S66" s="34" t="n">
        <v>20.67</v>
      </c>
      <c r="T66" s="34" t="n">
        <v>0.011</v>
      </c>
      <c r="U66" s="34" t="n">
        <v>2417</v>
      </c>
      <c r="V66" s="34" t="n">
        <v>1521</v>
      </c>
    </row>
    <row r="67" customFormat="false" ht="15.75" hidden="false" customHeight="true" outlineLevel="0" collapsed="false">
      <c r="A67" s="34" t="s">
        <v>211</v>
      </c>
      <c r="B67" s="34" t="n">
        <v>1911.2</v>
      </c>
      <c r="C67" s="34" t="n">
        <v>1928.9</v>
      </c>
      <c r="D67" s="34" t="n">
        <v>1894</v>
      </c>
      <c r="E67" s="34" t="n">
        <v>0.173</v>
      </c>
      <c r="F67" s="34" t="n">
        <v>52.01</v>
      </c>
      <c r="G67" s="34" t="n">
        <v>1978</v>
      </c>
      <c r="H67" s="34" t="n">
        <v>1725</v>
      </c>
      <c r="I67" s="34" t="n">
        <v>120.84</v>
      </c>
      <c r="J67" s="34" t="n">
        <v>68.48</v>
      </c>
      <c r="K67" s="34" t="n">
        <v>865773</v>
      </c>
      <c r="L67" s="34" t="n">
        <v>1.32</v>
      </c>
      <c r="M67" s="34" t="n">
        <v>1808.01</v>
      </c>
      <c r="N67" s="34" t="n">
        <v>1862.8</v>
      </c>
      <c r="O67" s="34" t="n">
        <v>1907.9</v>
      </c>
      <c r="P67" s="34" t="n">
        <v>1808.01</v>
      </c>
      <c r="Q67" s="34" t="n">
        <v>1862.8</v>
      </c>
      <c r="R67" s="34" t="n">
        <v>1907.9</v>
      </c>
      <c r="S67" s="34" t="n">
        <v>14.94</v>
      </c>
      <c r="T67" s="34" t="n">
        <v>0.017</v>
      </c>
      <c r="U67" s="34" t="n">
        <v>2246.9</v>
      </c>
      <c r="V67" s="34" t="n">
        <v>1311.35</v>
      </c>
    </row>
    <row r="68" customFormat="false" ht="15.75" hidden="false" customHeight="true" outlineLevel="0" collapsed="false">
      <c r="A68" s="34" t="s">
        <v>204</v>
      </c>
      <c r="B68" s="34" t="n">
        <v>1859</v>
      </c>
      <c r="C68" s="34" t="n">
        <v>1870</v>
      </c>
      <c r="D68" s="34" t="n">
        <v>1849.4</v>
      </c>
      <c r="E68" s="34" t="n">
        <v>-0.975</v>
      </c>
      <c r="F68" s="34" t="n">
        <v>33.32</v>
      </c>
      <c r="G68" s="34" t="n">
        <v>1912</v>
      </c>
      <c r="H68" s="34" t="n">
        <v>1720</v>
      </c>
      <c r="I68" s="34" t="n">
        <v>78.35</v>
      </c>
      <c r="J68" s="34" t="n">
        <v>54.41</v>
      </c>
      <c r="K68" s="34" t="n">
        <v>605936</v>
      </c>
      <c r="L68" s="34" t="n">
        <v>0.46</v>
      </c>
      <c r="M68" s="34" t="n">
        <v>1812.88</v>
      </c>
      <c r="N68" s="34" t="n">
        <v>1847.07</v>
      </c>
      <c r="O68" s="34" t="n">
        <v>1877.3</v>
      </c>
      <c r="P68" s="34" t="n">
        <v>1812.88</v>
      </c>
      <c r="Q68" s="34" t="n">
        <v>1847.07</v>
      </c>
      <c r="R68" s="34" t="n">
        <v>1860.1</v>
      </c>
      <c r="S68" s="34" t="n">
        <v>3.98</v>
      </c>
      <c r="T68" s="34" t="n">
        <v>0.014</v>
      </c>
      <c r="U68" s="34" t="n">
        <v>1936</v>
      </c>
      <c r="V68" s="34" t="n">
        <v>1372.55</v>
      </c>
    </row>
    <row r="69" customFormat="false" ht="15.75" hidden="false" customHeight="true" outlineLevel="0" collapsed="false">
      <c r="A69" s="34" t="s">
        <v>425</v>
      </c>
      <c r="B69" s="34" t="n">
        <v>1801.2</v>
      </c>
      <c r="C69" s="34" t="n">
        <v>1816.6</v>
      </c>
      <c r="D69" s="34" t="n">
        <v>1794</v>
      </c>
      <c r="E69" s="34" t="n">
        <v>-0.415</v>
      </c>
      <c r="F69" s="34" t="n">
        <v>41.09</v>
      </c>
      <c r="G69" s="34" t="n">
        <v>1961.8</v>
      </c>
      <c r="H69" s="34" t="n">
        <v>1609.3</v>
      </c>
      <c r="I69" s="34" t="n">
        <v>-47.94</v>
      </c>
      <c r="J69" s="34" t="n">
        <v>46.46</v>
      </c>
      <c r="K69" s="34" t="n">
        <v>190319</v>
      </c>
      <c r="L69" s="34" t="n">
        <v>0.413</v>
      </c>
      <c r="M69" s="34" t="n">
        <v>1874.18</v>
      </c>
      <c r="N69" s="34" t="n">
        <v>1827.46</v>
      </c>
      <c r="O69" s="34" t="n">
        <v>1808.7</v>
      </c>
      <c r="P69" s="34" t="n">
        <v>1874.18</v>
      </c>
      <c r="Q69" s="34" t="n">
        <v>1827.46</v>
      </c>
      <c r="R69" s="34" t="n">
        <v>1805</v>
      </c>
      <c r="S69" s="34" t="n">
        <v>10.43</v>
      </c>
      <c r="T69" s="34" t="n">
        <v>0.007</v>
      </c>
      <c r="U69" s="34" t="n">
        <v>2011</v>
      </c>
      <c r="V69" s="34" t="n">
        <v>1570</v>
      </c>
    </row>
    <row r="70" customFormat="false" ht="15.75" hidden="false" customHeight="true" outlineLevel="0" collapsed="false">
      <c r="A70" s="34" t="s">
        <v>85</v>
      </c>
      <c r="B70" s="34" t="n">
        <v>1747.7</v>
      </c>
      <c r="C70" s="34" t="n">
        <v>1756</v>
      </c>
      <c r="D70" s="34" t="n">
        <v>1721.2</v>
      </c>
      <c r="E70" s="34" t="n">
        <v>1.13</v>
      </c>
      <c r="F70" s="34" t="n">
        <v>49.28</v>
      </c>
      <c r="G70" s="34" t="n">
        <v>1994</v>
      </c>
      <c r="H70" s="34" t="n">
        <v>1584.3</v>
      </c>
      <c r="I70" s="34" t="n">
        <v>104.16</v>
      </c>
      <c r="J70" s="34" t="n">
        <v>67.03</v>
      </c>
      <c r="K70" s="34" t="n">
        <v>2262594</v>
      </c>
      <c r="L70" s="34" t="n">
        <v>0.981</v>
      </c>
      <c r="M70" s="34" t="n">
        <v>1638.15</v>
      </c>
      <c r="N70" s="34" t="n">
        <v>1688.38</v>
      </c>
      <c r="O70" s="34" t="n">
        <v>1728.2</v>
      </c>
      <c r="P70" s="34" t="n">
        <v>1601.87</v>
      </c>
      <c r="Q70" s="34" t="n">
        <v>1653.81</v>
      </c>
      <c r="R70" s="34" t="n">
        <v>1728.2</v>
      </c>
      <c r="S70" s="34" t="n">
        <v>12.85</v>
      </c>
      <c r="T70" s="34" t="n">
        <v>0.019</v>
      </c>
      <c r="U70" s="34" t="n">
        <v>2005.36</v>
      </c>
      <c r="V70" s="34" t="n">
        <v>1194.01</v>
      </c>
    </row>
    <row r="71" customFormat="false" ht="15.75" hidden="false" customHeight="true" outlineLevel="0" collapsed="false">
      <c r="A71" s="34" t="s">
        <v>82</v>
      </c>
      <c r="B71" s="34" t="n">
        <v>1641.8</v>
      </c>
      <c r="C71" s="34" t="n">
        <v>1651.4</v>
      </c>
      <c r="D71" s="34" t="n">
        <v>1635.1</v>
      </c>
      <c r="E71" s="34" t="n">
        <v>0.098</v>
      </c>
      <c r="F71" s="34" t="n">
        <v>27.56</v>
      </c>
      <c r="G71" s="34" t="n">
        <v>1748</v>
      </c>
      <c r="H71" s="34" t="n">
        <v>1571</v>
      </c>
      <c r="I71" s="34" t="n">
        <v>-8.64</v>
      </c>
      <c r="J71" s="34" t="n">
        <v>53.93</v>
      </c>
      <c r="K71" s="34" t="n">
        <v>2098292</v>
      </c>
      <c r="L71" s="34" t="n">
        <v>1.21</v>
      </c>
      <c r="M71" s="34" t="n">
        <v>1655.95</v>
      </c>
      <c r="N71" s="34" t="n">
        <v>1614.67</v>
      </c>
      <c r="O71" s="34" t="n">
        <v>1640.2</v>
      </c>
      <c r="P71" s="34" t="n">
        <v>1655.95</v>
      </c>
      <c r="Q71" s="34" t="n">
        <v>1608.25</v>
      </c>
      <c r="R71" s="34" t="n">
        <v>1642</v>
      </c>
      <c r="S71" s="34" t="n">
        <v>16.25</v>
      </c>
      <c r="T71" s="34" t="n">
        <v>0.003</v>
      </c>
      <c r="U71" s="34" t="n">
        <v>1960.35</v>
      </c>
      <c r="V71" s="34" t="n">
        <v>1553.05</v>
      </c>
    </row>
    <row r="72" customFormat="false" ht="15.75" hidden="false" customHeight="true" outlineLevel="0" collapsed="false">
      <c r="A72" s="34" t="s">
        <v>53</v>
      </c>
      <c r="B72" s="34" t="n">
        <v>1657.4</v>
      </c>
      <c r="C72" s="34" t="n">
        <v>1669.4</v>
      </c>
      <c r="D72" s="34" t="n">
        <v>1635</v>
      </c>
      <c r="E72" s="34" t="n">
        <v>-0.139</v>
      </c>
      <c r="F72" s="34" t="n">
        <v>34.63</v>
      </c>
      <c r="G72" s="34" t="n">
        <v>2005</v>
      </c>
      <c r="H72" s="34" t="n">
        <v>1563.5</v>
      </c>
      <c r="I72" s="34" t="n">
        <v>61.03</v>
      </c>
      <c r="J72" s="34" t="n">
        <v>57.85</v>
      </c>
      <c r="K72" s="34" t="n">
        <v>585933</v>
      </c>
      <c r="L72" s="34" t="n">
        <v>1.86</v>
      </c>
      <c r="M72" s="34" t="n">
        <v>1677.53</v>
      </c>
      <c r="N72" s="34" t="n">
        <v>1631.32</v>
      </c>
      <c r="O72" s="34" t="n">
        <v>1659.7</v>
      </c>
      <c r="P72" s="34" t="n">
        <v>1677.53</v>
      </c>
      <c r="Q72" s="34" t="n">
        <v>1631.32</v>
      </c>
      <c r="R72" s="34" t="n">
        <v>1661</v>
      </c>
      <c r="S72" s="34" t="n">
        <v>29.28</v>
      </c>
      <c r="T72" s="34" t="n">
        <v>0.008</v>
      </c>
      <c r="U72" s="34" t="n">
        <v>2343.65</v>
      </c>
      <c r="V72" s="34" t="n">
        <v>1451.95</v>
      </c>
    </row>
    <row r="73" customFormat="false" ht="15.75" hidden="false" customHeight="true" outlineLevel="0" collapsed="false">
      <c r="A73" s="34" t="s">
        <v>183</v>
      </c>
      <c r="B73" s="34" t="n">
        <v>1638</v>
      </c>
      <c r="C73" s="34" t="n">
        <v>1659.2</v>
      </c>
      <c r="D73" s="34" t="n">
        <v>1633.5</v>
      </c>
      <c r="E73" s="34" t="n">
        <v>-1.28</v>
      </c>
      <c r="F73" s="34" t="n">
        <v>36.34</v>
      </c>
      <c r="G73" s="34" t="n">
        <v>1674.8</v>
      </c>
      <c r="H73" s="34" t="n">
        <v>1451.1</v>
      </c>
      <c r="I73" s="34" t="n">
        <v>110.37</v>
      </c>
      <c r="J73" s="34" t="n">
        <v>70.31</v>
      </c>
      <c r="K73" s="34" t="n">
        <v>401269</v>
      </c>
      <c r="L73" s="34" t="n">
        <v>0.481</v>
      </c>
      <c r="M73" s="34" t="n">
        <v>1587.81</v>
      </c>
      <c r="N73" s="34" t="n">
        <v>1625.21</v>
      </c>
      <c r="O73" s="34" t="n">
        <v>1659.2</v>
      </c>
      <c r="P73" s="34" t="n">
        <v>1587.81</v>
      </c>
      <c r="Q73" s="34" t="n">
        <v>1625.21</v>
      </c>
      <c r="R73" s="34" t="n">
        <v>1651</v>
      </c>
      <c r="S73" s="34" t="n">
        <v>2.2</v>
      </c>
      <c r="T73" s="34" t="n">
        <v>0.026</v>
      </c>
      <c r="U73" s="34" t="n">
        <v>1674.8</v>
      </c>
      <c r="V73" s="34" t="n">
        <v>950</v>
      </c>
    </row>
    <row r="74" customFormat="false" ht="15.75" hidden="false" customHeight="true" outlineLevel="0" collapsed="false">
      <c r="A74" s="34" t="s">
        <v>235</v>
      </c>
      <c r="B74" s="34" t="n">
        <v>1649.5</v>
      </c>
      <c r="C74" s="34" t="n">
        <v>1663.9</v>
      </c>
      <c r="D74" s="34" t="n">
        <v>1633.4</v>
      </c>
      <c r="E74" s="34" t="n">
        <v>-0.224</v>
      </c>
      <c r="F74" s="34" t="n">
        <v>36.68</v>
      </c>
      <c r="G74" s="34" t="n">
        <v>1868.4</v>
      </c>
      <c r="H74" s="34" t="n">
        <v>1492</v>
      </c>
      <c r="I74" s="34" t="n">
        <v>160</v>
      </c>
      <c r="J74" s="34" t="n">
        <v>68.61</v>
      </c>
      <c r="K74" s="34" t="n">
        <v>221056</v>
      </c>
      <c r="L74" s="34" t="n">
        <v>0.371</v>
      </c>
      <c r="M74" s="34" t="n">
        <v>1572.38</v>
      </c>
      <c r="N74" s="34" t="n">
        <v>1610.51</v>
      </c>
      <c r="O74" s="34" t="n">
        <v>1653.2</v>
      </c>
      <c r="P74" s="34" t="n">
        <v>1567.68</v>
      </c>
      <c r="Q74" s="34" t="n">
        <v>1606.66</v>
      </c>
      <c r="R74" s="34" t="n">
        <v>1653.3</v>
      </c>
      <c r="S74" s="34" t="n">
        <v>14.8</v>
      </c>
      <c r="T74" s="34" t="n">
        <v>0.014</v>
      </c>
      <c r="U74" s="34" t="n">
        <v>1936</v>
      </c>
      <c r="V74" s="34" t="n">
        <v>1272.7</v>
      </c>
    </row>
    <row r="75" customFormat="false" ht="15.75" hidden="false" customHeight="true" outlineLevel="0" collapsed="false">
      <c r="A75" s="34" t="s">
        <v>228</v>
      </c>
      <c r="B75" s="34" t="n">
        <v>1635.6</v>
      </c>
      <c r="C75" s="34" t="n">
        <v>1645</v>
      </c>
      <c r="D75" s="34" t="n">
        <v>1627.8</v>
      </c>
      <c r="E75" s="34" t="n">
        <v>0.307</v>
      </c>
      <c r="F75" s="34" t="n">
        <v>42.98</v>
      </c>
      <c r="G75" s="34" t="n">
        <v>1814</v>
      </c>
      <c r="H75" s="34" t="n">
        <v>1538.3</v>
      </c>
      <c r="I75" s="34" t="n">
        <v>53.67</v>
      </c>
      <c r="J75" s="34" t="n">
        <v>51.93</v>
      </c>
      <c r="K75" s="34" t="n">
        <v>231605</v>
      </c>
      <c r="L75" s="34" t="n">
        <v>0.193</v>
      </c>
      <c r="M75" s="34" t="n">
        <v>1693.54</v>
      </c>
      <c r="N75" s="34" t="n">
        <v>1608.4</v>
      </c>
      <c r="O75" s="34" t="n">
        <v>1630.6</v>
      </c>
      <c r="P75" s="34" t="n">
        <v>1693.54</v>
      </c>
      <c r="Q75" s="34" t="n">
        <v>1608.4</v>
      </c>
      <c r="R75" s="34" t="n">
        <v>1638</v>
      </c>
      <c r="S75" s="34" t="n">
        <v>17.06</v>
      </c>
      <c r="T75" s="34" t="n">
        <v>0.022</v>
      </c>
      <c r="U75" s="34" t="n">
        <v>2074.8</v>
      </c>
      <c r="V75" s="34" t="n">
        <v>1048.05</v>
      </c>
    </row>
    <row r="76" customFormat="false" ht="15.75" hidden="false" customHeight="true" outlineLevel="0" collapsed="false">
      <c r="A76" s="34" t="s">
        <v>84</v>
      </c>
      <c r="B76" s="34" t="n">
        <v>1592.8</v>
      </c>
      <c r="C76" s="34" t="n">
        <v>1602</v>
      </c>
      <c r="D76" s="34" t="n">
        <v>1585</v>
      </c>
      <c r="E76" s="34" t="n">
        <v>0</v>
      </c>
      <c r="F76" s="34" t="n">
        <v>29.05</v>
      </c>
      <c r="G76" s="34" t="n">
        <v>1602</v>
      </c>
      <c r="H76" s="34" t="n">
        <v>1454.5</v>
      </c>
      <c r="I76" s="34" t="n">
        <v>128.79</v>
      </c>
      <c r="J76" s="34" t="n">
        <v>74</v>
      </c>
      <c r="K76" s="34" t="n">
        <v>1574526</v>
      </c>
      <c r="L76" s="34" t="n">
        <v>0.927</v>
      </c>
      <c r="M76" s="34" t="n">
        <v>1535.7</v>
      </c>
      <c r="N76" s="34" t="n">
        <v>1564.6</v>
      </c>
      <c r="O76" s="34" t="n">
        <v>1592.8</v>
      </c>
      <c r="P76" s="34" t="n">
        <v>1508.78</v>
      </c>
      <c r="Q76" s="34" t="n">
        <v>1537.13</v>
      </c>
      <c r="R76" s="34" t="n">
        <v>1590</v>
      </c>
      <c r="S76" s="34" t="n">
        <v>6.42</v>
      </c>
      <c r="T76" s="34" t="n">
        <v>0.011</v>
      </c>
      <c r="U76" s="34" t="n">
        <v>1702.05</v>
      </c>
      <c r="V76" s="34" t="n">
        <v>1335</v>
      </c>
    </row>
    <row r="77" customFormat="false" ht="15.75" hidden="false" customHeight="true" outlineLevel="0" collapsed="false">
      <c r="A77" s="34" t="s">
        <v>214</v>
      </c>
      <c r="B77" s="34" t="n">
        <v>1574.4</v>
      </c>
      <c r="C77" s="34" t="n">
        <v>1589.5</v>
      </c>
      <c r="D77" s="34" t="n">
        <v>1565</v>
      </c>
      <c r="E77" s="34" t="n">
        <v>0.312</v>
      </c>
      <c r="F77" s="34" t="n">
        <v>36.81</v>
      </c>
      <c r="G77" s="34" t="n">
        <v>1814</v>
      </c>
      <c r="H77" s="34" t="n">
        <v>1462.9</v>
      </c>
      <c r="I77" s="34" t="n">
        <v>57.8</v>
      </c>
      <c r="J77" s="34" t="n">
        <v>51.07</v>
      </c>
      <c r="K77" s="34" t="n">
        <v>1575904</v>
      </c>
      <c r="L77" s="34" t="n">
        <v>0.454</v>
      </c>
      <c r="M77" s="34" t="n">
        <v>1502.98</v>
      </c>
      <c r="N77" s="34" t="n">
        <v>1543.39</v>
      </c>
      <c r="O77" s="34" t="n">
        <v>1569.5</v>
      </c>
      <c r="P77" s="34" t="n">
        <v>1502.98</v>
      </c>
      <c r="Q77" s="34" t="n">
        <v>1543.39</v>
      </c>
      <c r="R77" s="34" t="n">
        <v>1565</v>
      </c>
      <c r="S77" s="34" t="n">
        <v>20.88</v>
      </c>
      <c r="T77" s="34" t="n">
        <v>0.021</v>
      </c>
      <c r="U77" s="34" t="n">
        <v>1989.8</v>
      </c>
      <c r="V77" s="34" t="n">
        <v>1047.45</v>
      </c>
    </row>
    <row r="78" customFormat="false" ht="15.75" hidden="false" customHeight="true" outlineLevel="0" collapsed="false">
      <c r="A78" s="34" t="s">
        <v>331</v>
      </c>
      <c r="B78" s="34" t="n">
        <v>1578</v>
      </c>
      <c r="C78" s="34" t="n">
        <v>1593.6</v>
      </c>
      <c r="D78" s="34" t="n">
        <v>1560.4</v>
      </c>
      <c r="E78" s="34" t="n">
        <v>0.159</v>
      </c>
      <c r="F78" s="34" t="n">
        <v>41.54</v>
      </c>
      <c r="G78" s="34" t="n">
        <v>1647.1</v>
      </c>
      <c r="H78" s="34" t="n">
        <v>1402.5</v>
      </c>
      <c r="I78" s="34" t="n">
        <v>177.45</v>
      </c>
      <c r="J78" s="34" t="n">
        <v>79.26</v>
      </c>
      <c r="K78" s="34" t="n">
        <v>940230</v>
      </c>
      <c r="L78" s="34" t="n">
        <v>1.4</v>
      </c>
      <c r="M78" s="34" t="n">
        <v>1494.6</v>
      </c>
      <c r="N78" s="34" t="n">
        <v>1535.8</v>
      </c>
      <c r="O78" s="34" t="n">
        <v>1575.5</v>
      </c>
      <c r="P78" s="34" t="n">
        <v>1482.48</v>
      </c>
      <c r="Q78" s="34" t="n">
        <v>1524.56</v>
      </c>
      <c r="R78" s="34" t="n">
        <v>1567.1</v>
      </c>
      <c r="S78" s="34" t="n">
        <v>19.82</v>
      </c>
      <c r="T78" s="34" t="n">
        <v>0.011</v>
      </c>
      <c r="U78" s="34" t="n">
        <v>2068.5</v>
      </c>
      <c r="V78" s="34" t="n">
        <v>1338.05</v>
      </c>
    </row>
    <row r="79" customFormat="false" ht="15.75" hidden="false" customHeight="true" outlineLevel="0" collapsed="false">
      <c r="A79" s="34" t="s">
        <v>128</v>
      </c>
      <c r="B79" s="34" t="n">
        <v>1556</v>
      </c>
      <c r="C79" s="34" t="n">
        <v>1561.8</v>
      </c>
      <c r="D79" s="34" t="n">
        <v>1546</v>
      </c>
      <c r="E79" s="34" t="n">
        <v>0.154</v>
      </c>
      <c r="F79" s="34" t="n">
        <v>31.09</v>
      </c>
      <c r="G79" s="34" t="n">
        <v>1599</v>
      </c>
      <c r="H79" s="34" t="n">
        <v>1451.4</v>
      </c>
      <c r="I79" s="34" t="n">
        <v>106.4</v>
      </c>
      <c r="J79" s="34" t="n">
        <v>65.65</v>
      </c>
      <c r="K79" s="34" t="n">
        <v>457314</v>
      </c>
      <c r="L79" s="34" t="n">
        <v>1.03</v>
      </c>
      <c r="M79" s="34" t="n">
        <v>1498.58</v>
      </c>
      <c r="N79" s="34" t="n">
        <v>1533.02</v>
      </c>
      <c r="O79" s="34" t="n">
        <v>1553.6</v>
      </c>
      <c r="P79" s="34" t="n">
        <v>1498.58</v>
      </c>
      <c r="Q79" s="34" t="n">
        <v>1533.02</v>
      </c>
      <c r="R79" s="34" t="n">
        <v>1553</v>
      </c>
      <c r="S79" s="34" t="n">
        <v>26.12</v>
      </c>
      <c r="T79" s="34" t="n">
        <v>0.007</v>
      </c>
      <c r="U79" s="34" t="n">
        <v>2106</v>
      </c>
      <c r="V79" s="34" t="n">
        <v>1381.3</v>
      </c>
    </row>
    <row r="80" customFormat="false" ht="15.75" hidden="false" customHeight="true" outlineLevel="0" collapsed="false">
      <c r="A80" s="34" t="s">
        <v>130</v>
      </c>
      <c r="B80" s="34" t="n">
        <v>1524.1</v>
      </c>
      <c r="C80" s="34" t="n">
        <v>1527</v>
      </c>
      <c r="D80" s="34" t="n">
        <v>1511.3</v>
      </c>
      <c r="E80" s="34" t="n">
        <v>0.382</v>
      </c>
      <c r="F80" s="34" t="n">
        <v>33.42</v>
      </c>
      <c r="G80" s="34" t="n">
        <v>1666.6</v>
      </c>
      <c r="H80" s="34" t="n">
        <v>1404</v>
      </c>
      <c r="I80" s="34" t="n">
        <v>116.23</v>
      </c>
      <c r="J80" s="34" t="n">
        <v>62.23</v>
      </c>
      <c r="K80" s="34" t="n">
        <v>559119</v>
      </c>
      <c r="L80" s="34" t="n">
        <v>0.767</v>
      </c>
      <c r="M80" s="34" t="n">
        <v>1448.47</v>
      </c>
      <c r="N80" s="34" t="n">
        <v>1483.81</v>
      </c>
      <c r="O80" s="34" t="n">
        <v>1518.3</v>
      </c>
      <c r="P80" s="34" t="n">
        <v>1445.66</v>
      </c>
      <c r="Q80" s="34" t="n">
        <v>1483.18</v>
      </c>
      <c r="R80" s="34" t="n">
        <v>1515</v>
      </c>
      <c r="S80" s="34" t="n">
        <v>9.52</v>
      </c>
      <c r="T80" s="34" t="n">
        <v>0.016</v>
      </c>
      <c r="U80" s="34" t="n">
        <v>1684.4</v>
      </c>
      <c r="V80" s="34" t="n">
        <v>1168</v>
      </c>
    </row>
    <row r="81" customFormat="false" ht="15.75" hidden="false" customHeight="true" outlineLevel="0" collapsed="false">
      <c r="A81" s="34" t="s">
        <v>308</v>
      </c>
      <c r="B81" s="34" t="n">
        <v>1517.6</v>
      </c>
      <c r="C81" s="34" t="n">
        <v>1537.1</v>
      </c>
      <c r="D81" s="34" t="n">
        <v>1505.8</v>
      </c>
      <c r="E81" s="34" t="n">
        <v>-0.151</v>
      </c>
      <c r="F81" s="34" t="n">
        <v>52.34</v>
      </c>
      <c r="G81" s="34" t="n">
        <v>2013.5</v>
      </c>
      <c r="H81" s="34" t="n">
        <v>1457.1</v>
      </c>
      <c r="I81" s="34" t="n">
        <v>-101.9</v>
      </c>
      <c r="J81" s="34" t="n">
        <v>36.67</v>
      </c>
      <c r="K81" s="34" t="n">
        <v>911682</v>
      </c>
      <c r="L81" s="34" t="n">
        <v>0.623</v>
      </c>
      <c r="M81" s="34" t="n">
        <v>1487.23</v>
      </c>
      <c r="N81" s="34" t="n">
        <v>1575.04</v>
      </c>
      <c r="O81" s="34" t="n">
        <v>1519.9</v>
      </c>
      <c r="P81" s="34" t="n">
        <v>1487.23</v>
      </c>
      <c r="Q81" s="34" t="n">
        <v>1586.57</v>
      </c>
      <c r="R81" s="34" t="n">
        <v>1520</v>
      </c>
      <c r="S81" s="34" t="n">
        <v>27.62</v>
      </c>
      <c r="T81" s="34" t="n">
        <v>0.028</v>
      </c>
      <c r="U81" s="34" t="n">
        <v>2096.6</v>
      </c>
      <c r="V81" s="34" t="n">
        <v>890</v>
      </c>
    </row>
    <row r="82" customFormat="false" ht="15.75" hidden="false" customHeight="true" outlineLevel="0" collapsed="false">
      <c r="A82" s="34" t="s">
        <v>89</v>
      </c>
      <c r="B82" s="34" t="n">
        <v>1505</v>
      </c>
      <c r="C82" s="34" t="n">
        <v>1529.6</v>
      </c>
      <c r="D82" s="34" t="n">
        <v>1499</v>
      </c>
      <c r="E82" s="34" t="n">
        <v>-1.07</v>
      </c>
      <c r="F82" s="34" t="n">
        <v>33.51</v>
      </c>
      <c r="G82" s="34" t="n">
        <v>1732.8</v>
      </c>
      <c r="H82" s="34" t="n">
        <v>1419.1</v>
      </c>
      <c r="I82" s="34" t="n">
        <v>105.5</v>
      </c>
      <c r="J82" s="34" t="n">
        <v>52.92</v>
      </c>
      <c r="K82" s="34" t="n">
        <v>969580</v>
      </c>
      <c r="L82" s="34" t="n">
        <v>0.775</v>
      </c>
      <c r="M82" s="34" t="n">
        <v>1452.74</v>
      </c>
      <c r="N82" s="34" t="n">
        <v>1486.57</v>
      </c>
      <c r="O82" s="34" t="n">
        <v>1521.3</v>
      </c>
      <c r="P82" s="34" t="n">
        <v>1452.74</v>
      </c>
      <c r="Q82" s="34" t="n">
        <v>1486.57</v>
      </c>
      <c r="R82" s="34" t="n">
        <v>1529.6</v>
      </c>
      <c r="S82" s="34" t="n">
        <v>16.75</v>
      </c>
      <c r="T82" s="34" t="n">
        <v>0.013</v>
      </c>
      <c r="U82" s="34" t="n">
        <v>1807.7</v>
      </c>
      <c r="V82" s="34" t="n">
        <v>1209.4</v>
      </c>
    </row>
    <row r="83" customFormat="false" ht="15.75" hidden="false" customHeight="true" outlineLevel="0" collapsed="false">
      <c r="A83" s="34" t="s">
        <v>132</v>
      </c>
      <c r="B83" s="34" t="n">
        <v>1487.5</v>
      </c>
      <c r="C83" s="34" t="n">
        <v>1504.3</v>
      </c>
      <c r="D83" s="34" t="n">
        <v>1486.1</v>
      </c>
      <c r="E83" s="34" t="n">
        <v>-0.595</v>
      </c>
      <c r="F83" s="34" t="n">
        <v>28.37</v>
      </c>
      <c r="G83" s="34" t="n">
        <v>1649</v>
      </c>
      <c r="H83" s="34" t="n">
        <v>1414</v>
      </c>
      <c r="I83" s="34" t="n">
        <v>54.07</v>
      </c>
      <c r="J83" s="34" t="n">
        <v>60.82</v>
      </c>
      <c r="K83" s="34" t="n">
        <v>5543297</v>
      </c>
      <c r="L83" s="34" t="n">
        <v>0.844</v>
      </c>
      <c r="M83" s="34" t="n">
        <v>1438.21</v>
      </c>
      <c r="N83" s="34" t="n">
        <v>1466.7</v>
      </c>
      <c r="O83" s="34" t="n">
        <v>1496.4</v>
      </c>
      <c r="P83" s="34" t="n">
        <v>1436.87</v>
      </c>
      <c r="Q83" s="34" t="n">
        <v>1466.51</v>
      </c>
      <c r="R83" s="34" t="n">
        <v>1498.1</v>
      </c>
      <c r="S83" s="34" t="n">
        <v>25.86</v>
      </c>
      <c r="T83" s="34" t="n">
        <v>0.009</v>
      </c>
      <c r="U83" s="34" t="n">
        <v>2006.45</v>
      </c>
      <c r="V83" s="34" t="n">
        <v>1307</v>
      </c>
    </row>
    <row r="84" customFormat="false" ht="15.75" hidden="false" customHeight="true" outlineLevel="0" collapsed="false">
      <c r="A84" s="34" t="s">
        <v>75</v>
      </c>
      <c r="B84" s="34" t="n">
        <v>1466.3</v>
      </c>
      <c r="C84" s="34" t="n">
        <v>1491.5</v>
      </c>
      <c r="D84" s="34" t="n">
        <v>1464</v>
      </c>
      <c r="E84" s="34" t="n">
        <v>-1.82</v>
      </c>
      <c r="F84" s="34" t="n">
        <v>27.39</v>
      </c>
      <c r="G84" s="34" t="n">
        <v>1752.5</v>
      </c>
      <c r="H84" s="34" t="n">
        <v>1440.6</v>
      </c>
      <c r="I84" s="34" t="n">
        <v>-37</v>
      </c>
      <c r="J84" s="34" t="n">
        <v>35.93</v>
      </c>
      <c r="K84" s="34" t="n">
        <v>2802805</v>
      </c>
      <c r="L84" s="34" t="n">
        <v>1.3</v>
      </c>
      <c r="M84" s="34" t="n">
        <v>1509.46</v>
      </c>
      <c r="N84" s="34" t="n">
        <v>1502.45</v>
      </c>
      <c r="O84" s="34" t="n">
        <v>1493.5</v>
      </c>
      <c r="P84" s="34" t="n">
        <v>1509.46</v>
      </c>
      <c r="Q84" s="34" t="n">
        <v>1473.06</v>
      </c>
      <c r="R84" s="34" t="n">
        <v>1489.6</v>
      </c>
      <c r="S84" s="34" t="n">
        <v>27.13</v>
      </c>
      <c r="T84" s="34" t="n">
        <v>0.008</v>
      </c>
      <c r="U84" s="34" t="n">
        <v>2012.2</v>
      </c>
      <c r="V84" s="34" t="n">
        <v>1302.75</v>
      </c>
    </row>
    <row r="85" customFormat="false" ht="15.75" hidden="false" customHeight="true" outlineLevel="0" collapsed="false">
      <c r="A85" s="34" t="s">
        <v>42</v>
      </c>
      <c r="B85" s="34" t="n">
        <v>1436.4</v>
      </c>
      <c r="C85" s="34" t="n">
        <v>1446</v>
      </c>
      <c r="D85" s="34" t="n">
        <v>1429.4</v>
      </c>
      <c r="E85" s="34" t="n">
        <v>-0.664</v>
      </c>
      <c r="F85" s="34" t="n">
        <v>16.92</v>
      </c>
      <c r="G85" s="34" t="n">
        <v>1500</v>
      </c>
      <c r="H85" s="34" t="n">
        <v>1403.6</v>
      </c>
      <c r="I85" s="34" t="n">
        <v>-44.69</v>
      </c>
      <c r="J85" s="34" t="n">
        <v>46.71</v>
      </c>
      <c r="K85" s="34" t="n">
        <v>6657184</v>
      </c>
      <c r="L85" s="34" t="n">
        <v>1.07</v>
      </c>
      <c r="M85" s="34" t="n">
        <v>1456.09</v>
      </c>
      <c r="N85" s="34" t="n">
        <v>1424.88</v>
      </c>
      <c r="O85" s="34" t="n">
        <v>1446</v>
      </c>
      <c r="P85" s="34" t="n">
        <v>1456.09</v>
      </c>
      <c r="Q85" s="34" t="n">
        <v>1424.88</v>
      </c>
      <c r="R85" s="34" t="n">
        <v>1444.3</v>
      </c>
      <c r="S85" s="34" t="n">
        <v>4.24</v>
      </c>
      <c r="T85" s="34" t="n">
        <v>0.012</v>
      </c>
      <c r="U85" s="34" t="n">
        <v>1500</v>
      </c>
      <c r="V85" s="34" t="n">
        <v>1186</v>
      </c>
    </row>
    <row r="86" customFormat="false" ht="15.75" hidden="false" customHeight="true" outlineLevel="0" collapsed="false">
      <c r="A86" s="34" t="s">
        <v>195</v>
      </c>
      <c r="B86" s="34" t="n">
        <v>1425.1</v>
      </c>
      <c r="C86" s="34" t="n">
        <v>1435</v>
      </c>
      <c r="D86" s="34" t="n">
        <v>1415.5</v>
      </c>
      <c r="E86" s="34" t="n">
        <v>0.26</v>
      </c>
      <c r="F86" s="34" t="n">
        <v>42.92</v>
      </c>
      <c r="G86" s="34" t="n">
        <v>1590.9</v>
      </c>
      <c r="H86" s="34" t="n">
        <v>1263.7</v>
      </c>
      <c r="I86" s="34" t="n">
        <v>62.74</v>
      </c>
      <c r="J86" s="34" t="n">
        <v>64.12</v>
      </c>
      <c r="K86" s="34" t="n">
        <v>811032</v>
      </c>
      <c r="L86" s="34" t="n">
        <v>0.363</v>
      </c>
      <c r="M86" s="34" t="n">
        <v>1341.62</v>
      </c>
      <c r="N86" s="34" t="n">
        <v>1383.44</v>
      </c>
      <c r="O86" s="34" t="n">
        <v>1421.4</v>
      </c>
      <c r="P86" s="34" t="n">
        <v>1329.81</v>
      </c>
      <c r="Q86" s="34" t="n">
        <v>1374.11</v>
      </c>
      <c r="R86" s="34" t="n">
        <v>1420</v>
      </c>
      <c r="S86" s="34" t="n">
        <v>30.07</v>
      </c>
      <c r="T86" s="34" t="n">
        <v>0.011</v>
      </c>
      <c r="U86" s="34" t="n">
        <v>2454</v>
      </c>
      <c r="V86" s="34" t="n">
        <v>1232.3</v>
      </c>
    </row>
    <row r="87" customFormat="false" ht="15.75" hidden="false" customHeight="true" outlineLevel="0" collapsed="false">
      <c r="A87" s="34" t="s">
        <v>162</v>
      </c>
      <c r="B87" s="34" t="n">
        <v>1409.2</v>
      </c>
      <c r="C87" s="34" t="n">
        <v>1423.4</v>
      </c>
      <c r="D87" s="34" t="n">
        <v>1407.9</v>
      </c>
      <c r="E87" s="34" t="n">
        <v>-1.09</v>
      </c>
      <c r="F87" s="34" t="n">
        <v>21.77</v>
      </c>
      <c r="G87" s="34" t="n">
        <v>1551</v>
      </c>
      <c r="H87" s="34" t="n">
        <v>1361.2</v>
      </c>
      <c r="I87" s="34" t="n">
        <v>97.97</v>
      </c>
      <c r="J87" s="34" t="n">
        <v>54</v>
      </c>
      <c r="K87" s="34" t="n">
        <v>5818839</v>
      </c>
      <c r="L87" s="34" t="n">
        <v>0.528</v>
      </c>
      <c r="M87" s="34" t="n">
        <v>1380.5</v>
      </c>
      <c r="N87" s="34" t="n">
        <v>1403.3</v>
      </c>
      <c r="O87" s="34" t="n">
        <v>1424.8</v>
      </c>
      <c r="P87" s="34" t="n">
        <v>1380.5</v>
      </c>
      <c r="Q87" s="34" t="n">
        <v>1403.3</v>
      </c>
      <c r="R87" s="34" t="n">
        <v>1420</v>
      </c>
      <c r="S87" s="34" t="n">
        <v>9.14</v>
      </c>
      <c r="T87" s="34" t="n">
        <v>0.015</v>
      </c>
      <c r="U87" s="34" t="n">
        <v>1608.8</v>
      </c>
      <c r="V87" s="34" t="n">
        <v>1114.85</v>
      </c>
    </row>
    <row r="88" customFormat="false" ht="15.75" hidden="false" customHeight="true" outlineLevel="0" collapsed="false">
      <c r="A88" s="34" t="s">
        <v>46</v>
      </c>
      <c r="B88" s="34" t="n">
        <v>1380.6</v>
      </c>
      <c r="C88" s="34" t="n">
        <v>1418</v>
      </c>
      <c r="D88" s="34" t="n">
        <v>1375.2</v>
      </c>
      <c r="E88" s="34" t="n">
        <v>-2.28</v>
      </c>
      <c r="F88" s="34" t="n">
        <v>43.18</v>
      </c>
      <c r="G88" s="34" t="n">
        <v>1537.2</v>
      </c>
      <c r="H88" s="34" t="n">
        <v>1287.1</v>
      </c>
      <c r="I88" s="34" t="n">
        <v>54.47</v>
      </c>
      <c r="J88" s="34" t="n">
        <v>53.04</v>
      </c>
      <c r="K88" s="34" t="n">
        <v>1083516</v>
      </c>
      <c r="L88" s="34" t="n">
        <v>0.446</v>
      </c>
      <c r="M88" s="34" t="n">
        <v>1327.14</v>
      </c>
      <c r="N88" s="34" t="n">
        <v>1369.79</v>
      </c>
      <c r="O88" s="34" t="n">
        <v>1412.8</v>
      </c>
      <c r="P88" s="34" t="n">
        <v>1327.14</v>
      </c>
      <c r="Q88" s="34" t="n">
        <v>1369.79</v>
      </c>
      <c r="R88" s="34" t="n">
        <v>1418</v>
      </c>
      <c r="S88" s="34" t="n">
        <v>24.38</v>
      </c>
      <c r="T88" s="34" t="n">
        <v>0.012</v>
      </c>
      <c r="U88" s="34" t="n">
        <v>1825.78</v>
      </c>
      <c r="V88" s="34" t="n">
        <v>1157</v>
      </c>
    </row>
    <row r="89" customFormat="false" ht="15.75" hidden="false" customHeight="true" outlineLevel="0" collapsed="false">
      <c r="A89" s="34" t="s">
        <v>56</v>
      </c>
      <c r="B89" s="34" t="n">
        <v>1353.2</v>
      </c>
      <c r="C89" s="34" t="n">
        <v>1386.2</v>
      </c>
      <c r="D89" s="34" t="n">
        <v>1350</v>
      </c>
      <c r="E89" s="34" t="n">
        <v>-0.697</v>
      </c>
      <c r="F89" s="34" t="n">
        <v>41.53</v>
      </c>
      <c r="G89" s="34" t="n">
        <v>1402.2</v>
      </c>
      <c r="H89" s="34" t="n">
        <v>1192</v>
      </c>
      <c r="I89" s="34" t="n">
        <v>103.58</v>
      </c>
      <c r="J89" s="34" t="n">
        <v>59.34</v>
      </c>
      <c r="K89" s="34" t="n">
        <v>616314</v>
      </c>
      <c r="L89" s="34" t="n">
        <v>0.485</v>
      </c>
      <c r="M89" s="34" t="n">
        <v>1291.8</v>
      </c>
      <c r="N89" s="34" t="n">
        <v>1334.03</v>
      </c>
      <c r="O89" s="34" t="n">
        <v>1362.7</v>
      </c>
      <c r="P89" s="34" t="n">
        <v>1291.8</v>
      </c>
      <c r="Q89" s="34" t="n">
        <v>1334.03</v>
      </c>
      <c r="R89" s="34" t="n">
        <v>1360</v>
      </c>
      <c r="S89" s="34" t="n">
        <v>30.42</v>
      </c>
      <c r="T89" s="34" t="n">
        <v>0.012</v>
      </c>
      <c r="U89" s="34" t="n">
        <v>1944.9</v>
      </c>
      <c r="V89" s="34" t="n">
        <v>1135</v>
      </c>
    </row>
    <row r="90" customFormat="false" ht="15.75" hidden="false" customHeight="true" outlineLevel="0" collapsed="false">
      <c r="A90" s="34" t="s">
        <v>176</v>
      </c>
      <c r="B90" s="34" t="n">
        <v>1341.2</v>
      </c>
      <c r="C90" s="34" t="n">
        <v>1364</v>
      </c>
      <c r="D90" s="34" t="n">
        <v>1338.2</v>
      </c>
      <c r="E90" s="34" t="n">
        <v>-1.51</v>
      </c>
      <c r="F90" s="34" t="n">
        <v>30.33</v>
      </c>
      <c r="G90" s="34" t="n">
        <v>1474</v>
      </c>
      <c r="H90" s="34" t="n">
        <v>1290.5</v>
      </c>
      <c r="I90" s="34" t="n">
        <v>-28.69</v>
      </c>
      <c r="J90" s="34" t="n">
        <v>44.97</v>
      </c>
      <c r="K90" s="34" t="n">
        <v>1210256</v>
      </c>
      <c r="L90" s="34" t="n">
        <v>0.986</v>
      </c>
      <c r="M90" s="34" t="n">
        <v>1372.77</v>
      </c>
      <c r="N90" s="34" t="n">
        <v>1335.65</v>
      </c>
      <c r="O90" s="34" t="n">
        <v>1361.8</v>
      </c>
      <c r="P90" s="34" t="n">
        <v>1372.77</v>
      </c>
      <c r="Q90" s="34" t="n">
        <v>1335.65</v>
      </c>
      <c r="R90" s="34" t="n">
        <v>1364</v>
      </c>
      <c r="S90" s="34" t="n">
        <v>10.56</v>
      </c>
      <c r="T90" s="34" t="n">
        <v>0.02</v>
      </c>
      <c r="U90" s="34" t="n">
        <v>1621.4</v>
      </c>
      <c r="V90" s="34" t="n">
        <v>995.65</v>
      </c>
    </row>
    <row r="91" customFormat="false" ht="15.75" hidden="false" customHeight="true" outlineLevel="0" collapsed="false">
      <c r="A91" s="34" t="s">
        <v>49</v>
      </c>
      <c r="B91" s="34" t="n">
        <v>1329.9</v>
      </c>
      <c r="C91" s="34" t="n">
        <v>1338.1</v>
      </c>
      <c r="D91" s="34" t="n">
        <v>1327.1</v>
      </c>
      <c r="E91" s="34" t="n">
        <v>-0.531</v>
      </c>
      <c r="F91" s="34" t="n">
        <v>21.36</v>
      </c>
      <c r="G91" s="34" t="n">
        <v>1492.8</v>
      </c>
      <c r="H91" s="34" t="n">
        <v>1283.8</v>
      </c>
      <c r="I91" s="34" t="n">
        <v>87.78</v>
      </c>
      <c r="J91" s="34" t="n">
        <v>55.91</v>
      </c>
      <c r="K91" s="34" t="n">
        <v>545032</v>
      </c>
      <c r="L91" s="34" t="n">
        <v>0.509</v>
      </c>
      <c r="M91" s="34" t="n">
        <v>1345.71</v>
      </c>
      <c r="N91" s="34" t="n">
        <v>1310.4</v>
      </c>
      <c r="O91" s="34" t="n">
        <v>1337</v>
      </c>
      <c r="P91" s="34" t="n">
        <v>1345.71</v>
      </c>
      <c r="Q91" s="34" t="n">
        <v>1309.76</v>
      </c>
      <c r="R91" s="34" t="n">
        <v>1333.2</v>
      </c>
      <c r="S91" s="34" t="n">
        <v>21.77</v>
      </c>
      <c r="T91" s="34" t="n">
        <v>0.003</v>
      </c>
      <c r="U91" s="34" t="n">
        <v>1700</v>
      </c>
      <c r="V91" s="34" t="n">
        <v>1271.1</v>
      </c>
    </row>
    <row r="92" customFormat="false" ht="15.75" hidden="false" customHeight="true" outlineLevel="0" collapsed="false">
      <c r="A92" s="34" t="s">
        <v>264</v>
      </c>
      <c r="B92" s="34" t="n">
        <v>1282</v>
      </c>
      <c r="C92" s="34" t="n">
        <v>1294.5</v>
      </c>
      <c r="D92" s="34" t="n">
        <v>1270</v>
      </c>
      <c r="E92" s="34" t="n">
        <v>-0.759</v>
      </c>
      <c r="F92" s="34" t="n">
        <v>30.62</v>
      </c>
      <c r="G92" s="34" t="n">
        <v>1492</v>
      </c>
      <c r="H92" s="34" t="n">
        <v>1270</v>
      </c>
      <c r="I92" s="34" t="n">
        <v>-126.67</v>
      </c>
      <c r="J92" s="34" t="n">
        <v>30.66</v>
      </c>
      <c r="K92" s="34" t="n">
        <v>327330</v>
      </c>
      <c r="L92" s="34" t="n">
        <v>0.247</v>
      </c>
      <c r="M92" s="34" t="n">
        <v>1344.93</v>
      </c>
      <c r="N92" s="34" t="n">
        <v>1313.59</v>
      </c>
      <c r="O92" s="34" t="n">
        <v>1291.8</v>
      </c>
      <c r="P92" s="34" t="n">
        <v>1357.74</v>
      </c>
      <c r="Q92" s="34" t="n">
        <v>1325.02</v>
      </c>
      <c r="R92" s="34" t="n">
        <v>1291.8</v>
      </c>
      <c r="S92" s="34" t="n">
        <v>37.06</v>
      </c>
      <c r="T92" s="34" t="n">
        <v>0.005</v>
      </c>
      <c r="U92" s="34" t="n">
        <v>2037</v>
      </c>
      <c r="V92" s="34" t="n">
        <v>1207.25</v>
      </c>
    </row>
    <row r="93" customFormat="false" ht="15.75" hidden="false" customHeight="true" outlineLevel="0" collapsed="false">
      <c r="A93" s="34" t="s">
        <v>177</v>
      </c>
      <c r="B93" s="34" t="n">
        <v>1277.6</v>
      </c>
      <c r="C93" s="34" t="n">
        <v>1284.1</v>
      </c>
      <c r="D93" s="34" t="n">
        <v>1265.6</v>
      </c>
      <c r="E93" s="34" t="n">
        <v>0.078</v>
      </c>
      <c r="F93" s="34" t="n">
        <v>25.24</v>
      </c>
      <c r="G93" s="34" t="n">
        <v>1366.8</v>
      </c>
      <c r="H93" s="34" t="n">
        <v>1183.4</v>
      </c>
      <c r="I93" s="34" t="n">
        <v>75.68</v>
      </c>
      <c r="J93" s="34" t="n">
        <v>68.04</v>
      </c>
      <c r="K93" s="34" t="n">
        <v>1229919</v>
      </c>
      <c r="L93" s="34" t="n">
        <v>0.612</v>
      </c>
      <c r="M93" s="34" t="n">
        <v>1224.24</v>
      </c>
      <c r="N93" s="34" t="n">
        <v>1249.54</v>
      </c>
      <c r="O93" s="34" t="n">
        <v>1276.6</v>
      </c>
      <c r="P93" s="34" t="n">
        <v>1208.92</v>
      </c>
      <c r="Q93" s="34" t="n">
        <v>1234.99</v>
      </c>
      <c r="R93" s="34" t="n">
        <v>1274.1</v>
      </c>
      <c r="S93" s="34" t="n">
        <v>9.71</v>
      </c>
      <c r="T93" s="34" t="n">
        <v>0.016</v>
      </c>
      <c r="U93" s="34" t="n">
        <v>1421.49</v>
      </c>
      <c r="V93" s="34" t="n">
        <v>1020</v>
      </c>
    </row>
    <row r="94" customFormat="false" ht="15.75" hidden="false" customHeight="true" outlineLevel="0" collapsed="false">
      <c r="A94" s="34" t="s">
        <v>222</v>
      </c>
      <c r="B94" s="34" t="n">
        <v>1261</v>
      </c>
      <c r="C94" s="34" t="n">
        <v>1301</v>
      </c>
      <c r="D94" s="34" t="n">
        <v>1260</v>
      </c>
      <c r="E94" s="34" t="n">
        <v>-2.52</v>
      </c>
      <c r="F94" s="34" t="n">
        <v>35.45</v>
      </c>
      <c r="G94" s="34" t="n">
        <v>1509.8</v>
      </c>
      <c r="H94" s="34" t="n">
        <v>1190.6</v>
      </c>
      <c r="I94" s="34" t="n">
        <v>105.17</v>
      </c>
      <c r="J94" s="34" t="n">
        <v>50.74</v>
      </c>
      <c r="K94" s="34" t="n">
        <v>789131</v>
      </c>
      <c r="L94" s="34" t="n">
        <v>0.514</v>
      </c>
      <c r="M94" s="34" t="n">
        <v>1238.81</v>
      </c>
      <c r="N94" s="34" t="n">
        <v>1313.1</v>
      </c>
      <c r="O94" s="34" t="n">
        <v>1293.6</v>
      </c>
      <c r="P94" s="34" t="n">
        <v>1238.81</v>
      </c>
      <c r="Q94" s="34" t="n">
        <v>1273.93</v>
      </c>
      <c r="R94" s="34" t="n">
        <v>1293.6</v>
      </c>
      <c r="S94" s="34" t="n">
        <v>17.64</v>
      </c>
      <c r="T94" s="34" t="n">
        <v>0.015</v>
      </c>
      <c r="U94" s="34" t="n">
        <v>1649.95</v>
      </c>
      <c r="V94" s="34" t="n">
        <v>1035.15</v>
      </c>
    </row>
    <row r="95" customFormat="false" ht="15.75" hidden="false" customHeight="true" outlineLevel="0" collapsed="false">
      <c r="A95" s="34" t="s">
        <v>215</v>
      </c>
      <c r="B95" s="34" t="n">
        <v>1264.6</v>
      </c>
      <c r="C95" s="34" t="n">
        <v>1277.8</v>
      </c>
      <c r="D95" s="34" t="n">
        <v>1242.6</v>
      </c>
      <c r="E95" s="34" t="n">
        <v>1.53</v>
      </c>
      <c r="F95" s="34" t="n">
        <v>39.24</v>
      </c>
      <c r="G95" s="34" t="n">
        <v>1277.8</v>
      </c>
      <c r="H95" s="34" t="n">
        <v>857.15</v>
      </c>
      <c r="I95" s="34" t="n">
        <v>161.74</v>
      </c>
      <c r="J95" s="34" t="n">
        <v>89.15</v>
      </c>
      <c r="K95" s="34" t="n">
        <v>6068360</v>
      </c>
      <c r="L95" s="34" t="n">
        <v>1.53</v>
      </c>
      <c r="M95" s="34" t="n">
        <v>1182.3</v>
      </c>
      <c r="N95" s="34" t="n">
        <v>1221.25</v>
      </c>
      <c r="O95" s="34" t="n">
        <v>1245.6</v>
      </c>
      <c r="P95" s="34" t="n">
        <v>1158.47</v>
      </c>
      <c r="Q95" s="34" t="n">
        <v>1197.83</v>
      </c>
      <c r="R95" s="34" t="n">
        <v>1247</v>
      </c>
      <c r="S95" s="34" t="n">
        <v>1.03</v>
      </c>
      <c r="T95" s="34" t="n">
        <v>0.052</v>
      </c>
      <c r="U95" s="34" t="n">
        <v>1277.8</v>
      </c>
      <c r="V95" s="34" t="n">
        <v>505.55</v>
      </c>
    </row>
    <row r="96" customFormat="false" ht="15.75" hidden="false" customHeight="true" outlineLevel="0" collapsed="false">
      <c r="A96" s="34" t="s">
        <v>197</v>
      </c>
      <c r="B96" s="34" t="n">
        <v>1257.2</v>
      </c>
      <c r="C96" s="34" t="n">
        <v>1265.4</v>
      </c>
      <c r="D96" s="34" t="n">
        <v>1242.4</v>
      </c>
      <c r="E96" s="34" t="n">
        <v>0.786</v>
      </c>
      <c r="F96" s="34" t="n">
        <v>31</v>
      </c>
      <c r="G96" s="34" t="n">
        <v>1308</v>
      </c>
      <c r="H96" s="34" t="n">
        <v>1159.6</v>
      </c>
      <c r="I96" s="34" t="n">
        <v>126.89</v>
      </c>
      <c r="J96" s="34" t="n">
        <v>69.21</v>
      </c>
      <c r="K96" s="34" t="n">
        <v>1481340</v>
      </c>
      <c r="L96" s="34" t="n">
        <v>0.796</v>
      </c>
      <c r="M96" s="34" t="n">
        <v>1192.23</v>
      </c>
      <c r="N96" s="34" t="n">
        <v>1223.06</v>
      </c>
      <c r="O96" s="34" t="n">
        <v>1247.4</v>
      </c>
      <c r="P96" s="34" t="n">
        <v>1249.85</v>
      </c>
      <c r="Q96" s="34" t="n">
        <v>1204.94</v>
      </c>
      <c r="R96" s="34" t="n">
        <v>1246.6</v>
      </c>
      <c r="S96" s="34" t="n">
        <v>18.46</v>
      </c>
      <c r="T96" s="34" t="n">
        <v>0.018</v>
      </c>
      <c r="U96" s="34" t="n">
        <v>1541.85</v>
      </c>
      <c r="V96" s="34" t="n">
        <v>979.5</v>
      </c>
    </row>
    <row r="97" customFormat="false" ht="15.75" hidden="false" customHeight="true" outlineLevel="0" collapsed="false">
      <c r="A97" s="34" t="s">
        <v>249</v>
      </c>
      <c r="B97" s="34" t="n">
        <v>1234.7</v>
      </c>
      <c r="C97" s="34" t="n">
        <v>1255</v>
      </c>
      <c r="D97" s="34" t="n">
        <v>1228.1</v>
      </c>
      <c r="E97" s="34" t="n">
        <v>-1.23</v>
      </c>
      <c r="F97" s="34" t="n">
        <v>32.21</v>
      </c>
      <c r="G97" s="34" t="n">
        <v>1314.3</v>
      </c>
      <c r="H97" s="34" t="n">
        <v>1152.7</v>
      </c>
      <c r="I97" s="34" t="n">
        <v>-60.77</v>
      </c>
      <c r="J97" s="34" t="n">
        <v>45.82</v>
      </c>
      <c r="K97" s="34" t="n">
        <v>1487942</v>
      </c>
      <c r="L97" s="34" t="n">
        <v>0.725</v>
      </c>
      <c r="M97" s="34" t="n">
        <v>1289.25</v>
      </c>
      <c r="N97" s="34" t="n">
        <v>1254.98</v>
      </c>
      <c r="O97" s="34" t="n">
        <v>1250.1</v>
      </c>
      <c r="P97" s="34" t="n">
        <v>1289.25</v>
      </c>
      <c r="Q97" s="34" t="n">
        <v>1254.98</v>
      </c>
      <c r="R97" s="34" t="n">
        <v>1255</v>
      </c>
      <c r="S97" s="34" t="n">
        <v>6.06</v>
      </c>
      <c r="T97" s="34" t="n">
        <v>0.027</v>
      </c>
      <c r="U97" s="34" t="n">
        <v>1314.3</v>
      </c>
      <c r="V97" s="34" t="n">
        <v>836.6</v>
      </c>
    </row>
    <row r="98" customFormat="false" ht="15.75" hidden="false" customHeight="true" outlineLevel="0" collapsed="false">
      <c r="A98" s="34" t="s">
        <v>233</v>
      </c>
      <c r="B98" s="34" t="n">
        <v>1230.1</v>
      </c>
      <c r="C98" s="34" t="n">
        <v>1237.4</v>
      </c>
      <c r="D98" s="34" t="n">
        <v>1224.8</v>
      </c>
      <c r="E98" s="34" t="n">
        <v>-0.316</v>
      </c>
      <c r="F98" s="34" t="n">
        <v>23.2</v>
      </c>
      <c r="G98" s="34" t="n">
        <v>1361</v>
      </c>
      <c r="H98" s="34" t="n">
        <v>1154</v>
      </c>
      <c r="I98" s="34" t="n">
        <v>81.66</v>
      </c>
      <c r="J98" s="34" t="n">
        <v>67.23</v>
      </c>
      <c r="K98" s="34" t="n">
        <v>154556</v>
      </c>
      <c r="L98" s="34" t="n">
        <v>0.462</v>
      </c>
      <c r="M98" s="34" t="n">
        <v>1182.02</v>
      </c>
      <c r="N98" s="34" t="n">
        <v>1206.56</v>
      </c>
      <c r="O98" s="34" t="n">
        <v>1234</v>
      </c>
      <c r="P98" s="34" t="n">
        <v>1180.31</v>
      </c>
      <c r="Q98" s="34" t="n">
        <v>1206.18</v>
      </c>
      <c r="R98" s="34" t="n">
        <v>1234</v>
      </c>
      <c r="S98" s="34" t="n">
        <v>42.98</v>
      </c>
      <c r="T98" s="34" t="n">
        <v>0.01</v>
      </c>
      <c r="U98" s="34" t="n">
        <v>2190</v>
      </c>
      <c r="V98" s="34" t="n">
        <v>1084.05</v>
      </c>
    </row>
    <row r="99" customFormat="false" ht="15.75" hidden="false" customHeight="true" outlineLevel="0" collapsed="false">
      <c r="A99" s="34" t="s">
        <v>467</v>
      </c>
      <c r="B99" s="34" t="n">
        <v>1265.8</v>
      </c>
      <c r="C99" s="34" t="n">
        <v>1272.6</v>
      </c>
      <c r="D99" s="34" t="n">
        <v>1224.2</v>
      </c>
      <c r="E99" s="34" t="n">
        <v>2.86</v>
      </c>
      <c r="F99" s="34" t="n">
        <v>37.46</v>
      </c>
      <c r="G99" s="34" t="n">
        <v>1272.6</v>
      </c>
      <c r="H99" s="34" t="n">
        <v>1025</v>
      </c>
      <c r="I99" s="34" t="n">
        <v>155.65</v>
      </c>
      <c r="J99" s="34" t="n">
        <v>84.8</v>
      </c>
      <c r="K99" s="34" t="n">
        <v>1589277</v>
      </c>
      <c r="L99" s="34" t="n">
        <v>1.7</v>
      </c>
      <c r="M99" s="34" t="n">
        <v>1175.22</v>
      </c>
      <c r="N99" s="34" t="n">
        <v>1211.81</v>
      </c>
      <c r="O99" s="34" t="n">
        <v>1230.6</v>
      </c>
      <c r="P99" s="34" t="n">
        <v>1168.85</v>
      </c>
      <c r="Q99" s="34" t="n">
        <v>1204.12</v>
      </c>
      <c r="R99" s="34" t="n">
        <v>1230.6</v>
      </c>
      <c r="S99" s="34" t="n">
        <v>0.534</v>
      </c>
      <c r="T99" s="34" t="n">
        <v>0.033</v>
      </c>
      <c r="U99" s="34" t="n">
        <v>1272.6</v>
      </c>
      <c r="V99" s="34" t="n">
        <v>767.6</v>
      </c>
    </row>
    <row r="100" customFormat="false" ht="15.75" hidden="false" customHeight="true" outlineLevel="0" collapsed="false">
      <c r="A100" s="34" t="s">
        <v>237</v>
      </c>
      <c r="B100" s="34" t="n">
        <v>1196.6</v>
      </c>
      <c r="C100" s="34" t="n">
        <v>1218.6</v>
      </c>
      <c r="D100" s="34" t="n">
        <v>1192.5</v>
      </c>
      <c r="E100" s="34" t="n">
        <v>-1.44</v>
      </c>
      <c r="F100" s="34" t="n">
        <v>26.03</v>
      </c>
      <c r="G100" s="34" t="n">
        <v>1434.5</v>
      </c>
      <c r="H100" s="34" t="n">
        <v>1180</v>
      </c>
      <c r="I100" s="34" t="n">
        <v>-76.82</v>
      </c>
      <c r="J100" s="34" t="n">
        <v>38.52</v>
      </c>
      <c r="K100" s="34" t="n">
        <v>858810</v>
      </c>
      <c r="L100" s="34" t="n">
        <v>1.53</v>
      </c>
      <c r="M100" s="34" t="n">
        <v>1164.64</v>
      </c>
      <c r="N100" s="34" t="n">
        <v>1227.39</v>
      </c>
      <c r="O100" s="34" t="n">
        <v>1214.1</v>
      </c>
      <c r="P100" s="34" t="n">
        <v>1164.64</v>
      </c>
      <c r="Q100" s="34" t="n">
        <v>1227.39</v>
      </c>
      <c r="R100" s="34" t="n">
        <v>1212.5</v>
      </c>
      <c r="S100" s="34" t="n">
        <v>37.71</v>
      </c>
      <c r="T100" s="34" t="n">
        <v>0.012</v>
      </c>
      <c r="U100" s="34" t="n">
        <v>1928.7</v>
      </c>
      <c r="V100" s="34" t="n">
        <v>1020.6</v>
      </c>
    </row>
    <row r="101" customFormat="false" ht="15.75" hidden="false" customHeight="true" outlineLevel="0" collapsed="false">
      <c r="A101" s="34" t="s">
        <v>147</v>
      </c>
      <c r="B101" s="34" t="n">
        <v>1162.9</v>
      </c>
      <c r="C101" s="34" t="n">
        <v>1191</v>
      </c>
      <c r="D101" s="34" t="n">
        <v>1158</v>
      </c>
      <c r="E101" s="34" t="n">
        <v>-1.4</v>
      </c>
      <c r="F101" s="34" t="n">
        <v>76.06</v>
      </c>
      <c r="G101" s="34" t="n">
        <v>2490</v>
      </c>
      <c r="H101" s="34" t="n">
        <v>1084.7</v>
      </c>
      <c r="I101" s="34" t="n">
        <v>-62.04</v>
      </c>
      <c r="J101" s="34" t="n">
        <v>18.1</v>
      </c>
      <c r="K101" s="34" t="n">
        <v>921658</v>
      </c>
      <c r="L101" s="34" t="n">
        <v>0.929</v>
      </c>
      <c r="M101" s="34" t="n">
        <v>1308.29</v>
      </c>
      <c r="N101" s="34" t="n">
        <v>1201.07</v>
      </c>
      <c r="O101" s="34" t="n">
        <v>1179.4</v>
      </c>
      <c r="P101" s="34" t="n">
        <v>1308.29</v>
      </c>
      <c r="Q101" s="34" t="n">
        <v>1201.07</v>
      </c>
      <c r="R101" s="34" t="n">
        <v>1175</v>
      </c>
      <c r="S101" s="34" t="n">
        <v>58.14</v>
      </c>
      <c r="T101" s="34" t="n">
        <v>0.006</v>
      </c>
      <c r="U101" s="34" t="n">
        <v>2778</v>
      </c>
      <c r="V101" s="34" t="n">
        <v>1084.7</v>
      </c>
    </row>
    <row r="102" customFormat="false" ht="15.75" hidden="false" customHeight="true" outlineLevel="0" collapsed="false">
      <c r="A102" s="34" t="s">
        <v>134</v>
      </c>
      <c r="B102" s="34" t="n">
        <v>1123</v>
      </c>
      <c r="C102" s="34" t="n">
        <v>1157.1</v>
      </c>
      <c r="D102" s="34" t="n">
        <v>1120.2</v>
      </c>
      <c r="E102" s="34" t="n">
        <v>-2.69</v>
      </c>
      <c r="F102" s="34" t="n">
        <v>32.01</v>
      </c>
      <c r="G102" s="34" t="n">
        <v>1336.1</v>
      </c>
      <c r="H102" s="34" t="n">
        <v>1102</v>
      </c>
      <c r="I102" s="34" t="n">
        <v>-137.1</v>
      </c>
      <c r="J102" s="34" t="n">
        <v>30.56</v>
      </c>
      <c r="K102" s="34" t="n">
        <v>1414136</v>
      </c>
      <c r="L102" s="34" t="n">
        <v>0.553</v>
      </c>
      <c r="M102" s="34" t="n">
        <v>1202.85</v>
      </c>
      <c r="N102" s="34" t="n">
        <v>1170.75</v>
      </c>
      <c r="O102" s="34" t="n">
        <v>1154.1</v>
      </c>
      <c r="P102" s="34" t="n">
        <v>1204.42</v>
      </c>
      <c r="Q102" s="34" t="n">
        <v>1196.26</v>
      </c>
      <c r="R102" s="34" t="n">
        <v>1150</v>
      </c>
      <c r="S102" s="34" t="n">
        <v>31.73</v>
      </c>
      <c r="T102" s="34" t="n">
        <v>0.016</v>
      </c>
      <c r="U102" s="34" t="n">
        <v>1804.5</v>
      </c>
      <c r="V102" s="34" t="n">
        <v>919.1</v>
      </c>
    </row>
    <row r="103" customFormat="false" ht="15.75" hidden="false" customHeight="true" outlineLevel="0" collapsed="false">
      <c r="A103" s="34" t="s">
        <v>470</v>
      </c>
      <c r="B103" s="34" t="n">
        <v>1126.2</v>
      </c>
      <c r="C103" s="34" t="n">
        <v>1139.7</v>
      </c>
      <c r="D103" s="34" t="n">
        <v>1115.5</v>
      </c>
      <c r="E103" s="34" t="n">
        <v>-0.133</v>
      </c>
      <c r="F103" s="34" t="n">
        <v>30.29</v>
      </c>
      <c r="G103" s="34" t="n">
        <v>1388.5</v>
      </c>
      <c r="H103" s="34" t="n">
        <v>1048.1</v>
      </c>
      <c r="I103" s="34" t="n">
        <v>49.2</v>
      </c>
      <c r="J103" s="34" t="n">
        <v>52.17</v>
      </c>
      <c r="K103" s="34" t="n">
        <v>843260</v>
      </c>
      <c r="L103" s="34" t="n">
        <v>0.749</v>
      </c>
      <c r="M103" s="34" t="n">
        <v>1144.42</v>
      </c>
      <c r="N103" s="34" t="n">
        <v>1095.79</v>
      </c>
      <c r="O103" s="34" t="n">
        <v>1127.7</v>
      </c>
      <c r="P103" s="34" t="n">
        <v>1144.42</v>
      </c>
      <c r="Q103" s="34" t="n">
        <v>1090.93</v>
      </c>
      <c r="R103" s="34" t="n">
        <v>1126</v>
      </c>
      <c r="S103" s="34" t="n">
        <v>31.39</v>
      </c>
      <c r="T103" s="34" t="n">
        <v>0.028</v>
      </c>
      <c r="U103" s="34" t="n">
        <v>1641.35</v>
      </c>
      <c r="V103" s="34" t="n">
        <v>784.15</v>
      </c>
    </row>
    <row r="104" customFormat="false" ht="15.75" hidden="false" customHeight="true" outlineLevel="0" collapsed="false">
      <c r="A104" s="34" t="s">
        <v>99</v>
      </c>
      <c r="B104" s="34" t="n">
        <v>1084.1</v>
      </c>
      <c r="C104" s="34" t="n">
        <v>1091.7</v>
      </c>
      <c r="D104" s="34" t="n">
        <v>1080</v>
      </c>
      <c r="E104" s="34" t="n">
        <v>-0.368</v>
      </c>
      <c r="F104" s="34" t="n">
        <v>21</v>
      </c>
      <c r="G104" s="34" t="n">
        <v>1150</v>
      </c>
      <c r="H104" s="34" t="n">
        <v>1037.7</v>
      </c>
      <c r="I104" s="34" t="n">
        <v>106.73</v>
      </c>
      <c r="J104" s="34" t="n">
        <v>57.31</v>
      </c>
      <c r="K104" s="34" t="n">
        <v>394813</v>
      </c>
      <c r="L104" s="34" t="n">
        <v>0.643</v>
      </c>
      <c r="M104" s="34" t="n">
        <v>1050.62</v>
      </c>
      <c r="N104" s="34" t="n">
        <v>1072.93</v>
      </c>
      <c r="O104" s="34" t="n">
        <v>1088.1</v>
      </c>
      <c r="P104" s="34" t="n">
        <v>1050.62</v>
      </c>
      <c r="Q104" s="34" t="n">
        <v>1072.93</v>
      </c>
      <c r="R104" s="34" t="n">
        <v>1087.2</v>
      </c>
      <c r="S104" s="34" t="n">
        <v>12.17</v>
      </c>
      <c r="T104" s="34" t="n">
        <v>0.018</v>
      </c>
      <c r="U104" s="34" t="n">
        <v>1269</v>
      </c>
      <c r="V104" s="34" t="n">
        <v>882.9</v>
      </c>
    </row>
    <row r="105" customFormat="false" ht="15.75" hidden="false" customHeight="true" outlineLevel="0" collapsed="false">
      <c r="A105" s="34" t="s">
        <v>273</v>
      </c>
      <c r="B105" s="34" t="n">
        <v>1077.6</v>
      </c>
      <c r="C105" s="34" t="n">
        <v>1088.4</v>
      </c>
      <c r="D105" s="34" t="n">
        <v>1070.2</v>
      </c>
      <c r="E105" s="34" t="n">
        <v>-0.37</v>
      </c>
      <c r="F105" s="34" t="n">
        <v>27.68</v>
      </c>
      <c r="G105" s="34" t="n">
        <v>1273.8</v>
      </c>
      <c r="H105" s="34" t="n">
        <v>1014.2</v>
      </c>
      <c r="I105" s="34" t="n">
        <v>76.94</v>
      </c>
      <c r="J105" s="34" t="n">
        <v>54.03</v>
      </c>
      <c r="K105" s="34" t="n">
        <v>742717</v>
      </c>
      <c r="L105" s="34" t="n">
        <v>1.39</v>
      </c>
      <c r="M105" s="34" t="n">
        <v>1030.15</v>
      </c>
      <c r="N105" s="34" t="n">
        <v>1059.65</v>
      </c>
      <c r="O105" s="34" t="n">
        <v>1081.6</v>
      </c>
      <c r="P105" s="34" t="n">
        <v>1030.15</v>
      </c>
      <c r="Q105" s="34" t="n">
        <v>1059.65</v>
      </c>
      <c r="R105" s="34" t="n">
        <v>1074.9</v>
      </c>
      <c r="S105" s="34" t="n">
        <v>18.24</v>
      </c>
      <c r="T105" s="34" t="n">
        <v>0.026</v>
      </c>
      <c r="U105" s="34" t="n">
        <v>1318</v>
      </c>
      <c r="V105" s="34" t="n">
        <v>790.5</v>
      </c>
    </row>
    <row r="106" customFormat="false" ht="15.75" hidden="false" customHeight="true" outlineLevel="0" collapsed="false">
      <c r="A106" s="34" t="s">
        <v>40</v>
      </c>
      <c r="B106" s="34" t="n">
        <v>1070.9</v>
      </c>
      <c r="C106" s="34" t="n">
        <v>1078.5</v>
      </c>
      <c r="D106" s="34" t="n">
        <v>1069.5</v>
      </c>
      <c r="E106" s="34" t="n">
        <v>-0.742</v>
      </c>
      <c r="F106" s="34" t="n">
        <v>14.55</v>
      </c>
      <c r="G106" s="34" t="n">
        <v>1247</v>
      </c>
      <c r="H106" s="34" t="n">
        <v>1052.6</v>
      </c>
      <c r="I106" s="34" t="n">
        <v>-1.62</v>
      </c>
      <c r="J106" s="34" t="n">
        <v>41.54</v>
      </c>
      <c r="K106" s="34" t="n">
        <v>3853718</v>
      </c>
      <c r="L106" s="34" t="n">
        <v>0.597</v>
      </c>
      <c r="M106" s="34" t="n">
        <v>1100.97</v>
      </c>
      <c r="N106" s="34" t="n">
        <v>1083.4</v>
      </c>
      <c r="O106" s="34" t="n">
        <v>1078.9</v>
      </c>
      <c r="P106" s="34" t="n">
        <v>1100.97</v>
      </c>
      <c r="Q106" s="34" t="n">
        <v>1083.4</v>
      </c>
      <c r="R106" s="34" t="n">
        <v>1076</v>
      </c>
      <c r="S106" s="34" t="n">
        <v>16.44</v>
      </c>
      <c r="T106" s="34" t="n">
        <v>0.012</v>
      </c>
      <c r="U106" s="34" t="n">
        <v>1339.65</v>
      </c>
      <c r="V106" s="34" t="n">
        <v>933.5</v>
      </c>
    </row>
    <row r="107" customFormat="false" ht="15.75" hidden="false" customHeight="true" outlineLevel="0" collapsed="false">
      <c r="A107" s="34" t="s">
        <v>45</v>
      </c>
      <c r="B107" s="34" t="n">
        <v>1054.6</v>
      </c>
      <c r="C107" s="34" t="n">
        <v>1071.4</v>
      </c>
      <c r="D107" s="34" t="n">
        <v>1051.3</v>
      </c>
      <c r="E107" s="34" t="n">
        <v>-1.6</v>
      </c>
      <c r="F107" s="34" t="n">
        <v>21.27</v>
      </c>
      <c r="G107" s="34" t="n">
        <v>1089.2</v>
      </c>
      <c r="H107" s="34" t="n">
        <v>981.35</v>
      </c>
      <c r="I107" s="34" t="n">
        <v>36.79</v>
      </c>
      <c r="J107" s="34" t="n">
        <v>46.13</v>
      </c>
      <c r="K107" s="34" t="n">
        <v>1950370</v>
      </c>
      <c r="L107" s="34" t="n">
        <v>0.943</v>
      </c>
      <c r="M107" s="34" t="n">
        <v>1035.36</v>
      </c>
      <c r="N107" s="34" t="n">
        <v>1082.72</v>
      </c>
      <c r="O107" s="34" t="n">
        <v>1071.8</v>
      </c>
      <c r="P107" s="34" t="n">
        <v>1035.36</v>
      </c>
      <c r="Q107" s="34" t="n">
        <v>1057.36</v>
      </c>
      <c r="R107" s="34" t="n">
        <v>1068.5</v>
      </c>
      <c r="S107" s="34" t="n">
        <v>3.18</v>
      </c>
      <c r="T107" s="34" t="n">
        <v>0.016</v>
      </c>
      <c r="U107" s="34" t="n">
        <v>1089.2</v>
      </c>
      <c r="V107" s="34" t="n">
        <v>880</v>
      </c>
    </row>
    <row r="108" customFormat="false" ht="15.75" hidden="false" customHeight="true" outlineLevel="0" collapsed="false">
      <c r="A108" s="34" t="s">
        <v>125</v>
      </c>
      <c r="B108" s="34" t="n">
        <v>1050.4</v>
      </c>
      <c r="C108" s="34" t="n">
        <v>1056.6</v>
      </c>
      <c r="D108" s="34" t="n">
        <v>1036.5</v>
      </c>
      <c r="E108" s="34" t="n">
        <v>0.903</v>
      </c>
      <c r="F108" s="34" t="n">
        <v>28.6</v>
      </c>
      <c r="G108" s="34" t="n">
        <v>1197</v>
      </c>
      <c r="H108" s="34" t="n">
        <v>1031.8</v>
      </c>
      <c r="I108" s="34" t="n">
        <v>-93.94</v>
      </c>
      <c r="J108" s="34" t="n">
        <v>36.92</v>
      </c>
      <c r="K108" s="34" t="n">
        <v>1872844</v>
      </c>
      <c r="L108" s="34" t="n">
        <v>1.23</v>
      </c>
      <c r="M108" s="34" t="n">
        <v>1103.15</v>
      </c>
      <c r="N108" s="34" t="n">
        <v>1073.35</v>
      </c>
      <c r="O108" s="34" t="n">
        <v>1041</v>
      </c>
      <c r="P108" s="34" t="n">
        <v>1103.15</v>
      </c>
      <c r="Q108" s="34" t="n">
        <v>1073.35</v>
      </c>
      <c r="R108" s="34" t="n">
        <v>1048</v>
      </c>
      <c r="S108" s="34" t="n">
        <v>34.02</v>
      </c>
      <c r="T108" s="34" t="n">
        <v>0.004</v>
      </c>
      <c r="U108" s="34" t="n">
        <v>1592</v>
      </c>
      <c r="V108" s="34" t="n">
        <v>1010</v>
      </c>
    </row>
    <row r="109" customFormat="false" ht="15.75" hidden="false" customHeight="true" outlineLevel="0" collapsed="false">
      <c r="A109" s="34" t="s">
        <v>263</v>
      </c>
      <c r="B109" s="34" t="n">
        <v>997.25</v>
      </c>
      <c r="C109" s="34" t="n">
        <v>1010.75</v>
      </c>
      <c r="D109" s="34" t="n">
        <v>993.8</v>
      </c>
      <c r="E109" s="34" t="n">
        <v>-1.28</v>
      </c>
      <c r="F109" s="34" t="n">
        <v>22.31</v>
      </c>
      <c r="G109" s="34" t="n">
        <v>1022</v>
      </c>
      <c r="H109" s="34" t="n">
        <v>882.65</v>
      </c>
      <c r="I109" s="34" t="n">
        <v>70.31</v>
      </c>
      <c r="J109" s="34" t="n">
        <v>51.64</v>
      </c>
      <c r="K109" s="34" t="n">
        <v>1818097</v>
      </c>
      <c r="L109" s="34" t="n">
        <v>0.597</v>
      </c>
      <c r="M109" s="34" t="n">
        <v>966.41</v>
      </c>
      <c r="N109" s="34" t="n">
        <v>989.59</v>
      </c>
      <c r="O109" s="34" t="n">
        <v>1010.15</v>
      </c>
      <c r="P109" s="34" t="n">
        <v>966.41</v>
      </c>
      <c r="Q109" s="34" t="n">
        <v>989.59</v>
      </c>
      <c r="R109" s="34" t="n">
        <v>1010</v>
      </c>
      <c r="S109" s="34" t="n">
        <v>7.12</v>
      </c>
      <c r="T109" s="34" t="n">
        <v>0.028</v>
      </c>
      <c r="U109" s="34" t="n">
        <v>1097</v>
      </c>
      <c r="V109" s="34" t="n">
        <v>723.35</v>
      </c>
    </row>
    <row r="110" customFormat="false" ht="15.75" hidden="false" customHeight="true" outlineLevel="0" collapsed="false">
      <c r="A110" s="34" t="s">
        <v>109</v>
      </c>
      <c r="B110" s="34" t="n">
        <v>988.8</v>
      </c>
      <c r="C110" s="34" t="n">
        <v>999.9</v>
      </c>
      <c r="D110" s="34" t="n">
        <v>986.45</v>
      </c>
      <c r="E110" s="34" t="n">
        <v>0.304</v>
      </c>
      <c r="F110" s="34" t="n">
        <v>20.3</v>
      </c>
      <c r="G110" s="34" t="n">
        <v>1015</v>
      </c>
      <c r="H110" s="34" t="n">
        <v>919.05</v>
      </c>
      <c r="I110" s="34" t="n">
        <v>82.2</v>
      </c>
      <c r="J110" s="34" t="n">
        <v>63.23</v>
      </c>
      <c r="K110" s="34" t="n">
        <v>307428</v>
      </c>
      <c r="L110" s="34" t="n">
        <v>0.429</v>
      </c>
      <c r="M110" s="34" t="n">
        <v>952.24</v>
      </c>
      <c r="N110" s="34" t="n">
        <v>972.71</v>
      </c>
      <c r="O110" s="34" t="n">
        <v>985.8</v>
      </c>
      <c r="P110" s="34" t="n">
        <v>946.21</v>
      </c>
      <c r="Q110" s="34" t="n">
        <v>968.48</v>
      </c>
      <c r="R110" s="34" t="n">
        <v>992</v>
      </c>
      <c r="S110" s="34" t="n">
        <v>14.71</v>
      </c>
      <c r="T110" s="34" t="n">
        <v>0.02</v>
      </c>
      <c r="U110" s="34" t="n">
        <v>1324.3</v>
      </c>
      <c r="V110" s="34" t="n">
        <v>795</v>
      </c>
    </row>
    <row r="111" customFormat="false" ht="15.75" hidden="false" customHeight="true" outlineLevel="0" collapsed="false">
      <c r="A111" s="34" t="s">
        <v>242</v>
      </c>
      <c r="B111" s="34" t="n">
        <v>957.2</v>
      </c>
      <c r="C111" s="34" t="n">
        <v>970.2</v>
      </c>
      <c r="D111" s="34" t="n">
        <v>952.9</v>
      </c>
      <c r="E111" s="34" t="n">
        <v>-0.973</v>
      </c>
      <c r="F111" s="34" t="n">
        <v>25.33</v>
      </c>
      <c r="G111" s="34" t="n">
        <v>1054.9</v>
      </c>
      <c r="H111" s="34" t="n">
        <v>903.5</v>
      </c>
      <c r="I111" s="34" t="n">
        <v>-10.88</v>
      </c>
      <c r="J111" s="34" t="n">
        <v>49.62</v>
      </c>
      <c r="K111" s="34" t="n">
        <v>946994</v>
      </c>
      <c r="L111" s="34" t="n">
        <v>1.15</v>
      </c>
      <c r="M111" s="34" t="n">
        <v>977.44</v>
      </c>
      <c r="N111" s="34" t="n">
        <v>948.21</v>
      </c>
      <c r="O111" s="34" t="n">
        <v>966.6</v>
      </c>
      <c r="P111" s="34" t="n">
        <v>977.44</v>
      </c>
      <c r="Q111" s="34" t="n">
        <v>948.21</v>
      </c>
      <c r="R111" s="34" t="n">
        <v>965</v>
      </c>
      <c r="S111" s="34" t="n">
        <v>54.22</v>
      </c>
      <c r="T111" s="34" t="n">
        <v>0.022</v>
      </c>
      <c r="U111" s="34" t="n">
        <v>2174.1</v>
      </c>
      <c r="V111" s="34" t="n">
        <v>758</v>
      </c>
    </row>
    <row r="112" customFormat="false" ht="15.75" hidden="false" customHeight="true" outlineLevel="0" collapsed="false">
      <c r="A112" s="34" t="s">
        <v>169</v>
      </c>
      <c r="B112" s="34" t="n">
        <v>938.05</v>
      </c>
      <c r="C112" s="34" t="n">
        <v>945</v>
      </c>
      <c r="D112" s="34" t="n">
        <v>935.45</v>
      </c>
      <c r="E112" s="34" t="n">
        <v>-0.229</v>
      </c>
      <c r="F112" s="34" t="n">
        <v>16.68</v>
      </c>
      <c r="G112" s="34" t="n">
        <v>1018.8</v>
      </c>
      <c r="H112" s="34" t="n">
        <v>900.2</v>
      </c>
      <c r="I112" s="34" t="n">
        <v>-72.2</v>
      </c>
      <c r="J112" s="34" t="n">
        <v>40.6</v>
      </c>
      <c r="K112" s="34" t="n">
        <v>200924</v>
      </c>
      <c r="L112" s="34" t="n">
        <v>0.433</v>
      </c>
      <c r="M112" s="34" t="n">
        <v>976.58</v>
      </c>
      <c r="N112" s="34" t="n">
        <v>958.4</v>
      </c>
      <c r="O112" s="34" t="n">
        <v>940.2</v>
      </c>
      <c r="P112" s="34" t="n">
        <v>978.94</v>
      </c>
      <c r="Q112" s="34" t="n">
        <v>959.81</v>
      </c>
      <c r="R112" s="34" t="n">
        <v>940.2</v>
      </c>
      <c r="S112" s="34" t="n">
        <v>24.8</v>
      </c>
      <c r="T112" s="34" t="n">
        <v>0.021</v>
      </c>
      <c r="U112" s="34" t="n">
        <v>1349</v>
      </c>
      <c r="V112" s="34" t="n">
        <v>756</v>
      </c>
    </row>
    <row r="113" customFormat="false" ht="15.75" hidden="false" customHeight="true" outlineLevel="0" collapsed="false">
      <c r="A113" s="34" t="s">
        <v>350</v>
      </c>
      <c r="B113" s="34" t="n">
        <v>934.4</v>
      </c>
      <c r="C113" s="34" t="n">
        <v>947</v>
      </c>
      <c r="D113" s="34" t="n">
        <v>932.1</v>
      </c>
      <c r="E113" s="34" t="n">
        <v>-1.39</v>
      </c>
      <c r="F113" s="34" t="n">
        <v>20.69</v>
      </c>
      <c r="G113" s="34" t="n">
        <v>971</v>
      </c>
      <c r="H113" s="34" t="n">
        <v>742.2</v>
      </c>
      <c r="I113" s="34" t="n">
        <v>71.41</v>
      </c>
      <c r="J113" s="34" t="n">
        <v>58.7</v>
      </c>
      <c r="K113" s="34" t="n">
        <v>1777906</v>
      </c>
      <c r="L113" s="34" t="n">
        <v>0.873</v>
      </c>
      <c r="M113" s="34" t="n">
        <v>915.28</v>
      </c>
      <c r="N113" s="34" t="n">
        <v>960.35</v>
      </c>
      <c r="O113" s="34" t="n">
        <v>947.55</v>
      </c>
      <c r="P113" s="34" t="n">
        <v>915.28</v>
      </c>
      <c r="Q113" s="34" t="n">
        <v>936.68</v>
      </c>
      <c r="R113" s="34" t="n">
        <v>944.55</v>
      </c>
      <c r="S113" s="34" t="n">
        <v>3.77</v>
      </c>
      <c r="T113" s="34" t="n">
        <v>0.046</v>
      </c>
      <c r="U113" s="34" t="n">
        <v>971</v>
      </c>
      <c r="V113" s="34" t="n">
        <v>534.4</v>
      </c>
    </row>
    <row r="114" customFormat="false" ht="15.75" hidden="false" customHeight="true" outlineLevel="0" collapsed="false">
      <c r="A114" s="34" t="s">
        <v>140</v>
      </c>
      <c r="B114" s="34" t="n">
        <v>894.5</v>
      </c>
      <c r="C114" s="34" t="n">
        <v>903.9</v>
      </c>
      <c r="D114" s="34" t="n">
        <v>892</v>
      </c>
      <c r="E114" s="34" t="n">
        <v>-0.123</v>
      </c>
      <c r="F114" s="34" t="n">
        <v>20.28</v>
      </c>
      <c r="G114" s="34" t="n">
        <v>970.95</v>
      </c>
      <c r="H114" s="34" t="n">
        <v>849</v>
      </c>
      <c r="I114" s="34" t="n">
        <v>81.9</v>
      </c>
      <c r="J114" s="34" t="n">
        <v>55.04</v>
      </c>
      <c r="K114" s="34" t="n">
        <v>6423775</v>
      </c>
      <c r="L114" s="34" t="n">
        <v>0.959</v>
      </c>
      <c r="M114" s="34" t="n">
        <v>857.08</v>
      </c>
      <c r="N114" s="34" t="n">
        <v>877.74</v>
      </c>
      <c r="O114" s="34" t="n">
        <v>895.6</v>
      </c>
      <c r="P114" s="34" t="n">
        <v>855.29</v>
      </c>
      <c r="Q114" s="34" t="n">
        <v>877.74</v>
      </c>
      <c r="R114" s="34" t="n">
        <v>895</v>
      </c>
      <c r="S114" s="34" t="n">
        <v>8.61</v>
      </c>
      <c r="T114" s="34" t="n">
        <v>0.032</v>
      </c>
      <c r="U114" s="34" t="n">
        <v>978.8</v>
      </c>
      <c r="V114" s="34" t="n">
        <v>645.1</v>
      </c>
    </row>
    <row r="115" customFormat="false" ht="15.75" hidden="false" customHeight="true" outlineLevel="0" collapsed="false">
      <c r="A115" s="34" t="s">
        <v>207</v>
      </c>
      <c r="B115" s="34" t="n">
        <v>889.1</v>
      </c>
      <c r="C115" s="34" t="n">
        <v>900.8</v>
      </c>
      <c r="D115" s="34" t="n">
        <v>886.05</v>
      </c>
      <c r="E115" s="34" t="n">
        <v>-0.726</v>
      </c>
      <c r="F115" s="34" t="n">
        <v>20.23</v>
      </c>
      <c r="G115" s="34" t="n">
        <v>980</v>
      </c>
      <c r="H115" s="34" t="n">
        <v>874</v>
      </c>
      <c r="I115" s="34" t="n">
        <v>-49.27</v>
      </c>
      <c r="J115" s="34" t="n">
        <v>41.68</v>
      </c>
      <c r="K115" s="34" t="n">
        <v>755916</v>
      </c>
      <c r="L115" s="34" t="n">
        <v>0.41</v>
      </c>
      <c r="M115" s="34" t="n">
        <v>916.75</v>
      </c>
      <c r="N115" s="34" t="n">
        <v>909.96</v>
      </c>
      <c r="O115" s="34" t="n">
        <v>895.6</v>
      </c>
      <c r="P115" s="34" t="n">
        <v>916.75</v>
      </c>
      <c r="Q115" s="34" t="n">
        <v>909.96</v>
      </c>
      <c r="R115" s="34" t="n">
        <v>895.6</v>
      </c>
      <c r="S115" s="34" t="n">
        <v>18.8</v>
      </c>
      <c r="T115" s="34" t="n">
        <v>0.022</v>
      </c>
      <c r="U115" s="34" t="n">
        <v>1222</v>
      </c>
      <c r="V115" s="34" t="n">
        <v>715.3</v>
      </c>
    </row>
    <row r="116" customFormat="false" ht="15.75" hidden="false" customHeight="true" outlineLevel="0" collapsed="false">
      <c r="A116" s="34" t="s">
        <v>138</v>
      </c>
      <c r="B116" s="34" t="n">
        <v>879.1</v>
      </c>
      <c r="C116" s="34" t="n">
        <v>895.05</v>
      </c>
      <c r="D116" s="34" t="n">
        <v>875.1</v>
      </c>
      <c r="E116" s="34" t="n">
        <v>-1.21</v>
      </c>
      <c r="F116" s="34" t="n">
        <v>23.28</v>
      </c>
      <c r="G116" s="34" t="n">
        <v>922.5</v>
      </c>
      <c r="H116" s="34" t="n">
        <v>641.05</v>
      </c>
      <c r="I116" s="34" t="n">
        <v>79.34</v>
      </c>
      <c r="J116" s="34" t="n">
        <v>60.4</v>
      </c>
      <c r="K116" s="34" t="n">
        <v>1548015</v>
      </c>
      <c r="L116" s="34" t="n">
        <v>1.01</v>
      </c>
      <c r="M116" s="34" t="n">
        <v>838.15</v>
      </c>
      <c r="N116" s="34" t="n">
        <v>861.61</v>
      </c>
      <c r="O116" s="34" t="n">
        <v>889.9</v>
      </c>
      <c r="P116" s="34" t="n">
        <v>836.51</v>
      </c>
      <c r="Q116" s="34" t="n">
        <v>859.9</v>
      </c>
      <c r="R116" s="34" t="n">
        <v>889.95</v>
      </c>
      <c r="S116" s="34" t="n">
        <v>4.7</v>
      </c>
      <c r="T116" s="34" t="n">
        <v>0.06</v>
      </c>
      <c r="U116" s="34" t="n">
        <v>922.5</v>
      </c>
      <c r="V116" s="34" t="n">
        <v>427.05</v>
      </c>
    </row>
    <row r="117" customFormat="false" ht="15.75" hidden="false" customHeight="true" outlineLevel="0" collapsed="false">
      <c r="A117" s="34" t="s">
        <v>530</v>
      </c>
      <c r="B117" s="34" t="n">
        <v>858.85</v>
      </c>
      <c r="C117" s="34" t="n">
        <v>885.5</v>
      </c>
      <c r="D117" s="34" t="n">
        <v>843.15</v>
      </c>
      <c r="E117" s="34" t="n">
        <v>0.439</v>
      </c>
      <c r="F117" s="34" t="n">
        <v>28.49</v>
      </c>
      <c r="G117" s="34" t="n">
        <v>970</v>
      </c>
      <c r="H117" s="34" t="n">
        <v>770</v>
      </c>
      <c r="I117" s="34" t="n">
        <v>69.52</v>
      </c>
      <c r="J117" s="34" t="n">
        <v>62.81</v>
      </c>
      <c r="K117" s="34" t="n">
        <v>5859451</v>
      </c>
      <c r="L117" s="34" t="n">
        <v>2.92</v>
      </c>
      <c r="M117" s="34" t="n">
        <v>807.11</v>
      </c>
      <c r="N117" s="34" t="n">
        <v>835.72</v>
      </c>
      <c r="O117" s="34" t="n">
        <v>855.1</v>
      </c>
      <c r="P117" s="34" t="n">
        <v>792.73</v>
      </c>
      <c r="Q117" s="34" t="n">
        <v>819.82</v>
      </c>
      <c r="R117" s="34" t="n">
        <v>864</v>
      </c>
      <c r="S117" s="34" t="n">
        <v>43.12</v>
      </c>
      <c r="T117" s="34" t="n">
        <v>0.029</v>
      </c>
      <c r="U117" s="34" t="n">
        <v>1896.95</v>
      </c>
      <c r="V117" s="34" t="n">
        <v>654.55</v>
      </c>
    </row>
    <row r="118" customFormat="false" ht="15.75" hidden="false" customHeight="true" outlineLevel="0" collapsed="false">
      <c r="A118" s="34" t="s">
        <v>163</v>
      </c>
      <c r="B118" s="34" t="n">
        <v>821</v>
      </c>
      <c r="C118" s="34" t="n">
        <v>829.8</v>
      </c>
      <c r="D118" s="34" t="n">
        <v>818</v>
      </c>
      <c r="E118" s="34" t="n">
        <v>-0.509</v>
      </c>
      <c r="F118" s="34" t="n">
        <v>15.1</v>
      </c>
      <c r="G118" s="34" t="n">
        <v>1015</v>
      </c>
      <c r="H118" s="34" t="n">
        <v>783.6</v>
      </c>
      <c r="I118" s="34" t="n">
        <v>47.01</v>
      </c>
      <c r="J118" s="34" t="n">
        <v>57.44</v>
      </c>
      <c r="K118" s="34" t="n">
        <v>302561</v>
      </c>
      <c r="L118" s="34" t="n">
        <v>0.503</v>
      </c>
      <c r="M118" s="34" t="n">
        <v>791.77</v>
      </c>
      <c r="N118" s="34" t="n">
        <v>807.83</v>
      </c>
      <c r="O118" s="34" t="n">
        <v>825.2</v>
      </c>
      <c r="P118" s="34" t="n">
        <v>788.42</v>
      </c>
      <c r="Q118" s="34" t="n">
        <v>804.96</v>
      </c>
      <c r="R118" s="34" t="n">
        <v>825.2</v>
      </c>
      <c r="S118" s="34" t="n">
        <v>20.08</v>
      </c>
      <c r="T118" s="34" t="n">
        <v>0.025</v>
      </c>
      <c r="U118" s="34" t="n">
        <v>1027.25</v>
      </c>
      <c r="V118" s="34" t="n">
        <v>659.8</v>
      </c>
    </row>
    <row r="119" customFormat="false" ht="15.75" hidden="false" customHeight="true" outlineLevel="0" collapsed="false">
      <c r="A119" s="34" t="s">
        <v>159</v>
      </c>
      <c r="B119" s="34" t="n">
        <v>816.25</v>
      </c>
      <c r="C119" s="34" t="n">
        <v>826</v>
      </c>
      <c r="D119" s="34" t="n">
        <v>815.7</v>
      </c>
      <c r="E119" s="34" t="n">
        <v>-1.14</v>
      </c>
      <c r="F119" s="34" t="n">
        <v>9.53</v>
      </c>
      <c r="G119" s="34" t="n">
        <v>842.5</v>
      </c>
      <c r="H119" s="34" t="n">
        <v>781.7</v>
      </c>
      <c r="I119" s="34" t="n">
        <v>43.77</v>
      </c>
      <c r="J119" s="34" t="n">
        <v>44.05</v>
      </c>
      <c r="K119" s="34" t="n">
        <v>5096987</v>
      </c>
      <c r="L119" s="34" t="n">
        <v>1.16</v>
      </c>
      <c r="M119" s="34" t="n">
        <v>809.91</v>
      </c>
      <c r="N119" s="34" t="n">
        <v>830.7</v>
      </c>
      <c r="O119" s="34" t="n">
        <v>825.7</v>
      </c>
      <c r="P119" s="34" t="n">
        <v>809.91</v>
      </c>
      <c r="Q119" s="34" t="n">
        <v>820.52</v>
      </c>
      <c r="R119" s="34" t="n">
        <v>824</v>
      </c>
      <c r="S119" s="34" t="n">
        <v>6.76</v>
      </c>
      <c r="T119" s="34" t="n">
        <v>0.021</v>
      </c>
      <c r="U119" s="34" t="n">
        <v>912</v>
      </c>
      <c r="V119" s="34" t="n">
        <v>680</v>
      </c>
    </row>
    <row r="120" customFormat="false" ht="15.75" hidden="false" customHeight="true" outlineLevel="0" collapsed="false">
      <c r="A120" s="34" t="s">
        <v>238</v>
      </c>
      <c r="B120" s="34" t="n">
        <v>800.15</v>
      </c>
      <c r="C120" s="34" t="n">
        <v>816</v>
      </c>
      <c r="D120" s="34" t="n">
        <v>795.2</v>
      </c>
      <c r="E120" s="34" t="n">
        <v>-1.84</v>
      </c>
      <c r="F120" s="34" t="n">
        <v>19.95</v>
      </c>
      <c r="G120" s="34" t="n">
        <v>907.7</v>
      </c>
      <c r="H120" s="34" t="n">
        <v>769.05</v>
      </c>
      <c r="I120" s="34" t="n">
        <v>-7.35</v>
      </c>
      <c r="J120" s="34" t="n">
        <v>43.67</v>
      </c>
      <c r="K120" s="34" t="n">
        <v>537041</v>
      </c>
      <c r="L120" s="34" t="n">
        <v>0.961</v>
      </c>
      <c r="M120" s="34" t="n">
        <v>786.37</v>
      </c>
      <c r="N120" s="34" t="n">
        <v>825.65</v>
      </c>
      <c r="O120" s="34" t="n">
        <v>815.15</v>
      </c>
      <c r="P120" s="34" t="n">
        <v>786.37</v>
      </c>
      <c r="Q120" s="34" t="n">
        <v>806.65</v>
      </c>
      <c r="R120" s="34" t="n">
        <v>815.15</v>
      </c>
      <c r="S120" s="34" t="n">
        <v>26.66</v>
      </c>
      <c r="T120" s="34" t="n">
        <v>0.034</v>
      </c>
      <c r="U120" s="34" t="n">
        <v>1348</v>
      </c>
      <c r="V120" s="34" t="n">
        <v>588</v>
      </c>
    </row>
    <row r="121" customFormat="false" ht="15.75" hidden="false" customHeight="true" outlineLevel="0" collapsed="false">
      <c r="A121" s="34" t="s">
        <v>332</v>
      </c>
      <c r="B121" s="34" t="n">
        <v>799.75</v>
      </c>
      <c r="C121" s="34" t="n">
        <v>806.65</v>
      </c>
      <c r="D121" s="34" t="n">
        <v>794.8</v>
      </c>
      <c r="E121" s="34" t="n">
        <v>-0.559</v>
      </c>
      <c r="F121" s="34" t="n">
        <v>23.34</v>
      </c>
      <c r="G121" s="34" t="n">
        <v>1136</v>
      </c>
      <c r="H121" s="34" t="n">
        <v>754</v>
      </c>
      <c r="I121" s="34" t="n">
        <v>-33.26</v>
      </c>
      <c r="J121" s="34" t="n">
        <v>40.71</v>
      </c>
      <c r="K121" s="34" t="n">
        <v>1548947</v>
      </c>
      <c r="L121" s="34" t="n">
        <v>0.962</v>
      </c>
      <c r="M121" s="34" t="n">
        <v>830.26</v>
      </c>
      <c r="N121" s="34" t="n">
        <v>782.94</v>
      </c>
      <c r="O121" s="34" t="n">
        <v>804.25</v>
      </c>
      <c r="P121" s="34" t="n">
        <v>830.26</v>
      </c>
      <c r="Q121" s="34" t="n">
        <v>782.94</v>
      </c>
      <c r="R121" s="34" t="n">
        <v>804.85</v>
      </c>
      <c r="S121" s="34" t="n">
        <v>33.48</v>
      </c>
      <c r="T121" s="34" t="n">
        <v>0.009</v>
      </c>
      <c r="U121" s="34" t="n">
        <v>1202.2</v>
      </c>
      <c r="V121" s="34" t="n">
        <v>746.7</v>
      </c>
    </row>
    <row r="122" customFormat="false" ht="15.75" hidden="false" customHeight="true" outlineLevel="0" collapsed="false">
      <c r="A122" s="34" t="s">
        <v>150</v>
      </c>
      <c r="B122" s="34" t="n">
        <v>788.85</v>
      </c>
      <c r="C122" s="34" t="n">
        <v>800.65</v>
      </c>
      <c r="D122" s="34" t="n">
        <v>787.55</v>
      </c>
      <c r="E122" s="34" t="n">
        <v>-0.855</v>
      </c>
      <c r="F122" s="34" t="n">
        <v>16.87</v>
      </c>
      <c r="G122" s="34" t="n">
        <v>811.95</v>
      </c>
      <c r="H122" s="34" t="n">
        <v>724.75</v>
      </c>
      <c r="I122" s="34" t="n">
        <v>134.79</v>
      </c>
      <c r="J122" s="34" t="n">
        <v>64.87</v>
      </c>
      <c r="K122" s="34" t="n">
        <v>1780524</v>
      </c>
      <c r="L122" s="34" t="n">
        <v>0.579</v>
      </c>
      <c r="M122" s="34" t="n">
        <v>768.26</v>
      </c>
      <c r="N122" s="34" t="n">
        <v>784.92</v>
      </c>
      <c r="O122" s="34" t="n">
        <v>795.65</v>
      </c>
      <c r="P122" s="34" t="n">
        <v>768.26</v>
      </c>
      <c r="Q122" s="34" t="n">
        <v>784.92</v>
      </c>
      <c r="R122" s="34" t="n">
        <v>798.35</v>
      </c>
      <c r="S122" s="34" t="n">
        <v>11.85</v>
      </c>
      <c r="T122" s="34" t="n">
        <v>0.024</v>
      </c>
      <c r="U122" s="34" t="n">
        <v>894.9</v>
      </c>
      <c r="V122" s="34" t="n">
        <v>641.45</v>
      </c>
    </row>
    <row r="123" customFormat="false" ht="15.75" hidden="false" customHeight="true" outlineLevel="0" collapsed="false">
      <c r="A123" s="34" t="s">
        <v>184</v>
      </c>
      <c r="B123" s="34" t="n">
        <v>788.75</v>
      </c>
      <c r="C123" s="34" t="n">
        <v>795</v>
      </c>
      <c r="D123" s="34" t="n">
        <v>786.6</v>
      </c>
      <c r="E123" s="34" t="n">
        <v>-0.842</v>
      </c>
      <c r="F123" s="34" t="n">
        <v>13.91</v>
      </c>
      <c r="G123" s="34" t="n">
        <v>820.75</v>
      </c>
      <c r="H123" s="34" t="n">
        <v>731.65</v>
      </c>
      <c r="I123" s="34" t="n">
        <v>92.52</v>
      </c>
      <c r="J123" s="34" t="n">
        <v>65.71</v>
      </c>
      <c r="K123" s="34" t="n">
        <v>1331809</v>
      </c>
      <c r="L123" s="34" t="n">
        <v>0.622</v>
      </c>
      <c r="M123" s="34" t="n">
        <v>770.59</v>
      </c>
      <c r="N123" s="34" t="n">
        <v>786.32</v>
      </c>
      <c r="O123" s="34" t="n">
        <v>795.45</v>
      </c>
      <c r="P123" s="34" t="n">
        <v>770.59</v>
      </c>
      <c r="Q123" s="34" t="n">
        <v>786.32</v>
      </c>
      <c r="R123" s="34" t="n">
        <v>793.8</v>
      </c>
      <c r="S123" s="34" t="n">
        <v>3.9</v>
      </c>
      <c r="T123" s="34" t="n">
        <v>0.033</v>
      </c>
      <c r="U123" s="34" t="n">
        <v>820.75</v>
      </c>
      <c r="V123" s="34" t="n">
        <v>584.3</v>
      </c>
    </row>
    <row r="124" customFormat="false" ht="15.75" hidden="false" customHeight="true" outlineLevel="0" collapsed="false">
      <c r="A124" s="34" t="s">
        <v>239</v>
      </c>
      <c r="B124" s="34" t="n">
        <v>777.55</v>
      </c>
      <c r="C124" s="34" t="n">
        <v>784.25</v>
      </c>
      <c r="D124" s="34" t="n">
        <v>769</v>
      </c>
      <c r="E124" s="34" t="n">
        <v>0.42</v>
      </c>
      <c r="F124" s="34" t="n">
        <v>23.93</v>
      </c>
      <c r="G124" s="34" t="n">
        <v>796</v>
      </c>
      <c r="H124" s="34" t="n">
        <v>652.2</v>
      </c>
      <c r="I124" s="34" t="n">
        <v>139.16</v>
      </c>
      <c r="J124" s="34" t="n">
        <v>78.81</v>
      </c>
      <c r="K124" s="34" t="n">
        <v>883973</v>
      </c>
      <c r="L124" s="34" t="n">
        <v>0.429</v>
      </c>
      <c r="M124" s="34" t="n">
        <v>732.05</v>
      </c>
      <c r="N124" s="34" t="n">
        <v>757.06</v>
      </c>
      <c r="O124" s="34" t="n">
        <v>774.3</v>
      </c>
      <c r="P124" s="34" t="n">
        <v>732.05</v>
      </c>
      <c r="Q124" s="34" t="n">
        <v>757.06</v>
      </c>
      <c r="R124" s="34" t="n">
        <v>774.3</v>
      </c>
      <c r="S124" s="34" t="n">
        <v>3.17</v>
      </c>
      <c r="T124" s="34" t="n">
        <v>0.05</v>
      </c>
      <c r="U124" s="34" t="n">
        <v>848</v>
      </c>
      <c r="V124" s="34" t="n">
        <v>496.6</v>
      </c>
    </row>
    <row r="125" customFormat="false" ht="15.75" hidden="false" customHeight="true" outlineLevel="0" collapsed="false">
      <c r="A125" s="34" t="s">
        <v>60</v>
      </c>
      <c r="B125" s="34" t="n">
        <v>762.55</v>
      </c>
      <c r="C125" s="34" t="n">
        <v>773.2</v>
      </c>
      <c r="D125" s="34" t="n">
        <v>759.1</v>
      </c>
      <c r="E125" s="34" t="n">
        <v>-1.38</v>
      </c>
      <c r="F125" s="34" t="n">
        <v>16.93</v>
      </c>
      <c r="G125" s="34" t="n">
        <v>882.45</v>
      </c>
      <c r="H125" s="34" t="n">
        <v>742.15</v>
      </c>
      <c r="I125" s="34" t="n">
        <v>-49.13</v>
      </c>
      <c r="J125" s="34" t="n">
        <v>41.79</v>
      </c>
      <c r="K125" s="34" t="n">
        <v>1302100</v>
      </c>
      <c r="L125" s="34" t="n">
        <v>0.669</v>
      </c>
      <c r="M125" s="34" t="n">
        <v>794.36</v>
      </c>
      <c r="N125" s="34" t="n">
        <v>759.3</v>
      </c>
      <c r="O125" s="34" t="n">
        <v>773.2</v>
      </c>
      <c r="P125" s="34" t="n">
        <v>794.36</v>
      </c>
      <c r="Q125" s="34" t="n">
        <v>759.3</v>
      </c>
      <c r="R125" s="34" t="n">
        <v>772</v>
      </c>
      <c r="S125" s="34" t="n">
        <v>17.92</v>
      </c>
      <c r="T125" s="34" t="n">
        <v>0.028</v>
      </c>
      <c r="U125" s="34" t="n">
        <v>967.6</v>
      </c>
      <c r="V125" s="34" t="n">
        <v>601.2</v>
      </c>
    </row>
    <row r="126" customFormat="false" ht="15.75" hidden="false" customHeight="true" outlineLevel="0" collapsed="false">
      <c r="A126" s="34" t="s">
        <v>47</v>
      </c>
      <c r="B126" s="34" t="n">
        <v>760.1</v>
      </c>
      <c r="C126" s="34" t="n">
        <v>772.7</v>
      </c>
      <c r="D126" s="34" t="n">
        <v>758.75</v>
      </c>
      <c r="E126" s="34" t="n">
        <v>-0.958</v>
      </c>
      <c r="F126" s="34" t="n">
        <v>18.01</v>
      </c>
      <c r="G126" s="34" t="n">
        <v>892.8</v>
      </c>
      <c r="H126" s="34" t="n">
        <v>758.75</v>
      </c>
      <c r="I126" s="34" t="n">
        <v>-138.76</v>
      </c>
      <c r="J126" s="34" t="n">
        <v>28.38</v>
      </c>
      <c r="K126" s="34" t="n">
        <v>2483583</v>
      </c>
      <c r="L126" s="34" t="n">
        <v>0.747</v>
      </c>
      <c r="M126" s="34" t="n">
        <v>803.68</v>
      </c>
      <c r="N126" s="34" t="n">
        <v>784.7</v>
      </c>
      <c r="O126" s="34" t="n">
        <v>767.45</v>
      </c>
      <c r="P126" s="34" t="n">
        <v>813.25</v>
      </c>
      <c r="Q126" s="34" t="n">
        <v>793.71</v>
      </c>
      <c r="R126" s="34" t="n">
        <v>767.45</v>
      </c>
      <c r="S126" s="34" t="n">
        <v>49.26</v>
      </c>
      <c r="T126" s="34" t="n">
        <v>0.027</v>
      </c>
      <c r="U126" s="34" t="n">
        <v>1576.35</v>
      </c>
      <c r="V126" s="34" t="n">
        <v>606</v>
      </c>
    </row>
    <row r="127" customFormat="false" ht="15.75" hidden="false" customHeight="true" outlineLevel="0" collapsed="false">
      <c r="A127" s="34" t="s">
        <v>174</v>
      </c>
      <c r="B127" s="34" t="n">
        <v>742.05</v>
      </c>
      <c r="C127" s="34" t="n">
        <v>760</v>
      </c>
      <c r="D127" s="34" t="n">
        <v>739.55</v>
      </c>
      <c r="E127" s="34" t="n">
        <v>-1.35</v>
      </c>
      <c r="F127" s="34" t="n">
        <v>18.42</v>
      </c>
      <c r="G127" s="34" t="n">
        <v>841</v>
      </c>
      <c r="H127" s="34" t="n">
        <v>721.4</v>
      </c>
      <c r="I127" s="34" t="n">
        <v>23.11</v>
      </c>
      <c r="J127" s="34" t="n">
        <v>43.01</v>
      </c>
      <c r="K127" s="34" t="n">
        <v>980129</v>
      </c>
      <c r="L127" s="34" t="n">
        <v>1.81</v>
      </c>
      <c r="M127" s="34" t="n">
        <v>770.28</v>
      </c>
      <c r="N127" s="34" t="n">
        <v>742.02</v>
      </c>
      <c r="O127" s="34" t="n">
        <v>752.2</v>
      </c>
      <c r="P127" s="34" t="n">
        <v>770.28</v>
      </c>
      <c r="Q127" s="34" t="n">
        <v>742.02</v>
      </c>
      <c r="R127" s="34" t="n">
        <v>751.2</v>
      </c>
      <c r="S127" s="34" t="n">
        <v>11.77</v>
      </c>
      <c r="T127" s="34" t="n">
        <v>0.048</v>
      </c>
      <c r="U127" s="34" t="n">
        <v>841</v>
      </c>
      <c r="V127" s="34" t="n">
        <v>478.35</v>
      </c>
    </row>
    <row r="128" customFormat="false" ht="15.75" hidden="false" customHeight="true" outlineLevel="0" collapsed="false">
      <c r="A128" s="34" t="s">
        <v>63</v>
      </c>
      <c r="B128" s="34" t="n">
        <v>730.7</v>
      </c>
      <c r="C128" s="34" t="n">
        <v>742.1</v>
      </c>
      <c r="D128" s="34" t="n">
        <v>724.65</v>
      </c>
      <c r="E128" s="34" t="n">
        <v>-1.21</v>
      </c>
      <c r="F128" s="34" t="n">
        <v>18.2</v>
      </c>
      <c r="G128" s="34" t="n">
        <v>759</v>
      </c>
      <c r="H128" s="34" t="n">
        <v>680.3</v>
      </c>
      <c r="I128" s="34" t="n">
        <v>114.13</v>
      </c>
      <c r="J128" s="34" t="n">
        <v>56.49</v>
      </c>
      <c r="K128" s="34" t="n">
        <v>1579250</v>
      </c>
      <c r="L128" s="34" t="n">
        <v>0.509</v>
      </c>
      <c r="M128" s="34" t="n">
        <v>713.17</v>
      </c>
      <c r="N128" s="34" t="n">
        <v>730.7</v>
      </c>
      <c r="O128" s="34" t="n">
        <v>739.65</v>
      </c>
      <c r="P128" s="34" t="n">
        <v>713.17</v>
      </c>
      <c r="Q128" s="34" t="n">
        <v>730.7</v>
      </c>
      <c r="R128" s="34" t="n">
        <v>741.65</v>
      </c>
      <c r="S128" s="34" t="n">
        <v>3.73</v>
      </c>
      <c r="T128" s="34" t="n">
        <v>0.029</v>
      </c>
      <c r="U128" s="34" t="n">
        <v>759</v>
      </c>
      <c r="V128" s="34" t="n">
        <v>577.85</v>
      </c>
    </row>
    <row r="129" customFormat="false" ht="15.75" hidden="false" customHeight="true" outlineLevel="0" collapsed="false">
      <c r="A129" s="34" t="s">
        <v>157</v>
      </c>
      <c r="B129" s="34" t="n">
        <v>725</v>
      </c>
      <c r="C129" s="34" t="n">
        <v>727</v>
      </c>
      <c r="D129" s="34" t="n">
        <v>720.1</v>
      </c>
      <c r="E129" s="34" t="n">
        <v>-0.097</v>
      </c>
      <c r="F129" s="34" t="n">
        <v>10.27</v>
      </c>
      <c r="G129" s="34" t="n">
        <v>798.6</v>
      </c>
      <c r="H129" s="34" t="n">
        <v>712.7</v>
      </c>
      <c r="I129" s="34" t="n">
        <v>-55.9</v>
      </c>
      <c r="J129" s="34" t="n">
        <v>44.3</v>
      </c>
      <c r="K129" s="34" t="n">
        <v>673720</v>
      </c>
      <c r="L129" s="34" t="n">
        <v>1.66</v>
      </c>
      <c r="M129" s="34" t="n">
        <v>744.47</v>
      </c>
      <c r="N129" s="34" t="n">
        <v>732.48</v>
      </c>
      <c r="O129" s="34" t="n">
        <v>725.7</v>
      </c>
      <c r="P129" s="34" t="n">
        <v>744.47</v>
      </c>
      <c r="Q129" s="34" t="n">
        <v>732.48</v>
      </c>
      <c r="R129" s="34" t="n">
        <v>725.7</v>
      </c>
      <c r="S129" s="34" t="n">
        <v>24.25</v>
      </c>
      <c r="T129" s="34" t="n">
        <v>0.013</v>
      </c>
      <c r="U129" s="34" t="n">
        <v>1138.9</v>
      </c>
      <c r="V129" s="34" t="n">
        <v>656</v>
      </c>
    </row>
    <row r="130" customFormat="false" ht="15.75" hidden="false" customHeight="true" outlineLevel="0" collapsed="false">
      <c r="A130" s="34" t="s">
        <v>181</v>
      </c>
      <c r="B130" s="34" t="n">
        <v>716.45</v>
      </c>
      <c r="C130" s="34" t="n">
        <v>722.9</v>
      </c>
      <c r="D130" s="34" t="n">
        <v>707.95</v>
      </c>
      <c r="E130" s="34" t="n">
        <v>0.561</v>
      </c>
      <c r="F130" s="34" t="n">
        <v>17.91</v>
      </c>
      <c r="G130" s="34" t="n">
        <v>735.85</v>
      </c>
      <c r="H130" s="34" t="n">
        <v>623.05</v>
      </c>
      <c r="I130" s="34" t="n">
        <v>54.27</v>
      </c>
      <c r="J130" s="34" t="n">
        <v>64.15</v>
      </c>
      <c r="K130" s="34" t="n">
        <v>1635654</v>
      </c>
      <c r="L130" s="34" t="n">
        <v>0.801</v>
      </c>
      <c r="M130" s="34" t="n">
        <v>725.44</v>
      </c>
      <c r="N130" s="34" t="n">
        <v>697.13</v>
      </c>
      <c r="O130" s="34" t="n">
        <v>712.45</v>
      </c>
      <c r="P130" s="34" t="n">
        <v>725.44</v>
      </c>
      <c r="Q130" s="34" t="n">
        <v>696.34</v>
      </c>
      <c r="R130" s="34" t="n">
        <v>712.9</v>
      </c>
      <c r="S130" s="34" t="n">
        <v>2.64</v>
      </c>
      <c r="T130" s="34" t="n">
        <v>0.045</v>
      </c>
      <c r="U130" s="34" t="n">
        <v>735.85</v>
      </c>
      <c r="V130" s="34" t="n">
        <v>493</v>
      </c>
    </row>
    <row r="131" customFormat="false" ht="15.75" hidden="false" customHeight="true" outlineLevel="0" collapsed="false">
      <c r="A131" s="34" t="s">
        <v>72</v>
      </c>
      <c r="B131" s="34" t="n">
        <v>704.2</v>
      </c>
      <c r="C131" s="34" t="n">
        <v>709.6</v>
      </c>
      <c r="D131" s="34" t="n">
        <v>701.55</v>
      </c>
      <c r="E131" s="34" t="n">
        <v>-0.438</v>
      </c>
      <c r="F131" s="34" t="n">
        <v>13.91</v>
      </c>
      <c r="G131" s="34" t="n">
        <v>719</v>
      </c>
      <c r="H131" s="34" t="n">
        <v>635</v>
      </c>
      <c r="I131" s="34" t="n">
        <v>107.62</v>
      </c>
      <c r="J131" s="34" t="n">
        <v>58.37</v>
      </c>
      <c r="K131" s="34" t="n">
        <v>5622445</v>
      </c>
      <c r="L131" s="34" t="n">
        <v>1.74</v>
      </c>
      <c r="M131" s="34" t="n">
        <v>678.04</v>
      </c>
      <c r="N131" s="34" t="n">
        <v>694.2</v>
      </c>
      <c r="O131" s="34" t="n">
        <v>707.3</v>
      </c>
      <c r="P131" s="34" t="n">
        <v>678.04</v>
      </c>
      <c r="Q131" s="34" t="n">
        <v>694.2</v>
      </c>
      <c r="R131" s="34" t="n">
        <v>708</v>
      </c>
      <c r="S131" s="34" t="n">
        <v>8.86</v>
      </c>
      <c r="T131" s="34" t="n">
        <v>0.032</v>
      </c>
      <c r="U131" s="34" t="n">
        <v>772.65</v>
      </c>
      <c r="V131" s="34" t="n">
        <v>546.45</v>
      </c>
    </row>
    <row r="132" customFormat="false" ht="15.75" hidden="false" customHeight="true" outlineLevel="0" collapsed="false">
      <c r="A132" s="34" t="s">
        <v>458</v>
      </c>
      <c r="B132" s="34" t="n">
        <v>683.6</v>
      </c>
      <c r="C132" s="34" t="n">
        <v>689.1</v>
      </c>
      <c r="D132" s="34" t="n">
        <v>682.3</v>
      </c>
      <c r="E132" s="34" t="n">
        <v>-0.43</v>
      </c>
      <c r="F132" s="34" t="n">
        <v>11.86</v>
      </c>
      <c r="G132" s="34" t="n">
        <v>758.95</v>
      </c>
      <c r="H132" s="34" t="n">
        <v>652.5</v>
      </c>
      <c r="I132" s="34" t="n">
        <v>4.86</v>
      </c>
      <c r="J132" s="34" t="n">
        <v>54.76</v>
      </c>
      <c r="K132" s="34" t="n">
        <v>291901</v>
      </c>
      <c r="L132" s="34" t="n">
        <v>0.627</v>
      </c>
      <c r="M132" s="34" t="n">
        <v>664.14</v>
      </c>
      <c r="N132" s="34" t="n">
        <v>677.01</v>
      </c>
      <c r="O132" s="34" t="n">
        <v>686.55</v>
      </c>
      <c r="P132" s="34" t="n">
        <v>664.14</v>
      </c>
      <c r="Q132" s="34" t="n">
        <v>677.01</v>
      </c>
      <c r="R132" s="34" t="n">
        <v>686.95</v>
      </c>
      <c r="S132" s="34" t="n">
        <v>39.82</v>
      </c>
      <c r="T132" s="34" t="n">
        <v>0.019</v>
      </c>
      <c r="U132" s="34" t="n">
        <v>1147.75</v>
      </c>
      <c r="V132" s="34" t="n">
        <v>597</v>
      </c>
    </row>
    <row r="133" customFormat="false" ht="15.75" hidden="false" customHeight="true" outlineLevel="0" collapsed="false">
      <c r="A133" s="34" t="s">
        <v>170</v>
      </c>
      <c r="B133" s="34" t="n">
        <v>680.3</v>
      </c>
      <c r="C133" s="34" t="n">
        <v>691.5</v>
      </c>
      <c r="D133" s="34" t="n">
        <v>678.6</v>
      </c>
      <c r="E133" s="34" t="n">
        <v>-0.744</v>
      </c>
      <c r="F133" s="34" t="n">
        <v>15.58</v>
      </c>
      <c r="G133" s="34" t="n">
        <v>714.95</v>
      </c>
      <c r="H133" s="34" t="n">
        <v>627.1</v>
      </c>
      <c r="I133" s="34" t="n">
        <v>61.66</v>
      </c>
      <c r="J133" s="34" t="n">
        <v>55.79</v>
      </c>
      <c r="K133" s="34" t="n">
        <v>6429661</v>
      </c>
      <c r="L133" s="34" t="n">
        <v>0.762</v>
      </c>
      <c r="M133" s="34" t="n">
        <v>661.82</v>
      </c>
      <c r="N133" s="34" t="n">
        <v>678.36</v>
      </c>
      <c r="O133" s="34" t="n">
        <v>685.4</v>
      </c>
      <c r="P133" s="34" t="n">
        <v>661.82</v>
      </c>
      <c r="Q133" s="34" t="n">
        <v>678.36</v>
      </c>
      <c r="R133" s="34" t="n">
        <v>685.9</v>
      </c>
      <c r="S133" s="34" t="n">
        <v>40.43</v>
      </c>
      <c r="T133" s="34" t="n">
        <v>0.032</v>
      </c>
      <c r="U133" s="34" t="n">
        <v>1179</v>
      </c>
      <c r="V133" s="34" t="n">
        <v>535.75</v>
      </c>
    </row>
    <row r="134" customFormat="false" ht="15.75" hidden="false" customHeight="true" outlineLevel="0" collapsed="false">
      <c r="A134" s="34" t="s">
        <v>224</v>
      </c>
      <c r="B134" s="34" t="n">
        <v>679.85</v>
      </c>
      <c r="C134" s="34" t="n">
        <v>687.6</v>
      </c>
      <c r="D134" s="34" t="n">
        <v>673.4</v>
      </c>
      <c r="E134" s="34" t="n">
        <v>0.34</v>
      </c>
      <c r="F134" s="34" t="n">
        <v>12.6</v>
      </c>
      <c r="G134" s="34" t="n">
        <v>698.1</v>
      </c>
      <c r="H134" s="34" t="n">
        <v>645.5</v>
      </c>
      <c r="I134" s="34" t="n">
        <v>109.5</v>
      </c>
      <c r="J134" s="34" t="n">
        <v>61.91</v>
      </c>
      <c r="K134" s="34" t="n">
        <v>3733272</v>
      </c>
      <c r="L134" s="34" t="n">
        <v>3.97</v>
      </c>
      <c r="M134" s="34" t="n">
        <v>689.49</v>
      </c>
      <c r="N134" s="34" t="n">
        <v>667.14</v>
      </c>
      <c r="O134" s="34" t="n">
        <v>677.55</v>
      </c>
      <c r="P134" s="34" t="n">
        <v>689.49</v>
      </c>
      <c r="Q134" s="34" t="n">
        <v>664.13</v>
      </c>
      <c r="R134" s="34" t="n">
        <v>678.45</v>
      </c>
      <c r="S134" s="34" t="n">
        <v>22.28</v>
      </c>
      <c r="T134" s="34" t="n">
        <v>0.036</v>
      </c>
      <c r="U134" s="34" t="n">
        <v>874.7</v>
      </c>
      <c r="V134" s="34" t="n">
        <v>517.7</v>
      </c>
    </row>
    <row r="135" customFormat="false" ht="15.75" hidden="false" customHeight="true" outlineLevel="0" collapsed="false">
      <c r="A135" s="34" t="s">
        <v>225</v>
      </c>
      <c r="B135" s="34" t="n">
        <v>670.25</v>
      </c>
      <c r="C135" s="34" t="n">
        <v>674.4</v>
      </c>
      <c r="D135" s="34" t="n">
        <v>666.2</v>
      </c>
      <c r="E135" s="34" t="n">
        <v>-0.089</v>
      </c>
      <c r="F135" s="34" t="n">
        <v>11.64</v>
      </c>
      <c r="G135" s="34" t="n">
        <v>683.1</v>
      </c>
      <c r="H135" s="34" t="n">
        <v>606</v>
      </c>
      <c r="I135" s="34" t="n">
        <v>70.93</v>
      </c>
      <c r="J135" s="34" t="n">
        <v>64.26</v>
      </c>
      <c r="K135" s="34" t="n">
        <v>805749</v>
      </c>
      <c r="L135" s="34" t="n">
        <v>1.44</v>
      </c>
      <c r="M135" s="34" t="n">
        <v>647.15</v>
      </c>
      <c r="N135" s="34" t="n">
        <v>661.35</v>
      </c>
      <c r="O135" s="34" t="n">
        <v>670.85</v>
      </c>
      <c r="P135" s="34" t="n">
        <v>647.15</v>
      </c>
      <c r="Q135" s="34" t="n">
        <v>661.35</v>
      </c>
      <c r="R135" s="34" t="n">
        <v>669.05</v>
      </c>
      <c r="S135" s="34" t="n">
        <v>1.88</v>
      </c>
      <c r="T135" s="34" t="n">
        <v>0.044</v>
      </c>
      <c r="U135" s="34" t="n">
        <v>683.1</v>
      </c>
      <c r="V135" s="34" t="n">
        <v>473.9</v>
      </c>
    </row>
    <row r="136" customFormat="false" ht="15.75" hidden="false" customHeight="true" outlineLevel="0" collapsed="false">
      <c r="A136" s="34" t="s">
        <v>51</v>
      </c>
      <c r="B136" s="34" t="n">
        <v>667.4</v>
      </c>
      <c r="C136" s="34" t="n">
        <v>673.9</v>
      </c>
      <c r="D136" s="34" t="n">
        <v>664.95</v>
      </c>
      <c r="E136" s="34" t="n">
        <v>-0.06</v>
      </c>
      <c r="F136" s="34" t="n">
        <v>16.31</v>
      </c>
      <c r="G136" s="34" t="n">
        <v>728.6</v>
      </c>
      <c r="H136" s="34" t="n">
        <v>620.7</v>
      </c>
      <c r="I136" s="34" t="n">
        <v>-42.08</v>
      </c>
      <c r="J136" s="34" t="n">
        <v>47.64</v>
      </c>
      <c r="K136" s="34" t="n">
        <v>196975</v>
      </c>
      <c r="L136" s="34" t="n">
        <v>0.564</v>
      </c>
      <c r="M136" s="34" t="n">
        <v>638.31</v>
      </c>
      <c r="N136" s="34" t="n">
        <v>656.45</v>
      </c>
      <c r="O136" s="34" t="n">
        <v>667.8</v>
      </c>
      <c r="P136" s="34" t="n">
        <v>638.31</v>
      </c>
      <c r="Q136" s="34" t="n">
        <v>656.45</v>
      </c>
      <c r="R136" s="34" t="n">
        <v>667.8</v>
      </c>
      <c r="S136" s="34" t="n">
        <v>30.52</v>
      </c>
      <c r="T136" s="34" t="n">
        <v>0.015</v>
      </c>
      <c r="U136" s="34" t="n">
        <v>960.6</v>
      </c>
      <c r="V136" s="34" t="n">
        <v>599.55</v>
      </c>
    </row>
    <row r="137" customFormat="false" ht="15.75" hidden="false" customHeight="true" outlineLevel="0" collapsed="false">
      <c r="A137" s="34" t="s">
        <v>186</v>
      </c>
      <c r="B137" s="34" t="n">
        <v>626.05</v>
      </c>
      <c r="C137" s="34" t="n">
        <v>632.45</v>
      </c>
      <c r="D137" s="34" t="n">
        <v>622.25</v>
      </c>
      <c r="E137" s="34" t="n">
        <v>-0.501</v>
      </c>
      <c r="F137" s="34" t="n">
        <v>13.14</v>
      </c>
      <c r="G137" s="34" t="n">
        <v>693.5</v>
      </c>
      <c r="H137" s="34" t="n">
        <v>597</v>
      </c>
      <c r="I137" s="34" t="n">
        <v>61.09</v>
      </c>
      <c r="J137" s="34" t="n">
        <v>51.06</v>
      </c>
      <c r="K137" s="34" t="n">
        <v>390505</v>
      </c>
      <c r="L137" s="34" t="n">
        <v>0.304</v>
      </c>
      <c r="M137" s="34" t="n">
        <v>614.71</v>
      </c>
      <c r="N137" s="34" t="n">
        <v>638.72</v>
      </c>
      <c r="O137" s="34" t="n">
        <v>629.2</v>
      </c>
      <c r="P137" s="34" t="n">
        <v>614.71</v>
      </c>
      <c r="Q137" s="34" t="n">
        <v>638.72</v>
      </c>
      <c r="R137" s="34" t="n">
        <v>629.2</v>
      </c>
      <c r="S137" s="34" t="n">
        <v>21.43</v>
      </c>
      <c r="T137" s="34" t="n">
        <v>0.026</v>
      </c>
      <c r="U137" s="34" t="n">
        <v>796.8</v>
      </c>
      <c r="V137" s="34" t="n">
        <v>525.8</v>
      </c>
    </row>
    <row r="138" customFormat="false" ht="15.75" hidden="false" customHeight="true" outlineLevel="0" collapsed="false">
      <c r="A138" s="34" t="s">
        <v>145</v>
      </c>
      <c r="B138" s="34" t="n">
        <v>619.15</v>
      </c>
      <c r="C138" s="34" t="n">
        <v>632.4</v>
      </c>
      <c r="D138" s="34" t="n">
        <v>616.5</v>
      </c>
      <c r="E138" s="34" t="n">
        <v>-1.31</v>
      </c>
      <c r="F138" s="34" t="n">
        <v>15.89</v>
      </c>
      <c r="G138" s="34" t="n">
        <v>718.95</v>
      </c>
      <c r="H138" s="34" t="n">
        <v>616.5</v>
      </c>
      <c r="I138" s="34" t="n">
        <v>-136.42</v>
      </c>
      <c r="J138" s="34" t="n">
        <v>27.23</v>
      </c>
      <c r="K138" s="34" t="n">
        <v>893680</v>
      </c>
      <c r="L138" s="34" t="n">
        <v>0.752</v>
      </c>
      <c r="M138" s="34" t="n">
        <v>655.97</v>
      </c>
      <c r="N138" s="34" t="n">
        <v>640.21</v>
      </c>
      <c r="O138" s="34" t="n">
        <v>627.35</v>
      </c>
      <c r="P138" s="34" t="n">
        <v>656.37</v>
      </c>
      <c r="Q138" s="34" t="n">
        <v>641.47</v>
      </c>
      <c r="R138" s="34" t="n">
        <v>627.35</v>
      </c>
      <c r="S138" s="34" t="n">
        <v>22.29</v>
      </c>
      <c r="T138" s="34" t="n">
        <v>0.016</v>
      </c>
      <c r="U138" s="34" t="n">
        <v>796.75</v>
      </c>
      <c r="V138" s="34" t="n">
        <v>558.25</v>
      </c>
    </row>
    <row r="139" customFormat="false" ht="15.75" hidden="false" customHeight="true" outlineLevel="0" collapsed="false">
      <c r="A139" s="34" t="s">
        <v>210</v>
      </c>
      <c r="B139" s="34" t="n">
        <v>617.75</v>
      </c>
      <c r="C139" s="34" t="n">
        <v>623</v>
      </c>
      <c r="D139" s="34" t="n">
        <v>613.55</v>
      </c>
      <c r="E139" s="34" t="n">
        <v>-0.032</v>
      </c>
      <c r="F139" s="34" t="n">
        <v>14.27</v>
      </c>
      <c r="G139" s="34" t="n">
        <v>693.9</v>
      </c>
      <c r="H139" s="34" t="n">
        <v>577.1</v>
      </c>
      <c r="I139" s="34" t="n">
        <v>32.73</v>
      </c>
      <c r="J139" s="34" t="n">
        <v>51.99</v>
      </c>
      <c r="K139" s="34" t="n">
        <v>294155</v>
      </c>
      <c r="L139" s="34" t="n">
        <v>0.949</v>
      </c>
      <c r="M139" s="34" t="n">
        <v>600.17</v>
      </c>
      <c r="N139" s="34" t="n">
        <v>615.11</v>
      </c>
      <c r="O139" s="34" t="n">
        <v>617.95</v>
      </c>
      <c r="P139" s="34" t="n">
        <v>600.17</v>
      </c>
      <c r="Q139" s="34" t="n">
        <v>615.11</v>
      </c>
      <c r="R139" s="34" t="n">
        <v>618</v>
      </c>
      <c r="S139" s="34" t="n">
        <v>28.58</v>
      </c>
      <c r="T139" s="34" t="n">
        <v>0.023</v>
      </c>
      <c r="U139" s="34" t="n">
        <v>1190</v>
      </c>
      <c r="V139" s="34" t="n">
        <v>532.6</v>
      </c>
    </row>
    <row r="140" customFormat="false" ht="15.75" hidden="false" customHeight="true" outlineLevel="0" collapsed="false">
      <c r="A140" s="34" t="s">
        <v>70</v>
      </c>
      <c r="B140" s="34" t="n">
        <v>615.85</v>
      </c>
      <c r="C140" s="34" t="n">
        <v>622</v>
      </c>
      <c r="D140" s="34" t="n">
        <v>612.55</v>
      </c>
      <c r="E140" s="34" t="n">
        <v>-0.637</v>
      </c>
      <c r="F140" s="34" t="n">
        <v>13.34</v>
      </c>
      <c r="G140" s="34" t="n">
        <v>714</v>
      </c>
      <c r="H140" s="34" t="n">
        <v>601.7</v>
      </c>
      <c r="I140" s="34" t="n">
        <v>-67.39</v>
      </c>
      <c r="J140" s="34" t="n">
        <v>42.03</v>
      </c>
      <c r="K140" s="34" t="n">
        <v>3496267</v>
      </c>
      <c r="L140" s="34" t="n">
        <v>0.875</v>
      </c>
      <c r="M140" s="34" t="n">
        <v>645.56</v>
      </c>
      <c r="N140" s="34" t="n">
        <v>631.34</v>
      </c>
      <c r="O140" s="34" t="n">
        <v>619.8</v>
      </c>
      <c r="P140" s="34" t="n">
        <v>647.46</v>
      </c>
      <c r="Q140" s="34" t="n">
        <v>631.34</v>
      </c>
      <c r="R140" s="34" t="n">
        <v>619.8</v>
      </c>
      <c r="S140" s="34" t="n">
        <v>15.69</v>
      </c>
      <c r="T140" s="34" t="n">
        <v>0.033</v>
      </c>
      <c r="U140" s="34" t="n">
        <v>730.45</v>
      </c>
      <c r="V140" s="34" t="n">
        <v>493.35</v>
      </c>
    </row>
    <row r="141" customFormat="false" ht="15.75" hidden="false" customHeight="true" outlineLevel="0" collapsed="false">
      <c r="A141" s="34" t="s">
        <v>143</v>
      </c>
      <c r="B141" s="34" t="n">
        <v>577.15</v>
      </c>
      <c r="C141" s="34" t="n">
        <v>590</v>
      </c>
      <c r="D141" s="34" t="n">
        <v>576</v>
      </c>
      <c r="E141" s="34" t="n">
        <v>-1.97</v>
      </c>
      <c r="F141" s="34" t="n">
        <v>12.76</v>
      </c>
      <c r="G141" s="34" t="n">
        <v>624.95</v>
      </c>
      <c r="H141" s="34" t="n">
        <v>528.45</v>
      </c>
      <c r="I141" s="34" t="n">
        <v>-99.18</v>
      </c>
      <c r="J141" s="34" t="n">
        <v>33.9</v>
      </c>
      <c r="K141" s="34" t="n">
        <v>1670888</v>
      </c>
      <c r="L141" s="34" t="n">
        <v>1.08</v>
      </c>
      <c r="M141" s="34" t="n">
        <v>605.16</v>
      </c>
      <c r="N141" s="34" t="n">
        <v>595.95</v>
      </c>
      <c r="O141" s="34" t="n">
        <v>588.75</v>
      </c>
      <c r="P141" s="34" t="n">
        <v>605.16</v>
      </c>
      <c r="Q141" s="34" t="n">
        <v>582.37</v>
      </c>
      <c r="R141" s="34" t="n">
        <v>588.8</v>
      </c>
      <c r="S141" s="34" t="n">
        <v>10.28</v>
      </c>
      <c r="T141" s="34" t="n">
        <v>0.037</v>
      </c>
      <c r="U141" s="34" t="n">
        <v>706.95</v>
      </c>
      <c r="V141" s="34" t="n">
        <v>453.05</v>
      </c>
    </row>
    <row r="142" customFormat="false" ht="15.75" hidden="false" customHeight="true" outlineLevel="0" collapsed="false">
      <c r="A142" s="34" t="s">
        <v>164</v>
      </c>
      <c r="B142" s="34" t="n">
        <v>563.5</v>
      </c>
      <c r="C142" s="34" t="n">
        <v>571</v>
      </c>
      <c r="D142" s="34" t="n">
        <v>562.1</v>
      </c>
      <c r="E142" s="34" t="n">
        <v>-2.48</v>
      </c>
      <c r="F142" s="34" t="n">
        <v>11.13</v>
      </c>
      <c r="G142" s="34" t="n">
        <v>646.5</v>
      </c>
      <c r="H142" s="34" t="n">
        <v>560.4</v>
      </c>
      <c r="I142" s="34" t="n">
        <v>-119.13</v>
      </c>
      <c r="J142" s="34" t="n">
        <v>32.06</v>
      </c>
      <c r="K142" s="34" t="n">
        <v>1778434</v>
      </c>
      <c r="L142" s="34" t="n">
        <v>2.45</v>
      </c>
      <c r="M142" s="34" t="n">
        <v>589.5</v>
      </c>
      <c r="N142" s="34" t="n">
        <v>578.02</v>
      </c>
      <c r="O142" s="34" t="n">
        <v>577.85</v>
      </c>
      <c r="P142" s="34" t="n">
        <v>594.25</v>
      </c>
      <c r="Q142" s="34" t="n">
        <v>569.6</v>
      </c>
      <c r="R142" s="34" t="n">
        <v>570.1</v>
      </c>
      <c r="S142" s="34" t="n">
        <v>23.39</v>
      </c>
      <c r="T142" s="34" t="n">
        <v>0.025</v>
      </c>
      <c r="U142" s="34" t="n">
        <v>826.75</v>
      </c>
      <c r="V142" s="34" t="n">
        <v>483.7</v>
      </c>
    </row>
    <row r="143" customFormat="false" ht="15.75" hidden="false" customHeight="true" outlineLevel="0" collapsed="false">
      <c r="A143" s="34" t="s">
        <v>581</v>
      </c>
      <c r="B143" s="34" t="n">
        <v>563.7</v>
      </c>
      <c r="C143" s="34" t="n">
        <v>577.8</v>
      </c>
      <c r="D143" s="34" t="n">
        <v>560.8</v>
      </c>
      <c r="E143" s="34" t="n">
        <v>0.814</v>
      </c>
      <c r="F143" s="34" t="n">
        <v>40.91</v>
      </c>
      <c r="G143" s="34" t="n">
        <v>836.45</v>
      </c>
      <c r="H143" s="34" t="n">
        <v>465</v>
      </c>
      <c r="I143" s="34" t="n">
        <v>-51.57</v>
      </c>
      <c r="J143" s="34" t="n">
        <v>40.54</v>
      </c>
      <c r="K143" s="34" t="n">
        <v>6389811</v>
      </c>
      <c r="L143" s="34" t="n">
        <v>0.822</v>
      </c>
      <c r="M143" s="34" t="n">
        <v>581.1</v>
      </c>
      <c r="N143" s="34" t="n">
        <v>528.23</v>
      </c>
      <c r="O143" s="34" t="n">
        <v>559.15</v>
      </c>
      <c r="P143" s="34" t="n">
        <v>581.1</v>
      </c>
      <c r="Q143" s="34" t="n">
        <v>508.33</v>
      </c>
      <c r="R143" s="34" t="n">
        <v>560.8</v>
      </c>
      <c r="S143" s="34" t="n">
        <v>46.53</v>
      </c>
      <c r="T143" s="34" t="n">
        <v>0.034</v>
      </c>
      <c r="U143" s="34" t="n">
        <v>1054.2</v>
      </c>
      <c r="V143" s="34" t="n">
        <v>465</v>
      </c>
    </row>
    <row r="144" customFormat="false" ht="15.75" hidden="false" customHeight="true" outlineLevel="0" collapsed="false">
      <c r="A144" s="34" t="s">
        <v>152</v>
      </c>
      <c r="B144" s="34" t="n">
        <v>547.9</v>
      </c>
      <c r="C144" s="34" t="n">
        <v>556.95</v>
      </c>
      <c r="D144" s="34" t="n">
        <v>546.9</v>
      </c>
      <c r="E144" s="34" t="n">
        <v>-0.958</v>
      </c>
      <c r="F144" s="34" t="n">
        <v>11.61</v>
      </c>
      <c r="G144" s="34" t="n">
        <v>629.2</v>
      </c>
      <c r="H144" s="34" t="n">
        <v>529.2</v>
      </c>
      <c r="I144" s="34" t="n">
        <v>-49.04</v>
      </c>
      <c r="J144" s="34" t="n">
        <v>40.79</v>
      </c>
      <c r="K144" s="34" t="n">
        <v>540301</v>
      </c>
      <c r="L144" s="34" t="n">
        <v>1.35</v>
      </c>
      <c r="M144" s="34" t="n">
        <v>562.14</v>
      </c>
      <c r="N144" s="34" t="n">
        <v>544.34</v>
      </c>
      <c r="O144" s="34" t="n">
        <v>553.2</v>
      </c>
      <c r="P144" s="34" t="n">
        <v>562.14</v>
      </c>
      <c r="Q144" s="34" t="n">
        <v>544.34</v>
      </c>
      <c r="R144" s="34" t="n">
        <v>553.2</v>
      </c>
      <c r="S144" s="34" t="n">
        <v>31.6</v>
      </c>
      <c r="T144" s="34" t="n">
        <v>0.023</v>
      </c>
      <c r="U144" s="34" t="n">
        <v>944</v>
      </c>
      <c r="V144" s="34" t="n">
        <v>481</v>
      </c>
    </row>
    <row r="145" customFormat="false" ht="15.75" hidden="false" customHeight="true" outlineLevel="0" collapsed="false">
      <c r="A145" s="34" t="s">
        <v>126</v>
      </c>
      <c r="B145" s="34" t="n">
        <v>515.95</v>
      </c>
      <c r="C145" s="34" t="n">
        <v>519.85</v>
      </c>
      <c r="D145" s="34" t="n">
        <v>514.55</v>
      </c>
      <c r="E145" s="34" t="n">
        <v>0.049</v>
      </c>
      <c r="F145" s="34" t="n">
        <v>12.4</v>
      </c>
      <c r="G145" s="34" t="n">
        <v>547.7</v>
      </c>
      <c r="H145" s="34" t="n">
        <v>463.1</v>
      </c>
      <c r="I145" s="34" t="n">
        <v>-11.28</v>
      </c>
      <c r="J145" s="34" t="n">
        <v>49.03</v>
      </c>
      <c r="K145" s="34" t="n">
        <v>1596211</v>
      </c>
      <c r="L145" s="34" t="n">
        <v>0.264</v>
      </c>
      <c r="M145" s="34" t="n">
        <v>505.3</v>
      </c>
      <c r="N145" s="34" t="n">
        <v>529.18</v>
      </c>
      <c r="O145" s="34" t="n">
        <v>515.7</v>
      </c>
      <c r="P145" s="34" t="n">
        <v>505.3</v>
      </c>
      <c r="Q145" s="34" t="n">
        <v>538.32</v>
      </c>
      <c r="R145" s="34" t="n">
        <v>516</v>
      </c>
      <c r="S145" s="34" t="n">
        <v>23.22</v>
      </c>
      <c r="T145" s="34" t="n">
        <v>0.031</v>
      </c>
      <c r="U145" s="34" t="n">
        <v>672</v>
      </c>
      <c r="V145" s="34" t="n">
        <v>433.3</v>
      </c>
    </row>
    <row r="146" customFormat="false" ht="15.75" hidden="false" customHeight="true" outlineLevel="0" collapsed="false">
      <c r="A146" s="34" t="s">
        <v>248</v>
      </c>
      <c r="B146" s="34" t="n">
        <v>517.9</v>
      </c>
      <c r="C146" s="34" t="n">
        <v>522.6</v>
      </c>
      <c r="D146" s="34" t="n">
        <v>513.3</v>
      </c>
      <c r="E146" s="34" t="n">
        <v>-0.652</v>
      </c>
      <c r="F146" s="34" t="n">
        <v>11.72</v>
      </c>
      <c r="G146" s="34" t="n">
        <v>548.4</v>
      </c>
      <c r="H146" s="34" t="n">
        <v>479</v>
      </c>
      <c r="I146" s="34" t="n">
        <v>-109</v>
      </c>
      <c r="J146" s="34" t="n">
        <v>34.44</v>
      </c>
      <c r="K146" s="34" t="n">
        <v>2099224</v>
      </c>
      <c r="L146" s="34" t="n">
        <v>0.809</v>
      </c>
      <c r="M146" s="34" t="n">
        <v>512.06</v>
      </c>
      <c r="N146" s="34" t="n">
        <v>530.22</v>
      </c>
      <c r="O146" s="34" t="n">
        <v>521.3</v>
      </c>
      <c r="P146" s="34" t="n">
        <v>512.06</v>
      </c>
      <c r="Q146" s="34" t="n">
        <v>538.35</v>
      </c>
      <c r="R146" s="34" t="n">
        <v>520.7</v>
      </c>
      <c r="S146" s="34" t="n">
        <v>35.66</v>
      </c>
      <c r="T146" s="34" t="n">
        <v>0.037</v>
      </c>
      <c r="U146" s="34" t="n">
        <v>804.9</v>
      </c>
      <c r="V146" s="34" t="n">
        <v>418.75</v>
      </c>
    </row>
    <row r="147" customFormat="false" ht="15.75" hidden="false" customHeight="true" outlineLevel="0" collapsed="false">
      <c r="A147" s="34" t="s">
        <v>216</v>
      </c>
      <c r="B147" s="34" t="n">
        <v>511.15</v>
      </c>
      <c r="C147" s="34" t="n">
        <v>515.4</v>
      </c>
      <c r="D147" s="34" t="n">
        <v>508.55</v>
      </c>
      <c r="E147" s="34" t="n">
        <v>0.029</v>
      </c>
      <c r="F147" s="34" t="n">
        <v>18.79</v>
      </c>
      <c r="G147" s="34" t="n">
        <v>617.7</v>
      </c>
      <c r="H147" s="34" t="n">
        <v>502.35</v>
      </c>
      <c r="I147" s="34" t="n">
        <v>-88.65</v>
      </c>
      <c r="J147" s="34" t="n">
        <v>29.8</v>
      </c>
      <c r="K147" s="34" t="n">
        <v>3661777</v>
      </c>
      <c r="L147" s="34" t="n">
        <v>1.01</v>
      </c>
      <c r="M147" s="34" t="n">
        <v>550.93</v>
      </c>
      <c r="N147" s="34" t="n">
        <v>531.45</v>
      </c>
      <c r="O147" s="34" t="n">
        <v>511</v>
      </c>
      <c r="P147" s="34" t="n">
        <v>554.19</v>
      </c>
      <c r="Q147" s="34" t="n">
        <v>531.69</v>
      </c>
      <c r="R147" s="34" t="n">
        <v>511</v>
      </c>
      <c r="S147" s="34" t="n">
        <v>35.74</v>
      </c>
      <c r="T147" s="34" t="n">
        <v>0.043</v>
      </c>
      <c r="U147" s="34" t="n">
        <v>795.4</v>
      </c>
      <c r="V147" s="34" t="n">
        <v>399.4</v>
      </c>
    </row>
    <row r="148" customFormat="false" ht="15.75" hidden="false" customHeight="true" outlineLevel="0" collapsed="false">
      <c r="A148" s="34" t="s">
        <v>219</v>
      </c>
      <c r="B148" s="34" t="n">
        <v>516.6</v>
      </c>
      <c r="C148" s="34" t="n">
        <v>523.2</v>
      </c>
      <c r="D148" s="34" t="n">
        <v>506.1</v>
      </c>
      <c r="E148" s="34" t="n">
        <v>-0.126</v>
      </c>
      <c r="F148" s="34" t="n">
        <v>13.45</v>
      </c>
      <c r="G148" s="34" t="n">
        <v>534.2</v>
      </c>
      <c r="H148" s="34" t="n">
        <v>446.15</v>
      </c>
      <c r="I148" s="34" t="n">
        <v>67.79</v>
      </c>
      <c r="J148" s="34" t="n">
        <v>62.69</v>
      </c>
      <c r="K148" s="34" t="n">
        <v>5460238</v>
      </c>
      <c r="L148" s="34" t="n">
        <v>1.67</v>
      </c>
      <c r="M148" s="34" t="n">
        <v>522.96</v>
      </c>
      <c r="N148" s="34" t="n">
        <v>505.98</v>
      </c>
      <c r="O148" s="34" t="n">
        <v>517.25</v>
      </c>
      <c r="P148" s="34" t="n">
        <v>522.96</v>
      </c>
      <c r="Q148" s="34" t="n">
        <v>505.98</v>
      </c>
      <c r="R148" s="34" t="n">
        <v>515</v>
      </c>
      <c r="S148" s="34" t="n">
        <v>22.66</v>
      </c>
      <c r="T148" s="34" t="n">
        <v>0.038</v>
      </c>
      <c r="U148" s="34" t="n">
        <v>681.12</v>
      </c>
      <c r="V148" s="34" t="n">
        <v>419.55</v>
      </c>
    </row>
    <row r="149" customFormat="false" ht="15.75" hidden="false" customHeight="true" outlineLevel="0" collapsed="false">
      <c r="A149" s="34" t="s">
        <v>247</v>
      </c>
      <c r="B149" s="34" t="n">
        <v>473.6</v>
      </c>
      <c r="C149" s="34" t="n">
        <v>475.9</v>
      </c>
      <c r="D149" s="34" t="n">
        <v>468.5</v>
      </c>
      <c r="E149" s="34" t="n">
        <v>0.35</v>
      </c>
      <c r="F149" s="34" t="n">
        <v>10.7</v>
      </c>
      <c r="G149" s="34" t="n">
        <v>477.75</v>
      </c>
      <c r="H149" s="34" t="n">
        <v>342.85</v>
      </c>
      <c r="I149" s="34" t="n">
        <v>77.06</v>
      </c>
      <c r="J149" s="34" t="n">
        <v>72.43</v>
      </c>
      <c r="K149" s="34" t="n">
        <v>1833853</v>
      </c>
      <c r="L149" s="34" t="n">
        <v>0.538</v>
      </c>
      <c r="M149" s="34" t="n">
        <v>450.45</v>
      </c>
      <c r="N149" s="34" t="n">
        <v>462.16</v>
      </c>
      <c r="O149" s="34" t="n">
        <v>471.95</v>
      </c>
      <c r="P149" s="34" t="n">
        <v>450.45</v>
      </c>
      <c r="Q149" s="34" t="n">
        <v>462.16</v>
      </c>
      <c r="R149" s="34" t="n">
        <v>471.95</v>
      </c>
      <c r="S149" s="34" t="n">
        <v>0.869</v>
      </c>
      <c r="T149" s="34" t="n">
        <v>0.109</v>
      </c>
      <c r="U149" s="34" t="n">
        <v>478</v>
      </c>
      <c r="V149" s="34" t="n">
        <v>236.53</v>
      </c>
    </row>
    <row r="150" customFormat="false" ht="15.75" hidden="false" customHeight="true" outlineLevel="0" collapsed="false">
      <c r="A150" s="34" t="s">
        <v>194</v>
      </c>
      <c r="B150" s="34" t="n">
        <v>458.5</v>
      </c>
      <c r="C150" s="34" t="n">
        <v>465.8</v>
      </c>
      <c r="D150" s="34" t="n">
        <v>456</v>
      </c>
      <c r="E150" s="34" t="n">
        <v>-0.758</v>
      </c>
      <c r="F150" s="34" t="n">
        <v>12.72</v>
      </c>
      <c r="G150" s="34" t="n">
        <v>523.9</v>
      </c>
      <c r="H150" s="34" t="n">
        <v>432.6</v>
      </c>
      <c r="I150" s="34" t="n">
        <v>0.07</v>
      </c>
      <c r="J150" s="34" t="n">
        <v>48.87</v>
      </c>
      <c r="K150" s="34" t="n">
        <v>945653</v>
      </c>
      <c r="L150" s="34" t="n">
        <v>0.886</v>
      </c>
      <c r="M150" s="34" t="n">
        <v>471.69</v>
      </c>
      <c r="N150" s="34" t="n">
        <v>448.61</v>
      </c>
      <c r="O150" s="34" t="n">
        <v>462</v>
      </c>
      <c r="P150" s="34" t="n">
        <v>471.69</v>
      </c>
      <c r="Q150" s="34" t="n">
        <v>448.61</v>
      </c>
      <c r="R150" s="34" t="n">
        <v>462.1</v>
      </c>
      <c r="S150" s="34" t="n">
        <v>36.41</v>
      </c>
      <c r="T150" s="34" t="n">
        <v>0.018</v>
      </c>
      <c r="U150" s="34" t="n">
        <v>721</v>
      </c>
      <c r="V150" s="34" t="n">
        <v>422</v>
      </c>
    </row>
    <row r="151" customFormat="false" ht="15.75" hidden="false" customHeight="true" outlineLevel="0" collapsed="false">
      <c r="A151" s="34" t="s">
        <v>309</v>
      </c>
      <c r="B151" s="34" t="n">
        <v>451.1</v>
      </c>
      <c r="C151" s="34" t="n">
        <v>463.1</v>
      </c>
      <c r="D151" s="34" t="n">
        <v>449.85</v>
      </c>
      <c r="E151" s="34" t="n">
        <v>-1.88</v>
      </c>
      <c r="F151" s="34" t="n">
        <v>15.34</v>
      </c>
      <c r="G151" s="34" t="n">
        <v>538.15</v>
      </c>
      <c r="H151" s="34" t="n">
        <v>418.1</v>
      </c>
      <c r="I151" s="34" t="n">
        <v>-30.91</v>
      </c>
      <c r="J151" s="34" t="n">
        <v>41.97</v>
      </c>
      <c r="K151" s="34" t="n">
        <v>662854</v>
      </c>
      <c r="L151" s="34" t="n">
        <v>1.01</v>
      </c>
      <c r="M151" s="34" t="n">
        <v>479.66</v>
      </c>
      <c r="N151" s="34" t="n">
        <v>472.28</v>
      </c>
      <c r="O151" s="34" t="n">
        <v>459.75</v>
      </c>
      <c r="P151" s="34" t="n">
        <v>479.66</v>
      </c>
      <c r="Q151" s="34" t="n">
        <v>455.49</v>
      </c>
      <c r="R151" s="34" t="n">
        <v>459.2</v>
      </c>
      <c r="S151" s="34" t="n">
        <v>19.53</v>
      </c>
      <c r="T151" s="34" t="n">
        <v>0.086</v>
      </c>
      <c r="U151" s="34" t="n">
        <v>620.3</v>
      </c>
      <c r="V151" s="34" t="n">
        <v>279.8</v>
      </c>
    </row>
    <row r="152" customFormat="false" ht="15.75" hidden="false" customHeight="true" outlineLevel="0" collapsed="false">
      <c r="A152" s="34" t="s">
        <v>245</v>
      </c>
      <c r="B152" s="34" t="n">
        <v>465.5</v>
      </c>
      <c r="C152" s="34" t="n">
        <v>467</v>
      </c>
      <c r="D152" s="34" t="n">
        <v>449.55</v>
      </c>
      <c r="E152" s="34" t="n">
        <v>3.27</v>
      </c>
      <c r="F152" s="34" t="n">
        <v>13.48</v>
      </c>
      <c r="G152" s="34" t="n">
        <v>483.4</v>
      </c>
      <c r="H152" s="34" t="n">
        <v>401.1</v>
      </c>
      <c r="I152" s="34" t="n">
        <v>90.9</v>
      </c>
      <c r="J152" s="34" t="n">
        <v>62.74</v>
      </c>
      <c r="K152" s="34" t="n">
        <v>1707001</v>
      </c>
      <c r="L152" s="34" t="n">
        <v>2.26</v>
      </c>
      <c r="M152" s="34" t="n">
        <v>440.05</v>
      </c>
      <c r="N152" s="34" t="n">
        <v>471</v>
      </c>
      <c r="O152" s="34" t="n">
        <v>450.75</v>
      </c>
      <c r="P152" s="34" t="n">
        <v>440.05</v>
      </c>
      <c r="Q152" s="34" t="n">
        <v>471</v>
      </c>
      <c r="R152" s="34" t="n">
        <v>451</v>
      </c>
      <c r="S152" s="34" t="n">
        <v>3.7</v>
      </c>
      <c r="T152" s="34" t="n">
        <v>0.095</v>
      </c>
      <c r="U152" s="34" t="n">
        <v>514</v>
      </c>
      <c r="V152" s="34" t="n">
        <v>267.2</v>
      </c>
    </row>
    <row r="153" customFormat="false" ht="15.75" hidden="false" customHeight="true" outlineLevel="0" collapsed="false">
      <c r="A153" s="34" t="s">
        <v>110</v>
      </c>
      <c r="B153" s="34" t="n">
        <v>444.25</v>
      </c>
      <c r="C153" s="34" t="n">
        <v>452</v>
      </c>
      <c r="D153" s="34" t="n">
        <v>443.7</v>
      </c>
      <c r="E153" s="34" t="n">
        <v>-0.593</v>
      </c>
      <c r="F153" s="34" t="n">
        <v>9.78</v>
      </c>
      <c r="G153" s="34" t="n">
        <v>475</v>
      </c>
      <c r="H153" s="34" t="n">
        <v>420.65</v>
      </c>
      <c r="I153" s="34" t="n">
        <v>119.41</v>
      </c>
      <c r="J153" s="34" t="n">
        <v>55.81</v>
      </c>
      <c r="K153" s="34" t="n">
        <v>16717247</v>
      </c>
      <c r="L153" s="34" t="n">
        <v>2.06</v>
      </c>
      <c r="M153" s="34" t="n">
        <v>428.36</v>
      </c>
      <c r="N153" s="34" t="n">
        <v>438.1</v>
      </c>
      <c r="O153" s="34" t="n">
        <v>446.9</v>
      </c>
      <c r="P153" s="34" t="n">
        <v>426.26</v>
      </c>
      <c r="Q153" s="34" t="n">
        <v>436.17</v>
      </c>
      <c r="R153" s="34" t="n">
        <v>451.65</v>
      </c>
      <c r="S153" s="34" t="n">
        <v>15.69</v>
      </c>
      <c r="T153" s="34" t="n">
        <v>0.042</v>
      </c>
      <c r="U153" s="34" t="n">
        <v>526.95</v>
      </c>
      <c r="V153" s="34" t="n">
        <v>363</v>
      </c>
    </row>
    <row r="154" customFormat="false" ht="15.75" hidden="false" customHeight="true" outlineLevel="0" collapsed="false">
      <c r="A154" s="34" t="s">
        <v>250</v>
      </c>
      <c r="B154" s="34" t="n">
        <v>449.65</v>
      </c>
      <c r="C154" s="34" t="n">
        <v>451.95</v>
      </c>
      <c r="D154" s="34" t="n">
        <v>443.4</v>
      </c>
      <c r="E154" s="34" t="n">
        <v>1.58</v>
      </c>
      <c r="F154" s="34" t="n">
        <v>13.86</v>
      </c>
      <c r="G154" s="34" t="n">
        <v>504.5</v>
      </c>
      <c r="H154" s="34" t="n">
        <v>431.35</v>
      </c>
      <c r="I154" s="34" t="n">
        <v>-25</v>
      </c>
      <c r="J154" s="34" t="n">
        <v>49.94</v>
      </c>
      <c r="K154" s="34" t="n">
        <v>894867</v>
      </c>
      <c r="L154" s="34" t="n">
        <v>0.177</v>
      </c>
      <c r="M154" s="34" t="n">
        <v>470.91</v>
      </c>
      <c r="N154" s="34" t="n">
        <v>440.62</v>
      </c>
      <c r="O154" s="34" t="n">
        <v>442.65</v>
      </c>
      <c r="P154" s="34" t="n">
        <v>470.91</v>
      </c>
      <c r="Q154" s="34" t="n">
        <v>440.62</v>
      </c>
      <c r="R154" s="34" t="n">
        <v>444.5</v>
      </c>
      <c r="S154" s="34" t="n">
        <v>41.5</v>
      </c>
      <c r="T154" s="34" t="n">
        <v>0.035</v>
      </c>
      <c r="U154" s="34" t="n">
        <v>768.65</v>
      </c>
      <c r="V154" s="34" t="n">
        <v>380</v>
      </c>
    </row>
    <row r="155" customFormat="false" ht="15.75" hidden="false" customHeight="true" outlineLevel="0" collapsed="false">
      <c r="A155" s="34" t="s">
        <v>371</v>
      </c>
      <c r="B155" s="34" t="n">
        <v>424.9</v>
      </c>
      <c r="C155" s="34" t="n">
        <v>431.4</v>
      </c>
      <c r="D155" s="34" t="n">
        <v>424.5</v>
      </c>
      <c r="E155" s="34" t="n">
        <v>-1.38</v>
      </c>
      <c r="F155" s="34" t="n">
        <v>7.42</v>
      </c>
      <c r="G155" s="34" t="n">
        <v>521</v>
      </c>
      <c r="H155" s="34" t="n">
        <v>413.5</v>
      </c>
      <c r="I155" s="34" t="n">
        <v>2.24</v>
      </c>
      <c r="J155" s="34" t="n">
        <v>44.3</v>
      </c>
      <c r="K155" s="34" t="n">
        <v>826451</v>
      </c>
      <c r="L155" s="34" t="n">
        <v>0.713</v>
      </c>
      <c r="M155" s="34" t="n">
        <v>435.55</v>
      </c>
      <c r="N155" s="34" t="n">
        <v>424.13</v>
      </c>
      <c r="O155" s="34" t="n">
        <v>430.85</v>
      </c>
      <c r="P155" s="34" t="n">
        <v>435.55</v>
      </c>
      <c r="Q155" s="34" t="n">
        <v>424.13</v>
      </c>
      <c r="R155" s="34" t="n">
        <v>431</v>
      </c>
      <c r="S155" s="34" t="n">
        <v>26.16</v>
      </c>
      <c r="T155" s="34" t="n">
        <v>0.026</v>
      </c>
      <c r="U155" s="34" t="n">
        <v>807.7</v>
      </c>
      <c r="V155" s="34" t="n">
        <v>378.15</v>
      </c>
    </row>
    <row r="156" customFormat="false" ht="15.75" hidden="false" customHeight="true" outlineLevel="0" collapsed="false">
      <c r="A156" s="34" t="s">
        <v>236</v>
      </c>
      <c r="B156" s="34" t="n">
        <v>409.4</v>
      </c>
      <c r="C156" s="34" t="n">
        <v>413.75</v>
      </c>
      <c r="D156" s="34" t="n">
        <v>407.35</v>
      </c>
      <c r="E156" s="34" t="n">
        <v>-0.341</v>
      </c>
      <c r="F156" s="34" t="n">
        <v>9.6</v>
      </c>
      <c r="G156" s="34" t="n">
        <v>491.5</v>
      </c>
      <c r="H156" s="34" t="n">
        <v>396.5</v>
      </c>
      <c r="I156" s="34" t="n">
        <v>-78.33</v>
      </c>
      <c r="J156" s="34" t="n">
        <v>36.35</v>
      </c>
      <c r="K156" s="34" t="n">
        <v>1309428</v>
      </c>
      <c r="L156" s="34" t="n">
        <v>0.814</v>
      </c>
      <c r="M156" s="34" t="n">
        <v>425.15</v>
      </c>
      <c r="N156" s="34" t="n">
        <v>413.45</v>
      </c>
      <c r="O156" s="34" t="n">
        <v>410.8</v>
      </c>
      <c r="P156" s="34" t="n">
        <v>425.15</v>
      </c>
      <c r="Q156" s="34" t="n">
        <v>413.45</v>
      </c>
      <c r="R156" s="34" t="n">
        <v>410.8</v>
      </c>
      <c r="S156" s="34" t="n">
        <v>46.69</v>
      </c>
      <c r="T156" s="34" t="n">
        <v>0.052</v>
      </c>
      <c r="U156" s="34" t="n">
        <v>767.9</v>
      </c>
      <c r="V156" s="34" t="n">
        <v>325</v>
      </c>
    </row>
    <row r="157" customFormat="false" ht="15.75" hidden="false" customHeight="true" outlineLevel="0" collapsed="false">
      <c r="A157" s="34" t="s">
        <v>178</v>
      </c>
      <c r="B157" s="34" t="n">
        <v>398.3</v>
      </c>
      <c r="C157" s="34" t="n">
        <v>406.5</v>
      </c>
      <c r="D157" s="34" t="n">
        <v>397.5</v>
      </c>
      <c r="E157" s="34" t="n">
        <v>-1.79</v>
      </c>
      <c r="F157" s="34" t="n">
        <v>5.25</v>
      </c>
      <c r="G157" s="34" t="n">
        <v>425.9</v>
      </c>
      <c r="H157" s="34" t="n">
        <v>397.5</v>
      </c>
      <c r="I157" s="34" t="n">
        <v>-188.25</v>
      </c>
      <c r="J157" s="34" t="n">
        <v>20.36</v>
      </c>
      <c r="K157" s="34" t="n">
        <v>13087564</v>
      </c>
      <c r="L157" s="34" t="n">
        <v>0.871</v>
      </c>
      <c r="M157" s="34" t="n">
        <v>412.19</v>
      </c>
      <c r="N157" s="34" t="n">
        <v>407.09</v>
      </c>
      <c r="O157" s="34" t="n">
        <v>405.55</v>
      </c>
      <c r="P157" s="34" t="n">
        <v>414.42</v>
      </c>
      <c r="Q157" s="34" t="n">
        <v>409.76</v>
      </c>
      <c r="R157" s="34" t="n">
        <v>406</v>
      </c>
      <c r="S157" s="34" t="n">
        <v>24.64</v>
      </c>
      <c r="T157" s="34" t="n">
        <v>0.005</v>
      </c>
      <c r="U157" s="34" t="n">
        <v>528.5</v>
      </c>
      <c r="V157" s="34" t="n">
        <v>390.15</v>
      </c>
    </row>
    <row r="158" customFormat="false" ht="15.75" hidden="false" customHeight="true" outlineLevel="0" collapsed="false">
      <c r="A158" s="34" t="s">
        <v>201</v>
      </c>
      <c r="B158" s="34" t="n">
        <v>399.85</v>
      </c>
      <c r="C158" s="34" t="n">
        <v>402.7</v>
      </c>
      <c r="D158" s="34" t="n">
        <v>394.4</v>
      </c>
      <c r="E158" s="34" t="n">
        <v>-0.1</v>
      </c>
      <c r="F158" s="34" t="n">
        <v>8.81</v>
      </c>
      <c r="G158" s="34" t="n">
        <v>438.35</v>
      </c>
      <c r="H158" s="34" t="n">
        <v>388.6</v>
      </c>
      <c r="I158" s="34" t="n">
        <v>-185.95</v>
      </c>
      <c r="J158" s="34" t="n">
        <v>31.43</v>
      </c>
      <c r="K158" s="34" t="n">
        <v>6197569</v>
      </c>
      <c r="L158" s="34" t="n">
        <v>0.909</v>
      </c>
      <c r="M158" s="34" t="n">
        <v>416.35</v>
      </c>
      <c r="N158" s="34" t="n">
        <v>407.45</v>
      </c>
      <c r="O158" s="34" t="n">
        <v>400.25</v>
      </c>
      <c r="P158" s="34" t="n">
        <v>421.65</v>
      </c>
      <c r="Q158" s="34" t="n">
        <v>412.69</v>
      </c>
      <c r="R158" s="34" t="n">
        <v>400.25</v>
      </c>
      <c r="S158" s="34" t="n">
        <v>29.41</v>
      </c>
      <c r="T158" s="34" t="n">
        <v>0.027</v>
      </c>
      <c r="U158" s="34" t="n">
        <v>580</v>
      </c>
      <c r="V158" s="34" t="n">
        <v>357.25</v>
      </c>
    </row>
    <row r="159" customFormat="false" ht="15.75" hidden="false" customHeight="true" outlineLevel="0" collapsed="false">
      <c r="A159" s="34" t="s">
        <v>98</v>
      </c>
      <c r="B159" s="34" t="n">
        <v>396.05</v>
      </c>
      <c r="C159" s="34" t="n">
        <v>400.45</v>
      </c>
      <c r="D159" s="34" t="n">
        <v>394</v>
      </c>
      <c r="E159" s="34" t="n">
        <v>-1.1</v>
      </c>
      <c r="F159" s="34" t="n">
        <v>8.52</v>
      </c>
      <c r="G159" s="34" t="n">
        <v>402.35</v>
      </c>
      <c r="H159" s="34" t="n">
        <v>370.1</v>
      </c>
      <c r="I159" s="34" t="n">
        <v>144.49</v>
      </c>
      <c r="J159" s="34" t="n">
        <v>65.9</v>
      </c>
      <c r="K159" s="34" t="n">
        <v>1862977</v>
      </c>
      <c r="L159" s="34" t="n">
        <v>0.454</v>
      </c>
      <c r="M159" s="34" t="n">
        <v>380.79</v>
      </c>
      <c r="N159" s="34" t="n">
        <v>389.56</v>
      </c>
      <c r="O159" s="34" t="n">
        <v>400.45</v>
      </c>
      <c r="P159" s="34" t="n">
        <v>380.79</v>
      </c>
      <c r="Q159" s="34" t="n">
        <v>389.56</v>
      </c>
      <c r="R159" s="34" t="n">
        <v>400.45</v>
      </c>
      <c r="S159" s="34" t="n">
        <v>25.89</v>
      </c>
      <c r="T159" s="34" t="n">
        <v>0.046</v>
      </c>
      <c r="U159" s="34" t="n">
        <v>620.35</v>
      </c>
      <c r="V159" s="34" t="n">
        <v>328</v>
      </c>
    </row>
    <row r="160" customFormat="false" ht="15.75" hidden="false" customHeight="true" outlineLevel="0" collapsed="false">
      <c r="A160" s="34" t="s">
        <v>193</v>
      </c>
      <c r="B160" s="34" t="n">
        <v>390.75</v>
      </c>
      <c r="C160" s="34" t="n">
        <v>393.45</v>
      </c>
      <c r="D160" s="34" t="n">
        <v>387.7</v>
      </c>
      <c r="E160" s="34" t="n">
        <v>-0.611</v>
      </c>
      <c r="F160" s="34" t="n">
        <v>10.07</v>
      </c>
      <c r="G160" s="34" t="n">
        <v>455.2</v>
      </c>
      <c r="H160" s="34" t="n">
        <v>370.15</v>
      </c>
      <c r="I160" s="34" t="n">
        <v>-105.83</v>
      </c>
      <c r="J160" s="34" t="n">
        <v>34.92</v>
      </c>
      <c r="K160" s="34" t="n">
        <v>2627075</v>
      </c>
      <c r="L160" s="34" t="n">
        <v>1.25</v>
      </c>
      <c r="M160" s="34" t="n">
        <v>411.53</v>
      </c>
      <c r="N160" s="34" t="n">
        <v>401.05</v>
      </c>
      <c r="O160" s="34" t="n">
        <v>393.15</v>
      </c>
      <c r="P160" s="34" t="n">
        <v>414.71</v>
      </c>
      <c r="Q160" s="34" t="n">
        <v>402.47</v>
      </c>
      <c r="R160" s="34" t="n">
        <v>393</v>
      </c>
      <c r="S160" s="34" t="n">
        <v>14.52</v>
      </c>
      <c r="T160" s="34" t="n">
        <v>0.069</v>
      </c>
      <c r="U160" s="34" t="n">
        <v>457.15</v>
      </c>
      <c r="V160" s="34" t="n">
        <v>287.55</v>
      </c>
    </row>
    <row r="161" customFormat="false" ht="15.75" hidden="false" customHeight="true" outlineLevel="0" collapsed="false">
      <c r="A161" s="34" t="s">
        <v>92</v>
      </c>
      <c r="B161" s="34" t="n">
        <v>385.6</v>
      </c>
      <c r="C161" s="34" t="n">
        <v>388.7</v>
      </c>
      <c r="D161" s="34" t="n">
        <v>384.7</v>
      </c>
      <c r="E161" s="34" t="n">
        <v>-0.631</v>
      </c>
      <c r="F161" s="34" t="n">
        <v>5.77</v>
      </c>
      <c r="G161" s="34" t="n">
        <v>416.75</v>
      </c>
      <c r="H161" s="34" t="n">
        <v>376</v>
      </c>
      <c r="I161" s="34" t="n">
        <v>-41.2</v>
      </c>
      <c r="J161" s="34" t="n">
        <v>41.05</v>
      </c>
      <c r="K161" s="34" t="n">
        <v>3042516</v>
      </c>
      <c r="L161" s="34" t="n">
        <v>1.19</v>
      </c>
      <c r="M161" s="34" t="n">
        <v>397.93</v>
      </c>
      <c r="N161" s="34" t="n">
        <v>383.76</v>
      </c>
      <c r="O161" s="34" t="n">
        <v>388.05</v>
      </c>
      <c r="P161" s="34" t="n">
        <v>397.93</v>
      </c>
      <c r="Q161" s="34" t="n">
        <v>383.76</v>
      </c>
      <c r="R161" s="34" t="n">
        <v>387</v>
      </c>
      <c r="S161" s="34" t="n">
        <v>22.08</v>
      </c>
      <c r="T161" s="34" t="n">
        <v>0.04</v>
      </c>
      <c r="U161" s="34" t="n">
        <v>494.85</v>
      </c>
      <c r="V161" s="34" t="n">
        <v>326.35</v>
      </c>
    </row>
    <row r="162" customFormat="false" ht="15.75" hidden="false" customHeight="true" outlineLevel="0" collapsed="false">
      <c r="A162" s="34" t="s">
        <v>196</v>
      </c>
      <c r="B162" s="34" t="n">
        <v>375.6</v>
      </c>
      <c r="C162" s="34" t="n">
        <v>381.4</v>
      </c>
      <c r="D162" s="34" t="n">
        <v>375.3</v>
      </c>
      <c r="E162" s="34" t="n">
        <v>-1.31</v>
      </c>
      <c r="F162" s="34" t="n">
        <v>6.01</v>
      </c>
      <c r="G162" s="34" t="n">
        <v>409.8</v>
      </c>
      <c r="H162" s="34" t="n">
        <v>375.3</v>
      </c>
      <c r="I162" s="34" t="n">
        <v>-120.18</v>
      </c>
      <c r="J162" s="34" t="n">
        <v>29.8</v>
      </c>
      <c r="K162" s="34" t="n">
        <v>3478895</v>
      </c>
      <c r="L162" s="34" t="n">
        <v>1.1</v>
      </c>
      <c r="M162" s="34" t="n">
        <v>390.97</v>
      </c>
      <c r="N162" s="34" t="n">
        <v>384.66</v>
      </c>
      <c r="O162" s="34" t="n">
        <v>380.6</v>
      </c>
      <c r="P162" s="34" t="n">
        <v>394.44</v>
      </c>
      <c r="Q162" s="34" t="n">
        <v>387.51</v>
      </c>
      <c r="R162" s="34" t="n">
        <v>380.9</v>
      </c>
      <c r="S162" s="34" t="n">
        <v>40.94</v>
      </c>
      <c r="T162" s="34" t="n">
        <v>0.013</v>
      </c>
      <c r="U162" s="34" t="n">
        <v>654</v>
      </c>
      <c r="V162" s="34" t="n">
        <v>357.35</v>
      </c>
    </row>
    <row r="163" customFormat="false" ht="15.75" hidden="false" customHeight="true" outlineLevel="0" collapsed="false">
      <c r="A163" s="34" t="s">
        <v>161</v>
      </c>
      <c r="B163" s="34" t="n">
        <v>374.45</v>
      </c>
      <c r="C163" s="34" t="n">
        <v>379</v>
      </c>
      <c r="D163" s="34" t="n">
        <v>374.05</v>
      </c>
      <c r="E163" s="34" t="n">
        <v>-0.978</v>
      </c>
      <c r="F163" s="34" t="n">
        <v>5.27</v>
      </c>
      <c r="G163" s="34" t="n">
        <v>397.7</v>
      </c>
      <c r="H163" s="34" t="n">
        <v>370.2</v>
      </c>
      <c r="I163" s="34" t="n">
        <v>-95.5</v>
      </c>
      <c r="J163" s="34" t="n">
        <v>30.19</v>
      </c>
      <c r="K163" s="34" t="n">
        <v>4699151</v>
      </c>
      <c r="L163" s="34" t="n">
        <v>0.756</v>
      </c>
      <c r="M163" s="34" t="n">
        <v>387.24</v>
      </c>
      <c r="N163" s="34" t="n">
        <v>381.88</v>
      </c>
      <c r="O163" s="34" t="n">
        <v>378.15</v>
      </c>
      <c r="P163" s="34" t="n">
        <v>375.61</v>
      </c>
      <c r="Q163" s="34" t="n">
        <v>384.8</v>
      </c>
      <c r="R163" s="34" t="n">
        <v>378.15</v>
      </c>
      <c r="S163" s="34" t="n">
        <v>31.11</v>
      </c>
      <c r="T163" s="34" t="n">
        <v>0.018</v>
      </c>
      <c r="U163" s="34" t="n">
        <v>543.55</v>
      </c>
      <c r="V163" s="34" t="n">
        <v>349.25</v>
      </c>
    </row>
    <row r="164" customFormat="false" ht="15.75" hidden="false" customHeight="true" outlineLevel="0" collapsed="false">
      <c r="A164" s="34" t="s">
        <v>160</v>
      </c>
      <c r="B164" s="34" t="n">
        <v>374.85</v>
      </c>
      <c r="C164" s="34" t="n">
        <v>379.95</v>
      </c>
      <c r="D164" s="34" t="n">
        <v>373.6</v>
      </c>
      <c r="E164" s="34" t="n">
        <v>0.174</v>
      </c>
      <c r="F164" s="34" t="n">
        <v>7.74</v>
      </c>
      <c r="G164" s="34" t="n">
        <v>436</v>
      </c>
      <c r="H164" s="34" t="n">
        <v>371.1</v>
      </c>
      <c r="I164" s="34" t="n">
        <v>-138.3</v>
      </c>
      <c r="J164" s="34" t="n">
        <v>34.75</v>
      </c>
      <c r="K164" s="34" t="n">
        <v>15246236</v>
      </c>
      <c r="L164" s="34" t="n">
        <v>1.2</v>
      </c>
      <c r="M164" s="34" t="n">
        <v>390.45</v>
      </c>
      <c r="N164" s="34" t="n">
        <v>382.45</v>
      </c>
      <c r="O164" s="34" t="n">
        <v>374.2</v>
      </c>
      <c r="P164" s="34" t="n">
        <v>390.45</v>
      </c>
      <c r="Q164" s="34" t="n">
        <v>382.45</v>
      </c>
      <c r="R164" s="34" t="n">
        <v>373.8</v>
      </c>
      <c r="S164" s="34" t="n">
        <v>14.03</v>
      </c>
      <c r="T164" s="34" t="n">
        <v>0.097</v>
      </c>
      <c r="U164" s="34" t="n">
        <v>436</v>
      </c>
      <c r="V164" s="34" t="n">
        <v>240.25</v>
      </c>
    </row>
    <row r="165" customFormat="false" ht="15.75" hidden="false" customHeight="true" outlineLevel="0" collapsed="false">
      <c r="A165" s="34" t="s">
        <v>91</v>
      </c>
      <c r="B165" s="34" t="n">
        <v>359.5</v>
      </c>
      <c r="C165" s="34" t="n">
        <v>361.5</v>
      </c>
      <c r="D165" s="34" t="n">
        <v>356.35</v>
      </c>
      <c r="E165" s="34" t="n">
        <v>0.489</v>
      </c>
      <c r="F165" s="34" t="n">
        <v>9.29</v>
      </c>
      <c r="G165" s="34" t="n">
        <v>406</v>
      </c>
      <c r="H165" s="34" t="n">
        <v>331</v>
      </c>
      <c r="I165" s="34" t="n">
        <v>-49.15</v>
      </c>
      <c r="J165" s="34" t="n">
        <v>43.58</v>
      </c>
      <c r="K165" s="34" t="n">
        <v>1023391</v>
      </c>
      <c r="L165" s="34" t="n">
        <v>0.453</v>
      </c>
      <c r="M165" s="34" t="n">
        <v>341.67</v>
      </c>
      <c r="N165" s="34" t="n">
        <v>352.83</v>
      </c>
      <c r="O165" s="34" t="n">
        <v>357.75</v>
      </c>
      <c r="P165" s="34" t="n">
        <v>341.67</v>
      </c>
      <c r="Q165" s="34" t="n">
        <v>352.83</v>
      </c>
      <c r="R165" s="34" t="n">
        <v>356.35</v>
      </c>
      <c r="S165" s="34" t="n">
        <v>11.45</v>
      </c>
      <c r="T165" s="34" t="n">
        <v>0.054</v>
      </c>
      <c r="U165" s="34" t="n">
        <v>406</v>
      </c>
      <c r="V165" s="34" t="n">
        <v>291</v>
      </c>
    </row>
    <row r="166" customFormat="false" ht="15.75" hidden="false" customHeight="true" outlineLevel="0" collapsed="false">
      <c r="A166" s="34" t="s">
        <v>190</v>
      </c>
      <c r="B166" s="34" t="n">
        <v>353.55</v>
      </c>
      <c r="C166" s="34" t="n">
        <v>359.8</v>
      </c>
      <c r="D166" s="34" t="n">
        <v>348.8</v>
      </c>
      <c r="E166" s="34" t="n">
        <v>1.58</v>
      </c>
      <c r="F166" s="34" t="n">
        <v>9.94</v>
      </c>
      <c r="G166" s="34" t="n">
        <v>430</v>
      </c>
      <c r="H166" s="34" t="n">
        <v>328</v>
      </c>
      <c r="I166" s="34" t="n">
        <v>6.12</v>
      </c>
      <c r="J166" s="34" t="n">
        <v>60.13</v>
      </c>
      <c r="K166" s="34" t="n">
        <v>16975589</v>
      </c>
      <c r="L166" s="34" t="n">
        <v>5.85</v>
      </c>
      <c r="M166" s="34" t="n">
        <v>334.41</v>
      </c>
      <c r="N166" s="34" t="n">
        <v>344.36</v>
      </c>
      <c r="O166" s="34" t="n">
        <v>348.05</v>
      </c>
      <c r="P166" s="34" t="n">
        <v>352.79</v>
      </c>
      <c r="Q166" s="34" t="n">
        <v>340.28</v>
      </c>
      <c r="R166" s="34" t="n">
        <v>352.5</v>
      </c>
      <c r="S166" s="34" t="n">
        <v>23.2</v>
      </c>
      <c r="T166" s="34" t="n">
        <v>0.035</v>
      </c>
      <c r="U166" s="34" t="n">
        <v>460.35</v>
      </c>
      <c r="V166" s="34" t="n">
        <v>312.75</v>
      </c>
    </row>
    <row r="167" customFormat="false" ht="15.75" hidden="false" customHeight="true" outlineLevel="0" collapsed="false">
      <c r="A167" s="34" t="s">
        <v>74</v>
      </c>
      <c r="B167" s="34" t="n">
        <v>337</v>
      </c>
      <c r="C167" s="34" t="n">
        <v>338.9</v>
      </c>
      <c r="D167" s="34" t="n">
        <v>335.5</v>
      </c>
      <c r="E167" s="34" t="n">
        <v>-0.531</v>
      </c>
      <c r="F167" s="34" t="n">
        <v>5.68</v>
      </c>
      <c r="G167" s="34" t="n">
        <v>345.6</v>
      </c>
      <c r="H167" s="34" t="n">
        <v>321.35</v>
      </c>
      <c r="I167" s="34" t="n">
        <v>33.2</v>
      </c>
      <c r="J167" s="34" t="n">
        <v>49.1</v>
      </c>
      <c r="K167" s="34" t="n">
        <v>8534844</v>
      </c>
      <c r="L167" s="34" t="n">
        <v>0.766</v>
      </c>
      <c r="M167" s="34" t="n">
        <v>330.61</v>
      </c>
      <c r="N167" s="34" t="n">
        <v>342.77</v>
      </c>
      <c r="O167" s="34" t="n">
        <v>338.8</v>
      </c>
      <c r="P167" s="34" t="n">
        <v>330.61</v>
      </c>
      <c r="Q167" s="34" t="n">
        <v>342.77</v>
      </c>
      <c r="R167" s="34" t="n">
        <v>338.5</v>
      </c>
      <c r="S167" s="34" t="n">
        <v>24.85</v>
      </c>
      <c r="T167" s="34" t="n">
        <v>0.039</v>
      </c>
      <c r="U167" s="34" t="n">
        <v>448.45</v>
      </c>
      <c r="V167" s="34" t="n">
        <v>292.8</v>
      </c>
    </row>
    <row r="168" customFormat="false" ht="15.75" hidden="false" customHeight="true" outlineLevel="0" collapsed="false">
      <c r="A168" s="34" t="s">
        <v>433</v>
      </c>
      <c r="B168" s="34" t="n">
        <v>323.75</v>
      </c>
      <c r="C168" s="34" t="n">
        <v>327.8</v>
      </c>
      <c r="D168" s="34" t="n">
        <v>323.1</v>
      </c>
      <c r="E168" s="34" t="n">
        <v>-1.49</v>
      </c>
      <c r="F168" s="34" t="n">
        <v>9.77</v>
      </c>
      <c r="G168" s="34" t="n">
        <v>413.45</v>
      </c>
      <c r="H168" s="34" t="n">
        <v>316.5</v>
      </c>
      <c r="I168" s="34" t="n">
        <v>-96.07</v>
      </c>
      <c r="J168" s="34" t="n">
        <v>28.69</v>
      </c>
      <c r="K168" s="34" t="n">
        <v>3877012</v>
      </c>
      <c r="L168" s="34" t="n">
        <v>0.711</v>
      </c>
      <c r="M168" s="34" t="n">
        <v>345.35</v>
      </c>
      <c r="N168" s="34" t="n">
        <v>335.4</v>
      </c>
      <c r="O168" s="34" t="n">
        <v>328.65</v>
      </c>
      <c r="P168" s="34" t="n">
        <v>347.3</v>
      </c>
      <c r="Q168" s="34" t="n">
        <v>336.15</v>
      </c>
      <c r="R168" s="34" t="n">
        <v>327.8</v>
      </c>
      <c r="S168" s="34" t="n">
        <v>47.74</v>
      </c>
      <c r="T168" s="34" t="n">
        <v>0.018</v>
      </c>
      <c r="U168" s="34" t="n">
        <v>647</v>
      </c>
      <c r="V168" s="34" t="n">
        <v>305</v>
      </c>
    </row>
    <row r="169" customFormat="false" ht="15.75" hidden="false" customHeight="true" outlineLevel="0" collapsed="false">
      <c r="A169" s="34" t="s">
        <v>217</v>
      </c>
      <c r="B169" s="34" t="n">
        <v>320.6</v>
      </c>
      <c r="C169" s="34" t="n">
        <v>326.3</v>
      </c>
      <c r="D169" s="34" t="n">
        <v>320.1</v>
      </c>
      <c r="E169" s="34" t="n">
        <v>-1</v>
      </c>
      <c r="F169" s="34" t="n">
        <v>6.47</v>
      </c>
      <c r="G169" s="34" t="n">
        <v>338.6</v>
      </c>
      <c r="H169" s="34" t="n">
        <v>282.7</v>
      </c>
      <c r="I169" s="34" t="n">
        <v>-41.25</v>
      </c>
      <c r="J169" s="34" t="n">
        <v>36.77</v>
      </c>
      <c r="K169" s="34" t="n">
        <v>8800024</v>
      </c>
      <c r="L169" s="34" t="n">
        <v>0.804</v>
      </c>
      <c r="M169" s="34" t="n">
        <v>319.23</v>
      </c>
      <c r="N169" s="34" t="n">
        <v>329.88</v>
      </c>
      <c r="O169" s="34" t="n">
        <v>323.85</v>
      </c>
      <c r="P169" s="34" t="n">
        <v>319.23</v>
      </c>
      <c r="Q169" s="34" t="n">
        <v>323.82</v>
      </c>
      <c r="R169" s="34" t="n">
        <v>324.8</v>
      </c>
      <c r="S169" s="34" t="n">
        <v>11.68</v>
      </c>
      <c r="T169" s="34" t="n">
        <v>0.119</v>
      </c>
      <c r="U169" s="34" t="n">
        <v>394.7</v>
      </c>
      <c r="V169" s="34" t="n">
        <v>198.65</v>
      </c>
    </row>
    <row r="170" customFormat="false" ht="15.75" hidden="false" customHeight="true" outlineLevel="0" collapsed="false">
      <c r="A170" s="34" t="s">
        <v>656</v>
      </c>
      <c r="B170" s="34" t="n">
        <v>319.1</v>
      </c>
      <c r="C170" s="34" t="n">
        <v>324</v>
      </c>
      <c r="D170" s="34" t="n">
        <v>318.25</v>
      </c>
      <c r="E170" s="34" t="n">
        <v>-0.839</v>
      </c>
      <c r="F170" s="34" t="n">
        <v>8.32</v>
      </c>
      <c r="G170" s="34" t="n">
        <v>331.35</v>
      </c>
      <c r="H170" s="34" t="n">
        <v>243.26</v>
      </c>
      <c r="I170" s="34" t="n">
        <v>110.04</v>
      </c>
      <c r="J170" s="34" t="n">
        <v>60.32</v>
      </c>
      <c r="K170" s="34" t="n">
        <v>22868269</v>
      </c>
      <c r="L170" s="34" t="n">
        <v>1.04</v>
      </c>
      <c r="M170" s="34" t="n">
        <v>307.71</v>
      </c>
      <c r="N170" s="34" t="n">
        <v>316.78</v>
      </c>
      <c r="O170" s="34" t="n">
        <v>321.8</v>
      </c>
      <c r="P170" s="34" t="n">
        <v>307.71</v>
      </c>
      <c r="Q170" s="34" t="n">
        <v>316.78</v>
      </c>
      <c r="R170" s="34" t="n">
        <v>321.8</v>
      </c>
      <c r="S170" s="34" t="n">
        <v>3.7</v>
      </c>
      <c r="T170" s="34" t="n">
        <v>0.125</v>
      </c>
      <c r="U170" s="34" t="n">
        <v>331.35</v>
      </c>
      <c r="V170" s="34" t="n">
        <v>194.8</v>
      </c>
    </row>
    <row r="171" customFormat="false" ht="15.75" hidden="false" customHeight="true" outlineLevel="0" collapsed="false">
      <c r="A171" s="34" t="s">
        <v>205</v>
      </c>
      <c r="B171" s="34" t="n">
        <v>316.7</v>
      </c>
      <c r="C171" s="34" t="n">
        <v>326</v>
      </c>
      <c r="D171" s="34" t="n">
        <v>316</v>
      </c>
      <c r="E171" s="34" t="n">
        <v>-1.29</v>
      </c>
      <c r="F171" s="34" t="n">
        <v>7.53</v>
      </c>
      <c r="G171" s="34" t="n">
        <v>362</v>
      </c>
      <c r="H171" s="34" t="n">
        <v>314</v>
      </c>
      <c r="I171" s="34" t="n">
        <v>-73.84</v>
      </c>
      <c r="J171" s="34" t="n">
        <v>34.56</v>
      </c>
      <c r="K171" s="34" t="n">
        <v>2224116</v>
      </c>
      <c r="L171" s="34" t="n">
        <v>0.945</v>
      </c>
      <c r="M171" s="34" t="n">
        <v>330.92</v>
      </c>
      <c r="N171" s="34" t="n">
        <v>328.38</v>
      </c>
      <c r="O171" s="34" t="n">
        <v>320.85</v>
      </c>
      <c r="P171" s="34" t="n">
        <v>330.92</v>
      </c>
      <c r="Q171" s="34" t="n">
        <v>332.51</v>
      </c>
      <c r="R171" s="34" t="n">
        <v>320.85</v>
      </c>
      <c r="S171" s="34" t="n">
        <v>34.57</v>
      </c>
      <c r="T171" s="34" t="n">
        <v>0.016</v>
      </c>
      <c r="U171" s="34" t="n">
        <v>484</v>
      </c>
      <c r="V171" s="34" t="n">
        <v>301</v>
      </c>
    </row>
    <row r="172" customFormat="false" ht="15.75" hidden="false" customHeight="true" outlineLevel="0" collapsed="false">
      <c r="A172" s="34" t="s">
        <v>198</v>
      </c>
      <c r="B172" s="34" t="n">
        <v>316.45</v>
      </c>
      <c r="C172" s="34" t="n">
        <v>320.35</v>
      </c>
      <c r="D172" s="34" t="n">
        <v>314.7</v>
      </c>
      <c r="E172" s="34" t="n">
        <v>-1.09</v>
      </c>
      <c r="F172" s="34" t="n">
        <v>7.61</v>
      </c>
      <c r="G172" s="34" t="n">
        <v>358.65</v>
      </c>
      <c r="H172" s="34" t="n">
        <v>299.3</v>
      </c>
      <c r="I172" s="34" t="n">
        <v>-60.89</v>
      </c>
      <c r="J172" s="34" t="n">
        <v>39.76</v>
      </c>
      <c r="K172" s="34" t="n">
        <v>3007301</v>
      </c>
      <c r="L172" s="34" t="n">
        <v>0.793</v>
      </c>
      <c r="M172" s="34" t="n">
        <v>326.67</v>
      </c>
      <c r="N172" s="34" t="n">
        <v>325.32</v>
      </c>
      <c r="O172" s="34" t="n">
        <v>319.95</v>
      </c>
      <c r="P172" s="34" t="n">
        <v>326.67</v>
      </c>
      <c r="Q172" s="34" t="n">
        <v>325.6</v>
      </c>
      <c r="R172" s="34" t="n">
        <v>320.2</v>
      </c>
      <c r="S172" s="34" t="n">
        <v>15.84</v>
      </c>
      <c r="T172" s="34" t="n">
        <v>0.083</v>
      </c>
      <c r="U172" s="34" t="n">
        <v>376</v>
      </c>
      <c r="V172" s="34" t="n">
        <v>234.01</v>
      </c>
    </row>
    <row r="173" customFormat="false" ht="15.75" hidden="false" customHeight="true" outlineLevel="0" collapsed="false">
      <c r="A173" s="34" t="s">
        <v>69</v>
      </c>
      <c r="B173" s="34" t="n">
        <v>286.35</v>
      </c>
      <c r="C173" s="34" t="n">
        <v>292.4</v>
      </c>
      <c r="D173" s="34" t="n">
        <v>284.75</v>
      </c>
      <c r="E173" s="34" t="n">
        <v>-1.7</v>
      </c>
      <c r="F173" s="34" t="n">
        <v>8.55</v>
      </c>
      <c r="G173" s="34" t="n">
        <v>292.4</v>
      </c>
      <c r="H173" s="34" t="n">
        <v>236</v>
      </c>
      <c r="I173" s="34" t="n">
        <v>111.52</v>
      </c>
      <c r="J173" s="34" t="n">
        <v>62</v>
      </c>
      <c r="K173" s="34" t="n">
        <v>4034078</v>
      </c>
      <c r="L173" s="34" t="n">
        <v>0.561</v>
      </c>
      <c r="M173" s="34" t="n">
        <v>271.46</v>
      </c>
      <c r="N173" s="34" t="n">
        <v>280.02</v>
      </c>
      <c r="O173" s="34" t="n">
        <v>291.3</v>
      </c>
      <c r="P173" s="34" t="n">
        <v>270.26</v>
      </c>
      <c r="Q173" s="34" t="n">
        <v>278.92</v>
      </c>
      <c r="R173" s="34" t="n">
        <v>291.8</v>
      </c>
      <c r="S173" s="34" t="n">
        <v>2.07</v>
      </c>
      <c r="T173" s="34" t="n">
        <v>0.174</v>
      </c>
      <c r="U173" s="34" t="n">
        <v>292.4</v>
      </c>
      <c r="V173" s="34" t="n">
        <v>149.01</v>
      </c>
    </row>
    <row r="174" customFormat="false" ht="15.75" hidden="false" customHeight="true" outlineLevel="0" collapsed="false">
      <c r="A174" s="34" t="s">
        <v>80</v>
      </c>
      <c r="B174" s="34" t="n">
        <v>283.35</v>
      </c>
      <c r="C174" s="34" t="n">
        <v>284.55</v>
      </c>
      <c r="D174" s="34" t="n">
        <v>281.8</v>
      </c>
      <c r="E174" s="34" t="n">
        <v>-0.229</v>
      </c>
      <c r="F174" s="34" t="n">
        <v>3.9</v>
      </c>
      <c r="G174" s="34" t="n">
        <v>302.7</v>
      </c>
      <c r="H174" s="34" t="n">
        <v>281.8</v>
      </c>
      <c r="I174" s="34" t="n">
        <v>-137.8</v>
      </c>
      <c r="J174" s="34" t="n">
        <v>30.76</v>
      </c>
      <c r="K174" s="34" t="n">
        <v>6824790</v>
      </c>
      <c r="L174" s="34" t="n">
        <v>0.924</v>
      </c>
      <c r="M174" s="34" t="n">
        <v>291.33</v>
      </c>
      <c r="N174" s="34" t="n">
        <v>287.25</v>
      </c>
      <c r="O174" s="34" t="n">
        <v>284</v>
      </c>
      <c r="P174" s="34" t="n">
        <v>294.32</v>
      </c>
      <c r="Q174" s="34" t="n">
        <v>290.8</v>
      </c>
      <c r="R174" s="34" t="n">
        <v>284</v>
      </c>
      <c r="S174" s="34" t="n">
        <v>22.63</v>
      </c>
      <c r="T174" s="34" t="n">
        <v>0.045</v>
      </c>
      <c r="U174" s="34" t="n">
        <v>366.25</v>
      </c>
      <c r="V174" s="34" t="n">
        <v>247.3</v>
      </c>
    </row>
    <row r="175" customFormat="false" ht="15.75" hidden="false" customHeight="true" outlineLevel="0" collapsed="false">
      <c r="A175" s="34" t="s">
        <v>189</v>
      </c>
      <c r="B175" s="34" t="n">
        <v>276.95</v>
      </c>
      <c r="C175" s="34" t="n">
        <v>279.15</v>
      </c>
      <c r="D175" s="34" t="n">
        <v>276.3</v>
      </c>
      <c r="E175" s="34" t="n">
        <v>-0.449</v>
      </c>
      <c r="F175" s="34" t="n">
        <v>5.88</v>
      </c>
      <c r="G175" s="34" t="n">
        <v>313.4</v>
      </c>
      <c r="H175" s="34" t="n">
        <v>270.1</v>
      </c>
      <c r="I175" s="34" t="n">
        <v>-41.15</v>
      </c>
      <c r="J175" s="34" t="n">
        <v>44.12</v>
      </c>
      <c r="K175" s="34" t="n">
        <v>608459</v>
      </c>
      <c r="L175" s="34" t="n">
        <v>0.76</v>
      </c>
      <c r="M175" s="34" t="n">
        <v>285.39</v>
      </c>
      <c r="N175" s="34" t="n">
        <v>273.68</v>
      </c>
      <c r="O175" s="34" t="n">
        <v>278.2</v>
      </c>
      <c r="P175" s="34" t="n">
        <v>285.39</v>
      </c>
      <c r="Q175" s="34" t="n">
        <v>273.68</v>
      </c>
      <c r="R175" s="34" t="n">
        <v>278.2</v>
      </c>
      <c r="S175" s="34" t="n">
        <v>25.71</v>
      </c>
      <c r="T175" s="34" t="n">
        <v>0.01</v>
      </c>
      <c r="U175" s="34" t="n">
        <v>384.2</v>
      </c>
      <c r="V175" s="34" t="n">
        <v>269.6</v>
      </c>
    </row>
    <row r="176" customFormat="false" ht="15.75" hidden="false" customHeight="true" outlineLevel="0" collapsed="false">
      <c r="A176" s="34" t="s">
        <v>97</v>
      </c>
      <c r="B176" s="34" t="n">
        <v>266.75</v>
      </c>
      <c r="C176" s="34" t="n">
        <v>268.75</v>
      </c>
      <c r="D176" s="34" t="n">
        <v>264</v>
      </c>
      <c r="E176" s="34" t="n">
        <v>0.528</v>
      </c>
      <c r="F176" s="34" t="n">
        <v>6.67</v>
      </c>
      <c r="G176" s="34" t="n">
        <v>284.9</v>
      </c>
      <c r="H176" s="34" t="n">
        <v>245.8</v>
      </c>
      <c r="I176" s="34" t="n">
        <v>93.25</v>
      </c>
      <c r="J176" s="34" t="n">
        <v>58.99</v>
      </c>
      <c r="K176" s="34" t="n">
        <v>1650986</v>
      </c>
      <c r="L176" s="34" t="n">
        <v>0.995</v>
      </c>
      <c r="M176" s="34" t="n">
        <v>252.54</v>
      </c>
      <c r="N176" s="34" t="n">
        <v>259.83</v>
      </c>
      <c r="O176" s="34" t="n">
        <v>265.35</v>
      </c>
      <c r="P176" s="34" t="n">
        <v>251.74</v>
      </c>
      <c r="Q176" s="34" t="n">
        <v>259.83</v>
      </c>
      <c r="R176" s="34" t="n">
        <v>265.35</v>
      </c>
      <c r="S176" s="34" t="n">
        <v>6.37</v>
      </c>
      <c r="T176" s="34" t="n">
        <v>0.182</v>
      </c>
      <c r="U176" s="34" t="n">
        <v>284.9</v>
      </c>
      <c r="V176" s="34" t="n">
        <v>138.35</v>
      </c>
    </row>
    <row r="177" customFormat="false" ht="15.75" hidden="false" customHeight="true" outlineLevel="0" collapsed="false">
      <c r="A177" s="34" t="s">
        <v>112</v>
      </c>
      <c r="B177" s="34" t="n">
        <v>253.15</v>
      </c>
      <c r="C177" s="34" t="n">
        <v>257.85</v>
      </c>
      <c r="D177" s="34" t="n">
        <v>251.9</v>
      </c>
      <c r="E177" s="34" t="n">
        <v>-0.394</v>
      </c>
      <c r="F177" s="34" t="n">
        <v>7.55</v>
      </c>
      <c r="G177" s="34" t="n">
        <v>272.88</v>
      </c>
      <c r="H177" s="34" t="n">
        <v>214.04</v>
      </c>
      <c r="I177" s="34" t="n">
        <v>-86.06</v>
      </c>
      <c r="J177" s="34" t="n">
        <v>40.47</v>
      </c>
      <c r="K177" s="34" t="n">
        <v>4286417</v>
      </c>
      <c r="L177" s="34" t="n">
        <v>1.01</v>
      </c>
      <c r="M177" s="34" t="n">
        <v>250.97</v>
      </c>
      <c r="N177" s="34" t="n">
        <v>262.53</v>
      </c>
      <c r="O177" s="34" t="n">
        <v>254.15</v>
      </c>
      <c r="P177" s="34" t="n">
        <v>250.97</v>
      </c>
      <c r="Q177" s="34" t="n">
        <v>262.53</v>
      </c>
      <c r="R177" s="34" t="n">
        <v>254.1</v>
      </c>
      <c r="S177" s="34" t="n">
        <v>7.23</v>
      </c>
      <c r="T177" s="34" t="n">
        <v>0.168</v>
      </c>
      <c r="U177" s="34" t="n">
        <v>277.25</v>
      </c>
      <c r="V177" s="34" t="n">
        <v>146.1</v>
      </c>
    </row>
    <row r="178" customFormat="false" ht="15.75" hidden="false" customHeight="true" outlineLevel="0" collapsed="false">
      <c r="A178" s="34" t="s">
        <v>48</v>
      </c>
      <c r="B178" s="34" t="n">
        <v>248.64</v>
      </c>
      <c r="C178" s="34" t="n">
        <v>253</v>
      </c>
      <c r="D178" s="34" t="n">
        <v>247.61</v>
      </c>
      <c r="E178" s="34" t="n">
        <v>-0.508</v>
      </c>
      <c r="F178" s="34" t="n">
        <v>4.94</v>
      </c>
      <c r="G178" s="34" t="n">
        <v>271.9</v>
      </c>
      <c r="H178" s="34" t="n">
        <v>238.4</v>
      </c>
      <c r="I178" s="34" t="n">
        <v>56.89</v>
      </c>
      <c r="J178" s="34" t="n">
        <v>55.17</v>
      </c>
      <c r="K178" s="34" t="n">
        <v>13569516</v>
      </c>
      <c r="L178" s="34" t="n">
        <v>1.78</v>
      </c>
      <c r="M178" s="34" t="n">
        <v>251.39</v>
      </c>
      <c r="N178" s="34" t="n">
        <v>246.2</v>
      </c>
      <c r="O178" s="34" t="n">
        <v>249.91</v>
      </c>
      <c r="P178" s="34" t="n">
        <v>251.39</v>
      </c>
      <c r="Q178" s="34" t="n">
        <v>246.2</v>
      </c>
      <c r="R178" s="34" t="n">
        <v>252</v>
      </c>
      <c r="S178" s="34" t="n">
        <v>23.4</v>
      </c>
      <c r="T178" s="34" t="n">
        <v>0.034</v>
      </c>
      <c r="U178" s="34" t="n">
        <v>324.6</v>
      </c>
      <c r="V178" s="34" t="n">
        <v>228</v>
      </c>
    </row>
    <row r="179" customFormat="false" ht="15.75" hidden="false" customHeight="true" outlineLevel="0" collapsed="false">
      <c r="A179" s="34" t="s">
        <v>111</v>
      </c>
      <c r="B179" s="34" t="n">
        <v>240.23</v>
      </c>
      <c r="C179" s="34" t="n">
        <v>244.57</v>
      </c>
      <c r="D179" s="34" t="n">
        <v>240</v>
      </c>
      <c r="E179" s="34" t="n">
        <v>-1.29</v>
      </c>
      <c r="F179" s="34" t="n">
        <v>4.38</v>
      </c>
      <c r="G179" s="34" t="n">
        <v>250.57</v>
      </c>
      <c r="H179" s="34" t="n">
        <v>230.52</v>
      </c>
      <c r="I179" s="34" t="n">
        <v>-12.05</v>
      </c>
      <c r="J179" s="34" t="n">
        <v>40.96</v>
      </c>
      <c r="K179" s="34" t="n">
        <v>5946039</v>
      </c>
      <c r="L179" s="34" t="n">
        <v>1.36</v>
      </c>
      <c r="M179" s="34" t="n">
        <v>247.24</v>
      </c>
      <c r="N179" s="34" t="n">
        <v>246.77</v>
      </c>
      <c r="O179" s="34" t="n">
        <v>243.36</v>
      </c>
      <c r="P179" s="34" t="n">
        <v>247.24</v>
      </c>
      <c r="Q179" s="34" t="n">
        <v>242.02</v>
      </c>
      <c r="R179" s="34" t="n">
        <v>243.2</v>
      </c>
      <c r="S179" s="34" t="n">
        <v>10.01</v>
      </c>
      <c r="T179" s="34" t="n">
        <v>0.086</v>
      </c>
      <c r="U179" s="34" t="n">
        <v>299.7</v>
      </c>
      <c r="V179" s="34" t="n">
        <v>190.7</v>
      </c>
    </row>
    <row r="180" customFormat="false" ht="15.75" hidden="false" customHeight="true" outlineLevel="0" collapsed="false">
      <c r="A180" s="34" t="s">
        <v>166</v>
      </c>
      <c r="B180" s="34" t="n">
        <v>236.29</v>
      </c>
      <c r="C180" s="34" t="n">
        <v>238.63</v>
      </c>
      <c r="D180" s="34" t="n">
        <v>235.89</v>
      </c>
      <c r="E180" s="34" t="n">
        <v>-0.839</v>
      </c>
      <c r="F180" s="34" t="n">
        <v>3.13</v>
      </c>
      <c r="G180" s="34" t="n">
        <v>257.5</v>
      </c>
      <c r="H180" s="34" t="n">
        <v>231.31</v>
      </c>
      <c r="I180" s="34" t="n">
        <v>-11.29</v>
      </c>
      <c r="J180" s="34" t="n">
        <v>41.97</v>
      </c>
      <c r="K180" s="34" t="n">
        <v>5423808</v>
      </c>
      <c r="L180" s="34" t="n">
        <v>0.669</v>
      </c>
      <c r="M180" s="34" t="n">
        <v>239.74</v>
      </c>
      <c r="N180" s="34" t="n">
        <v>235.86</v>
      </c>
      <c r="O180" s="34" t="n">
        <v>238.29</v>
      </c>
      <c r="P180" s="34" t="n">
        <v>239.74</v>
      </c>
      <c r="Q180" s="34" t="n">
        <v>235.86</v>
      </c>
      <c r="R180" s="34" t="n">
        <v>238</v>
      </c>
      <c r="S180" s="34" t="n">
        <v>29.34</v>
      </c>
      <c r="T180" s="34" t="n">
        <v>0.056</v>
      </c>
      <c r="U180" s="34" t="n">
        <v>345</v>
      </c>
      <c r="V180" s="34" t="n">
        <v>205</v>
      </c>
    </row>
    <row r="181" customFormat="false" ht="15.75" hidden="false" customHeight="true" outlineLevel="0" collapsed="false">
      <c r="A181" s="34" t="s">
        <v>243</v>
      </c>
      <c r="B181" s="34" t="n">
        <v>224.94</v>
      </c>
      <c r="C181" s="34" t="n">
        <v>227.88</v>
      </c>
      <c r="D181" s="34" t="n">
        <v>224.39</v>
      </c>
      <c r="E181" s="34" t="n">
        <v>-0.004</v>
      </c>
      <c r="F181" s="34" t="n">
        <v>6.23</v>
      </c>
      <c r="G181" s="34" t="n">
        <v>229.15</v>
      </c>
      <c r="H181" s="34" t="n">
        <v>191.16</v>
      </c>
      <c r="I181" s="34" t="n">
        <v>148.85</v>
      </c>
      <c r="J181" s="34" t="n">
        <v>71.63</v>
      </c>
      <c r="K181" s="34" t="n">
        <v>4074331</v>
      </c>
      <c r="L181" s="34" t="n">
        <v>0.723</v>
      </c>
      <c r="M181" s="34" t="n">
        <v>213.76</v>
      </c>
      <c r="N181" s="34" t="n">
        <v>219.95</v>
      </c>
      <c r="O181" s="34" t="n">
        <v>224.95</v>
      </c>
      <c r="P181" s="34" t="n">
        <v>213.31</v>
      </c>
      <c r="Q181" s="34" t="n">
        <v>219.95</v>
      </c>
      <c r="R181" s="34" t="n">
        <v>224.95</v>
      </c>
      <c r="S181" s="34" t="n">
        <v>1.84</v>
      </c>
      <c r="T181" s="34" t="n">
        <v>0.144</v>
      </c>
      <c r="U181" s="34" t="n">
        <v>229.8</v>
      </c>
      <c r="V181" s="34" t="n">
        <v>154.9</v>
      </c>
    </row>
    <row r="182" customFormat="false" ht="15.75" hidden="false" customHeight="true" outlineLevel="0" collapsed="false">
      <c r="A182" s="34" t="s">
        <v>118</v>
      </c>
      <c r="B182" s="34" t="n">
        <v>222.7</v>
      </c>
      <c r="C182" s="34" t="n">
        <v>225.48</v>
      </c>
      <c r="D182" s="34" t="n">
        <v>221.79</v>
      </c>
      <c r="E182" s="34" t="n">
        <v>0.41</v>
      </c>
      <c r="F182" s="34" t="n">
        <v>5.86</v>
      </c>
      <c r="G182" s="34" t="n">
        <v>225.48</v>
      </c>
      <c r="H182" s="34" t="n">
        <v>180.61</v>
      </c>
      <c r="I182" s="34" t="n">
        <v>210.04</v>
      </c>
      <c r="J182" s="34" t="n">
        <v>82.92</v>
      </c>
      <c r="K182" s="34" t="n">
        <v>8534433</v>
      </c>
      <c r="L182" s="34" t="n">
        <v>0.837</v>
      </c>
      <c r="M182" s="34" t="n">
        <v>212</v>
      </c>
      <c r="N182" s="34" t="n">
        <v>217.82</v>
      </c>
      <c r="O182" s="34" t="n">
        <v>221.79</v>
      </c>
      <c r="P182" s="34" t="n">
        <v>207.65</v>
      </c>
      <c r="Q182" s="34" t="n">
        <v>213.7</v>
      </c>
      <c r="R182" s="34" t="n">
        <v>222.48</v>
      </c>
      <c r="S182" s="34" t="n">
        <v>1.23</v>
      </c>
      <c r="T182" s="34" t="n">
        <v>0.205</v>
      </c>
      <c r="U182" s="34" t="n">
        <v>225.48</v>
      </c>
      <c r="V182" s="34" t="n">
        <v>129.2</v>
      </c>
    </row>
    <row r="183" customFormat="false" ht="15.75" hidden="false" customHeight="true" outlineLevel="0" collapsed="false">
      <c r="A183" s="34" t="s">
        <v>107</v>
      </c>
      <c r="B183" s="34" t="n">
        <v>218.59</v>
      </c>
      <c r="C183" s="34" t="n">
        <v>219.79</v>
      </c>
      <c r="D183" s="34" t="n">
        <v>217.02</v>
      </c>
      <c r="E183" s="34" t="n">
        <v>0.05</v>
      </c>
      <c r="F183" s="34" t="n">
        <v>5.62</v>
      </c>
      <c r="G183" s="34" t="n">
        <v>272.1</v>
      </c>
      <c r="H183" s="34" t="n">
        <v>216.04</v>
      </c>
      <c r="I183" s="34" t="n">
        <v>-85.53</v>
      </c>
      <c r="J183" s="34" t="n">
        <v>32.79</v>
      </c>
      <c r="K183" s="34" t="n">
        <v>3264568</v>
      </c>
      <c r="L183" s="34" t="n">
        <v>0.908</v>
      </c>
      <c r="M183" s="34" t="n">
        <v>230.21</v>
      </c>
      <c r="N183" s="34" t="n">
        <v>224.31</v>
      </c>
      <c r="O183" s="34" t="n">
        <v>218.48</v>
      </c>
      <c r="P183" s="34" t="n">
        <v>231.88</v>
      </c>
      <c r="Q183" s="34" t="n">
        <v>224.98</v>
      </c>
      <c r="R183" s="34" t="n">
        <v>218.98</v>
      </c>
      <c r="S183" s="34" t="n">
        <v>28.1</v>
      </c>
      <c r="T183" s="34" t="n">
        <v>0.09</v>
      </c>
      <c r="U183" s="34" t="n">
        <v>335.35</v>
      </c>
      <c r="V183" s="34" t="n">
        <v>176</v>
      </c>
    </row>
    <row r="184" customFormat="false" ht="15.75" hidden="false" customHeight="true" outlineLevel="0" collapsed="false">
      <c r="A184" s="34" t="s">
        <v>223</v>
      </c>
      <c r="B184" s="34" t="n">
        <v>216.96</v>
      </c>
      <c r="C184" s="34" t="n">
        <v>219.97</v>
      </c>
      <c r="D184" s="34" t="n">
        <v>216.57</v>
      </c>
      <c r="E184" s="34" t="n">
        <v>-0.836</v>
      </c>
      <c r="F184" s="34" t="n">
        <v>4.94</v>
      </c>
      <c r="G184" s="34" t="n">
        <v>236.89</v>
      </c>
      <c r="H184" s="34" t="n">
        <v>207.22</v>
      </c>
      <c r="I184" s="34" t="n">
        <v>-36.96</v>
      </c>
      <c r="J184" s="34" t="n">
        <v>39</v>
      </c>
      <c r="K184" s="34" t="n">
        <v>1619585</v>
      </c>
      <c r="L184" s="34" t="n">
        <v>1.31</v>
      </c>
      <c r="M184" s="34" t="n">
        <v>210.58</v>
      </c>
      <c r="N184" s="34" t="n">
        <v>216.84</v>
      </c>
      <c r="O184" s="34" t="n">
        <v>218.79</v>
      </c>
      <c r="P184" s="34" t="n">
        <v>210.58</v>
      </c>
      <c r="Q184" s="34" t="n">
        <v>216.84</v>
      </c>
      <c r="R184" s="34" t="n">
        <v>218.51</v>
      </c>
      <c r="S184" s="34" t="n">
        <v>34.41</v>
      </c>
      <c r="T184" s="34" t="n">
        <v>0.1</v>
      </c>
      <c r="U184" s="34" t="n">
        <v>364.5</v>
      </c>
      <c r="V184" s="34" t="n">
        <v>170.05</v>
      </c>
    </row>
    <row r="185" customFormat="false" ht="15.75" hidden="false" customHeight="true" outlineLevel="0" collapsed="false">
      <c r="A185" s="34" t="s">
        <v>212</v>
      </c>
      <c r="B185" s="34" t="n">
        <v>211.84</v>
      </c>
      <c r="C185" s="34" t="n">
        <v>216.43</v>
      </c>
      <c r="D185" s="34" t="n">
        <v>211</v>
      </c>
      <c r="E185" s="34" t="n">
        <v>-0.474</v>
      </c>
      <c r="F185" s="34" t="n">
        <v>4.82</v>
      </c>
      <c r="G185" s="34" t="n">
        <v>242.9</v>
      </c>
      <c r="H185" s="34" t="n">
        <v>205.7</v>
      </c>
      <c r="I185" s="34" t="n">
        <v>-7.63</v>
      </c>
      <c r="J185" s="34" t="n">
        <v>44.58</v>
      </c>
      <c r="K185" s="34" t="n">
        <v>3788041</v>
      </c>
      <c r="L185" s="34" t="n">
        <v>1.86</v>
      </c>
      <c r="M185" s="34" t="n">
        <v>219.5</v>
      </c>
      <c r="N185" s="34" t="n">
        <v>208.97</v>
      </c>
      <c r="O185" s="34" t="n">
        <v>212.85</v>
      </c>
      <c r="P185" s="34" t="n">
        <v>219.5</v>
      </c>
      <c r="Q185" s="34" t="n">
        <v>208.97</v>
      </c>
      <c r="R185" s="34" t="n">
        <v>213.39</v>
      </c>
      <c r="S185" s="34" t="n">
        <v>29.32</v>
      </c>
      <c r="T185" s="34" t="n">
        <v>0.12</v>
      </c>
      <c r="U185" s="34" t="n">
        <v>353.7</v>
      </c>
      <c r="V185" s="34" t="n">
        <v>158.85</v>
      </c>
    </row>
    <row r="186" customFormat="false" ht="15.75" hidden="false" customHeight="true" outlineLevel="0" collapsed="false">
      <c r="A186" s="34" t="s">
        <v>151</v>
      </c>
      <c r="B186" s="34" t="n">
        <v>207.21</v>
      </c>
      <c r="C186" s="34" t="n">
        <v>208.6</v>
      </c>
      <c r="D186" s="34" t="n">
        <v>205.3</v>
      </c>
      <c r="E186" s="34" t="n">
        <v>0.237</v>
      </c>
      <c r="F186" s="34" t="n">
        <v>4.18</v>
      </c>
      <c r="G186" s="34" t="n">
        <v>229</v>
      </c>
      <c r="H186" s="34" t="n">
        <v>193.12</v>
      </c>
      <c r="I186" s="34" t="n">
        <v>155.99</v>
      </c>
      <c r="J186" s="34" t="n">
        <v>58.36</v>
      </c>
      <c r="K186" s="34" t="n">
        <v>1464162</v>
      </c>
      <c r="L186" s="34" t="n">
        <v>0.602</v>
      </c>
      <c r="M186" s="34" t="n">
        <v>212.92</v>
      </c>
      <c r="N186" s="34" t="n">
        <v>207.43</v>
      </c>
      <c r="O186" s="34" t="n">
        <v>206.72</v>
      </c>
      <c r="P186" s="34" t="n">
        <v>212.92</v>
      </c>
      <c r="Q186" s="34" t="n">
        <v>207.43</v>
      </c>
      <c r="R186" s="34" t="n">
        <v>206.09</v>
      </c>
      <c r="S186" s="34" t="n">
        <v>27.34</v>
      </c>
      <c r="T186" s="34" t="n">
        <v>0.129</v>
      </c>
      <c r="U186" s="34" t="n">
        <v>285.18</v>
      </c>
      <c r="V186" s="34" t="n">
        <v>153.05</v>
      </c>
    </row>
    <row r="187" customFormat="false" ht="15.75" hidden="false" customHeight="true" outlineLevel="0" collapsed="false">
      <c r="A187" s="34" t="s">
        <v>155</v>
      </c>
      <c r="B187" s="34" t="n">
        <v>196.34</v>
      </c>
      <c r="C187" s="34" t="n">
        <v>199.42</v>
      </c>
      <c r="D187" s="34" t="n">
        <v>196</v>
      </c>
      <c r="E187" s="34" t="n">
        <v>-1.55</v>
      </c>
      <c r="F187" s="34" t="n">
        <v>3.25</v>
      </c>
      <c r="G187" s="34" t="n">
        <v>220</v>
      </c>
      <c r="H187" s="34" t="n">
        <v>185.11</v>
      </c>
      <c r="I187" s="34" t="n">
        <v>-37.85</v>
      </c>
      <c r="J187" s="34" t="n">
        <v>36.64</v>
      </c>
      <c r="K187" s="34" t="n">
        <v>2466151</v>
      </c>
      <c r="L187" s="34" t="n">
        <v>0.409</v>
      </c>
      <c r="M187" s="34" t="n">
        <v>200.92</v>
      </c>
      <c r="N187" s="34" t="n">
        <v>201.11</v>
      </c>
      <c r="O187" s="34" t="n">
        <v>199.43</v>
      </c>
      <c r="P187" s="34" t="n">
        <v>200.92</v>
      </c>
      <c r="Q187" s="34" t="n">
        <v>196.68</v>
      </c>
      <c r="R187" s="34" t="n">
        <v>198.99</v>
      </c>
      <c r="S187" s="34" t="n">
        <v>10.75</v>
      </c>
      <c r="T187" s="34" t="n">
        <v>0.062</v>
      </c>
      <c r="U187" s="34" t="n">
        <v>220</v>
      </c>
      <c r="V187" s="34" t="n">
        <v>172.66</v>
      </c>
    </row>
    <row r="188" customFormat="false" ht="15.75" hidden="false" customHeight="true" outlineLevel="0" collapsed="false">
      <c r="A188" s="34" t="s">
        <v>337</v>
      </c>
      <c r="B188" s="34" t="n">
        <v>192.75</v>
      </c>
      <c r="C188" s="34" t="n">
        <v>195.1</v>
      </c>
      <c r="D188" s="34" t="n">
        <v>192.43</v>
      </c>
      <c r="E188" s="34" t="n">
        <v>0.364</v>
      </c>
      <c r="F188" s="34" t="n">
        <v>4.74</v>
      </c>
      <c r="G188" s="34" t="n">
        <v>220.85</v>
      </c>
      <c r="H188" s="34" t="n">
        <v>185.12</v>
      </c>
      <c r="I188" s="34" t="n">
        <v>-18.36</v>
      </c>
      <c r="J188" s="34" t="n">
        <v>48.63</v>
      </c>
      <c r="K188" s="34" t="n">
        <v>2779480</v>
      </c>
      <c r="L188" s="34" t="n">
        <v>0.826</v>
      </c>
      <c r="M188" s="34" t="n">
        <v>201.71</v>
      </c>
      <c r="N188" s="34" t="n">
        <v>195.81</v>
      </c>
      <c r="O188" s="34" t="n">
        <v>192.05</v>
      </c>
      <c r="P188" s="34" t="n">
        <v>201.71</v>
      </c>
      <c r="Q188" s="34" t="n">
        <v>195.81</v>
      </c>
      <c r="R188" s="34" t="n">
        <v>192.5</v>
      </c>
      <c r="S188" s="34" t="n">
        <v>37.4</v>
      </c>
      <c r="T188" s="34" t="n">
        <v>0.03</v>
      </c>
      <c r="U188" s="34" t="n">
        <v>307.9</v>
      </c>
      <c r="V188" s="34" t="n">
        <v>181.62</v>
      </c>
    </row>
    <row r="189" customFormat="false" ht="15.75" hidden="false" customHeight="true" outlineLevel="0" collapsed="false">
      <c r="A189" s="34" t="s">
        <v>39</v>
      </c>
      <c r="B189" s="34" t="n">
        <v>188.87</v>
      </c>
      <c r="C189" s="34" t="n">
        <v>192.17</v>
      </c>
      <c r="D189" s="34" t="n">
        <v>188.5</v>
      </c>
      <c r="E189" s="34" t="n">
        <v>-1.36</v>
      </c>
      <c r="F189" s="34" t="n">
        <v>3.83</v>
      </c>
      <c r="G189" s="34" t="n">
        <v>200</v>
      </c>
      <c r="H189" s="34" t="n">
        <v>179.93</v>
      </c>
      <c r="I189" s="34" t="n">
        <v>47.48</v>
      </c>
      <c r="J189" s="34" t="n">
        <v>47.61</v>
      </c>
      <c r="K189" s="34" t="n">
        <v>2386564</v>
      </c>
      <c r="L189" s="34" t="n">
        <v>0.844</v>
      </c>
      <c r="M189" s="34" t="n">
        <v>184.17</v>
      </c>
      <c r="N189" s="34" t="n">
        <v>188.16</v>
      </c>
      <c r="O189" s="34" t="n">
        <v>191.47</v>
      </c>
      <c r="P189" s="34" t="n">
        <v>184.17</v>
      </c>
      <c r="Q189" s="34" t="n">
        <v>188.16</v>
      </c>
      <c r="R189" s="34" t="n">
        <v>191.1</v>
      </c>
      <c r="S189" s="34" t="n">
        <v>28.18</v>
      </c>
      <c r="T189" s="34" t="n">
        <v>0.145</v>
      </c>
      <c r="U189" s="34" t="n">
        <v>262.99</v>
      </c>
      <c r="V189" s="34" t="n">
        <v>137.75</v>
      </c>
    </row>
    <row r="190" customFormat="false" ht="15.75" hidden="false" customHeight="true" outlineLevel="0" collapsed="false">
      <c r="A190" s="34" t="s">
        <v>180</v>
      </c>
      <c r="B190" s="34" t="n">
        <v>176.81</v>
      </c>
      <c r="C190" s="34" t="n">
        <v>177.94</v>
      </c>
      <c r="D190" s="34" t="n">
        <v>176.05</v>
      </c>
      <c r="E190" s="34" t="n">
        <v>-0.54</v>
      </c>
      <c r="F190" s="34" t="n">
        <v>2.82</v>
      </c>
      <c r="G190" s="34" t="n">
        <v>195.45</v>
      </c>
      <c r="H190" s="34" t="n">
        <v>167.25</v>
      </c>
      <c r="I190" s="34" t="n">
        <v>23.78</v>
      </c>
      <c r="J190" s="34" t="n">
        <v>56.25</v>
      </c>
      <c r="K190" s="34" t="n">
        <v>6424954</v>
      </c>
      <c r="L190" s="34" t="n">
        <v>0.886</v>
      </c>
      <c r="M190" s="34" t="n">
        <v>171.86</v>
      </c>
      <c r="N190" s="34" t="n">
        <v>174.93</v>
      </c>
      <c r="O190" s="34" t="n">
        <v>177.77</v>
      </c>
      <c r="P190" s="34" t="n">
        <v>171.86</v>
      </c>
      <c r="Q190" s="34" t="n">
        <v>174.93</v>
      </c>
      <c r="R190" s="34" t="n">
        <v>177.61</v>
      </c>
      <c r="S190" s="34" t="n">
        <v>27.83</v>
      </c>
      <c r="T190" s="34" t="n">
        <v>0.086</v>
      </c>
      <c r="U190" s="34" t="n">
        <v>246.3</v>
      </c>
      <c r="V190" s="34" t="n">
        <v>150.52</v>
      </c>
    </row>
    <row r="191" customFormat="false" ht="15.75" hidden="false" customHeight="true" outlineLevel="0" collapsed="false">
      <c r="A191" s="34" t="s">
        <v>67</v>
      </c>
      <c r="B191" s="34" t="n">
        <v>173.23</v>
      </c>
      <c r="C191" s="34" t="n">
        <v>176.69</v>
      </c>
      <c r="D191" s="34" t="n">
        <v>172.85</v>
      </c>
      <c r="E191" s="34" t="n">
        <v>-2.03</v>
      </c>
      <c r="F191" s="34" t="n">
        <v>4.37</v>
      </c>
      <c r="G191" s="34" t="n">
        <v>192.48</v>
      </c>
      <c r="H191" s="34" t="n">
        <v>162.25</v>
      </c>
      <c r="I191" s="34" t="n">
        <v>80.05</v>
      </c>
      <c r="J191" s="34" t="n">
        <v>57.55</v>
      </c>
      <c r="K191" s="34" t="n">
        <v>2286727</v>
      </c>
      <c r="L191" s="34" t="n">
        <v>0.455</v>
      </c>
      <c r="M191" s="34" t="n">
        <v>166.71</v>
      </c>
      <c r="N191" s="34" t="n">
        <v>171.15</v>
      </c>
      <c r="O191" s="34" t="n">
        <v>176.82</v>
      </c>
      <c r="P191" s="34" t="n">
        <v>166.71</v>
      </c>
      <c r="Q191" s="34" t="n">
        <v>171.15</v>
      </c>
      <c r="R191" s="34" t="n">
        <v>175.89</v>
      </c>
      <c r="S191" s="34" t="n">
        <v>19.59</v>
      </c>
      <c r="T191" s="34" t="n">
        <v>0.158</v>
      </c>
      <c r="U191" s="34" t="n">
        <v>222.31</v>
      </c>
      <c r="V191" s="34" t="n">
        <v>128.16</v>
      </c>
    </row>
    <row r="192" customFormat="false" ht="15.75" hidden="false" customHeight="true" outlineLevel="0" collapsed="false">
      <c r="A192" s="34" t="s">
        <v>244</v>
      </c>
      <c r="B192" s="34" t="n">
        <v>166.81</v>
      </c>
      <c r="C192" s="34" t="n">
        <v>167.36</v>
      </c>
      <c r="D192" s="34" t="n">
        <v>163.43</v>
      </c>
      <c r="E192" s="34" t="n">
        <v>1.27</v>
      </c>
      <c r="F192" s="34" t="n">
        <v>3.36</v>
      </c>
      <c r="G192" s="34" t="n">
        <v>183</v>
      </c>
      <c r="H192" s="34" t="n">
        <v>160.22</v>
      </c>
      <c r="I192" s="34" t="n">
        <v>-18.78</v>
      </c>
      <c r="J192" s="34" t="n">
        <v>56.21</v>
      </c>
      <c r="K192" s="34" t="n">
        <v>3529510</v>
      </c>
      <c r="L192" s="34" t="n">
        <v>2.47</v>
      </c>
      <c r="M192" s="34" t="n">
        <v>171.46</v>
      </c>
      <c r="N192" s="34" t="n">
        <v>166.82</v>
      </c>
      <c r="O192" s="34" t="n">
        <v>164.72</v>
      </c>
      <c r="P192" s="34" t="n">
        <v>171.46</v>
      </c>
      <c r="Q192" s="34" t="n">
        <v>166.82</v>
      </c>
      <c r="R192" s="34" t="n">
        <v>164.72</v>
      </c>
      <c r="S192" s="34" t="n">
        <v>21.5</v>
      </c>
      <c r="T192" s="34" t="n">
        <v>0.176</v>
      </c>
      <c r="U192" s="34" t="n">
        <v>212.49</v>
      </c>
      <c r="V192" s="34" t="n">
        <v>119</v>
      </c>
    </row>
    <row r="193" customFormat="false" ht="15.75" hidden="false" customHeight="true" outlineLevel="0" collapsed="false">
      <c r="A193" s="34" t="s">
        <v>61</v>
      </c>
      <c r="B193" s="34" t="n">
        <v>158.55</v>
      </c>
      <c r="C193" s="34" t="n">
        <v>161.28</v>
      </c>
      <c r="D193" s="34" t="n">
        <v>158.1</v>
      </c>
      <c r="E193" s="34" t="n">
        <v>-1.83</v>
      </c>
      <c r="F193" s="34" t="n">
        <v>3.32</v>
      </c>
      <c r="G193" s="34" t="n">
        <v>168.78</v>
      </c>
      <c r="H193" s="34" t="n">
        <v>149.8</v>
      </c>
      <c r="I193" s="34" t="n">
        <v>1.74</v>
      </c>
      <c r="J193" s="34" t="n">
        <v>46.31</v>
      </c>
      <c r="K193" s="34" t="n">
        <v>16063695</v>
      </c>
      <c r="L193" s="34" t="n">
        <v>0.929</v>
      </c>
      <c r="M193" s="34" t="n">
        <v>155.23</v>
      </c>
      <c r="N193" s="34" t="n">
        <v>158.55</v>
      </c>
      <c r="O193" s="34" t="n">
        <v>161.51</v>
      </c>
      <c r="P193" s="34" t="n">
        <v>155.23</v>
      </c>
      <c r="Q193" s="34" t="n">
        <v>158.55</v>
      </c>
      <c r="R193" s="34" t="n">
        <v>161.25</v>
      </c>
      <c r="S193" s="34" t="n">
        <v>6.83</v>
      </c>
      <c r="T193" s="34" t="n">
        <v>0.145</v>
      </c>
      <c r="U193" s="34" t="n">
        <v>184.6</v>
      </c>
      <c r="V193" s="34" t="n">
        <v>122.62</v>
      </c>
    </row>
    <row r="194" customFormat="false" ht="15.75" hidden="false" customHeight="true" outlineLevel="0" collapsed="false">
      <c r="A194" s="34" t="s">
        <v>382</v>
      </c>
      <c r="B194" s="34" t="n">
        <v>147.48</v>
      </c>
      <c r="C194" s="34" t="n">
        <v>149.2</v>
      </c>
      <c r="D194" s="34" t="n">
        <v>146.6</v>
      </c>
      <c r="E194" s="34" t="n">
        <v>0.136</v>
      </c>
      <c r="F194" s="34" t="n">
        <v>3.21</v>
      </c>
      <c r="G194" s="34" t="n">
        <v>174.6</v>
      </c>
      <c r="H194" s="34" t="n">
        <v>140.26</v>
      </c>
      <c r="I194" s="34" t="n">
        <v>17.13</v>
      </c>
      <c r="J194" s="34" t="n">
        <v>51.19</v>
      </c>
      <c r="K194" s="34" t="n">
        <v>3658002</v>
      </c>
      <c r="L194" s="34" t="n">
        <v>0.446</v>
      </c>
      <c r="M194" s="34" t="n">
        <v>150.08</v>
      </c>
      <c r="N194" s="34" t="n">
        <v>145.98</v>
      </c>
      <c r="O194" s="34" t="n">
        <v>147.28</v>
      </c>
      <c r="P194" s="34" t="n">
        <v>150.08</v>
      </c>
      <c r="Q194" s="34" t="n">
        <v>145.98</v>
      </c>
      <c r="R194" s="34" t="n">
        <v>147.1</v>
      </c>
      <c r="S194" s="34" t="n">
        <v>43.91</v>
      </c>
      <c r="T194" s="34" t="n">
        <v>0.049</v>
      </c>
      <c r="U194" s="34" t="n">
        <v>310</v>
      </c>
      <c r="V194" s="34" t="n">
        <v>137.01</v>
      </c>
    </row>
    <row r="195" customFormat="false" ht="15.75" hidden="false" customHeight="true" outlineLevel="0" collapsed="false">
      <c r="A195" s="34" t="s">
        <v>76</v>
      </c>
      <c r="B195" s="34" t="n">
        <v>143.92</v>
      </c>
      <c r="C195" s="34" t="n">
        <v>146.07</v>
      </c>
      <c r="D195" s="34" t="n">
        <v>143.43</v>
      </c>
      <c r="E195" s="34" t="n">
        <v>-0.484</v>
      </c>
      <c r="F195" s="34" t="n">
        <v>4.31</v>
      </c>
      <c r="G195" s="34" t="n">
        <v>211.75</v>
      </c>
      <c r="H195" s="34" t="n">
        <v>130.26</v>
      </c>
      <c r="I195" s="34" t="n">
        <v>126.15</v>
      </c>
      <c r="J195" s="34" t="n">
        <v>54.9</v>
      </c>
      <c r="K195" s="34" t="n">
        <v>6706453</v>
      </c>
      <c r="L195" s="34" t="n">
        <v>0.763</v>
      </c>
      <c r="M195" s="34" t="n">
        <v>147.33</v>
      </c>
      <c r="N195" s="34" t="n">
        <v>139.85</v>
      </c>
      <c r="O195" s="34" t="n">
        <v>144.62</v>
      </c>
      <c r="P195" s="34" t="n">
        <v>147.33</v>
      </c>
      <c r="Q195" s="34" t="n">
        <v>139.3</v>
      </c>
      <c r="R195" s="34" t="n">
        <v>144</v>
      </c>
      <c r="S195" s="34" t="n">
        <v>41.11</v>
      </c>
      <c r="T195" s="34" t="n">
        <v>0.069</v>
      </c>
      <c r="U195" s="34" t="n">
        <v>244.4</v>
      </c>
      <c r="V195" s="34" t="n">
        <v>130.26</v>
      </c>
    </row>
    <row r="196" customFormat="false" ht="15.75" hidden="false" customHeight="true" outlineLevel="0" collapsed="false">
      <c r="A196" s="34" t="s">
        <v>439</v>
      </c>
      <c r="B196" s="34" t="n">
        <v>144.05</v>
      </c>
      <c r="C196" s="34" t="n">
        <v>146.45</v>
      </c>
      <c r="D196" s="34" t="n">
        <v>142.6</v>
      </c>
      <c r="E196" s="34" t="n">
        <v>0.967</v>
      </c>
      <c r="F196" s="34" t="n">
        <v>4.78</v>
      </c>
      <c r="G196" s="34" t="n">
        <v>181</v>
      </c>
      <c r="H196" s="34" t="n">
        <v>135.5</v>
      </c>
      <c r="I196" s="34" t="n">
        <v>-33.56</v>
      </c>
      <c r="J196" s="34" t="n">
        <v>47.36</v>
      </c>
      <c r="K196" s="34" t="n">
        <v>7336991</v>
      </c>
      <c r="L196" s="34" t="n">
        <v>1.42</v>
      </c>
      <c r="M196" s="34" t="n">
        <v>146.3</v>
      </c>
      <c r="N196" s="34" t="n">
        <v>139.73</v>
      </c>
      <c r="O196" s="34" t="n">
        <v>142.67</v>
      </c>
      <c r="P196" s="34" t="n">
        <v>146.3</v>
      </c>
      <c r="Q196" s="34" t="n">
        <v>139.35</v>
      </c>
      <c r="R196" s="34" t="n">
        <v>143</v>
      </c>
      <c r="S196" s="34" t="n">
        <v>45</v>
      </c>
      <c r="T196" s="34" t="n">
        <v>0.07</v>
      </c>
      <c r="U196" s="34" t="n">
        <v>261.9</v>
      </c>
      <c r="V196" s="34" t="n">
        <v>130.32</v>
      </c>
    </row>
    <row r="197" customFormat="false" ht="15.75" hidden="false" customHeight="true" outlineLevel="0" collapsed="false">
      <c r="A197" s="34" t="s">
        <v>182</v>
      </c>
      <c r="B197" s="34" t="n">
        <v>139.95</v>
      </c>
      <c r="C197" s="34" t="n">
        <v>141.8</v>
      </c>
      <c r="D197" s="34" t="n">
        <v>139.45</v>
      </c>
      <c r="E197" s="34" t="n">
        <v>-1.05</v>
      </c>
      <c r="F197" s="34" t="n">
        <v>2.65</v>
      </c>
      <c r="G197" s="34" t="n">
        <v>155</v>
      </c>
      <c r="H197" s="34" t="n">
        <v>136.4</v>
      </c>
      <c r="I197" s="34" t="n">
        <v>-77.72</v>
      </c>
      <c r="J197" s="34" t="n">
        <v>35.08</v>
      </c>
      <c r="K197" s="34" t="n">
        <v>5873798</v>
      </c>
      <c r="L197" s="34" t="n">
        <v>0.672</v>
      </c>
      <c r="M197" s="34" t="n">
        <v>146.08</v>
      </c>
      <c r="N197" s="34" t="n">
        <v>143.35</v>
      </c>
      <c r="O197" s="34" t="n">
        <v>141.44</v>
      </c>
      <c r="P197" s="34" t="n">
        <v>146.57</v>
      </c>
      <c r="Q197" s="34" t="n">
        <v>143.52</v>
      </c>
      <c r="R197" s="34" t="n">
        <v>141.4</v>
      </c>
      <c r="S197" s="34" t="n">
        <v>23.94</v>
      </c>
      <c r="T197" s="34" t="n">
        <v>0.15</v>
      </c>
      <c r="U197" s="34" t="n">
        <v>185.97</v>
      </c>
      <c r="V197" s="34" t="n">
        <v>110.72</v>
      </c>
    </row>
    <row r="198" customFormat="false" ht="15.75" hidden="false" customHeight="true" outlineLevel="0" collapsed="false">
      <c r="A198" s="34" t="s">
        <v>213</v>
      </c>
      <c r="B198" s="34" t="n">
        <v>134.76</v>
      </c>
      <c r="C198" s="34" t="n">
        <v>138.22</v>
      </c>
      <c r="D198" s="34" t="n">
        <v>134.6</v>
      </c>
      <c r="E198" s="34" t="n">
        <v>-1.3</v>
      </c>
      <c r="F198" s="34" t="n">
        <v>2.97</v>
      </c>
      <c r="G198" s="34" t="n">
        <v>155.9</v>
      </c>
      <c r="H198" s="34" t="n">
        <v>127.14</v>
      </c>
      <c r="I198" s="34" t="n">
        <v>58.24</v>
      </c>
      <c r="J198" s="34" t="n">
        <v>46.41</v>
      </c>
      <c r="K198" s="34" t="n">
        <v>7284099</v>
      </c>
      <c r="L198" s="34" t="n">
        <v>1.05</v>
      </c>
      <c r="M198" s="34" t="n">
        <v>131.38</v>
      </c>
      <c r="N198" s="34" t="n">
        <v>134.4</v>
      </c>
      <c r="O198" s="34" t="n">
        <v>136.53</v>
      </c>
      <c r="P198" s="34" t="n">
        <v>131.38</v>
      </c>
      <c r="Q198" s="34" t="n">
        <v>134.4</v>
      </c>
      <c r="R198" s="34" t="n">
        <v>136.58</v>
      </c>
      <c r="S198" s="34" t="n">
        <v>15.06</v>
      </c>
      <c r="T198" s="34" t="n">
        <v>0.188</v>
      </c>
      <c r="U198" s="34" t="n">
        <v>172.5</v>
      </c>
      <c r="V198" s="34" t="n">
        <v>100.81</v>
      </c>
    </row>
    <row r="199" customFormat="false" ht="15.75" hidden="false" customHeight="true" outlineLevel="0" collapsed="false">
      <c r="A199" s="34" t="s">
        <v>175</v>
      </c>
      <c r="B199" s="34" t="n">
        <v>131.2</v>
      </c>
      <c r="C199" s="34" t="n">
        <v>132.1</v>
      </c>
      <c r="D199" s="34" t="n">
        <v>129.63</v>
      </c>
      <c r="E199" s="34" t="n">
        <v>0.145</v>
      </c>
      <c r="F199" s="34" t="n">
        <v>3.78</v>
      </c>
      <c r="G199" s="34" t="n">
        <v>134.31</v>
      </c>
      <c r="H199" s="34" t="n">
        <v>114.96</v>
      </c>
      <c r="I199" s="34" t="n">
        <v>125.32</v>
      </c>
      <c r="J199" s="34" t="n">
        <v>68.64</v>
      </c>
      <c r="K199" s="34" t="n">
        <v>11093416</v>
      </c>
      <c r="L199" s="34" t="n">
        <v>0.664</v>
      </c>
      <c r="M199" s="34" t="n">
        <v>125.58</v>
      </c>
      <c r="N199" s="34" t="n">
        <v>129.42</v>
      </c>
      <c r="O199" s="34" t="n">
        <v>131.01</v>
      </c>
      <c r="P199" s="34" t="n">
        <v>125.58</v>
      </c>
      <c r="Q199" s="34" t="n">
        <v>129.42</v>
      </c>
      <c r="R199" s="34" t="n">
        <v>131.01</v>
      </c>
      <c r="S199" s="34" t="n">
        <v>2.32</v>
      </c>
      <c r="T199" s="34" t="n">
        <v>0.215</v>
      </c>
      <c r="U199" s="34" t="n">
        <v>134.31</v>
      </c>
      <c r="V199" s="34" t="n">
        <v>95.93</v>
      </c>
    </row>
    <row r="200" customFormat="false" ht="15.75" hidden="false" customHeight="true" outlineLevel="0" collapsed="false">
      <c r="A200" s="34" t="s">
        <v>230</v>
      </c>
      <c r="B200" s="34" t="n">
        <v>124.98</v>
      </c>
      <c r="C200" s="34" t="n">
        <v>126.2</v>
      </c>
      <c r="D200" s="34" t="n">
        <v>124.85</v>
      </c>
      <c r="E200" s="34" t="n">
        <v>-0.367</v>
      </c>
      <c r="F200" s="34" t="n">
        <v>2.55</v>
      </c>
      <c r="G200" s="34" t="n">
        <v>143.15</v>
      </c>
      <c r="H200" s="34" t="n">
        <v>124.05</v>
      </c>
      <c r="I200" s="34" t="n">
        <v>-78.18</v>
      </c>
      <c r="J200" s="34" t="n">
        <v>37.68</v>
      </c>
      <c r="K200" s="34" t="n">
        <v>4941628</v>
      </c>
      <c r="L200" s="34" t="n">
        <v>0.453</v>
      </c>
      <c r="M200" s="34" t="n">
        <v>130.82</v>
      </c>
      <c r="N200" s="34" t="n">
        <v>128.15</v>
      </c>
      <c r="O200" s="34" t="n">
        <v>125.44</v>
      </c>
      <c r="P200" s="34" t="n">
        <v>131.02</v>
      </c>
      <c r="Q200" s="34" t="n">
        <v>128.15</v>
      </c>
      <c r="R200" s="34" t="n">
        <v>125.44</v>
      </c>
      <c r="S200" s="34" t="n">
        <v>32.15</v>
      </c>
      <c r="T200" s="34" t="n">
        <v>0.109</v>
      </c>
      <c r="U200" s="34" t="n">
        <v>229</v>
      </c>
      <c r="V200" s="34" t="n">
        <v>108.04</v>
      </c>
    </row>
    <row r="201" customFormat="false" ht="15.75" hidden="false" customHeight="true" outlineLevel="0" collapsed="false">
      <c r="A201" s="34" t="s">
        <v>88</v>
      </c>
      <c r="B201" s="34" t="n">
        <v>121.93</v>
      </c>
      <c r="C201" s="34" t="n">
        <v>123.25</v>
      </c>
      <c r="D201" s="34" t="n">
        <v>121.42</v>
      </c>
      <c r="E201" s="34" t="n">
        <v>-1.07</v>
      </c>
      <c r="F201" s="34" t="n">
        <v>2.85</v>
      </c>
      <c r="G201" s="34" t="n">
        <v>139.98</v>
      </c>
      <c r="H201" s="34" t="n">
        <v>119.75</v>
      </c>
      <c r="I201" s="34" t="n">
        <v>-68.44</v>
      </c>
      <c r="J201" s="34" t="n">
        <v>41.61</v>
      </c>
      <c r="K201" s="34" t="n">
        <v>5155303</v>
      </c>
      <c r="L201" s="34" t="n">
        <v>1.21</v>
      </c>
      <c r="M201" s="34" t="n">
        <v>127.53</v>
      </c>
      <c r="N201" s="34" t="n">
        <v>124.22</v>
      </c>
      <c r="O201" s="34" t="n">
        <v>123.25</v>
      </c>
      <c r="P201" s="34" t="n">
        <v>127.53</v>
      </c>
      <c r="Q201" s="34" t="n">
        <v>124.22</v>
      </c>
      <c r="R201" s="34" t="n">
        <v>123.23</v>
      </c>
      <c r="S201" s="34" t="n">
        <v>15.44</v>
      </c>
      <c r="T201" s="34" t="n">
        <v>0.154</v>
      </c>
      <c r="U201" s="34" t="n">
        <v>175.35</v>
      </c>
      <c r="V201" s="34" t="n">
        <v>99.15</v>
      </c>
    </row>
    <row r="202" customFormat="false" ht="15.75" hidden="false" customHeight="true" outlineLevel="0" collapsed="false">
      <c r="A202" s="34" t="s">
        <v>227</v>
      </c>
      <c r="B202" s="34" t="n">
        <v>115.46</v>
      </c>
      <c r="C202" s="34" t="n">
        <v>116.84</v>
      </c>
      <c r="D202" s="34" t="n">
        <v>115.2</v>
      </c>
      <c r="E202" s="34" t="n">
        <v>-0.423</v>
      </c>
      <c r="F202" s="34" t="n">
        <v>1.94</v>
      </c>
      <c r="G202" s="34" t="n">
        <v>122.89</v>
      </c>
      <c r="H202" s="34" t="n">
        <v>108.81</v>
      </c>
      <c r="I202" s="34" t="n">
        <v>108.25</v>
      </c>
      <c r="J202" s="34" t="n">
        <v>60.17</v>
      </c>
      <c r="K202" s="34" t="n">
        <v>4478971</v>
      </c>
      <c r="L202" s="34" t="n">
        <v>2.01</v>
      </c>
      <c r="M202" s="34" t="n">
        <v>112.2</v>
      </c>
      <c r="N202" s="34" t="n">
        <v>114.4</v>
      </c>
      <c r="O202" s="34" t="n">
        <v>115.95</v>
      </c>
      <c r="P202" s="34" t="n">
        <v>112.2</v>
      </c>
      <c r="Q202" s="34" t="n">
        <v>114.4</v>
      </c>
      <c r="R202" s="34" t="n">
        <v>115.8</v>
      </c>
      <c r="S202" s="34" t="n">
        <v>11.35</v>
      </c>
      <c r="T202" s="34" t="n">
        <v>0.193</v>
      </c>
      <c r="U202" s="34" t="n">
        <v>157.95</v>
      </c>
      <c r="V202" s="34" t="n">
        <v>90.05</v>
      </c>
    </row>
    <row r="203" customFormat="false" ht="15.75" hidden="false" customHeight="true" outlineLevel="0" collapsed="false">
      <c r="A203" s="34" t="s">
        <v>104</v>
      </c>
      <c r="B203" s="34" t="n">
        <v>109.93</v>
      </c>
      <c r="C203" s="34" t="n">
        <v>111.78</v>
      </c>
      <c r="D203" s="34" t="n">
        <v>109.8</v>
      </c>
      <c r="E203" s="34" t="n">
        <v>-1.03</v>
      </c>
      <c r="F203" s="34" t="n">
        <v>2.02</v>
      </c>
      <c r="G203" s="34" t="n">
        <v>117.5</v>
      </c>
      <c r="H203" s="34" t="n">
        <v>104.6</v>
      </c>
      <c r="I203" s="34" t="n">
        <v>54.47</v>
      </c>
      <c r="J203" s="34" t="n">
        <v>48.93</v>
      </c>
      <c r="K203" s="34" t="n">
        <v>12841848</v>
      </c>
      <c r="L203" s="34" t="n">
        <v>0.976</v>
      </c>
      <c r="M203" s="34" t="n">
        <v>107.9</v>
      </c>
      <c r="N203" s="34" t="n">
        <v>112.92</v>
      </c>
      <c r="O203" s="34" t="n">
        <v>111.07</v>
      </c>
      <c r="P203" s="34" t="n">
        <v>107.9</v>
      </c>
      <c r="Q203" s="34" t="n">
        <v>110.05</v>
      </c>
      <c r="R203" s="34" t="n">
        <v>111.06</v>
      </c>
      <c r="S203" s="34" t="n">
        <v>7.85</v>
      </c>
      <c r="T203" s="34" t="n">
        <v>0.262</v>
      </c>
      <c r="U203" s="34" t="n">
        <v>128.9</v>
      </c>
      <c r="V203" s="34" t="n">
        <v>78.6</v>
      </c>
    </row>
    <row r="204" customFormat="false" ht="15.75" hidden="false" customHeight="true" outlineLevel="0" collapsed="false">
      <c r="A204" s="34" t="s">
        <v>113</v>
      </c>
      <c r="B204" s="34" t="n">
        <v>105.29</v>
      </c>
      <c r="C204" s="34" t="n">
        <v>107.69</v>
      </c>
      <c r="D204" s="34" t="n">
        <v>105.11</v>
      </c>
      <c r="E204" s="34" t="n">
        <v>-1.75</v>
      </c>
      <c r="F204" s="34" t="n">
        <v>1.8</v>
      </c>
      <c r="G204" s="34" t="n">
        <v>115.71</v>
      </c>
      <c r="H204" s="34" t="n">
        <v>100.52</v>
      </c>
      <c r="I204" s="34" t="n">
        <v>-9.04</v>
      </c>
      <c r="J204" s="34" t="n">
        <v>39.2</v>
      </c>
      <c r="K204" s="34" t="n">
        <v>9660698</v>
      </c>
      <c r="L204" s="34" t="n">
        <v>1.64</v>
      </c>
      <c r="M204" s="34" t="n">
        <v>108.94</v>
      </c>
      <c r="N204" s="34" t="n">
        <v>108.32</v>
      </c>
      <c r="O204" s="34" t="n">
        <v>107.16</v>
      </c>
      <c r="P204" s="34" t="n">
        <v>108.94</v>
      </c>
      <c r="Q204" s="34" t="n">
        <v>105.68</v>
      </c>
      <c r="R204" s="34" t="n">
        <v>107.1</v>
      </c>
      <c r="S204" s="34" t="n">
        <v>10.43</v>
      </c>
      <c r="T204" s="34" t="n">
        <v>0.179</v>
      </c>
      <c r="U204" s="34" t="n">
        <v>142.9</v>
      </c>
      <c r="V204" s="34" t="n">
        <v>85.46</v>
      </c>
    </row>
    <row r="205" customFormat="false" ht="15.75" hidden="false" customHeight="true" outlineLevel="0" collapsed="false">
      <c r="A205" s="34" t="s">
        <v>261</v>
      </c>
      <c r="B205" s="34" t="n">
        <v>103.59</v>
      </c>
      <c r="C205" s="34" t="n">
        <v>105.2</v>
      </c>
      <c r="D205" s="34" t="n">
        <v>103.5</v>
      </c>
      <c r="E205" s="34" t="n">
        <v>-0.709</v>
      </c>
      <c r="F205" s="34" t="n">
        <v>2.87</v>
      </c>
      <c r="G205" s="34" t="n">
        <v>125.55</v>
      </c>
      <c r="H205" s="34" t="n">
        <v>103</v>
      </c>
      <c r="I205" s="34" t="n">
        <v>-139.63</v>
      </c>
      <c r="J205" s="34" t="n">
        <v>33.82</v>
      </c>
      <c r="K205" s="34" t="n">
        <v>3493104</v>
      </c>
      <c r="L205" s="34" t="n">
        <v>0.63</v>
      </c>
      <c r="M205" s="34" t="n">
        <v>110.2</v>
      </c>
      <c r="N205" s="34" t="n">
        <v>107.28</v>
      </c>
      <c r="O205" s="34" t="n">
        <v>104.33</v>
      </c>
      <c r="P205" s="34" t="n">
        <v>111.07</v>
      </c>
      <c r="Q205" s="34" t="n">
        <v>107.86</v>
      </c>
      <c r="R205" s="34" t="n">
        <v>104.33</v>
      </c>
      <c r="S205" s="34" t="n">
        <v>25.92</v>
      </c>
      <c r="T205" s="34" t="n">
        <v>0.307</v>
      </c>
      <c r="U205" s="34" t="n">
        <v>139.83</v>
      </c>
      <c r="V205" s="34" t="n">
        <v>70.8</v>
      </c>
    </row>
    <row r="206" customFormat="false" ht="15.75" hidden="false" customHeight="true" outlineLevel="0" collapsed="false">
      <c r="A206" s="34" t="s">
        <v>220</v>
      </c>
      <c r="B206" s="34" t="n">
        <v>99.54</v>
      </c>
      <c r="C206" s="34" t="n">
        <v>100.5</v>
      </c>
      <c r="D206" s="34" t="n">
        <v>97.36</v>
      </c>
      <c r="E206" s="34" t="n">
        <v>2.25</v>
      </c>
      <c r="F206" s="34" t="n">
        <v>3.04</v>
      </c>
      <c r="G206" s="34" t="n">
        <v>102.3</v>
      </c>
      <c r="H206" s="34" t="n">
        <v>90.71</v>
      </c>
      <c r="I206" s="34" t="n">
        <v>163.98</v>
      </c>
      <c r="J206" s="34" t="n">
        <v>68.33</v>
      </c>
      <c r="K206" s="34" t="n">
        <v>13565711</v>
      </c>
      <c r="L206" s="34" t="n">
        <v>1.65</v>
      </c>
      <c r="M206" s="34" t="n">
        <v>93.02</v>
      </c>
      <c r="N206" s="34" t="n">
        <v>95.97</v>
      </c>
      <c r="O206" s="34" t="n">
        <v>97.35</v>
      </c>
      <c r="P206" s="34" t="n">
        <v>92.54</v>
      </c>
      <c r="Q206" s="34" t="n">
        <v>95.48</v>
      </c>
      <c r="R206" s="34" t="n">
        <v>97.5</v>
      </c>
      <c r="S206" s="34" t="n">
        <v>28.9</v>
      </c>
      <c r="T206" s="34" t="n">
        <v>0.208</v>
      </c>
      <c r="U206" s="34" t="n">
        <v>159.65</v>
      </c>
      <c r="V206" s="34" t="n">
        <v>80.54</v>
      </c>
    </row>
    <row r="207" customFormat="false" ht="15.75" hidden="false" customHeight="true" outlineLevel="0" collapsed="false">
      <c r="A207" s="34" t="s">
        <v>68</v>
      </c>
      <c r="B207" s="34" t="n">
        <v>95.16</v>
      </c>
      <c r="C207" s="34" t="n">
        <v>98.21</v>
      </c>
      <c r="D207" s="34" t="n">
        <v>95</v>
      </c>
      <c r="E207" s="34" t="n">
        <v>-2.8</v>
      </c>
      <c r="F207" s="34" t="n">
        <v>2.92</v>
      </c>
      <c r="G207" s="34" t="n">
        <v>105.95</v>
      </c>
      <c r="H207" s="34" t="n">
        <v>89.7</v>
      </c>
      <c r="I207" s="34" t="n">
        <v>-5.57</v>
      </c>
      <c r="J207" s="34" t="n">
        <v>46.55</v>
      </c>
      <c r="K207" s="34" t="n">
        <v>9583513</v>
      </c>
      <c r="L207" s="34" t="n">
        <v>0.928</v>
      </c>
      <c r="M207" s="34" t="n">
        <v>92.6</v>
      </c>
      <c r="N207" s="34" t="n">
        <v>99.51</v>
      </c>
      <c r="O207" s="34" t="n">
        <v>97.9</v>
      </c>
      <c r="P207" s="34" t="n">
        <v>92.6</v>
      </c>
      <c r="Q207" s="34" t="n">
        <v>95.64</v>
      </c>
      <c r="R207" s="34" t="n">
        <v>97.9</v>
      </c>
      <c r="S207" s="34" t="n">
        <v>34.22</v>
      </c>
      <c r="T207" s="34" t="n">
        <v>0.267</v>
      </c>
      <c r="U207" s="34" t="n">
        <v>144.66</v>
      </c>
      <c r="V207" s="34" t="n">
        <v>71.5</v>
      </c>
    </row>
    <row r="208" customFormat="false" ht="15.75" hidden="false" customHeight="true" outlineLevel="0" collapsed="false">
      <c r="A208" s="34" t="s">
        <v>297</v>
      </c>
      <c r="B208" s="34" t="n">
        <v>89.55</v>
      </c>
      <c r="C208" s="34" t="n">
        <v>90.11</v>
      </c>
      <c r="D208" s="34" t="n">
        <v>89.13</v>
      </c>
      <c r="E208" s="34" t="n">
        <v>0.663</v>
      </c>
      <c r="F208" s="34" t="n">
        <v>1.86</v>
      </c>
      <c r="G208" s="34" t="n">
        <v>97</v>
      </c>
      <c r="H208" s="34" t="n">
        <v>79.92</v>
      </c>
      <c r="I208" s="34" t="n">
        <v>-57.5</v>
      </c>
      <c r="J208" s="34" t="n">
        <v>45.9</v>
      </c>
      <c r="K208" s="34" t="n">
        <v>7729818</v>
      </c>
      <c r="L208" s="34" t="n">
        <v>1.33</v>
      </c>
      <c r="M208" s="34" t="n">
        <v>92.71</v>
      </c>
      <c r="N208" s="34" t="n">
        <v>88.89</v>
      </c>
      <c r="O208" s="34" t="n">
        <v>88.96</v>
      </c>
      <c r="P208" s="34" t="n">
        <v>92.71</v>
      </c>
      <c r="Q208" s="34" t="n">
        <v>88.89</v>
      </c>
      <c r="R208" s="34" t="n">
        <v>90</v>
      </c>
      <c r="S208" s="34" t="n">
        <v>8.84</v>
      </c>
      <c r="T208" s="34" t="n">
        <v>0.274</v>
      </c>
      <c r="U208" s="34" t="n">
        <v>103.75</v>
      </c>
      <c r="V208" s="34" t="n">
        <v>67.75</v>
      </c>
    </row>
    <row r="209" customFormat="false" ht="15.75" hidden="false" customHeight="true" outlineLevel="0" collapsed="false">
      <c r="A209" s="34" t="s">
        <v>231</v>
      </c>
      <c r="B209" s="34" t="n">
        <v>80.71</v>
      </c>
      <c r="C209" s="34" t="n">
        <v>82.03</v>
      </c>
      <c r="D209" s="34" t="n">
        <v>80.61</v>
      </c>
      <c r="E209" s="34" t="n">
        <v>-1.37</v>
      </c>
      <c r="F209" s="34" t="n">
        <v>1.73</v>
      </c>
      <c r="G209" s="34" t="n">
        <v>89.75</v>
      </c>
      <c r="H209" s="34" t="n">
        <v>80.58</v>
      </c>
      <c r="I209" s="34" t="n">
        <v>-197.51</v>
      </c>
      <c r="J209" s="34" t="n">
        <v>32.7</v>
      </c>
      <c r="K209" s="34" t="n">
        <v>8671202</v>
      </c>
      <c r="L209" s="34" t="n">
        <v>1.37</v>
      </c>
      <c r="M209" s="34" t="n">
        <v>84.8</v>
      </c>
      <c r="N209" s="34" t="n">
        <v>83.06</v>
      </c>
      <c r="O209" s="34" t="n">
        <v>81.83</v>
      </c>
      <c r="P209" s="34" t="n">
        <v>85.98</v>
      </c>
      <c r="Q209" s="34" t="n">
        <v>84.18</v>
      </c>
      <c r="R209" s="34" t="n">
        <v>82.03</v>
      </c>
      <c r="S209" s="34" t="n">
        <v>19.69</v>
      </c>
      <c r="T209" s="34" t="n">
        <v>0.149</v>
      </c>
      <c r="U209" s="34" t="n">
        <v>118.4</v>
      </c>
      <c r="V209" s="34" t="n">
        <v>71</v>
      </c>
    </row>
    <row r="210" customFormat="false" ht="15.75" hidden="false" customHeight="true" outlineLevel="0" collapsed="false">
      <c r="A210" s="34" t="s">
        <v>44</v>
      </c>
      <c r="B210" s="34" t="n">
        <v>81.25</v>
      </c>
      <c r="C210" s="34" t="n">
        <v>81.99</v>
      </c>
      <c r="D210" s="34" t="n">
        <v>75.6</v>
      </c>
      <c r="E210" s="34" t="n">
        <v>7.4</v>
      </c>
      <c r="F210" s="34" t="n">
        <v>2.56</v>
      </c>
      <c r="G210" s="34" t="n">
        <v>81.99</v>
      </c>
      <c r="H210" s="34" t="n">
        <v>70.55</v>
      </c>
      <c r="I210" s="34" t="n">
        <v>262.14</v>
      </c>
      <c r="J210" s="34" t="n">
        <v>76.48</v>
      </c>
      <c r="K210" s="34" t="n">
        <v>87482133</v>
      </c>
      <c r="L210" s="34" t="n">
        <v>4.01</v>
      </c>
      <c r="M210" s="34" t="n">
        <v>73.99</v>
      </c>
      <c r="N210" s="34" t="n">
        <v>76.39</v>
      </c>
      <c r="O210" s="34" t="n">
        <v>75.65</v>
      </c>
      <c r="P210" s="34" t="n">
        <v>73.02</v>
      </c>
      <c r="Q210" s="34" t="n">
        <v>75.04</v>
      </c>
      <c r="R210" s="34" t="n">
        <v>75.65</v>
      </c>
      <c r="S210" s="34" t="n">
        <v>33.26</v>
      </c>
      <c r="T210" s="34" t="n">
        <v>0.176</v>
      </c>
      <c r="U210" s="34" t="n">
        <v>121.75</v>
      </c>
      <c r="V210" s="34" t="n">
        <v>70.55</v>
      </c>
    </row>
    <row r="211" customFormat="false" ht="15.75" hidden="false" customHeight="true" outlineLevel="0" collapsed="false">
      <c r="A211" s="34" t="s">
        <v>218</v>
      </c>
      <c r="B211" s="34" t="n">
        <v>73.62</v>
      </c>
      <c r="C211" s="34" t="n">
        <v>74.59</v>
      </c>
      <c r="D211" s="34" t="n">
        <v>72.7</v>
      </c>
      <c r="E211" s="34" t="n">
        <v>1.13</v>
      </c>
      <c r="F211" s="34" t="n">
        <v>2.18</v>
      </c>
      <c r="G211" s="34" t="n">
        <v>90.44</v>
      </c>
      <c r="H211" s="34" t="n">
        <v>70.35</v>
      </c>
      <c r="I211" s="34" t="n">
        <v>-31.92</v>
      </c>
      <c r="J211" s="34" t="n">
        <v>48.36</v>
      </c>
      <c r="K211" s="34" t="n">
        <v>6243170</v>
      </c>
      <c r="L211" s="34" t="n">
        <v>0.377</v>
      </c>
      <c r="M211" s="34" t="n">
        <v>75.6</v>
      </c>
      <c r="N211" s="34" t="n">
        <v>75.83</v>
      </c>
      <c r="O211" s="34" t="n">
        <v>72.8</v>
      </c>
      <c r="P211" s="34" t="n">
        <v>75.6</v>
      </c>
      <c r="Q211" s="34" t="n">
        <v>76.64</v>
      </c>
      <c r="R211" s="34" t="n">
        <v>72.8</v>
      </c>
      <c r="S211" s="34" t="n">
        <v>56.95</v>
      </c>
      <c r="T211" s="34" t="n">
        <v>0.062</v>
      </c>
      <c r="U211" s="34" t="n">
        <v>171</v>
      </c>
      <c r="V211" s="34" t="n">
        <v>70.35</v>
      </c>
    </row>
    <row r="212" customFormat="false" ht="15.75" hidden="false" customHeight="true" outlineLevel="0" collapsed="false">
      <c r="A212" s="34" t="s">
        <v>64</v>
      </c>
      <c r="B212" s="34" t="n">
        <v>70.16</v>
      </c>
      <c r="C212" s="34" t="n">
        <v>71.5</v>
      </c>
      <c r="D212" s="34" t="n">
        <v>70.05</v>
      </c>
      <c r="E212" s="34" t="n">
        <v>-1.68</v>
      </c>
      <c r="F212" s="34" t="n">
        <v>1.66</v>
      </c>
      <c r="G212" s="34" t="n">
        <v>73.6</v>
      </c>
      <c r="H212" s="34" t="n">
        <v>66.8</v>
      </c>
      <c r="I212" s="34" t="n">
        <v>-83.36</v>
      </c>
      <c r="J212" s="34" t="n">
        <v>43.18</v>
      </c>
      <c r="K212" s="34" t="n">
        <v>8184257</v>
      </c>
      <c r="L212" s="34" t="n">
        <v>0.551</v>
      </c>
      <c r="M212" s="34" t="n">
        <v>73.26</v>
      </c>
      <c r="N212" s="34" t="n">
        <v>72.42</v>
      </c>
      <c r="O212" s="34" t="n">
        <v>71.36</v>
      </c>
      <c r="P212" s="34" t="n">
        <v>73.26</v>
      </c>
      <c r="Q212" s="34" t="n">
        <v>70.28</v>
      </c>
      <c r="R212" s="34" t="n">
        <v>71.29</v>
      </c>
      <c r="S212" s="34" t="n">
        <v>15.3</v>
      </c>
      <c r="T212" s="34" t="n">
        <v>0.219</v>
      </c>
      <c r="U212" s="34" t="n">
        <v>95.45</v>
      </c>
      <c r="V212" s="34" t="n">
        <v>59.53</v>
      </c>
    </row>
    <row r="213" customFormat="false" ht="15.75" hidden="false" customHeight="true" outlineLevel="0" collapsed="false">
      <c r="A213" s="34" t="s">
        <v>106</v>
      </c>
      <c r="B213" s="34" t="n">
        <v>69.68</v>
      </c>
      <c r="C213" s="34" t="n">
        <v>70.45</v>
      </c>
      <c r="D213" s="34" t="n">
        <v>69.47</v>
      </c>
      <c r="E213" s="34" t="n">
        <v>-0.571</v>
      </c>
      <c r="F213" s="34" t="n">
        <v>1.36</v>
      </c>
      <c r="G213" s="34" t="n">
        <v>78.45</v>
      </c>
      <c r="H213" s="34" t="n">
        <v>67.3</v>
      </c>
      <c r="I213" s="34" t="n">
        <v>15.71</v>
      </c>
      <c r="J213" s="34" t="n">
        <v>45.79</v>
      </c>
      <c r="K213" s="34" t="n">
        <v>15433264</v>
      </c>
      <c r="L213" s="34" t="n">
        <v>1.43</v>
      </c>
      <c r="M213" s="34" t="n">
        <v>71.34</v>
      </c>
      <c r="N213" s="34" t="n">
        <v>71.35</v>
      </c>
      <c r="O213" s="34" t="n">
        <v>70.08</v>
      </c>
      <c r="P213" s="34" t="n">
        <v>71.34</v>
      </c>
      <c r="Q213" s="34" t="n">
        <v>69.85</v>
      </c>
      <c r="R213" s="34" t="n">
        <v>69.6</v>
      </c>
      <c r="S213" s="34" t="n">
        <v>11.18</v>
      </c>
      <c r="T213" s="34" t="n">
        <v>0.359</v>
      </c>
      <c r="U213" s="34" t="n">
        <v>86.1</v>
      </c>
      <c r="V213" s="34" t="n">
        <v>52.46</v>
      </c>
    </row>
    <row r="214" customFormat="false" ht="15.75" hidden="false" customHeight="true" outlineLevel="0" collapsed="false">
      <c r="A214" s="34" t="s">
        <v>344</v>
      </c>
      <c r="B214" s="34" t="n">
        <v>58.51</v>
      </c>
      <c r="C214" s="34" t="n">
        <v>59.29</v>
      </c>
      <c r="D214" s="34" t="n">
        <v>58.06</v>
      </c>
      <c r="E214" s="34" t="n">
        <v>0.602</v>
      </c>
      <c r="F214" s="34" t="n">
        <v>2.13</v>
      </c>
      <c r="G214" s="34" t="n">
        <v>68.3</v>
      </c>
      <c r="H214" s="34" t="n">
        <v>56.62</v>
      </c>
      <c r="I214" s="34" t="n">
        <v>-112.17</v>
      </c>
      <c r="J214" s="34" t="n">
        <v>31.98</v>
      </c>
      <c r="K214" s="34" t="n">
        <v>67407925</v>
      </c>
      <c r="L214" s="34" t="n">
        <v>1.27</v>
      </c>
      <c r="M214" s="34" t="n">
        <v>62.92</v>
      </c>
      <c r="N214" s="34" t="n">
        <v>60.8</v>
      </c>
      <c r="O214" s="34" t="n">
        <v>58.16</v>
      </c>
      <c r="P214" s="34" t="n">
        <v>63.42</v>
      </c>
      <c r="Q214" s="34" t="n">
        <v>61.08</v>
      </c>
      <c r="R214" s="34" t="n">
        <v>58.39</v>
      </c>
      <c r="S214" s="34" t="n">
        <v>32</v>
      </c>
      <c r="T214" s="34" t="n">
        <v>0.373</v>
      </c>
      <c r="U214" s="34" t="n">
        <v>86.04</v>
      </c>
      <c r="V214" s="34" t="n">
        <v>46.15</v>
      </c>
    </row>
    <row r="215" customFormat="false" ht="15.75" hidden="false" customHeight="true" outlineLevel="0" collapsed="false">
      <c r="A215" s="34" t="s">
        <v>221</v>
      </c>
      <c r="B215" s="34" t="n">
        <v>43.78</v>
      </c>
      <c r="C215" s="34" t="n">
        <v>44.75</v>
      </c>
      <c r="D215" s="34" t="n">
        <v>43.51</v>
      </c>
      <c r="E215" s="34" t="n">
        <v>-1.86</v>
      </c>
      <c r="F215" s="34" t="n">
        <v>1.1</v>
      </c>
      <c r="G215" s="34" t="n">
        <v>50.44</v>
      </c>
      <c r="H215" s="34" t="n">
        <v>43.24</v>
      </c>
      <c r="I215" s="34" t="n">
        <v>-112.17</v>
      </c>
      <c r="J215" s="34" t="n">
        <v>31.5</v>
      </c>
      <c r="K215" s="34" t="n">
        <v>11360979</v>
      </c>
      <c r="L215" s="34" t="n">
        <v>1.71</v>
      </c>
      <c r="M215" s="34" t="n">
        <v>46.16</v>
      </c>
      <c r="N215" s="34" t="n">
        <v>45.24</v>
      </c>
      <c r="O215" s="34" t="n">
        <v>44.61</v>
      </c>
      <c r="P215" s="34" t="n">
        <v>46.16</v>
      </c>
      <c r="Q215" s="34" t="n">
        <v>44.44</v>
      </c>
      <c r="R215" s="34" t="n">
        <v>44.61</v>
      </c>
      <c r="S215" s="34" t="n">
        <v>34.56</v>
      </c>
      <c r="T215" s="34" t="n">
        <v>0.148</v>
      </c>
      <c r="U215" s="34" t="n">
        <v>78.15</v>
      </c>
      <c r="V215" s="34" t="n">
        <v>40.96</v>
      </c>
    </row>
    <row r="216" customFormat="false" ht="15.75" hidden="false" customHeight="true" outlineLevel="0" collapsed="false">
      <c r="A216" s="34" t="s">
        <v>234</v>
      </c>
      <c r="B216" s="34" t="n">
        <v>19.28</v>
      </c>
      <c r="C216" s="34" t="n">
        <v>19.46</v>
      </c>
      <c r="D216" s="34" t="n">
        <v>19.25</v>
      </c>
      <c r="E216" s="34" t="n">
        <v>-0.772</v>
      </c>
      <c r="F216" s="34" t="n">
        <v>0.296</v>
      </c>
      <c r="G216" s="34" t="n">
        <v>20.65</v>
      </c>
      <c r="H216" s="34" t="n">
        <v>18.33</v>
      </c>
      <c r="I216" s="34" t="n">
        <v>63.54</v>
      </c>
      <c r="J216" s="34" t="n">
        <v>58.1</v>
      </c>
      <c r="K216" s="34" t="n">
        <v>38047474</v>
      </c>
      <c r="L216" s="34" t="n">
        <v>0.77</v>
      </c>
      <c r="M216" s="34" t="n">
        <v>18.87</v>
      </c>
      <c r="N216" s="34" t="n">
        <v>19.19</v>
      </c>
      <c r="O216" s="34" t="n">
        <v>19.43</v>
      </c>
      <c r="P216" s="34" t="n">
        <v>18.87</v>
      </c>
      <c r="Q216" s="34" t="n">
        <v>19.19</v>
      </c>
      <c r="R216" s="34" t="n">
        <v>19.43</v>
      </c>
      <c r="S216" s="34" t="n">
        <v>21.4</v>
      </c>
      <c r="T216" s="34" t="n">
        <v>0.896</v>
      </c>
      <c r="U216" s="34" t="n">
        <v>28.55</v>
      </c>
      <c r="V216" s="34" t="n">
        <v>16.02</v>
      </c>
    </row>
    <row r="217" customFormat="false" ht="15.75" hidden="false" customHeight="true" outlineLevel="0" collapsed="false">
      <c r="A217" s="34" t="s">
        <v>353</v>
      </c>
      <c r="B217" s="34" t="n">
        <v>7.07</v>
      </c>
      <c r="C217" s="34" t="n">
        <v>7.31</v>
      </c>
      <c r="D217" s="34" t="n">
        <v>6.58</v>
      </c>
      <c r="E217" s="34" t="n">
        <v>7.94</v>
      </c>
      <c r="F217" s="34" t="n">
        <v>0.337</v>
      </c>
      <c r="G217" s="34" t="n">
        <v>7.94</v>
      </c>
      <c r="H217" s="34" t="n">
        <v>6.12</v>
      </c>
      <c r="I217" s="34" t="n">
        <v>64.82</v>
      </c>
      <c r="J217" s="34" t="n">
        <v>63.58</v>
      </c>
      <c r="K217" s="34" t="n">
        <v>1659819360</v>
      </c>
      <c r="L217" s="34" t="n">
        <v>4.71</v>
      </c>
      <c r="M217" s="34" t="n">
        <v>6.32</v>
      </c>
      <c r="N217" s="34" t="n">
        <v>6.63</v>
      </c>
      <c r="O217" s="34" t="n">
        <v>6.55</v>
      </c>
      <c r="P217" s="34" t="n">
        <v>6.23</v>
      </c>
      <c r="Q217" s="34" t="n">
        <v>6.49</v>
      </c>
      <c r="R217" s="34" t="n">
        <v>6.7</v>
      </c>
      <c r="S217" s="34" t="n">
        <v>57.28</v>
      </c>
      <c r="T217" s="34" t="n">
        <v>2.17</v>
      </c>
      <c r="U217" s="34" t="n">
        <v>19.18</v>
      </c>
      <c r="V217" s="34" t="n">
        <v>6.12</v>
      </c>
    </row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AA223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1" topLeftCell="A2" activePane="bottomLeft" state="frozen"/>
      <selection pane="topLeft" activeCell="A1" activeCellId="0" sqref="A1"/>
      <selection pane="bottomLeft" activeCell="G12" activeCellId="0" sqref="G12"/>
    </sheetView>
  </sheetViews>
  <sheetFormatPr defaultColWidth="12.66796875" defaultRowHeight="12.75" customHeight="true" zeroHeight="false" outlineLevelRow="0" outlineLevelCol="0"/>
  <cols>
    <col collapsed="false" customWidth="true" hidden="false" outlineLevel="0" max="1" min="1" style="34" width="14.44"/>
    <col collapsed="false" customWidth="false" hidden="false" outlineLevel="0" max="12" min="12" style="115" width="12.67"/>
    <col collapsed="false" customWidth="false" hidden="false" outlineLevel="0" max="13" min="13" style="116" width="12.67"/>
  </cols>
  <sheetData>
    <row r="1" customFormat="false" ht="15.75" hidden="false" customHeight="true" outlineLevel="0" collapsed="false">
      <c r="A1" s="117" t="s">
        <v>633</v>
      </c>
      <c r="B1" s="118" t="s">
        <v>31</v>
      </c>
      <c r="C1" s="118" t="s">
        <v>657</v>
      </c>
      <c r="D1" s="118" t="s">
        <v>658</v>
      </c>
      <c r="E1" s="118" t="s">
        <v>659</v>
      </c>
      <c r="F1" s="118" t="s">
        <v>660</v>
      </c>
      <c r="G1" s="118" t="s">
        <v>661</v>
      </c>
      <c r="H1" s="118" t="s">
        <v>662</v>
      </c>
      <c r="I1" s="118" t="s">
        <v>663</v>
      </c>
      <c r="J1" s="119" t="s">
        <v>664</v>
      </c>
      <c r="K1" s="118" t="s">
        <v>33</v>
      </c>
      <c r="L1" s="120" t="s">
        <v>665</v>
      </c>
      <c r="M1" s="121" t="s">
        <v>666</v>
      </c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</row>
    <row r="2" customFormat="false" ht="15.75" hidden="false" customHeight="true" outlineLevel="0" collapsed="false">
      <c r="A2" s="34" t="s">
        <v>83</v>
      </c>
      <c r="B2" s="34" t="n">
        <v>147505</v>
      </c>
      <c r="C2" s="34" t="n">
        <v>-66.67</v>
      </c>
      <c r="D2" s="34" t="n">
        <v>13.56</v>
      </c>
      <c r="E2" s="34" t="n">
        <v>86.39</v>
      </c>
      <c r="F2" s="34" t="n">
        <v>20.59</v>
      </c>
      <c r="G2" s="34" t="n">
        <v>64.55</v>
      </c>
      <c r="H2" s="34" t="n">
        <v>86.37</v>
      </c>
      <c r="I2" s="34" t="n">
        <v>76.68</v>
      </c>
      <c r="J2" s="34" t="n">
        <v>84.54</v>
      </c>
      <c r="K2" s="34" t="n">
        <v>141846.52</v>
      </c>
      <c r="L2" s="34" t="n">
        <f aca="false">AVERAGE(C2:E2)</f>
        <v>11.0933333333333</v>
      </c>
      <c r="M2" s="34" t="n">
        <f aca="false">AVERAGE(C2:J2)</f>
        <v>45.75125</v>
      </c>
    </row>
    <row r="3" customFormat="false" ht="15.75" hidden="false" customHeight="true" outlineLevel="0" collapsed="false">
      <c r="A3" s="34" t="s">
        <v>124</v>
      </c>
      <c r="B3" s="34" t="n">
        <v>45580</v>
      </c>
      <c r="C3" s="34" t="n">
        <v>-66.67</v>
      </c>
      <c r="D3" s="34" t="n">
        <v>18.14</v>
      </c>
      <c r="E3" s="34" t="n">
        <v>89.65</v>
      </c>
      <c r="F3" s="34" t="n">
        <v>-40.36</v>
      </c>
      <c r="G3" s="34" t="n">
        <v>-57.53</v>
      </c>
      <c r="H3" s="34" t="n">
        <v>-51</v>
      </c>
      <c r="I3" s="34" t="n">
        <v>13.08</v>
      </c>
      <c r="J3" s="34" t="n">
        <v>21.24</v>
      </c>
      <c r="K3" s="34" t="n">
        <v>46003.31</v>
      </c>
      <c r="L3" s="34" t="n">
        <f aca="false">AVERAGE(C3:E3)</f>
        <v>13.7066666666667</v>
      </c>
      <c r="M3" s="34" t="n">
        <f aca="false">AVERAGE(C3:J3)</f>
        <v>-9.18125</v>
      </c>
    </row>
    <row r="4" customFormat="false" ht="15.75" hidden="false" customHeight="true" outlineLevel="0" collapsed="false">
      <c r="A4" s="34" t="s">
        <v>141</v>
      </c>
      <c r="B4" s="34" t="n">
        <v>39345</v>
      </c>
      <c r="C4" s="34" t="n">
        <v>-66.67</v>
      </c>
      <c r="D4" s="34" t="n">
        <v>-104.6</v>
      </c>
      <c r="E4" s="34" t="n">
        <v>36.15</v>
      </c>
      <c r="F4" s="34" t="n">
        <v>48.45</v>
      </c>
      <c r="G4" s="34" t="n">
        <v>78.37</v>
      </c>
      <c r="H4" s="34" t="n">
        <v>104.79</v>
      </c>
      <c r="I4" s="34" t="n">
        <v>130.71</v>
      </c>
      <c r="J4" s="34" t="n">
        <v>153.72</v>
      </c>
      <c r="K4" s="34" t="n">
        <v>40568.02</v>
      </c>
      <c r="L4" s="34" t="n">
        <f aca="false">AVERAGE(C4:E4)</f>
        <v>-45.04</v>
      </c>
      <c r="M4" s="34" t="n">
        <f aca="false">AVERAGE(C4:J4)</f>
        <v>47.615</v>
      </c>
    </row>
    <row r="5" customFormat="false" ht="15.75" hidden="false" customHeight="true" outlineLevel="0" collapsed="false">
      <c r="A5" s="34" t="s">
        <v>374</v>
      </c>
      <c r="B5" s="34" t="n">
        <v>38050</v>
      </c>
      <c r="C5" s="34" t="n">
        <v>-66.67</v>
      </c>
      <c r="D5" s="34" t="n">
        <v>-8.16</v>
      </c>
      <c r="E5" s="34" t="n">
        <v>77.01</v>
      </c>
      <c r="F5" s="34" t="n">
        <v>-27.3</v>
      </c>
      <c r="G5" s="34" t="n">
        <v>-47.6</v>
      </c>
      <c r="H5" s="34" t="n">
        <v>9.24</v>
      </c>
      <c r="I5" s="34" t="n">
        <v>36.33</v>
      </c>
      <c r="J5" s="34" t="n">
        <v>29.38</v>
      </c>
      <c r="K5" s="34" t="n">
        <v>36336.19</v>
      </c>
      <c r="L5" s="34" t="n">
        <f aca="false">AVERAGE(C5:E5)</f>
        <v>0.726666666666669</v>
      </c>
      <c r="M5" s="34" t="n">
        <f aca="false">AVERAGE(C5:J5)</f>
        <v>0.278749999999999</v>
      </c>
    </row>
    <row r="6" customFormat="false" ht="15.75" hidden="false" customHeight="true" outlineLevel="0" collapsed="false">
      <c r="A6" s="34" t="s">
        <v>281</v>
      </c>
      <c r="B6" s="34" t="n">
        <v>31875</v>
      </c>
      <c r="C6" s="34" t="n">
        <v>-66.67</v>
      </c>
      <c r="D6" s="34" t="n">
        <v>-133.33</v>
      </c>
      <c r="E6" s="34" t="n">
        <v>-244.57</v>
      </c>
      <c r="F6" s="34" t="n">
        <v>-140.66</v>
      </c>
      <c r="G6" s="34" t="n">
        <v>-52.98</v>
      </c>
      <c r="H6" s="34" t="n">
        <v>-4</v>
      </c>
      <c r="I6" s="34" t="n">
        <v>17.92</v>
      </c>
      <c r="J6" s="34" t="n">
        <v>44.57</v>
      </c>
      <c r="K6" s="34" t="n">
        <v>34071.2</v>
      </c>
      <c r="L6" s="34" t="n">
        <f aca="false">AVERAGE(C6:E6)</f>
        <v>-148.19</v>
      </c>
      <c r="M6" s="34" t="n">
        <f aca="false">AVERAGE(C6:J6)</f>
        <v>-72.465</v>
      </c>
    </row>
    <row r="7" customFormat="false" ht="15.75" hidden="false" customHeight="true" outlineLevel="0" collapsed="false">
      <c r="A7" s="34" t="s">
        <v>274</v>
      </c>
      <c r="B7" s="34" t="n">
        <v>30655</v>
      </c>
      <c r="C7" s="34" t="n">
        <v>-66.67</v>
      </c>
      <c r="D7" s="34" t="n">
        <v>-133.33</v>
      </c>
      <c r="E7" s="34" t="n">
        <v>-52.3</v>
      </c>
      <c r="F7" s="34" t="n">
        <v>-4.18</v>
      </c>
      <c r="G7" s="34" t="n">
        <v>62.51</v>
      </c>
      <c r="H7" s="34" t="n">
        <v>82.7</v>
      </c>
      <c r="I7" s="34" t="n">
        <v>93.65</v>
      </c>
      <c r="J7" s="34" t="n">
        <v>101.62</v>
      </c>
      <c r="K7" s="34" t="n">
        <v>30344.59</v>
      </c>
      <c r="L7" s="34" t="n">
        <f aca="false">AVERAGE(C7:E7)</f>
        <v>-84.1</v>
      </c>
      <c r="M7" s="34" t="n">
        <f aca="false">AVERAGE(C7:J7)</f>
        <v>10.5</v>
      </c>
    </row>
    <row r="8" customFormat="false" ht="15.75" hidden="false" customHeight="true" outlineLevel="0" collapsed="false">
      <c r="A8" s="34" t="s">
        <v>171</v>
      </c>
      <c r="B8" s="34" t="n">
        <v>30005</v>
      </c>
      <c r="C8" s="34" t="n">
        <v>-66.67</v>
      </c>
      <c r="D8" s="34" t="n">
        <v>-121.59</v>
      </c>
      <c r="E8" s="34" t="n">
        <v>-115.55</v>
      </c>
      <c r="F8" s="34" t="n">
        <v>-116.14</v>
      </c>
      <c r="G8" s="34" t="n">
        <v>-21.9</v>
      </c>
      <c r="H8" s="34" t="n">
        <v>-24.73</v>
      </c>
      <c r="I8" s="34" t="n">
        <v>8.44</v>
      </c>
      <c r="J8" s="34" t="n">
        <v>34.85</v>
      </c>
      <c r="K8" s="34" t="n">
        <v>31590.42</v>
      </c>
      <c r="L8" s="34" t="n">
        <f aca="false">AVERAGE(C8:E8)</f>
        <v>-101.27</v>
      </c>
      <c r="M8" s="34" t="n">
        <f aca="false">AVERAGE(C8:J8)</f>
        <v>-52.91125</v>
      </c>
    </row>
    <row r="9" customFormat="false" ht="15.75" hidden="false" customHeight="true" outlineLevel="0" collapsed="false">
      <c r="A9" s="34" t="s">
        <v>667</v>
      </c>
      <c r="B9" s="34" t="n">
        <v>20214</v>
      </c>
      <c r="C9" s="34" t="n">
        <v>-66.67</v>
      </c>
      <c r="D9" s="34" t="n">
        <v>-45.43</v>
      </c>
      <c r="E9" s="34" t="n">
        <v>65.05</v>
      </c>
      <c r="F9" s="34" t="n">
        <v>146.03</v>
      </c>
      <c r="G9" s="34" t="n">
        <v>141.23</v>
      </c>
      <c r="H9" s="34" t="n">
        <v>146.47</v>
      </c>
      <c r="I9" s="34" t="n">
        <v>155.52</v>
      </c>
      <c r="J9" s="34" t="n">
        <v>166.82</v>
      </c>
      <c r="K9" s="34" t="n">
        <v>19422.92</v>
      </c>
      <c r="L9" s="34" t="n">
        <f aca="false">AVERAGE(C9:E9)</f>
        <v>-15.6833333333333</v>
      </c>
      <c r="M9" s="34" t="n">
        <f aca="false">AVERAGE(C9:J9)</f>
        <v>88.6275</v>
      </c>
    </row>
    <row r="10" customFormat="false" ht="15.75" hidden="false" customHeight="true" outlineLevel="0" collapsed="false">
      <c r="A10" s="34" t="s">
        <v>372</v>
      </c>
      <c r="B10" s="34" t="n">
        <v>19875</v>
      </c>
      <c r="C10" s="34" t="n">
        <v>-66.67</v>
      </c>
      <c r="D10" s="34" t="n">
        <v>20.44</v>
      </c>
      <c r="E10" s="34" t="n">
        <v>-64.71</v>
      </c>
      <c r="F10" s="34" t="n">
        <v>2.65</v>
      </c>
      <c r="G10" s="34" t="n">
        <v>45.21</v>
      </c>
      <c r="H10" s="34" t="n">
        <v>64.96</v>
      </c>
      <c r="I10" s="34" t="n">
        <v>75.74</v>
      </c>
      <c r="J10" s="34" t="n">
        <v>88.5</v>
      </c>
      <c r="K10" s="34" t="n">
        <v>19389.64</v>
      </c>
      <c r="L10" s="34" t="n">
        <f aca="false">AVERAGE(C10:E10)</f>
        <v>-36.98</v>
      </c>
      <c r="M10" s="34" t="n">
        <f aca="false">AVERAGE(C10:J10)</f>
        <v>20.765</v>
      </c>
    </row>
    <row r="11" customFormat="false" ht="15.75" hidden="false" customHeight="true" outlineLevel="0" collapsed="false">
      <c r="A11" s="34" t="s">
        <v>668</v>
      </c>
      <c r="B11" s="34" t="n">
        <v>17990</v>
      </c>
      <c r="C11" s="34" t="n">
        <v>-66.67</v>
      </c>
      <c r="D11" s="34" t="n">
        <v>-126.23</v>
      </c>
      <c r="E11" s="34" t="n">
        <v>10.66</v>
      </c>
      <c r="F11" s="34" t="n">
        <v>-77.5</v>
      </c>
      <c r="G11" s="34" t="n">
        <v>-141.61</v>
      </c>
      <c r="H11" s="34" t="n">
        <v>-169.85</v>
      </c>
      <c r="I11" s="34" t="n">
        <v>-141.97</v>
      </c>
      <c r="J11" s="34" t="n">
        <v>-73.82</v>
      </c>
      <c r="K11" s="34" t="n">
        <v>19020.95</v>
      </c>
      <c r="L11" s="34" t="n">
        <f aca="false">AVERAGE(C11:E11)</f>
        <v>-60.7466666666667</v>
      </c>
      <c r="M11" s="34" t="n">
        <f aca="false">AVERAGE(C11:J11)</f>
        <v>-98.37375</v>
      </c>
    </row>
    <row r="12" customFormat="false" ht="15.75" hidden="false" customHeight="true" outlineLevel="0" collapsed="false">
      <c r="A12" s="34" t="s">
        <v>36</v>
      </c>
      <c r="B12" s="34" t="n">
        <v>16893</v>
      </c>
      <c r="C12" s="34" t="n">
        <v>66.67</v>
      </c>
      <c r="D12" s="34" t="n">
        <v>14.79</v>
      </c>
      <c r="E12" s="34" t="n">
        <v>73.67</v>
      </c>
      <c r="F12" s="34" t="n">
        <v>78.32</v>
      </c>
      <c r="G12" s="34" t="n">
        <v>99.12</v>
      </c>
      <c r="H12" s="34" t="n">
        <v>99.42</v>
      </c>
      <c r="I12" s="34" t="n">
        <v>106.23</v>
      </c>
      <c r="J12" s="34" t="n">
        <v>117.16</v>
      </c>
      <c r="K12" s="34" t="n">
        <v>16150.52</v>
      </c>
      <c r="L12" s="34" t="n">
        <f aca="false">AVERAGE(C12:E12)</f>
        <v>51.71</v>
      </c>
      <c r="M12" s="34" t="n">
        <f aca="false">AVERAGE(C12:J12)</f>
        <v>81.9225</v>
      </c>
    </row>
    <row r="13" customFormat="false" ht="15.75" hidden="false" customHeight="true" outlineLevel="0" collapsed="false">
      <c r="A13" s="34" t="s">
        <v>669</v>
      </c>
      <c r="B13" s="34" t="n">
        <v>15586</v>
      </c>
      <c r="C13" s="34" t="n">
        <v>-66.67</v>
      </c>
      <c r="D13" s="34" t="n">
        <v>-92.7</v>
      </c>
      <c r="E13" s="34" t="n">
        <v>20.76</v>
      </c>
      <c r="F13" s="34" t="n">
        <v>81.99</v>
      </c>
      <c r="G13" s="34" t="n">
        <v>126.47</v>
      </c>
      <c r="H13" s="34" t="n">
        <v>103.97</v>
      </c>
      <c r="I13" s="34" t="n">
        <v>98.12</v>
      </c>
      <c r="J13" s="34" t="n">
        <v>107.66</v>
      </c>
      <c r="K13" s="34" t="n">
        <v>15043.04</v>
      </c>
      <c r="L13" s="34" t="n">
        <f aca="false">AVERAGE(C13:E13)</f>
        <v>-46.2033333333333</v>
      </c>
      <c r="M13" s="34" t="n">
        <f aca="false">AVERAGE(C13:J13)</f>
        <v>47.45</v>
      </c>
    </row>
    <row r="14" customFormat="false" ht="15.75" hidden="false" customHeight="true" outlineLevel="0" collapsed="false">
      <c r="A14" s="34" t="s">
        <v>670</v>
      </c>
      <c r="B14" s="34" t="n">
        <v>15133</v>
      </c>
      <c r="C14" s="34" t="n">
        <v>-66.67</v>
      </c>
      <c r="D14" s="34" t="n">
        <v>-43.09</v>
      </c>
      <c r="E14" s="34" t="n">
        <v>53.57</v>
      </c>
      <c r="F14" s="34" t="n">
        <v>-42.74</v>
      </c>
      <c r="G14" s="34" t="n">
        <v>-89.9</v>
      </c>
      <c r="H14" s="34" t="n">
        <v>-112.01</v>
      </c>
      <c r="I14" s="34" t="n">
        <v>-77.54</v>
      </c>
      <c r="J14" s="34" t="n">
        <v>-60.34</v>
      </c>
      <c r="K14" s="34" t="n">
        <v>15683.26</v>
      </c>
      <c r="L14" s="34" t="n">
        <f aca="false">AVERAGE(C14:E14)</f>
        <v>-18.73</v>
      </c>
      <c r="M14" s="34" t="n">
        <f aca="false">AVERAGE(C14:J14)</f>
        <v>-54.84</v>
      </c>
    </row>
    <row r="15" customFormat="false" ht="15.75" hidden="false" customHeight="true" outlineLevel="0" collapsed="false">
      <c r="A15" s="34" t="s">
        <v>440</v>
      </c>
      <c r="B15" s="34" t="n">
        <v>14845</v>
      </c>
      <c r="C15" s="34" t="n">
        <v>66.67</v>
      </c>
      <c r="D15" s="34" t="n">
        <v>73.84</v>
      </c>
      <c r="E15" s="34" t="n">
        <v>15.99</v>
      </c>
      <c r="F15" s="34" t="n">
        <v>4</v>
      </c>
      <c r="G15" s="34" t="n">
        <v>-65.56</v>
      </c>
      <c r="H15" s="34" t="n">
        <v>-15.89</v>
      </c>
      <c r="I15" s="34" t="n">
        <v>28.98</v>
      </c>
      <c r="J15" s="34" t="n">
        <v>47.13</v>
      </c>
      <c r="K15" s="34" t="n">
        <v>14297.07</v>
      </c>
      <c r="L15" s="34" t="n">
        <f aca="false">AVERAGE(C15:E15)</f>
        <v>52.1666666666667</v>
      </c>
      <c r="M15" s="34" t="n">
        <f aca="false">AVERAGE(C15:J15)</f>
        <v>19.395</v>
      </c>
    </row>
    <row r="16" customFormat="false" ht="15.75" hidden="false" customHeight="true" outlineLevel="0" collapsed="false">
      <c r="A16" s="34" t="s">
        <v>473</v>
      </c>
      <c r="B16" s="34" t="n">
        <v>14570</v>
      </c>
      <c r="C16" s="34" t="n">
        <v>-66.67</v>
      </c>
      <c r="D16" s="34" t="n">
        <v>26.02</v>
      </c>
      <c r="E16" s="34" t="n">
        <v>90.22</v>
      </c>
      <c r="F16" s="34" t="n">
        <v>183.88</v>
      </c>
      <c r="G16" s="34" t="n">
        <v>268.99</v>
      </c>
      <c r="H16" s="34" t="n">
        <v>274.35</v>
      </c>
      <c r="I16" s="34" t="n">
        <v>183.75</v>
      </c>
      <c r="J16" s="34" t="n">
        <v>141.03</v>
      </c>
      <c r="K16" s="34" t="n">
        <v>13655.08</v>
      </c>
      <c r="L16" s="34" t="n">
        <f aca="false">AVERAGE(C16:E16)</f>
        <v>16.5233333333333</v>
      </c>
      <c r="M16" s="34" t="n">
        <f aca="false">AVERAGE(C16:J16)</f>
        <v>137.69625</v>
      </c>
    </row>
    <row r="17" customFormat="false" ht="15.75" hidden="false" customHeight="true" outlineLevel="0" collapsed="false">
      <c r="A17" s="34" t="s">
        <v>158</v>
      </c>
      <c r="B17" s="34" t="n">
        <v>14349</v>
      </c>
      <c r="C17" s="34" t="n">
        <v>66.67</v>
      </c>
      <c r="D17" s="34" t="n">
        <v>90.55</v>
      </c>
      <c r="E17" s="34" t="n">
        <v>77.9</v>
      </c>
      <c r="F17" s="34" t="n">
        <v>214.84</v>
      </c>
      <c r="G17" s="34" t="n">
        <v>378.99</v>
      </c>
      <c r="H17" s="34" t="n">
        <v>409.52</v>
      </c>
      <c r="I17" s="34" t="n">
        <v>309.1</v>
      </c>
      <c r="J17" s="34" t="n">
        <v>316.17</v>
      </c>
      <c r="K17" s="34" t="n">
        <v>13746.24</v>
      </c>
      <c r="L17" s="34" t="n">
        <f aca="false">AVERAGE(C17:E17)</f>
        <v>78.3733333333333</v>
      </c>
      <c r="M17" s="34" t="n">
        <f aca="false">AVERAGE(C17:J17)</f>
        <v>232.9675</v>
      </c>
    </row>
    <row r="18" customFormat="false" ht="15.75" hidden="false" customHeight="true" outlineLevel="0" collapsed="false">
      <c r="A18" s="34" t="s">
        <v>671</v>
      </c>
      <c r="B18" s="34" t="n">
        <v>13888</v>
      </c>
      <c r="C18" s="34" t="n">
        <v>66.67</v>
      </c>
      <c r="D18" s="34" t="n">
        <v>69.92</v>
      </c>
      <c r="E18" s="34" t="n">
        <v>125.02</v>
      </c>
      <c r="F18" s="34" t="n">
        <v>33.33</v>
      </c>
      <c r="G18" s="34" t="n">
        <v>82.09</v>
      </c>
      <c r="H18" s="34" t="n">
        <v>107.12</v>
      </c>
      <c r="I18" s="34" t="n">
        <v>124.87</v>
      </c>
      <c r="J18" s="34" t="n">
        <v>95.52</v>
      </c>
      <c r="K18" s="34" t="n">
        <v>13907.56</v>
      </c>
      <c r="L18" s="34" t="n">
        <f aca="false">AVERAGE(C18:E18)</f>
        <v>87.2033333333333</v>
      </c>
      <c r="M18" s="34" t="n">
        <f aca="false">AVERAGE(C18:J18)</f>
        <v>88.0675</v>
      </c>
    </row>
    <row r="19" customFormat="false" ht="15.75" hidden="false" customHeight="true" outlineLevel="0" collapsed="false">
      <c r="A19" s="34" t="s">
        <v>492</v>
      </c>
      <c r="B19" s="34" t="n">
        <v>13764</v>
      </c>
      <c r="C19" s="34" t="n">
        <v>66.67</v>
      </c>
      <c r="D19" s="34" t="n">
        <v>133.33</v>
      </c>
      <c r="E19" s="34" t="n">
        <v>-7.54</v>
      </c>
      <c r="F19" s="34" t="n">
        <v>-95.07</v>
      </c>
      <c r="G19" s="34" t="n">
        <v>-138.62</v>
      </c>
      <c r="H19" s="34" t="n">
        <v>-57.18</v>
      </c>
      <c r="I19" s="34" t="n">
        <v>-6.48</v>
      </c>
      <c r="J19" s="34" t="n">
        <v>-2.85</v>
      </c>
      <c r="K19" s="34" t="n">
        <v>14376.53</v>
      </c>
      <c r="L19" s="34" t="n">
        <f aca="false">AVERAGE(C19:E19)</f>
        <v>64.1533333333333</v>
      </c>
      <c r="M19" s="34" t="n">
        <f aca="false">AVERAGE(C19:J19)</f>
        <v>-13.4675</v>
      </c>
    </row>
    <row r="20" customFormat="false" ht="15.75" hidden="false" customHeight="true" outlineLevel="0" collapsed="false">
      <c r="A20" s="34" t="s">
        <v>325</v>
      </c>
      <c r="B20" s="34" t="n">
        <v>13545</v>
      </c>
      <c r="C20" s="34" t="n">
        <v>-66.67</v>
      </c>
      <c r="D20" s="34" t="n">
        <v>-61.19</v>
      </c>
      <c r="E20" s="34" t="n">
        <v>-119.12</v>
      </c>
      <c r="F20" s="34" t="n">
        <v>-189.26</v>
      </c>
      <c r="G20" s="34" t="n">
        <v>-102.24</v>
      </c>
      <c r="H20" s="34" t="n">
        <v>14.16</v>
      </c>
      <c r="I20" s="34" t="n">
        <v>39.23</v>
      </c>
      <c r="J20" s="34" t="n">
        <v>54.78</v>
      </c>
      <c r="K20" s="34" t="n">
        <v>14534.51</v>
      </c>
      <c r="L20" s="34" t="n">
        <f aca="false">AVERAGE(C20:E20)</f>
        <v>-82.3266666666667</v>
      </c>
      <c r="M20" s="34" t="n">
        <f aca="false">AVERAGE(C20:J20)</f>
        <v>-53.78875</v>
      </c>
    </row>
    <row r="21" customFormat="false" ht="15.75" hidden="false" customHeight="true" outlineLevel="0" collapsed="false">
      <c r="A21" s="34" t="s">
        <v>431</v>
      </c>
      <c r="B21" s="34" t="n">
        <v>13303</v>
      </c>
      <c r="C21" s="34" t="n">
        <v>-66.67</v>
      </c>
      <c r="D21" s="34" t="n">
        <v>-43.4</v>
      </c>
      <c r="E21" s="34" t="n">
        <v>28.83</v>
      </c>
      <c r="F21" s="34" t="n">
        <v>18.78</v>
      </c>
      <c r="G21" s="34" t="n">
        <v>-9.77</v>
      </c>
      <c r="H21" s="34" t="n">
        <v>-51.9</v>
      </c>
      <c r="I21" s="34" t="n">
        <v>-58.44</v>
      </c>
      <c r="J21" s="34" t="n">
        <v>-69.82</v>
      </c>
      <c r="K21" s="34" t="n">
        <v>13696.72</v>
      </c>
      <c r="L21" s="34" t="n">
        <f aca="false">AVERAGE(C21:E21)</f>
        <v>-27.08</v>
      </c>
      <c r="M21" s="34" t="n">
        <f aca="false">AVERAGE(C21:J21)</f>
        <v>-31.54875</v>
      </c>
    </row>
    <row r="22" customFormat="false" ht="15.75" hidden="false" customHeight="true" outlineLevel="0" collapsed="false">
      <c r="A22" s="34" t="s">
        <v>127</v>
      </c>
      <c r="B22" s="34" t="n">
        <v>12589</v>
      </c>
      <c r="C22" s="34" t="n">
        <v>-66.67</v>
      </c>
      <c r="D22" s="34" t="n">
        <v>-130.21</v>
      </c>
      <c r="E22" s="34" t="n">
        <v>32.44</v>
      </c>
      <c r="F22" s="34" t="n">
        <v>101.92</v>
      </c>
      <c r="G22" s="34" t="n">
        <v>87.23</v>
      </c>
      <c r="H22" s="34" t="n">
        <v>114.92</v>
      </c>
      <c r="I22" s="34" t="n">
        <v>122.69</v>
      </c>
      <c r="J22" s="34" t="n">
        <v>141.18</v>
      </c>
      <c r="K22" s="34" t="n">
        <v>12430.46</v>
      </c>
      <c r="L22" s="34" t="n">
        <f aca="false">AVERAGE(C22:E22)</f>
        <v>-54.8133333333333</v>
      </c>
      <c r="M22" s="34" t="n">
        <f aca="false">AVERAGE(C22:J22)</f>
        <v>50.4375</v>
      </c>
    </row>
    <row r="23" customFormat="false" ht="15.75" hidden="false" customHeight="true" outlineLevel="0" collapsed="false">
      <c r="A23" s="34" t="s">
        <v>672</v>
      </c>
      <c r="B23" s="34" t="n">
        <v>12064</v>
      </c>
      <c r="C23" s="34" t="n">
        <v>-66.67</v>
      </c>
      <c r="D23" s="34" t="n">
        <v>-119.44</v>
      </c>
      <c r="E23" s="34" t="n">
        <v>49.06</v>
      </c>
      <c r="F23" s="34" t="n">
        <v>56.4</v>
      </c>
      <c r="G23" s="34" t="n">
        <v>98.62</v>
      </c>
      <c r="H23" s="34" t="n">
        <v>97.33</v>
      </c>
      <c r="I23" s="34" t="n">
        <v>90.63</v>
      </c>
      <c r="J23" s="34" t="n">
        <v>105.08</v>
      </c>
      <c r="K23" s="34" t="n">
        <v>11332.09</v>
      </c>
      <c r="L23" s="34" t="n">
        <f aca="false">AVERAGE(C23:E23)</f>
        <v>-45.6833333333333</v>
      </c>
      <c r="M23" s="34" t="n">
        <f aca="false">AVERAGE(C23:J23)</f>
        <v>38.87625</v>
      </c>
    </row>
    <row r="24" customFormat="false" ht="15.75" hidden="false" customHeight="true" outlineLevel="0" collapsed="false">
      <c r="A24" s="34" t="s">
        <v>410</v>
      </c>
      <c r="B24" s="34" t="n">
        <v>10566</v>
      </c>
      <c r="C24" s="34" t="n">
        <v>-66.67</v>
      </c>
      <c r="D24" s="34" t="n">
        <v>21.78</v>
      </c>
      <c r="E24" s="34" t="n">
        <v>88.86</v>
      </c>
      <c r="F24" s="34" t="n">
        <v>141.6</v>
      </c>
      <c r="G24" s="34" t="n">
        <v>187.78</v>
      </c>
      <c r="H24" s="34" t="n">
        <v>226.71</v>
      </c>
      <c r="I24" s="34" t="n">
        <v>167.26</v>
      </c>
      <c r="J24" s="34" t="n">
        <v>141.55</v>
      </c>
      <c r="K24" s="34" t="n">
        <v>9811.79</v>
      </c>
      <c r="L24" s="34" t="n">
        <f aca="false">AVERAGE(C24:E24)</f>
        <v>14.6566666666667</v>
      </c>
      <c r="M24" s="34" t="n">
        <f aca="false">AVERAGE(C24:J24)</f>
        <v>113.60875</v>
      </c>
    </row>
    <row r="25" customFormat="false" ht="15.75" hidden="false" customHeight="true" outlineLevel="0" collapsed="false">
      <c r="A25" s="34" t="s">
        <v>673</v>
      </c>
      <c r="B25" s="34" t="n">
        <v>10497</v>
      </c>
      <c r="C25" s="34" t="n">
        <v>-66.67</v>
      </c>
      <c r="D25" s="34" t="n">
        <v>-127.16</v>
      </c>
      <c r="E25" s="34" t="n">
        <v>-121.18</v>
      </c>
      <c r="F25" s="34" t="n">
        <v>-135.28</v>
      </c>
      <c r="G25" s="34" t="n">
        <v>-0.228</v>
      </c>
      <c r="H25" s="34" t="n">
        <v>27.47</v>
      </c>
      <c r="I25" s="34" t="n">
        <v>31.44</v>
      </c>
      <c r="J25" s="34" t="n">
        <v>41.17</v>
      </c>
      <c r="K25" s="34" t="n">
        <v>11486.03</v>
      </c>
      <c r="L25" s="34" t="n">
        <f aca="false">AVERAGE(C25:E25)</f>
        <v>-105.003333333333</v>
      </c>
      <c r="M25" s="34" t="n">
        <f aca="false">AVERAGE(C25:J25)</f>
        <v>-43.80475</v>
      </c>
    </row>
    <row r="26" customFormat="false" ht="15.75" hidden="false" customHeight="true" outlineLevel="0" collapsed="false">
      <c r="A26" s="34" t="s">
        <v>406</v>
      </c>
      <c r="B26" s="34" t="n">
        <v>10395</v>
      </c>
      <c r="C26" s="34" t="n">
        <v>-66.67</v>
      </c>
      <c r="D26" s="34" t="n">
        <v>-96.47</v>
      </c>
      <c r="E26" s="34" t="n">
        <v>-9.04</v>
      </c>
      <c r="F26" s="34" t="n">
        <v>-85.21</v>
      </c>
      <c r="G26" s="34" t="n">
        <v>-21.43</v>
      </c>
      <c r="H26" s="34" t="n">
        <v>42.17</v>
      </c>
      <c r="I26" s="34" t="n">
        <v>60.8</v>
      </c>
      <c r="J26" s="34" t="n">
        <v>74.81</v>
      </c>
      <c r="K26" s="34" t="n">
        <v>11031.36</v>
      </c>
      <c r="L26" s="34" t="n">
        <f aca="false">AVERAGE(C26:E26)</f>
        <v>-57.3933333333333</v>
      </c>
      <c r="M26" s="34" t="n">
        <f aca="false">AVERAGE(C26:J26)</f>
        <v>-12.63</v>
      </c>
    </row>
    <row r="27" customFormat="false" ht="15.75" hidden="false" customHeight="true" outlineLevel="0" collapsed="false">
      <c r="A27" s="34" t="s">
        <v>674</v>
      </c>
      <c r="B27" s="34" t="n">
        <v>10100</v>
      </c>
      <c r="C27" s="34" t="n">
        <v>-66.67</v>
      </c>
      <c r="D27" s="34" t="n">
        <v>-11.76</v>
      </c>
      <c r="E27" s="34" t="n">
        <v>73.61</v>
      </c>
      <c r="F27" s="34" t="n">
        <v>-14.71</v>
      </c>
      <c r="G27" s="34" t="n">
        <v>53.54</v>
      </c>
      <c r="H27" s="34" t="n">
        <v>50.87</v>
      </c>
      <c r="I27" s="34" t="n">
        <v>60.03</v>
      </c>
      <c r="J27" s="34" t="n">
        <v>4.95</v>
      </c>
      <c r="K27" s="34" t="n">
        <v>10523.64</v>
      </c>
      <c r="L27" s="34" t="n">
        <f aca="false">AVERAGE(C27:E27)</f>
        <v>-1.60666666666667</v>
      </c>
      <c r="M27" s="34" t="n">
        <f aca="false">AVERAGE(C27:J27)</f>
        <v>18.7325</v>
      </c>
    </row>
    <row r="28" customFormat="false" ht="15.75" hidden="false" customHeight="true" outlineLevel="0" collapsed="false">
      <c r="A28" s="34" t="s">
        <v>675</v>
      </c>
      <c r="B28" s="34" t="n">
        <v>9732</v>
      </c>
      <c r="C28" s="34" t="n">
        <v>-66.67</v>
      </c>
      <c r="D28" s="34" t="n">
        <v>-75.72</v>
      </c>
      <c r="E28" s="34" t="n">
        <v>-87.47</v>
      </c>
      <c r="F28" s="34" t="n">
        <v>-161.23</v>
      </c>
      <c r="G28" s="34" t="n">
        <v>-189.98</v>
      </c>
      <c r="H28" s="34" t="n">
        <v>-64.72</v>
      </c>
      <c r="I28" s="34" t="n">
        <v>-8.61</v>
      </c>
      <c r="J28" s="34" t="n">
        <v>-5.41</v>
      </c>
      <c r="K28" s="34" t="n">
        <v>10583.52</v>
      </c>
      <c r="L28" s="34" t="n">
        <f aca="false">AVERAGE(C28:E28)</f>
        <v>-76.62</v>
      </c>
      <c r="M28" s="34" t="n">
        <f aca="false">AVERAGE(C28:J28)</f>
        <v>-82.47625</v>
      </c>
    </row>
    <row r="29" customFormat="false" ht="15.75" hidden="false" customHeight="true" outlineLevel="0" collapsed="false">
      <c r="A29" s="34" t="s">
        <v>131</v>
      </c>
      <c r="B29" s="34" t="n">
        <v>8679.5</v>
      </c>
      <c r="C29" s="34" t="n">
        <v>-66.67</v>
      </c>
      <c r="D29" s="34" t="n">
        <v>-117.84</v>
      </c>
      <c r="E29" s="34" t="n">
        <v>55.14</v>
      </c>
      <c r="F29" s="34" t="n">
        <v>152.65</v>
      </c>
      <c r="G29" s="34" t="n">
        <v>116.97</v>
      </c>
      <c r="H29" s="34" t="n">
        <v>94.25</v>
      </c>
      <c r="I29" s="34" t="n">
        <v>102.47</v>
      </c>
      <c r="J29" s="34" t="n">
        <v>78.79</v>
      </c>
      <c r="K29" s="34" t="n">
        <v>8468.98</v>
      </c>
      <c r="L29" s="34" t="n">
        <f aca="false">AVERAGE(C29:E29)</f>
        <v>-43.1233333333333</v>
      </c>
      <c r="M29" s="34" t="n">
        <f aca="false">AVERAGE(C29:J29)</f>
        <v>51.97</v>
      </c>
    </row>
    <row r="30" customFormat="false" ht="15.75" hidden="false" customHeight="true" outlineLevel="0" collapsed="false">
      <c r="A30" s="34" t="s">
        <v>54</v>
      </c>
      <c r="B30" s="34" t="n">
        <v>8624</v>
      </c>
      <c r="C30" s="34" t="n">
        <v>-66.67</v>
      </c>
      <c r="D30" s="34" t="n">
        <v>-18.22</v>
      </c>
      <c r="E30" s="34" t="n">
        <v>59.73</v>
      </c>
      <c r="F30" s="34" t="n">
        <v>12.36</v>
      </c>
      <c r="G30" s="34" t="n">
        <v>-47.33</v>
      </c>
      <c r="H30" s="34" t="n">
        <v>-16.62</v>
      </c>
      <c r="I30" s="34" t="n">
        <v>29.26</v>
      </c>
      <c r="J30" s="34" t="n">
        <v>6.06</v>
      </c>
      <c r="K30" s="34" t="n">
        <v>8782.37</v>
      </c>
      <c r="L30" s="34" t="n">
        <f aca="false">AVERAGE(C30:E30)</f>
        <v>-8.38666666666667</v>
      </c>
      <c r="M30" s="34" t="n">
        <f aca="false">AVERAGE(C30:J30)</f>
        <v>-5.17875</v>
      </c>
    </row>
    <row r="31" customFormat="false" ht="15.75" hidden="false" customHeight="true" outlineLevel="0" collapsed="false">
      <c r="A31" s="34" t="s">
        <v>311</v>
      </c>
      <c r="B31" s="34" t="n">
        <v>8432</v>
      </c>
      <c r="C31" s="34" t="n">
        <v>-66.67</v>
      </c>
      <c r="D31" s="34" t="n">
        <v>-87.16</v>
      </c>
      <c r="E31" s="34" t="n">
        <v>-69.2</v>
      </c>
      <c r="F31" s="34" t="n">
        <v>-131.32</v>
      </c>
      <c r="G31" s="34" t="n">
        <v>-128.38</v>
      </c>
      <c r="H31" s="34" t="n">
        <v>-65.61</v>
      </c>
      <c r="I31" s="34" t="n">
        <v>-25.65</v>
      </c>
      <c r="J31" s="34" t="n">
        <v>6.68</v>
      </c>
      <c r="K31" s="34" t="n">
        <v>8890.43</v>
      </c>
      <c r="L31" s="34" t="n">
        <f aca="false">AVERAGE(C31:E31)</f>
        <v>-74.3433333333334</v>
      </c>
      <c r="M31" s="34" t="n">
        <f aca="false">AVERAGE(C31:J31)</f>
        <v>-70.91375</v>
      </c>
    </row>
    <row r="32" customFormat="false" ht="15.75" hidden="false" customHeight="true" outlineLevel="0" collapsed="false">
      <c r="A32" s="34" t="s">
        <v>676</v>
      </c>
      <c r="B32" s="34" t="n">
        <v>8221.5</v>
      </c>
      <c r="C32" s="34" t="n">
        <v>-66.67</v>
      </c>
      <c r="D32" s="34" t="n">
        <v>1.76</v>
      </c>
      <c r="E32" s="34" t="n">
        <v>83.91</v>
      </c>
      <c r="F32" s="34" t="n">
        <v>-65.53</v>
      </c>
      <c r="G32" s="34" t="n">
        <v>-98.19</v>
      </c>
      <c r="H32" s="34" t="n">
        <v>-48.47</v>
      </c>
      <c r="I32" s="34" t="n">
        <v>2.37</v>
      </c>
      <c r="J32" s="34" t="n">
        <v>14.26</v>
      </c>
      <c r="K32" s="34" t="n">
        <v>8519.7</v>
      </c>
      <c r="L32" s="34" t="n">
        <f aca="false">AVERAGE(C32:E32)</f>
        <v>6.33333333333333</v>
      </c>
      <c r="M32" s="34" t="n">
        <f aca="false">AVERAGE(C32:J32)</f>
        <v>-22.07</v>
      </c>
    </row>
    <row r="33" customFormat="false" ht="15.75" hidden="false" customHeight="true" outlineLevel="0" collapsed="false">
      <c r="A33" s="34" t="s">
        <v>282</v>
      </c>
      <c r="B33" s="34" t="n">
        <v>8194.5</v>
      </c>
      <c r="C33" s="34" t="n">
        <v>-66.67</v>
      </c>
      <c r="D33" s="34" t="n">
        <v>-104.78</v>
      </c>
      <c r="E33" s="34" t="n">
        <v>-127.29</v>
      </c>
      <c r="F33" s="34" t="n">
        <v>-172.86</v>
      </c>
      <c r="G33" s="34" t="n">
        <v>-54.39</v>
      </c>
      <c r="H33" s="34" t="n">
        <v>27.37</v>
      </c>
      <c r="I33" s="34" t="n">
        <v>46.96</v>
      </c>
      <c r="J33" s="34" t="n">
        <v>45.67</v>
      </c>
      <c r="K33" s="34" t="n">
        <v>8828.64</v>
      </c>
      <c r="L33" s="34" t="n">
        <f aca="false">AVERAGE(C33:E33)</f>
        <v>-99.58</v>
      </c>
      <c r="M33" s="34" t="n">
        <f aca="false">AVERAGE(C33:J33)</f>
        <v>-50.74875</v>
      </c>
    </row>
    <row r="34" customFormat="false" ht="15.75" hidden="false" customHeight="true" outlineLevel="0" collapsed="false">
      <c r="A34" s="34" t="s">
        <v>27</v>
      </c>
      <c r="B34" s="34" t="n">
        <v>7960</v>
      </c>
      <c r="C34" s="34" t="n">
        <v>-66.67</v>
      </c>
      <c r="D34" s="34" t="n">
        <v>-76.58</v>
      </c>
      <c r="E34" s="34" t="n">
        <v>-50.09</v>
      </c>
      <c r="F34" s="34" t="n">
        <v>-23.32</v>
      </c>
      <c r="G34" s="34" t="n">
        <v>-9.7</v>
      </c>
      <c r="H34" s="34" t="n">
        <v>41.78</v>
      </c>
      <c r="I34" s="34" t="n">
        <v>63.09</v>
      </c>
      <c r="J34" s="34" t="n">
        <v>79.89</v>
      </c>
      <c r="K34" s="34" t="n">
        <v>7834.35</v>
      </c>
      <c r="L34" s="34" t="n">
        <f aca="false">AVERAGE(C34:E34)</f>
        <v>-64.4466666666667</v>
      </c>
      <c r="M34" s="34" t="n">
        <f aca="false">AVERAGE(C34:J34)</f>
        <v>-5.2</v>
      </c>
    </row>
    <row r="35" customFormat="false" ht="15.75" hidden="false" customHeight="true" outlineLevel="0" collapsed="false">
      <c r="A35" s="34" t="s">
        <v>129</v>
      </c>
      <c r="B35" s="34" t="n">
        <v>7930</v>
      </c>
      <c r="C35" s="34" t="n">
        <v>66.67</v>
      </c>
      <c r="D35" s="34" t="n">
        <v>78.9</v>
      </c>
      <c r="E35" s="34" t="n">
        <v>67.68</v>
      </c>
      <c r="F35" s="34" t="n">
        <v>169.97</v>
      </c>
      <c r="G35" s="34" t="n">
        <v>181.81</v>
      </c>
      <c r="H35" s="34" t="n">
        <v>215.18</v>
      </c>
      <c r="I35" s="34" t="n">
        <v>195.17</v>
      </c>
      <c r="J35" s="34" t="n">
        <v>206.56</v>
      </c>
      <c r="K35" s="34" t="n">
        <v>7620.73</v>
      </c>
      <c r="L35" s="34" t="n">
        <f aca="false">AVERAGE(C35:E35)</f>
        <v>71.0833333333333</v>
      </c>
      <c r="M35" s="34" t="n">
        <f aca="false">AVERAGE(C35:J35)</f>
        <v>147.7425</v>
      </c>
    </row>
    <row r="36" customFormat="false" ht="15.75" hidden="false" customHeight="true" outlineLevel="0" collapsed="false">
      <c r="A36" s="34" t="s">
        <v>296</v>
      </c>
      <c r="B36" s="34" t="n">
        <v>7260.5</v>
      </c>
      <c r="C36" s="34" t="n">
        <v>-66.67</v>
      </c>
      <c r="D36" s="34" t="n">
        <v>-133.33</v>
      </c>
      <c r="E36" s="34" t="n">
        <v>33.13</v>
      </c>
      <c r="F36" s="34" t="n">
        <v>-52.19</v>
      </c>
      <c r="G36" s="34" t="n">
        <v>24.78</v>
      </c>
      <c r="H36" s="34" t="n">
        <v>56.81</v>
      </c>
      <c r="I36" s="34" t="n">
        <v>72.85</v>
      </c>
      <c r="J36" s="34" t="n">
        <v>86.12</v>
      </c>
      <c r="K36" s="34" t="n">
        <v>7512.77</v>
      </c>
      <c r="L36" s="34" t="n">
        <f aca="false">AVERAGE(C36:E36)</f>
        <v>-55.6233333333333</v>
      </c>
      <c r="M36" s="34" t="n">
        <f aca="false">AVERAGE(C36:J36)</f>
        <v>2.6875</v>
      </c>
    </row>
    <row r="37" customFormat="false" ht="15.75" hidden="false" customHeight="true" outlineLevel="0" collapsed="false">
      <c r="A37" s="34" t="s">
        <v>173</v>
      </c>
      <c r="B37" s="34" t="n">
        <v>7116</v>
      </c>
      <c r="C37" s="34" t="n">
        <v>66.67</v>
      </c>
      <c r="D37" s="34" t="n">
        <v>-18.68</v>
      </c>
      <c r="E37" s="34" t="n">
        <v>66.24</v>
      </c>
      <c r="F37" s="34" t="n">
        <v>142.95</v>
      </c>
      <c r="G37" s="34" t="n">
        <v>100.54</v>
      </c>
      <c r="H37" s="34" t="n">
        <v>111.42</v>
      </c>
      <c r="I37" s="34" t="n">
        <v>122.15</v>
      </c>
      <c r="J37" s="34" t="n">
        <v>137.37</v>
      </c>
      <c r="K37" s="34" t="n">
        <v>6855.16</v>
      </c>
      <c r="L37" s="34" t="n">
        <f aca="false">AVERAGE(C37:E37)</f>
        <v>38.0766666666667</v>
      </c>
      <c r="M37" s="34" t="n">
        <f aca="false">AVERAGE(C37:J37)</f>
        <v>91.0825</v>
      </c>
    </row>
    <row r="38" customFormat="false" ht="15.75" hidden="false" customHeight="true" outlineLevel="0" collapsed="false">
      <c r="A38" s="34" t="s">
        <v>487</v>
      </c>
      <c r="B38" s="34" t="n">
        <v>6980.5</v>
      </c>
      <c r="C38" s="34" t="n">
        <v>66.67</v>
      </c>
      <c r="D38" s="34" t="n">
        <v>74.12</v>
      </c>
      <c r="E38" s="34" t="n">
        <v>116.17</v>
      </c>
      <c r="F38" s="34" t="n">
        <v>-51.66</v>
      </c>
      <c r="G38" s="34" t="n">
        <v>-79.85</v>
      </c>
      <c r="H38" s="34" t="n">
        <v>-4.28</v>
      </c>
      <c r="I38" s="34" t="n">
        <v>29.88</v>
      </c>
      <c r="J38" s="34" t="n">
        <v>46.03</v>
      </c>
      <c r="K38" s="34" t="n">
        <v>7274.01</v>
      </c>
      <c r="L38" s="34" t="n">
        <f aca="false">AVERAGE(C38:E38)</f>
        <v>85.6533333333334</v>
      </c>
      <c r="M38" s="34" t="n">
        <f aca="false">AVERAGE(C38:J38)</f>
        <v>24.635</v>
      </c>
    </row>
    <row r="39" customFormat="false" ht="15.75" hidden="false" customHeight="true" outlineLevel="0" collapsed="false">
      <c r="A39" s="34" t="s">
        <v>456</v>
      </c>
      <c r="B39" s="34" t="n">
        <v>6915.5</v>
      </c>
      <c r="C39" s="34" t="n">
        <v>-66.67</v>
      </c>
      <c r="D39" s="34" t="n">
        <v>-52.01</v>
      </c>
      <c r="E39" s="34" t="n">
        <v>28.42</v>
      </c>
      <c r="F39" s="34" t="n">
        <v>54.18</v>
      </c>
      <c r="G39" s="34" t="n">
        <v>68.71</v>
      </c>
      <c r="H39" s="34" t="n">
        <v>80.7</v>
      </c>
      <c r="I39" s="34" t="n">
        <v>95.73</v>
      </c>
      <c r="J39" s="34" t="n">
        <v>108.15</v>
      </c>
      <c r="K39" s="34" t="n">
        <v>6867.13</v>
      </c>
      <c r="L39" s="34" t="n">
        <f aca="false">AVERAGE(C39:E39)</f>
        <v>-30.0866666666667</v>
      </c>
      <c r="M39" s="34" t="n">
        <f aca="false">AVERAGE(C39:J39)</f>
        <v>39.65125</v>
      </c>
    </row>
    <row r="40" customFormat="false" ht="15.75" hidden="false" customHeight="true" outlineLevel="0" collapsed="false">
      <c r="A40" s="34" t="s">
        <v>57</v>
      </c>
      <c r="B40" s="34" t="n">
        <v>6841</v>
      </c>
      <c r="C40" s="34" t="n">
        <v>-66.67</v>
      </c>
      <c r="D40" s="34" t="n">
        <v>-127.72</v>
      </c>
      <c r="E40" s="34" t="n">
        <v>-71.13</v>
      </c>
      <c r="F40" s="34" t="n">
        <v>44.84</v>
      </c>
      <c r="G40" s="34" t="n">
        <v>95.27</v>
      </c>
      <c r="H40" s="34" t="n">
        <v>108.27</v>
      </c>
      <c r="I40" s="34" t="n">
        <v>119.48</v>
      </c>
      <c r="J40" s="34" t="n">
        <v>137.51</v>
      </c>
      <c r="K40" s="34" t="n">
        <v>7534.81</v>
      </c>
      <c r="L40" s="34" t="n">
        <f aca="false">AVERAGE(C40:E40)</f>
        <v>-88.5066666666667</v>
      </c>
      <c r="M40" s="34" t="n">
        <f aca="false">AVERAGE(C40:J40)</f>
        <v>29.98125</v>
      </c>
    </row>
    <row r="41" customFormat="false" ht="15.75" hidden="false" customHeight="true" outlineLevel="0" collapsed="false">
      <c r="A41" s="34" t="s">
        <v>377</v>
      </c>
      <c r="B41" s="34" t="n">
        <v>6823</v>
      </c>
      <c r="C41" s="34" t="n">
        <v>-66.67</v>
      </c>
      <c r="D41" s="34" t="n">
        <v>-98.93</v>
      </c>
      <c r="E41" s="34" t="n">
        <v>-4.35</v>
      </c>
      <c r="F41" s="34" t="n">
        <v>83.27</v>
      </c>
      <c r="G41" s="34" t="n">
        <v>106.75</v>
      </c>
      <c r="H41" s="34" t="n">
        <v>131.15</v>
      </c>
      <c r="I41" s="34" t="n">
        <v>148.67</v>
      </c>
      <c r="J41" s="34" t="n">
        <v>157.18</v>
      </c>
      <c r="K41" s="34" t="n">
        <v>6525.63</v>
      </c>
      <c r="L41" s="34" t="n">
        <f aca="false">AVERAGE(C41:E41)</f>
        <v>-56.65</v>
      </c>
      <c r="M41" s="34" t="n">
        <f aca="false">AVERAGE(C41:J41)</f>
        <v>57.13375</v>
      </c>
    </row>
    <row r="42" customFormat="false" ht="15.75" hidden="false" customHeight="true" outlineLevel="0" collapsed="false">
      <c r="A42" s="34" t="s">
        <v>677</v>
      </c>
      <c r="B42" s="34" t="n">
        <v>6789</v>
      </c>
      <c r="C42" s="34" t="n">
        <v>-66.67</v>
      </c>
      <c r="D42" s="34" t="n">
        <v>-127.27</v>
      </c>
      <c r="E42" s="34" t="n">
        <v>13.76</v>
      </c>
      <c r="F42" s="34" t="n">
        <v>-42.51</v>
      </c>
      <c r="G42" s="34" t="n">
        <v>-62.9</v>
      </c>
      <c r="H42" s="34" t="n">
        <v>-57.75</v>
      </c>
      <c r="I42" s="34" t="n">
        <v>10.84</v>
      </c>
      <c r="J42" s="34" t="n">
        <v>26.6</v>
      </c>
      <c r="K42" s="34" t="n">
        <v>6972.23</v>
      </c>
      <c r="L42" s="34" t="n">
        <f aca="false">AVERAGE(C42:E42)</f>
        <v>-60.06</v>
      </c>
      <c r="M42" s="34" t="n">
        <f aca="false">AVERAGE(C42:J42)</f>
        <v>-38.2375</v>
      </c>
    </row>
    <row r="43" customFormat="false" ht="15.75" hidden="false" customHeight="true" outlineLevel="0" collapsed="false">
      <c r="A43" s="34" t="s">
        <v>678</v>
      </c>
      <c r="B43" s="34" t="n">
        <v>6581.5</v>
      </c>
      <c r="C43" s="34" t="n">
        <v>66.67</v>
      </c>
      <c r="D43" s="34" t="n">
        <v>133.33</v>
      </c>
      <c r="E43" s="34" t="n">
        <v>306.59</v>
      </c>
      <c r="F43" s="34" t="n">
        <v>138.6</v>
      </c>
      <c r="G43" s="34" t="n">
        <v>218.03</v>
      </c>
      <c r="H43" s="34" t="n">
        <v>163.58</v>
      </c>
      <c r="I43" s="34" t="n">
        <v>169.34</v>
      </c>
      <c r="J43" s="34" t="n">
        <v>195.18</v>
      </c>
      <c r="K43" s="34" t="n">
        <v>6096.72</v>
      </c>
      <c r="L43" s="34" t="n">
        <f aca="false">AVERAGE(C43:E43)</f>
        <v>168.863333333333</v>
      </c>
      <c r="M43" s="34" t="n">
        <f aca="false">AVERAGE(C43:J43)</f>
        <v>173.915</v>
      </c>
    </row>
    <row r="44" customFormat="false" ht="15.75" hidden="false" customHeight="true" outlineLevel="0" collapsed="false">
      <c r="A44" s="34" t="s">
        <v>679</v>
      </c>
      <c r="B44" s="34" t="n">
        <v>6533</v>
      </c>
      <c r="C44" s="34" t="n">
        <v>-66.67</v>
      </c>
      <c r="D44" s="34" t="n">
        <v>-105.55</v>
      </c>
      <c r="E44" s="34" t="n">
        <v>-86.73</v>
      </c>
      <c r="F44" s="34" t="n">
        <v>-68.38</v>
      </c>
      <c r="G44" s="34" t="n">
        <v>-112.56</v>
      </c>
      <c r="H44" s="34" t="n">
        <v>-77.55</v>
      </c>
      <c r="I44" s="34" t="n">
        <v>-35.18</v>
      </c>
      <c r="J44" s="34" t="n">
        <v>-41.5</v>
      </c>
      <c r="K44" s="34" t="n">
        <v>6905.92</v>
      </c>
      <c r="L44" s="34" t="n">
        <f aca="false">AVERAGE(C44:E44)</f>
        <v>-86.3166666666667</v>
      </c>
      <c r="M44" s="34" t="n">
        <f aca="false">AVERAGE(C44:J44)</f>
        <v>-74.265</v>
      </c>
    </row>
    <row r="45" customFormat="false" ht="15.75" hidden="false" customHeight="true" outlineLevel="0" collapsed="false">
      <c r="A45" s="34" t="s">
        <v>364</v>
      </c>
      <c r="B45" s="34" t="n">
        <v>6528.5</v>
      </c>
      <c r="C45" s="34" t="n">
        <v>66.67</v>
      </c>
      <c r="D45" s="34" t="n">
        <v>-26.72</v>
      </c>
      <c r="E45" s="34" t="n">
        <v>68.06</v>
      </c>
      <c r="F45" s="34" t="n">
        <v>-23.51</v>
      </c>
      <c r="G45" s="34" t="n">
        <v>-59.41</v>
      </c>
      <c r="H45" s="34" t="n">
        <v>13.29</v>
      </c>
      <c r="I45" s="34" t="n">
        <v>38.45</v>
      </c>
      <c r="J45" s="34" t="n">
        <v>34.22</v>
      </c>
      <c r="K45" s="34" t="n">
        <v>6590.87</v>
      </c>
      <c r="L45" s="34" t="n">
        <f aca="false">AVERAGE(C45:E45)</f>
        <v>36.0033333333333</v>
      </c>
      <c r="M45" s="34" t="n">
        <f aca="false">AVERAGE(C45:J45)</f>
        <v>13.88125</v>
      </c>
    </row>
    <row r="46" customFormat="false" ht="15.75" hidden="false" customHeight="true" outlineLevel="0" collapsed="false">
      <c r="A46" s="34" t="s">
        <v>284</v>
      </c>
      <c r="B46" s="34" t="n">
        <v>6497.5</v>
      </c>
      <c r="C46" s="34" t="n">
        <v>66.67</v>
      </c>
      <c r="D46" s="34" t="n">
        <v>111.88</v>
      </c>
      <c r="E46" s="34" t="n">
        <v>3.82</v>
      </c>
      <c r="F46" s="34" t="n">
        <v>-68.77</v>
      </c>
      <c r="G46" s="34" t="n">
        <v>-103.66</v>
      </c>
      <c r="H46" s="34" t="n">
        <v>-83.62</v>
      </c>
      <c r="I46" s="34" t="n">
        <v>-13.39</v>
      </c>
      <c r="J46" s="34" t="n">
        <v>-1.75</v>
      </c>
      <c r="K46" s="34" t="n">
        <v>6661.84</v>
      </c>
      <c r="L46" s="34" t="n">
        <f aca="false">AVERAGE(C46:E46)</f>
        <v>60.79</v>
      </c>
      <c r="M46" s="34" t="n">
        <f aca="false">AVERAGE(C46:J46)</f>
        <v>-11.1025</v>
      </c>
    </row>
    <row r="47" customFormat="false" ht="15.75" hidden="false" customHeight="true" outlineLevel="0" collapsed="false">
      <c r="A47" s="34" t="s">
        <v>680</v>
      </c>
      <c r="B47" s="34" t="n">
        <v>6469</v>
      </c>
      <c r="C47" s="34" t="n">
        <v>66.67</v>
      </c>
      <c r="D47" s="34" t="n">
        <v>111.62</v>
      </c>
      <c r="E47" s="34" t="n">
        <v>174.87</v>
      </c>
      <c r="F47" s="34" t="n">
        <v>318.73</v>
      </c>
      <c r="G47" s="34" t="n">
        <v>394.15</v>
      </c>
      <c r="H47" s="34" t="n">
        <v>273.39</v>
      </c>
      <c r="I47" s="34" t="n">
        <v>210.7</v>
      </c>
      <c r="J47" s="34" t="n">
        <v>225.33</v>
      </c>
      <c r="K47" s="34" t="n">
        <v>5352.26</v>
      </c>
      <c r="L47" s="34" t="n">
        <f aca="false">AVERAGE(C47:E47)</f>
        <v>117.72</v>
      </c>
      <c r="M47" s="34" t="n">
        <f aca="false">AVERAGE(C47:J47)</f>
        <v>221.9325</v>
      </c>
    </row>
    <row r="48" customFormat="false" ht="15.75" hidden="false" customHeight="true" outlineLevel="0" collapsed="false">
      <c r="A48" s="34" t="s">
        <v>398</v>
      </c>
      <c r="B48" s="34" t="n">
        <v>6311.5</v>
      </c>
      <c r="C48" s="34" t="n">
        <v>-66.67</v>
      </c>
      <c r="D48" s="34" t="n">
        <v>-111.69</v>
      </c>
      <c r="E48" s="34" t="n">
        <v>1.36</v>
      </c>
      <c r="F48" s="34" t="n">
        <v>-94.3</v>
      </c>
      <c r="G48" s="34" t="n">
        <v>-102.63</v>
      </c>
      <c r="H48" s="34" t="n">
        <v>-83.85</v>
      </c>
      <c r="I48" s="34" t="n">
        <v>-48.95</v>
      </c>
      <c r="J48" s="34" t="n">
        <v>-24.96</v>
      </c>
      <c r="K48" s="34" t="n">
        <v>6523.98</v>
      </c>
      <c r="L48" s="34" t="n">
        <f aca="false">AVERAGE(C48:E48)</f>
        <v>-59</v>
      </c>
      <c r="M48" s="34" t="n">
        <f aca="false">AVERAGE(C48:J48)</f>
        <v>-66.46125</v>
      </c>
    </row>
    <row r="49" customFormat="false" ht="15.75" hidden="false" customHeight="true" outlineLevel="0" collapsed="false">
      <c r="A49" s="34" t="s">
        <v>681</v>
      </c>
      <c r="B49" s="34" t="n">
        <v>6255</v>
      </c>
      <c r="C49" s="34" t="n">
        <v>-66.67</v>
      </c>
      <c r="D49" s="34" t="n">
        <v>-133.33</v>
      </c>
      <c r="E49" s="34" t="n">
        <v>64.44</v>
      </c>
      <c r="F49" s="34" t="n">
        <v>-54.45</v>
      </c>
      <c r="G49" s="34" t="n">
        <v>-111.27</v>
      </c>
      <c r="H49" s="34" t="n">
        <v>-23.25</v>
      </c>
      <c r="I49" s="34" t="n">
        <v>16.26</v>
      </c>
      <c r="J49" s="34" t="n">
        <v>21.58</v>
      </c>
      <c r="K49" s="34" t="n">
        <v>6468.26</v>
      </c>
      <c r="L49" s="34" t="n">
        <f aca="false">AVERAGE(C49:E49)</f>
        <v>-45.1866666666667</v>
      </c>
      <c r="M49" s="34" t="n">
        <f aca="false">AVERAGE(C49:J49)</f>
        <v>-35.83625</v>
      </c>
    </row>
    <row r="50" customFormat="false" ht="15.75" hidden="false" customHeight="true" outlineLevel="0" collapsed="false">
      <c r="A50" s="34" t="s">
        <v>468</v>
      </c>
      <c r="B50" s="34" t="n">
        <v>6209</v>
      </c>
      <c r="C50" s="34" t="n">
        <v>66.67</v>
      </c>
      <c r="D50" s="34" t="n">
        <v>-60.82</v>
      </c>
      <c r="E50" s="34" t="n">
        <v>44.96</v>
      </c>
      <c r="F50" s="34" t="n">
        <v>70.6</v>
      </c>
      <c r="G50" s="34" t="n">
        <v>85.12</v>
      </c>
      <c r="H50" s="34" t="n">
        <v>89.8</v>
      </c>
      <c r="I50" s="34" t="n">
        <v>77.99</v>
      </c>
      <c r="J50" s="34" t="n">
        <v>76.87</v>
      </c>
      <c r="K50" s="34" t="n">
        <v>6299.28</v>
      </c>
      <c r="L50" s="34" t="n">
        <f aca="false">AVERAGE(C50:E50)</f>
        <v>16.9366666666667</v>
      </c>
      <c r="M50" s="34" t="n">
        <f aca="false">AVERAGE(C50:J50)</f>
        <v>56.39875</v>
      </c>
    </row>
    <row r="51" customFormat="false" ht="15.75" hidden="false" customHeight="true" outlineLevel="0" collapsed="false">
      <c r="A51" s="34" t="s">
        <v>90</v>
      </c>
      <c r="B51" s="34" t="n">
        <v>6151.5</v>
      </c>
      <c r="C51" s="34" t="n">
        <v>66.67</v>
      </c>
      <c r="D51" s="34" t="n">
        <v>88.6</v>
      </c>
      <c r="E51" s="34" t="n">
        <v>84.26</v>
      </c>
      <c r="F51" s="34" t="n">
        <v>-66.6</v>
      </c>
      <c r="G51" s="34" t="n">
        <v>-133.16</v>
      </c>
      <c r="H51" s="34" t="n">
        <v>-68.77</v>
      </c>
      <c r="I51" s="34" t="n">
        <v>-15.39</v>
      </c>
      <c r="J51" s="34" t="n">
        <v>-2.84</v>
      </c>
      <c r="K51" s="34" t="n">
        <v>6291.09</v>
      </c>
      <c r="L51" s="34" t="n">
        <f aca="false">AVERAGE(C51:E51)</f>
        <v>79.8433333333334</v>
      </c>
      <c r="M51" s="34" t="n">
        <f aca="false">AVERAGE(C51:J51)</f>
        <v>-5.90375</v>
      </c>
    </row>
    <row r="52" customFormat="false" ht="15.75" hidden="false" customHeight="true" outlineLevel="0" collapsed="false">
      <c r="A52" s="34" t="s">
        <v>144</v>
      </c>
      <c r="B52" s="34" t="n">
        <v>6086.5</v>
      </c>
      <c r="C52" s="34" t="n">
        <v>66.67</v>
      </c>
      <c r="D52" s="34" t="n">
        <v>35.45</v>
      </c>
      <c r="E52" s="34" t="n">
        <v>69.46</v>
      </c>
      <c r="F52" s="34" t="n">
        <v>158.15</v>
      </c>
      <c r="G52" s="34" t="n">
        <v>125.1</v>
      </c>
      <c r="H52" s="34" t="n">
        <v>137.27</v>
      </c>
      <c r="I52" s="34" t="n">
        <v>131.19</v>
      </c>
      <c r="J52" s="34" t="n">
        <v>118.17</v>
      </c>
      <c r="K52" s="34" t="n">
        <v>5854.85</v>
      </c>
      <c r="L52" s="34" t="n">
        <f aca="false">AVERAGE(C52:E52)</f>
        <v>57.1933333333333</v>
      </c>
      <c r="M52" s="34" t="n">
        <f aca="false">AVERAGE(C52:J52)</f>
        <v>105.1825</v>
      </c>
    </row>
    <row r="53" customFormat="false" ht="15.75" hidden="false" customHeight="true" outlineLevel="0" collapsed="false">
      <c r="A53" s="34" t="s">
        <v>73</v>
      </c>
      <c r="B53" s="34" t="n">
        <v>5924.5</v>
      </c>
      <c r="C53" s="34" t="n">
        <v>-66.67</v>
      </c>
      <c r="D53" s="34" t="n">
        <v>-62.4</v>
      </c>
      <c r="E53" s="34" t="n">
        <v>65.92</v>
      </c>
      <c r="F53" s="34" t="n">
        <v>159.79</v>
      </c>
      <c r="G53" s="34" t="n">
        <v>173.31</v>
      </c>
      <c r="H53" s="34" t="n">
        <v>193.51</v>
      </c>
      <c r="I53" s="34" t="n">
        <v>177.1</v>
      </c>
      <c r="J53" s="34" t="n">
        <v>170.06</v>
      </c>
      <c r="K53" s="34" t="n">
        <v>5746.41</v>
      </c>
      <c r="L53" s="34" t="n">
        <f aca="false">AVERAGE(C53:E53)</f>
        <v>-21.05</v>
      </c>
      <c r="M53" s="34" t="n">
        <f aca="false">AVERAGE(C53:J53)</f>
        <v>101.3275</v>
      </c>
    </row>
    <row r="54" customFormat="false" ht="15.75" hidden="false" customHeight="true" outlineLevel="0" collapsed="false">
      <c r="A54" s="34" t="s">
        <v>108</v>
      </c>
      <c r="B54" s="34" t="n">
        <v>5828</v>
      </c>
      <c r="C54" s="34" t="n">
        <v>66.67</v>
      </c>
      <c r="D54" s="34" t="n">
        <v>110.35</v>
      </c>
      <c r="E54" s="34" t="n">
        <v>131.12</v>
      </c>
      <c r="F54" s="34" t="n">
        <v>153.81</v>
      </c>
      <c r="G54" s="34" t="n">
        <v>127.9</v>
      </c>
      <c r="H54" s="34" t="n">
        <v>141.71</v>
      </c>
      <c r="I54" s="34" t="n">
        <v>131.91</v>
      </c>
      <c r="J54" s="34" t="n">
        <v>138.82</v>
      </c>
      <c r="K54" s="34" t="n">
        <v>5602.3</v>
      </c>
      <c r="L54" s="34" t="n">
        <f aca="false">AVERAGE(C54:E54)</f>
        <v>102.713333333333</v>
      </c>
      <c r="M54" s="34" t="n">
        <f aca="false">AVERAGE(C54:J54)</f>
        <v>125.28625</v>
      </c>
    </row>
    <row r="55" customFormat="false" ht="15.75" hidden="false" customHeight="true" outlineLevel="0" collapsed="false">
      <c r="A55" s="34" t="s">
        <v>330</v>
      </c>
      <c r="B55" s="34" t="n">
        <v>5802</v>
      </c>
      <c r="C55" s="34" t="n">
        <v>-66.67</v>
      </c>
      <c r="D55" s="34" t="n">
        <v>-133.33</v>
      </c>
      <c r="E55" s="34" t="n">
        <v>-119.26</v>
      </c>
      <c r="F55" s="34" t="n">
        <v>-68.74</v>
      </c>
      <c r="G55" s="34" t="n">
        <v>-117.23</v>
      </c>
      <c r="H55" s="34" t="n">
        <v>-146.38</v>
      </c>
      <c r="I55" s="34" t="n">
        <v>-108.37</v>
      </c>
      <c r="J55" s="34" t="n">
        <v>-120.97</v>
      </c>
      <c r="K55" s="34" t="n">
        <v>6060.69</v>
      </c>
      <c r="L55" s="34" t="n">
        <f aca="false">AVERAGE(C55:E55)</f>
        <v>-106.42</v>
      </c>
      <c r="M55" s="34" t="n">
        <f aca="false">AVERAGE(C55:J55)</f>
        <v>-110.11875</v>
      </c>
    </row>
    <row r="56" customFormat="false" ht="15.75" hidden="false" customHeight="true" outlineLevel="0" collapsed="false">
      <c r="A56" s="34" t="s">
        <v>493</v>
      </c>
      <c r="B56" s="34" t="n">
        <v>5668.5</v>
      </c>
      <c r="C56" s="34" t="n">
        <v>-66.67</v>
      </c>
      <c r="D56" s="34" t="n">
        <v>-8.24</v>
      </c>
      <c r="E56" s="34" t="n">
        <v>67.39</v>
      </c>
      <c r="F56" s="34" t="n">
        <v>146.64</v>
      </c>
      <c r="G56" s="34" t="n">
        <v>47.77</v>
      </c>
      <c r="H56" s="34" t="n">
        <v>68.29</v>
      </c>
      <c r="I56" s="34" t="n">
        <v>79.61</v>
      </c>
      <c r="J56" s="34" t="n">
        <v>94.8</v>
      </c>
      <c r="K56" s="34" t="n">
        <v>5358.34</v>
      </c>
      <c r="L56" s="34" t="n">
        <f aca="false">AVERAGE(C56:E56)</f>
        <v>-2.50666666666667</v>
      </c>
      <c r="M56" s="34" t="n">
        <f aca="false">AVERAGE(C56:J56)</f>
        <v>53.69875</v>
      </c>
    </row>
    <row r="57" customFormat="false" ht="15.75" hidden="false" customHeight="true" outlineLevel="0" collapsed="false">
      <c r="A57" s="34" t="s">
        <v>240</v>
      </c>
      <c r="B57" s="34" t="n">
        <v>5579.5</v>
      </c>
      <c r="C57" s="34" t="n">
        <v>-66.67</v>
      </c>
      <c r="D57" s="34" t="n">
        <v>-133.33</v>
      </c>
      <c r="E57" s="34" t="n">
        <v>-181.24</v>
      </c>
      <c r="F57" s="34" t="n">
        <v>-123.13</v>
      </c>
      <c r="G57" s="34" t="n">
        <v>-177.1</v>
      </c>
      <c r="H57" s="34" t="n">
        <v>-113.51</v>
      </c>
      <c r="I57" s="34" t="n">
        <v>-46.42</v>
      </c>
      <c r="J57" s="34" t="n">
        <v>-61.18</v>
      </c>
      <c r="K57" s="34" t="n">
        <v>5858.87</v>
      </c>
      <c r="L57" s="34" t="n">
        <f aca="false">AVERAGE(C57:E57)</f>
        <v>-127.08</v>
      </c>
      <c r="M57" s="34" t="n">
        <f aca="false">AVERAGE(C57:J57)</f>
        <v>-112.8225</v>
      </c>
    </row>
    <row r="58" customFormat="false" ht="15.75" hidden="false" customHeight="true" outlineLevel="0" collapsed="false">
      <c r="A58" s="34" t="s">
        <v>153</v>
      </c>
      <c r="B58" s="34" t="n">
        <v>5568</v>
      </c>
      <c r="C58" s="34" t="n">
        <v>-66.67</v>
      </c>
      <c r="D58" s="34" t="n">
        <v>6.6</v>
      </c>
      <c r="E58" s="34" t="n">
        <v>80.89</v>
      </c>
      <c r="F58" s="34" t="n">
        <v>-19.25</v>
      </c>
      <c r="G58" s="34" t="n">
        <v>-35.72</v>
      </c>
      <c r="H58" s="34" t="n">
        <v>1.18</v>
      </c>
      <c r="I58" s="34" t="n">
        <v>43.84</v>
      </c>
      <c r="J58" s="34" t="n">
        <v>55.79</v>
      </c>
      <c r="K58" s="34" t="n">
        <v>5352.17</v>
      </c>
      <c r="L58" s="34" t="n">
        <f aca="false">AVERAGE(C58:E58)</f>
        <v>6.94</v>
      </c>
      <c r="M58" s="34" t="n">
        <f aca="false">AVERAGE(C58:J58)</f>
        <v>8.3325</v>
      </c>
    </row>
    <row r="59" customFormat="false" ht="15.75" hidden="false" customHeight="true" outlineLevel="0" collapsed="false">
      <c r="A59" s="34" t="s">
        <v>305</v>
      </c>
      <c r="B59" s="34" t="n">
        <v>5515</v>
      </c>
      <c r="C59" s="34" t="n">
        <v>-66.67</v>
      </c>
      <c r="D59" s="34" t="n">
        <v>-54.2</v>
      </c>
      <c r="E59" s="34" t="n">
        <v>-119.15</v>
      </c>
      <c r="F59" s="34" t="n">
        <v>-104.99</v>
      </c>
      <c r="G59" s="34" t="n">
        <v>-73.04</v>
      </c>
      <c r="H59" s="34" t="n">
        <v>-9.49</v>
      </c>
      <c r="I59" s="34" t="n">
        <v>15.66</v>
      </c>
      <c r="J59" s="34" t="n">
        <v>29.77</v>
      </c>
      <c r="K59" s="34" t="n">
        <v>5872.05</v>
      </c>
      <c r="L59" s="34" t="n">
        <f aca="false">AVERAGE(C59:E59)</f>
        <v>-80.0066666666667</v>
      </c>
      <c r="M59" s="34" t="n">
        <f aca="false">AVERAGE(C59:J59)</f>
        <v>-47.76375</v>
      </c>
    </row>
    <row r="60" customFormat="false" ht="15.75" hidden="false" customHeight="true" outlineLevel="0" collapsed="false">
      <c r="A60" s="34" t="s">
        <v>682</v>
      </c>
      <c r="B60" s="34" t="n">
        <v>5427</v>
      </c>
      <c r="C60" s="34" t="n">
        <v>-66.67</v>
      </c>
      <c r="D60" s="34" t="n">
        <v>42.06</v>
      </c>
      <c r="E60" s="34" t="n">
        <v>108.93</v>
      </c>
      <c r="F60" s="34" t="n">
        <v>35.84</v>
      </c>
      <c r="G60" s="34" t="n">
        <v>85.88</v>
      </c>
      <c r="H60" s="34" t="n">
        <v>101.13</v>
      </c>
      <c r="I60" s="34" t="n">
        <v>98.07</v>
      </c>
      <c r="J60" s="34" t="n">
        <v>110.93</v>
      </c>
      <c r="K60" s="34" t="n">
        <v>5131.42</v>
      </c>
      <c r="L60" s="34" t="n">
        <f aca="false">AVERAGE(C60:E60)</f>
        <v>28.1066666666667</v>
      </c>
      <c r="M60" s="34" t="n">
        <f aca="false">AVERAGE(C60:J60)</f>
        <v>64.52125</v>
      </c>
    </row>
    <row r="61" customFormat="false" ht="15.75" hidden="false" customHeight="true" outlineLevel="0" collapsed="false">
      <c r="A61" s="34" t="s">
        <v>137</v>
      </c>
      <c r="B61" s="34" t="n">
        <v>5426</v>
      </c>
      <c r="C61" s="34" t="n">
        <v>66.67</v>
      </c>
      <c r="D61" s="34" t="n">
        <v>97.61</v>
      </c>
      <c r="E61" s="34" t="n">
        <v>66.13</v>
      </c>
      <c r="F61" s="34" t="n">
        <v>163.35</v>
      </c>
      <c r="G61" s="34" t="n">
        <v>237.23</v>
      </c>
      <c r="H61" s="34" t="n">
        <v>189.93</v>
      </c>
      <c r="I61" s="34" t="n">
        <v>207.52</v>
      </c>
      <c r="J61" s="34" t="n">
        <v>198.79</v>
      </c>
      <c r="K61" s="34" t="n">
        <v>5216.55</v>
      </c>
      <c r="L61" s="34" t="n">
        <f aca="false">AVERAGE(C61:E61)</f>
        <v>76.8033333333333</v>
      </c>
      <c r="M61" s="34" t="n">
        <f aca="false">AVERAGE(C61:J61)</f>
        <v>153.40375</v>
      </c>
    </row>
    <row r="62" customFormat="false" ht="15.75" hidden="false" customHeight="true" outlineLevel="0" collapsed="false">
      <c r="A62" s="34" t="s">
        <v>38</v>
      </c>
      <c r="B62" s="34" t="n">
        <v>5418</v>
      </c>
      <c r="C62" s="34" t="n">
        <v>-66.67</v>
      </c>
      <c r="D62" s="34" t="n">
        <v>-104.24</v>
      </c>
      <c r="E62" s="34" t="n">
        <v>2.04</v>
      </c>
      <c r="F62" s="34" t="n">
        <v>66.26</v>
      </c>
      <c r="G62" s="34" t="n">
        <v>-30.86</v>
      </c>
      <c r="H62" s="34" t="n">
        <v>-14.65</v>
      </c>
      <c r="I62" s="34" t="n">
        <v>12.38</v>
      </c>
      <c r="J62" s="34" t="n">
        <v>5.62</v>
      </c>
      <c r="K62" s="34" t="n">
        <v>5273.57</v>
      </c>
      <c r="L62" s="34" t="n">
        <f aca="false">AVERAGE(C62:E62)</f>
        <v>-56.29</v>
      </c>
      <c r="M62" s="34" t="n">
        <f aca="false">AVERAGE(C62:J62)</f>
        <v>-16.265</v>
      </c>
    </row>
    <row r="63" customFormat="false" ht="15.75" hidden="false" customHeight="true" outlineLevel="0" collapsed="false">
      <c r="A63" s="34" t="s">
        <v>149</v>
      </c>
      <c r="B63" s="34" t="n">
        <v>5369</v>
      </c>
      <c r="C63" s="34" t="n">
        <v>66.67</v>
      </c>
      <c r="D63" s="34" t="n">
        <v>98.58</v>
      </c>
      <c r="E63" s="34" t="n">
        <v>137.02</v>
      </c>
      <c r="F63" s="34" t="n">
        <v>18.11</v>
      </c>
      <c r="G63" s="34" t="n">
        <v>-51.51</v>
      </c>
      <c r="H63" s="34" t="n">
        <v>-41.87</v>
      </c>
      <c r="I63" s="34" t="n">
        <v>-16.48</v>
      </c>
      <c r="J63" s="34" t="n">
        <v>-35.44</v>
      </c>
      <c r="K63" s="34" t="n">
        <v>5409.97</v>
      </c>
      <c r="L63" s="34" t="n">
        <f aca="false">AVERAGE(C63:E63)</f>
        <v>100.756666666667</v>
      </c>
      <c r="M63" s="34" t="n">
        <f aca="false">AVERAGE(C63:J63)</f>
        <v>21.885</v>
      </c>
    </row>
    <row r="64" customFormat="false" ht="15.75" hidden="false" customHeight="true" outlineLevel="0" collapsed="false">
      <c r="A64" s="34" t="s">
        <v>683</v>
      </c>
      <c r="B64" s="34" t="n">
        <v>5315.5</v>
      </c>
      <c r="C64" s="34" t="n">
        <v>66.67</v>
      </c>
      <c r="D64" s="34" t="n">
        <v>133.33</v>
      </c>
      <c r="E64" s="34" t="n">
        <v>68.8</v>
      </c>
      <c r="F64" s="34" t="n">
        <v>145.04</v>
      </c>
      <c r="G64" s="34" t="n">
        <v>154.9</v>
      </c>
      <c r="H64" s="34" t="n">
        <v>188.69</v>
      </c>
      <c r="I64" s="34" t="n">
        <v>223.39</v>
      </c>
      <c r="J64" s="34" t="n">
        <v>204.1</v>
      </c>
      <c r="K64" s="34" t="n">
        <v>4936.45</v>
      </c>
      <c r="L64" s="34" t="n">
        <f aca="false">AVERAGE(C64:E64)</f>
        <v>89.6</v>
      </c>
      <c r="M64" s="34" t="n">
        <f aca="false">AVERAGE(C64:J64)</f>
        <v>148.115</v>
      </c>
    </row>
    <row r="65" customFormat="false" ht="15.75" hidden="false" customHeight="true" outlineLevel="0" collapsed="false">
      <c r="A65" s="34" t="s">
        <v>317</v>
      </c>
      <c r="B65" s="34" t="n">
        <v>5313</v>
      </c>
      <c r="C65" s="34" t="n">
        <v>-66.67</v>
      </c>
      <c r="D65" s="34" t="n">
        <v>-126.54</v>
      </c>
      <c r="E65" s="34" t="n">
        <v>38.36</v>
      </c>
      <c r="F65" s="34" t="n">
        <v>-39.23</v>
      </c>
      <c r="G65" s="34" t="n">
        <v>-58.13</v>
      </c>
      <c r="H65" s="34" t="n">
        <v>0.011</v>
      </c>
      <c r="I65" s="34" t="n">
        <v>33.55</v>
      </c>
      <c r="J65" s="34" t="n">
        <v>34.79</v>
      </c>
      <c r="K65" s="34" t="n">
        <v>5463.42</v>
      </c>
      <c r="L65" s="34" t="n">
        <f aca="false">AVERAGE(C65:E65)</f>
        <v>-51.6166666666667</v>
      </c>
      <c r="M65" s="34" t="n">
        <f aca="false">AVERAGE(C65:J65)</f>
        <v>-22.982375</v>
      </c>
    </row>
    <row r="66" customFormat="false" ht="15.75" hidden="false" customHeight="true" outlineLevel="0" collapsed="false">
      <c r="A66" s="34" t="s">
        <v>339</v>
      </c>
      <c r="B66" s="34" t="n">
        <v>5268.4</v>
      </c>
      <c r="C66" s="34" t="n">
        <v>66.67</v>
      </c>
      <c r="D66" s="34" t="n">
        <v>85.37</v>
      </c>
      <c r="E66" s="34" t="n">
        <v>120.52</v>
      </c>
      <c r="F66" s="34" t="n">
        <v>103.87</v>
      </c>
      <c r="G66" s="34" t="n">
        <v>110.06</v>
      </c>
      <c r="H66" s="34" t="n">
        <v>93.09</v>
      </c>
      <c r="I66" s="34" t="n">
        <v>95.12</v>
      </c>
      <c r="J66" s="34" t="n">
        <v>104.7</v>
      </c>
      <c r="K66" s="34" t="n">
        <v>4899.68</v>
      </c>
      <c r="L66" s="34" t="n">
        <f aca="false">AVERAGE(C66:E66)</f>
        <v>90.8533333333333</v>
      </c>
      <c r="M66" s="34" t="n">
        <f aca="false">AVERAGE(C66:J66)</f>
        <v>97.425</v>
      </c>
    </row>
    <row r="67" customFormat="false" ht="15.75" hidden="false" customHeight="true" outlineLevel="0" collapsed="false">
      <c r="A67" s="34" t="s">
        <v>510</v>
      </c>
      <c r="B67" s="34" t="n">
        <v>5225</v>
      </c>
      <c r="C67" s="34" t="n">
        <v>-66.67</v>
      </c>
      <c r="D67" s="34" t="n">
        <v>60.02</v>
      </c>
      <c r="E67" s="34" t="n">
        <v>103.09</v>
      </c>
      <c r="F67" s="34" t="n">
        <v>-67.7</v>
      </c>
      <c r="G67" s="34" t="n">
        <v>-134.28</v>
      </c>
      <c r="H67" s="34" t="n">
        <v>-178.22</v>
      </c>
      <c r="I67" s="34" t="n">
        <v>-148.02</v>
      </c>
      <c r="J67" s="34" t="n">
        <v>-103</v>
      </c>
      <c r="K67" s="34" t="n">
        <v>5315.14</v>
      </c>
      <c r="L67" s="34" t="n">
        <f aca="false">AVERAGE(C67:E67)</f>
        <v>32.1466666666667</v>
      </c>
      <c r="M67" s="34" t="n">
        <f aca="false">AVERAGE(C67:J67)</f>
        <v>-66.8475</v>
      </c>
    </row>
    <row r="68" customFormat="false" ht="15.75" hidden="false" customHeight="true" outlineLevel="0" collapsed="false">
      <c r="A68" s="34" t="s">
        <v>87</v>
      </c>
      <c r="B68" s="34" t="n">
        <v>5224.5</v>
      </c>
      <c r="C68" s="34" t="n">
        <v>66.67</v>
      </c>
      <c r="D68" s="34" t="n">
        <v>80.02</v>
      </c>
      <c r="E68" s="34" t="n">
        <v>126.92</v>
      </c>
      <c r="F68" s="34" t="n">
        <v>97.25</v>
      </c>
      <c r="G68" s="34" t="n">
        <v>1.93</v>
      </c>
      <c r="H68" s="34" t="n">
        <v>49.11</v>
      </c>
      <c r="I68" s="34" t="n">
        <v>61.71</v>
      </c>
      <c r="J68" s="34" t="n">
        <v>25.76</v>
      </c>
      <c r="K68" s="34" t="n">
        <v>5239.21</v>
      </c>
      <c r="L68" s="34" t="n">
        <f aca="false">AVERAGE(C68:E68)</f>
        <v>91.2033333333333</v>
      </c>
      <c r="M68" s="34" t="n">
        <f aca="false">AVERAGE(C68:J68)</f>
        <v>63.67125</v>
      </c>
    </row>
    <row r="69" customFormat="false" ht="15.75" hidden="false" customHeight="true" outlineLevel="0" collapsed="false">
      <c r="A69" s="34" t="s">
        <v>684</v>
      </c>
      <c r="B69" s="34" t="n">
        <v>5157.8</v>
      </c>
      <c r="C69" s="34" t="n">
        <v>-66.67</v>
      </c>
      <c r="D69" s="34" t="n">
        <v>-133.33</v>
      </c>
      <c r="E69" s="34" t="n">
        <v>9.48</v>
      </c>
      <c r="F69" s="34" t="n">
        <v>52.82</v>
      </c>
      <c r="G69" s="34" t="n">
        <v>27.07</v>
      </c>
      <c r="H69" s="34" t="n">
        <v>58.49</v>
      </c>
      <c r="I69" s="34" t="n">
        <v>78.4</v>
      </c>
      <c r="J69" s="34" t="n">
        <v>91.9</v>
      </c>
      <c r="K69" s="34" t="n">
        <v>4859.7</v>
      </c>
      <c r="L69" s="34" t="n">
        <f aca="false">AVERAGE(C69:E69)</f>
        <v>-63.5066666666667</v>
      </c>
      <c r="M69" s="34" t="n">
        <f aca="false">AVERAGE(C69:J69)</f>
        <v>14.77</v>
      </c>
    </row>
    <row r="70" customFormat="false" ht="15.75" hidden="false" customHeight="true" outlineLevel="0" collapsed="false">
      <c r="A70" s="34" t="s">
        <v>65</v>
      </c>
      <c r="B70" s="34" t="n">
        <v>5063</v>
      </c>
      <c r="C70" s="34" t="n">
        <v>-66.67</v>
      </c>
      <c r="D70" s="34" t="n">
        <v>-16.91</v>
      </c>
      <c r="E70" s="34" t="n">
        <v>49.81</v>
      </c>
      <c r="F70" s="34" t="n">
        <v>-68.43</v>
      </c>
      <c r="G70" s="34" t="n">
        <v>-123.33</v>
      </c>
      <c r="H70" s="34" t="n">
        <v>-141.69</v>
      </c>
      <c r="I70" s="34" t="n">
        <v>-107.32</v>
      </c>
      <c r="J70" s="34" t="n">
        <v>-108.75</v>
      </c>
      <c r="K70" s="34" t="n">
        <v>5268.66</v>
      </c>
      <c r="L70" s="34" t="n">
        <f aca="false">AVERAGE(C70:E70)</f>
        <v>-11.2566666666667</v>
      </c>
      <c r="M70" s="34" t="n">
        <f aca="false">AVERAGE(C70:J70)</f>
        <v>-72.91125</v>
      </c>
    </row>
    <row r="71" customFormat="false" ht="15.75" hidden="false" customHeight="true" outlineLevel="0" collapsed="false">
      <c r="A71" s="34" t="s">
        <v>685</v>
      </c>
      <c r="B71" s="34" t="n">
        <v>5033</v>
      </c>
      <c r="C71" s="34" t="n">
        <v>-66.67</v>
      </c>
      <c r="D71" s="34" t="n">
        <v>-133.33</v>
      </c>
      <c r="E71" s="34" t="n">
        <v>29.16</v>
      </c>
      <c r="F71" s="34" t="n">
        <v>-49.83</v>
      </c>
      <c r="G71" s="34" t="n">
        <v>-60.6</v>
      </c>
      <c r="H71" s="34" t="n">
        <v>16.67</v>
      </c>
      <c r="I71" s="34" t="n">
        <v>45.98</v>
      </c>
      <c r="J71" s="34" t="n">
        <v>55.88</v>
      </c>
      <c r="K71" s="34" t="n">
        <v>4856.65</v>
      </c>
      <c r="L71" s="34" t="n">
        <f aca="false">AVERAGE(C71:E71)</f>
        <v>-56.9466666666667</v>
      </c>
      <c r="M71" s="34" t="n">
        <f aca="false">AVERAGE(C71:J71)</f>
        <v>-20.3425</v>
      </c>
    </row>
    <row r="72" customFormat="false" ht="15.75" hidden="false" customHeight="true" outlineLevel="0" collapsed="false">
      <c r="A72" s="34" t="s">
        <v>191</v>
      </c>
      <c r="B72" s="34" t="n">
        <v>5030</v>
      </c>
      <c r="C72" s="34" t="n">
        <v>66.67</v>
      </c>
      <c r="D72" s="34" t="n">
        <v>-32.84</v>
      </c>
      <c r="E72" s="34" t="n">
        <v>45.28</v>
      </c>
      <c r="F72" s="34" t="n">
        <v>-4.19</v>
      </c>
      <c r="G72" s="34" t="n">
        <v>56.19</v>
      </c>
      <c r="H72" s="34" t="n">
        <v>79.53</v>
      </c>
      <c r="I72" s="34" t="n">
        <v>96.44</v>
      </c>
      <c r="J72" s="34" t="n">
        <v>110.93</v>
      </c>
      <c r="K72" s="34" t="n">
        <v>5143.97</v>
      </c>
      <c r="L72" s="34" t="n">
        <f aca="false">AVERAGE(C72:E72)</f>
        <v>26.37</v>
      </c>
      <c r="M72" s="34" t="n">
        <f aca="false">AVERAGE(C72:J72)</f>
        <v>52.25125</v>
      </c>
    </row>
    <row r="73" customFormat="false" ht="15.75" hidden="false" customHeight="true" outlineLevel="0" collapsed="false">
      <c r="A73" s="34" t="s">
        <v>139</v>
      </c>
      <c r="B73" s="34" t="n">
        <v>4997.9</v>
      </c>
      <c r="C73" s="34" t="n">
        <v>-66.67</v>
      </c>
      <c r="D73" s="34" t="n">
        <v>-117.26</v>
      </c>
      <c r="E73" s="34" t="n">
        <v>54.99</v>
      </c>
      <c r="F73" s="34" t="n">
        <v>147.6</v>
      </c>
      <c r="G73" s="34" t="n">
        <v>250.7</v>
      </c>
      <c r="H73" s="34" t="n">
        <v>254.12</v>
      </c>
      <c r="I73" s="34" t="n">
        <v>185.9</v>
      </c>
      <c r="J73" s="34" t="n">
        <v>211.41</v>
      </c>
      <c r="K73" s="34" t="n">
        <v>4867.25</v>
      </c>
      <c r="L73" s="34" t="n">
        <f aca="false">AVERAGE(C73:E73)</f>
        <v>-42.98</v>
      </c>
      <c r="M73" s="34" t="n">
        <f aca="false">AVERAGE(C73:J73)</f>
        <v>115.09875</v>
      </c>
    </row>
    <row r="74" customFormat="false" ht="15.75" hidden="false" customHeight="true" outlineLevel="0" collapsed="false">
      <c r="A74" s="34" t="s">
        <v>686</v>
      </c>
      <c r="B74" s="34" t="n">
        <v>4938.5</v>
      </c>
      <c r="C74" s="34" t="n">
        <v>-66.67</v>
      </c>
      <c r="D74" s="34" t="n">
        <v>-54.61</v>
      </c>
      <c r="E74" s="34" t="n">
        <v>52.52</v>
      </c>
      <c r="F74" s="34" t="n">
        <v>31.24</v>
      </c>
      <c r="G74" s="34" t="n">
        <v>26.02</v>
      </c>
      <c r="H74" s="34" t="n">
        <v>-19.24</v>
      </c>
      <c r="I74" s="34" t="n">
        <v>-27.36</v>
      </c>
      <c r="J74" s="34" t="n">
        <v>-49.57</v>
      </c>
      <c r="K74" s="34" t="n">
        <v>4787.25</v>
      </c>
      <c r="L74" s="34" t="n">
        <f aca="false">AVERAGE(C74:E74)</f>
        <v>-22.92</v>
      </c>
      <c r="M74" s="34" t="n">
        <f aca="false">AVERAGE(C74:J74)</f>
        <v>-13.45875</v>
      </c>
    </row>
    <row r="75" customFormat="false" ht="15.75" hidden="false" customHeight="true" outlineLevel="0" collapsed="false">
      <c r="A75" s="34" t="s">
        <v>687</v>
      </c>
      <c r="B75" s="34" t="n">
        <v>4936.5</v>
      </c>
      <c r="C75" s="34" t="n">
        <v>-66.67</v>
      </c>
      <c r="D75" s="34" t="n">
        <v>42.42</v>
      </c>
      <c r="E75" s="34" t="n">
        <v>56.1</v>
      </c>
      <c r="F75" s="34" t="n">
        <v>-77.97</v>
      </c>
      <c r="G75" s="34" t="n">
        <v>-133.79</v>
      </c>
      <c r="H75" s="34" t="n">
        <v>-94.09</v>
      </c>
      <c r="I75" s="34" t="n">
        <v>-66.71</v>
      </c>
      <c r="J75" s="34" t="n">
        <v>-14.51</v>
      </c>
      <c r="K75" s="34" t="n">
        <v>5175.65</v>
      </c>
      <c r="L75" s="34" t="n">
        <f aca="false">AVERAGE(C75:E75)</f>
        <v>10.6166666666667</v>
      </c>
      <c r="M75" s="34" t="n">
        <f aca="false">AVERAGE(C75:J75)</f>
        <v>-44.4025</v>
      </c>
    </row>
    <row r="76" customFormat="false" ht="15.75" hidden="false" customHeight="true" outlineLevel="0" collapsed="false">
      <c r="A76" s="34" t="s">
        <v>688</v>
      </c>
      <c r="B76" s="34" t="n">
        <v>4791</v>
      </c>
      <c r="C76" s="34" t="n">
        <v>-66.67</v>
      </c>
      <c r="D76" s="34" t="n">
        <v>-4.43</v>
      </c>
      <c r="E76" s="34" t="n">
        <v>6.84</v>
      </c>
      <c r="F76" s="34" t="n">
        <v>-49.04</v>
      </c>
      <c r="G76" s="34" t="n">
        <v>-98.86</v>
      </c>
      <c r="H76" s="34" t="n">
        <v>-31.74</v>
      </c>
      <c r="I76" s="34" t="n">
        <v>19.18</v>
      </c>
      <c r="J76" s="34" t="n">
        <v>21.34</v>
      </c>
      <c r="K76" s="34" t="n">
        <v>4918.2</v>
      </c>
      <c r="L76" s="34" t="n">
        <f aca="false">AVERAGE(C76:E76)</f>
        <v>-21.42</v>
      </c>
      <c r="M76" s="34" t="n">
        <f aca="false">AVERAGE(C76:J76)</f>
        <v>-25.4225</v>
      </c>
    </row>
    <row r="77" customFormat="false" ht="15.75" hidden="false" customHeight="true" outlineLevel="0" collapsed="false">
      <c r="A77" s="34" t="s">
        <v>396</v>
      </c>
      <c r="B77" s="34" t="n">
        <v>4776.5</v>
      </c>
      <c r="C77" s="34" t="n">
        <v>-66.67</v>
      </c>
      <c r="D77" s="34" t="n">
        <v>-133.33</v>
      </c>
      <c r="E77" s="34" t="n">
        <v>-189.26</v>
      </c>
      <c r="F77" s="34" t="n">
        <v>-116.5</v>
      </c>
      <c r="G77" s="34" t="n">
        <v>-61.45</v>
      </c>
      <c r="H77" s="34" t="n">
        <v>2.21</v>
      </c>
      <c r="I77" s="34" t="n">
        <v>34.54</v>
      </c>
      <c r="J77" s="34" t="n">
        <v>47.23</v>
      </c>
      <c r="K77" s="34" t="n">
        <v>5074.84</v>
      </c>
      <c r="L77" s="34" t="n">
        <f aca="false">AVERAGE(C77:E77)</f>
        <v>-129.753333333333</v>
      </c>
      <c r="M77" s="34" t="n">
        <f aca="false">AVERAGE(C77:J77)</f>
        <v>-60.40375</v>
      </c>
    </row>
    <row r="78" customFormat="false" ht="15.75" hidden="false" customHeight="true" outlineLevel="0" collapsed="false">
      <c r="A78" s="34" t="s">
        <v>246</v>
      </c>
      <c r="B78" s="34" t="n">
        <v>4698.8</v>
      </c>
      <c r="C78" s="34" t="n">
        <v>-66.67</v>
      </c>
      <c r="D78" s="34" t="n">
        <v>15.36</v>
      </c>
      <c r="E78" s="34" t="n">
        <v>80.14</v>
      </c>
      <c r="F78" s="34" t="n">
        <v>184.19</v>
      </c>
      <c r="G78" s="34" t="n">
        <v>237.72</v>
      </c>
      <c r="H78" s="34" t="n">
        <v>240.11</v>
      </c>
      <c r="I78" s="34" t="n">
        <v>218.71</v>
      </c>
      <c r="J78" s="34" t="n">
        <v>197.34</v>
      </c>
      <c r="K78" s="34" t="n">
        <v>4499.33</v>
      </c>
      <c r="L78" s="34" t="n">
        <f aca="false">AVERAGE(C78:E78)</f>
        <v>9.61</v>
      </c>
      <c r="M78" s="34" t="n">
        <f aca="false">AVERAGE(C78:J78)</f>
        <v>138.3625</v>
      </c>
    </row>
    <row r="79" customFormat="false" ht="15.75" hidden="false" customHeight="true" outlineLevel="0" collapsed="false">
      <c r="A79" s="34" t="s">
        <v>226</v>
      </c>
      <c r="B79" s="34" t="n">
        <v>4637.8</v>
      </c>
      <c r="C79" s="34" t="n">
        <v>66.67</v>
      </c>
      <c r="D79" s="34" t="n">
        <v>127.97</v>
      </c>
      <c r="E79" s="34" t="n">
        <v>94.35</v>
      </c>
      <c r="F79" s="34" t="n">
        <v>228.84</v>
      </c>
      <c r="G79" s="34" t="n">
        <v>188.38</v>
      </c>
      <c r="H79" s="34" t="n">
        <v>113.92</v>
      </c>
      <c r="I79" s="34" t="n">
        <v>111.58</v>
      </c>
      <c r="J79" s="34" t="n">
        <v>129.97</v>
      </c>
      <c r="K79" s="34" t="n">
        <v>4360.64</v>
      </c>
      <c r="L79" s="34" t="n">
        <f aca="false">AVERAGE(C79:E79)</f>
        <v>96.33</v>
      </c>
      <c r="M79" s="34" t="n">
        <f aca="false">AVERAGE(C79:J79)</f>
        <v>132.71</v>
      </c>
    </row>
    <row r="80" customFormat="false" ht="15.75" hidden="false" customHeight="true" outlineLevel="0" collapsed="false">
      <c r="A80" s="34" t="s">
        <v>316</v>
      </c>
      <c r="B80" s="34" t="n">
        <v>4578</v>
      </c>
      <c r="C80" s="34" t="n">
        <v>-66.67</v>
      </c>
      <c r="D80" s="34" t="n">
        <v>45.99</v>
      </c>
      <c r="E80" s="34" t="n">
        <v>34.34</v>
      </c>
      <c r="F80" s="34" t="n">
        <v>-75.62</v>
      </c>
      <c r="G80" s="34" t="n">
        <v>-141.51</v>
      </c>
      <c r="H80" s="34" t="n">
        <v>-70.74</v>
      </c>
      <c r="I80" s="34" t="n">
        <v>-43.25</v>
      </c>
      <c r="J80" s="34" t="n">
        <v>-31.98</v>
      </c>
      <c r="K80" s="34" t="n">
        <v>4800.02</v>
      </c>
      <c r="L80" s="34" t="n">
        <f aca="false">AVERAGE(C80:E80)</f>
        <v>4.55333333333334</v>
      </c>
      <c r="M80" s="34" t="n">
        <f aca="false">AVERAGE(C80:J80)</f>
        <v>-43.68</v>
      </c>
    </row>
    <row r="81" customFormat="false" ht="15.75" hidden="false" customHeight="true" outlineLevel="0" collapsed="false">
      <c r="A81" s="34" t="s">
        <v>689</v>
      </c>
      <c r="B81" s="34" t="n">
        <v>4538.5</v>
      </c>
      <c r="C81" s="34" t="n">
        <v>66.67</v>
      </c>
      <c r="D81" s="34" t="n">
        <v>95.7</v>
      </c>
      <c r="E81" s="34" t="n">
        <v>150.02</v>
      </c>
      <c r="F81" s="34" t="n">
        <v>163.45</v>
      </c>
      <c r="G81" s="34" t="n">
        <v>135.51</v>
      </c>
      <c r="H81" s="34" t="n">
        <v>162.08</v>
      </c>
      <c r="I81" s="34" t="n">
        <v>194.53</v>
      </c>
      <c r="J81" s="34" t="n">
        <v>228.57</v>
      </c>
      <c r="K81" s="34" t="n">
        <v>4110.12</v>
      </c>
      <c r="L81" s="34" t="n">
        <f aca="false">AVERAGE(C81:E81)</f>
        <v>104.13</v>
      </c>
      <c r="M81" s="34" t="n">
        <f aca="false">AVERAGE(C81:J81)</f>
        <v>149.56625</v>
      </c>
    </row>
    <row r="82" customFormat="false" ht="15.75" hidden="false" customHeight="true" outlineLevel="0" collapsed="false">
      <c r="A82" s="34" t="s">
        <v>690</v>
      </c>
      <c r="B82" s="34" t="n">
        <v>4509.1</v>
      </c>
      <c r="C82" s="34" t="n">
        <v>66.67</v>
      </c>
      <c r="D82" s="34" t="n">
        <v>57.27</v>
      </c>
      <c r="E82" s="34" t="n">
        <v>93.66</v>
      </c>
      <c r="F82" s="34" t="n">
        <v>233.9</v>
      </c>
      <c r="G82" s="34" t="n">
        <v>312.83</v>
      </c>
      <c r="H82" s="34" t="n">
        <v>347.38</v>
      </c>
      <c r="I82" s="34" t="n">
        <v>323.76</v>
      </c>
      <c r="J82" s="34" t="n">
        <v>352.71</v>
      </c>
      <c r="K82" s="34" t="n">
        <v>4094.97</v>
      </c>
      <c r="L82" s="34" t="n">
        <f aca="false">AVERAGE(C82:E82)</f>
        <v>72.5333333333334</v>
      </c>
      <c r="M82" s="34" t="n">
        <f aca="false">AVERAGE(C82:J82)</f>
        <v>223.5225</v>
      </c>
    </row>
    <row r="83" customFormat="false" ht="15.75" hidden="false" customHeight="true" outlineLevel="0" collapsed="false">
      <c r="A83" s="34" t="s">
        <v>437</v>
      </c>
      <c r="B83" s="34" t="n">
        <v>4506.2</v>
      </c>
      <c r="C83" s="34" t="n">
        <v>66.67</v>
      </c>
      <c r="D83" s="34" t="n">
        <v>-53.18</v>
      </c>
      <c r="E83" s="34" t="n">
        <v>35.59</v>
      </c>
      <c r="F83" s="34" t="n">
        <v>-89.13</v>
      </c>
      <c r="G83" s="34" t="n">
        <v>-110.8</v>
      </c>
      <c r="H83" s="34" t="n">
        <v>-10.88</v>
      </c>
      <c r="I83" s="34" t="n">
        <v>23.77</v>
      </c>
      <c r="J83" s="34" t="n">
        <v>37.09</v>
      </c>
      <c r="K83" s="34" t="n">
        <v>4666.53</v>
      </c>
      <c r="L83" s="34" t="n">
        <f aca="false">AVERAGE(C83:E83)</f>
        <v>16.36</v>
      </c>
      <c r="M83" s="34" t="n">
        <f aca="false">AVERAGE(C83:J83)</f>
        <v>-12.60875</v>
      </c>
    </row>
    <row r="84" customFormat="false" ht="15.75" hidden="false" customHeight="true" outlineLevel="0" collapsed="false">
      <c r="A84" s="34" t="s">
        <v>192</v>
      </c>
      <c r="B84" s="34" t="n">
        <v>4473</v>
      </c>
      <c r="C84" s="34" t="n">
        <v>66.67</v>
      </c>
      <c r="D84" s="34" t="n">
        <v>18.81</v>
      </c>
      <c r="E84" s="34" t="n">
        <v>4.13</v>
      </c>
      <c r="F84" s="34" t="n">
        <v>-59.2</v>
      </c>
      <c r="G84" s="34" t="n">
        <v>-100.21</v>
      </c>
      <c r="H84" s="34" t="n">
        <v>-70.49</v>
      </c>
      <c r="I84" s="34" t="n">
        <v>-1.17</v>
      </c>
      <c r="J84" s="34" t="n">
        <v>20.81</v>
      </c>
      <c r="K84" s="34" t="n">
        <v>4625.34</v>
      </c>
      <c r="L84" s="34" t="n">
        <f aca="false">AVERAGE(C84:E84)</f>
        <v>29.87</v>
      </c>
      <c r="M84" s="34" t="n">
        <f aca="false">AVERAGE(C84:J84)</f>
        <v>-15.08125</v>
      </c>
    </row>
    <row r="85" customFormat="false" ht="15.75" hidden="false" customHeight="true" outlineLevel="0" collapsed="false">
      <c r="A85" s="34" t="s">
        <v>133</v>
      </c>
      <c r="B85" s="34" t="n">
        <v>4276</v>
      </c>
      <c r="C85" s="34" t="n">
        <v>-66.67</v>
      </c>
      <c r="D85" s="34" t="n">
        <v>64.76</v>
      </c>
      <c r="E85" s="34" t="n">
        <v>151.23</v>
      </c>
      <c r="F85" s="34" t="n">
        <v>3.1</v>
      </c>
      <c r="G85" s="34" t="n">
        <v>-50.56</v>
      </c>
      <c r="H85" s="34" t="n">
        <v>-42.82</v>
      </c>
      <c r="I85" s="34" t="n">
        <v>-54.07</v>
      </c>
      <c r="J85" s="34" t="n">
        <v>-60.92</v>
      </c>
      <c r="K85" s="34" t="n">
        <v>4317.96</v>
      </c>
      <c r="L85" s="34" t="n">
        <f aca="false">AVERAGE(C85:E85)</f>
        <v>49.7733333333333</v>
      </c>
      <c r="M85" s="34" t="n">
        <f aca="false">AVERAGE(C85:J85)</f>
        <v>-6.99375</v>
      </c>
    </row>
    <row r="86" customFormat="false" ht="15.75" hidden="false" customHeight="true" outlineLevel="0" collapsed="false">
      <c r="A86" s="34" t="s">
        <v>691</v>
      </c>
      <c r="B86" s="34" t="n">
        <v>4147</v>
      </c>
      <c r="C86" s="34" t="n">
        <v>66.67</v>
      </c>
      <c r="D86" s="34" t="n">
        <v>31.88</v>
      </c>
      <c r="E86" s="34" t="n">
        <v>39.45</v>
      </c>
      <c r="F86" s="34" t="n">
        <v>19.08</v>
      </c>
      <c r="G86" s="34" t="n">
        <v>-54.83</v>
      </c>
      <c r="H86" s="34" t="n">
        <v>-55.9</v>
      </c>
      <c r="I86" s="34" t="n">
        <v>8.8</v>
      </c>
      <c r="J86" s="34" t="n">
        <v>30.32</v>
      </c>
      <c r="K86" s="34" t="n">
        <v>4361.73</v>
      </c>
      <c r="L86" s="34" t="n">
        <f aca="false">AVERAGE(C86:E86)</f>
        <v>46</v>
      </c>
      <c r="M86" s="34" t="n">
        <f aca="false">AVERAGE(C86:J86)</f>
        <v>10.68375</v>
      </c>
    </row>
    <row r="87" customFormat="false" ht="15.75" hidden="false" customHeight="true" outlineLevel="0" collapsed="false">
      <c r="A87" s="34" t="s">
        <v>692</v>
      </c>
      <c r="B87" s="34" t="n">
        <v>4135</v>
      </c>
      <c r="C87" s="34" t="n">
        <v>-66.67</v>
      </c>
      <c r="D87" s="34" t="n">
        <v>52.42</v>
      </c>
      <c r="E87" s="34" t="n">
        <v>87.68</v>
      </c>
      <c r="F87" s="34" t="n">
        <v>-16.72</v>
      </c>
      <c r="G87" s="34" t="n">
        <v>13.5</v>
      </c>
      <c r="H87" s="34" t="n">
        <v>18.52</v>
      </c>
      <c r="I87" s="34" t="n">
        <v>51.36</v>
      </c>
      <c r="J87" s="34" t="n">
        <v>57.43</v>
      </c>
      <c r="K87" s="34" t="n">
        <v>4192.29</v>
      </c>
      <c r="L87" s="34" t="n">
        <f aca="false">AVERAGE(C87:E87)</f>
        <v>24.4766666666667</v>
      </c>
      <c r="M87" s="34" t="n">
        <f aca="false">AVERAGE(C87:J87)</f>
        <v>24.69</v>
      </c>
    </row>
    <row r="88" customFormat="false" ht="15.75" hidden="false" customHeight="true" outlineLevel="0" collapsed="false">
      <c r="A88" s="34" t="s">
        <v>318</v>
      </c>
      <c r="B88" s="34" t="n">
        <v>4033.8</v>
      </c>
      <c r="C88" s="34" t="n">
        <v>-66.67</v>
      </c>
      <c r="D88" s="34" t="n">
        <v>-86.91</v>
      </c>
      <c r="E88" s="34" t="n">
        <v>18.72</v>
      </c>
      <c r="F88" s="34" t="n">
        <v>-38.52</v>
      </c>
      <c r="G88" s="34" t="n">
        <v>-85.14</v>
      </c>
      <c r="H88" s="34" t="n">
        <v>6.48</v>
      </c>
      <c r="I88" s="34" t="n">
        <v>36.34</v>
      </c>
      <c r="J88" s="34" t="n">
        <v>48.7</v>
      </c>
      <c r="K88" s="34" t="n">
        <v>4131.5</v>
      </c>
      <c r="L88" s="34" t="n">
        <f aca="false">AVERAGE(C88:E88)</f>
        <v>-44.9533333333333</v>
      </c>
      <c r="M88" s="34" t="n">
        <f aca="false">AVERAGE(C88:J88)</f>
        <v>-20.875</v>
      </c>
    </row>
    <row r="89" customFormat="false" ht="15.75" hidden="false" customHeight="true" outlineLevel="0" collapsed="false">
      <c r="A89" s="34" t="s">
        <v>438</v>
      </c>
      <c r="B89" s="34" t="n">
        <v>3958.1</v>
      </c>
      <c r="C89" s="34" t="n">
        <v>-66.67</v>
      </c>
      <c r="D89" s="34" t="n">
        <v>-11.69</v>
      </c>
      <c r="E89" s="34" t="n">
        <v>70.2</v>
      </c>
      <c r="F89" s="34" t="n">
        <v>-69.92</v>
      </c>
      <c r="G89" s="34" t="n">
        <v>-67.25</v>
      </c>
      <c r="H89" s="34" t="n">
        <v>5.57</v>
      </c>
      <c r="I89" s="34" t="n">
        <v>34.95</v>
      </c>
      <c r="J89" s="34" t="n">
        <v>50.62</v>
      </c>
      <c r="K89" s="34" t="n">
        <v>4124.28</v>
      </c>
      <c r="L89" s="34" t="n">
        <f aca="false">AVERAGE(C89:E89)</f>
        <v>-2.72</v>
      </c>
      <c r="M89" s="34" t="n">
        <f aca="false">AVERAGE(C89:J89)</f>
        <v>-6.77375</v>
      </c>
    </row>
    <row r="90" customFormat="false" ht="15.75" hidden="false" customHeight="true" outlineLevel="0" collapsed="false">
      <c r="A90" s="34" t="s">
        <v>209</v>
      </c>
      <c r="B90" s="34" t="n">
        <v>3954.8</v>
      </c>
      <c r="C90" s="34" t="n">
        <v>66.67</v>
      </c>
      <c r="D90" s="34" t="n">
        <v>29.52</v>
      </c>
      <c r="E90" s="34" t="n">
        <v>90.04</v>
      </c>
      <c r="F90" s="34" t="n">
        <v>100.96</v>
      </c>
      <c r="G90" s="34" t="n">
        <v>128.34</v>
      </c>
      <c r="H90" s="34" t="n">
        <v>96.29</v>
      </c>
      <c r="I90" s="34" t="n">
        <v>97.44</v>
      </c>
      <c r="J90" s="34" t="n">
        <v>82.74</v>
      </c>
      <c r="K90" s="34" t="n">
        <v>3784.36</v>
      </c>
      <c r="L90" s="34" t="n">
        <f aca="false">AVERAGE(C90:E90)</f>
        <v>62.0766666666667</v>
      </c>
      <c r="M90" s="34" t="n">
        <f aca="false">AVERAGE(C90:J90)</f>
        <v>86.5</v>
      </c>
    </row>
    <row r="91" customFormat="false" ht="15.75" hidden="false" customHeight="true" outlineLevel="0" collapsed="false">
      <c r="A91" s="34" t="s">
        <v>96</v>
      </c>
      <c r="B91" s="34" t="n">
        <v>3916</v>
      </c>
      <c r="C91" s="34" t="n">
        <v>66.67</v>
      </c>
      <c r="D91" s="34" t="n">
        <v>91.57</v>
      </c>
      <c r="E91" s="34" t="n">
        <v>209.25</v>
      </c>
      <c r="F91" s="34" t="n">
        <v>162.34</v>
      </c>
      <c r="G91" s="34" t="n">
        <v>181.14</v>
      </c>
      <c r="H91" s="34" t="n">
        <v>152.15</v>
      </c>
      <c r="I91" s="34" t="n">
        <v>159.1</v>
      </c>
      <c r="J91" s="34" t="n">
        <v>175.7</v>
      </c>
      <c r="K91" s="34" t="n">
        <v>3737.12</v>
      </c>
      <c r="L91" s="34" t="n">
        <f aca="false">AVERAGE(C91:E91)</f>
        <v>122.496666666667</v>
      </c>
      <c r="M91" s="34" t="n">
        <f aca="false">AVERAGE(C91:J91)</f>
        <v>149.74</v>
      </c>
    </row>
    <row r="92" customFormat="false" ht="15.75" hidden="false" customHeight="true" outlineLevel="0" collapsed="false">
      <c r="A92" s="34" t="s">
        <v>208</v>
      </c>
      <c r="B92" s="34" t="n">
        <v>3905</v>
      </c>
      <c r="C92" s="34" t="n">
        <v>66.67</v>
      </c>
      <c r="D92" s="34" t="n">
        <v>82.35</v>
      </c>
      <c r="E92" s="34" t="n">
        <v>106.41</v>
      </c>
      <c r="F92" s="34" t="n">
        <v>-23.07</v>
      </c>
      <c r="G92" s="34" t="n">
        <v>-69.58</v>
      </c>
      <c r="H92" s="34" t="n">
        <v>-38.36</v>
      </c>
      <c r="I92" s="34" t="n">
        <v>4.99</v>
      </c>
      <c r="J92" s="34" t="n">
        <v>13.41</v>
      </c>
      <c r="K92" s="34" t="n">
        <v>3907.3</v>
      </c>
      <c r="L92" s="34" t="n">
        <f aca="false">AVERAGE(C92:E92)</f>
        <v>85.1433333333333</v>
      </c>
      <c r="M92" s="34" t="n">
        <f aca="false">AVERAGE(C92:J92)</f>
        <v>17.8525</v>
      </c>
    </row>
    <row r="93" customFormat="false" ht="15.75" hidden="false" customHeight="true" outlineLevel="0" collapsed="false">
      <c r="A93" s="34" t="s">
        <v>551</v>
      </c>
      <c r="B93" s="34" t="n">
        <v>3897.5</v>
      </c>
      <c r="C93" s="34" t="n">
        <v>-66.67</v>
      </c>
      <c r="D93" s="34" t="n">
        <v>-133.33</v>
      </c>
      <c r="E93" s="34" t="n">
        <v>-131.49</v>
      </c>
      <c r="F93" s="34" t="n">
        <v>37.44</v>
      </c>
      <c r="G93" s="34" t="n">
        <v>93.65</v>
      </c>
      <c r="H93" s="34" t="n">
        <v>94.61</v>
      </c>
      <c r="I93" s="34" t="n">
        <v>98.06</v>
      </c>
      <c r="J93" s="34" t="n">
        <v>119.36</v>
      </c>
      <c r="K93" s="34" t="n">
        <v>3808.75</v>
      </c>
      <c r="L93" s="34" t="n">
        <f aca="false">AVERAGE(C93:E93)</f>
        <v>-110.496666666667</v>
      </c>
      <c r="M93" s="34" t="n">
        <f aca="false">AVERAGE(C93:J93)</f>
        <v>13.95375</v>
      </c>
    </row>
    <row r="94" customFormat="false" ht="15.75" hidden="false" customHeight="true" outlineLevel="0" collapsed="false">
      <c r="A94" s="34" t="s">
        <v>148</v>
      </c>
      <c r="B94" s="34" t="n">
        <v>3865.1</v>
      </c>
      <c r="C94" s="34" t="n">
        <v>66.67</v>
      </c>
      <c r="D94" s="34" t="n">
        <v>83.81</v>
      </c>
      <c r="E94" s="34" t="n">
        <v>57.69</v>
      </c>
      <c r="F94" s="34" t="n">
        <v>-77.98</v>
      </c>
      <c r="G94" s="34" t="n">
        <v>-94.93</v>
      </c>
      <c r="H94" s="34" t="n">
        <v>-20.5</v>
      </c>
      <c r="I94" s="34" t="n">
        <v>22.07</v>
      </c>
      <c r="J94" s="34" t="n">
        <v>39.03</v>
      </c>
      <c r="K94" s="34" t="n">
        <v>3955.22</v>
      </c>
      <c r="L94" s="34" t="n">
        <f aca="false">AVERAGE(C94:E94)</f>
        <v>69.39</v>
      </c>
      <c r="M94" s="34" t="n">
        <f aca="false">AVERAGE(C94:J94)</f>
        <v>9.4825</v>
      </c>
    </row>
    <row r="95" customFormat="false" ht="15.75" hidden="false" customHeight="true" outlineLevel="0" collapsed="false">
      <c r="A95" s="34" t="s">
        <v>693</v>
      </c>
      <c r="B95" s="34" t="n">
        <v>3855</v>
      </c>
      <c r="C95" s="34" t="n">
        <v>-66.67</v>
      </c>
      <c r="D95" s="34" t="n">
        <v>-25.36</v>
      </c>
      <c r="E95" s="34" t="n">
        <v>-55.78</v>
      </c>
      <c r="F95" s="34" t="n">
        <v>-120.79</v>
      </c>
      <c r="G95" s="34" t="n">
        <v>-46.68</v>
      </c>
      <c r="H95" s="34" t="n">
        <v>17.71</v>
      </c>
      <c r="I95" s="34" t="n">
        <v>36.27</v>
      </c>
      <c r="J95" s="34" t="n">
        <v>35.87</v>
      </c>
      <c r="K95" s="34" t="n">
        <v>4184.17</v>
      </c>
      <c r="L95" s="34" t="n">
        <f aca="false">AVERAGE(C95:E95)</f>
        <v>-49.27</v>
      </c>
      <c r="M95" s="34" t="n">
        <f aca="false">AVERAGE(C95:J95)</f>
        <v>-28.17875</v>
      </c>
    </row>
    <row r="96" customFormat="false" ht="15.75" hidden="false" customHeight="true" outlineLevel="0" collapsed="false">
      <c r="A96" s="34" t="s">
        <v>694</v>
      </c>
      <c r="B96" s="34" t="n">
        <v>3851.9</v>
      </c>
      <c r="C96" s="34" t="n">
        <v>-66.67</v>
      </c>
      <c r="D96" s="34" t="n">
        <v>-133.33</v>
      </c>
      <c r="E96" s="34" t="n">
        <v>-5.62</v>
      </c>
      <c r="F96" s="34" t="n">
        <v>-83.06</v>
      </c>
      <c r="G96" s="34" t="n">
        <v>-140</v>
      </c>
      <c r="H96" s="34" t="n">
        <v>-35.1</v>
      </c>
      <c r="I96" s="34" t="n">
        <v>17.38</v>
      </c>
      <c r="J96" s="34" t="n">
        <v>24.17</v>
      </c>
      <c r="K96" s="34" t="n">
        <v>4015.13</v>
      </c>
      <c r="L96" s="34" t="n">
        <f aca="false">AVERAGE(C96:E96)</f>
        <v>-68.54</v>
      </c>
      <c r="M96" s="34" t="n">
        <f aca="false">AVERAGE(C96:J96)</f>
        <v>-52.77875</v>
      </c>
    </row>
    <row r="97" customFormat="false" ht="15.75" hidden="false" customHeight="true" outlineLevel="0" collapsed="false">
      <c r="A97" s="34" t="s">
        <v>695</v>
      </c>
      <c r="B97" s="34" t="n">
        <v>3820.1</v>
      </c>
      <c r="C97" s="34" t="n">
        <v>-66.67</v>
      </c>
      <c r="D97" s="34" t="n">
        <v>41.57</v>
      </c>
      <c r="E97" s="34" t="n">
        <v>100</v>
      </c>
      <c r="F97" s="34" t="n">
        <v>42.97</v>
      </c>
      <c r="G97" s="34" t="n">
        <v>82.12</v>
      </c>
      <c r="H97" s="34" t="n">
        <v>95.66</v>
      </c>
      <c r="I97" s="34" t="n">
        <v>108.46</v>
      </c>
      <c r="J97" s="34" t="n">
        <v>124.55</v>
      </c>
      <c r="K97" s="34" t="n">
        <v>3497.61</v>
      </c>
      <c r="L97" s="34" t="n">
        <f aca="false">AVERAGE(C97:E97)</f>
        <v>24.9666666666667</v>
      </c>
      <c r="M97" s="34" t="n">
        <f aca="false">AVERAGE(C97:J97)</f>
        <v>66.0825</v>
      </c>
    </row>
    <row r="98" customFormat="false" ht="15.75" hidden="false" customHeight="true" outlineLevel="0" collapsed="false">
      <c r="A98" s="34" t="s">
        <v>696</v>
      </c>
      <c r="B98" s="34" t="n">
        <v>3775.9</v>
      </c>
      <c r="C98" s="34" t="n">
        <v>-66.67</v>
      </c>
      <c r="D98" s="34" t="n">
        <v>59.31</v>
      </c>
      <c r="E98" s="34" t="n">
        <v>125.18</v>
      </c>
      <c r="F98" s="34" t="n">
        <v>-38.28</v>
      </c>
      <c r="G98" s="34" t="n">
        <v>-51.82</v>
      </c>
      <c r="H98" s="34" t="n">
        <v>-45.46</v>
      </c>
      <c r="I98" s="34" t="n">
        <v>2.34</v>
      </c>
      <c r="J98" s="34" t="n">
        <v>16.31</v>
      </c>
      <c r="K98" s="34" t="n">
        <v>3545.59</v>
      </c>
      <c r="L98" s="34" t="n">
        <f aca="false">AVERAGE(C98:E98)</f>
        <v>39.2733333333333</v>
      </c>
      <c r="M98" s="34" t="n">
        <f aca="false">AVERAGE(C98:J98)</f>
        <v>0.113750000000001</v>
      </c>
    </row>
    <row r="99" customFormat="false" ht="15.75" hidden="false" customHeight="true" outlineLevel="0" collapsed="false">
      <c r="A99" s="34" t="s">
        <v>697</v>
      </c>
      <c r="B99" s="34" t="n">
        <v>3750</v>
      </c>
      <c r="C99" s="34" t="n">
        <v>-66.67</v>
      </c>
      <c r="D99" s="34" t="n">
        <v>-33.12</v>
      </c>
      <c r="E99" s="34" t="n">
        <v>48</v>
      </c>
      <c r="F99" s="34" t="n">
        <v>-10.88</v>
      </c>
      <c r="G99" s="34" t="n">
        <v>-66.59</v>
      </c>
      <c r="H99" s="34" t="n">
        <v>-81.27</v>
      </c>
      <c r="I99" s="34" t="n">
        <v>-25.53</v>
      </c>
      <c r="J99" s="34" t="n">
        <v>-11.07</v>
      </c>
      <c r="K99" s="34" t="n">
        <v>3862.75</v>
      </c>
      <c r="L99" s="34" t="n">
        <f aca="false">AVERAGE(C99:E99)</f>
        <v>-17.2633333333333</v>
      </c>
      <c r="M99" s="34" t="n">
        <f aca="false">AVERAGE(C99:J99)</f>
        <v>-30.89125</v>
      </c>
    </row>
    <row r="100" customFormat="false" ht="15.75" hidden="false" customHeight="true" outlineLevel="0" collapsed="false">
      <c r="A100" s="34" t="s">
        <v>115</v>
      </c>
      <c r="B100" s="34" t="n">
        <v>3685.3</v>
      </c>
      <c r="C100" s="34" t="n">
        <v>66.67</v>
      </c>
      <c r="D100" s="34" t="n">
        <v>110.16</v>
      </c>
      <c r="E100" s="34" t="n">
        <v>121.31</v>
      </c>
      <c r="F100" s="34" t="n">
        <v>77.49</v>
      </c>
      <c r="G100" s="34" t="n">
        <v>100.27</v>
      </c>
      <c r="H100" s="34" t="n">
        <v>137.56</v>
      </c>
      <c r="I100" s="34" t="n">
        <v>164.34</v>
      </c>
      <c r="J100" s="34" t="n">
        <v>188.48</v>
      </c>
      <c r="K100" s="34" t="n">
        <v>3702.11</v>
      </c>
      <c r="L100" s="34" t="n">
        <f aca="false">AVERAGE(C100:E100)</f>
        <v>99.38</v>
      </c>
      <c r="M100" s="34" t="n">
        <f aca="false">AVERAGE(C100:J100)</f>
        <v>120.785</v>
      </c>
    </row>
    <row r="101" customFormat="false" ht="15.75" hidden="false" customHeight="true" outlineLevel="0" collapsed="false">
      <c r="A101" s="34" t="s">
        <v>142</v>
      </c>
      <c r="B101" s="34" t="n">
        <v>3621</v>
      </c>
      <c r="C101" s="34" t="n">
        <v>66.67</v>
      </c>
      <c r="D101" s="34" t="n">
        <v>87.54</v>
      </c>
      <c r="E101" s="34" t="n">
        <v>113.11</v>
      </c>
      <c r="F101" s="34" t="n">
        <v>197.17</v>
      </c>
      <c r="G101" s="34" t="n">
        <v>104.9</v>
      </c>
      <c r="H101" s="34" t="n">
        <v>98.94</v>
      </c>
      <c r="I101" s="34" t="n">
        <v>97.32</v>
      </c>
      <c r="J101" s="34" t="n">
        <v>108.55</v>
      </c>
      <c r="K101" s="34" t="n">
        <v>3517.21</v>
      </c>
      <c r="L101" s="34" t="n">
        <f aca="false">AVERAGE(C101:E101)</f>
        <v>89.1066666666667</v>
      </c>
      <c r="M101" s="34" t="n">
        <f aca="false">AVERAGE(C101:J101)</f>
        <v>109.275</v>
      </c>
    </row>
    <row r="102" customFormat="false" ht="15.75" hidden="false" customHeight="true" outlineLevel="0" collapsed="false">
      <c r="A102" s="34" t="s">
        <v>93</v>
      </c>
      <c r="B102" s="34" t="n">
        <v>3595.8</v>
      </c>
      <c r="C102" s="34" t="n">
        <v>-66.67</v>
      </c>
      <c r="D102" s="34" t="n">
        <v>-44.2</v>
      </c>
      <c r="E102" s="34" t="n">
        <v>-86.68</v>
      </c>
      <c r="F102" s="34" t="n">
        <v>29.02</v>
      </c>
      <c r="G102" s="34" t="n">
        <v>3.61</v>
      </c>
      <c r="H102" s="34" t="n">
        <v>34.92</v>
      </c>
      <c r="I102" s="34" t="n">
        <v>54.39</v>
      </c>
      <c r="J102" s="34" t="n">
        <v>64.23</v>
      </c>
      <c r="K102" s="34" t="n">
        <v>3582.25</v>
      </c>
      <c r="L102" s="34" t="n">
        <f aca="false">AVERAGE(C102:E102)</f>
        <v>-65.85</v>
      </c>
      <c r="M102" s="34" t="n">
        <f aca="false">AVERAGE(C102:J102)</f>
        <v>-1.4225</v>
      </c>
    </row>
    <row r="103" customFormat="false" ht="15.75" hidden="false" customHeight="true" outlineLevel="0" collapsed="false">
      <c r="A103" s="34" t="s">
        <v>55</v>
      </c>
      <c r="B103" s="34" t="n">
        <v>3569.6</v>
      </c>
      <c r="C103" s="34" t="n">
        <v>-66.67</v>
      </c>
      <c r="D103" s="34" t="n">
        <v>-108.82</v>
      </c>
      <c r="E103" s="34" t="n">
        <v>49.71</v>
      </c>
      <c r="F103" s="34" t="n">
        <v>142.13</v>
      </c>
      <c r="G103" s="34" t="n">
        <v>186.87</v>
      </c>
      <c r="H103" s="34" t="n">
        <v>155.4</v>
      </c>
      <c r="I103" s="34" t="n">
        <v>139.25</v>
      </c>
      <c r="J103" s="34" t="n">
        <v>123.26</v>
      </c>
      <c r="K103" s="34" t="n">
        <v>3423.81</v>
      </c>
      <c r="L103" s="34" t="n">
        <f aca="false">AVERAGE(C103:E103)</f>
        <v>-41.9266666666667</v>
      </c>
      <c r="M103" s="34" t="n">
        <f aca="false">AVERAGE(C103:J103)</f>
        <v>77.64125</v>
      </c>
    </row>
    <row r="104" customFormat="false" ht="15.75" hidden="false" customHeight="true" outlineLevel="0" collapsed="false">
      <c r="A104" s="34" t="s">
        <v>698</v>
      </c>
      <c r="B104" s="34" t="n">
        <v>3452.5</v>
      </c>
      <c r="C104" s="34" t="n">
        <v>-66.67</v>
      </c>
      <c r="D104" s="34" t="n">
        <v>40.36</v>
      </c>
      <c r="E104" s="34" t="n">
        <v>58.64</v>
      </c>
      <c r="F104" s="34" t="n">
        <v>-56.13</v>
      </c>
      <c r="G104" s="34" t="n">
        <v>-115.85</v>
      </c>
      <c r="H104" s="34" t="n">
        <v>-122.71</v>
      </c>
      <c r="I104" s="34" t="n">
        <v>-105.56</v>
      </c>
      <c r="J104" s="34" t="n">
        <v>-75.5</v>
      </c>
      <c r="K104" s="34" t="n">
        <v>3541.72</v>
      </c>
      <c r="L104" s="34" t="n">
        <f aca="false">AVERAGE(C104:E104)</f>
        <v>10.7766666666667</v>
      </c>
      <c r="M104" s="34" t="n">
        <f aca="false">AVERAGE(C104:J104)</f>
        <v>-55.4275</v>
      </c>
    </row>
    <row r="105" customFormat="false" ht="15.75" hidden="false" customHeight="true" outlineLevel="0" collapsed="false">
      <c r="A105" s="34" t="s">
        <v>367</v>
      </c>
      <c r="B105" s="34" t="n">
        <v>3415</v>
      </c>
      <c r="C105" s="34" t="n">
        <v>-66.67</v>
      </c>
      <c r="D105" s="34" t="n">
        <v>-131.44</v>
      </c>
      <c r="E105" s="34" t="n">
        <v>-63.92</v>
      </c>
      <c r="F105" s="34" t="n">
        <v>-86.38</v>
      </c>
      <c r="G105" s="34" t="n">
        <v>-104.49</v>
      </c>
      <c r="H105" s="34" t="n">
        <v>-93.25</v>
      </c>
      <c r="I105" s="34" t="n">
        <v>-105.84</v>
      </c>
      <c r="J105" s="34" t="n">
        <v>-119.13</v>
      </c>
      <c r="K105" s="34" t="n">
        <v>3570.96</v>
      </c>
      <c r="L105" s="34" t="n">
        <f aca="false">AVERAGE(C105:E105)</f>
        <v>-87.3433333333334</v>
      </c>
      <c r="M105" s="34" t="n">
        <f aca="false">AVERAGE(C105:J105)</f>
        <v>-96.39</v>
      </c>
    </row>
    <row r="106" customFormat="false" ht="15.75" hidden="false" customHeight="true" outlineLevel="0" collapsed="false">
      <c r="A106" s="34" t="s">
        <v>94</v>
      </c>
      <c r="B106" s="34" t="n">
        <v>3403</v>
      </c>
      <c r="C106" s="34" t="n">
        <v>66.67</v>
      </c>
      <c r="D106" s="34" t="n">
        <v>113.72</v>
      </c>
      <c r="E106" s="34" t="n">
        <v>81.22</v>
      </c>
      <c r="F106" s="34" t="n">
        <v>178.21</v>
      </c>
      <c r="G106" s="34" t="n">
        <v>206.32</v>
      </c>
      <c r="H106" s="34" t="n">
        <v>180.65</v>
      </c>
      <c r="I106" s="34" t="n">
        <v>138.87</v>
      </c>
      <c r="J106" s="34" t="n">
        <v>149.85</v>
      </c>
      <c r="K106" s="34" t="n">
        <v>3258.05</v>
      </c>
      <c r="L106" s="34" t="n">
        <f aca="false">AVERAGE(C106:E106)</f>
        <v>87.2033333333333</v>
      </c>
      <c r="M106" s="34" t="n">
        <f aca="false">AVERAGE(C106:J106)</f>
        <v>139.43875</v>
      </c>
    </row>
    <row r="107" customFormat="false" ht="15.75" hidden="false" customHeight="true" outlineLevel="0" collapsed="false">
      <c r="A107" s="34" t="s">
        <v>699</v>
      </c>
      <c r="B107" s="34" t="n">
        <v>3402.6</v>
      </c>
      <c r="C107" s="34" t="n">
        <v>66.67</v>
      </c>
      <c r="D107" s="34" t="n">
        <v>19.75</v>
      </c>
      <c r="E107" s="34" t="n">
        <v>-61.9</v>
      </c>
      <c r="F107" s="34" t="n">
        <v>-115.22</v>
      </c>
      <c r="G107" s="34" t="n">
        <v>-29.52</v>
      </c>
      <c r="H107" s="34" t="n">
        <v>-43.08</v>
      </c>
      <c r="I107" s="34" t="n">
        <v>-22.17</v>
      </c>
      <c r="J107" s="34" t="n">
        <v>-31.28</v>
      </c>
      <c r="K107" s="34" t="n">
        <v>3567.82</v>
      </c>
      <c r="L107" s="34" t="n">
        <f aca="false">AVERAGE(C107:E107)</f>
        <v>8.17333333333333</v>
      </c>
      <c r="M107" s="34" t="n">
        <f aca="false">AVERAGE(C107:J107)</f>
        <v>-27.09375</v>
      </c>
    </row>
    <row r="108" customFormat="false" ht="15.75" hidden="false" customHeight="true" outlineLevel="0" collapsed="false">
      <c r="A108" s="34" t="s">
        <v>206</v>
      </c>
      <c r="B108" s="34" t="n">
        <v>3380</v>
      </c>
      <c r="C108" s="34" t="n">
        <v>-66.67</v>
      </c>
      <c r="D108" s="34" t="n">
        <v>-84.37</v>
      </c>
      <c r="E108" s="34" t="n">
        <v>43.22</v>
      </c>
      <c r="F108" s="34" t="n">
        <v>117.39</v>
      </c>
      <c r="G108" s="34" t="n">
        <v>164.95</v>
      </c>
      <c r="H108" s="34" t="n">
        <v>207.8</v>
      </c>
      <c r="I108" s="34" t="n">
        <v>200.06</v>
      </c>
      <c r="J108" s="34" t="n">
        <v>230.49</v>
      </c>
      <c r="K108" s="34" t="n">
        <v>3261.45</v>
      </c>
      <c r="L108" s="34" t="n">
        <f aca="false">AVERAGE(C108:E108)</f>
        <v>-35.94</v>
      </c>
      <c r="M108" s="34" t="n">
        <f aca="false">AVERAGE(C108:J108)</f>
        <v>101.60875</v>
      </c>
    </row>
    <row r="109" customFormat="false" ht="15.75" hidden="false" customHeight="true" outlineLevel="0" collapsed="false">
      <c r="A109" s="34" t="s">
        <v>700</v>
      </c>
      <c r="B109" s="34" t="n">
        <v>3374</v>
      </c>
      <c r="C109" s="34" t="n">
        <v>66.67</v>
      </c>
      <c r="D109" s="34" t="n">
        <v>88.15</v>
      </c>
      <c r="E109" s="34" t="n">
        <v>151.68</v>
      </c>
      <c r="F109" s="34" t="n">
        <v>176.04</v>
      </c>
      <c r="G109" s="34"/>
      <c r="H109" s="34"/>
      <c r="I109" s="34"/>
      <c r="J109" s="34"/>
      <c r="K109" s="34" t="n">
        <v>3135.11</v>
      </c>
      <c r="L109" s="34" t="n">
        <f aca="false">AVERAGE(C109:E109)</f>
        <v>102.166666666667</v>
      </c>
      <c r="M109" s="34" t="n">
        <f aca="false">AVERAGE(C109:J109)</f>
        <v>120.635</v>
      </c>
    </row>
    <row r="110" customFormat="false" ht="15.75" hidden="false" customHeight="true" outlineLevel="0" collapsed="false">
      <c r="A110" s="34" t="s">
        <v>78</v>
      </c>
      <c r="B110" s="34" t="n">
        <v>3294.6</v>
      </c>
      <c r="C110" s="34" t="n">
        <v>66.67</v>
      </c>
      <c r="D110" s="34" t="n">
        <v>96.99</v>
      </c>
      <c r="E110" s="34" t="n">
        <v>88.26</v>
      </c>
      <c r="F110" s="34" t="n">
        <v>184.36</v>
      </c>
      <c r="G110" s="34" t="n">
        <v>272.27</v>
      </c>
      <c r="H110" s="34" t="n">
        <v>328.15</v>
      </c>
      <c r="I110" s="34" t="n">
        <v>213.27</v>
      </c>
      <c r="J110" s="34" t="n">
        <v>198.55</v>
      </c>
      <c r="K110" s="34" t="n">
        <v>3145.46</v>
      </c>
      <c r="L110" s="34" t="n">
        <f aca="false">AVERAGE(C110:E110)</f>
        <v>83.9733333333333</v>
      </c>
      <c r="M110" s="34" t="n">
        <f aca="false">AVERAGE(C110:J110)</f>
        <v>181.065</v>
      </c>
    </row>
    <row r="111" customFormat="false" ht="15.75" hidden="false" customHeight="true" outlineLevel="0" collapsed="false">
      <c r="A111" s="34" t="s">
        <v>462</v>
      </c>
      <c r="B111" s="34" t="n">
        <v>3259</v>
      </c>
      <c r="C111" s="34" t="n">
        <v>66.67</v>
      </c>
      <c r="D111" s="34" t="n">
        <v>-5.67</v>
      </c>
      <c r="E111" s="34" t="n">
        <v>-67.18</v>
      </c>
      <c r="F111" s="34" t="n">
        <v>-87.51</v>
      </c>
      <c r="G111" s="34" t="n">
        <v>-119.78</v>
      </c>
      <c r="H111" s="34" t="n">
        <v>-115.63</v>
      </c>
      <c r="I111" s="34" t="n">
        <v>-97.65</v>
      </c>
      <c r="J111" s="34" t="n">
        <v>-86.35</v>
      </c>
      <c r="K111" s="34" t="n">
        <v>3410.99</v>
      </c>
      <c r="L111" s="34" t="n">
        <f aca="false">AVERAGE(C111:E111)</f>
        <v>-2.06</v>
      </c>
      <c r="M111" s="34" t="n">
        <f aca="false">AVERAGE(C111:J111)</f>
        <v>-64.1375</v>
      </c>
    </row>
    <row r="112" customFormat="false" ht="15.75" hidden="false" customHeight="true" outlineLevel="0" collapsed="false">
      <c r="A112" s="34" t="s">
        <v>701</v>
      </c>
      <c r="B112" s="34" t="n">
        <v>3196</v>
      </c>
      <c r="C112" s="34" t="n">
        <v>-66.67</v>
      </c>
      <c r="D112" s="34" t="n">
        <v>-25.66</v>
      </c>
      <c r="E112" s="34" t="n">
        <v>80.38</v>
      </c>
      <c r="F112" s="34" t="n">
        <v>31.31</v>
      </c>
      <c r="G112" s="34" t="n">
        <v>35.03</v>
      </c>
      <c r="H112" s="34" t="n">
        <v>59.83</v>
      </c>
      <c r="I112" s="34" t="n">
        <v>67.54</v>
      </c>
      <c r="J112" s="34" t="n">
        <v>77.49</v>
      </c>
      <c r="K112" s="34" t="n">
        <v>3032.09</v>
      </c>
      <c r="L112" s="34" t="n">
        <f aca="false">AVERAGE(C112:E112)</f>
        <v>-3.98333333333333</v>
      </c>
      <c r="M112" s="34" t="n">
        <f aca="false">AVERAGE(C112:J112)</f>
        <v>32.40625</v>
      </c>
    </row>
    <row r="113" customFormat="false" ht="15.75" hidden="false" customHeight="true" outlineLevel="0" collapsed="false">
      <c r="A113" s="34" t="s">
        <v>702</v>
      </c>
      <c r="B113" s="34" t="n">
        <v>3188.6</v>
      </c>
      <c r="C113" s="34" t="n">
        <v>-66.67</v>
      </c>
      <c r="D113" s="34" t="n">
        <v>56.08</v>
      </c>
      <c r="E113" s="34" t="n">
        <v>102.18</v>
      </c>
      <c r="F113" s="34" t="n">
        <v>68.86</v>
      </c>
      <c r="G113" s="34" t="n">
        <v>94.03</v>
      </c>
      <c r="H113" s="34" t="n">
        <v>107.02</v>
      </c>
      <c r="I113" s="34" t="n">
        <v>96.17</v>
      </c>
      <c r="J113" s="34" t="n">
        <v>106.55</v>
      </c>
      <c r="K113" s="34" t="n">
        <v>2957.34</v>
      </c>
      <c r="L113" s="34" t="n">
        <f aca="false">AVERAGE(C113:E113)</f>
        <v>30.53</v>
      </c>
      <c r="M113" s="34" t="n">
        <f aca="false">AVERAGE(C113:J113)</f>
        <v>70.5275</v>
      </c>
    </row>
    <row r="114" customFormat="false" ht="15.75" hidden="false" customHeight="true" outlineLevel="0" collapsed="false">
      <c r="A114" s="34" t="s">
        <v>355</v>
      </c>
      <c r="B114" s="34" t="n">
        <v>3184.5</v>
      </c>
      <c r="C114" s="34" t="n">
        <v>-66.67</v>
      </c>
      <c r="D114" s="34" t="n">
        <v>-77.01</v>
      </c>
      <c r="E114" s="34" t="n">
        <v>33.81</v>
      </c>
      <c r="F114" s="34" t="n">
        <v>-61.5</v>
      </c>
      <c r="G114" s="34" t="n">
        <v>-107.66</v>
      </c>
      <c r="H114" s="34" t="n">
        <v>-90.37</v>
      </c>
      <c r="I114" s="34" t="n">
        <v>-23.25</v>
      </c>
      <c r="J114" s="34" t="n">
        <v>-6.6</v>
      </c>
      <c r="K114" s="34" t="n">
        <v>3319.75</v>
      </c>
      <c r="L114" s="34" t="n">
        <f aca="false">AVERAGE(C114:E114)</f>
        <v>-36.6233333333333</v>
      </c>
      <c r="M114" s="34" t="n">
        <f aca="false">AVERAGE(C114:J114)</f>
        <v>-49.90625</v>
      </c>
    </row>
    <row r="115" customFormat="false" ht="15.75" hidden="false" customHeight="true" outlineLevel="0" collapsed="false">
      <c r="A115" s="34" t="s">
        <v>101</v>
      </c>
      <c r="B115" s="34" t="n">
        <v>3173.2</v>
      </c>
      <c r="C115" s="34" t="n">
        <v>-66.67</v>
      </c>
      <c r="D115" s="34" t="n">
        <v>59.27</v>
      </c>
      <c r="E115" s="34" t="n">
        <v>108.37</v>
      </c>
      <c r="F115" s="34" t="n">
        <v>128.69</v>
      </c>
      <c r="G115" s="34" t="n">
        <v>-1.3</v>
      </c>
      <c r="H115" s="34" t="n">
        <v>30.48</v>
      </c>
      <c r="I115" s="34" t="n">
        <v>49.53</v>
      </c>
      <c r="J115" s="34" t="n">
        <v>31.06</v>
      </c>
      <c r="K115" s="34" t="n">
        <v>3033.12</v>
      </c>
      <c r="L115" s="34" t="n">
        <f aca="false">AVERAGE(C115:E115)</f>
        <v>33.6566666666667</v>
      </c>
      <c r="M115" s="34" t="n">
        <f aca="false">AVERAGE(C115:J115)</f>
        <v>42.42875</v>
      </c>
    </row>
    <row r="116" customFormat="false" ht="15.75" hidden="false" customHeight="true" outlineLevel="0" collapsed="false">
      <c r="A116" s="34" t="s">
        <v>276</v>
      </c>
      <c r="B116" s="34" t="n">
        <v>3107.7</v>
      </c>
      <c r="C116" s="34" t="n">
        <v>-66.67</v>
      </c>
      <c r="D116" s="34" t="n">
        <v>-123.3</v>
      </c>
      <c r="E116" s="34" t="n">
        <v>-81.46</v>
      </c>
      <c r="F116" s="34" t="n">
        <v>-72</v>
      </c>
      <c r="G116" s="34" t="n">
        <v>-118.75</v>
      </c>
      <c r="H116" s="34" t="n">
        <v>-107.61</v>
      </c>
      <c r="I116" s="34" t="n">
        <v>-100.43</v>
      </c>
      <c r="J116" s="34" t="n">
        <v>-104.6</v>
      </c>
      <c r="K116" s="34" t="n">
        <v>3216.16</v>
      </c>
      <c r="L116" s="34" t="n">
        <f aca="false">AVERAGE(C116:E116)</f>
        <v>-90.4766666666667</v>
      </c>
      <c r="M116" s="34" t="n">
        <f aca="false">AVERAGE(C116:J116)</f>
        <v>-96.8525</v>
      </c>
    </row>
    <row r="117" customFormat="false" ht="15.75" hidden="false" customHeight="true" outlineLevel="0" collapsed="false">
      <c r="A117" s="34" t="s">
        <v>79</v>
      </c>
      <c r="B117" s="34" t="n">
        <v>3087.2</v>
      </c>
      <c r="C117" s="34" t="n">
        <v>66.67</v>
      </c>
      <c r="D117" s="34" t="n">
        <v>-51.38</v>
      </c>
      <c r="E117" s="34" t="n">
        <v>14.66</v>
      </c>
      <c r="F117" s="34" t="n">
        <v>89.31</v>
      </c>
      <c r="G117" s="34" t="n">
        <v>78.48</v>
      </c>
      <c r="H117" s="34" t="n">
        <v>87.72</v>
      </c>
      <c r="I117" s="34" t="n">
        <v>82.66</v>
      </c>
      <c r="J117" s="34" t="n">
        <v>92.32</v>
      </c>
      <c r="K117" s="34" t="n">
        <v>2996.1</v>
      </c>
      <c r="L117" s="34" t="n">
        <f aca="false">AVERAGE(C117:E117)</f>
        <v>9.98333333333333</v>
      </c>
      <c r="M117" s="34" t="n">
        <f aca="false">AVERAGE(C117:J117)</f>
        <v>57.555</v>
      </c>
    </row>
    <row r="118" customFormat="false" ht="15.75" hidden="false" customHeight="true" outlineLevel="0" collapsed="false">
      <c r="A118" s="34" t="s">
        <v>241</v>
      </c>
      <c r="B118" s="34" t="n">
        <v>3072.1</v>
      </c>
      <c r="C118" s="34" t="n">
        <v>-66.67</v>
      </c>
      <c r="D118" s="34" t="n">
        <v>-77.08</v>
      </c>
      <c r="E118" s="34" t="n">
        <v>49.98</v>
      </c>
      <c r="F118" s="34" t="n">
        <v>135.94</v>
      </c>
      <c r="G118" s="34" t="n">
        <v>122.96</v>
      </c>
      <c r="H118" s="34" t="n">
        <v>116.1</v>
      </c>
      <c r="I118" s="34" t="n">
        <v>115.57</v>
      </c>
      <c r="J118" s="34" t="n">
        <v>85.86</v>
      </c>
      <c r="K118" s="34" t="n">
        <v>3018.24</v>
      </c>
      <c r="L118" s="34" t="n">
        <f aca="false">AVERAGE(C118:E118)</f>
        <v>-31.2566666666667</v>
      </c>
      <c r="M118" s="34" t="n">
        <f aca="false">AVERAGE(C118:J118)</f>
        <v>60.3325</v>
      </c>
    </row>
    <row r="119" customFormat="false" ht="15.75" hidden="false" customHeight="true" outlineLevel="0" collapsed="false">
      <c r="A119" s="34" t="s">
        <v>135</v>
      </c>
      <c r="B119" s="34" t="n">
        <v>3054</v>
      </c>
      <c r="C119" s="34" t="n">
        <v>-66.67</v>
      </c>
      <c r="D119" s="34" t="n">
        <v>4.25</v>
      </c>
      <c r="E119" s="34" t="n">
        <v>59.62</v>
      </c>
      <c r="F119" s="34" t="n">
        <v>-35.62</v>
      </c>
      <c r="G119" s="34" t="n">
        <v>-81.85</v>
      </c>
      <c r="H119" s="34" t="n">
        <v>-113.99</v>
      </c>
      <c r="I119" s="34" t="n">
        <v>-135.62</v>
      </c>
      <c r="J119" s="34" t="n">
        <v>-126.98</v>
      </c>
      <c r="K119" s="34" t="n">
        <v>3017.23</v>
      </c>
      <c r="L119" s="34" t="n">
        <f aca="false">AVERAGE(C119:E119)</f>
        <v>-0.933333333333335</v>
      </c>
      <c r="M119" s="34" t="n">
        <f aca="false">AVERAGE(C119:J119)</f>
        <v>-62.1075</v>
      </c>
    </row>
    <row r="120" customFormat="false" ht="15.75" hidden="false" customHeight="true" outlineLevel="0" collapsed="false">
      <c r="A120" s="34" t="s">
        <v>464</v>
      </c>
      <c r="B120" s="34" t="n">
        <v>3001.7</v>
      </c>
      <c r="C120" s="34" t="n">
        <v>66.67</v>
      </c>
      <c r="D120" s="34" t="n">
        <v>93.14</v>
      </c>
      <c r="E120" s="34" t="n">
        <v>144.48</v>
      </c>
      <c r="F120" s="34" t="n">
        <v>-49.58</v>
      </c>
      <c r="G120" s="34" t="n">
        <v>-99.93</v>
      </c>
      <c r="H120" s="34" t="n">
        <v>-24.42</v>
      </c>
      <c r="I120" s="34" t="n">
        <v>7.48</v>
      </c>
      <c r="J120" s="34" t="n">
        <v>19.17</v>
      </c>
      <c r="K120" s="34" t="n">
        <v>3021.47</v>
      </c>
      <c r="L120" s="34" t="n">
        <f aca="false">AVERAGE(C120:E120)</f>
        <v>101.43</v>
      </c>
      <c r="M120" s="34" t="n">
        <f aca="false">AVERAGE(C120:J120)</f>
        <v>19.62625</v>
      </c>
    </row>
    <row r="121" customFormat="false" ht="15.75" hidden="false" customHeight="true" outlineLevel="0" collapsed="false">
      <c r="A121" s="34" t="s">
        <v>703</v>
      </c>
      <c r="B121" s="34" t="n">
        <v>2990</v>
      </c>
      <c r="C121" s="34" t="n">
        <v>66.67</v>
      </c>
      <c r="D121" s="34" t="n">
        <v>70.42</v>
      </c>
      <c r="E121" s="34" t="n">
        <v>49.76</v>
      </c>
      <c r="F121" s="34" t="n">
        <v>-79.21</v>
      </c>
      <c r="G121" s="34" t="n">
        <v>-118.75</v>
      </c>
      <c r="H121" s="34" t="n">
        <v>-104.68</v>
      </c>
      <c r="I121" s="34" t="n">
        <v>-104.37</v>
      </c>
      <c r="J121" s="34" t="n">
        <v>-118.94</v>
      </c>
      <c r="K121" s="34" t="n">
        <v>3138.71</v>
      </c>
      <c r="L121" s="34" t="n">
        <f aca="false">AVERAGE(C121:E121)</f>
        <v>62.2833333333333</v>
      </c>
      <c r="M121" s="34" t="n">
        <f aca="false">AVERAGE(C121:J121)</f>
        <v>-42.3875</v>
      </c>
    </row>
    <row r="122" customFormat="false" ht="15.75" hidden="false" customHeight="true" outlineLevel="0" collapsed="false">
      <c r="A122" s="34" t="s">
        <v>704</v>
      </c>
      <c r="B122" s="34" t="n">
        <v>2983.1</v>
      </c>
      <c r="C122" s="34" t="n">
        <v>66.67</v>
      </c>
      <c r="D122" s="34" t="n">
        <v>97.21</v>
      </c>
      <c r="E122" s="34" t="n">
        <v>90.21</v>
      </c>
      <c r="F122" s="34" t="n">
        <v>123.11</v>
      </c>
      <c r="G122" s="34" t="n">
        <v>132.1</v>
      </c>
      <c r="H122" s="34" t="n">
        <v>106.85</v>
      </c>
      <c r="I122" s="34" t="n">
        <v>106.41</v>
      </c>
      <c r="J122" s="34" t="n">
        <v>120.6</v>
      </c>
      <c r="K122" s="34" t="n">
        <v>2721.21</v>
      </c>
      <c r="L122" s="34" t="n">
        <f aca="false">AVERAGE(C122:E122)</f>
        <v>84.6966666666667</v>
      </c>
      <c r="M122" s="34" t="n">
        <f aca="false">AVERAGE(C122:J122)</f>
        <v>105.395</v>
      </c>
    </row>
    <row r="123" customFormat="false" ht="15.75" hidden="false" customHeight="true" outlineLevel="0" collapsed="false">
      <c r="A123" s="34" t="s">
        <v>203</v>
      </c>
      <c r="B123" s="34" t="n">
        <v>2917.5</v>
      </c>
      <c r="C123" s="34" t="n">
        <v>66.67</v>
      </c>
      <c r="D123" s="34" t="n">
        <v>-64.06</v>
      </c>
      <c r="E123" s="34" t="n">
        <v>50.66</v>
      </c>
      <c r="F123" s="34" t="n">
        <v>-71.38</v>
      </c>
      <c r="G123" s="34" t="n">
        <v>-103.79</v>
      </c>
      <c r="H123" s="34" t="n">
        <v>-83.03</v>
      </c>
      <c r="I123" s="34" t="n">
        <v>-58</v>
      </c>
      <c r="J123" s="34" t="n">
        <v>-17.96</v>
      </c>
      <c r="K123" s="34" t="n">
        <v>2995.11</v>
      </c>
      <c r="L123" s="34" t="n">
        <f aca="false">AVERAGE(C123:E123)</f>
        <v>17.7566666666667</v>
      </c>
      <c r="M123" s="34" t="n">
        <f aca="false">AVERAGE(C123:J123)</f>
        <v>-35.11125</v>
      </c>
    </row>
    <row r="124" customFormat="false" ht="15.75" hidden="false" customHeight="true" outlineLevel="0" collapsed="false">
      <c r="A124" s="34" t="s">
        <v>705</v>
      </c>
      <c r="B124" s="34" t="n">
        <v>2911</v>
      </c>
      <c r="C124" s="34" t="n">
        <v>-66.67</v>
      </c>
      <c r="D124" s="34" t="n">
        <v>-30.65</v>
      </c>
      <c r="E124" s="34" t="n">
        <v>67.95</v>
      </c>
      <c r="F124" s="34" t="n">
        <v>-52.67</v>
      </c>
      <c r="G124" s="34" t="n">
        <v>-73.74</v>
      </c>
      <c r="H124" s="34" t="n">
        <v>-65.62</v>
      </c>
      <c r="I124" s="34" t="n">
        <v>1.33</v>
      </c>
      <c r="J124" s="34" t="n">
        <v>-8.1</v>
      </c>
      <c r="K124" s="34" t="n">
        <v>3023.25</v>
      </c>
      <c r="L124" s="34" t="n">
        <f aca="false">AVERAGE(C124:E124)</f>
        <v>-9.79</v>
      </c>
      <c r="M124" s="34" t="n">
        <f aca="false">AVERAGE(C124:J124)</f>
        <v>-28.52125</v>
      </c>
    </row>
    <row r="125" customFormat="false" ht="15.75" hidden="false" customHeight="true" outlineLevel="0" collapsed="false">
      <c r="A125" s="34" t="s">
        <v>706</v>
      </c>
      <c r="B125" s="34" t="n">
        <v>2907.9</v>
      </c>
      <c r="C125" s="34" t="n">
        <v>-66.67</v>
      </c>
      <c r="D125" s="34" t="n">
        <v>-122.3</v>
      </c>
      <c r="E125" s="34" t="n">
        <v>1.93</v>
      </c>
      <c r="F125" s="34" t="n">
        <v>3.38</v>
      </c>
      <c r="G125" s="34" t="n">
        <v>6.9</v>
      </c>
      <c r="H125" s="34" t="n">
        <v>45.93</v>
      </c>
      <c r="I125" s="34" t="n">
        <v>60.09</v>
      </c>
      <c r="J125" s="34" t="n">
        <v>73.52</v>
      </c>
      <c r="K125" s="34" t="n">
        <v>3196.23</v>
      </c>
      <c r="L125" s="34" t="n">
        <f aca="false">AVERAGE(C125:E125)</f>
        <v>-62.3466666666667</v>
      </c>
      <c r="M125" s="34" t="n">
        <f aca="false">AVERAGE(C125:J125)</f>
        <v>0.347500000000004</v>
      </c>
    </row>
    <row r="126" customFormat="false" ht="15.75" hidden="false" customHeight="true" outlineLevel="0" collapsed="false">
      <c r="A126" s="34" t="s">
        <v>707</v>
      </c>
      <c r="B126" s="34" t="n">
        <v>2900.4</v>
      </c>
      <c r="C126" s="34" t="n">
        <v>66.67</v>
      </c>
      <c r="D126" s="34" t="n">
        <v>120.92</v>
      </c>
      <c r="E126" s="34" t="n">
        <v>107.83</v>
      </c>
      <c r="F126" s="34" t="n">
        <v>40.08</v>
      </c>
      <c r="G126" s="34" t="n">
        <v>58.77</v>
      </c>
      <c r="H126" s="34" t="n">
        <v>84.56</v>
      </c>
      <c r="I126" s="34" t="n">
        <v>85.18</v>
      </c>
      <c r="J126" s="34" t="n">
        <v>91.57</v>
      </c>
      <c r="K126" s="34" t="n">
        <v>2647.77</v>
      </c>
      <c r="L126" s="34" t="n">
        <f aca="false">AVERAGE(C126:E126)</f>
        <v>98.4733333333333</v>
      </c>
      <c r="M126" s="34" t="n">
        <f aca="false">AVERAGE(C126:J126)</f>
        <v>81.9475</v>
      </c>
    </row>
    <row r="127" customFormat="false" ht="15.75" hidden="false" customHeight="true" outlineLevel="0" collapsed="false">
      <c r="A127" s="34" t="s">
        <v>340</v>
      </c>
      <c r="B127" s="34" t="n">
        <v>2890.4</v>
      </c>
      <c r="C127" s="34" t="n">
        <v>66.67</v>
      </c>
      <c r="D127" s="34" t="n">
        <v>89.93</v>
      </c>
      <c r="E127" s="34" t="n">
        <v>130.22</v>
      </c>
      <c r="F127" s="34" t="n">
        <v>116.9</v>
      </c>
      <c r="G127" s="34" t="n">
        <v>153.95</v>
      </c>
      <c r="H127" s="34" t="n">
        <v>153.32</v>
      </c>
      <c r="I127" s="34" t="n">
        <v>135.95</v>
      </c>
      <c r="J127" s="34" t="n">
        <v>137.47</v>
      </c>
      <c r="K127" s="34" t="n">
        <v>2730.43</v>
      </c>
      <c r="L127" s="34" t="n">
        <f aca="false">AVERAGE(C127:E127)</f>
        <v>95.6066666666667</v>
      </c>
      <c r="M127" s="34" t="n">
        <f aca="false">AVERAGE(C127:J127)</f>
        <v>123.05125</v>
      </c>
    </row>
    <row r="128" customFormat="false" ht="15.75" hidden="false" customHeight="true" outlineLevel="0" collapsed="false">
      <c r="A128" s="34" t="s">
        <v>122</v>
      </c>
      <c r="B128" s="34" t="n">
        <v>2848.6</v>
      </c>
      <c r="C128" s="34" t="n">
        <v>-66.67</v>
      </c>
      <c r="D128" s="34" t="n">
        <v>65.13</v>
      </c>
      <c r="E128" s="34" t="n">
        <v>133.12</v>
      </c>
      <c r="F128" s="34" t="n">
        <v>99.16</v>
      </c>
      <c r="G128" s="34" t="n">
        <v>84.51</v>
      </c>
      <c r="H128" s="34" t="n">
        <v>99.22</v>
      </c>
      <c r="I128" s="34" t="n">
        <v>107.13</v>
      </c>
      <c r="J128" s="34" t="n">
        <v>90.88</v>
      </c>
      <c r="K128" s="34" t="n">
        <v>2702.2</v>
      </c>
      <c r="L128" s="34" t="n">
        <f aca="false">AVERAGE(C128:E128)</f>
        <v>43.86</v>
      </c>
      <c r="M128" s="34" t="n">
        <f aca="false">AVERAGE(C128:J128)</f>
        <v>76.56</v>
      </c>
    </row>
    <row r="129" customFormat="false" ht="15.75" hidden="false" customHeight="true" outlineLevel="0" collapsed="false">
      <c r="A129" s="34" t="s">
        <v>336</v>
      </c>
      <c r="B129" s="34" t="n">
        <v>2832.6</v>
      </c>
      <c r="C129" s="34" t="n">
        <v>-66.67</v>
      </c>
      <c r="D129" s="34" t="n">
        <v>-65.08</v>
      </c>
      <c r="E129" s="34" t="n">
        <v>68.67</v>
      </c>
      <c r="F129" s="34" t="n">
        <v>160.57</v>
      </c>
      <c r="G129" s="34" t="n">
        <v>150.42</v>
      </c>
      <c r="H129" s="34" t="n">
        <v>119.33</v>
      </c>
      <c r="I129" s="34" t="n">
        <v>114.32</v>
      </c>
      <c r="J129" s="34" t="n">
        <v>129.82</v>
      </c>
      <c r="K129" s="34" t="n">
        <v>2670.9</v>
      </c>
      <c r="L129" s="34" t="n">
        <f aca="false">AVERAGE(C129:E129)</f>
        <v>-21.0266666666667</v>
      </c>
      <c r="M129" s="34" t="n">
        <f aca="false">AVERAGE(C129:J129)</f>
        <v>76.4225</v>
      </c>
    </row>
    <row r="130" customFormat="false" ht="15.75" hidden="false" customHeight="true" outlineLevel="0" collapsed="false">
      <c r="A130" s="34" t="s">
        <v>81</v>
      </c>
      <c r="B130" s="34" t="n">
        <v>2813.8</v>
      </c>
      <c r="C130" s="34" t="n">
        <v>-66.67</v>
      </c>
      <c r="D130" s="34" t="n">
        <v>-59.77</v>
      </c>
      <c r="E130" s="34" t="n">
        <v>51.42</v>
      </c>
      <c r="F130" s="34" t="n">
        <v>135.14</v>
      </c>
      <c r="G130" s="34" t="n">
        <v>93.34</v>
      </c>
      <c r="H130" s="34" t="n">
        <v>118.36</v>
      </c>
      <c r="I130" s="34" t="n">
        <v>98.48</v>
      </c>
      <c r="J130" s="34" t="n">
        <v>101.18</v>
      </c>
      <c r="K130" s="34" t="n">
        <v>2760.57</v>
      </c>
      <c r="L130" s="34" t="n">
        <f aca="false">AVERAGE(C130:E130)</f>
        <v>-25.0066666666667</v>
      </c>
      <c r="M130" s="34" t="n">
        <f aca="false">AVERAGE(C130:J130)</f>
        <v>58.935</v>
      </c>
    </row>
    <row r="131" customFormat="false" ht="15.75" hidden="false" customHeight="true" outlineLevel="0" collapsed="false">
      <c r="A131" s="34" t="s">
        <v>298</v>
      </c>
      <c r="B131" s="34" t="n">
        <v>2806.2</v>
      </c>
      <c r="C131" s="34" t="n">
        <v>-66.67</v>
      </c>
      <c r="D131" s="34" t="n">
        <v>-96.3</v>
      </c>
      <c r="E131" s="34" t="n">
        <v>61.45</v>
      </c>
      <c r="F131" s="34" t="n">
        <v>128.07</v>
      </c>
      <c r="G131" s="34" t="n">
        <v>101.46</v>
      </c>
      <c r="H131" s="34" t="n">
        <v>133.23</v>
      </c>
      <c r="I131" s="34" t="n">
        <v>167.58</v>
      </c>
      <c r="J131" s="34" t="n">
        <v>198.28</v>
      </c>
      <c r="K131" s="34" t="n">
        <v>2648.59</v>
      </c>
      <c r="L131" s="34" t="n">
        <f aca="false">AVERAGE(C131:E131)</f>
        <v>-33.84</v>
      </c>
      <c r="M131" s="34" t="n">
        <f aca="false">AVERAGE(C131:J131)</f>
        <v>78.3875</v>
      </c>
    </row>
    <row r="132" customFormat="false" ht="15.75" hidden="false" customHeight="true" outlineLevel="0" collapsed="false">
      <c r="A132" s="34" t="s">
        <v>708</v>
      </c>
      <c r="B132" s="34" t="n">
        <v>2795.3</v>
      </c>
      <c r="C132" s="34" t="n">
        <v>66.67</v>
      </c>
      <c r="D132" s="34" t="n">
        <v>66.84</v>
      </c>
      <c r="E132" s="34" t="n">
        <v>94.94</v>
      </c>
      <c r="F132" s="34" t="n">
        <v>141.44</v>
      </c>
      <c r="G132" s="34" t="n">
        <v>174.1</v>
      </c>
      <c r="H132" s="34" t="n">
        <v>219.29</v>
      </c>
      <c r="I132" s="34" t="n">
        <v>244.96</v>
      </c>
      <c r="J132" s="34"/>
      <c r="K132" s="34" t="n">
        <v>2492.31</v>
      </c>
      <c r="L132" s="34" t="n">
        <f aca="false">AVERAGE(C132:E132)</f>
        <v>76.15</v>
      </c>
      <c r="M132" s="34" t="n">
        <f aca="false">AVERAGE(C132:J132)</f>
        <v>144.034285714286</v>
      </c>
    </row>
    <row r="133" customFormat="false" ht="15.75" hidden="false" customHeight="true" outlineLevel="0" collapsed="false">
      <c r="A133" s="34" t="s">
        <v>709</v>
      </c>
      <c r="B133" s="34" t="n">
        <v>2794.6</v>
      </c>
      <c r="C133" s="34" t="n">
        <v>-66.67</v>
      </c>
      <c r="D133" s="34" t="n">
        <v>-102.31</v>
      </c>
      <c r="E133" s="34" t="n">
        <v>-146.04</v>
      </c>
      <c r="F133" s="34" t="n">
        <v>-80.38</v>
      </c>
      <c r="G133" s="34" t="n">
        <v>-111.29</v>
      </c>
      <c r="H133" s="34" t="n">
        <v>-135.34</v>
      </c>
      <c r="I133" s="34" t="n">
        <v>-72.45</v>
      </c>
      <c r="J133" s="34" t="n">
        <v>-80.2</v>
      </c>
      <c r="K133" s="34" t="n">
        <v>2919.71</v>
      </c>
      <c r="L133" s="34" t="n">
        <f aca="false">AVERAGE(C133:E133)</f>
        <v>-105.006666666667</v>
      </c>
      <c r="M133" s="34" t="n">
        <f aca="false">AVERAGE(C133:J133)</f>
        <v>-99.335</v>
      </c>
    </row>
    <row r="134" customFormat="false" ht="15.75" hidden="false" customHeight="true" outlineLevel="0" collapsed="false">
      <c r="A134" s="34" t="s">
        <v>403</v>
      </c>
      <c r="B134" s="34" t="n">
        <v>2766</v>
      </c>
      <c r="C134" s="34" t="n">
        <v>66.67</v>
      </c>
      <c r="D134" s="34" t="n">
        <v>-49.22</v>
      </c>
      <c r="E134" s="34" t="n">
        <v>-95.68</v>
      </c>
      <c r="F134" s="34" t="n">
        <v>46.98</v>
      </c>
      <c r="G134" s="34" t="n">
        <v>104.46</v>
      </c>
      <c r="H134" s="34" t="n">
        <v>102.99</v>
      </c>
      <c r="I134" s="34" t="n">
        <v>104.8</v>
      </c>
      <c r="J134" s="34" t="n">
        <v>123.04</v>
      </c>
      <c r="K134" s="34" t="n">
        <v>2681.91</v>
      </c>
      <c r="L134" s="34" t="n">
        <f aca="false">AVERAGE(C134:E134)</f>
        <v>-26.0766666666667</v>
      </c>
      <c r="M134" s="34" t="n">
        <f aca="false">AVERAGE(C134:J134)</f>
        <v>50.505</v>
      </c>
    </row>
    <row r="135" customFormat="false" ht="15.75" hidden="false" customHeight="true" outlineLevel="0" collapsed="false">
      <c r="A135" s="34" t="s">
        <v>359</v>
      </c>
      <c r="B135" s="34" t="n">
        <v>2765</v>
      </c>
      <c r="C135" s="34" t="n">
        <v>-66.67</v>
      </c>
      <c r="D135" s="34" t="n">
        <v>-116.43</v>
      </c>
      <c r="E135" s="34" t="n">
        <v>50.77</v>
      </c>
      <c r="F135" s="34" t="n">
        <v>-62.99</v>
      </c>
      <c r="G135" s="34" t="n">
        <v>-127.89</v>
      </c>
      <c r="H135" s="34" t="n">
        <v>-90.1</v>
      </c>
      <c r="I135" s="34" t="n">
        <v>-60.89</v>
      </c>
      <c r="J135" s="34" t="n">
        <v>-9.06</v>
      </c>
      <c r="K135" s="34" t="n">
        <v>2818.45</v>
      </c>
      <c r="L135" s="34" t="n">
        <f aca="false">AVERAGE(C135:E135)</f>
        <v>-44.11</v>
      </c>
      <c r="M135" s="34" t="n">
        <f aca="false">AVERAGE(C135:J135)</f>
        <v>-60.4075</v>
      </c>
    </row>
    <row r="136" customFormat="false" ht="15.75" hidden="false" customHeight="true" outlineLevel="0" collapsed="false">
      <c r="A136" s="34" t="s">
        <v>710</v>
      </c>
      <c r="B136" s="34" t="n">
        <v>2763.5</v>
      </c>
      <c r="C136" s="34" t="n">
        <v>-66.67</v>
      </c>
      <c r="D136" s="34" t="n">
        <v>-9.19</v>
      </c>
      <c r="E136" s="34" t="n">
        <v>13.5</v>
      </c>
      <c r="F136" s="34" t="n">
        <v>-94.24</v>
      </c>
      <c r="G136" s="34" t="n">
        <v>-135.19</v>
      </c>
      <c r="H136" s="34" t="n">
        <v>-46.74</v>
      </c>
      <c r="I136" s="34" t="n">
        <v>-12.06</v>
      </c>
      <c r="J136" s="34" t="n">
        <v>-2.83</v>
      </c>
      <c r="K136" s="34" t="n">
        <v>2909.73</v>
      </c>
      <c r="L136" s="34" t="n">
        <f aca="false">AVERAGE(C136:E136)</f>
        <v>-20.7866666666667</v>
      </c>
      <c r="M136" s="34" t="n">
        <f aca="false">AVERAGE(C136:J136)</f>
        <v>-44.1775</v>
      </c>
    </row>
    <row r="137" customFormat="false" ht="15.75" hidden="false" customHeight="true" outlineLevel="0" collapsed="false">
      <c r="A137" s="34" t="s">
        <v>711</v>
      </c>
      <c r="B137" s="34" t="n">
        <v>2741.4</v>
      </c>
      <c r="C137" s="34" t="n">
        <v>-66.67</v>
      </c>
      <c r="D137" s="34" t="n">
        <v>-16.73</v>
      </c>
      <c r="E137" s="34" t="n">
        <v>76.98</v>
      </c>
      <c r="F137" s="34" t="n">
        <v>177.78</v>
      </c>
      <c r="G137" s="34" t="n">
        <v>250.5</v>
      </c>
      <c r="H137" s="34" t="n">
        <v>149.25</v>
      </c>
      <c r="I137" s="34" t="n">
        <v>126.42</v>
      </c>
      <c r="J137" s="34" t="n">
        <v>142.43</v>
      </c>
      <c r="K137" s="34" t="n">
        <v>2581.9</v>
      </c>
      <c r="L137" s="34" t="n">
        <f aca="false">AVERAGE(C137:E137)</f>
        <v>-2.14</v>
      </c>
      <c r="M137" s="34" t="n">
        <f aca="false">AVERAGE(C137:J137)</f>
        <v>104.995</v>
      </c>
    </row>
    <row r="138" customFormat="false" ht="15.75" hidden="false" customHeight="true" outlineLevel="0" collapsed="false">
      <c r="A138" s="34" t="s">
        <v>411</v>
      </c>
      <c r="B138" s="34" t="n">
        <v>2700.3</v>
      </c>
      <c r="C138" s="34" t="n">
        <v>-66.67</v>
      </c>
      <c r="D138" s="34" t="n">
        <v>-92.7</v>
      </c>
      <c r="E138" s="34" t="n">
        <v>-26.3</v>
      </c>
      <c r="F138" s="34" t="n">
        <v>-67.93</v>
      </c>
      <c r="G138" s="34" t="n">
        <v>-102.18</v>
      </c>
      <c r="H138" s="34" t="n">
        <v>-98.66</v>
      </c>
      <c r="I138" s="34" t="n">
        <v>-41.14</v>
      </c>
      <c r="J138" s="34" t="n">
        <v>-12.12</v>
      </c>
      <c r="K138" s="34" t="n">
        <v>2890.32</v>
      </c>
      <c r="L138" s="34" t="n">
        <f aca="false">AVERAGE(C138:E138)</f>
        <v>-61.89</v>
      </c>
      <c r="M138" s="34" t="n">
        <f aca="false">AVERAGE(C138:J138)</f>
        <v>-63.4625</v>
      </c>
    </row>
    <row r="139" customFormat="false" ht="15.75" hidden="false" customHeight="true" outlineLevel="0" collapsed="false">
      <c r="A139" s="34" t="s">
        <v>117</v>
      </c>
      <c r="B139" s="34" t="n">
        <v>2680.6</v>
      </c>
      <c r="C139" s="34" t="n">
        <v>66.67</v>
      </c>
      <c r="D139" s="34" t="n">
        <v>-52.79</v>
      </c>
      <c r="E139" s="34" t="n">
        <v>18.92</v>
      </c>
      <c r="F139" s="34" t="n">
        <v>55.11</v>
      </c>
      <c r="G139" s="34" t="n">
        <v>72.31</v>
      </c>
      <c r="H139" s="34" t="n">
        <v>71.19</v>
      </c>
      <c r="I139" s="34" t="n">
        <v>90.49</v>
      </c>
      <c r="J139" s="34" t="n">
        <v>109.38</v>
      </c>
      <c r="K139" s="34" t="n">
        <v>2615.44</v>
      </c>
      <c r="L139" s="34" t="n">
        <f aca="false">AVERAGE(C139:E139)</f>
        <v>10.9333333333333</v>
      </c>
      <c r="M139" s="34" t="n">
        <f aca="false">AVERAGE(C139:J139)</f>
        <v>53.91</v>
      </c>
    </row>
    <row r="140" customFormat="false" ht="15.75" hidden="false" customHeight="true" outlineLevel="0" collapsed="false">
      <c r="A140" s="34" t="s">
        <v>156</v>
      </c>
      <c r="B140" s="34" t="n">
        <v>2670.5</v>
      </c>
      <c r="C140" s="34" t="n">
        <v>66.67</v>
      </c>
      <c r="D140" s="34" t="n">
        <v>84.19</v>
      </c>
      <c r="E140" s="34" t="n">
        <v>127.77</v>
      </c>
      <c r="F140" s="34" t="n">
        <v>103.88</v>
      </c>
      <c r="G140" s="34" t="n">
        <v>113.82</v>
      </c>
      <c r="H140" s="34" t="n">
        <v>105.82</v>
      </c>
      <c r="I140" s="34" t="n">
        <v>105.19</v>
      </c>
      <c r="J140" s="34" t="n">
        <v>119.97</v>
      </c>
      <c r="K140" s="34" t="n">
        <v>2531.45</v>
      </c>
      <c r="L140" s="34" t="n">
        <f aca="false">AVERAGE(C140:E140)</f>
        <v>92.8766666666667</v>
      </c>
      <c r="M140" s="34" t="n">
        <f aca="false">AVERAGE(C140:J140)</f>
        <v>103.41375</v>
      </c>
    </row>
    <row r="141" customFormat="false" ht="15.75" hidden="false" customHeight="true" outlineLevel="0" collapsed="false">
      <c r="A141" s="34" t="s">
        <v>289</v>
      </c>
      <c r="B141" s="34" t="n">
        <v>2638.5</v>
      </c>
      <c r="C141" s="34" t="n">
        <v>-66.67</v>
      </c>
      <c r="D141" s="34" t="n">
        <v>-132.43</v>
      </c>
      <c r="E141" s="34" t="n">
        <v>-74.72</v>
      </c>
      <c r="F141" s="34" t="n">
        <v>-71.46</v>
      </c>
      <c r="G141" s="34" t="n">
        <v>-9.07</v>
      </c>
      <c r="H141" s="34" t="n">
        <v>-0.271</v>
      </c>
      <c r="I141" s="34" t="n">
        <v>13.29</v>
      </c>
      <c r="J141" s="34" t="n">
        <v>-2.64</v>
      </c>
      <c r="K141" s="34" t="n">
        <v>2742.96</v>
      </c>
      <c r="L141" s="34" t="n">
        <f aca="false">AVERAGE(C141:E141)</f>
        <v>-91.2733333333333</v>
      </c>
      <c r="M141" s="34" t="n">
        <f aca="false">AVERAGE(C141:J141)</f>
        <v>-42.996375</v>
      </c>
    </row>
    <row r="142" customFormat="false" ht="15.75" hidden="false" customHeight="true" outlineLevel="0" collapsed="false">
      <c r="A142" s="34" t="s">
        <v>187</v>
      </c>
      <c r="B142" s="34" t="n">
        <v>2629.9</v>
      </c>
      <c r="C142" s="34" t="n">
        <v>-66.67</v>
      </c>
      <c r="D142" s="34" t="n">
        <v>18.61</v>
      </c>
      <c r="E142" s="34" t="n">
        <v>87.93</v>
      </c>
      <c r="F142" s="34" t="n">
        <v>173.03</v>
      </c>
      <c r="G142" s="34" t="n">
        <v>156.51</v>
      </c>
      <c r="H142" s="34" t="n">
        <v>205.91</v>
      </c>
      <c r="I142" s="34" t="n">
        <v>213.8</v>
      </c>
      <c r="J142" s="34" t="n">
        <v>235.15</v>
      </c>
      <c r="K142" s="34" t="n">
        <v>2530.44</v>
      </c>
      <c r="L142" s="34" t="n">
        <f aca="false">AVERAGE(C142:E142)</f>
        <v>13.29</v>
      </c>
      <c r="M142" s="34" t="n">
        <f aca="false">AVERAGE(C142:J142)</f>
        <v>128.03375</v>
      </c>
    </row>
    <row r="143" customFormat="false" ht="15.75" hidden="false" customHeight="true" outlineLevel="0" collapsed="false">
      <c r="A143" s="34" t="s">
        <v>712</v>
      </c>
      <c r="B143" s="34" t="n">
        <v>2622</v>
      </c>
      <c r="C143" s="34" t="n">
        <v>66.67</v>
      </c>
      <c r="D143" s="34" t="n">
        <v>103.63</v>
      </c>
      <c r="E143" s="34" t="n">
        <v>102.58</v>
      </c>
      <c r="F143" s="34" t="n">
        <v>246.33</v>
      </c>
      <c r="G143" s="34" t="n">
        <v>255.88</v>
      </c>
      <c r="H143" s="34" t="n">
        <v>117.01</v>
      </c>
      <c r="I143" s="34" t="n">
        <v>98.67</v>
      </c>
      <c r="J143" s="34" t="n">
        <v>113.46</v>
      </c>
      <c r="K143" s="34" t="n">
        <v>2450.77</v>
      </c>
      <c r="L143" s="34" t="n">
        <f aca="false">AVERAGE(C143:E143)</f>
        <v>90.96</v>
      </c>
      <c r="M143" s="34" t="n">
        <f aca="false">AVERAGE(C143:J143)</f>
        <v>138.02875</v>
      </c>
    </row>
    <row r="144" customFormat="false" ht="15.75" hidden="false" customHeight="true" outlineLevel="0" collapsed="false">
      <c r="A144" s="34" t="s">
        <v>407</v>
      </c>
      <c r="B144" s="34" t="n">
        <v>2606.8</v>
      </c>
      <c r="C144" s="34" t="n">
        <v>66.67</v>
      </c>
      <c r="D144" s="34" t="n">
        <v>96.53</v>
      </c>
      <c r="E144" s="34" t="n">
        <v>200.29</v>
      </c>
      <c r="F144" s="34" t="n">
        <v>52.14</v>
      </c>
      <c r="G144" s="34" t="n">
        <v>90.79</v>
      </c>
      <c r="H144" s="34" t="n">
        <v>98.07</v>
      </c>
      <c r="I144" s="34" t="n">
        <v>113.71</v>
      </c>
      <c r="J144" s="34" t="n">
        <v>114.55</v>
      </c>
      <c r="K144" s="34" t="n">
        <v>2477.61</v>
      </c>
      <c r="L144" s="34" t="n">
        <f aca="false">AVERAGE(C144:E144)</f>
        <v>121.163333333333</v>
      </c>
      <c r="M144" s="34" t="n">
        <f aca="false">AVERAGE(C144:J144)</f>
        <v>104.09375</v>
      </c>
    </row>
    <row r="145" customFormat="false" ht="15.75" hidden="false" customHeight="true" outlineLevel="0" collapsed="false">
      <c r="A145" s="34" t="s">
        <v>713</v>
      </c>
      <c r="B145" s="34" t="n">
        <v>2596</v>
      </c>
      <c r="C145" s="34" t="n">
        <v>-66.67</v>
      </c>
      <c r="D145" s="34" t="n">
        <v>-94.5</v>
      </c>
      <c r="E145" s="34" t="n">
        <v>-140.95</v>
      </c>
      <c r="F145" s="34" t="n">
        <v>-126.47</v>
      </c>
      <c r="G145" s="34" t="n">
        <v>-174.45</v>
      </c>
      <c r="H145" s="34" t="n">
        <v>-140.3</v>
      </c>
      <c r="I145" s="34" t="n">
        <v>-102.4</v>
      </c>
      <c r="J145" s="34" t="n">
        <v>-78.05</v>
      </c>
      <c r="K145" s="34" t="n">
        <v>2739.54</v>
      </c>
      <c r="L145" s="34" t="n">
        <f aca="false">AVERAGE(C145:E145)</f>
        <v>-100.706666666667</v>
      </c>
      <c r="M145" s="34" t="n">
        <f aca="false">AVERAGE(C145:J145)</f>
        <v>-115.47375</v>
      </c>
    </row>
    <row r="146" customFormat="false" ht="15.75" hidden="false" customHeight="true" outlineLevel="0" collapsed="false">
      <c r="A146" s="34" t="s">
        <v>381</v>
      </c>
      <c r="B146" s="34" t="n">
        <v>2590.6</v>
      </c>
      <c r="C146" s="34" t="n">
        <v>66.67</v>
      </c>
      <c r="D146" s="34" t="n">
        <v>108.4</v>
      </c>
      <c r="E146" s="34" t="n">
        <v>122.27</v>
      </c>
      <c r="F146" s="34" t="n">
        <v>-29.98</v>
      </c>
      <c r="G146" s="34" t="n">
        <v>-83.04</v>
      </c>
      <c r="H146" s="34" t="n">
        <v>-20.89</v>
      </c>
      <c r="I146" s="34" t="n">
        <v>26.97</v>
      </c>
      <c r="J146" s="34" t="n">
        <v>40.51</v>
      </c>
      <c r="K146" s="34" t="n">
        <v>2662.13</v>
      </c>
      <c r="L146" s="34" t="n">
        <f aca="false">AVERAGE(C146:E146)</f>
        <v>99.1133333333333</v>
      </c>
      <c r="M146" s="34" t="n">
        <f aca="false">AVERAGE(C146:J146)</f>
        <v>28.86375</v>
      </c>
    </row>
    <row r="147" customFormat="false" ht="15.75" hidden="false" customHeight="true" outlineLevel="0" collapsed="false">
      <c r="A147" s="34" t="s">
        <v>404</v>
      </c>
      <c r="B147" s="34" t="n">
        <v>2552.8</v>
      </c>
      <c r="C147" s="34" t="n">
        <v>-66.67</v>
      </c>
      <c r="D147" s="34" t="n">
        <v>-62.81</v>
      </c>
      <c r="E147" s="34" t="n">
        <v>-14.94</v>
      </c>
      <c r="F147" s="34" t="n">
        <v>-40.01</v>
      </c>
      <c r="G147" s="34" t="n">
        <v>-74.27</v>
      </c>
      <c r="H147" s="34" t="n">
        <v>-5.61</v>
      </c>
      <c r="I147" s="34" t="n">
        <v>28.22</v>
      </c>
      <c r="J147" s="34" t="n">
        <v>44.58</v>
      </c>
      <c r="K147" s="34" t="n">
        <v>2464.88</v>
      </c>
      <c r="L147" s="34" t="n">
        <f aca="false">AVERAGE(C147:E147)</f>
        <v>-48.14</v>
      </c>
      <c r="M147" s="34" t="n">
        <f aca="false">AVERAGE(C147:J147)</f>
        <v>-23.93875</v>
      </c>
    </row>
    <row r="148" customFormat="false" ht="15.75" hidden="false" customHeight="true" outlineLevel="0" collapsed="false">
      <c r="A148" s="34" t="s">
        <v>714</v>
      </c>
      <c r="B148" s="34" t="n">
        <v>2550</v>
      </c>
      <c r="C148" s="34" t="n">
        <v>-66.67</v>
      </c>
      <c r="D148" s="34" t="n">
        <v>-31.91</v>
      </c>
      <c r="E148" s="34" t="n">
        <v>-82.6</v>
      </c>
      <c r="F148" s="34" t="n">
        <v>-175.6</v>
      </c>
      <c r="G148" s="34" t="n">
        <v>-157.72</v>
      </c>
      <c r="H148" s="34" t="n">
        <v>-117.96</v>
      </c>
      <c r="I148" s="34" t="n">
        <v>-64.86</v>
      </c>
      <c r="J148" s="34" t="n">
        <v>-42.67</v>
      </c>
      <c r="K148" s="34" t="n">
        <v>2746.93</v>
      </c>
      <c r="L148" s="34" t="n">
        <f aca="false">AVERAGE(C148:E148)</f>
        <v>-60.3933333333333</v>
      </c>
      <c r="M148" s="34" t="n">
        <f aca="false">AVERAGE(C148:J148)</f>
        <v>-92.49875</v>
      </c>
    </row>
    <row r="149" customFormat="false" ht="15.75" hidden="false" customHeight="true" outlineLevel="0" collapsed="false">
      <c r="A149" s="34" t="s">
        <v>229</v>
      </c>
      <c r="B149" s="34" t="n">
        <v>2518.6</v>
      </c>
      <c r="C149" s="34" t="n">
        <v>-66.67</v>
      </c>
      <c r="D149" s="34" t="n">
        <v>-105.99</v>
      </c>
      <c r="E149" s="34" t="n">
        <v>-96.05</v>
      </c>
      <c r="F149" s="34" t="n">
        <v>-131.52</v>
      </c>
      <c r="G149" s="34" t="n">
        <v>-113.88</v>
      </c>
      <c r="H149" s="34" t="n">
        <v>-66.03</v>
      </c>
      <c r="I149" s="34" t="n">
        <v>-15.72</v>
      </c>
      <c r="J149" s="34" t="n">
        <v>-3.85</v>
      </c>
      <c r="K149" s="34" t="n">
        <v>2718.22</v>
      </c>
      <c r="L149" s="34" t="n">
        <f aca="false">AVERAGE(C149:E149)</f>
        <v>-89.57</v>
      </c>
      <c r="M149" s="34" t="n">
        <f aca="false">AVERAGE(C149:J149)</f>
        <v>-74.96375</v>
      </c>
    </row>
    <row r="150" customFormat="false" ht="15.75" hidden="false" customHeight="true" outlineLevel="0" collapsed="false">
      <c r="A150" s="34" t="s">
        <v>715</v>
      </c>
      <c r="B150" s="34" t="n">
        <v>2512.3</v>
      </c>
      <c r="C150" s="34" t="n">
        <v>66.67</v>
      </c>
      <c r="D150" s="34" t="n">
        <v>-9.29</v>
      </c>
      <c r="E150" s="34" t="n">
        <v>31.5</v>
      </c>
      <c r="F150" s="34" t="n">
        <v>-84.85</v>
      </c>
      <c r="G150" s="34" t="n">
        <v>-113.72</v>
      </c>
      <c r="H150" s="34" t="n">
        <v>-55.84</v>
      </c>
      <c r="I150" s="34" t="n">
        <v>-28.29</v>
      </c>
      <c r="J150" s="34" t="n">
        <v>-15.22</v>
      </c>
      <c r="K150" s="34" t="n">
        <v>2559.24</v>
      </c>
      <c r="L150" s="34" t="n">
        <f aca="false">AVERAGE(C150:E150)</f>
        <v>29.6266666666667</v>
      </c>
      <c r="M150" s="34" t="n">
        <f aca="false">AVERAGE(C150:J150)</f>
        <v>-26.13</v>
      </c>
    </row>
    <row r="151" customFormat="false" ht="15.75" hidden="false" customHeight="true" outlineLevel="0" collapsed="false">
      <c r="A151" s="34" t="s">
        <v>119</v>
      </c>
      <c r="B151" s="34" t="n">
        <v>2504.5</v>
      </c>
      <c r="C151" s="34" t="n">
        <v>-66.67</v>
      </c>
      <c r="D151" s="34" t="n">
        <v>-133.33</v>
      </c>
      <c r="E151" s="34" t="n">
        <v>-4.86</v>
      </c>
      <c r="F151" s="34" t="n">
        <v>86.66</v>
      </c>
      <c r="G151" s="34" t="n">
        <v>111.19</v>
      </c>
      <c r="H151" s="34" t="n">
        <v>125.58</v>
      </c>
      <c r="I151" s="34" t="n">
        <v>142.3</v>
      </c>
      <c r="J151" s="34" t="n">
        <v>160.47</v>
      </c>
      <c r="K151" s="34" t="n">
        <v>2484.28</v>
      </c>
      <c r="L151" s="34" t="n">
        <f aca="false">AVERAGE(C151:E151)</f>
        <v>-68.2866666666667</v>
      </c>
      <c r="M151" s="34" t="n">
        <f aca="false">AVERAGE(C151:J151)</f>
        <v>52.6675</v>
      </c>
    </row>
    <row r="152" customFormat="false" ht="15.75" hidden="false" customHeight="true" outlineLevel="0" collapsed="false">
      <c r="A152" s="34" t="s">
        <v>480</v>
      </c>
      <c r="B152" s="34" t="n">
        <v>2491</v>
      </c>
      <c r="C152" s="34" t="n">
        <v>-66.67</v>
      </c>
      <c r="D152" s="34" t="n">
        <v>-113.4</v>
      </c>
      <c r="E152" s="34" t="n">
        <v>-141.39</v>
      </c>
      <c r="F152" s="34" t="n">
        <v>-51.16</v>
      </c>
      <c r="G152" s="34" t="n">
        <v>15.82</v>
      </c>
      <c r="H152" s="34" t="n">
        <v>53.72</v>
      </c>
      <c r="I152" s="34" t="n">
        <v>71.09</v>
      </c>
      <c r="J152" s="34" t="n">
        <v>44.64</v>
      </c>
      <c r="K152" s="34" t="n">
        <v>2608.63</v>
      </c>
      <c r="L152" s="34" t="n">
        <f aca="false">AVERAGE(C152:E152)</f>
        <v>-107.153333333333</v>
      </c>
      <c r="M152" s="34" t="n">
        <f aca="false">AVERAGE(C152:J152)</f>
        <v>-23.41875</v>
      </c>
    </row>
    <row r="153" customFormat="false" ht="15.75" hidden="false" customHeight="true" outlineLevel="0" collapsed="false">
      <c r="A153" s="34" t="s">
        <v>379</v>
      </c>
      <c r="B153" s="34" t="n">
        <v>2475.3</v>
      </c>
      <c r="C153" s="34" t="n">
        <v>-66.67</v>
      </c>
      <c r="D153" s="34" t="n">
        <v>-5.75</v>
      </c>
      <c r="E153" s="34" t="n">
        <v>54.5</v>
      </c>
      <c r="F153" s="34" t="n">
        <v>144.15</v>
      </c>
      <c r="G153" s="34" t="n">
        <v>100.89</v>
      </c>
      <c r="H153" s="34" t="n">
        <v>-16.33</v>
      </c>
      <c r="I153" s="34" t="n">
        <v>-33.11</v>
      </c>
      <c r="J153" s="34" t="n">
        <v>-32.09</v>
      </c>
      <c r="K153" s="34" t="n">
        <v>2331.71</v>
      </c>
      <c r="L153" s="34" t="n">
        <f aca="false">AVERAGE(C153:E153)</f>
        <v>-5.97333333333333</v>
      </c>
      <c r="M153" s="34" t="n">
        <f aca="false">AVERAGE(C153:J153)</f>
        <v>18.19875</v>
      </c>
    </row>
    <row r="154" customFormat="false" ht="15.75" hidden="false" customHeight="true" outlineLevel="0" collapsed="false">
      <c r="A154" s="34" t="s">
        <v>716</v>
      </c>
      <c r="B154" s="34" t="n">
        <v>2467.8</v>
      </c>
      <c r="C154" s="34" t="n">
        <v>-66.67</v>
      </c>
      <c r="D154" s="34" t="n">
        <v>-133.33</v>
      </c>
      <c r="E154" s="34" t="n">
        <v>-183.69</v>
      </c>
      <c r="F154" s="34" t="n">
        <v>-129.81</v>
      </c>
      <c r="G154" s="34" t="n">
        <v>-142.82</v>
      </c>
      <c r="H154" s="34" t="n">
        <v>-154.9</v>
      </c>
      <c r="I154" s="34" t="n">
        <v>-136.01</v>
      </c>
      <c r="J154" s="34" t="n">
        <v>-79.81</v>
      </c>
      <c r="K154" s="34" t="n">
        <v>2698.09</v>
      </c>
      <c r="L154" s="34" t="n">
        <f aca="false">AVERAGE(C154:E154)</f>
        <v>-127.896666666667</v>
      </c>
      <c r="M154" s="34" t="n">
        <f aca="false">AVERAGE(C154:J154)</f>
        <v>-128.38</v>
      </c>
    </row>
    <row r="155" customFormat="false" ht="15.75" hidden="false" customHeight="true" outlineLevel="0" collapsed="false">
      <c r="A155" s="34" t="s">
        <v>717</v>
      </c>
      <c r="B155" s="34" t="n">
        <v>2427</v>
      </c>
      <c r="C155" s="34" t="n">
        <v>66.67</v>
      </c>
      <c r="D155" s="34" t="n">
        <v>20.39</v>
      </c>
      <c r="E155" s="34" t="n">
        <v>-53.07</v>
      </c>
      <c r="F155" s="34" t="n">
        <v>-27.26</v>
      </c>
      <c r="G155" s="34" t="n">
        <v>26.88</v>
      </c>
      <c r="H155" s="34" t="n">
        <v>58.86</v>
      </c>
      <c r="I155" s="34" t="n">
        <v>63.58</v>
      </c>
      <c r="J155" s="34" t="n">
        <v>76.09</v>
      </c>
      <c r="K155" s="34" t="n">
        <v>2244.18</v>
      </c>
      <c r="L155" s="34" t="n">
        <f aca="false">AVERAGE(C155:E155)</f>
        <v>11.33</v>
      </c>
      <c r="M155" s="34" t="n">
        <f aca="false">AVERAGE(C155:J155)</f>
        <v>29.0175</v>
      </c>
    </row>
    <row r="156" customFormat="false" ht="15.75" hidden="false" customHeight="true" outlineLevel="0" collapsed="false">
      <c r="A156" s="34" t="s">
        <v>327</v>
      </c>
      <c r="B156" s="34" t="n">
        <v>2425</v>
      </c>
      <c r="C156" s="34" t="n">
        <v>-66.67</v>
      </c>
      <c r="D156" s="34" t="n">
        <v>38.47</v>
      </c>
      <c r="E156" s="34" t="n">
        <v>61.25</v>
      </c>
      <c r="F156" s="34" t="n">
        <v>1.07</v>
      </c>
      <c r="G156" s="34" t="n">
        <v>52.57</v>
      </c>
      <c r="H156" s="34" t="n">
        <v>63.15</v>
      </c>
      <c r="I156" s="34" t="n">
        <v>70.99</v>
      </c>
      <c r="J156" s="34" t="n">
        <v>76.22</v>
      </c>
      <c r="K156" s="34" t="n">
        <v>2500.21</v>
      </c>
      <c r="L156" s="34" t="n">
        <f aca="false">AVERAGE(C156:E156)</f>
        <v>11.0166666666667</v>
      </c>
      <c r="M156" s="34" t="n">
        <f aca="false">AVERAGE(C156:J156)</f>
        <v>37.13125</v>
      </c>
    </row>
    <row r="157" customFormat="false" ht="15.75" hidden="false" customHeight="true" outlineLevel="0" collapsed="false">
      <c r="A157" s="34" t="s">
        <v>504</v>
      </c>
      <c r="B157" s="34" t="n">
        <v>2420.2</v>
      </c>
      <c r="C157" s="34" t="n">
        <v>-66.67</v>
      </c>
      <c r="D157" s="34" t="n">
        <v>-2.03</v>
      </c>
      <c r="E157" s="34" t="n">
        <v>83</v>
      </c>
      <c r="F157" s="34" t="n">
        <v>-62.94</v>
      </c>
      <c r="G157" s="34" t="n">
        <v>-123.76</v>
      </c>
      <c r="H157" s="34" t="n">
        <v>-145.42</v>
      </c>
      <c r="I157" s="34" t="n">
        <v>-132.47</v>
      </c>
      <c r="J157" s="34" t="n">
        <v>-128.89</v>
      </c>
      <c r="K157" s="34" t="n">
        <v>2487.47</v>
      </c>
      <c r="L157" s="34" t="n">
        <f aca="false">AVERAGE(C157:E157)</f>
        <v>4.76666666666667</v>
      </c>
      <c r="M157" s="34" t="n">
        <f aca="false">AVERAGE(C157:J157)</f>
        <v>-72.3975</v>
      </c>
    </row>
    <row r="158" customFormat="false" ht="15.75" hidden="false" customHeight="true" outlineLevel="0" collapsed="false">
      <c r="A158" s="34" t="s">
        <v>154</v>
      </c>
      <c r="B158" s="34" t="n">
        <v>2396.1</v>
      </c>
      <c r="C158" s="34" t="n">
        <v>-66.67</v>
      </c>
      <c r="D158" s="34" t="n">
        <v>-120.03</v>
      </c>
      <c r="E158" s="34" t="n">
        <v>-97.29</v>
      </c>
      <c r="F158" s="34" t="n">
        <v>-88.39</v>
      </c>
      <c r="G158" s="34" t="n">
        <v>-79.6</v>
      </c>
      <c r="H158" s="34" t="n">
        <v>-96.47</v>
      </c>
      <c r="I158" s="34" t="n">
        <v>-98.81</v>
      </c>
      <c r="J158" s="34" t="n">
        <v>-110.87</v>
      </c>
      <c r="K158" s="34" t="n">
        <v>2528.72</v>
      </c>
      <c r="L158" s="34" t="n">
        <f aca="false">AVERAGE(C158:E158)</f>
        <v>-94.6633333333333</v>
      </c>
      <c r="M158" s="34" t="n">
        <f aca="false">AVERAGE(C158:J158)</f>
        <v>-94.76625</v>
      </c>
    </row>
    <row r="159" customFormat="false" ht="15.75" hidden="false" customHeight="true" outlineLevel="0" collapsed="false">
      <c r="A159" s="34" t="s">
        <v>584</v>
      </c>
      <c r="B159" s="34" t="n">
        <v>2366.6</v>
      </c>
      <c r="C159" s="34" t="n">
        <v>-66.67</v>
      </c>
      <c r="D159" s="34" t="n">
        <v>-120.55</v>
      </c>
      <c r="E159" s="34" t="n">
        <v>38.55</v>
      </c>
      <c r="F159" s="34" t="n">
        <v>146.14</v>
      </c>
      <c r="G159" s="34" t="n">
        <v>184.02</v>
      </c>
      <c r="H159" s="34" t="n">
        <v>159.51</v>
      </c>
      <c r="I159" s="34" t="n">
        <v>170.09</v>
      </c>
      <c r="J159" s="34" t="n">
        <v>199.05</v>
      </c>
      <c r="K159" s="34" t="n">
        <v>2342.79</v>
      </c>
      <c r="L159" s="34" t="n">
        <f aca="false">AVERAGE(C159:E159)</f>
        <v>-49.5566666666667</v>
      </c>
      <c r="M159" s="34" t="n">
        <f aca="false">AVERAGE(C159:J159)</f>
        <v>88.7675</v>
      </c>
    </row>
    <row r="160" customFormat="false" ht="15.75" hidden="false" customHeight="true" outlineLevel="0" collapsed="false">
      <c r="A160" s="34" t="s">
        <v>718</v>
      </c>
      <c r="B160" s="34" t="n">
        <v>2349</v>
      </c>
      <c r="C160" s="34" t="n">
        <v>-66.67</v>
      </c>
      <c r="D160" s="34" t="n">
        <v>61.6</v>
      </c>
      <c r="E160" s="34" t="n">
        <v>123.31</v>
      </c>
      <c r="F160" s="34" t="n">
        <v>50.44</v>
      </c>
      <c r="G160" s="34" t="n">
        <v>-29.76</v>
      </c>
      <c r="H160" s="34" t="n">
        <v>-36.57</v>
      </c>
      <c r="I160" s="34" t="n">
        <v>-2.99</v>
      </c>
      <c r="J160" s="34" t="n">
        <v>-14.27</v>
      </c>
      <c r="K160" s="34" t="n">
        <v>2123.77</v>
      </c>
      <c r="L160" s="34" t="n">
        <f aca="false">AVERAGE(C160:E160)</f>
        <v>39.4133333333333</v>
      </c>
      <c r="M160" s="34" t="n">
        <f aca="false">AVERAGE(C160:J160)</f>
        <v>10.63625</v>
      </c>
    </row>
    <row r="161" customFormat="false" ht="15.75" hidden="false" customHeight="true" outlineLevel="0" collapsed="false">
      <c r="A161" s="34" t="s">
        <v>719</v>
      </c>
      <c r="B161" s="34" t="n">
        <v>2346.7</v>
      </c>
      <c r="C161" s="34" t="n">
        <v>-66.67</v>
      </c>
      <c r="D161" s="34" t="n">
        <v>-133.33</v>
      </c>
      <c r="E161" s="34" t="n">
        <v>4.44</v>
      </c>
      <c r="F161" s="34" t="n">
        <v>89.57</v>
      </c>
      <c r="G161" s="34" t="n">
        <v>129.08</v>
      </c>
      <c r="H161" s="34" t="n">
        <v>170.64</v>
      </c>
      <c r="I161" s="34" t="n">
        <v>209.62</v>
      </c>
      <c r="J161" s="34" t="n">
        <v>242.32</v>
      </c>
      <c r="K161" s="34" t="n">
        <v>2247.87</v>
      </c>
      <c r="L161" s="34" t="n">
        <f aca="false">AVERAGE(C161:E161)</f>
        <v>-65.1866666666667</v>
      </c>
      <c r="M161" s="34" t="n">
        <f aca="false">AVERAGE(C161:J161)</f>
        <v>80.70875</v>
      </c>
    </row>
    <row r="162" customFormat="false" ht="15.75" hidden="false" customHeight="true" outlineLevel="0" collapsed="false">
      <c r="A162" s="34" t="s">
        <v>720</v>
      </c>
      <c r="B162" s="34" t="n">
        <v>2342.9</v>
      </c>
      <c r="C162" s="34" t="n">
        <v>66.67</v>
      </c>
      <c r="D162" s="34" t="n">
        <v>92.43</v>
      </c>
      <c r="E162" s="34" t="n">
        <v>77</v>
      </c>
      <c r="F162" s="34" t="n">
        <v>101.67</v>
      </c>
      <c r="G162" s="34" t="n">
        <v>141.31</v>
      </c>
      <c r="H162" s="34"/>
      <c r="I162" s="34"/>
      <c r="J162" s="34"/>
      <c r="K162" s="34" t="n">
        <v>2055.77</v>
      </c>
      <c r="L162" s="34" t="n">
        <f aca="false">AVERAGE(C162:E162)</f>
        <v>78.7</v>
      </c>
      <c r="M162" s="34" t="n">
        <f aca="false">AVERAGE(C162:J162)</f>
        <v>95.816</v>
      </c>
    </row>
    <row r="163" customFormat="false" ht="15.75" hidden="false" customHeight="true" outlineLevel="0" collapsed="false">
      <c r="A163" s="34" t="s">
        <v>721</v>
      </c>
      <c r="B163" s="34" t="n">
        <v>2336.5</v>
      </c>
      <c r="C163" s="34" t="n">
        <v>66.67</v>
      </c>
      <c r="D163" s="34" t="n">
        <v>71.51</v>
      </c>
      <c r="E163" s="34" t="n">
        <v>117.04</v>
      </c>
      <c r="F163" s="34" t="n">
        <v>-34.71</v>
      </c>
      <c r="G163" s="34" t="n">
        <v>-21.7</v>
      </c>
      <c r="H163" s="34" t="n">
        <v>18.85</v>
      </c>
      <c r="I163" s="34" t="n">
        <v>36.57</v>
      </c>
      <c r="J163" s="34" t="n">
        <v>34.16</v>
      </c>
      <c r="K163" s="34" t="n">
        <v>2445.44</v>
      </c>
      <c r="L163" s="34" t="n">
        <f aca="false">AVERAGE(C163:E163)</f>
        <v>85.0733333333333</v>
      </c>
      <c r="M163" s="34" t="n">
        <f aca="false">AVERAGE(C163:J163)</f>
        <v>36.04875</v>
      </c>
    </row>
    <row r="164" customFormat="false" ht="15.75" hidden="false" customHeight="true" outlineLevel="0" collapsed="false">
      <c r="A164" s="34" t="s">
        <v>232</v>
      </c>
      <c r="B164" s="34" t="n">
        <v>2332.8</v>
      </c>
      <c r="C164" s="34" t="n">
        <v>-66.67</v>
      </c>
      <c r="D164" s="34" t="n">
        <v>-98.65</v>
      </c>
      <c r="E164" s="34" t="n">
        <v>-136.96</v>
      </c>
      <c r="F164" s="34" t="n">
        <v>-189.47</v>
      </c>
      <c r="G164" s="34" t="n">
        <v>-121.87</v>
      </c>
      <c r="H164" s="34" t="n">
        <v>-61.68</v>
      </c>
      <c r="I164" s="34" t="n">
        <v>11.31</v>
      </c>
      <c r="J164" s="34" t="n">
        <v>25.43</v>
      </c>
      <c r="K164" s="34" t="n">
        <v>2505.39</v>
      </c>
      <c r="L164" s="34" t="n">
        <f aca="false">AVERAGE(C164:E164)</f>
        <v>-100.76</v>
      </c>
      <c r="M164" s="34" t="n">
        <f aca="false">AVERAGE(C164:J164)</f>
        <v>-79.82</v>
      </c>
    </row>
    <row r="165" customFormat="false" ht="15.75" hidden="false" customHeight="true" outlineLevel="0" collapsed="false">
      <c r="A165" s="34" t="s">
        <v>100</v>
      </c>
      <c r="B165" s="34" t="n">
        <v>2324.9</v>
      </c>
      <c r="C165" s="34" t="n">
        <v>-66.67</v>
      </c>
      <c r="D165" s="34" t="n">
        <v>-119.79</v>
      </c>
      <c r="E165" s="34" t="n">
        <v>38.57</v>
      </c>
      <c r="F165" s="34" t="n">
        <v>-54.54</v>
      </c>
      <c r="G165" s="34" t="n">
        <v>-105.48</v>
      </c>
      <c r="H165" s="34" t="n">
        <v>-96.06</v>
      </c>
      <c r="I165" s="34" t="n">
        <v>-48.5</v>
      </c>
      <c r="J165" s="34" t="n">
        <v>-32.34</v>
      </c>
      <c r="K165" s="34" t="n">
        <v>2263.76</v>
      </c>
      <c r="L165" s="34" t="n">
        <f aca="false">AVERAGE(C165:E165)</f>
        <v>-49.2966666666667</v>
      </c>
      <c r="M165" s="34" t="n">
        <f aca="false">AVERAGE(C165:J165)</f>
        <v>-60.60125</v>
      </c>
    </row>
    <row r="166" customFormat="false" ht="15.75" hidden="false" customHeight="true" outlineLevel="0" collapsed="false">
      <c r="A166" s="34" t="s">
        <v>484</v>
      </c>
      <c r="B166" s="34" t="n">
        <v>2322.4</v>
      </c>
      <c r="C166" s="34" t="n">
        <v>66.67</v>
      </c>
      <c r="D166" s="34" t="n">
        <v>118.12</v>
      </c>
      <c r="E166" s="34" t="n">
        <v>230.08</v>
      </c>
      <c r="F166" s="34" t="n">
        <v>131.14</v>
      </c>
      <c r="G166" s="34" t="n">
        <v>176.58</v>
      </c>
      <c r="H166" s="34" t="n">
        <v>165.51</v>
      </c>
      <c r="I166" s="34" t="n">
        <v>159.82</v>
      </c>
      <c r="J166" s="34" t="n">
        <v>158.9</v>
      </c>
      <c r="K166" s="34" t="n">
        <v>2027.42</v>
      </c>
      <c r="L166" s="34" t="n">
        <f aca="false">AVERAGE(C166:E166)</f>
        <v>138.29</v>
      </c>
      <c r="M166" s="34" t="n">
        <f aca="false">AVERAGE(C166:J166)</f>
        <v>150.8525</v>
      </c>
    </row>
    <row r="167" customFormat="false" ht="15.75" hidden="false" customHeight="true" outlineLevel="0" collapsed="false">
      <c r="A167" s="34" t="s">
        <v>200</v>
      </c>
      <c r="B167" s="34" t="n">
        <v>2319.2</v>
      </c>
      <c r="C167" s="34" t="n">
        <v>-66.67</v>
      </c>
      <c r="D167" s="34" t="n">
        <v>-96.82</v>
      </c>
      <c r="E167" s="34" t="n">
        <v>51.42</v>
      </c>
      <c r="F167" s="34" t="n">
        <v>130.3</v>
      </c>
      <c r="G167" s="34" t="n">
        <v>137.08</v>
      </c>
      <c r="H167" s="34" t="n">
        <v>134.99</v>
      </c>
      <c r="I167" s="34" t="n">
        <v>120.39</v>
      </c>
      <c r="J167" s="34" t="n">
        <v>130.45</v>
      </c>
      <c r="K167" s="34" t="n">
        <v>2243.03</v>
      </c>
      <c r="L167" s="34" t="n">
        <f aca="false">AVERAGE(C167:E167)</f>
        <v>-37.3566666666667</v>
      </c>
      <c r="M167" s="34" t="n">
        <f aca="false">AVERAGE(C167:J167)</f>
        <v>67.6425</v>
      </c>
    </row>
    <row r="168" customFormat="false" ht="15.75" hidden="false" customHeight="true" outlineLevel="0" collapsed="false">
      <c r="A168" s="34" t="s">
        <v>722</v>
      </c>
      <c r="B168" s="34" t="n">
        <v>2300</v>
      </c>
      <c r="C168" s="34" t="n">
        <v>66.67</v>
      </c>
      <c r="D168" s="34" t="n">
        <v>78.66</v>
      </c>
      <c r="E168" s="34" t="n">
        <v>163.22</v>
      </c>
      <c r="F168" s="34" t="n">
        <v>0.472</v>
      </c>
      <c r="G168" s="34" t="n">
        <v>-64.51</v>
      </c>
      <c r="H168" s="34" t="n">
        <v>-98.28</v>
      </c>
      <c r="I168" s="34" t="n">
        <v>-101.92</v>
      </c>
      <c r="J168" s="34" t="n">
        <v>-116.61</v>
      </c>
      <c r="K168" s="34" t="n">
        <v>2027.12</v>
      </c>
      <c r="L168" s="34" t="n">
        <f aca="false">AVERAGE(C168:E168)</f>
        <v>102.85</v>
      </c>
      <c r="M168" s="34" t="n">
        <f aca="false">AVERAGE(C168:J168)</f>
        <v>-9.03725</v>
      </c>
    </row>
    <row r="169" customFormat="false" ht="15.75" hidden="false" customHeight="true" outlineLevel="0" collapsed="false">
      <c r="A169" s="34" t="s">
        <v>121</v>
      </c>
      <c r="B169" s="34" t="n">
        <v>2299.3</v>
      </c>
      <c r="C169" s="34" t="n">
        <v>-66.67</v>
      </c>
      <c r="D169" s="34" t="n">
        <v>11.17</v>
      </c>
      <c r="E169" s="34" t="n">
        <v>89.4</v>
      </c>
      <c r="F169" s="34" t="n">
        <v>33.86</v>
      </c>
      <c r="G169" s="34" t="n">
        <v>-30.43</v>
      </c>
      <c r="H169" s="34" t="n">
        <v>-68.93</v>
      </c>
      <c r="I169" s="34" t="n">
        <v>-81.29</v>
      </c>
      <c r="J169" s="34" t="n">
        <v>-88.48</v>
      </c>
      <c r="K169" s="34" t="n">
        <v>2250.73</v>
      </c>
      <c r="L169" s="34" t="n">
        <f aca="false">AVERAGE(C169:E169)</f>
        <v>11.3</v>
      </c>
      <c r="M169" s="34" t="n">
        <f aca="false">AVERAGE(C169:J169)</f>
        <v>-25.17125</v>
      </c>
    </row>
    <row r="170" customFormat="false" ht="15.75" hidden="false" customHeight="true" outlineLevel="0" collapsed="false">
      <c r="A170" s="34" t="s">
        <v>723</v>
      </c>
      <c r="B170" s="34" t="n">
        <v>2287</v>
      </c>
      <c r="C170" s="34" t="n">
        <v>-66.67</v>
      </c>
      <c r="D170" s="34" t="n">
        <v>-133.33</v>
      </c>
      <c r="E170" s="34" t="n">
        <v>-6.95</v>
      </c>
      <c r="F170" s="34" t="n">
        <v>-90.27</v>
      </c>
      <c r="G170" s="34" t="n">
        <v>-161.58</v>
      </c>
      <c r="H170" s="34" t="n">
        <v>-174.2</v>
      </c>
      <c r="I170" s="34" t="n">
        <v>-172.49</v>
      </c>
      <c r="J170" s="34" t="n">
        <v>-190.79</v>
      </c>
      <c r="K170" s="34" t="n">
        <v>2449.05</v>
      </c>
      <c r="L170" s="34" t="n">
        <f aca="false">AVERAGE(C170:E170)</f>
        <v>-68.9833333333333</v>
      </c>
      <c r="M170" s="34" t="n">
        <f aca="false">AVERAGE(C170:J170)</f>
        <v>-124.535</v>
      </c>
    </row>
    <row r="171" customFormat="false" ht="15.75" hidden="false" customHeight="true" outlineLevel="0" collapsed="false">
      <c r="A171" s="34" t="s">
        <v>724</v>
      </c>
      <c r="B171" s="34" t="n">
        <v>2237.1</v>
      </c>
      <c r="C171" s="34" t="n">
        <v>-66.67</v>
      </c>
      <c r="D171" s="34" t="n">
        <v>-133.33</v>
      </c>
      <c r="E171" s="34" t="n">
        <v>-166.49</v>
      </c>
      <c r="F171" s="34" t="n">
        <v>-128.86</v>
      </c>
      <c r="G171" s="34" t="n">
        <v>-123.47</v>
      </c>
      <c r="H171" s="34" t="n">
        <v>-9.82</v>
      </c>
      <c r="I171" s="34" t="n">
        <v>28.52</v>
      </c>
      <c r="J171" s="34" t="n">
        <v>42.79</v>
      </c>
      <c r="K171" s="34" t="n">
        <v>2428.14</v>
      </c>
      <c r="L171" s="34" t="n">
        <f aca="false">AVERAGE(C171:E171)</f>
        <v>-122.163333333333</v>
      </c>
      <c r="M171" s="34" t="n">
        <f aca="false">AVERAGE(C171:J171)</f>
        <v>-69.66625</v>
      </c>
    </row>
    <row r="172" customFormat="false" ht="15.75" hidden="false" customHeight="true" outlineLevel="0" collapsed="false">
      <c r="A172" s="34" t="s">
        <v>725</v>
      </c>
      <c r="B172" s="34" t="n">
        <v>2219.1</v>
      </c>
      <c r="C172" s="34" t="n">
        <v>66.67</v>
      </c>
      <c r="D172" s="34" t="n">
        <v>-25.58</v>
      </c>
      <c r="E172" s="34" t="n">
        <v>-73.92</v>
      </c>
      <c r="F172" s="34" t="n">
        <v>-143.14</v>
      </c>
      <c r="G172" s="34" t="n">
        <v>-172.63</v>
      </c>
      <c r="H172" s="34" t="n">
        <v>-69.94</v>
      </c>
      <c r="I172" s="34" t="n">
        <v>-44.94</v>
      </c>
      <c r="J172" s="34" t="n">
        <v>-54.46</v>
      </c>
      <c r="K172" s="34" t="n">
        <v>2359.63</v>
      </c>
      <c r="L172" s="34" t="n">
        <f aca="false">AVERAGE(C172:E172)</f>
        <v>-10.9433333333333</v>
      </c>
      <c r="M172" s="34" t="n">
        <f aca="false">AVERAGE(C172:J172)</f>
        <v>-64.7425</v>
      </c>
    </row>
    <row r="173" customFormat="false" ht="15.75" hidden="false" customHeight="true" outlineLevel="0" collapsed="false">
      <c r="A173" s="34" t="s">
        <v>726</v>
      </c>
      <c r="B173" s="34" t="n">
        <v>2207</v>
      </c>
      <c r="C173" s="34" t="n">
        <v>66.67</v>
      </c>
      <c r="D173" s="34" t="n">
        <v>72.78</v>
      </c>
      <c r="E173" s="34" t="n">
        <v>-22.44</v>
      </c>
      <c r="F173" s="34" t="n">
        <v>-74.31</v>
      </c>
      <c r="G173" s="34" t="n">
        <v>-114.36</v>
      </c>
      <c r="H173" s="34" t="n">
        <v>-116.68</v>
      </c>
      <c r="I173" s="34" t="n">
        <v>-119.07</v>
      </c>
      <c r="J173" s="34" t="n">
        <v>-112.49</v>
      </c>
      <c r="K173" s="34" t="n">
        <v>2342.16</v>
      </c>
      <c r="L173" s="34" t="n">
        <f aca="false">AVERAGE(C173:E173)</f>
        <v>39.0033333333333</v>
      </c>
      <c r="M173" s="34" t="n">
        <f aca="false">AVERAGE(C173:J173)</f>
        <v>-52.4875</v>
      </c>
    </row>
    <row r="174" customFormat="false" ht="15.75" hidden="false" customHeight="true" outlineLevel="0" collapsed="false">
      <c r="A174" s="34" t="s">
        <v>349</v>
      </c>
      <c r="B174" s="34" t="n">
        <v>2187.5</v>
      </c>
      <c r="C174" s="34" t="n">
        <v>66.67</v>
      </c>
      <c r="D174" s="34" t="n">
        <v>87.43</v>
      </c>
      <c r="E174" s="34" t="n">
        <v>152.59</v>
      </c>
      <c r="F174" s="34" t="n">
        <v>159.66</v>
      </c>
      <c r="G174" s="34" t="n">
        <v>165.97</v>
      </c>
      <c r="H174" s="34" t="n">
        <v>115.49</v>
      </c>
      <c r="I174" s="34" t="n">
        <v>123.17</v>
      </c>
      <c r="J174" s="34" t="n">
        <v>116.34</v>
      </c>
      <c r="K174" s="34" t="n">
        <v>2040.43</v>
      </c>
      <c r="L174" s="34" t="n">
        <f aca="false">AVERAGE(C174:E174)</f>
        <v>102.23</v>
      </c>
      <c r="M174" s="34" t="n">
        <f aca="false">AVERAGE(C174:J174)</f>
        <v>123.415</v>
      </c>
    </row>
    <row r="175" customFormat="false" ht="15.75" hidden="false" customHeight="true" outlineLevel="0" collapsed="false">
      <c r="A175" s="34" t="s">
        <v>105</v>
      </c>
      <c r="B175" s="34" t="n">
        <v>2163</v>
      </c>
      <c r="C175" s="34" t="n">
        <v>66.67</v>
      </c>
      <c r="D175" s="34" t="n">
        <v>43.96</v>
      </c>
      <c r="E175" s="34" t="n">
        <v>73.76</v>
      </c>
      <c r="F175" s="34" t="n">
        <v>140.66</v>
      </c>
      <c r="G175" s="34" t="n">
        <v>124.32</v>
      </c>
      <c r="H175" s="34" t="n">
        <v>156.14</v>
      </c>
      <c r="I175" s="34" t="n">
        <v>188.41</v>
      </c>
      <c r="J175" s="34" t="n">
        <v>208.41</v>
      </c>
      <c r="K175" s="34" t="n">
        <v>2032.73</v>
      </c>
      <c r="L175" s="34" t="n">
        <f aca="false">AVERAGE(C175:E175)</f>
        <v>61.4633333333333</v>
      </c>
      <c r="M175" s="34" t="n">
        <f aca="false">AVERAGE(C175:J175)</f>
        <v>125.29125</v>
      </c>
    </row>
    <row r="176" customFormat="false" ht="15.75" hidden="false" customHeight="true" outlineLevel="0" collapsed="false">
      <c r="A176" s="34" t="s">
        <v>294</v>
      </c>
      <c r="B176" s="34" t="n">
        <v>2150</v>
      </c>
      <c r="C176" s="34" t="n">
        <v>-66.67</v>
      </c>
      <c r="D176" s="34" t="n">
        <v>52.96</v>
      </c>
      <c r="E176" s="34" t="n">
        <v>123.54</v>
      </c>
      <c r="F176" s="34" t="n">
        <v>-49.62</v>
      </c>
      <c r="G176" s="34" t="n">
        <v>-10.37</v>
      </c>
      <c r="H176" s="34" t="n">
        <v>37.56</v>
      </c>
      <c r="I176" s="34" t="n">
        <v>60.89</v>
      </c>
      <c r="J176" s="34" t="n">
        <v>77.11</v>
      </c>
      <c r="K176" s="34" t="n">
        <v>2224.76</v>
      </c>
      <c r="L176" s="34" t="n">
        <f aca="false">AVERAGE(C176:E176)</f>
        <v>36.61</v>
      </c>
      <c r="M176" s="34" t="n">
        <f aca="false">AVERAGE(C176:J176)</f>
        <v>28.175</v>
      </c>
    </row>
    <row r="177" customFormat="false" ht="15.75" hidden="false" customHeight="true" outlineLevel="0" collapsed="false">
      <c r="A177" s="34" t="s">
        <v>727</v>
      </c>
      <c r="B177" s="34" t="n">
        <v>2115.6</v>
      </c>
      <c r="C177" s="34" t="n">
        <v>66.67</v>
      </c>
      <c r="D177" s="34" t="n">
        <v>81.85</v>
      </c>
      <c r="E177" s="34" t="n">
        <v>156.3</v>
      </c>
      <c r="F177" s="34" t="n">
        <v>219.8</v>
      </c>
      <c r="G177" s="34" t="n">
        <v>358.47</v>
      </c>
      <c r="H177" s="34" t="n">
        <v>191.27</v>
      </c>
      <c r="I177" s="34" t="n">
        <v>184.1</v>
      </c>
      <c r="J177" s="34" t="n">
        <v>180.13</v>
      </c>
      <c r="K177" s="34" t="n">
        <v>2015.28</v>
      </c>
      <c r="L177" s="34" t="n">
        <f aca="false">AVERAGE(C177:E177)</f>
        <v>101.606666666667</v>
      </c>
      <c r="M177" s="34" t="n">
        <f aca="false">AVERAGE(C177:J177)</f>
        <v>179.82375</v>
      </c>
    </row>
    <row r="178" customFormat="false" ht="15.75" hidden="false" customHeight="true" outlineLevel="0" collapsed="false">
      <c r="A178" s="34" t="s">
        <v>728</v>
      </c>
      <c r="B178" s="34" t="n">
        <v>2103.4</v>
      </c>
      <c r="C178" s="34" t="n">
        <v>66.67</v>
      </c>
      <c r="D178" s="34" t="n">
        <v>101.39</v>
      </c>
      <c r="E178" s="34" t="n">
        <v>151.35</v>
      </c>
      <c r="F178" s="34" t="n">
        <v>240.81</v>
      </c>
      <c r="G178" s="34" t="n">
        <v>243.03</v>
      </c>
      <c r="H178" s="34" t="n">
        <v>254.55</v>
      </c>
      <c r="I178" s="34" t="n">
        <v>240.83</v>
      </c>
      <c r="J178" s="34" t="n">
        <v>239.66</v>
      </c>
      <c r="K178" s="34" t="n">
        <v>1862.36</v>
      </c>
      <c r="L178" s="34" t="n">
        <f aca="false">AVERAGE(C178:E178)</f>
        <v>106.47</v>
      </c>
      <c r="M178" s="34" t="n">
        <f aca="false">AVERAGE(C178:J178)</f>
        <v>192.28625</v>
      </c>
    </row>
    <row r="179" customFormat="false" ht="15.75" hidden="false" customHeight="true" outlineLevel="0" collapsed="false">
      <c r="A179" s="34" t="s">
        <v>729</v>
      </c>
      <c r="B179" s="34" t="n">
        <v>2101.9</v>
      </c>
      <c r="C179" s="34" t="n">
        <v>66.67</v>
      </c>
      <c r="D179" s="34" t="n">
        <v>81.57</v>
      </c>
      <c r="E179" s="34" t="n">
        <v>177.02</v>
      </c>
      <c r="F179" s="34" t="n">
        <v>88.91</v>
      </c>
      <c r="G179" s="34" t="n">
        <v>65.66</v>
      </c>
      <c r="H179" s="34" t="n">
        <v>73.59</v>
      </c>
      <c r="I179" s="34" t="n">
        <v>71.32</v>
      </c>
      <c r="J179" s="34" t="n">
        <v>56.92</v>
      </c>
      <c r="K179" s="34" t="n">
        <v>1984.01</v>
      </c>
      <c r="L179" s="34" t="n">
        <f aca="false">AVERAGE(C179:E179)</f>
        <v>108.42</v>
      </c>
      <c r="M179" s="34" t="n">
        <f aca="false">AVERAGE(C179:J179)</f>
        <v>85.2075</v>
      </c>
    </row>
    <row r="180" customFormat="false" ht="15.75" hidden="false" customHeight="true" outlineLevel="0" collapsed="false">
      <c r="A180" s="34" t="s">
        <v>494</v>
      </c>
      <c r="B180" s="34" t="n">
        <v>2070.6</v>
      </c>
      <c r="C180" s="34" t="n">
        <v>66.67</v>
      </c>
      <c r="D180" s="34" t="n">
        <v>122.36</v>
      </c>
      <c r="E180" s="34" t="n">
        <v>186.48</v>
      </c>
      <c r="F180" s="34" t="n">
        <v>23.57</v>
      </c>
      <c r="G180" s="34" t="n">
        <v>-41.85</v>
      </c>
      <c r="H180" s="34" t="n">
        <v>-75.56</v>
      </c>
      <c r="I180" s="34" t="n">
        <v>-82.5</v>
      </c>
      <c r="J180" s="34" t="n">
        <v>-92.61</v>
      </c>
      <c r="K180" s="34" t="n">
        <v>1883.17</v>
      </c>
      <c r="L180" s="34" t="n">
        <f aca="false">AVERAGE(C180:E180)</f>
        <v>125.17</v>
      </c>
      <c r="M180" s="34" t="n">
        <f aca="false">AVERAGE(C180:J180)</f>
        <v>13.32</v>
      </c>
    </row>
    <row r="181" customFormat="false" ht="15.75" hidden="false" customHeight="true" outlineLevel="0" collapsed="false">
      <c r="A181" s="34" t="s">
        <v>730</v>
      </c>
      <c r="B181" s="34" t="n">
        <v>2066</v>
      </c>
      <c r="C181" s="34" t="n">
        <v>-66.67</v>
      </c>
      <c r="D181" s="34" t="n">
        <v>-86.31</v>
      </c>
      <c r="E181" s="34" t="n">
        <v>71.76</v>
      </c>
      <c r="F181" s="34" t="n">
        <v>110.87</v>
      </c>
      <c r="G181" s="34" t="n">
        <v>152.62</v>
      </c>
      <c r="H181" s="34" t="n">
        <v>99.91</v>
      </c>
      <c r="I181" s="34" t="n">
        <v>105.79</v>
      </c>
      <c r="J181" s="34" t="n">
        <v>122.88</v>
      </c>
      <c r="K181" s="34" t="n">
        <v>1939.64</v>
      </c>
      <c r="L181" s="34" t="n">
        <f aca="false">AVERAGE(C181:E181)</f>
        <v>-27.0733333333333</v>
      </c>
      <c r="M181" s="34" t="n">
        <f aca="false">AVERAGE(C181:J181)</f>
        <v>63.85625</v>
      </c>
    </row>
    <row r="182" customFormat="false" ht="15.75" hidden="false" customHeight="true" outlineLevel="0" collapsed="false">
      <c r="A182" s="34" t="s">
        <v>165</v>
      </c>
      <c r="B182" s="34" t="n">
        <v>2052.9</v>
      </c>
      <c r="C182" s="34" t="n">
        <v>-66.67</v>
      </c>
      <c r="D182" s="34" t="n">
        <v>52.04</v>
      </c>
      <c r="E182" s="34" t="n">
        <v>120.19</v>
      </c>
      <c r="F182" s="34" t="n">
        <v>-48.94</v>
      </c>
      <c r="G182" s="34" t="n">
        <v>-100.4</v>
      </c>
      <c r="H182" s="34" t="n">
        <v>-86.62</v>
      </c>
      <c r="I182" s="34" t="n">
        <v>-62.22</v>
      </c>
      <c r="J182" s="34" t="n">
        <v>-61.81</v>
      </c>
      <c r="K182" s="34" t="n">
        <v>2065.71</v>
      </c>
      <c r="L182" s="34" t="n">
        <f aca="false">AVERAGE(C182:E182)</f>
        <v>35.1866666666667</v>
      </c>
      <c r="M182" s="34" t="n">
        <f aca="false">AVERAGE(C182:J182)</f>
        <v>-31.80375</v>
      </c>
    </row>
    <row r="183" customFormat="false" ht="15.75" hidden="false" customHeight="true" outlineLevel="0" collapsed="false">
      <c r="A183" s="34" t="s">
        <v>731</v>
      </c>
      <c r="B183" s="34" t="n">
        <v>2044.9</v>
      </c>
      <c r="C183" s="34" t="n">
        <v>-66.67</v>
      </c>
      <c r="D183" s="34" t="n">
        <v>-77.63</v>
      </c>
      <c r="E183" s="34" t="n">
        <v>-100.86</v>
      </c>
      <c r="F183" s="34" t="n">
        <v>-185.36</v>
      </c>
      <c r="G183" s="34" t="n">
        <v>-183.47</v>
      </c>
      <c r="H183" s="34" t="n">
        <v>-13.12</v>
      </c>
      <c r="I183" s="34" t="n">
        <v>23.43</v>
      </c>
      <c r="J183" s="34" t="n">
        <v>39.42</v>
      </c>
      <c r="K183" s="34" t="n">
        <v>2209.78</v>
      </c>
      <c r="L183" s="34" t="n">
        <f aca="false">AVERAGE(C183:E183)</f>
        <v>-81.72</v>
      </c>
      <c r="M183" s="34" t="n">
        <f aca="false">AVERAGE(C183:J183)</f>
        <v>-70.5325</v>
      </c>
    </row>
    <row r="184" customFormat="false" ht="15.75" hidden="false" customHeight="true" outlineLevel="0" collapsed="false">
      <c r="A184" s="34" t="s">
        <v>732</v>
      </c>
      <c r="B184" s="34" t="n">
        <v>2016.9</v>
      </c>
      <c r="C184" s="34" t="n">
        <v>66.67</v>
      </c>
      <c r="D184" s="34" t="n">
        <v>-39.74</v>
      </c>
      <c r="E184" s="34" t="n">
        <v>-77.98</v>
      </c>
      <c r="F184" s="34" t="n">
        <v>-89.12</v>
      </c>
      <c r="G184" s="34" t="n">
        <v>-133.17</v>
      </c>
      <c r="H184" s="34" t="n">
        <v>-106.95</v>
      </c>
      <c r="I184" s="34" t="n">
        <v>-70.26</v>
      </c>
      <c r="J184" s="34" t="n">
        <v>-72.5</v>
      </c>
      <c r="K184" s="34" t="n">
        <v>2108.91</v>
      </c>
      <c r="L184" s="34" t="n">
        <f aca="false">AVERAGE(C184:E184)</f>
        <v>-17.0166666666667</v>
      </c>
      <c r="M184" s="34" t="n">
        <f aca="false">AVERAGE(C184:J184)</f>
        <v>-65.38125</v>
      </c>
    </row>
    <row r="185" customFormat="false" ht="15.75" hidden="false" customHeight="true" outlineLevel="0" collapsed="false">
      <c r="A185" s="34" t="s">
        <v>733</v>
      </c>
      <c r="B185" s="34" t="n">
        <v>2015</v>
      </c>
      <c r="C185" s="34" t="n">
        <v>-66.67</v>
      </c>
      <c r="D185" s="34" t="n">
        <v>26.59</v>
      </c>
      <c r="E185" s="34" t="n">
        <v>94.4</v>
      </c>
      <c r="F185" s="34" t="n">
        <v>82.15</v>
      </c>
      <c r="G185" s="34" t="n">
        <v>139.46</v>
      </c>
      <c r="H185" s="34" t="n">
        <v>172.57</v>
      </c>
      <c r="I185" s="34" t="n">
        <v>124.92</v>
      </c>
      <c r="J185" s="34" t="n">
        <v>104.69</v>
      </c>
      <c r="K185" s="34" t="n">
        <v>2110.91</v>
      </c>
      <c r="L185" s="34" t="n">
        <f aca="false">AVERAGE(C185:E185)</f>
        <v>18.1066666666667</v>
      </c>
      <c r="M185" s="34" t="n">
        <f aca="false">AVERAGE(C185:J185)</f>
        <v>84.76375</v>
      </c>
    </row>
    <row r="186" customFormat="false" ht="15.75" hidden="false" customHeight="true" outlineLevel="0" collapsed="false">
      <c r="A186" s="34" t="s">
        <v>734</v>
      </c>
      <c r="B186" s="34" t="n">
        <v>1998.3</v>
      </c>
      <c r="C186" s="34" t="n">
        <v>-66.67</v>
      </c>
      <c r="D186" s="34" t="n">
        <v>-105.19</v>
      </c>
      <c r="E186" s="34" t="n">
        <v>46.33</v>
      </c>
      <c r="F186" s="34" t="n">
        <v>-44.93</v>
      </c>
      <c r="G186" s="34" t="n">
        <v>-17.87</v>
      </c>
      <c r="H186" s="34" t="n">
        <v>37.71</v>
      </c>
      <c r="I186" s="34" t="n">
        <v>56.05</v>
      </c>
      <c r="J186" s="34" t="n">
        <v>69.37</v>
      </c>
      <c r="K186" s="34" t="n">
        <v>2062.41</v>
      </c>
      <c r="L186" s="34" t="n">
        <f aca="false">AVERAGE(C186:E186)</f>
        <v>-41.8433333333333</v>
      </c>
      <c r="M186" s="34" t="n">
        <f aca="false">AVERAGE(C186:J186)</f>
        <v>-3.15</v>
      </c>
    </row>
    <row r="187" customFormat="false" ht="15.75" hidden="false" customHeight="true" outlineLevel="0" collapsed="false">
      <c r="A187" s="34" t="s">
        <v>58</v>
      </c>
      <c r="B187" s="34" t="n">
        <v>1986.6</v>
      </c>
      <c r="C187" s="34" t="n">
        <v>-66.67</v>
      </c>
      <c r="D187" s="34" t="n">
        <v>-133.33</v>
      </c>
      <c r="E187" s="34" t="n">
        <v>2.63</v>
      </c>
      <c r="F187" s="34" t="n">
        <v>-49.08</v>
      </c>
      <c r="G187" s="34" t="n">
        <v>-90.04</v>
      </c>
      <c r="H187" s="34" t="n">
        <v>-116.19</v>
      </c>
      <c r="I187" s="34" t="n">
        <v>-87.35</v>
      </c>
      <c r="J187" s="34" t="n">
        <v>-44.41</v>
      </c>
      <c r="K187" s="34" t="n">
        <v>2054.16</v>
      </c>
      <c r="L187" s="34" t="n">
        <f aca="false">AVERAGE(C187:E187)</f>
        <v>-65.79</v>
      </c>
      <c r="M187" s="34" t="n">
        <f aca="false">AVERAGE(C187:J187)</f>
        <v>-73.055</v>
      </c>
    </row>
    <row r="188" customFormat="false" ht="15.75" hidden="false" customHeight="true" outlineLevel="0" collapsed="false">
      <c r="A188" s="34" t="s">
        <v>146</v>
      </c>
      <c r="B188" s="34" t="n">
        <v>1974.7</v>
      </c>
      <c r="C188" s="34" t="n">
        <v>66.67</v>
      </c>
      <c r="D188" s="34" t="n">
        <v>65.82</v>
      </c>
      <c r="E188" s="34" t="n">
        <v>59.81</v>
      </c>
      <c r="F188" s="34" t="n">
        <v>95.47</v>
      </c>
      <c r="G188" s="34" t="n">
        <v>61.42</v>
      </c>
      <c r="H188" s="34" t="n">
        <v>-5.39</v>
      </c>
      <c r="I188" s="34" t="n">
        <v>-14.35</v>
      </c>
      <c r="J188" s="34" t="n">
        <v>-30.45</v>
      </c>
      <c r="K188" s="34" t="n">
        <v>1888.79</v>
      </c>
      <c r="L188" s="34" t="n">
        <f aca="false">AVERAGE(C188:E188)</f>
        <v>64.1</v>
      </c>
      <c r="M188" s="34" t="n">
        <f aca="false">AVERAGE(C188:J188)</f>
        <v>37.375</v>
      </c>
    </row>
    <row r="189" customFormat="false" ht="15.75" hidden="false" customHeight="true" outlineLevel="0" collapsed="false">
      <c r="A189" s="34" t="s">
        <v>136</v>
      </c>
      <c r="B189" s="34" t="n">
        <v>1965.9</v>
      </c>
      <c r="C189" s="34" t="n">
        <v>-66.67</v>
      </c>
      <c r="D189" s="34" t="n">
        <v>-35.48</v>
      </c>
      <c r="E189" s="34" t="n">
        <v>50.52</v>
      </c>
      <c r="F189" s="34" t="n">
        <v>-11.36</v>
      </c>
      <c r="G189" s="34" t="n">
        <v>-46.61</v>
      </c>
      <c r="H189" s="34" t="n">
        <v>-71.04</v>
      </c>
      <c r="I189" s="34" t="n">
        <v>-7.1</v>
      </c>
      <c r="J189" s="34" t="n">
        <v>24.29</v>
      </c>
      <c r="K189" s="34" t="n">
        <v>1908.18</v>
      </c>
      <c r="L189" s="34" t="n">
        <f aca="false">AVERAGE(C189:E189)</f>
        <v>-17.21</v>
      </c>
      <c r="M189" s="34" t="n">
        <f aca="false">AVERAGE(C189:J189)</f>
        <v>-20.43125</v>
      </c>
    </row>
    <row r="190" customFormat="false" ht="15.75" hidden="false" customHeight="true" outlineLevel="0" collapsed="false">
      <c r="A190" s="34" t="s">
        <v>59</v>
      </c>
      <c r="B190" s="34" t="n">
        <v>1964.6</v>
      </c>
      <c r="C190" s="34" t="n">
        <v>-66.67</v>
      </c>
      <c r="D190" s="34" t="n">
        <v>-133.33</v>
      </c>
      <c r="E190" s="34" t="n">
        <v>-128.01</v>
      </c>
      <c r="F190" s="34" t="n">
        <v>-115.21</v>
      </c>
      <c r="G190" s="34" t="n">
        <v>-26.28</v>
      </c>
      <c r="H190" s="34" t="n">
        <v>19.94</v>
      </c>
      <c r="I190" s="34" t="n">
        <v>52.08</v>
      </c>
      <c r="J190" s="34" t="n">
        <v>61.13</v>
      </c>
      <c r="K190" s="34" t="n">
        <v>2026.06</v>
      </c>
      <c r="L190" s="34" t="n">
        <f aca="false">AVERAGE(C190:E190)</f>
        <v>-109.336666666667</v>
      </c>
      <c r="M190" s="34" t="n">
        <f aca="false">AVERAGE(C190:J190)</f>
        <v>-42.04375</v>
      </c>
    </row>
    <row r="191" customFormat="false" ht="15.75" hidden="false" customHeight="true" outlineLevel="0" collapsed="false">
      <c r="A191" s="34" t="s">
        <v>356</v>
      </c>
      <c r="B191" s="34" t="n">
        <v>1957.4</v>
      </c>
      <c r="C191" s="34" t="n">
        <v>-66.67</v>
      </c>
      <c r="D191" s="34" t="n">
        <v>19.05</v>
      </c>
      <c r="E191" s="34" t="n">
        <v>-21.95</v>
      </c>
      <c r="F191" s="34" t="n">
        <v>-52.47</v>
      </c>
      <c r="G191" s="34" t="n">
        <v>47.13</v>
      </c>
      <c r="H191" s="34" t="n">
        <v>72.48</v>
      </c>
      <c r="I191" s="34" t="n">
        <v>93.91</v>
      </c>
      <c r="J191" s="34" t="n">
        <v>114.05</v>
      </c>
      <c r="K191" s="34" t="n">
        <v>2045.04</v>
      </c>
      <c r="L191" s="34" t="n">
        <f aca="false">AVERAGE(C191:E191)</f>
        <v>-23.19</v>
      </c>
      <c r="M191" s="34" t="n">
        <f aca="false">AVERAGE(C191:J191)</f>
        <v>25.69125</v>
      </c>
    </row>
    <row r="192" customFormat="false" ht="15.75" hidden="false" customHeight="true" outlineLevel="0" collapsed="false">
      <c r="A192" s="34" t="s">
        <v>735</v>
      </c>
      <c r="B192" s="34" t="n">
        <v>1949.1</v>
      </c>
      <c r="C192" s="34" t="n">
        <v>-66.67</v>
      </c>
      <c r="D192" s="34" t="n">
        <v>48.94</v>
      </c>
      <c r="E192" s="34" t="n">
        <v>97.14</v>
      </c>
      <c r="F192" s="34" t="n">
        <v>191.33</v>
      </c>
      <c r="G192" s="34" t="n">
        <v>250.91</v>
      </c>
      <c r="H192" s="34" t="n">
        <v>203.63</v>
      </c>
      <c r="I192" s="34" t="n">
        <v>220.51</v>
      </c>
      <c r="J192" s="34" t="n">
        <v>139.55</v>
      </c>
      <c r="K192" s="34" t="n">
        <v>1770.14</v>
      </c>
      <c r="L192" s="34" t="n">
        <f aca="false">AVERAGE(C192:E192)</f>
        <v>26.47</v>
      </c>
      <c r="M192" s="34" t="n">
        <f aca="false">AVERAGE(C192:J192)</f>
        <v>135.6675</v>
      </c>
    </row>
    <row r="193" customFormat="false" ht="15.75" hidden="false" customHeight="true" outlineLevel="0" collapsed="false">
      <c r="A193" s="34" t="s">
        <v>288</v>
      </c>
      <c r="B193" s="34" t="n">
        <v>1948.4</v>
      </c>
      <c r="C193" s="34" t="n">
        <v>-66.67</v>
      </c>
      <c r="D193" s="34" t="n">
        <v>-131.57</v>
      </c>
      <c r="E193" s="34" t="n">
        <v>-97.45</v>
      </c>
      <c r="F193" s="34" t="n">
        <v>4.37</v>
      </c>
      <c r="G193" s="34" t="n">
        <v>18.27</v>
      </c>
      <c r="H193" s="34" t="n">
        <v>54.12</v>
      </c>
      <c r="I193" s="34" t="n">
        <v>71.39</v>
      </c>
      <c r="J193" s="34" t="n">
        <v>87.53</v>
      </c>
      <c r="K193" s="34" t="n">
        <v>1876.94</v>
      </c>
      <c r="L193" s="34" t="n">
        <f aca="false">AVERAGE(C193:E193)</f>
        <v>-98.5633333333333</v>
      </c>
      <c r="M193" s="34" t="n">
        <f aca="false">AVERAGE(C193:J193)</f>
        <v>-7.50125</v>
      </c>
    </row>
    <row r="194" customFormat="false" ht="15.75" hidden="false" customHeight="true" outlineLevel="0" collapsed="false">
      <c r="A194" s="34" t="s">
        <v>471</v>
      </c>
      <c r="B194" s="34" t="n">
        <v>1943.1</v>
      </c>
      <c r="C194" s="34" t="n">
        <v>-66.67</v>
      </c>
      <c r="D194" s="34" t="n">
        <v>2.65</v>
      </c>
      <c r="E194" s="34" t="n">
        <v>84.52</v>
      </c>
      <c r="F194" s="34" t="n">
        <v>-22.7</v>
      </c>
      <c r="G194" s="34" t="n">
        <v>-13.83</v>
      </c>
      <c r="H194" s="34" t="n">
        <v>16.12</v>
      </c>
      <c r="I194" s="34" t="n">
        <v>45.08</v>
      </c>
      <c r="J194" s="34" t="n">
        <v>51.24</v>
      </c>
      <c r="K194" s="34" t="n">
        <v>2017.06</v>
      </c>
      <c r="L194" s="34" t="n">
        <f aca="false">AVERAGE(C194:E194)</f>
        <v>6.83333333333333</v>
      </c>
      <c r="M194" s="34" t="n">
        <f aca="false">AVERAGE(C194:J194)</f>
        <v>12.05125</v>
      </c>
    </row>
    <row r="195" customFormat="false" ht="15.75" hidden="false" customHeight="true" outlineLevel="0" collapsed="false">
      <c r="A195" s="34" t="s">
        <v>95</v>
      </c>
      <c r="B195" s="34" t="n">
        <v>1937.3</v>
      </c>
      <c r="C195" s="34" t="n">
        <v>66.67</v>
      </c>
      <c r="D195" s="34" t="n">
        <v>15.47</v>
      </c>
      <c r="E195" s="34" t="n">
        <v>-78.34</v>
      </c>
      <c r="F195" s="34" t="n">
        <v>-128.41</v>
      </c>
      <c r="G195" s="34" t="n">
        <v>17.79</v>
      </c>
      <c r="H195" s="34" t="n">
        <v>54.84</v>
      </c>
      <c r="I195" s="34" t="n">
        <v>77.34</v>
      </c>
      <c r="J195" s="34" t="n">
        <v>96.93</v>
      </c>
      <c r="K195" s="34" t="n">
        <v>2041.43</v>
      </c>
      <c r="L195" s="34" t="n">
        <f aca="false">AVERAGE(C195:E195)</f>
        <v>1.26666666666667</v>
      </c>
      <c r="M195" s="34" t="n">
        <f aca="false">AVERAGE(C195:J195)</f>
        <v>15.28625</v>
      </c>
    </row>
    <row r="196" customFormat="false" ht="15.75" hidden="false" customHeight="true" outlineLevel="0" collapsed="false">
      <c r="A196" s="34" t="s">
        <v>123</v>
      </c>
      <c r="B196" s="34" t="n">
        <v>1933.3</v>
      </c>
      <c r="C196" s="34" t="n">
        <v>-66.67</v>
      </c>
      <c r="D196" s="34" t="n">
        <v>36.39</v>
      </c>
      <c r="E196" s="34" t="n">
        <v>92.69</v>
      </c>
      <c r="F196" s="34" t="n">
        <v>66.34</v>
      </c>
      <c r="G196" s="34" t="n">
        <v>19.35</v>
      </c>
      <c r="H196" s="34" t="n">
        <v>51.32</v>
      </c>
      <c r="I196" s="34" t="n">
        <v>71.62</v>
      </c>
      <c r="J196" s="34" t="n">
        <v>77.56</v>
      </c>
      <c r="K196" s="34" t="n">
        <v>1871.25</v>
      </c>
      <c r="L196" s="34" t="n">
        <f aca="false">AVERAGE(C196:E196)</f>
        <v>20.8033333333333</v>
      </c>
      <c r="M196" s="34" t="n">
        <f aca="false">AVERAGE(C196:J196)</f>
        <v>43.575</v>
      </c>
    </row>
    <row r="197" customFormat="false" ht="15.75" hidden="false" customHeight="true" outlineLevel="0" collapsed="false">
      <c r="A197" s="34" t="s">
        <v>736</v>
      </c>
      <c r="B197" s="34" t="n">
        <v>1928.2</v>
      </c>
      <c r="C197" s="34" t="n">
        <v>-66.67</v>
      </c>
      <c r="D197" s="34" t="n">
        <v>-52.1</v>
      </c>
      <c r="E197" s="34" t="n">
        <v>-57.74</v>
      </c>
      <c r="F197" s="34" t="n">
        <v>-140.53</v>
      </c>
      <c r="G197" s="34" t="n">
        <v>-39.09</v>
      </c>
      <c r="H197" s="34" t="n">
        <v>-22.19</v>
      </c>
      <c r="I197" s="34" t="n">
        <v>4.5</v>
      </c>
      <c r="J197" s="34" t="n">
        <v>19.71</v>
      </c>
      <c r="K197" s="34" t="n">
        <v>2147.68</v>
      </c>
      <c r="L197" s="34" t="n">
        <f aca="false">AVERAGE(C197:E197)</f>
        <v>-58.8366666666667</v>
      </c>
      <c r="M197" s="34" t="n">
        <f aca="false">AVERAGE(C197:J197)</f>
        <v>-44.26375</v>
      </c>
    </row>
    <row r="198" customFormat="false" ht="15.75" hidden="false" customHeight="true" outlineLevel="0" collapsed="false">
      <c r="A198" s="34" t="s">
        <v>287</v>
      </c>
      <c r="B198" s="34" t="n">
        <v>1917.4</v>
      </c>
      <c r="C198" s="34" t="n">
        <v>66.67</v>
      </c>
      <c r="D198" s="34" t="n">
        <v>-37.12</v>
      </c>
      <c r="E198" s="34" t="n">
        <v>64.95</v>
      </c>
      <c r="F198" s="34" t="n">
        <v>130.95</v>
      </c>
      <c r="G198" s="34" t="n">
        <v>134.86</v>
      </c>
      <c r="H198" s="34" t="n">
        <v>119.54</v>
      </c>
      <c r="I198" s="34" t="n">
        <v>42.15</v>
      </c>
      <c r="J198" s="34" t="n">
        <v>36.45</v>
      </c>
      <c r="K198" s="34" t="n">
        <v>1828.89</v>
      </c>
      <c r="L198" s="34" t="n">
        <f aca="false">AVERAGE(C198:E198)</f>
        <v>31.5</v>
      </c>
      <c r="M198" s="34" t="n">
        <f aca="false">AVERAGE(C198:J198)</f>
        <v>69.80625</v>
      </c>
    </row>
    <row r="199" customFormat="false" ht="15.75" hidden="false" customHeight="true" outlineLevel="0" collapsed="false">
      <c r="A199" s="34" t="s">
        <v>211</v>
      </c>
      <c r="B199" s="34" t="n">
        <v>1911.2</v>
      </c>
      <c r="C199" s="34" t="n">
        <v>-66.67</v>
      </c>
      <c r="D199" s="34" t="n">
        <v>10.69</v>
      </c>
      <c r="E199" s="34" t="n">
        <v>77.19</v>
      </c>
      <c r="F199" s="34" t="n">
        <v>161.05</v>
      </c>
      <c r="G199" s="34" t="n">
        <v>121.26</v>
      </c>
      <c r="H199" s="34" t="n">
        <v>118.4</v>
      </c>
      <c r="I199" s="34" t="n">
        <v>102.44</v>
      </c>
      <c r="J199" s="34" t="n">
        <v>117.89</v>
      </c>
      <c r="K199" s="34" t="n">
        <v>1808.01</v>
      </c>
      <c r="L199" s="34" t="n">
        <f aca="false">AVERAGE(C199:E199)</f>
        <v>7.07</v>
      </c>
      <c r="M199" s="34" t="n">
        <f aca="false">AVERAGE(C199:J199)</f>
        <v>80.28125</v>
      </c>
    </row>
    <row r="200" customFormat="false" ht="15.75" hidden="false" customHeight="true" outlineLevel="0" collapsed="false">
      <c r="A200" s="34" t="s">
        <v>199</v>
      </c>
      <c r="B200" s="34" t="n">
        <v>1910.7</v>
      </c>
      <c r="C200" s="34" t="n">
        <v>-66.67</v>
      </c>
      <c r="D200" s="34" t="n">
        <v>-94.61</v>
      </c>
      <c r="E200" s="34" t="n">
        <v>9.22</v>
      </c>
      <c r="F200" s="34" t="n">
        <v>-1.39</v>
      </c>
      <c r="G200" s="34" t="n">
        <v>-27.1</v>
      </c>
      <c r="H200" s="34" t="n">
        <v>18.3</v>
      </c>
      <c r="I200" s="34" t="n">
        <v>50</v>
      </c>
      <c r="J200" s="34" t="n">
        <v>60.6</v>
      </c>
      <c r="K200" s="34" t="n">
        <v>1897.72</v>
      </c>
      <c r="L200" s="34" t="n">
        <f aca="false">AVERAGE(C200:E200)</f>
        <v>-50.6866666666667</v>
      </c>
      <c r="M200" s="34" t="n">
        <f aca="false">AVERAGE(C200:J200)</f>
        <v>-6.45625</v>
      </c>
    </row>
    <row r="201" customFormat="false" ht="15.75" hidden="false" customHeight="true" outlineLevel="0" collapsed="false">
      <c r="A201" s="34" t="s">
        <v>737</v>
      </c>
      <c r="B201" s="34" t="n">
        <v>1907</v>
      </c>
      <c r="C201" s="34" t="n">
        <v>-66.67</v>
      </c>
      <c r="D201" s="34" t="n">
        <v>-131.51</v>
      </c>
      <c r="E201" s="34" t="n">
        <v>-169.54</v>
      </c>
      <c r="F201" s="34" t="n">
        <v>-91.67</v>
      </c>
      <c r="G201" s="34" t="n">
        <v>-172.71</v>
      </c>
      <c r="H201" s="34" t="n">
        <v>-120.88</v>
      </c>
      <c r="I201" s="34" t="n">
        <v>-59.91</v>
      </c>
      <c r="J201" s="34" t="n">
        <v>-56.51</v>
      </c>
      <c r="K201" s="34" t="n">
        <v>2038.98</v>
      </c>
      <c r="L201" s="34" t="n">
        <f aca="false">AVERAGE(C201:E201)</f>
        <v>-122.573333333333</v>
      </c>
      <c r="M201" s="34" t="n">
        <f aca="false">AVERAGE(C201:J201)</f>
        <v>-108.675</v>
      </c>
    </row>
    <row r="202" customFormat="false" ht="15.75" hidden="false" customHeight="true" outlineLevel="0" collapsed="false">
      <c r="A202" s="34" t="s">
        <v>50</v>
      </c>
      <c r="B202" s="34" t="n">
        <v>1875.1</v>
      </c>
      <c r="C202" s="34" t="n">
        <v>-66.67</v>
      </c>
      <c r="D202" s="34" t="n">
        <v>-119.4</v>
      </c>
      <c r="E202" s="34" t="n">
        <v>-205.93</v>
      </c>
      <c r="F202" s="34" t="n">
        <v>-124.1</v>
      </c>
      <c r="G202" s="34" t="n">
        <v>-148.24</v>
      </c>
      <c r="H202" s="34" t="n">
        <v>-135.57</v>
      </c>
      <c r="I202" s="34" t="n">
        <v>-119.82</v>
      </c>
      <c r="J202" s="34" t="n">
        <v>-132.75</v>
      </c>
      <c r="K202" s="34" t="n">
        <v>1955.4</v>
      </c>
      <c r="L202" s="34" t="n">
        <f aca="false">AVERAGE(C202:E202)</f>
        <v>-130.666666666667</v>
      </c>
      <c r="M202" s="34" t="n">
        <f aca="false">AVERAGE(C202:J202)</f>
        <v>-131.56</v>
      </c>
    </row>
    <row r="203" customFormat="false" ht="15.75" hidden="false" customHeight="true" outlineLevel="0" collapsed="false">
      <c r="A203" s="34" t="s">
        <v>738</v>
      </c>
      <c r="B203" s="34" t="n">
        <v>1874.5</v>
      </c>
      <c r="C203" s="34" t="n">
        <v>66.67</v>
      </c>
      <c r="D203" s="34" t="n">
        <v>83.58</v>
      </c>
      <c r="E203" s="34" t="n">
        <v>101.62</v>
      </c>
      <c r="F203" s="34" t="n">
        <v>-0.766</v>
      </c>
      <c r="G203" s="34" t="n">
        <v>64.87</v>
      </c>
      <c r="H203" s="34" t="n">
        <v>92.77</v>
      </c>
      <c r="I203" s="34" t="n">
        <v>115.59</v>
      </c>
      <c r="J203" s="34" t="n">
        <v>134.21</v>
      </c>
      <c r="K203" s="34" t="n">
        <v>1948.85</v>
      </c>
      <c r="L203" s="34" t="n">
        <f aca="false">AVERAGE(C203:E203)</f>
        <v>83.9566666666667</v>
      </c>
      <c r="M203" s="34" t="n">
        <f aca="false">AVERAGE(C203:J203)</f>
        <v>82.318</v>
      </c>
    </row>
    <row r="204" customFormat="false" ht="15.75" hidden="false" customHeight="true" outlineLevel="0" collapsed="false">
      <c r="A204" s="34" t="s">
        <v>370</v>
      </c>
      <c r="B204" s="34" t="n">
        <v>1862.6</v>
      </c>
      <c r="C204" s="34" t="n">
        <v>-66.67</v>
      </c>
      <c r="D204" s="34" t="n">
        <v>-26.62</v>
      </c>
      <c r="E204" s="34" t="n">
        <v>-14.63</v>
      </c>
      <c r="F204" s="34" t="n">
        <v>-51.5</v>
      </c>
      <c r="G204" s="34" t="n">
        <v>-78.61</v>
      </c>
      <c r="H204" s="34" t="n">
        <v>-55.36</v>
      </c>
      <c r="I204" s="34" t="n">
        <v>-3.51</v>
      </c>
      <c r="J204" s="34" t="n">
        <v>26.93</v>
      </c>
      <c r="K204" s="34" t="n">
        <v>1798.98</v>
      </c>
      <c r="L204" s="34" t="n">
        <f aca="false">AVERAGE(C204:E204)</f>
        <v>-35.9733333333333</v>
      </c>
      <c r="M204" s="34" t="n">
        <f aca="false">AVERAGE(C204:J204)</f>
        <v>-33.74625</v>
      </c>
    </row>
    <row r="205" customFormat="false" ht="15.75" hidden="false" customHeight="true" outlineLevel="0" collapsed="false">
      <c r="A205" s="34" t="s">
        <v>312</v>
      </c>
      <c r="B205" s="34" t="n">
        <v>1859.6</v>
      </c>
      <c r="C205" s="34" t="n">
        <v>66.67</v>
      </c>
      <c r="D205" s="34" t="n">
        <v>117.95</v>
      </c>
      <c r="E205" s="34" t="n">
        <v>188.53</v>
      </c>
      <c r="F205" s="34" t="n">
        <v>99.4</v>
      </c>
      <c r="G205" s="34" t="n">
        <v>31.09</v>
      </c>
      <c r="H205" s="34" t="n">
        <v>65.02</v>
      </c>
      <c r="I205" s="34" t="n">
        <v>70.8</v>
      </c>
      <c r="J205" s="34" t="n">
        <v>77.8</v>
      </c>
      <c r="K205" s="34" t="n">
        <v>1704.25</v>
      </c>
      <c r="L205" s="34" t="n">
        <f aca="false">AVERAGE(C205:E205)</f>
        <v>124.383333333333</v>
      </c>
      <c r="M205" s="34" t="n">
        <f aca="false">AVERAGE(C205:J205)</f>
        <v>89.6575</v>
      </c>
    </row>
    <row r="206" customFormat="false" ht="15.75" hidden="false" customHeight="true" outlineLevel="0" collapsed="false">
      <c r="A206" s="34" t="s">
        <v>739</v>
      </c>
      <c r="B206" s="34" t="n">
        <v>1859.6</v>
      </c>
      <c r="C206" s="34" t="n">
        <v>66.67</v>
      </c>
      <c r="D206" s="34" t="n">
        <v>89.35</v>
      </c>
      <c r="E206" s="34" t="n">
        <v>-37.18</v>
      </c>
      <c r="F206" s="34" t="n">
        <v>-88.85</v>
      </c>
      <c r="G206" s="34" t="n">
        <v>-124.16</v>
      </c>
      <c r="H206" s="34" t="n">
        <v>-4.63</v>
      </c>
      <c r="I206" s="34" t="n">
        <v>24.66</v>
      </c>
      <c r="J206" s="34"/>
      <c r="K206" s="34" t="n">
        <v>1939.42</v>
      </c>
      <c r="L206" s="34" t="n">
        <f aca="false">AVERAGE(C206:E206)</f>
        <v>39.6133333333333</v>
      </c>
      <c r="M206" s="34" t="n">
        <f aca="false">AVERAGE(C206:J206)</f>
        <v>-10.5914285714286</v>
      </c>
    </row>
    <row r="207" customFormat="false" ht="15.75" hidden="false" customHeight="true" outlineLevel="0" collapsed="false">
      <c r="A207" s="34" t="s">
        <v>204</v>
      </c>
      <c r="B207" s="34" t="n">
        <v>1859</v>
      </c>
      <c r="C207" s="34" t="n">
        <v>-66.67</v>
      </c>
      <c r="D207" s="34" t="n">
        <v>-19.98</v>
      </c>
      <c r="E207" s="34" t="n">
        <v>31.78</v>
      </c>
      <c r="F207" s="34" t="n">
        <v>88.72</v>
      </c>
      <c r="G207" s="34" t="n">
        <v>101.46</v>
      </c>
      <c r="H207" s="34" t="n">
        <v>101.46</v>
      </c>
      <c r="I207" s="34" t="n">
        <v>76.86</v>
      </c>
      <c r="J207" s="34" t="n">
        <v>83.34</v>
      </c>
      <c r="K207" s="34" t="n">
        <v>1812.88</v>
      </c>
      <c r="L207" s="34" t="n">
        <f aca="false">AVERAGE(C207:E207)</f>
        <v>-18.29</v>
      </c>
      <c r="M207" s="34" t="n">
        <f aca="false">AVERAGE(C207:J207)</f>
        <v>49.62125</v>
      </c>
    </row>
    <row r="208" customFormat="false" ht="15.75" hidden="false" customHeight="true" outlineLevel="0" collapsed="false">
      <c r="A208" s="34" t="s">
        <v>740</v>
      </c>
      <c r="B208" s="34" t="n">
        <v>1855</v>
      </c>
      <c r="C208" s="34" t="n">
        <v>-66.67</v>
      </c>
      <c r="D208" s="34" t="n">
        <v>-123.69</v>
      </c>
      <c r="E208" s="34" t="n">
        <v>23.75</v>
      </c>
      <c r="F208" s="34" t="n">
        <v>37.84</v>
      </c>
      <c r="G208" s="34" t="n">
        <v>-30.39</v>
      </c>
      <c r="H208" s="34" t="n">
        <v>-63.77</v>
      </c>
      <c r="I208" s="34" t="n">
        <v>-80.93</v>
      </c>
      <c r="J208" s="34" t="n">
        <v>-84.88</v>
      </c>
      <c r="K208" s="34" t="n">
        <v>1755</v>
      </c>
      <c r="L208" s="34" t="n">
        <f aca="false">AVERAGE(C208:E208)</f>
        <v>-55.5366666666667</v>
      </c>
      <c r="M208" s="34" t="n">
        <f aca="false">AVERAGE(C208:J208)</f>
        <v>-48.5925</v>
      </c>
    </row>
    <row r="209" customFormat="false" ht="15.75" hidden="false" customHeight="true" outlineLevel="0" collapsed="false">
      <c r="A209" s="34" t="s">
        <v>741</v>
      </c>
      <c r="B209" s="34" t="n">
        <v>1854.9</v>
      </c>
      <c r="C209" s="34" t="n">
        <v>66.67</v>
      </c>
      <c r="D209" s="34" t="n">
        <v>79.71</v>
      </c>
      <c r="E209" s="34" t="n">
        <v>109.54</v>
      </c>
      <c r="F209" s="34" t="n">
        <v>-10.88</v>
      </c>
      <c r="G209" s="34" t="n">
        <v>-69.3</v>
      </c>
      <c r="H209" s="34" t="n">
        <v>-81.29</v>
      </c>
      <c r="I209" s="34" t="n">
        <v>-70.63</v>
      </c>
      <c r="J209" s="34" t="n">
        <v>-74.61</v>
      </c>
      <c r="K209" s="34" t="n">
        <v>1741.82</v>
      </c>
      <c r="L209" s="34" t="n">
        <f aca="false">AVERAGE(C209:E209)</f>
        <v>85.3066666666667</v>
      </c>
      <c r="M209" s="34" t="n">
        <f aca="false">AVERAGE(C209:J209)</f>
        <v>-6.34875</v>
      </c>
    </row>
    <row r="210" customFormat="false" ht="15.75" hidden="false" customHeight="true" outlineLevel="0" collapsed="false">
      <c r="A210" s="34" t="s">
        <v>742</v>
      </c>
      <c r="B210" s="34" t="n">
        <v>1845.3</v>
      </c>
      <c r="C210" s="34" t="n">
        <v>-66.67</v>
      </c>
      <c r="D210" s="34" t="n">
        <v>-47.99</v>
      </c>
      <c r="E210" s="34" t="n">
        <v>5.36</v>
      </c>
      <c r="F210" s="34" t="n">
        <v>15.1</v>
      </c>
      <c r="G210" s="34" t="n">
        <v>61.22</v>
      </c>
      <c r="H210" s="34" t="n">
        <v>47.89</v>
      </c>
      <c r="I210" s="34" t="n">
        <v>47.13</v>
      </c>
      <c r="J210" s="34" t="n">
        <v>52.79</v>
      </c>
      <c r="K210" s="34" t="n">
        <v>1983.46</v>
      </c>
      <c r="L210" s="34" t="n">
        <f aca="false">AVERAGE(C210:E210)</f>
        <v>-36.4333333333333</v>
      </c>
      <c r="M210" s="34" t="n">
        <f aca="false">AVERAGE(C210:J210)</f>
        <v>14.35375</v>
      </c>
    </row>
    <row r="211" customFormat="false" ht="15.75" hidden="false" customHeight="true" outlineLevel="0" collapsed="false">
      <c r="A211" s="34" t="s">
        <v>333</v>
      </c>
      <c r="B211" s="34" t="n">
        <v>1825.8</v>
      </c>
      <c r="C211" s="34" t="n">
        <v>-66.67</v>
      </c>
      <c r="D211" s="34" t="n">
        <v>-133.33</v>
      </c>
      <c r="E211" s="34" t="n">
        <v>-137.05</v>
      </c>
      <c r="F211" s="34" t="n">
        <v>-99.93</v>
      </c>
      <c r="G211" s="34" t="n">
        <v>-138.9</v>
      </c>
      <c r="H211" s="34" t="n">
        <v>-109.59</v>
      </c>
      <c r="I211" s="34" t="n">
        <v>-40.23</v>
      </c>
      <c r="J211" s="34" t="n">
        <v>-55.12</v>
      </c>
      <c r="K211" s="34" t="n">
        <v>1923.29</v>
      </c>
      <c r="L211" s="34" t="n">
        <f aca="false">AVERAGE(C211:E211)</f>
        <v>-112.35</v>
      </c>
      <c r="M211" s="34" t="n">
        <f aca="false">AVERAGE(C211:J211)</f>
        <v>-97.6025</v>
      </c>
    </row>
    <row r="212" customFormat="false" ht="15.75" hidden="false" customHeight="true" outlineLevel="0" collapsed="false">
      <c r="A212" s="34" t="s">
        <v>66</v>
      </c>
      <c r="B212" s="34" t="n">
        <v>1821.1</v>
      </c>
      <c r="C212" s="34" t="n">
        <v>-66.67</v>
      </c>
      <c r="D212" s="34" t="n">
        <v>-133.33</v>
      </c>
      <c r="E212" s="34" t="n">
        <v>31.23</v>
      </c>
      <c r="F212" s="34" t="n">
        <v>-35.58</v>
      </c>
      <c r="G212" s="34" t="n">
        <v>-59.81</v>
      </c>
      <c r="H212" s="34" t="n">
        <v>-73.33</v>
      </c>
      <c r="I212" s="34" t="n">
        <v>-79.36</v>
      </c>
      <c r="J212" s="34" t="n">
        <v>-87.78</v>
      </c>
      <c r="K212" s="34" t="n">
        <v>1795.52</v>
      </c>
      <c r="L212" s="34" t="n">
        <f aca="false">AVERAGE(C212:E212)</f>
        <v>-56.2566666666667</v>
      </c>
      <c r="M212" s="34" t="n">
        <f aca="false">AVERAGE(C212:J212)</f>
        <v>-63.07875</v>
      </c>
    </row>
    <row r="213" customFormat="false" ht="15.75" hidden="false" customHeight="true" outlineLevel="0" collapsed="false">
      <c r="A213" s="34" t="s">
        <v>329</v>
      </c>
      <c r="B213" s="34" t="n">
        <v>1813.7</v>
      </c>
      <c r="C213" s="34" t="n">
        <v>-66.67</v>
      </c>
      <c r="D213" s="34" t="n">
        <v>-133.33</v>
      </c>
      <c r="E213" s="34" t="n">
        <v>30.63</v>
      </c>
      <c r="F213" s="34" t="n">
        <v>-59.78</v>
      </c>
      <c r="G213" s="34" t="n">
        <v>-60.94</v>
      </c>
      <c r="H213" s="34" t="n">
        <v>-30.04</v>
      </c>
      <c r="I213" s="34" t="n">
        <v>10.09</v>
      </c>
      <c r="J213" s="34" t="n">
        <v>39.75</v>
      </c>
      <c r="K213" s="34" t="n">
        <v>1862.25</v>
      </c>
      <c r="L213" s="34" t="n">
        <f aca="false">AVERAGE(C213:E213)</f>
        <v>-56.4566666666667</v>
      </c>
      <c r="M213" s="34" t="n">
        <f aca="false">AVERAGE(C213:J213)</f>
        <v>-33.78625</v>
      </c>
    </row>
    <row r="214" customFormat="false" ht="15.75" hidden="false" customHeight="true" outlineLevel="0" collapsed="false">
      <c r="A214" s="34" t="s">
        <v>188</v>
      </c>
      <c r="B214" s="34" t="n">
        <v>1805.2</v>
      </c>
      <c r="C214" s="34" t="n">
        <v>-66.67</v>
      </c>
      <c r="D214" s="34" t="n">
        <v>-74.96</v>
      </c>
      <c r="E214" s="34" t="n">
        <v>-78.05</v>
      </c>
      <c r="F214" s="34" t="n">
        <v>-82.16</v>
      </c>
      <c r="G214" s="34" t="n">
        <v>-125.19</v>
      </c>
      <c r="H214" s="34" t="n">
        <v>-150.62</v>
      </c>
      <c r="I214" s="34" t="n">
        <v>-154.32</v>
      </c>
      <c r="J214" s="34" t="n">
        <v>-120.23</v>
      </c>
      <c r="K214" s="34" t="n">
        <v>1881.12</v>
      </c>
      <c r="L214" s="34" t="n">
        <f aca="false">AVERAGE(C214:E214)</f>
        <v>-73.2266666666667</v>
      </c>
      <c r="M214" s="34" t="n">
        <f aca="false">AVERAGE(C214:J214)</f>
        <v>-106.525</v>
      </c>
    </row>
    <row r="215" customFormat="false" ht="15.75" hidden="false" customHeight="true" outlineLevel="0" collapsed="false">
      <c r="A215" s="34" t="s">
        <v>425</v>
      </c>
      <c r="B215" s="34" t="n">
        <v>1801.2</v>
      </c>
      <c r="C215" s="34" t="n">
        <v>-66.67</v>
      </c>
      <c r="D215" s="34" t="n">
        <v>17.63</v>
      </c>
      <c r="E215" s="34" t="n">
        <v>50.51</v>
      </c>
      <c r="F215" s="34" t="n">
        <v>-34.29</v>
      </c>
      <c r="G215" s="34" t="n">
        <v>41.16</v>
      </c>
      <c r="H215" s="34" t="n">
        <v>18.88</v>
      </c>
      <c r="I215" s="34" t="n">
        <v>21.6</v>
      </c>
      <c r="J215" s="34" t="n">
        <v>15.44</v>
      </c>
      <c r="K215" s="34" t="n">
        <v>1874.18</v>
      </c>
      <c r="L215" s="34" t="n">
        <f aca="false">AVERAGE(C215:E215)</f>
        <v>0.49</v>
      </c>
      <c r="M215" s="34" t="n">
        <f aca="false">AVERAGE(C215:J215)</f>
        <v>8.0325</v>
      </c>
    </row>
    <row r="216" customFormat="false" ht="15.75" hidden="false" customHeight="true" outlineLevel="0" collapsed="false">
      <c r="A216" s="34" t="s">
        <v>277</v>
      </c>
      <c r="B216" s="34" t="n">
        <v>1797.2</v>
      </c>
      <c r="C216" s="34" t="n">
        <v>-66.67</v>
      </c>
      <c r="D216" s="34" t="n">
        <v>-106.77</v>
      </c>
      <c r="E216" s="34" t="n">
        <v>-74.59</v>
      </c>
      <c r="F216" s="34" t="n">
        <v>-88.52</v>
      </c>
      <c r="G216" s="34" t="n">
        <v>-120.07</v>
      </c>
      <c r="H216" s="34" t="n">
        <v>-109.08</v>
      </c>
      <c r="I216" s="34" t="n">
        <v>-93.87</v>
      </c>
      <c r="J216" s="34" t="n">
        <v>-104.27</v>
      </c>
      <c r="K216" s="34" t="n">
        <v>1901.31</v>
      </c>
      <c r="L216" s="34" t="n">
        <f aca="false">AVERAGE(C216:E216)</f>
        <v>-82.6766666666667</v>
      </c>
      <c r="M216" s="34" t="n">
        <f aca="false">AVERAGE(C216:J216)</f>
        <v>-95.48</v>
      </c>
    </row>
    <row r="217" customFormat="false" ht="15.75" hidden="false" customHeight="true" outlineLevel="0" collapsed="false">
      <c r="A217" s="34" t="s">
        <v>395</v>
      </c>
      <c r="B217" s="34" t="n">
        <v>1769.9</v>
      </c>
      <c r="C217" s="34" t="n">
        <v>66.67</v>
      </c>
      <c r="D217" s="34" t="n">
        <v>84.88</v>
      </c>
      <c r="E217" s="34" t="n">
        <v>97.63</v>
      </c>
      <c r="F217" s="34" t="n">
        <v>10.69</v>
      </c>
      <c r="G217" s="34" t="n">
        <v>48.8</v>
      </c>
      <c r="H217" s="34" t="n">
        <v>71.68</v>
      </c>
      <c r="I217" s="34" t="n">
        <v>82.78</v>
      </c>
      <c r="J217" s="34" t="n">
        <v>96.52</v>
      </c>
      <c r="K217" s="34" t="n">
        <v>1812.89</v>
      </c>
      <c r="L217" s="34" t="n">
        <f aca="false">AVERAGE(C217:E217)</f>
        <v>83.06</v>
      </c>
      <c r="M217" s="34" t="n">
        <f aca="false">AVERAGE(C217:J217)</f>
        <v>69.95625</v>
      </c>
    </row>
    <row r="218" customFormat="false" ht="15.75" hidden="false" customHeight="true" outlineLevel="0" collapsed="false">
      <c r="A218" s="34" t="s">
        <v>743</v>
      </c>
      <c r="B218" s="34" t="n">
        <v>1769.2</v>
      </c>
      <c r="C218" s="34" t="n">
        <v>66.67</v>
      </c>
      <c r="D218" s="34" t="n">
        <v>133.33</v>
      </c>
      <c r="E218" s="34" t="n">
        <v>116.09</v>
      </c>
      <c r="F218" s="34" t="n">
        <v>-21.42</v>
      </c>
      <c r="G218" s="34" t="n">
        <v>-44.7</v>
      </c>
      <c r="H218" s="34" t="n">
        <v>-0.198</v>
      </c>
      <c r="I218" s="34" t="n">
        <v>29.56</v>
      </c>
      <c r="J218" s="34" t="n">
        <v>32.69</v>
      </c>
      <c r="K218" s="34" t="n">
        <v>1651.62</v>
      </c>
      <c r="L218" s="34" t="n">
        <f aca="false">AVERAGE(C218:E218)</f>
        <v>105.363333333333</v>
      </c>
      <c r="M218" s="34" t="n">
        <f aca="false">AVERAGE(C218:J218)</f>
        <v>39.00275</v>
      </c>
    </row>
    <row r="219" customFormat="false" ht="15.75" hidden="false" customHeight="true" outlineLevel="0" collapsed="false">
      <c r="A219" s="34" t="s">
        <v>375</v>
      </c>
      <c r="B219" s="34" t="n">
        <v>1767.6</v>
      </c>
      <c r="C219" s="34" t="n">
        <v>66.67</v>
      </c>
      <c r="D219" s="34" t="n">
        <v>75.15</v>
      </c>
      <c r="E219" s="34" t="n">
        <v>158.46</v>
      </c>
      <c r="F219" s="34" t="n">
        <v>-2.11</v>
      </c>
      <c r="G219" s="34" t="n">
        <v>-41.18</v>
      </c>
      <c r="H219" s="34" t="n">
        <v>12.81</v>
      </c>
      <c r="I219" s="34" t="n">
        <v>25.34</v>
      </c>
      <c r="J219" s="34" t="n">
        <v>-5.99</v>
      </c>
      <c r="K219" s="34" t="n">
        <v>1635.46</v>
      </c>
      <c r="L219" s="34" t="n">
        <f aca="false">AVERAGE(C219:E219)</f>
        <v>100.093333333333</v>
      </c>
      <c r="M219" s="34" t="n">
        <f aca="false">AVERAGE(C219:J219)</f>
        <v>36.14375</v>
      </c>
    </row>
    <row r="220" customFormat="false" ht="15.75" hidden="false" customHeight="true" outlineLevel="0" collapsed="false">
      <c r="A220" s="34" t="s">
        <v>744</v>
      </c>
      <c r="B220" s="34" t="n">
        <v>1766</v>
      </c>
      <c r="C220" s="34" t="n">
        <v>-66.67</v>
      </c>
      <c r="D220" s="34" t="n">
        <v>-21.68</v>
      </c>
      <c r="E220" s="34" t="n">
        <v>71.48</v>
      </c>
      <c r="F220" s="34" t="n">
        <v>15.27</v>
      </c>
      <c r="G220" s="34" t="n">
        <v>-42</v>
      </c>
      <c r="H220" s="34" t="n">
        <v>-62.26</v>
      </c>
      <c r="I220" s="34" t="n">
        <v>-17.37</v>
      </c>
      <c r="J220" s="34" t="n">
        <v>-32.13</v>
      </c>
      <c r="K220" s="34" t="n">
        <v>1615.1</v>
      </c>
      <c r="L220" s="34" t="n">
        <f aca="false">AVERAGE(C220:E220)</f>
        <v>-5.62333333333333</v>
      </c>
      <c r="M220" s="34" t="n">
        <f aca="false">AVERAGE(C220:J220)</f>
        <v>-19.42</v>
      </c>
    </row>
    <row r="221" customFormat="false" ht="15.75" hidden="false" customHeight="true" outlineLevel="0" collapsed="false">
      <c r="A221" s="34" t="s">
        <v>442</v>
      </c>
      <c r="B221" s="34" t="n">
        <v>1754.4</v>
      </c>
      <c r="C221" s="34" t="n">
        <v>66.67</v>
      </c>
      <c r="D221" s="34" t="n">
        <v>133.33</v>
      </c>
      <c r="E221" s="34" t="n">
        <v>160.72</v>
      </c>
      <c r="F221" s="34" t="n">
        <v>90.56</v>
      </c>
      <c r="G221" s="34" t="n">
        <v>76.29</v>
      </c>
      <c r="H221" s="34" t="n">
        <v>93.95</v>
      </c>
      <c r="I221" s="34" t="n">
        <v>102.01</v>
      </c>
      <c r="J221" s="34" t="n">
        <v>87.1</v>
      </c>
      <c r="K221" s="34" t="n">
        <v>1678.4</v>
      </c>
      <c r="L221" s="34" t="n">
        <f aca="false">AVERAGE(C221:E221)</f>
        <v>120.24</v>
      </c>
      <c r="M221" s="34" t="n">
        <f aca="false">AVERAGE(C221:J221)</f>
        <v>101.32875</v>
      </c>
    </row>
    <row r="222" customFormat="false" ht="15.75" hidden="false" customHeight="true" outlineLevel="0" collapsed="false">
      <c r="A222" s="34" t="s">
        <v>85</v>
      </c>
      <c r="B222" s="34" t="n">
        <v>1747.7</v>
      </c>
      <c r="C222" s="34" t="n">
        <v>66.67</v>
      </c>
      <c r="D222" s="34" t="n">
        <v>99.58</v>
      </c>
      <c r="E222" s="34" t="n">
        <v>165.62</v>
      </c>
      <c r="F222" s="34" t="n">
        <v>0.635</v>
      </c>
      <c r="G222" s="34" t="n">
        <v>-38.45</v>
      </c>
      <c r="H222" s="34" t="n">
        <v>15.4</v>
      </c>
      <c r="I222" s="34" t="n">
        <v>40.02</v>
      </c>
      <c r="J222" s="34" t="n">
        <v>44.18</v>
      </c>
      <c r="K222" s="34" t="n">
        <v>1638.15</v>
      </c>
      <c r="L222" s="34" t="n">
        <f aca="false">AVERAGE(C222:E222)</f>
        <v>110.623333333333</v>
      </c>
      <c r="M222" s="34" t="n">
        <f aca="false">AVERAGE(C222:J222)</f>
        <v>49.206875</v>
      </c>
    </row>
    <row r="223" customFormat="false" ht="15.75" hidden="false" customHeight="true" outlineLevel="0" collapsed="false">
      <c r="A223" s="34" t="s">
        <v>745</v>
      </c>
      <c r="B223" s="34" t="n">
        <v>1739.9</v>
      </c>
      <c r="C223" s="34" t="n">
        <v>-66.67</v>
      </c>
      <c r="D223" s="34" t="n">
        <v>-133.33</v>
      </c>
      <c r="E223" s="34" t="n">
        <v>17.53</v>
      </c>
      <c r="F223" s="34" t="n">
        <v>-18.87</v>
      </c>
      <c r="G223" s="34" t="n">
        <v>-27.42</v>
      </c>
      <c r="H223" s="34" t="n">
        <v>-27.32</v>
      </c>
      <c r="I223" s="34" t="n">
        <v>-17.08</v>
      </c>
      <c r="J223" s="34" t="n">
        <v>9.51</v>
      </c>
      <c r="K223" s="34" t="n">
        <v>1777.57</v>
      </c>
      <c r="L223" s="34" t="n">
        <f aca="false">AVERAGE(C223:E223)</f>
        <v>-60.8233333333333</v>
      </c>
      <c r="M223" s="34" t="n">
        <f aca="false">AVERAGE(C223:J223)</f>
        <v>-32.95625</v>
      </c>
    </row>
    <row r="224" customFormat="false" ht="15.75" hidden="false" customHeight="true" outlineLevel="0" collapsed="false">
      <c r="A224" s="34" t="s">
        <v>746</v>
      </c>
      <c r="B224" s="34" t="n">
        <v>1734.9</v>
      </c>
      <c r="C224" s="34" t="n">
        <v>-66.67</v>
      </c>
      <c r="D224" s="34" t="n">
        <v>-110.91</v>
      </c>
      <c r="E224" s="34" t="n">
        <v>-93.18</v>
      </c>
      <c r="F224" s="34" t="n">
        <v>-74.08</v>
      </c>
      <c r="G224" s="34" t="n">
        <v>-76.04</v>
      </c>
      <c r="H224" s="34" t="n">
        <v>-93.28</v>
      </c>
      <c r="I224" s="34" t="n">
        <v>-55.06</v>
      </c>
      <c r="J224" s="34" t="n">
        <v>-61.06</v>
      </c>
      <c r="K224" s="34" t="n">
        <v>1826.64</v>
      </c>
      <c r="L224" s="34" t="n">
        <f aca="false">AVERAGE(C224:E224)</f>
        <v>-90.2533333333333</v>
      </c>
      <c r="M224" s="34" t="n">
        <f aca="false">AVERAGE(C224:J224)</f>
        <v>-78.785</v>
      </c>
    </row>
    <row r="225" customFormat="false" ht="15.75" hidden="false" customHeight="true" outlineLevel="0" collapsed="false">
      <c r="A225" s="34" t="s">
        <v>335</v>
      </c>
      <c r="B225" s="34" t="n">
        <v>1729.6</v>
      </c>
      <c r="C225" s="34" t="n">
        <v>-66.67</v>
      </c>
      <c r="D225" s="34" t="n">
        <v>-99.66</v>
      </c>
      <c r="E225" s="34" t="n">
        <v>-197.64</v>
      </c>
      <c r="F225" s="34" t="n">
        <v>-175.48</v>
      </c>
      <c r="G225" s="34" t="n">
        <v>-97.76</v>
      </c>
      <c r="H225" s="34" t="n">
        <v>-90.31</v>
      </c>
      <c r="I225" s="34" t="n">
        <v>-44.33</v>
      </c>
      <c r="J225" s="34" t="n">
        <v>-24.6</v>
      </c>
      <c r="K225" s="34" t="n">
        <v>1804.81</v>
      </c>
      <c r="L225" s="34" t="n">
        <f aca="false">AVERAGE(C225:E225)</f>
        <v>-121.323333333333</v>
      </c>
      <c r="M225" s="34" t="n">
        <f aca="false">AVERAGE(C225:J225)</f>
        <v>-99.55625</v>
      </c>
    </row>
    <row r="226" customFormat="false" ht="15.75" hidden="false" customHeight="true" outlineLevel="0" collapsed="false">
      <c r="A226" s="34" t="s">
        <v>747</v>
      </c>
      <c r="B226" s="34" t="n">
        <v>1720.8</v>
      </c>
      <c r="C226" s="34" t="n">
        <v>-66.67</v>
      </c>
      <c r="D226" s="34" t="n">
        <v>-67.18</v>
      </c>
      <c r="E226" s="34" t="n">
        <v>-61.9</v>
      </c>
      <c r="F226" s="34" t="n">
        <v>-80.05</v>
      </c>
      <c r="G226" s="34" t="n">
        <v>-139.03</v>
      </c>
      <c r="H226" s="34" t="n">
        <v>-95.86</v>
      </c>
      <c r="I226" s="34" t="n">
        <v>-53.08</v>
      </c>
      <c r="J226" s="34" t="n">
        <v>-49.35</v>
      </c>
      <c r="K226" s="34" t="n">
        <v>1833.88</v>
      </c>
      <c r="L226" s="34" t="n">
        <f aca="false">AVERAGE(C226:E226)</f>
        <v>-65.25</v>
      </c>
      <c r="M226" s="34" t="n">
        <f aca="false">AVERAGE(C226:J226)</f>
        <v>-76.64</v>
      </c>
    </row>
    <row r="227" customFormat="false" ht="15.75" hidden="false" customHeight="true" outlineLevel="0" collapsed="false">
      <c r="A227" s="34" t="s">
        <v>260</v>
      </c>
      <c r="B227" s="34" t="n">
        <v>1705.5</v>
      </c>
      <c r="C227" s="34" t="n">
        <v>-66.67</v>
      </c>
      <c r="D227" s="34" t="n">
        <v>-96.86</v>
      </c>
      <c r="E227" s="34" t="n">
        <v>43.78</v>
      </c>
      <c r="F227" s="34" t="n">
        <v>-60.81</v>
      </c>
      <c r="G227" s="34" t="n">
        <v>-95.03</v>
      </c>
      <c r="H227" s="34" t="n">
        <v>-48.52</v>
      </c>
      <c r="I227" s="34" t="n">
        <v>-6.61</v>
      </c>
      <c r="J227" s="34" t="n">
        <v>10.61</v>
      </c>
      <c r="K227" s="34" t="n">
        <v>1780.5</v>
      </c>
      <c r="L227" s="34" t="n">
        <f aca="false">AVERAGE(C227:E227)</f>
        <v>-39.9166666666667</v>
      </c>
      <c r="M227" s="34" t="n">
        <f aca="false">AVERAGE(C227:J227)</f>
        <v>-40.01375</v>
      </c>
    </row>
    <row r="228" customFormat="false" ht="15.75" hidden="false" customHeight="true" outlineLevel="0" collapsed="false">
      <c r="A228" s="34" t="s">
        <v>748</v>
      </c>
      <c r="B228" s="34" t="n">
        <v>1703.1</v>
      </c>
      <c r="C228" s="34" t="n">
        <v>-66.67</v>
      </c>
      <c r="D228" s="34" t="n">
        <v>-112.42</v>
      </c>
      <c r="E228" s="34" t="n">
        <v>-183.51</v>
      </c>
      <c r="F228" s="34" t="n">
        <v>-110.64</v>
      </c>
      <c r="G228" s="34" t="n">
        <v>-175.08</v>
      </c>
      <c r="H228" s="34" t="n">
        <v>-100.16</v>
      </c>
      <c r="I228" s="34" t="n">
        <v>-80.77</v>
      </c>
      <c r="J228" s="34" t="n">
        <v>-89.15</v>
      </c>
      <c r="K228" s="34" t="n">
        <v>1817.04</v>
      </c>
      <c r="L228" s="34" t="n">
        <f aca="false">AVERAGE(C228:E228)</f>
        <v>-120.866666666667</v>
      </c>
      <c r="M228" s="34" t="n">
        <f aca="false">AVERAGE(C228:J228)</f>
        <v>-114.8</v>
      </c>
    </row>
    <row r="229" customFormat="false" ht="15.75" hidden="false" customHeight="true" outlineLevel="0" collapsed="false">
      <c r="A229" s="34" t="s">
        <v>545</v>
      </c>
      <c r="B229" s="34" t="n">
        <v>1684</v>
      </c>
      <c r="C229" s="34" t="n">
        <v>-66.67</v>
      </c>
      <c r="D229" s="34" t="n">
        <v>-87.67</v>
      </c>
      <c r="E229" s="34" t="n">
        <v>-1.46</v>
      </c>
      <c r="F229" s="34" t="n">
        <v>-82.84</v>
      </c>
      <c r="G229" s="34" t="n">
        <v>-144.77</v>
      </c>
      <c r="H229" s="34" t="n">
        <v>-83.3</v>
      </c>
      <c r="I229" s="34" t="n">
        <v>-34.58</v>
      </c>
      <c r="J229" s="34" t="n">
        <v>-29.32</v>
      </c>
      <c r="K229" s="34" t="n">
        <v>1628.33</v>
      </c>
      <c r="L229" s="34" t="n">
        <f aca="false">AVERAGE(C229:E229)</f>
        <v>-51.9333333333333</v>
      </c>
      <c r="M229" s="34" t="n">
        <f aca="false">AVERAGE(C229:J229)</f>
        <v>-66.32625</v>
      </c>
    </row>
    <row r="230" customFormat="false" ht="15.75" hidden="false" customHeight="true" outlineLevel="0" collapsed="false">
      <c r="A230" s="34" t="s">
        <v>749</v>
      </c>
      <c r="B230" s="34" t="n">
        <v>1665.3</v>
      </c>
      <c r="C230" s="34" t="n">
        <v>-66.67</v>
      </c>
      <c r="D230" s="34" t="n">
        <v>-129.06</v>
      </c>
      <c r="E230" s="34" t="n">
        <v>-106.72</v>
      </c>
      <c r="F230" s="34" t="n">
        <v>-105.44</v>
      </c>
      <c r="G230" s="34" t="n">
        <v>-155.09</v>
      </c>
      <c r="H230" s="34" t="n">
        <v>-179.59</v>
      </c>
      <c r="I230" s="34" t="n">
        <v>-205.01</v>
      </c>
      <c r="J230" s="34" t="n">
        <v>-194.76</v>
      </c>
      <c r="K230" s="34" t="n">
        <v>1806.14</v>
      </c>
      <c r="L230" s="34" t="n">
        <f aca="false">AVERAGE(C230:E230)</f>
        <v>-100.816666666667</v>
      </c>
      <c r="M230" s="34" t="n">
        <f aca="false">AVERAGE(C230:J230)</f>
        <v>-142.7925</v>
      </c>
    </row>
    <row r="231" customFormat="false" ht="15.75" hidden="false" customHeight="true" outlineLevel="0" collapsed="false">
      <c r="A231" s="34" t="s">
        <v>53</v>
      </c>
      <c r="B231" s="34" t="n">
        <v>1657.4</v>
      </c>
      <c r="C231" s="34" t="n">
        <v>-66.67</v>
      </c>
      <c r="D231" s="34" t="n">
        <v>-10.7</v>
      </c>
      <c r="E231" s="34" t="n">
        <v>70.34</v>
      </c>
      <c r="F231" s="34" t="n">
        <v>-30.77</v>
      </c>
      <c r="G231" s="34" t="n">
        <v>-81.99</v>
      </c>
      <c r="H231" s="34" t="n">
        <v>-54.65</v>
      </c>
      <c r="I231" s="34" t="n">
        <v>-26.54</v>
      </c>
      <c r="J231" s="34" t="n">
        <v>-31.47</v>
      </c>
      <c r="K231" s="34" t="n">
        <v>1677.53</v>
      </c>
      <c r="L231" s="34" t="n">
        <f aca="false">AVERAGE(C231:E231)</f>
        <v>-2.34333333333333</v>
      </c>
      <c r="M231" s="34" t="n">
        <f aca="false">AVERAGE(C231:J231)</f>
        <v>-29.05625</v>
      </c>
    </row>
    <row r="232" customFormat="false" ht="15.75" hidden="false" customHeight="true" outlineLevel="0" collapsed="false">
      <c r="A232" s="34" t="s">
        <v>750</v>
      </c>
      <c r="B232" s="34" t="n">
        <v>1653</v>
      </c>
      <c r="C232" s="34" t="n">
        <v>-66.67</v>
      </c>
      <c r="D232" s="34" t="n">
        <v>-80.41</v>
      </c>
      <c r="E232" s="34" t="n">
        <v>-162.79</v>
      </c>
      <c r="F232" s="34" t="n">
        <v>2.51</v>
      </c>
      <c r="G232" s="34" t="n">
        <v>53</v>
      </c>
      <c r="H232" s="34" t="n">
        <v>100.31</v>
      </c>
      <c r="I232" s="34" t="n">
        <v>115.58</v>
      </c>
      <c r="J232" s="34" t="n">
        <v>135.4</v>
      </c>
      <c r="K232" s="34" t="n">
        <v>1922.68</v>
      </c>
      <c r="L232" s="34" t="n">
        <f aca="false">AVERAGE(C232:E232)</f>
        <v>-103.29</v>
      </c>
      <c r="M232" s="34" t="n">
        <f aca="false">AVERAGE(C232:J232)</f>
        <v>12.11625</v>
      </c>
    </row>
    <row r="233" customFormat="false" ht="15.75" hidden="false" customHeight="true" outlineLevel="0" collapsed="false">
      <c r="A233" s="34" t="s">
        <v>279</v>
      </c>
      <c r="B233" s="34" t="n">
        <v>1650</v>
      </c>
      <c r="C233" s="34" t="n">
        <v>-66.67</v>
      </c>
      <c r="D233" s="34" t="n">
        <v>-85.8</v>
      </c>
      <c r="E233" s="34" t="n">
        <v>-119.86</v>
      </c>
      <c r="F233" s="34" t="n">
        <v>-89.98</v>
      </c>
      <c r="G233" s="34" t="n">
        <v>-141.18</v>
      </c>
      <c r="H233" s="34" t="n">
        <v>-141.12</v>
      </c>
      <c r="I233" s="34" t="n">
        <v>-134.12</v>
      </c>
      <c r="J233" s="34" t="n">
        <v>-106.89</v>
      </c>
      <c r="K233" s="34" t="n">
        <v>1755.48</v>
      </c>
      <c r="L233" s="34" t="n">
        <f aca="false">AVERAGE(C233:E233)</f>
        <v>-90.7766666666667</v>
      </c>
      <c r="M233" s="34" t="n">
        <f aca="false">AVERAGE(C233:J233)</f>
        <v>-110.7025</v>
      </c>
    </row>
    <row r="234" customFormat="false" ht="15.75" hidden="false" customHeight="true" outlineLevel="0" collapsed="false">
      <c r="A234" s="34" t="s">
        <v>235</v>
      </c>
      <c r="B234" s="34" t="n">
        <v>1649.5</v>
      </c>
      <c r="C234" s="34" t="n">
        <v>66.67</v>
      </c>
      <c r="D234" s="34" t="n">
        <v>68.76</v>
      </c>
      <c r="E234" s="34" t="n">
        <v>121.91</v>
      </c>
      <c r="F234" s="34" t="n">
        <v>33.6</v>
      </c>
      <c r="G234" s="34" t="n">
        <v>-48.4</v>
      </c>
      <c r="H234" s="34" t="n">
        <v>-44.98</v>
      </c>
      <c r="I234" s="34" t="n">
        <v>-1.39</v>
      </c>
      <c r="J234" s="34" t="n">
        <v>18.93</v>
      </c>
      <c r="K234" s="34" t="n">
        <v>1572.38</v>
      </c>
      <c r="L234" s="34" t="n">
        <f aca="false">AVERAGE(C234:E234)</f>
        <v>85.78</v>
      </c>
      <c r="M234" s="34" t="n">
        <f aca="false">AVERAGE(C234:J234)</f>
        <v>26.8875</v>
      </c>
    </row>
    <row r="235" customFormat="false" ht="15.75" hidden="false" customHeight="true" outlineLevel="0" collapsed="false">
      <c r="A235" s="34" t="s">
        <v>751</v>
      </c>
      <c r="B235" s="34" t="n">
        <v>1643.8</v>
      </c>
      <c r="C235" s="34" t="n">
        <v>-66.67</v>
      </c>
      <c r="D235" s="34" t="n">
        <v>-70.78</v>
      </c>
      <c r="E235" s="34" t="n">
        <v>-119.86</v>
      </c>
      <c r="F235" s="34" t="n">
        <v>-106.51</v>
      </c>
      <c r="G235" s="34" t="n">
        <v>-71.49</v>
      </c>
      <c r="H235" s="34" t="n">
        <v>-69.5</v>
      </c>
      <c r="I235" s="34" t="n">
        <v>-55.02</v>
      </c>
      <c r="J235" s="34" t="n">
        <v>-62.82</v>
      </c>
      <c r="K235" s="34" t="n">
        <v>1736.74</v>
      </c>
      <c r="L235" s="34" t="n">
        <f aca="false">AVERAGE(C235:E235)</f>
        <v>-85.77</v>
      </c>
      <c r="M235" s="34" t="n">
        <f aca="false">AVERAGE(C235:J235)</f>
        <v>-77.83125</v>
      </c>
    </row>
    <row r="236" customFormat="false" ht="15.75" hidden="false" customHeight="true" outlineLevel="0" collapsed="false">
      <c r="A236" s="34" t="s">
        <v>752</v>
      </c>
      <c r="B236" s="34" t="n">
        <v>1643.3</v>
      </c>
      <c r="C236" s="34" t="n">
        <v>66.67</v>
      </c>
      <c r="D236" s="34" t="n">
        <v>99.23</v>
      </c>
      <c r="E236" s="34" t="n">
        <v>161.04</v>
      </c>
      <c r="F236" s="34" t="n">
        <v>-0.936</v>
      </c>
      <c r="G236" s="34" t="n">
        <v>-32.5</v>
      </c>
      <c r="H236" s="34" t="n">
        <v>22.71</v>
      </c>
      <c r="I236" s="34" t="n">
        <v>46.38</v>
      </c>
      <c r="J236" s="34" t="n">
        <v>55.57</v>
      </c>
      <c r="K236" s="34" t="n">
        <v>1529.73</v>
      </c>
      <c r="L236" s="34" t="n">
        <f aca="false">AVERAGE(C236:E236)</f>
        <v>108.98</v>
      </c>
      <c r="M236" s="34" t="n">
        <f aca="false">AVERAGE(C236:J236)</f>
        <v>52.2705</v>
      </c>
    </row>
    <row r="237" customFormat="false" ht="15.75" hidden="false" customHeight="true" outlineLevel="0" collapsed="false">
      <c r="A237" s="34" t="s">
        <v>82</v>
      </c>
      <c r="B237" s="34" t="n">
        <v>1641.8</v>
      </c>
      <c r="C237" s="34" t="n">
        <v>66.67</v>
      </c>
      <c r="D237" s="34" t="n">
        <v>87.3</v>
      </c>
      <c r="E237" s="34" t="n">
        <v>92.39</v>
      </c>
      <c r="F237" s="34" t="n">
        <v>-35.52</v>
      </c>
      <c r="G237" s="34" t="n">
        <v>-70</v>
      </c>
      <c r="H237" s="34" t="n">
        <v>-84.82</v>
      </c>
      <c r="I237" s="34" t="n">
        <v>-76.33</v>
      </c>
      <c r="J237" s="34" t="n">
        <v>-84.03</v>
      </c>
      <c r="K237" s="34" t="n">
        <v>1655.95</v>
      </c>
      <c r="L237" s="34" t="n">
        <f aca="false">AVERAGE(C237:E237)</f>
        <v>82.12</v>
      </c>
      <c r="M237" s="34" t="n">
        <f aca="false">AVERAGE(C237:J237)</f>
        <v>-13.0425</v>
      </c>
    </row>
    <row r="238" customFormat="false" ht="15.75" hidden="false" customHeight="true" outlineLevel="0" collapsed="false">
      <c r="A238" s="34" t="s">
        <v>753</v>
      </c>
      <c r="B238" s="34" t="n">
        <v>1639.3</v>
      </c>
      <c r="C238" s="34" t="n">
        <v>-66.67</v>
      </c>
      <c r="D238" s="34" t="n">
        <v>-43.95</v>
      </c>
      <c r="E238" s="34" t="n">
        <v>39.83</v>
      </c>
      <c r="F238" s="34" t="n">
        <v>-79.96</v>
      </c>
      <c r="G238" s="34" t="n">
        <v>-107.73</v>
      </c>
      <c r="H238" s="34" t="n">
        <v>2.16</v>
      </c>
      <c r="I238" s="34" t="n">
        <v>33.85</v>
      </c>
      <c r="J238" s="34" t="n">
        <v>44.3</v>
      </c>
      <c r="K238" s="34" t="n">
        <v>1676.91</v>
      </c>
      <c r="L238" s="34" t="n">
        <f aca="false">AVERAGE(C238:E238)</f>
        <v>-23.5966666666667</v>
      </c>
      <c r="M238" s="34" t="n">
        <f aca="false">AVERAGE(C238:J238)</f>
        <v>-22.27125</v>
      </c>
    </row>
    <row r="239" customFormat="false" ht="15.75" hidden="false" customHeight="true" outlineLevel="0" collapsed="false">
      <c r="A239" s="34" t="s">
        <v>183</v>
      </c>
      <c r="B239" s="34" t="n">
        <v>1638</v>
      </c>
      <c r="C239" s="34" t="n">
        <v>-66.67</v>
      </c>
      <c r="D239" s="34" t="n">
        <v>4.41</v>
      </c>
      <c r="E239" s="34" t="n">
        <v>67.9</v>
      </c>
      <c r="F239" s="34" t="n">
        <v>142.19</v>
      </c>
      <c r="G239" s="34" t="n">
        <v>125.28</v>
      </c>
      <c r="H239" s="34" t="n">
        <v>100.54</v>
      </c>
      <c r="I239" s="34" t="n">
        <v>93.03</v>
      </c>
      <c r="J239" s="34" t="n">
        <v>103.51</v>
      </c>
      <c r="K239" s="34" t="n">
        <v>1587.81</v>
      </c>
      <c r="L239" s="34" t="n">
        <f aca="false">AVERAGE(C239:E239)</f>
        <v>1.88</v>
      </c>
      <c r="M239" s="34" t="n">
        <f aca="false">AVERAGE(C239:J239)</f>
        <v>71.27375</v>
      </c>
    </row>
    <row r="240" customFormat="false" ht="15.75" hidden="false" customHeight="true" outlineLevel="0" collapsed="false">
      <c r="A240" s="34" t="s">
        <v>228</v>
      </c>
      <c r="B240" s="34" t="n">
        <v>1635.6</v>
      </c>
      <c r="C240" s="34" t="n">
        <v>-66.67</v>
      </c>
      <c r="D240" s="34" t="n">
        <v>12.25</v>
      </c>
      <c r="E240" s="34" t="n">
        <v>52.68</v>
      </c>
      <c r="F240" s="34" t="n">
        <v>-37.55</v>
      </c>
      <c r="G240" s="34" t="n">
        <v>-32.5</v>
      </c>
      <c r="H240" s="34" t="n">
        <v>37.22</v>
      </c>
      <c r="I240" s="34" t="n">
        <v>58.49</v>
      </c>
      <c r="J240" s="34" t="n">
        <v>73.45</v>
      </c>
      <c r="K240" s="34" t="n">
        <v>1693.54</v>
      </c>
      <c r="L240" s="34" t="n">
        <f aca="false">AVERAGE(C240:E240)</f>
        <v>-0.579999999999998</v>
      </c>
      <c r="M240" s="34" t="n">
        <f aca="false">AVERAGE(C240:J240)</f>
        <v>12.17125</v>
      </c>
    </row>
    <row r="241" customFormat="false" ht="15.75" hidden="false" customHeight="true" outlineLevel="0" collapsed="false">
      <c r="A241" s="34" t="s">
        <v>754</v>
      </c>
      <c r="B241" s="34" t="n">
        <v>1623.3</v>
      </c>
      <c r="C241" s="34" t="n">
        <v>66.67</v>
      </c>
      <c r="D241" s="34" t="n">
        <v>52.25</v>
      </c>
      <c r="E241" s="34" t="n">
        <v>-52.94</v>
      </c>
      <c r="F241" s="34" t="n">
        <v>-88.03</v>
      </c>
      <c r="G241" s="34" t="n">
        <v>-147.04</v>
      </c>
      <c r="H241" s="34" t="n">
        <v>-13.11</v>
      </c>
      <c r="I241" s="34" t="n">
        <v>22.54</v>
      </c>
      <c r="J241" s="34" t="n">
        <v>36.29</v>
      </c>
      <c r="K241" s="34" t="n">
        <v>1694.66</v>
      </c>
      <c r="L241" s="34" t="n">
        <f aca="false">AVERAGE(C241:E241)</f>
        <v>21.9933333333333</v>
      </c>
      <c r="M241" s="34" t="n">
        <f aca="false">AVERAGE(C241:J241)</f>
        <v>-15.42125</v>
      </c>
    </row>
    <row r="242" customFormat="false" ht="15.75" hidden="false" customHeight="true" outlineLevel="0" collapsed="false">
      <c r="A242" s="34" t="s">
        <v>755</v>
      </c>
      <c r="B242" s="34" t="n">
        <v>1610</v>
      </c>
      <c r="C242" s="34" t="n">
        <v>66.67</v>
      </c>
      <c r="D242" s="34" t="n">
        <v>133.33</v>
      </c>
      <c r="E242" s="34" t="n">
        <v>69.55</v>
      </c>
      <c r="F242" s="34" t="n">
        <v>-61.51</v>
      </c>
      <c r="G242" s="34" t="n">
        <v>-120.01</v>
      </c>
      <c r="H242" s="34" t="n">
        <v>-98.58</v>
      </c>
      <c r="I242" s="34" t="n">
        <v>-57.54</v>
      </c>
      <c r="J242" s="34" t="n">
        <v>-66.49</v>
      </c>
      <c r="K242" s="34" t="n">
        <v>1669.72</v>
      </c>
      <c r="L242" s="34" t="n">
        <f aca="false">AVERAGE(C242:E242)</f>
        <v>89.85</v>
      </c>
      <c r="M242" s="34" t="n">
        <f aca="false">AVERAGE(C242:J242)</f>
        <v>-16.8225</v>
      </c>
    </row>
    <row r="243" customFormat="false" ht="15.75" hidden="false" customHeight="true" outlineLevel="0" collapsed="false">
      <c r="A243" s="34" t="s">
        <v>756</v>
      </c>
      <c r="B243" s="34" t="n">
        <v>1606</v>
      </c>
      <c r="C243" s="34" t="n">
        <v>-66.67</v>
      </c>
      <c r="D243" s="34" t="n">
        <v>1.15</v>
      </c>
      <c r="E243" s="34" t="n">
        <v>76.11</v>
      </c>
      <c r="F243" s="34" t="n">
        <v>79.13</v>
      </c>
      <c r="G243" s="34" t="n">
        <v>-4.51</v>
      </c>
      <c r="H243" s="34" t="n">
        <v>-19.4</v>
      </c>
      <c r="I243" s="34" t="n">
        <v>27.52</v>
      </c>
      <c r="J243" s="34" t="n">
        <v>36.29</v>
      </c>
      <c r="K243" s="34" t="n">
        <v>1518.99</v>
      </c>
      <c r="L243" s="34" t="n">
        <f aca="false">AVERAGE(C243:E243)</f>
        <v>3.53</v>
      </c>
      <c r="M243" s="34" t="n">
        <f aca="false">AVERAGE(C243:J243)</f>
        <v>16.2025</v>
      </c>
    </row>
    <row r="244" customFormat="false" ht="15.75" hidden="false" customHeight="true" outlineLevel="0" collapsed="false">
      <c r="A244" s="34" t="s">
        <v>71</v>
      </c>
      <c r="B244" s="34" t="n">
        <v>1604.5</v>
      </c>
      <c r="C244" s="34" t="n">
        <v>-66.67</v>
      </c>
      <c r="D244" s="34" t="n">
        <v>-77.66</v>
      </c>
      <c r="E244" s="34" t="n">
        <v>-146.14</v>
      </c>
      <c r="F244" s="34" t="n">
        <v>-166.79</v>
      </c>
      <c r="G244" s="34" t="n">
        <v>-186.74</v>
      </c>
      <c r="H244" s="34" t="n">
        <v>-89.16</v>
      </c>
      <c r="I244" s="34" t="n">
        <v>-26.02</v>
      </c>
      <c r="J244" s="34" t="n">
        <v>-16.62</v>
      </c>
      <c r="K244" s="34" t="n">
        <v>1692.48</v>
      </c>
      <c r="L244" s="34" t="n">
        <f aca="false">AVERAGE(C244:E244)</f>
        <v>-96.8233333333333</v>
      </c>
      <c r="M244" s="34" t="n">
        <f aca="false">AVERAGE(C244:J244)</f>
        <v>-96.975</v>
      </c>
    </row>
    <row r="245" customFormat="false" ht="15.75" hidden="false" customHeight="true" outlineLevel="0" collapsed="false">
      <c r="A245" s="34" t="s">
        <v>757</v>
      </c>
      <c r="B245" s="34" t="n">
        <v>1604.2</v>
      </c>
      <c r="C245" s="34" t="n">
        <v>-66.67</v>
      </c>
      <c r="D245" s="34" t="n">
        <v>-99.02</v>
      </c>
      <c r="E245" s="34" t="n">
        <v>-63.27</v>
      </c>
      <c r="F245" s="34" t="n">
        <v>-72.5</v>
      </c>
      <c r="G245" s="34" t="n">
        <v>-115.19</v>
      </c>
      <c r="H245" s="34" t="n">
        <v>-0.587</v>
      </c>
      <c r="I245" s="34" t="n">
        <v>29.92</v>
      </c>
      <c r="J245" s="34" t="n">
        <v>41.61</v>
      </c>
      <c r="K245" s="34" t="n">
        <v>1703.06</v>
      </c>
      <c r="L245" s="34" t="n">
        <f aca="false">AVERAGE(C245:E245)</f>
        <v>-76.32</v>
      </c>
      <c r="M245" s="34" t="n">
        <f aca="false">AVERAGE(C245:J245)</f>
        <v>-43.213375</v>
      </c>
    </row>
    <row r="246" customFormat="false" ht="15.75" hidden="false" customHeight="true" outlineLevel="0" collapsed="false">
      <c r="A246" s="34" t="s">
        <v>84</v>
      </c>
      <c r="B246" s="34" t="n">
        <v>1592.8</v>
      </c>
      <c r="C246" s="34" t="n">
        <v>66.67</v>
      </c>
      <c r="D246" s="34" t="n">
        <v>100.32</v>
      </c>
      <c r="E246" s="34" t="n">
        <v>120.97</v>
      </c>
      <c r="F246" s="34" t="n">
        <v>150.23</v>
      </c>
      <c r="G246" s="34" t="n">
        <v>248.48</v>
      </c>
      <c r="H246" s="34" t="n">
        <v>253.5</v>
      </c>
      <c r="I246" s="34" t="n">
        <v>230.52</v>
      </c>
      <c r="J246" s="34" t="n">
        <v>233.39</v>
      </c>
      <c r="K246" s="34" t="n">
        <v>1535.7</v>
      </c>
      <c r="L246" s="34" t="n">
        <f aca="false">AVERAGE(C246:E246)</f>
        <v>95.9866666666667</v>
      </c>
      <c r="M246" s="34" t="n">
        <f aca="false">AVERAGE(C246:J246)</f>
        <v>175.51</v>
      </c>
    </row>
    <row r="247" customFormat="false" ht="15.75" hidden="false" customHeight="true" outlineLevel="0" collapsed="false">
      <c r="A247" s="34" t="s">
        <v>758</v>
      </c>
      <c r="B247" s="34" t="n">
        <v>1591.6</v>
      </c>
      <c r="C247" s="34" t="n">
        <v>-66.67</v>
      </c>
      <c r="D247" s="34" t="n">
        <v>-53.54</v>
      </c>
      <c r="E247" s="34" t="n">
        <v>56.7</v>
      </c>
      <c r="F247" s="34" t="n">
        <v>68.3</v>
      </c>
      <c r="G247" s="34" t="n">
        <v>75.15</v>
      </c>
      <c r="H247" s="34" t="n">
        <v>86.07</v>
      </c>
      <c r="I247" s="34" t="n">
        <v>99.47</v>
      </c>
      <c r="J247" s="34" t="n">
        <v>110.27</v>
      </c>
      <c r="K247" s="34" t="n">
        <v>1528.55</v>
      </c>
      <c r="L247" s="34" t="n">
        <f aca="false">AVERAGE(C247:E247)</f>
        <v>-21.17</v>
      </c>
      <c r="M247" s="34" t="n">
        <f aca="false">AVERAGE(C247:J247)</f>
        <v>46.96875</v>
      </c>
    </row>
    <row r="248" customFormat="false" ht="15.75" hidden="false" customHeight="true" outlineLevel="0" collapsed="false">
      <c r="A248" s="34" t="s">
        <v>759</v>
      </c>
      <c r="B248" s="34" t="n">
        <v>1588.8</v>
      </c>
      <c r="C248" s="34" t="n">
        <v>-66.67</v>
      </c>
      <c r="D248" s="34" t="n">
        <v>-122.92</v>
      </c>
      <c r="E248" s="34" t="n">
        <v>-172.65</v>
      </c>
      <c r="F248" s="34" t="n">
        <v>-48.62</v>
      </c>
      <c r="G248" s="34" t="n">
        <v>43.54</v>
      </c>
      <c r="H248" s="34" t="n">
        <v>73.29</v>
      </c>
      <c r="I248" s="34" t="n">
        <v>93.69</v>
      </c>
      <c r="J248" s="34" t="n">
        <v>54.25</v>
      </c>
      <c r="K248" s="34" t="n">
        <v>1568.38</v>
      </c>
      <c r="L248" s="34" t="n">
        <f aca="false">AVERAGE(C248:E248)</f>
        <v>-120.746666666667</v>
      </c>
      <c r="M248" s="34" t="n">
        <f aca="false">AVERAGE(C248:J248)</f>
        <v>-18.26125</v>
      </c>
    </row>
    <row r="249" customFormat="false" ht="15.75" hidden="false" customHeight="true" outlineLevel="0" collapsed="false">
      <c r="A249" s="34" t="s">
        <v>331</v>
      </c>
      <c r="B249" s="34" t="n">
        <v>1578</v>
      </c>
      <c r="C249" s="34" t="n">
        <v>66.67</v>
      </c>
      <c r="D249" s="34" t="n">
        <v>76.51</v>
      </c>
      <c r="E249" s="34" t="n">
        <v>122.35</v>
      </c>
      <c r="F249" s="34" t="n">
        <v>217.88</v>
      </c>
      <c r="G249" s="34" t="n">
        <v>53.48</v>
      </c>
      <c r="H249" s="34" t="n">
        <v>31.6</v>
      </c>
      <c r="I249" s="34" t="n">
        <v>21.27</v>
      </c>
      <c r="J249" s="34" t="n">
        <v>11.22</v>
      </c>
      <c r="K249" s="34" t="n">
        <v>1494.6</v>
      </c>
      <c r="L249" s="34" t="n">
        <f aca="false">AVERAGE(C249:E249)</f>
        <v>88.51</v>
      </c>
      <c r="M249" s="34" t="n">
        <f aca="false">AVERAGE(C249:J249)</f>
        <v>75.1225</v>
      </c>
    </row>
    <row r="250" customFormat="false" ht="15.75" hidden="false" customHeight="true" outlineLevel="0" collapsed="false">
      <c r="A250" s="34" t="s">
        <v>501</v>
      </c>
      <c r="B250" s="34" t="n">
        <v>1577.4</v>
      </c>
      <c r="C250" s="34" t="n">
        <v>-66.67</v>
      </c>
      <c r="D250" s="34" t="n">
        <v>-2.48</v>
      </c>
      <c r="E250" s="34" t="n">
        <v>70.6</v>
      </c>
      <c r="F250" s="34" t="n">
        <v>119.38</v>
      </c>
      <c r="G250" s="34" t="n">
        <v>96.72</v>
      </c>
      <c r="H250" s="34" t="n">
        <v>106.7</v>
      </c>
      <c r="I250" s="34" t="n">
        <v>114.82</v>
      </c>
      <c r="J250" s="34" t="n">
        <v>131.5</v>
      </c>
      <c r="K250" s="34" t="n">
        <v>1506.57</v>
      </c>
      <c r="L250" s="34" t="n">
        <f aca="false">AVERAGE(C250:E250)</f>
        <v>0.48333333333333</v>
      </c>
      <c r="M250" s="34" t="n">
        <f aca="false">AVERAGE(C250:J250)</f>
        <v>71.32125</v>
      </c>
    </row>
    <row r="251" customFormat="false" ht="15.75" hidden="false" customHeight="true" outlineLevel="0" collapsed="false">
      <c r="A251" s="34" t="s">
        <v>214</v>
      </c>
      <c r="B251" s="34" t="n">
        <v>1574.4</v>
      </c>
      <c r="C251" s="34" t="n">
        <v>-66.67</v>
      </c>
      <c r="D251" s="34" t="n">
        <v>-129.46</v>
      </c>
      <c r="E251" s="34" t="n">
        <v>42.69</v>
      </c>
      <c r="F251" s="34" t="n">
        <v>-28.48</v>
      </c>
      <c r="G251" s="34" t="n">
        <v>-74.44</v>
      </c>
      <c r="H251" s="34" t="n">
        <v>6.14</v>
      </c>
      <c r="I251" s="34" t="n">
        <v>36.81</v>
      </c>
      <c r="J251" s="34" t="n">
        <v>46.75</v>
      </c>
      <c r="K251" s="34" t="n">
        <v>1502.98</v>
      </c>
      <c r="L251" s="34" t="n">
        <f aca="false">AVERAGE(C251:E251)</f>
        <v>-51.1466666666667</v>
      </c>
      <c r="M251" s="34" t="n">
        <f aca="false">AVERAGE(C251:J251)</f>
        <v>-20.8325</v>
      </c>
    </row>
    <row r="252" customFormat="false" ht="15.75" hidden="false" customHeight="true" outlineLevel="0" collapsed="false">
      <c r="A252" s="34" t="s">
        <v>365</v>
      </c>
      <c r="B252" s="34" t="n">
        <v>1573.5</v>
      </c>
      <c r="C252" s="34" t="n">
        <v>66.67</v>
      </c>
      <c r="D252" s="34" t="n">
        <v>105.4</v>
      </c>
      <c r="E252" s="34" t="n">
        <v>210.84</v>
      </c>
      <c r="F252" s="34" t="n">
        <v>-23.66</v>
      </c>
      <c r="G252" s="34" t="n">
        <v>-70.25</v>
      </c>
      <c r="H252" s="34" t="n">
        <v>-96.26</v>
      </c>
      <c r="I252" s="34" t="n">
        <v>-73.56</v>
      </c>
      <c r="J252" s="34" t="n">
        <v>-78.58</v>
      </c>
      <c r="K252" s="34" t="n">
        <v>1478.94</v>
      </c>
      <c r="L252" s="34" t="n">
        <f aca="false">AVERAGE(C252:E252)</f>
        <v>127.636666666667</v>
      </c>
      <c r="M252" s="34" t="n">
        <f aca="false">AVERAGE(C252:J252)</f>
        <v>5.075</v>
      </c>
    </row>
    <row r="253" customFormat="false" ht="15.75" hidden="false" customHeight="true" outlineLevel="0" collapsed="false">
      <c r="A253" s="34" t="s">
        <v>128</v>
      </c>
      <c r="B253" s="34" t="n">
        <v>1556</v>
      </c>
      <c r="C253" s="34" t="n">
        <v>-66.67</v>
      </c>
      <c r="D253" s="34" t="n">
        <v>-104.68</v>
      </c>
      <c r="E253" s="34" t="n">
        <v>59.29</v>
      </c>
      <c r="F253" s="34" t="n">
        <v>88.49</v>
      </c>
      <c r="G253" s="34" t="n">
        <v>62.77</v>
      </c>
      <c r="H253" s="34" t="n">
        <v>8.35</v>
      </c>
      <c r="I253" s="34" t="n">
        <v>36.63</v>
      </c>
      <c r="J253" s="34" t="n">
        <v>28.31</v>
      </c>
      <c r="K253" s="34" t="n">
        <v>1498.58</v>
      </c>
      <c r="L253" s="34" t="n">
        <f aca="false">AVERAGE(C253:E253)</f>
        <v>-37.3533333333333</v>
      </c>
      <c r="M253" s="34" t="n">
        <f aca="false">AVERAGE(C253:J253)</f>
        <v>14.06125</v>
      </c>
    </row>
    <row r="254" customFormat="false" ht="15.75" hidden="false" customHeight="true" outlineLevel="0" collapsed="false">
      <c r="A254" s="34" t="s">
        <v>760</v>
      </c>
      <c r="B254" s="34" t="n">
        <v>1554.6</v>
      </c>
      <c r="C254" s="34" t="n">
        <v>-66.67</v>
      </c>
      <c r="D254" s="34" t="n">
        <v>-116.35</v>
      </c>
      <c r="E254" s="34" t="n">
        <v>-53.66</v>
      </c>
      <c r="F254" s="34" t="n">
        <v>-123.5</v>
      </c>
      <c r="G254" s="34" t="n">
        <v>-82.25</v>
      </c>
      <c r="H254" s="34" t="n">
        <v>-19.83</v>
      </c>
      <c r="I254" s="34" t="n">
        <v>-10.57</v>
      </c>
      <c r="J254" s="34" t="n">
        <v>-33.58</v>
      </c>
      <c r="K254" s="34" t="n">
        <v>1656.67</v>
      </c>
      <c r="L254" s="34" t="n">
        <f aca="false">AVERAGE(C254:E254)</f>
        <v>-78.8933333333333</v>
      </c>
      <c r="M254" s="34" t="n">
        <f aca="false">AVERAGE(C254:J254)</f>
        <v>-63.30125</v>
      </c>
    </row>
    <row r="255" customFormat="false" ht="15.75" hidden="false" customHeight="true" outlineLevel="0" collapsed="false">
      <c r="A255" s="34" t="s">
        <v>489</v>
      </c>
      <c r="B255" s="34" t="n">
        <v>1553.5</v>
      </c>
      <c r="C255" s="34" t="n">
        <v>66.67</v>
      </c>
      <c r="D255" s="34" t="n">
        <v>117.83</v>
      </c>
      <c r="E255" s="34" t="n">
        <v>130.06</v>
      </c>
      <c r="F255" s="34" t="n">
        <v>122.45</v>
      </c>
      <c r="G255" s="34" t="n">
        <v>151.34</v>
      </c>
      <c r="H255" s="34" t="n">
        <v>208.83</v>
      </c>
      <c r="I255" s="34" t="n">
        <v>238.05</v>
      </c>
      <c r="J255" s="34" t="n">
        <v>208.47</v>
      </c>
      <c r="K255" s="34" t="n">
        <v>1433.48</v>
      </c>
      <c r="L255" s="34" t="n">
        <f aca="false">AVERAGE(C255:E255)</f>
        <v>104.853333333333</v>
      </c>
      <c r="M255" s="34" t="n">
        <f aca="false">AVERAGE(C255:J255)</f>
        <v>155.4625</v>
      </c>
    </row>
    <row r="256" customFormat="false" ht="15.75" hidden="false" customHeight="true" outlineLevel="0" collapsed="false">
      <c r="A256" s="34" t="s">
        <v>529</v>
      </c>
      <c r="B256" s="34" t="n">
        <v>1545</v>
      </c>
      <c r="C256" s="34" t="n">
        <v>66.67</v>
      </c>
      <c r="D256" s="34" t="n">
        <v>109.55</v>
      </c>
      <c r="E256" s="34" t="n">
        <v>146.34</v>
      </c>
      <c r="F256" s="34" t="n">
        <v>90.26</v>
      </c>
      <c r="G256" s="34" t="n">
        <v>49.46</v>
      </c>
      <c r="H256" s="34" t="n">
        <v>66.68</v>
      </c>
      <c r="I256" s="34" t="n">
        <v>77.17</v>
      </c>
      <c r="J256" s="34" t="n">
        <v>91.94</v>
      </c>
      <c r="K256" s="34" t="n">
        <v>1419.38</v>
      </c>
      <c r="L256" s="34" t="n">
        <f aca="false">AVERAGE(C256:E256)</f>
        <v>107.52</v>
      </c>
      <c r="M256" s="34" t="n">
        <f aca="false">AVERAGE(C256:J256)</f>
        <v>87.25875</v>
      </c>
    </row>
    <row r="257" customFormat="false" ht="15.75" hidden="false" customHeight="true" outlineLevel="0" collapsed="false">
      <c r="A257" s="34" t="s">
        <v>321</v>
      </c>
      <c r="B257" s="34" t="n">
        <v>1532</v>
      </c>
      <c r="C257" s="34" t="n">
        <v>-66.67</v>
      </c>
      <c r="D257" s="34" t="n">
        <v>-60.13</v>
      </c>
      <c r="E257" s="34" t="n">
        <v>-6.39</v>
      </c>
      <c r="F257" s="34" t="n">
        <v>-72.46</v>
      </c>
      <c r="G257" s="34" t="n">
        <v>-39.08</v>
      </c>
      <c r="H257" s="34" t="n">
        <v>5.42</v>
      </c>
      <c r="I257" s="34" t="n">
        <v>32.56</v>
      </c>
      <c r="J257" s="34" t="n">
        <v>20.67</v>
      </c>
      <c r="K257" s="34" t="n">
        <v>1649.06</v>
      </c>
      <c r="L257" s="34" t="n">
        <f aca="false">AVERAGE(C257:E257)</f>
        <v>-44.3966666666667</v>
      </c>
      <c r="M257" s="34" t="n">
        <f aca="false">AVERAGE(C257:J257)</f>
        <v>-23.26</v>
      </c>
    </row>
    <row r="258" customFormat="false" ht="15.75" hidden="false" customHeight="true" outlineLevel="0" collapsed="false">
      <c r="A258" s="34" t="s">
        <v>383</v>
      </c>
      <c r="B258" s="34" t="n">
        <v>1529.1</v>
      </c>
      <c r="C258" s="34" t="n">
        <v>66.67</v>
      </c>
      <c r="D258" s="34" t="n">
        <v>93.43</v>
      </c>
      <c r="E258" s="34" t="n">
        <v>163.94</v>
      </c>
      <c r="F258" s="34" t="n">
        <v>-17.5</v>
      </c>
      <c r="G258" s="34" t="n">
        <v>-49.92</v>
      </c>
      <c r="H258" s="34" t="n">
        <v>26.55</v>
      </c>
      <c r="I258" s="34" t="n">
        <v>52.06</v>
      </c>
      <c r="J258" s="34" t="n">
        <v>67.68</v>
      </c>
      <c r="K258" s="34" t="n">
        <v>1551.4</v>
      </c>
      <c r="L258" s="34" t="n">
        <f aca="false">AVERAGE(C258:E258)</f>
        <v>108.013333333333</v>
      </c>
      <c r="M258" s="34" t="n">
        <f aca="false">AVERAGE(C258:J258)</f>
        <v>50.36375</v>
      </c>
    </row>
    <row r="259" customFormat="false" ht="15.75" hidden="false" customHeight="true" outlineLevel="0" collapsed="false">
      <c r="A259" s="34" t="s">
        <v>130</v>
      </c>
      <c r="B259" s="34" t="n">
        <v>1524.1</v>
      </c>
      <c r="C259" s="34" t="n">
        <v>66.67</v>
      </c>
      <c r="D259" s="34" t="n">
        <v>-6.6</v>
      </c>
      <c r="E259" s="34" t="n">
        <v>68.23</v>
      </c>
      <c r="F259" s="34" t="n">
        <v>30.18</v>
      </c>
      <c r="G259" s="34" t="n">
        <v>-29.61</v>
      </c>
      <c r="H259" s="34" t="n">
        <v>-49.41</v>
      </c>
      <c r="I259" s="34" t="n">
        <v>-15.39</v>
      </c>
      <c r="J259" s="34" t="n">
        <v>24.11</v>
      </c>
      <c r="K259" s="34" t="n">
        <v>1448.47</v>
      </c>
      <c r="L259" s="34" t="n">
        <f aca="false">AVERAGE(C259:E259)</f>
        <v>42.7666666666667</v>
      </c>
      <c r="M259" s="34" t="n">
        <f aca="false">AVERAGE(C259:J259)</f>
        <v>11.0225</v>
      </c>
    </row>
    <row r="260" customFormat="false" ht="15.75" hidden="false" customHeight="true" outlineLevel="0" collapsed="false">
      <c r="A260" s="34" t="s">
        <v>761</v>
      </c>
      <c r="B260" s="34" t="n">
        <v>1520.4</v>
      </c>
      <c r="C260" s="34" t="n">
        <v>66.67</v>
      </c>
      <c r="D260" s="34" t="n">
        <v>17.54</v>
      </c>
      <c r="E260" s="34" t="n">
        <v>54.7</v>
      </c>
      <c r="F260" s="34" t="n">
        <v>17.41</v>
      </c>
      <c r="G260" s="34" t="n">
        <v>-59.21</v>
      </c>
      <c r="H260" s="34" t="n">
        <v>-32.02</v>
      </c>
      <c r="I260" s="34" t="n">
        <v>11.42</v>
      </c>
      <c r="J260" s="34" t="n">
        <v>9.67</v>
      </c>
      <c r="K260" s="34" t="n">
        <v>1449.78</v>
      </c>
      <c r="L260" s="34" t="n">
        <f aca="false">AVERAGE(C260:E260)</f>
        <v>46.3033333333333</v>
      </c>
      <c r="M260" s="34" t="n">
        <f aca="false">AVERAGE(C260:J260)</f>
        <v>10.7725</v>
      </c>
    </row>
    <row r="261" customFormat="false" ht="15.75" hidden="false" customHeight="true" outlineLevel="0" collapsed="false">
      <c r="A261" s="34" t="s">
        <v>308</v>
      </c>
      <c r="B261" s="34" t="n">
        <v>1517.6</v>
      </c>
      <c r="C261" s="34" t="n">
        <v>-66.67</v>
      </c>
      <c r="D261" s="34" t="n">
        <v>-81.35</v>
      </c>
      <c r="E261" s="34" t="n">
        <v>-53.51</v>
      </c>
      <c r="F261" s="34" t="n">
        <v>-91.3</v>
      </c>
      <c r="G261" s="34" t="n">
        <v>-114.37</v>
      </c>
      <c r="H261" s="34" t="n">
        <v>-81.91</v>
      </c>
      <c r="I261" s="34" t="n">
        <v>-21.7</v>
      </c>
      <c r="J261" s="34" t="n">
        <v>0.897</v>
      </c>
      <c r="K261" s="34" t="n">
        <v>1487.23</v>
      </c>
      <c r="L261" s="34" t="n">
        <f aca="false">AVERAGE(C261:E261)</f>
        <v>-67.1766666666667</v>
      </c>
      <c r="M261" s="34" t="n">
        <f aca="false">AVERAGE(C261:J261)</f>
        <v>-63.739125</v>
      </c>
    </row>
    <row r="262" customFormat="false" ht="15.75" hidden="false" customHeight="true" outlineLevel="0" collapsed="false">
      <c r="A262" s="34" t="s">
        <v>762</v>
      </c>
      <c r="B262" s="34" t="n">
        <v>1512.1</v>
      </c>
      <c r="C262" s="34" t="n">
        <v>-66.67</v>
      </c>
      <c r="D262" s="34" t="n">
        <v>-71.41</v>
      </c>
      <c r="E262" s="34" t="n">
        <v>-24.01</v>
      </c>
      <c r="F262" s="34" t="n">
        <v>-72.82</v>
      </c>
      <c r="G262" s="34" t="n">
        <v>-123.58</v>
      </c>
      <c r="H262" s="34" t="n">
        <v>-32.12</v>
      </c>
      <c r="I262" s="34" t="n">
        <v>4.31</v>
      </c>
      <c r="J262" s="34" t="n">
        <v>-6.44</v>
      </c>
      <c r="K262" s="34" t="n">
        <v>1608.45</v>
      </c>
      <c r="L262" s="34" t="n">
        <f aca="false">AVERAGE(C262:E262)</f>
        <v>-54.03</v>
      </c>
      <c r="M262" s="34" t="n">
        <f aca="false">AVERAGE(C262:J262)</f>
        <v>-49.0925</v>
      </c>
    </row>
    <row r="263" customFormat="false" ht="15.75" hidden="false" customHeight="true" outlineLevel="0" collapsed="false">
      <c r="A263" s="34" t="s">
        <v>763</v>
      </c>
      <c r="B263" s="34" t="n">
        <v>1506.5</v>
      </c>
      <c r="C263" s="34" t="n">
        <v>66.67</v>
      </c>
      <c r="D263" s="34" t="n">
        <v>67.72</v>
      </c>
      <c r="E263" s="34" t="n">
        <v>108.82</v>
      </c>
      <c r="F263" s="34" t="n">
        <v>-4.01</v>
      </c>
      <c r="G263" s="34" t="n">
        <v>-64.91</v>
      </c>
      <c r="H263" s="34" t="n">
        <v>-103.07</v>
      </c>
      <c r="I263" s="34" t="n">
        <v>-124.7</v>
      </c>
      <c r="J263" s="34" t="n">
        <v>-129.65</v>
      </c>
      <c r="K263" s="34" t="n">
        <v>1430.43</v>
      </c>
      <c r="L263" s="34" t="n">
        <f aca="false">AVERAGE(C263:E263)</f>
        <v>81.07</v>
      </c>
      <c r="M263" s="34" t="n">
        <f aca="false">AVERAGE(C263:J263)</f>
        <v>-22.89125</v>
      </c>
    </row>
    <row r="264" customFormat="false" ht="15.75" hidden="false" customHeight="true" outlineLevel="0" collapsed="false">
      <c r="A264" s="34" t="s">
        <v>764</v>
      </c>
      <c r="B264" s="34" t="n">
        <v>1505</v>
      </c>
      <c r="C264" s="34" t="n">
        <v>66.67</v>
      </c>
      <c r="D264" s="34" t="n">
        <v>63.74</v>
      </c>
      <c r="E264" s="34" t="n">
        <v>72.36</v>
      </c>
      <c r="F264" s="34" t="n">
        <v>-45.11</v>
      </c>
      <c r="G264" s="34" t="n">
        <v>-74.59</v>
      </c>
      <c r="H264" s="34" t="n">
        <v>12.98</v>
      </c>
      <c r="I264" s="34" t="n">
        <v>39.81</v>
      </c>
      <c r="J264" s="34" t="n">
        <v>43.5</v>
      </c>
      <c r="K264" s="34" t="n">
        <v>1550.82</v>
      </c>
      <c r="L264" s="34" t="n">
        <f aca="false">AVERAGE(C264:E264)</f>
        <v>67.59</v>
      </c>
      <c r="M264" s="34" t="n">
        <f aca="false">AVERAGE(C264:J264)</f>
        <v>22.42</v>
      </c>
    </row>
    <row r="265" customFormat="false" ht="15.75" hidden="false" customHeight="true" outlineLevel="0" collapsed="false">
      <c r="A265" s="34" t="s">
        <v>89</v>
      </c>
      <c r="B265" s="34" t="n">
        <v>1505</v>
      </c>
      <c r="C265" s="34" t="n">
        <v>-66.67</v>
      </c>
      <c r="D265" s="34" t="n">
        <v>17.89</v>
      </c>
      <c r="E265" s="34" t="n">
        <v>64.7</v>
      </c>
      <c r="F265" s="34" t="n">
        <v>5.35</v>
      </c>
      <c r="G265" s="34" t="n">
        <v>-59.37</v>
      </c>
      <c r="H265" s="34" t="n">
        <v>-38.61</v>
      </c>
      <c r="I265" s="34" t="n">
        <v>-7.96</v>
      </c>
      <c r="J265" s="34" t="n">
        <v>-28.14</v>
      </c>
      <c r="K265" s="34" t="n">
        <v>1452.74</v>
      </c>
      <c r="L265" s="34" t="n">
        <f aca="false">AVERAGE(C265:E265)</f>
        <v>5.30666666666667</v>
      </c>
      <c r="M265" s="34" t="n">
        <f aca="false">AVERAGE(C265:J265)</f>
        <v>-14.10125</v>
      </c>
    </row>
    <row r="266" customFormat="false" ht="15.75" hidden="false" customHeight="true" outlineLevel="0" collapsed="false">
      <c r="A266" s="34" t="s">
        <v>765</v>
      </c>
      <c r="B266" s="34" t="n">
        <v>1492.6</v>
      </c>
      <c r="C266" s="34" t="n">
        <v>66.67</v>
      </c>
      <c r="D266" s="34" t="n">
        <v>133.33</v>
      </c>
      <c r="E266" s="34" t="n">
        <v>225.66</v>
      </c>
      <c r="F266" s="34" t="n">
        <v>-53.31</v>
      </c>
      <c r="G266" s="34" t="n">
        <v>-107.14</v>
      </c>
      <c r="H266" s="34" t="n">
        <v>-76.44</v>
      </c>
      <c r="I266" s="34" t="n">
        <v>-40.8</v>
      </c>
      <c r="J266" s="34" t="n">
        <v>-39.21</v>
      </c>
      <c r="K266" s="34" t="n">
        <v>1533.92</v>
      </c>
      <c r="L266" s="34" t="n">
        <f aca="false">AVERAGE(C266:E266)</f>
        <v>141.886666666667</v>
      </c>
      <c r="M266" s="34" t="n">
        <f aca="false">AVERAGE(C266:J266)</f>
        <v>13.595</v>
      </c>
    </row>
    <row r="267" customFormat="false" ht="15.75" hidden="false" customHeight="true" outlineLevel="0" collapsed="false">
      <c r="A267" s="34" t="s">
        <v>392</v>
      </c>
      <c r="B267" s="34" t="n">
        <v>1490</v>
      </c>
      <c r="C267" s="34" t="n">
        <v>66.67</v>
      </c>
      <c r="D267" s="34" t="n">
        <v>30.18</v>
      </c>
      <c r="E267" s="34" t="n">
        <v>77.69</v>
      </c>
      <c r="F267" s="34" t="n">
        <v>149.31</v>
      </c>
      <c r="G267" s="34" t="n">
        <v>165.26</v>
      </c>
      <c r="H267" s="34" t="n">
        <v>110.12</v>
      </c>
      <c r="I267" s="34" t="n">
        <v>109.45</v>
      </c>
      <c r="J267" s="34" t="n">
        <v>118.17</v>
      </c>
      <c r="K267" s="34" t="n">
        <v>1386.51</v>
      </c>
      <c r="L267" s="34" t="n">
        <f aca="false">AVERAGE(C267:E267)</f>
        <v>58.18</v>
      </c>
      <c r="M267" s="34" t="n">
        <f aca="false">AVERAGE(C267:J267)</f>
        <v>103.35625</v>
      </c>
    </row>
    <row r="268" customFormat="false" ht="15.75" hidden="false" customHeight="true" outlineLevel="0" collapsed="false">
      <c r="A268" s="34" t="s">
        <v>132</v>
      </c>
      <c r="B268" s="34" t="n">
        <v>1487.5</v>
      </c>
      <c r="C268" s="34" t="n">
        <v>-66.67</v>
      </c>
      <c r="D268" s="34" t="n">
        <v>57.16</v>
      </c>
      <c r="E268" s="34" t="n">
        <v>121.09</v>
      </c>
      <c r="F268" s="34" t="n">
        <v>-16.48</v>
      </c>
      <c r="G268" s="34" t="n">
        <v>-70.78</v>
      </c>
      <c r="H268" s="34" t="n">
        <v>-59.49</v>
      </c>
      <c r="I268" s="34" t="n">
        <v>-63.55</v>
      </c>
      <c r="J268" s="34" t="n">
        <v>-74.57</v>
      </c>
      <c r="K268" s="34" t="n">
        <v>1438.21</v>
      </c>
      <c r="L268" s="34" t="n">
        <f aca="false">AVERAGE(C268:E268)</f>
        <v>37.1933333333333</v>
      </c>
      <c r="M268" s="34" t="n">
        <f aca="false">AVERAGE(C268:J268)</f>
        <v>-21.66125</v>
      </c>
    </row>
    <row r="269" customFormat="false" ht="15.75" hidden="false" customHeight="true" outlineLevel="0" collapsed="false">
      <c r="A269" s="34" t="s">
        <v>766</v>
      </c>
      <c r="B269" s="34" t="n">
        <v>1484.7</v>
      </c>
      <c r="C269" s="34" t="n">
        <v>-66.67</v>
      </c>
      <c r="D269" s="34" t="n">
        <v>-133.33</v>
      </c>
      <c r="E269" s="34" t="n">
        <v>72.78</v>
      </c>
      <c r="F269" s="34" t="n">
        <v>-42.09</v>
      </c>
      <c r="G269" s="34" t="n">
        <v>-77.64</v>
      </c>
      <c r="H269" s="34" t="n">
        <v>-25.06</v>
      </c>
      <c r="I269" s="34" t="n">
        <v>10.09</v>
      </c>
      <c r="J269" s="34" t="n">
        <v>11.06</v>
      </c>
      <c r="K269" s="34" t="n">
        <v>1406.64</v>
      </c>
      <c r="L269" s="34" t="n">
        <f aca="false">AVERAGE(C269:E269)</f>
        <v>-42.4066666666667</v>
      </c>
      <c r="M269" s="34" t="n">
        <f aca="false">AVERAGE(C269:J269)</f>
        <v>-31.3575</v>
      </c>
    </row>
    <row r="270" customFormat="false" ht="15.75" hidden="false" customHeight="true" outlineLevel="0" collapsed="false">
      <c r="A270" s="34" t="s">
        <v>767</v>
      </c>
      <c r="B270" s="34" t="n">
        <v>1479.4</v>
      </c>
      <c r="C270" s="34" t="n">
        <v>-66.67</v>
      </c>
      <c r="D270" s="34" t="n">
        <v>-71.68</v>
      </c>
      <c r="E270" s="34" t="n">
        <v>-74.35</v>
      </c>
      <c r="F270" s="34" t="n">
        <v>-89.07</v>
      </c>
      <c r="G270" s="34" t="n">
        <v>-108.86</v>
      </c>
      <c r="H270" s="34" t="n">
        <v>-29.43</v>
      </c>
      <c r="I270" s="34" t="n">
        <v>-7.65</v>
      </c>
      <c r="J270" s="34" t="n">
        <v>-1.47</v>
      </c>
      <c r="K270" s="34" t="n">
        <v>1583.56</v>
      </c>
      <c r="L270" s="34" t="n">
        <f aca="false">AVERAGE(C270:E270)</f>
        <v>-70.9</v>
      </c>
      <c r="M270" s="34" t="n">
        <f aca="false">AVERAGE(C270:J270)</f>
        <v>-56.1475</v>
      </c>
    </row>
    <row r="271" customFormat="false" ht="15.75" hidden="false" customHeight="true" outlineLevel="0" collapsed="false">
      <c r="A271" s="34" t="s">
        <v>518</v>
      </c>
      <c r="B271" s="34" t="n">
        <v>1478.6</v>
      </c>
      <c r="C271" s="34" t="n">
        <v>-66.67</v>
      </c>
      <c r="D271" s="34" t="n">
        <v>-87</v>
      </c>
      <c r="E271" s="34" t="n">
        <v>-130.14</v>
      </c>
      <c r="F271" s="34" t="n">
        <v>-103.05</v>
      </c>
      <c r="G271" s="34" t="n">
        <v>-75.07</v>
      </c>
      <c r="H271" s="34" t="n">
        <v>12.41</v>
      </c>
      <c r="I271" s="34" t="n">
        <v>39.11</v>
      </c>
      <c r="J271" s="34" t="n">
        <v>54.79</v>
      </c>
      <c r="K271" s="34" t="n">
        <v>1590.6</v>
      </c>
      <c r="L271" s="34" t="n">
        <f aca="false">AVERAGE(C271:E271)</f>
        <v>-94.6033333333333</v>
      </c>
      <c r="M271" s="34" t="n">
        <f aca="false">AVERAGE(C271:J271)</f>
        <v>-44.4525</v>
      </c>
    </row>
    <row r="272" customFormat="false" ht="15.75" hidden="false" customHeight="true" outlineLevel="0" collapsed="false">
      <c r="A272" s="34" t="s">
        <v>768</v>
      </c>
      <c r="B272" s="34" t="n">
        <v>1475.1</v>
      </c>
      <c r="C272" s="34" t="n">
        <v>66.67</v>
      </c>
      <c r="D272" s="34" t="n">
        <v>-38.02</v>
      </c>
      <c r="E272" s="34" t="n">
        <v>63.64</v>
      </c>
      <c r="F272" s="34" t="n">
        <v>73.22</v>
      </c>
      <c r="G272" s="34" t="n">
        <v>1.74</v>
      </c>
      <c r="H272" s="34" t="n">
        <v>32.62</v>
      </c>
      <c r="I272" s="34" t="n">
        <v>60.71</v>
      </c>
      <c r="J272" s="34" t="n">
        <v>49.66</v>
      </c>
      <c r="K272" s="34" t="n">
        <v>1372.06</v>
      </c>
      <c r="L272" s="34" t="n">
        <f aca="false">AVERAGE(C272:E272)</f>
        <v>30.7633333333333</v>
      </c>
      <c r="M272" s="34" t="n">
        <f aca="false">AVERAGE(C272:J272)</f>
        <v>38.78</v>
      </c>
    </row>
    <row r="273" customFormat="false" ht="15.75" hidden="false" customHeight="true" outlineLevel="0" collapsed="false">
      <c r="A273" s="34" t="s">
        <v>75</v>
      </c>
      <c r="B273" s="34" t="n">
        <v>1466.3</v>
      </c>
      <c r="C273" s="34" t="n">
        <v>-66.67</v>
      </c>
      <c r="D273" s="34" t="n">
        <v>-75.78</v>
      </c>
      <c r="E273" s="34" t="n">
        <v>-103.16</v>
      </c>
      <c r="F273" s="34" t="n">
        <v>-61.63</v>
      </c>
      <c r="G273" s="34" t="n">
        <v>-88.43</v>
      </c>
      <c r="H273" s="34" t="n">
        <v>-100.98</v>
      </c>
      <c r="I273" s="34" t="n">
        <v>-92.31</v>
      </c>
      <c r="J273" s="34" t="n">
        <v>-102.56</v>
      </c>
      <c r="K273" s="34" t="n">
        <v>1509.46</v>
      </c>
      <c r="L273" s="34" t="n">
        <f aca="false">AVERAGE(C273:E273)</f>
        <v>-81.87</v>
      </c>
      <c r="M273" s="34" t="n">
        <f aca="false">AVERAGE(C273:J273)</f>
        <v>-86.44</v>
      </c>
    </row>
    <row r="274" customFormat="false" ht="15.75" hidden="false" customHeight="true" outlineLevel="0" collapsed="false">
      <c r="A274" s="34" t="s">
        <v>769</v>
      </c>
      <c r="B274" s="34" t="n">
        <v>1458</v>
      </c>
      <c r="C274" s="34" t="n">
        <v>-66.67</v>
      </c>
      <c r="D274" s="34" t="n">
        <v>0.802</v>
      </c>
      <c r="E274" s="34" t="n">
        <v>48.97</v>
      </c>
      <c r="F274" s="34" t="n">
        <v>-69.22</v>
      </c>
      <c r="G274" s="34" t="n">
        <v>-109.59</v>
      </c>
      <c r="H274" s="34" t="n">
        <v>-87.05</v>
      </c>
      <c r="I274" s="34" t="n">
        <v>-24.03</v>
      </c>
      <c r="J274" s="34" t="n">
        <v>-9.58</v>
      </c>
      <c r="K274" s="34" t="n">
        <v>1370.92</v>
      </c>
      <c r="L274" s="34" t="n">
        <f aca="false">AVERAGE(C274:E274)</f>
        <v>-5.63266666666667</v>
      </c>
      <c r="M274" s="34" t="n">
        <f aca="false">AVERAGE(C274:J274)</f>
        <v>-39.546</v>
      </c>
    </row>
    <row r="275" customFormat="false" ht="15.75" hidden="false" customHeight="true" outlineLevel="0" collapsed="false">
      <c r="A275" s="34" t="s">
        <v>770</v>
      </c>
      <c r="B275" s="34" t="n">
        <v>1450</v>
      </c>
      <c r="C275" s="34" t="n">
        <v>-66.67</v>
      </c>
      <c r="D275" s="34" t="n">
        <v>-90.68</v>
      </c>
      <c r="E275" s="34" t="n">
        <v>-122.09</v>
      </c>
      <c r="F275" s="34" t="n">
        <v>-131.1</v>
      </c>
      <c r="G275" s="34" t="n">
        <v>-121.58</v>
      </c>
      <c r="H275" s="34" t="n">
        <v>-130.74</v>
      </c>
      <c r="I275" s="34"/>
      <c r="J275" s="34"/>
      <c r="K275" s="34" t="n">
        <v>1578.24</v>
      </c>
      <c r="L275" s="34" t="n">
        <f aca="false">AVERAGE(C275:E275)</f>
        <v>-93.1466666666667</v>
      </c>
      <c r="M275" s="34" t="n">
        <f aca="false">AVERAGE(C275:J275)</f>
        <v>-110.476666666667</v>
      </c>
    </row>
    <row r="276" customFormat="false" ht="15.75" hidden="false" customHeight="true" outlineLevel="0" collapsed="false">
      <c r="A276" s="34" t="s">
        <v>771</v>
      </c>
      <c r="B276" s="34" t="n">
        <v>1443</v>
      </c>
      <c r="C276" s="34" t="n">
        <v>-66.67</v>
      </c>
      <c r="D276" s="34" t="n">
        <v>-105.36</v>
      </c>
      <c r="E276" s="34" t="n">
        <v>-131.63</v>
      </c>
      <c r="F276" s="34" t="n">
        <v>-139.77</v>
      </c>
      <c r="G276" s="34" t="n">
        <v>-92.66</v>
      </c>
      <c r="H276" s="34" t="n">
        <v>-88.79</v>
      </c>
      <c r="I276" s="34" t="n">
        <v>-68.45</v>
      </c>
      <c r="J276" s="34" t="n">
        <v>-62.31</v>
      </c>
      <c r="K276" s="34" t="n">
        <v>1432.18</v>
      </c>
      <c r="L276" s="34" t="n">
        <f aca="false">AVERAGE(C276:E276)</f>
        <v>-101.22</v>
      </c>
      <c r="M276" s="34" t="n">
        <f aca="false">AVERAGE(C276:J276)</f>
        <v>-94.455</v>
      </c>
    </row>
    <row r="277" customFormat="false" ht="15.75" hidden="false" customHeight="true" outlineLevel="0" collapsed="false">
      <c r="A277" s="34" t="s">
        <v>525</v>
      </c>
      <c r="B277" s="34" t="n">
        <v>1442.6</v>
      </c>
      <c r="C277" s="34" t="n">
        <v>-66.67</v>
      </c>
      <c r="D277" s="34" t="n">
        <v>-133.33</v>
      </c>
      <c r="E277" s="34" t="n">
        <v>9.5</v>
      </c>
      <c r="F277" s="34" t="n">
        <v>71.33</v>
      </c>
      <c r="G277" s="34" t="n">
        <v>96.09</v>
      </c>
      <c r="H277" s="34" t="n">
        <v>94.85</v>
      </c>
      <c r="I277" s="34" t="n">
        <v>107.53</v>
      </c>
      <c r="J277" s="34" t="n">
        <v>50.44</v>
      </c>
      <c r="K277" s="34" t="n">
        <v>1375.82</v>
      </c>
      <c r="L277" s="34" t="n">
        <f aca="false">AVERAGE(C277:E277)</f>
        <v>-63.5</v>
      </c>
      <c r="M277" s="34" t="n">
        <f aca="false">AVERAGE(C277:J277)</f>
        <v>28.7175</v>
      </c>
    </row>
    <row r="278" customFormat="false" ht="15.75" hidden="false" customHeight="true" outlineLevel="0" collapsed="false">
      <c r="A278" s="34" t="s">
        <v>772</v>
      </c>
      <c r="B278" s="34" t="n">
        <v>1441.1</v>
      </c>
      <c r="C278" s="34" t="n">
        <v>-66.67</v>
      </c>
      <c r="D278" s="34" t="n">
        <v>37.3</v>
      </c>
      <c r="E278" s="34" t="n">
        <v>-29.01</v>
      </c>
      <c r="F278" s="34" t="n">
        <v>-105.84</v>
      </c>
      <c r="G278" s="34" t="n">
        <v>-101</v>
      </c>
      <c r="H278" s="34" t="n">
        <v>-92.23</v>
      </c>
      <c r="I278" s="34" t="n">
        <v>-81.95</v>
      </c>
      <c r="J278" s="34" t="n">
        <v>-74.6</v>
      </c>
      <c r="K278" s="34" t="n">
        <v>1534.39</v>
      </c>
      <c r="L278" s="34" t="n">
        <f aca="false">AVERAGE(C278:E278)</f>
        <v>-19.46</v>
      </c>
      <c r="M278" s="34" t="n">
        <f aca="false">AVERAGE(C278:J278)</f>
        <v>-64.25</v>
      </c>
    </row>
    <row r="279" customFormat="false" ht="15.75" hidden="false" customHeight="true" outlineLevel="0" collapsed="false">
      <c r="A279" s="34" t="s">
        <v>42</v>
      </c>
      <c r="B279" s="34" t="n">
        <v>1436.4</v>
      </c>
      <c r="C279" s="34" t="n">
        <v>-66.67</v>
      </c>
      <c r="D279" s="34" t="n">
        <v>18.94</v>
      </c>
      <c r="E279" s="34" t="n">
        <v>53.75</v>
      </c>
      <c r="F279" s="34" t="n">
        <v>-33.9</v>
      </c>
      <c r="G279" s="34" t="n">
        <v>-14.27</v>
      </c>
      <c r="H279" s="34" t="n">
        <v>1.43</v>
      </c>
      <c r="I279" s="34" t="n">
        <v>44.14</v>
      </c>
      <c r="J279" s="34" t="n">
        <v>55.7</v>
      </c>
      <c r="K279" s="34" t="n">
        <v>1456.09</v>
      </c>
      <c r="L279" s="34" t="n">
        <f aca="false">AVERAGE(C279:E279)</f>
        <v>2.00666666666667</v>
      </c>
      <c r="M279" s="34" t="n">
        <f aca="false">AVERAGE(C279:J279)</f>
        <v>7.39</v>
      </c>
    </row>
    <row r="280" customFormat="false" ht="15.75" hidden="false" customHeight="true" outlineLevel="0" collapsed="false">
      <c r="A280" s="34" t="s">
        <v>773</v>
      </c>
      <c r="B280" s="34" t="n">
        <v>1433.8</v>
      </c>
      <c r="C280" s="34" t="n">
        <v>66.67</v>
      </c>
      <c r="D280" s="34" t="n">
        <v>-50.8</v>
      </c>
      <c r="E280" s="34" t="n">
        <v>-106.3</v>
      </c>
      <c r="F280" s="34" t="n">
        <v>50.29</v>
      </c>
      <c r="G280" s="34" t="n">
        <v>103.16</v>
      </c>
      <c r="H280" s="34" t="n">
        <v>127.26</v>
      </c>
      <c r="I280" s="34" t="n">
        <v>129.68</v>
      </c>
      <c r="J280" s="34" t="n">
        <v>147.59</v>
      </c>
      <c r="K280" s="34" t="n">
        <v>1372.03</v>
      </c>
      <c r="L280" s="34" t="n">
        <f aca="false">AVERAGE(C280:E280)</f>
        <v>-30.1433333333333</v>
      </c>
      <c r="M280" s="34" t="n">
        <f aca="false">AVERAGE(C280:J280)</f>
        <v>58.44375</v>
      </c>
    </row>
    <row r="281" customFormat="false" ht="15.75" hidden="false" customHeight="true" outlineLevel="0" collapsed="false">
      <c r="A281" s="34" t="s">
        <v>774</v>
      </c>
      <c r="B281" s="34" t="n">
        <v>1433</v>
      </c>
      <c r="C281" s="34" t="n">
        <v>-66.67</v>
      </c>
      <c r="D281" s="34" t="n">
        <v>-55.15</v>
      </c>
      <c r="E281" s="34" t="n">
        <v>63.19</v>
      </c>
      <c r="F281" s="34" t="n">
        <v>112.97</v>
      </c>
      <c r="G281" s="34" t="n">
        <v>118.13</v>
      </c>
      <c r="H281" s="34" t="n">
        <v>134.58</v>
      </c>
      <c r="I281" s="34" t="n">
        <v>161.41</v>
      </c>
      <c r="J281" s="34" t="n">
        <v>194.91</v>
      </c>
      <c r="K281" s="34" t="n">
        <v>1344.4</v>
      </c>
      <c r="L281" s="34" t="n">
        <f aca="false">AVERAGE(C281:E281)</f>
        <v>-19.5433333333333</v>
      </c>
      <c r="M281" s="34" t="n">
        <f aca="false">AVERAGE(C281:J281)</f>
        <v>82.92125</v>
      </c>
    </row>
    <row r="282" customFormat="false" ht="15.75" hidden="false" customHeight="true" outlineLevel="0" collapsed="false">
      <c r="A282" s="34" t="s">
        <v>195</v>
      </c>
      <c r="B282" s="34" t="n">
        <v>1425.1</v>
      </c>
      <c r="C282" s="34" t="n">
        <v>66.67</v>
      </c>
      <c r="D282" s="34" t="n">
        <v>73.66</v>
      </c>
      <c r="E282" s="34" t="n">
        <v>104.2</v>
      </c>
      <c r="F282" s="34" t="n">
        <v>5.45</v>
      </c>
      <c r="G282" s="34" t="n">
        <v>-51.95</v>
      </c>
      <c r="H282" s="34" t="n">
        <v>-9.38</v>
      </c>
      <c r="I282" s="34" t="n">
        <v>19.16</v>
      </c>
      <c r="J282" s="34" t="n">
        <v>12.64</v>
      </c>
      <c r="K282" s="34" t="n">
        <v>1341.62</v>
      </c>
      <c r="L282" s="34" t="n">
        <f aca="false">AVERAGE(C282:E282)</f>
        <v>81.51</v>
      </c>
      <c r="M282" s="34" t="n">
        <f aca="false">AVERAGE(C282:J282)</f>
        <v>27.55625</v>
      </c>
    </row>
    <row r="283" customFormat="false" ht="15.75" hidden="false" customHeight="true" outlineLevel="0" collapsed="false">
      <c r="A283" s="34" t="s">
        <v>775</v>
      </c>
      <c r="B283" s="34" t="n">
        <v>1423.9</v>
      </c>
      <c r="C283" s="34" t="n">
        <v>66.67</v>
      </c>
      <c r="D283" s="34" t="n">
        <v>120.25</v>
      </c>
      <c r="E283" s="34" t="n">
        <v>116.08</v>
      </c>
      <c r="F283" s="34" t="n">
        <v>140.09</v>
      </c>
      <c r="G283" s="34" t="n">
        <v>194.56</v>
      </c>
      <c r="H283" s="34" t="n">
        <v>266.7</v>
      </c>
      <c r="I283" s="34" t="n">
        <v>280.68</v>
      </c>
      <c r="J283" s="34" t="n">
        <v>266.87</v>
      </c>
      <c r="K283" s="34" t="n">
        <v>1315.98</v>
      </c>
      <c r="L283" s="34" t="n">
        <f aca="false">AVERAGE(C283:E283)</f>
        <v>101</v>
      </c>
      <c r="M283" s="34" t="n">
        <f aca="false">AVERAGE(C283:J283)</f>
        <v>181.4875</v>
      </c>
    </row>
    <row r="284" customFormat="false" ht="15.75" hidden="false" customHeight="true" outlineLevel="0" collapsed="false">
      <c r="A284" s="34" t="s">
        <v>776</v>
      </c>
      <c r="B284" s="34" t="n">
        <v>1422.1</v>
      </c>
      <c r="C284" s="34" t="n">
        <v>66.67</v>
      </c>
      <c r="D284" s="34" t="n">
        <v>-34.17</v>
      </c>
      <c r="E284" s="34" t="n">
        <v>33.95</v>
      </c>
      <c r="F284" s="34" t="n">
        <v>-7.47</v>
      </c>
      <c r="G284" s="34" t="n">
        <v>44.13</v>
      </c>
      <c r="H284" s="34" t="n">
        <v>71.89</v>
      </c>
      <c r="I284" s="34" t="n">
        <v>96.52</v>
      </c>
      <c r="J284" s="34" t="n">
        <v>37.34</v>
      </c>
      <c r="K284" s="34" t="n">
        <v>1330.63</v>
      </c>
      <c r="L284" s="34" t="n">
        <f aca="false">AVERAGE(C284:E284)</f>
        <v>22.15</v>
      </c>
      <c r="M284" s="34" t="n">
        <f aca="false">AVERAGE(C284:J284)</f>
        <v>38.6075</v>
      </c>
    </row>
    <row r="285" customFormat="false" ht="15.75" hidden="false" customHeight="true" outlineLevel="0" collapsed="false">
      <c r="A285" s="34" t="s">
        <v>777</v>
      </c>
      <c r="B285" s="34" t="n">
        <v>1422.1</v>
      </c>
      <c r="C285" s="34" t="n">
        <v>-66.67</v>
      </c>
      <c r="D285" s="34" t="n">
        <v>-6.63</v>
      </c>
      <c r="E285" s="34" t="n">
        <v>65.49</v>
      </c>
      <c r="F285" s="34" t="n">
        <v>-67.34</v>
      </c>
      <c r="G285" s="34" t="n">
        <v>-129.5</v>
      </c>
      <c r="H285" s="34" t="n">
        <v>-145.08</v>
      </c>
      <c r="I285" s="34" t="n">
        <v>-152.48</v>
      </c>
      <c r="J285" s="34" t="n">
        <v>-125</v>
      </c>
      <c r="K285" s="34" t="n">
        <v>1489.59</v>
      </c>
      <c r="L285" s="34" t="n">
        <f aca="false">AVERAGE(C285:E285)</f>
        <v>-2.60333333333334</v>
      </c>
      <c r="M285" s="34" t="n">
        <f aca="false">AVERAGE(C285:J285)</f>
        <v>-78.40125</v>
      </c>
    </row>
    <row r="286" customFormat="false" ht="15.75" hidden="false" customHeight="true" outlineLevel="0" collapsed="false">
      <c r="A286" s="34" t="s">
        <v>120</v>
      </c>
      <c r="B286" s="34" t="n">
        <v>1418.4</v>
      </c>
      <c r="C286" s="34" t="n">
        <v>66.67</v>
      </c>
      <c r="D286" s="34" t="n">
        <v>125.35</v>
      </c>
      <c r="E286" s="34" t="n">
        <v>144.71</v>
      </c>
      <c r="F286" s="34" t="n">
        <v>-55.53</v>
      </c>
      <c r="G286" s="34" t="n">
        <v>-20.73</v>
      </c>
      <c r="H286" s="34" t="n">
        <v>-26.83</v>
      </c>
      <c r="I286" s="34" t="n">
        <v>-8.91</v>
      </c>
      <c r="J286" s="34" t="n">
        <v>-27.79</v>
      </c>
      <c r="K286" s="34" t="n">
        <v>1457.39</v>
      </c>
      <c r="L286" s="34" t="n">
        <f aca="false">AVERAGE(C286:E286)</f>
        <v>112.243333333333</v>
      </c>
      <c r="M286" s="34" t="n">
        <f aca="false">AVERAGE(C286:J286)</f>
        <v>24.6175</v>
      </c>
    </row>
    <row r="287" customFormat="false" ht="15.75" hidden="false" customHeight="true" outlineLevel="0" collapsed="false">
      <c r="A287" s="34" t="s">
        <v>778</v>
      </c>
      <c r="B287" s="34" t="n">
        <v>1414</v>
      </c>
      <c r="C287" s="34" t="n">
        <v>66.67</v>
      </c>
      <c r="D287" s="34" t="n">
        <v>68.36</v>
      </c>
      <c r="E287" s="34" t="n">
        <v>87.53</v>
      </c>
      <c r="F287" s="34" t="n">
        <v>-63.82</v>
      </c>
      <c r="G287" s="34" t="n">
        <v>-43.85</v>
      </c>
      <c r="H287" s="34" t="n">
        <v>7.08</v>
      </c>
      <c r="I287" s="34" t="n">
        <v>41.03</v>
      </c>
      <c r="J287" s="34" t="n">
        <v>54.39</v>
      </c>
      <c r="K287" s="34" t="n">
        <v>1486.99</v>
      </c>
      <c r="L287" s="34" t="n">
        <f aca="false">AVERAGE(C287:E287)</f>
        <v>74.1866666666667</v>
      </c>
      <c r="M287" s="34" t="n">
        <f aca="false">AVERAGE(C287:J287)</f>
        <v>27.17375</v>
      </c>
    </row>
    <row r="288" customFormat="false" ht="15.75" hidden="false" customHeight="true" outlineLevel="0" collapsed="false">
      <c r="A288" s="34" t="s">
        <v>779</v>
      </c>
      <c r="B288" s="34" t="n">
        <v>1410</v>
      </c>
      <c r="C288" s="34" t="n">
        <v>-66.67</v>
      </c>
      <c r="D288" s="34" t="n">
        <v>7.51</v>
      </c>
      <c r="E288" s="34" t="n">
        <v>86.61</v>
      </c>
      <c r="F288" s="34" t="n">
        <v>102.07</v>
      </c>
      <c r="G288" s="34" t="n">
        <v>37.81</v>
      </c>
      <c r="H288" s="34" t="n">
        <v>67.21</v>
      </c>
      <c r="I288" s="34" t="n">
        <v>70.09</v>
      </c>
      <c r="J288" s="34" t="n">
        <v>51.53</v>
      </c>
      <c r="K288" s="34" t="n">
        <v>1431.58</v>
      </c>
      <c r="L288" s="34" t="n">
        <f aca="false">AVERAGE(C288:E288)</f>
        <v>9.15</v>
      </c>
      <c r="M288" s="34" t="n">
        <f aca="false">AVERAGE(C288:J288)</f>
        <v>44.52</v>
      </c>
    </row>
    <row r="289" customFormat="false" ht="15.75" hidden="false" customHeight="true" outlineLevel="0" collapsed="false">
      <c r="A289" s="34" t="s">
        <v>162</v>
      </c>
      <c r="B289" s="34" t="n">
        <v>1409.2</v>
      </c>
      <c r="C289" s="34" t="n">
        <v>-66.67</v>
      </c>
      <c r="D289" s="34" t="n">
        <v>-39.86</v>
      </c>
      <c r="E289" s="34" t="n">
        <v>72.4</v>
      </c>
      <c r="F289" s="34" t="n">
        <v>-8.69</v>
      </c>
      <c r="G289" s="34" t="n">
        <v>-49.33</v>
      </c>
      <c r="H289" s="34" t="n">
        <v>-16.88</v>
      </c>
      <c r="I289" s="34" t="n">
        <v>30.01</v>
      </c>
      <c r="J289" s="34" t="n">
        <v>44.43</v>
      </c>
      <c r="K289" s="34" t="n">
        <v>1380.5</v>
      </c>
      <c r="L289" s="34" t="n">
        <f aca="false">AVERAGE(C289:E289)</f>
        <v>-11.3766666666667</v>
      </c>
      <c r="M289" s="34" t="n">
        <f aca="false">AVERAGE(C289:J289)</f>
        <v>-4.32375</v>
      </c>
    </row>
    <row r="290" customFormat="false" ht="15.75" hidden="false" customHeight="true" outlineLevel="0" collapsed="false">
      <c r="A290" s="34" t="s">
        <v>780</v>
      </c>
      <c r="B290" s="34" t="n">
        <v>1409.1</v>
      </c>
      <c r="C290" s="34" t="n">
        <v>-66.67</v>
      </c>
      <c r="D290" s="34" t="n">
        <v>-41.57</v>
      </c>
      <c r="E290" s="34" t="n">
        <v>65.16</v>
      </c>
      <c r="F290" s="34" t="n">
        <v>112</v>
      </c>
      <c r="G290" s="34" t="n">
        <v>117.8</v>
      </c>
      <c r="H290" s="34" t="n">
        <v>139.78</v>
      </c>
      <c r="I290" s="34" t="n">
        <v>169.86</v>
      </c>
      <c r="J290" s="34" t="n">
        <v>74.82</v>
      </c>
      <c r="K290" s="34" t="n">
        <v>1277.57</v>
      </c>
      <c r="L290" s="34" t="n">
        <f aca="false">AVERAGE(C290:E290)</f>
        <v>-14.36</v>
      </c>
      <c r="M290" s="34" t="n">
        <f aca="false">AVERAGE(C290:J290)</f>
        <v>71.3975</v>
      </c>
    </row>
    <row r="291" customFormat="false" ht="15.75" hidden="false" customHeight="true" outlineLevel="0" collapsed="false">
      <c r="A291" s="34" t="s">
        <v>781</v>
      </c>
      <c r="B291" s="34" t="n">
        <v>1407</v>
      </c>
      <c r="C291" s="34" t="n">
        <v>66.67</v>
      </c>
      <c r="D291" s="34" t="n">
        <v>-46.8</v>
      </c>
      <c r="E291" s="34" t="n">
        <v>-66.12</v>
      </c>
      <c r="F291" s="34" t="n">
        <v>-91.3</v>
      </c>
      <c r="G291" s="34" t="n">
        <v>-121.09</v>
      </c>
      <c r="H291" s="34" t="n">
        <v>-117.24</v>
      </c>
      <c r="I291" s="34" t="n">
        <v>-111.56</v>
      </c>
      <c r="J291" s="34" t="n">
        <v>-116.94</v>
      </c>
      <c r="K291" s="34" t="n">
        <v>1466.15</v>
      </c>
      <c r="L291" s="34" t="n">
        <f aca="false">AVERAGE(C291:E291)</f>
        <v>-15.4166666666667</v>
      </c>
      <c r="M291" s="34" t="n">
        <f aca="false">AVERAGE(C291:J291)</f>
        <v>-75.5475</v>
      </c>
    </row>
    <row r="292" customFormat="false" ht="15.75" hidden="false" customHeight="true" outlineLevel="0" collapsed="false">
      <c r="A292" s="34" t="s">
        <v>378</v>
      </c>
      <c r="B292" s="34" t="n">
        <v>1398.6</v>
      </c>
      <c r="C292" s="34" t="n">
        <v>66.67</v>
      </c>
      <c r="D292" s="34" t="n">
        <v>83.7</v>
      </c>
      <c r="E292" s="34" t="n">
        <v>117.47</v>
      </c>
      <c r="F292" s="34" t="n">
        <v>172.94</v>
      </c>
      <c r="G292" s="34" t="n">
        <v>175.36</v>
      </c>
      <c r="H292" s="34" t="n">
        <v>184.06</v>
      </c>
      <c r="I292" s="34" t="n">
        <v>156.11</v>
      </c>
      <c r="J292" s="34" t="n">
        <v>158.01</v>
      </c>
      <c r="K292" s="34" t="n">
        <v>1304.68</v>
      </c>
      <c r="L292" s="34" t="n">
        <f aca="false">AVERAGE(C292:E292)</f>
        <v>89.28</v>
      </c>
      <c r="M292" s="34" t="n">
        <f aca="false">AVERAGE(C292:J292)</f>
        <v>139.29</v>
      </c>
    </row>
    <row r="293" customFormat="false" ht="15.75" hidden="false" customHeight="true" outlineLevel="0" collapsed="false">
      <c r="A293" s="34" t="s">
        <v>782</v>
      </c>
      <c r="B293" s="34" t="n">
        <v>1386.2</v>
      </c>
      <c r="C293" s="34" t="n">
        <v>-66.67</v>
      </c>
      <c r="D293" s="34" t="n">
        <v>-133.33</v>
      </c>
      <c r="E293" s="34" t="n">
        <v>12.64</v>
      </c>
      <c r="F293" s="34" t="n">
        <v>-61.44</v>
      </c>
      <c r="G293" s="34" t="n">
        <v>-105.66</v>
      </c>
      <c r="H293" s="34" t="n">
        <v>-54.84</v>
      </c>
      <c r="I293" s="34" t="n">
        <v>-30.74</v>
      </c>
      <c r="J293" s="34" t="n">
        <v>-50.55</v>
      </c>
      <c r="K293" s="34" t="n">
        <v>1341.16</v>
      </c>
      <c r="L293" s="34" t="n">
        <f aca="false">AVERAGE(C293:E293)</f>
        <v>-62.4533333333333</v>
      </c>
      <c r="M293" s="34" t="n">
        <f aca="false">AVERAGE(C293:J293)</f>
        <v>-61.32375</v>
      </c>
    </row>
    <row r="294" customFormat="false" ht="15.75" hidden="false" customHeight="true" outlineLevel="0" collapsed="false">
      <c r="A294" s="34" t="s">
        <v>361</v>
      </c>
      <c r="B294" s="34" t="n">
        <v>1384.7</v>
      </c>
      <c r="C294" s="34" t="n">
        <v>66.67</v>
      </c>
      <c r="D294" s="34" t="n">
        <v>52.61</v>
      </c>
      <c r="E294" s="34" t="n">
        <v>29.91</v>
      </c>
      <c r="F294" s="34" t="n">
        <v>112.42</v>
      </c>
      <c r="G294" s="34" t="n">
        <v>102.92</v>
      </c>
      <c r="H294" s="34" t="n">
        <v>138.71</v>
      </c>
      <c r="I294" s="34" t="n">
        <v>173.45</v>
      </c>
      <c r="J294" s="34" t="n">
        <v>175.3</v>
      </c>
      <c r="K294" s="34" t="n">
        <v>1314.04</v>
      </c>
      <c r="L294" s="34" t="n">
        <f aca="false">AVERAGE(C294:E294)</f>
        <v>49.73</v>
      </c>
      <c r="M294" s="34" t="n">
        <f aca="false">AVERAGE(C294:J294)</f>
        <v>106.49875</v>
      </c>
    </row>
    <row r="295" customFormat="false" ht="15.75" hidden="false" customHeight="true" outlineLevel="0" collapsed="false">
      <c r="A295" s="34" t="s">
        <v>46</v>
      </c>
      <c r="B295" s="34" t="n">
        <v>1380.6</v>
      </c>
      <c r="C295" s="34" t="n">
        <v>-66.67</v>
      </c>
      <c r="D295" s="34" t="n">
        <v>6.96</v>
      </c>
      <c r="E295" s="34" t="n">
        <v>81.07</v>
      </c>
      <c r="F295" s="34" t="n">
        <v>19.52</v>
      </c>
      <c r="G295" s="34" t="n">
        <v>-49.24</v>
      </c>
      <c r="H295" s="34" t="n">
        <v>-54.39</v>
      </c>
      <c r="I295" s="34" t="n">
        <v>-24.92</v>
      </c>
      <c r="J295" s="34" t="n">
        <v>-44.76</v>
      </c>
      <c r="K295" s="34" t="n">
        <v>1327.14</v>
      </c>
      <c r="L295" s="34" t="n">
        <f aca="false">AVERAGE(C295:E295)</f>
        <v>7.12</v>
      </c>
      <c r="M295" s="34" t="n">
        <f aca="false">AVERAGE(C295:J295)</f>
        <v>-16.55375</v>
      </c>
    </row>
    <row r="296" customFormat="false" ht="15.75" hidden="false" customHeight="true" outlineLevel="0" collapsed="false">
      <c r="A296" s="34" t="s">
        <v>783</v>
      </c>
      <c r="B296" s="34" t="n">
        <v>1379.4</v>
      </c>
      <c r="C296" s="34" t="n">
        <v>-66.67</v>
      </c>
      <c r="D296" s="34" t="n">
        <v>17.59</v>
      </c>
      <c r="E296" s="34" t="n">
        <v>2.4</v>
      </c>
      <c r="F296" s="34" t="n">
        <v>-93.87</v>
      </c>
      <c r="G296" s="34" t="n">
        <v>-170.61</v>
      </c>
      <c r="H296" s="34" t="n">
        <v>-191.16</v>
      </c>
      <c r="I296" s="34" t="n">
        <v>-181.25</v>
      </c>
      <c r="J296" s="34" t="n">
        <v>-111.74</v>
      </c>
      <c r="K296" s="34" t="n">
        <v>1425.26</v>
      </c>
      <c r="L296" s="34" t="n">
        <f aca="false">AVERAGE(C296:E296)</f>
        <v>-15.56</v>
      </c>
      <c r="M296" s="34" t="n">
        <f aca="false">AVERAGE(C296:J296)</f>
        <v>-99.41375</v>
      </c>
    </row>
    <row r="297" customFormat="false" ht="15.75" hidden="false" customHeight="true" outlineLevel="0" collapsed="false">
      <c r="A297" s="34" t="s">
        <v>784</v>
      </c>
      <c r="B297" s="34" t="n">
        <v>1378.9</v>
      </c>
      <c r="C297" s="34" t="n">
        <v>66.67</v>
      </c>
      <c r="D297" s="34" t="n">
        <v>86.77</v>
      </c>
      <c r="E297" s="34" t="n">
        <v>112.26</v>
      </c>
      <c r="F297" s="34" t="n">
        <v>234.19</v>
      </c>
      <c r="G297" s="34" t="n">
        <v>215.99</v>
      </c>
      <c r="H297" s="34" t="n">
        <v>145.74</v>
      </c>
      <c r="I297" s="34" t="n">
        <v>133.78</v>
      </c>
      <c r="J297" s="34" t="n">
        <v>149.61</v>
      </c>
      <c r="K297" s="34" t="n">
        <v>1257.09</v>
      </c>
      <c r="L297" s="34" t="n">
        <f aca="false">AVERAGE(C297:E297)</f>
        <v>88.5666666666667</v>
      </c>
      <c r="M297" s="34" t="n">
        <f aca="false">AVERAGE(C297:J297)</f>
        <v>143.12625</v>
      </c>
    </row>
    <row r="298" customFormat="false" ht="15.75" hidden="false" customHeight="true" outlineLevel="0" collapsed="false">
      <c r="A298" s="34" t="s">
        <v>785</v>
      </c>
      <c r="B298" s="34" t="n">
        <v>1375</v>
      </c>
      <c r="C298" s="34" t="n">
        <v>-66.67</v>
      </c>
      <c r="D298" s="34" t="n">
        <v>-61.55</v>
      </c>
      <c r="E298" s="34" t="n">
        <v>-76.5</v>
      </c>
      <c r="F298" s="34" t="n">
        <v>-131.01</v>
      </c>
      <c r="G298" s="34" t="n">
        <v>-68.57</v>
      </c>
      <c r="H298" s="34" t="n">
        <v>-90.01</v>
      </c>
      <c r="I298" s="34" t="n">
        <v>-91.55</v>
      </c>
      <c r="J298" s="34" t="n">
        <v>-88.11</v>
      </c>
      <c r="K298" s="34" t="n">
        <v>1475.66</v>
      </c>
      <c r="L298" s="34" t="n">
        <f aca="false">AVERAGE(C298:E298)</f>
        <v>-68.24</v>
      </c>
      <c r="M298" s="34" t="n">
        <f aca="false">AVERAGE(C298:J298)</f>
        <v>-84.24625</v>
      </c>
    </row>
    <row r="299" customFormat="false" ht="15.75" hidden="false" customHeight="true" outlineLevel="0" collapsed="false">
      <c r="A299" s="34" t="s">
        <v>535</v>
      </c>
      <c r="B299" s="34" t="n">
        <v>1369</v>
      </c>
      <c r="C299" s="34" t="n">
        <v>-66.67</v>
      </c>
      <c r="D299" s="34" t="n">
        <v>-85.87</v>
      </c>
      <c r="E299" s="34" t="n">
        <v>39.5</v>
      </c>
      <c r="F299" s="34" t="n">
        <v>0.735</v>
      </c>
      <c r="G299" s="34" t="n">
        <v>62.39</v>
      </c>
      <c r="H299" s="34" t="n">
        <v>81.91</v>
      </c>
      <c r="I299" s="34" t="n">
        <v>93.91</v>
      </c>
      <c r="J299" s="34" t="n">
        <v>105.94</v>
      </c>
      <c r="K299" s="34" t="n">
        <v>1320.15</v>
      </c>
      <c r="L299" s="34" t="n">
        <f aca="false">AVERAGE(C299:E299)</f>
        <v>-37.68</v>
      </c>
      <c r="M299" s="34" t="n">
        <f aca="false">AVERAGE(C299:J299)</f>
        <v>28.980625</v>
      </c>
    </row>
    <row r="300" customFormat="false" ht="15.75" hidden="false" customHeight="true" outlineLevel="0" collapsed="false">
      <c r="A300" s="34" t="s">
        <v>786</v>
      </c>
      <c r="B300" s="34" t="n">
        <v>1361.3</v>
      </c>
      <c r="C300" s="34" t="n">
        <v>-66.67</v>
      </c>
      <c r="D300" s="34" t="n">
        <v>26.89</v>
      </c>
      <c r="E300" s="34" t="n">
        <v>-29.48</v>
      </c>
      <c r="F300" s="34" t="n">
        <v>-110.99</v>
      </c>
      <c r="G300" s="34" t="n">
        <v>-195.45</v>
      </c>
      <c r="H300" s="34" t="n">
        <v>-174.65</v>
      </c>
      <c r="I300" s="34" t="n">
        <v>-130.97</v>
      </c>
      <c r="J300" s="34" t="n">
        <v>-120.03</v>
      </c>
      <c r="K300" s="34" t="n">
        <v>1440.43</v>
      </c>
      <c r="L300" s="34" t="n">
        <f aca="false">AVERAGE(C300:E300)</f>
        <v>-23.0866666666667</v>
      </c>
      <c r="M300" s="34" t="n">
        <f aca="false">AVERAGE(C300:J300)</f>
        <v>-100.16875</v>
      </c>
    </row>
    <row r="301" customFormat="false" ht="15.75" hidden="false" customHeight="true" outlineLevel="0" collapsed="false">
      <c r="A301" s="34" t="s">
        <v>787</v>
      </c>
      <c r="B301" s="34" t="n">
        <v>1360.45</v>
      </c>
      <c r="C301" s="34" t="n">
        <v>66.67</v>
      </c>
      <c r="D301" s="34" t="n">
        <v>98.43</v>
      </c>
      <c r="E301" s="34" t="n">
        <v>181.53</v>
      </c>
      <c r="F301" s="34"/>
      <c r="G301" s="34"/>
      <c r="H301" s="34"/>
      <c r="I301" s="34"/>
      <c r="J301" s="34"/>
      <c r="K301" s="34" t="n">
        <v>1151.59</v>
      </c>
      <c r="L301" s="34" t="n">
        <f aca="false">AVERAGE(C301:E301)</f>
        <v>115.543333333333</v>
      </c>
      <c r="M301" s="34" t="n">
        <f aca="false">AVERAGE(C301:J301)</f>
        <v>115.543333333333</v>
      </c>
    </row>
    <row r="302" customFormat="false" ht="15.75" hidden="false" customHeight="true" outlineLevel="0" collapsed="false">
      <c r="A302" s="34" t="s">
        <v>788</v>
      </c>
      <c r="B302" s="34" t="n">
        <v>1357.8</v>
      </c>
      <c r="C302" s="34" t="n">
        <v>-66.67</v>
      </c>
      <c r="D302" s="34" t="n">
        <v>-87.91</v>
      </c>
      <c r="E302" s="34" t="n">
        <v>-108.99</v>
      </c>
      <c r="F302" s="34" t="n">
        <v>-85.41</v>
      </c>
      <c r="G302" s="34" t="n">
        <v>-65.08</v>
      </c>
      <c r="H302" s="34" t="n">
        <v>-67.79</v>
      </c>
      <c r="I302" s="34" t="n">
        <v>-68.16</v>
      </c>
      <c r="J302" s="34" t="n">
        <v>-70.94</v>
      </c>
      <c r="K302" s="34" t="n">
        <v>1465.22</v>
      </c>
      <c r="L302" s="34" t="n">
        <f aca="false">AVERAGE(C302:E302)</f>
        <v>-87.8566666666667</v>
      </c>
      <c r="M302" s="34" t="n">
        <f aca="false">AVERAGE(C302:J302)</f>
        <v>-77.61875</v>
      </c>
    </row>
    <row r="303" customFormat="false" ht="15.75" hidden="false" customHeight="true" outlineLevel="0" collapsed="false">
      <c r="A303" s="34" t="s">
        <v>789</v>
      </c>
      <c r="B303" s="34" t="n">
        <v>1355.3</v>
      </c>
      <c r="C303" s="34" t="n">
        <v>-66.67</v>
      </c>
      <c r="D303" s="34" t="n">
        <v>-19.68</v>
      </c>
      <c r="E303" s="34" t="n">
        <v>68.58</v>
      </c>
      <c r="F303" s="34" t="n">
        <v>-54.14</v>
      </c>
      <c r="G303" s="34" t="n">
        <v>-72.27</v>
      </c>
      <c r="H303" s="34" t="n">
        <v>5.69</v>
      </c>
      <c r="I303" s="34" t="n">
        <v>11.08</v>
      </c>
      <c r="J303" s="34" t="n">
        <v>4.63</v>
      </c>
      <c r="K303" s="34" t="n">
        <v>1390.23</v>
      </c>
      <c r="L303" s="34" t="n">
        <f aca="false">AVERAGE(C303:E303)</f>
        <v>-5.92333333333334</v>
      </c>
      <c r="M303" s="34" t="n">
        <f aca="false">AVERAGE(C303:J303)</f>
        <v>-15.3475</v>
      </c>
    </row>
    <row r="304" customFormat="false" ht="15.75" hidden="false" customHeight="true" outlineLevel="0" collapsed="false">
      <c r="A304" s="34" t="s">
        <v>400</v>
      </c>
      <c r="B304" s="34" t="n">
        <v>1353.7</v>
      </c>
      <c r="C304" s="34" t="n">
        <v>-66.67</v>
      </c>
      <c r="D304" s="34" t="n">
        <v>-125.37</v>
      </c>
      <c r="E304" s="34" t="n">
        <v>-153.65</v>
      </c>
      <c r="F304" s="34" t="n">
        <v>-144.52</v>
      </c>
      <c r="G304" s="34" t="n">
        <v>-182.61</v>
      </c>
      <c r="H304" s="34" t="n">
        <v>-35.49</v>
      </c>
      <c r="I304" s="34" t="n">
        <v>4.88</v>
      </c>
      <c r="J304" s="34" t="n">
        <v>17.2</v>
      </c>
      <c r="K304" s="34" t="n">
        <v>1469.91</v>
      </c>
      <c r="L304" s="34" t="n">
        <f aca="false">AVERAGE(C304:E304)</f>
        <v>-115.23</v>
      </c>
      <c r="M304" s="34" t="n">
        <f aca="false">AVERAGE(C304:J304)</f>
        <v>-85.77875</v>
      </c>
    </row>
    <row r="305" customFormat="false" ht="15.75" hidden="false" customHeight="true" outlineLevel="0" collapsed="false">
      <c r="A305" s="34" t="s">
        <v>56</v>
      </c>
      <c r="B305" s="34" t="n">
        <v>1353.2</v>
      </c>
      <c r="C305" s="34" t="n">
        <v>66.67</v>
      </c>
      <c r="D305" s="34" t="n">
        <v>-43.78</v>
      </c>
      <c r="E305" s="34" t="n">
        <v>64.22</v>
      </c>
      <c r="F305" s="34" t="n">
        <v>50.5</v>
      </c>
      <c r="G305" s="34" t="n">
        <v>78.35</v>
      </c>
      <c r="H305" s="34" t="n">
        <v>101</v>
      </c>
      <c r="I305" s="34" t="n">
        <v>52.02</v>
      </c>
      <c r="J305" s="34" t="n">
        <v>33.29</v>
      </c>
      <c r="K305" s="34" t="n">
        <v>1291.8</v>
      </c>
      <c r="L305" s="34" t="n">
        <f aca="false">AVERAGE(C305:E305)</f>
        <v>29.0366666666667</v>
      </c>
      <c r="M305" s="34" t="n">
        <f aca="false">AVERAGE(C305:J305)</f>
        <v>50.28375</v>
      </c>
    </row>
    <row r="306" customFormat="false" ht="15.75" hidden="false" customHeight="true" outlineLevel="0" collapsed="false">
      <c r="A306" s="34" t="s">
        <v>790</v>
      </c>
      <c r="B306" s="34" t="n">
        <v>1353</v>
      </c>
      <c r="C306" s="34" t="n">
        <v>-66.67</v>
      </c>
      <c r="D306" s="34" t="n">
        <v>53.74</v>
      </c>
      <c r="E306" s="34" t="n">
        <v>103.05</v>
      </c>
      <c r="F306" s="34" t="n">
        <v>11.37</v>
      </c>
      <c r="G306" s="34" t="n">
        <v>-9.28</v>
      </c>
      <c r="H306" s="34" t="n">
        <v>44.49</v>
      </c>
      <c r="I306" s="34" t="n">
        <v>62.63</v>
      </c>
      <c r="J306" s="34" t="n">
        <v>79.13</v>
      </c>
      <c r="K306" s="34" t="n">
        <v>1368.1</v>
      </c>
      <c r="L306" s="34" t="n">
        <f aca="false">AVERAGE(C306:E306)</f>
        <v>30.04</v>
      </c>
      <c r="M306" s="34" t="n">
        <f aca="false">AVERAGE(C306:J306)</f>
        <v>34.8075</v>
      </c>
    </row>
    <row r="307" customFormat="false" ht="15.75" hidden="false" customHeight="true" outlineLevel="0" collapsed="false">
      <c r="A307" s="34" t="s">
        <v>176</v>
      </c>
      <c r="B307" s="34" t="n">
        <v>1341.2</v>
      </c>
      <c r="C307" s="34" t="n">
        <v>-66.67</v>
      </c>
      <c r="D307" s="34" t="n">
        <v>-100.83</v>
      </c>
      <c r="E307" s="34" t="n">
        <v>37.01</v>
      </c>
      <c r="F307" s="34" t="n">
        <v>-63.83</v>
      </c>
      <c r="G307" s="34" t="n">
        <v>-96.29</v>
      </c>
      <c r="H307" s="34" t="n">
        <v>-36.62</v>
      </c>
      <c r="I307" s="34" t="n">
        <v>17.88</v>
      </c>
      <c r="J307" s="34" t="n">
        <v>36.79</v>
      </c>
      <c r="K307" s="34" t="n">
        <v>1372.77</v>
      </c>
      <c r="L307" s="34" t="n">
        <f aca="false">AVERAGE(C307:E307)</f>
        <v>-43.4966666666667</v>
      </c>
      <c r="M307" s="34" t="n">
        <f aca="false">AVERAGE(C307:J307)</f>
        <v>-34.07</v>
      </c>
    </row>
    <row r="308" customFormat="false" ht="15.75" hidden="false" customHeight="true" outlineLevel="0" collapsed="false">
      <c r="A308" s="34" t="s">
        <v>49</v>
      </c>
      <c r="B308" s="34" t="n">
        <v>1329.9</v>
      </c>
      <c r="C308" s="34" t="n">
        <v>-66.67</v>
      </c>
      <c r="D308" s="34" t="n">
        <v>16.52</v>
      </c>
      <c r="E308" s="34" t="n">
        <v>85.13</v>
      </c>
      <c r="F308" s="34" t="n">
        <v>-2.42</v>
      </c>
      <c r="G308" s="34" t="n">
        <v>-62.63</v>
      </c>
      <c r="H308" s="34" t="n">
        <v>-85.99</v>
      </c>
      <c r="I308" s="34" t="n">
        <v>-76.34</v>
      </c>
      <c r="J308" s="34" t="n">
        <v>-81.98</v>
      </c>
      <c r="K308" s="34" t="n">
        <v>1345.71</v>
      </c>
      <c r="L308" s="34" t="n">
        <f aca="false">AVERAGE(C308:E308)</f>
        <v>11.66</v>
      </c>
      <c r="M308" s="34" t="n">
        <f aca="false">AVERAGE(C308:J308)</f>
        <v>-34.2975</v>
      </c>
    </row>
    <row r="309" customFormat="false" ht="15.75" hidden="false" customHeight="true" outlineLevel="0" collapsed="false">
      <c r="A309" s="34" t="s">
        <v>167</v>
      </c>
      <c r="B309" s="34" t="n">
        <v>1325.5</v>
      </c>
      <c r="C309" s="34" t="n">
        <v>-66.67</v>
      </c>
      <c r="D309" s="34" t="n">
        <v>-133.33</v>
      </c>
      <c r="E309" s="34" t="n">
        <v>-51.85</v>
      </c>
      <c r="F309" s="34" t="n">
        <v>-65.78</v>
      </c>
      <c r="G309" s="34" t="n">
        <v>-82.71</v>
      </c>
      <c r="H309" s="34" t="n">
        <v>-73.5</v>
      </c>
      <c r="I309" s="34" t="n">
        <v>-52.11</v>
      </c>
      <c r="J309" s="34" t="n">
        <v>-38.22</v>
      </c>
      <c r="K309" s="34" t="n">
        <v>1377.7</v>
      </c>
      <c r="L309" s="34" t="n">
        <f aca="false">AVERAGE(C309:E309)</f>
        <v>-83.95</v>
      </c>
      <c r="M309" s="34" t="n">
        <f aca="false">AVERAGE(C309:J309)</f>
        <v>-70.52125</v>
      </c>
    </row>
    <row r="310" customFormat="false" ht="15.75" hidden="false" customHeight="true" outlineLevel="0" collapsed="false">
      <c r="A310" s="34" t="s">
        <v>791</v>
      </c>
      <c r="B310" s="34" t="n">
        <v>1325.4</v>
      </c>
      <c r="C310" s="34" t="n">
        <v>-66.67</v>
      </c>
      <c r="D310" s="34" t="n">
        <v>-28.23</v>
      </c>
      <c r="E310" s="34" t="n">
        <v>-57.27</v>
      </c>
      <c r="F310" s="34" t="n">
        <v>-33.89</v>
      </c>
      <c r="G310" s="34" t="n">
        <v>-10.3</v>
      </c>
      <c r="H310" s="34" t="n">
        <v>-26.08</v>
      </c>
      <c r="I310" s="34" t="n">
        <v>29.29</v>
      </c>
      <c r="J310" s="34" t="n">
        <v>20.03</v>
      </c>
      <c r="K310" s="34" t="n">
        <v>1472.73</v>
      </c>
      <c r="L310" s="34" t="n">
        <f aca="false">AVERAGE(C310:E310)</f>
        <v>-50.7233333333333</v>
      </c>
      <c r="M310" s="34" t="n">
        <f aca="false">AVERAGE(C310:J310)</f>
        <v>-21.64</v>
      </c>
    </row>
    <row r="311" customFormat="false" ht="15.75" hidden="false" customHeight="true" outlineLevel="0" collapsed="false">
      <c r="A311" s="34" t="s">
        <v>426</v>
      </c>
      <c r="B311" s="34" t="n">
        <v>1307.4</v>
      </c>
      <c r="C311" s="34" t="n">
        <v>66.67</v>
      </c>
      <c r="D311" s="34" t="n">
        <v>133.33</v>
      </c>
      <c r="E311" s="34" t="n">
        <v>157.36</v>
      </c>
      <c r="F311" s="34" t="n">
        <v>-10.37</v>
      </c>
      <c r="G311" s="34" t="n">
        <v>-14.39</v>
      </c>
      <c r="H311" s="34" t="n">
        <v>27.91</v>
      </c>
      <c r="I311" s="34" t="n">
        <v>55.84</v>
      </c>
      <c r="J311" s="34" t="n">
        <v>68.95</v>
      </c>
      <c r="K311" s="34" t="n">
        <v>1321.13</v>
      </c>
      <c r="L311" s="34" t="n">
        <f aca="false">AVERAGE(C311:E311)</f>
        <v>119.12</v>
      </c>
      <c r="M311" s="34" t="n">
        <f aca="false">AVERAGE(C311:J311)</f>
        <v>60.6625</v>
      </c>
    </row>
    <row r="312" customFormat="false" ht="15.75" hidden="false" customHeight="true" outlineLevel="0" collapsed="false">
      <c r="A312" s="34" t="s">
        <v>792</v>
      </c>
      <c r="B312" s="34" t="n">
        <v>1304.5</v>
      </c>
      <c r="C312" s="34" t="n">
        <v>-66.67</v>
      </c>
      <c r="D312" s="34" t="n">
        <v>-133.33</v>
      </c>
      <c r="E312" s="34" t="n">
        <v>-13.48</v>
      </c>
      <c r="F312" s="34" t="n">
        <v>-82.95</v>
      </c>
      <c r="G312" s="34" t="n">
        <v>-135.38</v>
      </c>
      <c r="H312" s="34" t="n">
        <v>-142.94</v>
      </c>
      <c r="I312" s="34" t="n">
        <v>-97.64</v>
      </c>
      <c r="J312" s="34" t="n">
        <v>-100.14</v>
      </c>
      <c r="K312" s="34" t="n">
        <v>1352.45</v>
      </c>
      <c r="L312" s="34" t="n">
        <f aca="false">AVERAGE(C312:E312)</f>
        <v>-71.16</v>
      </c>
      <c r="M312" s="34" t="n">
        <f aca="false">AVERAGE(C312:J312)</f>
        <v>-96.56625</v>
      </c>
    </row>
    <row r="313" customFormat="false" ht="15.75" hidden="false" customHeight="true" outlineLevel="0" collapsed="false">
      <c r="A313" s="34" t="s">
        <v>793</v>
      </c>
      <c r="B313" s="34" t="n">
        <v>1304</v>
      </c>
      <c r="C313" s="34" t="n">
        <v>-66.67</v>
      </c>
      <c r="D313" s="34" t="n">
        <v>-121.04</v>
      </c>
      <c r="E313" s="34" t="n">
        <v>-131.46</v>
      </c>
      <c r="F313" s="34" t="n">
        <v>-79.49</v>
      </c>
      <c r="G313" s="34" t="n">
        <v>-103.48</v>
      </c>
      <c r="H313" s="34" t="n">
        <v>-57.35</v>
      </c>
      <c r="I313" s="34" t="n">
        <v>-42.38</v>
      </c>
      <c r="J313" s="34" t="n">
        <v>-39.97</v>
      </c>
      <c r="K313" s="34" t="n">
        <v>1401.4</v>
      </c>
      <c r="L313" s="34" t="n">
        <f aca="false">AVERAGE(C313:E313)</f>
        <v>-106.39</v>
      </c>
      <c r="M313" s="34" t="n">
        <f aca="false">AVERAGE(C313:J313)</f>
        <v>-80.23</v>
      </c>
    </row>
    <row r="314" customFormat="false" ht="15.75" hidden="false" customHeight="true" outlineLevel="0" collapsed="false">
      <c r="A314" s="34" t="s">
        <v>794</v>
      </c>
      <c r="B314" s="34" t="n">
        <v>1303.9</v>
      </c>
      <c r="C314" s="34" t="n">
        <v>66.67</v>
      </c>
      <c r="D314" s="34" t="n">
        <v>133.33</v>
      </c>
      <c r="E314" s="34" t="n">
        <v>20.78</v>
      </c>
      <c r="F314" s="34" t="n">
        <v>-49.05</v>
      </c>
      <c r="G314" s="34" t="n">
        <v>-74.36</v>
      </c>
      <c r="H314" s="34" t="n">
        <v>-8.82</v>
      </c>
      <c r="I314" s="34" t="n">
        <v>23.52</v>
      </c>
      <c r="J314" s="34" t="n">
        <v>37.05</v>
      </c>
      <c r="K314" s="34" t="n">
        <v>1362.9</v>
      </c>
      <c r="L314" s="34" t="n">
        <f aca="false">AVERAGE(C314:E314)</f>
        <v>73.5933333333334</v>
      </c>
      <c r="M314" s="34" t="n">
        <f aca="false">AVERAGE(C314:J314)</f>
        <v>18.64</v>
      </c>
    </row>
    <row r="315" customFormat="false" ht="15.75" hidden="false" customHeight="true" outlineLevel="0" collapsed="false">
      <c r="A315" s="34" t="s">
        <v>549</v>
      </c>
      <c r="B315" s="34" t="n">
        <v>1301</v>
      </c>
      <c r="C315" s="34" t="n">
        <v>-66.67</v>
      </c>
      <c r="D315" s="34" t="n">
        <v>11.82</v>
      </c>
      <c r="E315" s="34" t="n">
        <v>67.89</v>
      </c>
      <c r="F315" s="34" t="n">
        <v>-52.42</v>
      </c>
      <c r="G315" s="34" t="n">
        <v>-56.34</v>
      </c>
      <c r="H315" s="34" t="n">
        <v>1.12</v>
      </c>
      <c r="I315" s="34" t="n">
        <v>40.28</v>
      </c>
      <c r="J315" s="34" t="n">
        <v>32.35</v>
      </c>
      <c r="K315" s="34" t="n">
        <v>1324.1</v>
      </c>
      <c r="L315" s="34" t="n">
        <f aca="false">AVERAGE(C315:E315)</f>
        <v>4.34666666666667</v>
      </c>
      <c r="M315" s="34" t="n">
        <f aca="false">AVERAGE(C315:J315)</f>
        <v>-2.74625</v>
      </c>
    </row>
    <row r="316" customFormat="false" ht="15.75" hidden="false" customHeight="true" outlineLevel="0" collapsed="false">
      <c r="A316" s="34" t="s">
        <v>795</v>
      </c>
      <c r="B316" s="34" t="n">
        <v>1300</v>
      </c>
      <c r="C316" s="34" t="n">
        <v>-66.67</v>
      </c>
      <c r="D316" s="34" t="n">
        <v>52.21</v>
      </c>
      <c r="E316" s="34" t="n">
        <v>126.27</v>
      </c>
      <c r="F316" s="34" t="n">
        <v>68.37</v>
      </c>
      <c r="G316" s="34" t="n">
        <v>75.38</v>
      </c>
      <c r="H316" s="34" t="n">
        <v>64.84</v>
      </c>
      <c r="I316" s="34" t="n">
        <v>82.65</v>
      </c>
      <c r="J316" s="34" t="n">
        <v>75.67</v>
      </c>
      <c r="K316" s="34" t="n">
        <v>1238.5</v>
      </c>
      <c r="L316" s="34" t="n">
        <f aca="false">AVERAGE(C316:E316)</f>
        <v>37.27</v>
      </c>
      <c r="M316" s="34" t="n">
        <f aca="false">AVERAGE(C316:J316)</f>
        <v>59.84</v>
      </c>
    </row>
    <row r="317" customFormat="false" ht="15.75" hidden="false" customHeight="true" outlineLevel="0" collapsed="false">
      <c r="A317" s="34" t="s">
        <v>313</v>
      </c>
      <c r="B317" s="34" t="n">
        <v>1300</v>
      </c>
      <c r="C317" s="34" t="n">
        <v>-66.67</v>
      </c>
      <c r="D317" s="34" t="n">
        <v>63.29</v>
      </c>
      <c r="E317" s="34" t="n">
        <v>97.99</v>
      </c>
      <c r="F317" s="34" t="n">
        <v>158.14</v>
      </c>
      <c r="G317" s="34" t="n">
        <v>216.5</v>
      </c>
      <c r="H317" s="34" t="n">
        <v>138.81</v>
      </c>
      <c r="I317" s="34" t="n">
        <v>123.53</v>
      </c>
      <c r="J317" s="34" t="n">
        <v>136.27</v>
      </c>
      <c r="K317" s="34" t="n">
        <v>1219.52</v>
      </c>
      <c r="L317" s="34" t="n">
        <f aca="false">AVERAGE(C317:E317)</f>
        <v>31.5366666666667</v>
      </c>
      <c r="M317" s="34" t="n">
        <f aca="false">AVERAGE(C317:J317)</f>
        <v>108.4825</v>
      </c>
    </row>
    <row r="318" customFormat="false" ht="15.75" hidden="false" customHeight="true" outlineLevel="0" collapsed="false">
      <c r="A318" s="34" t="s">
        <v>796</v>
      </c>
      <c r="B318" s="34" t="n">
        <v>1297.5</v>
      </c>
      <c r="C318" s="34" t="n">
        <v>-66.67</v>
      </c>
      <c r="D318" s="34" t="n">
        <v>-133.33</v>
      </c>
      <c r="E318" s="34" t="n">
        <v>33.52</v>
      </c>
      <c r="F318" s="34" t="n">
        <v>-39.2</v>
      </c>
      <c r="G318" s="34" t="n">
        <v>-77.88</v>
      </c>
      <c r="H318" s="34" t="n">
        <v>16.11</v>
      </c>
      <c r="I318" s="34" t="n">
        <v>37.64</v>
      </c>
      <c r="J318" s="34" t="n">
        <v>44.64</v>
      </c>
      <c r="K318" s="34" t="n">
        <v>1261.38</v>
      </c>
      <c r="L318" s="34" t="n">
        <f aca="false">AVERAGE(C318:E318)</f>
        <v>-55.4933333333333</v>
      </c>
      <c r="M318" s="34" t="n">
        <f aca="false">AVERAGE(C318:J318)</f>
        <v>-23.14625</v>
      </c>
    </row>
    <row r="319" customFormat="false" ht="15.75" hidden="false" customHeight="true" outlineLevel="0" collapsed="false">
      <c r="A319" s="34" t="s">
        <v>328</v>
      </c>
      <c r="B319" s="34" t="n">
        <v>1295.8</v>
      </c>
      <c r="C319" s="34" t="n">
        <v>66.67</v>
      </c>
      <c r="D319" s="34" t="n">
        <v>86.57</v>
      </c>
      <c r="E319" s="34" t="n">
        <v>88.47</v>
      </c>
      <c r="F319" s="34" t="n">
        <v>-52.5</v>
      </c>
      <c r="G319" s="34" t="n">
        <v>-72.64</v>
      </c>
      <c r="H319" s="34" t="n">
        <v>-5.63</v>
      </c>
      <c r="I319" s="34" t="n">
        <v>27.68</v>
      </c>
      <c r="J319" s="34" t="n">
        <v>40.99</v>
      </c>
      <c r="K319" s="34" t="n">
        <v>1354.39</v>
      </c>
      <c r="L319" s="34" t="n">
        <f aca="false">AVERAGE(C319:E319)</f>
        <v>80.57</v>
      </c>
      <c r="M319" s="34" t="n">
        <f aca="false">AVERAGE(C319:J319)</f>
        <v>22.45125</v>
      </c>
    </row>
    <row r="320" customFormat="false" ht="15.75" hidden="false" customHeight="true" outlineLevel="0" collapsed="false">
      <c r="A320" s="34" t="s">
        <v>797</v>
      </c>
      <c r="B320" s="34" t="n">
        <v>1291.2</v>
      </c>
      <c r="C320" s="34" t="n">
        <v>-66.67</v>
      </c>
      <c r="D320" s="34" t="n">
        <v>59.24</v>
      </c>
      <c r="E320" s="34" t="n">
        <v>137.22</v>
      </c>
      <c r="F320" s="34" t="n">
        <v>-23.79</v>
      </c>
      <c r="G320" s="34" t="n">
        <v>17.59</v>
      </c>
      <c r="H320" s="34" t="n">
        <v>58.77</v>
      </c>
      <c r="I320" s="34" t="n">
        <v>74.21</v>
      </c>
      <c r="J320" s="34" t="n">
        <v>72.36</v>
      </c>
      <c r="K320" s="34" t="n">
        <v>1301.13</v>
      </c>
      <c r="L320" s="34" t="n">
        <f aca="false">AVERAGE(C320:E320)</f>
        <v>43.2633333333333</v>
      </c>
      <c r="M320" s="34" t="n">
        <f aca="false">AVERAGE(C320:J320)</f>
        <v>41.11625</v>
      </c>
    </row>
    <row r="321" customFormat="false" ht="15.75" hidden="false" customHeight="true" outlineLevel="0" collapsed="false">
      <c r="A321" s="34" t="s">
        <v>362</v>
      </c>
      <c r="B321" s="34" t="n">
        <v>1287.6</v>
      </c>
      <c r="C321" s="34" t="n">
        <v>66.67</v>
      </c>
      <c r="D321" s="34" t="n">
        <v>24.69</v>
      </c>
      <c r="E321" s="34" t="n">
        <v>75.12</v>
      </c>
      <c r="F321" s="34" t="n">
        <v>204.65</v>
      </c>
      <c r="G321" s="34" t="n">
        <v>87.28</v>
      </c>
      <c r="H321" s="34" t="n">
        <v>127.29</v>
      </c>
      <c r="I321" s="34" t="n">
        <v>154.36</v>
      </c>
      <c r="J321" s="34" t="n">
        <v>129.76</v>
      </c>
      <c r="K321" s="34" t="n">
        <v>1212.68</v>
      </c>
      <c r="L321" s="34" t="n">
        <f aca="false">AVERAGE(C321:E321)</f>
        <v>55.4933333333333</v>
      </c>
      <c r="M321" s="34" t="n">
        <f aca="false">AVERAGE(C321:J321)</f>
        <v>108.7275</v>
      </c>
    </row>
    <row r="322" customFormat="false" ht="15.75" hidden="false" customHeight="true" outlineLevel="0" collapsed="false">
      <c r="A322" s="34" t="s">
        <v>264</v>
      </c>
      <c r="B322" s="34" t="n">
        <v>1282</v>
      </c>
      <c r="C322" s="34" t="n">
        <v>-66.67</v>
      </c>
      <c r="D322" s="34" t="n">
        <v>-111.24</v>
      </c>
      <c r="E322" s="34" t="n">
        <v>-102.16</v>
      </c>
      <c r="F322" s="34" t="n">
        <v>-136.17</v>
      </c>
      <c r="G322" s="34" t="n">
        <v>-147.75</v>
      </c>
      <c r="H322" s="34" t="n">
        <v>-154.78</v>
      </c>
      <c r="I322" s="34" t="n">
        <v>-133.62</v>
      </c>
      <c r="J322" s="34" t="n">
        <v>-118.94</v>
      </c>
      <c r="K322" s="34" t="n">
        <v>1344.93</v>
      </c>
      <c r="L322" s="34" t="n">
        <f aca="false">AVERAGE(C322:E322)</f>
        <v>-93.3566666666667</v>
      </c>
      <c r="M322" s="34" t="n">
        <f aca="false">AVERAGE(C322:J322)</f>
        <v>-121.41625</v>
      </c>
    </row>
    <row r="323" customFormat="false" ht="15.75" hidden="false" customHeight="true" outlineLevel="0" collapsed="false">
      <c r="A323" s="34" t="s">
        <v>402</v>
      </c>
      <c r="B323" s="34" t="n">
        <v>1279</v>
      </c>
      <c r="C323" s="34" t="n">
        <v>66.67</v>
      </c>
      <c r="D323" s="34" t="n">
        <v>95.89</v>
      </c>
      <c r="E323" s="34" t="n">
        <v>85.26</v>
      </c>
      <c r="F323" s="34" t="n">
        <v>84.73</v>
      </c>
      <c r="G323" s="34" t="n">
        <v>-5.19</v>
      </c>
      <c r="H323" s="34" t="n">
        <v>38.51</v>
      </c>
      <c r="I323" s="34" t="n">
        <v>55.42</v>
      </c>
      <c r="J323" s="34" t="n">
        <v>56.4</v>
      </c>
      <c r="K323" s="34" t="n">
        <v>1294.46</v>
      </c>
      <c r="L323" s="34" t="n">
        <f aca="false">AVERAGE(C323:E323)</f>
        <v>82.6066666666667</v>
      </c>
      <c r="M323" s="34" t="n">
        <f aca="false">AVERAGE(C323:J323)</f>
        <v>59.71125</v>
      </c>
    </row>
    <row r="324" customFormat="false" ht="15.75" hidden="false" customHeight="true" outlineLevel="0" collapsed="false">
      <c r="A324" s="34" t="s">
        <v>177</v>
      </c>
      <c r="B324" s="34" t="n">
        <v>1277.6</v>
      </c>
      <c r="C324" s="34" t="n">
        <v>66.67</v>
      </c>
      <c r="D324" s="34" t="n">
        <v>93.52</v>
      </c>
      <c r="E324" s="34" t="n">
        <v>119.26</v>
      </c>
      <c r="F324" s="34" t="n">
        <v>86.39</v>
      </c>
      <c r="G324" s="34" t="n">
        <v>-3.16</v>
      </c>
      <c r="H324" s="34" t="n">
        <v>39.1</v>
      </c>
      <c r="I324" s="34" t="n">
        <v>61.25</v>
      </c>
      <c r="J324" s="34" t="n">
        <v>66.65</v>
      </c>
      <c r="K324" s="34" t="n">
        <v>1224.24</v>
      </c>
      <c r="L324" s="34" t="n">
        <f aca="false">AVERAGE(C324:E324)</f>
        <v>93.15</v>
      </c>
      <c r="M324" s="34" t="n">
        <f aca="false">AVERAGE(C324:J324)</f>
        <v>66.21</v>
      </c>
    </row>
    <row r="325" customFormat="false" ht="15.75" hidden="false" customHeight="true" outlineLevel="0" collapsed="false">
      <c r="A325" s="34" t="s">
        <v>465</v>
      </c>
      <c r="B325" s="34" t="n">
        <v>1274.2</v>
      </c>
      <c r="C325" s="34" t="n">
        <v>-66.67</v>
      </c>
      <c r="D325" s="34" t="n">
        <v>-131.12</v>
      </c>
      <c r="E325" s="34" t="n">
        <v>-55.71</v>
      </c>
      <c r="F325" s="34" t="n">
        <v>78.62</v>
      </c>
      <c r="G325" s="34" t="n">
        <v>104.95</v>
      </c>
      <c r="H325" s="34" t="n">
        <v>110.53</v>
      </c>
      <c r="I325" s="34" t="n">
        <v>124.29</v>
      </c>
      <c r="J325" s="34" t="n">
        <v>145.14</v>
      </c>
      <c r="K325" s="34" t="n">
        <v>1208.24</v>
      </c>
      <c r="L325" s="34" t="n">
        <f aca="false">AVERAGE(C325:E325)</f>
        <v>-84.5</v>
      </c>
      <c r="M325" s="34" t="n">
        <f aca="false">AVERAGE(C325:J325)</f>
        <v>38.75375</v>
      </c>
    </row>
    <row r="326" customFormat="false" ht="15.75" hidden="false" customHeight="true" outlineLevel="0" collapsed="false">
      <c r="A326" s="34" t="s">
        <v>798</v>
      </c>
      <c r="B326" s="34" t="n">
        <v>1271.7</v>
      </c>
      <c r="C326" s="34" t="n">
        <v>-66.67</v>
      </c>
      <c r="D326" s="34" t="n">
        <v>-133.22</v>
      </c>
      <c r="E326" s="34" t="n">
        <v>-154.15</v>
      </c>
      <c r="F326" s="34" t="n">
        <v>8.69</v>
      </c>
      <c r="G326" s="34" t="n">
        <v>70.17</v>
      </c>
      <c r="H326" s="34" t="n">
        <v>103.85</v>
      </c>
      <c r="I326" s="34" t="n">
        <v>122.35</v>
      </c>
      <c r="J326" s="34" t="n">
        <v>134.69</v>
      </c>
      <c r="K326" s="34" t="n">
        <v>1422.48</v>
      </c>
      <c r="L326" s="34" t="n">
        <f aca="false">AVERAGE(C326:E326)</f>
        <v>-118.013333333333</v>
      </c>
      <c r="M326" s="34" t="n">
        <f aca="false">AVERAGE(C326:J326)</f>
        <v>10.71375</v>
      </c>
    </row>
    <row r="327" customFormat="false" ht="15.75" hidden="false" customHeight="true" outlineLevel="0" collapsed="false">
      <c r="A327" s="34" t="s">
        <v>799</v>
      </c>
      <c r="B327" s="34" t="n">
        <v>1266.4</v>
      </c>
      <c r="C327" s="34" t="n">
        <v>-66.67</v>
      </c>
      <c r="D327" s="34" t="n">
        <v>-92.26</v>
      </c>
      <c r="E327" s="34" t="n">
        <v>-42.68</v>
      </c>
      <c r="F327" s="34" t="n">
        <v>47.08</v>
      </c>
      <c r="G327" s="34" t="n">
        <v>75.1</v>
      </c>
      <c r="H327" s="34" t="n">
        <v>99.92</v>
      </c>
      <c r="I327" s="34" t="n">
        <v>125.17</v>
      </c>
      <c r="J327" s="34" t="n">
        <v>150.78</v>
      </c>
      <c r="K327" s="34" t="n">
        <v>1242.47</v>
      </c>
      <c r="L327" s="34" t="n">
        <f aca="false">AVERAGE(C327:E327)</f>
        <v>-67.2033333333333</v>
      </c>
      <c r="M327" s="34" t="n">
        <f aca="false">AVERAGE(C327:J327)</f>
        <v>37.055</v>
      </c>
    </row>
    <row r="328" customFormat="false" ht="15.75" hidden="false" customHeight="true" outlineLevel="0" collapsed="false">
      <c r="A328" s="34" t="s">
        <v>467</v>
      </c>
      <c r="B328" s="34" t="n">
        <v>1265.8</v>
      </c>
      <c r="C328" s="34" t="n">
        <v>66.67</v>
      </c>
      <c r="D328" s="34" t="n">
        <v>124.81</v>
      </c>
      <c r="E328" s="34" t="n">
        <v>90.91</v>
      </c>
      <c r="F328" s="34" t="n">
        <v>218.59</v>
      </c>
      <c r="G328" s="34" t="n">
        <v>343.41</v>
      </c>
      <c r="H328" s="34" t="n">
        <v>210.11</v>
      </c>
      <c r="I328" s="34" t="n">
        <v>186.89</v>
      </c>
      <c r="J328" s="34" t="n">
        <v>200.64</v>
      </c>
      <c r="K328" s="34" t="n">
        <v>1175.22</v>
      </c>
      <c r="L328" s="34" t="n">
        <f aca="false">AVERAGE(C328:E328)</f>
        <v>94.13</v>
      </c>
      <c r="M328" s="34" t="n">
        <f aca="false">AVERAGE(C328:J328)</f>
        <v>180.25375</v>
      </c>
    </row>
    <row r="329" customFormat="false" ht="15.75" hidden="false" customHeight="true" outlineLevel="0" collapsed="false">
      <c r="A329" s="34" t="s">
        <v>215</v>
      </c>
      <c r="B329" s="34" t="n">
        <v>1264.6</v>
      </c>
      <c r="C329" s="34" t="n">
        <v>66.67</v>
      </c>
      <c r="D329" s="34" t="n">
        <v>109.43</v>
      </c>
      <c r="E329" s="34" t="n">
        <v>113.29</v>
      </c>
      <c r="F329" s="34" t="n">
        <v>196.33</v>
      </c>
      <c r="G329" s="34" t="n">
        <v>195.27</v>
      </c>
      <c r="H329" s="34" t="n">
        <v>230.54</v>
      </c>
      <c r="I329" s="34" t="n">
        <v>238.64</v>
      </c>
      <c r="J329" s="34" t="n">
        <v>262</v>
      </c>
      <c r="K329" s="34" t="n">
        <v>1182.3</v>
      </c>
      <c r="L329" s="34" t="n">
        <f aca="false">AVERAGE(C329:E329)</f>
        <v>96.4633333333334</v>
      </c>
      <c r="M329" s="34" t="n">
        <f aca="false">AVERAGE(C329:J329)</f>
        <v>176.52125</v>
      </c>
    </row>
    <row r="330" customFormat="false" ht="15.75" hidden="false" customHeight="true" outlineLevel="0" collapsed="false">
      <c r="A330" s="34" t="s">
        <v>800</v>
      </c>
      <c r="B330" s="34" t="n">
        <v>1263.5</v>
      </c>
      <c r="C330" s="34" t="n">
        <v>-66.67</v>
      </c>
      <c r="D330" s="34" t="n">
        <v>19</v>
      </c>
      <c r="E330" s="34" t="n">
        <v>-66.37</v>
      </c>
      <c r="F330" s="34" t="n">
        <v>-142.86</v>
      </c>
      <c r="G330" s="34" t="n">
        <v>-3.04</v>
      </c>
      <c r="H330" s="34" t="n">
        <v>35.31</v>
      </c>
      <c r="I330" s="34" t="n">
        <v>57.03</v>
      </c>
      <c r="J330" s="34" t="n">
        <v>73.07</v>
      </c>
      <c r="K330" s="34" t="n">
        <v>1357.49</v>
      </c>
      <c r="L330" s="34" t="n">
        <f aca="false">AVERAGE(C330:E330)</f>
        <v>-38.0133333333333</v>
      </c>
      <c r="M330" s="34" t="n">
        <f aca="false">AVERAGE(C330:J330)</f>
        <v>-11.81625</v>
      </c>
    </row>
    <row r="331" customFormat="false" ht="15.75" hidden="false" customHeight="true" outlineLevel="0" collapsed="false">
      <c r="A331" s="34" t="s">
        <v>222</v>
      </c>
      <c r="B331" s="34" t="n">
        <v>1261</v>
      </c>
      <c r="C331" s="34" t="n">
        <v>-66.67</v>
      </c>
      <c r="D331" s="34" t="n">
        <v>-15.17</v>
      </c>
      <c r="E331" s="34" t="n">
        <v>70.28</v>
      </c>
      <c r="F331" s="34" t="n">
        <v>-21.56</v>
      </c>
      <c r="G331" s="34" t="n">
        <v>-72.62</v>
      </c>
      <c r="H331" s="34" t="n">
        <v>-73.04</v>
      </c>
      <c r="I331" s="34" t="n">
        <v>-21.9</v>
      </c>
      <c r="J331" s="34" t="n">
        <v>-5.41</v>
      </c>
      <c r="K331" s="34" t="n">
        <v>1238.81</v>
      </c>
      <c r="L331" s="34" t="n">
        <f aca="false">AVERAGE(C331:E331)</f>
        <v>-3.85333333333333</v>
      </c>
      <c r="M331" s="34" t="n">
        <f aca="false">AVERAGE(C331:J331)</f>
        <v>-25.76125</v>
      </c>
    </row>
    <row r="332" customFormat="false" ht="15.75" hidden="false" customHeight="true" outlineLevel="0" collapsed="false">
      <c r="A332" s="34" t="s">
        <v>197</v>
      </c>
      <c r="B332" s="34" t="n">
        <v>1257.2</v>
      </c>
      <c r="C332" s="34" t="n">
        <v>66.67</v>
      </c>
      <c r="D332" s="34" t="n">
        <v>111.41</v>
      </c>
      <c r="E332" s="34" t="n">
        <v>149.17</v>
      </c>
      <c r="F332" s="34" t="n">
        <v>62.71</v>
      </c>
      <c r="G332" s="34" t="n">
        <v>77.73</v>
      </c>
      <c r="H332" s="34" t="n">
        <v>43.98</v>
      </c>
      <c r="I332" s="34" t="n">
        <v>62.24</v>
      </c>
      <c r="J332" s="34" t="n">
        <v>73.6</v>
      </c>
      <c r="K332" s="34" t="n">
        <v>1192.23</v>
      </c>
      <c r="L332" s="34" t="n">
        <f aca="false">AVERAGE(C332:E332)</f>
        <v>109.083333333333</v>
      </c>
      <c r="M332" s="34" t="n">
        <f aca="false">AVERAGE(C332:J332)</f>
        <v>80.93875</v>
      </c>
    </row>
    <row r="333" customFormat="false" ht="15.75" hidden="false" customHeight="true" outlineLevel="0" collapsed="false">
      <c r="A333" s="34" t="s">
        <v>801</v>
      </c>
      <c r="B333" s="34" t="n">
        <v>1254.9</v>
      </c>
      <c r="C333" s="34" t="n">
        <v>-66.67</v>
      </c>
      <c r="D333" s="34" t="n">
        <v>-88.02</v>
      </c>
      <c r="E333" s="34" t="n">
        <v>-87.83</v>
      </c>
      <c r="F333" s="34" t="n">
        <v>32.84</v>
      </c>
      <c r="G333" s="34" t="n">
        <v>88.61</v>
      </c>
      <c r="H333" s="34" t="n">
        <v>110.66</v>
      </c>
      <c r="I333" s="34" t="n">
        <v>138.44</v>
      </c>
      <c r="J333" s="34" t="n">
        <v>30.86</v>
      </c>
      <c r="K333" s="34" t="n">
        <v>1335.98</v>
      </c>
      <c r="L333" s="34" t="n">
        <f aca="false">AVERAGE(C333:E333)</f>
        <v>-80.84</v>
      </c>
      <c r="M333" s="34" t="n">
        <f aca="false">AVERAGE(C333:J333)</f>
        <v>19.86125</v>
      </c>
    </row>
    <row r="334" customFormat="false" ht="15.75" hidden="false" customHeight="true" outlineLevel="0" collapsed="false">
      <c r="A334" s="34" t="s">
        <v>802</v>
      </c>
      <c r="B334" s="34" t="n">
        <v>1242.8</v>
      </c>
      <c r="C334" s="34" t="n">
        <v>-66.67</v>
      </c>
      <c r="D334" s="34" t="n">
        <v>62.5</v>
      </c>
      <c r="E334" s="34" t="n">
        <v>105.25</v>
      </c>
      <c r="F334" s="34" t="n">
        <v>78.66</v>
      </c>
      <c r="G334" s="34" t="n">
        <v>71.21</v>
      </c>
      <c r="H334" s="34" t="n">
        <v>89.82</v>
      </c>
      <c r="I334" s="34" t="n">
        <v>85.85</v>
      </c>
      <c r="J334" s="34" t="n">
        <v>87.25</v>
      </c>
      <c r="K334" s="34" t="n">
        <v>1185.57</v>
      </c>
      <c r="L334" s="34" t="n">
        <f aca="false">AVERAGE(C334:E334)</f>
        <v>33.6933333333333</v>
      </c>
      <c r="M334" s="34" t="n">
        <f aca="false">AVERAGE(C334:J334)</f>
        <v>64.23375</v>
      </c>
    </row>
    <row r="335" customFormat="false" ht="15.75" hidden="false" customHeight="true" outlineLevel="0" collapsed="false">
      <c r="A335" s="34" t="s">
        <v>803</v>
      </c>
      <c r="B335" s="34" t="n">
        <v>1240.1</v>
      </c>
      <c r="C335" s="34" t="n">
        <v>66.67</v>
      </c>
      <c r="D335" s="34" t="n">
        <v>115.15</v>
      </c>
      <c r="E335" s="34" t="n">
        <v>138.01</v>
      </c>
      <c r="F335" s="34" t="n">
        <v>68.47</v>
      </c>
      <c r="G335" s="34" t="n">
        <v>102.26</v>
      </c>
      <c r="H335" s="34" t="n">
        <v>141.88</v>
      </c>
      <c r="I335" s="34" t="n">
        <v>164.13</v>
      </c>
      <c r="J335" s="34" t="n">
        <v>172.03</v>
      </c>
      <c r="K335" s="34" t="n">
        <v>1281.63</v>
      </c>
      <c r="L335" s="34" t="n">
        <f aca="false">AVERAGE(C335:E335)</f>
        <v>106.61</v>
      </c>
      <c r="M335" s="34" t="n">
        <f aca="false">AVERAGE(C335:J335)</f>
        <v>121.075</v>
      </c>
    </row>
    <row r="336" customFormat="false" ht="15.75" hidden="false" customHeight="true" outlineLevel="0" collapsed="false">
      <c r="A336" s="34" t="s">
        <v>249</v>
      </c>
      <c r="B336" s="34" t="n">
        <v>1234.7</v>
      </c>
      <c r="C336" s="34" t="n">
        <v>-66.67</v>
      </c>
      <c r="D336" s="34" t="n">
        <v>45.24</v>
      </c>
      <c r="E336" s="34" t="n">
        <v>-17</v>
      </c>
      <c r="F336" s="34" t="n">
        <v>-40.78</v>
      </c>
      <c r="G336" s="34" t="n">
        <v>10.04</v>
      </c>
      <c r="H336" s="34" t="n">
        <v>47.6</v>
      </c>
      <c r="I336" s="34" t="n">
        <v>68.47</v>
      </c>
      <c r="J336" s="34" t="n">
        <v>81.66</v>
      </c>
      <c r="K336" s="34" t="n">
        <v>1289.25</v>
      </c>
      <c r="L336" s="34" t="n">
        <f aca="false">AVERAGE(C336:E336)</f>
        <v>-12.81</v>
      </c>
      <c r="M336" s="34" t="n">
        <f aca="false">AVERAGE(C336:J336)</f>
        <v>16.07</v>
      </c>
    </row>
    <row r="337" customFormat="false" ht="15.75" hidden="false" customHeight="true" outlineLevel="0" collapsed="false">
      <c r="A337" s="34" t="s">
        <v>233</v>
      </c>
      <c r="B337" s="34" t="n">
        <v>1230.1</v>
      </c>
      <c r="C337" s="34" t="n">
        <v>-66.67</v>
      </c>
      <c r="D337" s="34" t="n">
        <v>54.32</v>
      </c>
      <c r="E337" s="34" t="n">
        <v>108.79</v>
      </c>
      <c r="F337" s="34" t="n">
        <v>1.42</v>
      </c>
      <c r="G337" s="34" t="n">
        <v>-59.16</v>
      </c>
      <c r="H337" s="34" t="n">
        <v>-42.57</v>
      </c>
      <c r="I337" s="34" t="n">
        <v>-35.25</v>
      </c>
      <c r="J337" s="34" t="n">
        <v>-58.59</v>
      </c>
      <c r="K337" s="34" t="n">
        <v>1182.02</v>
      </c>
      <c r="L337" s="34" t="n">
        <f aca="false">AVERAGE(C337:E337)</f>
        <v>32.1466666666667</v>
      </c>
      <c r="M337" s="34" t="n">
        <f aca="false">AVERAGE(C337:J337)</f>
        <v>-12.21375</v>
      </c>
    </row>
    <row r="338" customFormat="false" ht="15.75" hidden="false" customHeight="true" outlineLevel="0" collapsed="false">
      <c r="A338" s="34" t="s">
        <v>804</v>
      </c>
      <c r="B338" s="34" t="n">
        <v>1229.9</v>
      </c>
      <c r="C338" s="34" t="n">
        <v>-66.67</v>
      </c>
      <c r="D338" s="34" t="n">
        <v>-56.36</v>
      </c>
      <c r="E338" s="34" t="n">
        <v>5.77</v>
      </c>
      <c r="F338" s="34" t="n">
        <v>-11.69</v>
      </c>
      <c r="G338" s="34" t="n">
        <v>45.12</v>
      </c>
      <c r="H338" s="34" t="n">
        <v>-25.96</v>
      </c>
      <c r="I338" s="34" t="n">
        <v>-9.82</v>
      </c>
      <c r="J338" s="34" t="n">
        <v>-24.51</v>
      </c>
      <c r="K338" s="34" t="n">
        <v>1321.88</v>
      </c>
      <c r="L338" s="34" t="n">
        <f aca="false">AVERAGE(C338:E338)</f>
        <v>-39.0866666666667</v>
      </c>
      <c r="M338" s="34" t="n">
        <f aca="false">AVERAGE(C338:J338)</f>
        <v>-18.015</v>
      </c>
    </row>
    <row r="339" customFormat="false" ht="15.75" hidden="false" customHeight="true" outlineLevel="0" collapsed="false">
      <c r="A339" s="34" t="s">
        <v>805</v>
      </c>
      <c r="B339" s="34" t="n">
        <v>1221.1</v>
      </c>
      <c r="C339" s="34" t="n">
        <v>-66.67</v>
      </c>
      <c r="D339" s="34" t="n">
        <v>-93.42</v>
      </c>
      <c r="E339" s="34" t="n">
        <v>-175.64</v>
      </c>
      <c r="F339" s="34" t="n">
        <v>-237.5</v>
      </c>
      <c r="G339" s="34" t="n">
        <v>-18.63</v>
      </c>
      <c r="H339" s="34" t="n">
        <v>22.08</v>
      </c>
      <c r="I339" s="34" t="n">
        <v>45.5</v>
      </c>
      <c r="J339" s="34" t="n">
        <v>51.79</v>
      </c>
      <c r="K339" s="34" t="n">
        <v>1302.33</v>
      </c>
      <c r="L339" s="34" t="n">
        <f aca="false">AVERAGE(C339:E339)</f>
        <v>-111.91</v>
      </c>
      <c r="M339" s="34" t="n">
        <f aca="false">AVERAGE(C339:J339)</f>
        <v>-59.06125</v>
      </c>
    </row>
    <row r="340" customFormat="false" ht="15.75" hidden="false" customHeight="true" outlineLevel="0" collapsed="false">
      <c r="A340" s="34" t="s">
        <v>806</v>
      </c>
      <c r="B340" s="34" t="n">
        <v>1220.8</v>
      </c>
      <c r="C340" s="34" t="n">
        <v>-66.67</v>
      </c>
      <c r="D340" s="34" t="n">
        <v>-111.32</v>
      </c>
      <c r="E340" s="34" t="n">
        <v>-200.23</v>
      </c>
      <c r="F340" s="34" t="n">
        <v>-12.85</v>
      </c>
      <c r="G340" s="34" t="n">
        <v>18.57</v>
      </c>
      <c r="H340" s="34" t="n">
        <v>50.23</v>
      </c>
      <c r="I340" s="34" t="n">
        <v>68.88</v>
      </c>
      <c r="J340" s="34" t="n">
        <v>68.52</v>
      </c>
      <c r="K340" s="34" t="n">
        <v>1174.82</v>
      </c>
      <c r="L340" s="34" t="n">
        <f aca="false">AVERAGE(C340:E340)</f>
        <v>-126.073333333333</v>
      </c>
      <c r="M340" s="34" t="n">
        <f aca="false">AVERAGE(C340:J340)</f>
        <v>-23.10875</v>
      </c>
    </row>
    <row r="341" customFormat="false" ht="15.75" hidden="false" customHeight="true" outlineLevel="0" collapsed="false">
      <c r="A341" s="34" t="s">
        <v>807</v>
      </c>
      <c r="B341" s="34" t="n">
        <v>1220.6</v>
      </c>
      <c r="C341" s="34" t="n">
        <v>-66.67</v>
      </c>
      <c r="D341" s="34" t="n">
        <v>62.29</v>
      </c>
      <c r="E341" s="34" t="n">
        <v>127.77</v>
      </c>
      <c r="F341" s="34"/>
      <c r="G341" s="34"/>
      <c r="H341" s="34"/>
      <c r="I341" s="34"/>
      <c r="J341" s="34"/>
      <c r="K341" s="34" t="n">
        <v>1109.87</v>
      </c>
      <c r="L341" s="34" t="n">
        <f aca="false">AVERAGE(C341:E341)</f>
        <v>41.13</v>
      </c>
      <c r="M341" s="34" t="n">
        <f aca="false">AVERAGE(C341:J341)</f>
        <v>41.13</v>
      </c>
    </row>
    <row r="342" customFormat="false" ht="15.75" hidden="false" customHeight="true" outlineLevel="0" collapsed="false">
      <c r="A342" s="34" t="s">
        <v>497</v>
      </c>
      <c r="B342" s="34" t="n">
        <v>1215.8</v>
      </c>
      <c r="C342" s="34" t="n">
        <v>66.67</v>
      </c>
      <c r="D342" s="34" t="n">
        <v>93.43</v>
      </c>
      <c r="E342" s="34" t="n">
        <v>-11.03</v>
      </c>
      <c r="F342" s="34" t="n">
        <v>-83.83</v>
      </c>
      <c r="G342" s="34" t="n">
        <v>-150.59</v>
      </c>
      <c r="H342" s="34" t="n">
        <v>-43.13</v>
      </c>
      <c r="I342" s="34" t="n">
        <v>10.46</v>
      </c>
      <c r="J342" s="34" t="n">
        <v>10.86</v>
      </c>
      <c r="K342" s="34" t="n">
        <v>1298.89</v>
      </c>
      <c r="L342" s="34" t="n">
        <f aca="false">AVERAGE(C342:E342)</f>
        <v>49.69</v>
      </c>
      <c r="M342" s="34" t="n">
        <f aca="false">AVERAGE(C342:J342)</f>
        <v>-13.395</v>
      </c>
    </row>
    <row r="343" customFormat="false" ht="15.75" hidden="false" customHeight="true" outlineLevel="0" collapsed="false">
      <c r="A343" s="34" t="s">
        <v>808</v>
      </c>
      <c r="B343" s="34" t="n">
        <v>1215.7</v>
      </c>
      <c r="C343" s="34" t="n">
        <v>66.67</v>
      </c>
      <c r="D343" s="34" t="n">
        <v>89.38</v>
      </c>
      <c r="E343" s="34" t="n">
        <v>-41.17</v>
      </c>
      <c r="F343" s="34" t="n">
        <v>-106.74</v>
      </c>
      <c r="G343" s="34" t="n">
        <v>-61.49</v>
      </c>
      <c r="H343" s="34" t="n">
        <v>15.27</v>
      </c>
      <c r="I343" s="34" t="n">
        <v>37.83</v>
      </c>
      <c r="J343" s="34" t="n">
        <v>56.01</v>
      </c>
      <c r="K343" s="34" t="n">
        <v>1305.21</v>
      </c>
      <c r="L343" s="34" t="n">
        <f aca="false">AVERAGE(C343:E343)</f>
        <v>38.2933333333333</v>
      </c>
      <c r="M343" s="34" t="n">
        <f aca="false">AVERAGE(C343:J343)</f>
        <v>6.97</v>
      </c>
    </row>
    <row r="344" customFormat="false" ht="15.75" hidden="false" customHeight="true" outlineLevel="0" collapsed="false">
      <c r="A344" s="34" t="s">
        <v>809</v>
      </c>
      <c r="B344" s="34" t="n">
        <v>1211.9</v>
      </c>
      <c r="C344" s="34" t="n">
        <v>-66.67</v>
      </c>
      <c r="D344" s="34" t="n">
        <v>-98.63</v>
      </c>
      <c r="E344" s="34" t="n">
        <v>3.44</v>
      </c>
      <c r="F344" s="34" t="n">
        <v>-73.2</v>
      </c>
      <c r="G344" s="34" t="n">
        <v>-17.21</v>
      </c>
      <c r="H344" s="34" t="n">
        <v>3.33</v>
      </c>
      <c r="I344" s="34" t="n">
        <v>13.69</v>
      </c>
      <c r="J344" s="34" t="n">
        <v>-13.61</v>
      </c>
      <c r="K344" s="34" t="n">
        <v>1292.92</v>
      </c>
      <c r="L344" s="34" t="n">
        <f aca="false">AVERAGE(C344:E344)</f>
        <v>-53.9533333333333</v>
      </c>
      <c r="M344" s="34" t="n">
        <f aca="false">AVERAGE(C344:J344)</f>
        <v>-31.1075</v>
      </c>
    </row>
    <row r="345" customFormat="false" ht="15.75" hidden="false" customHeight="true" outlineLevel="0" collapsed="false">
      <c r="A345" s="34" t="s">
        <v>810</v>
      </c>
      <c r="B345" s="34" t="n">
        <v>1208.6</v>
      </c>
      <c r="C345" s="34" t="n">
        <v>66.67</v>
      </c>
      <c r="D345" s="34" t="n">
        <v>-22.62</v>
      </c>
      <c r="E345" s="34" t="n">
        <v>-46</v>
      </c>
      <c r="F345" s="34" t="n">
        <v>-121.83</v>
      </c>
      <c r="G345" s="34" t="n">
        <v>-223.3</v>
      </c>
      <c r="H345" s="34" t="n">
        <v>-163.89</v>
      </c>
      <c r="I345" s="34" t="n">
        <v>-57.31</v>
      </c>
      <c r="J345" s="34"/>
      <c r="K345" s="34" t="n">
        <v>1363.01</v>
      </c>
      <c r="L345" s="34" t="n">
        <f aca="false">AVERAGE(C345:E345)</f>
        <v>-0.650000000000001</v>
      </c>
      <c r="M345" s="34" t="n">
        <f aca="false">AVERAGE(C345:J345)</f>
        <v>-81.1828571428572</v>
      </c>
    </row>
    <row r="346" customFormat="false" ht="15.75" hidden="false" customHeight="true" outlineLevel="0" collapsed="false">
      <c r="A346" s="34" t="s">
        <v>811</v>
      </c>
      <c r="B346" s="34" t="n">
        <v>1204</v>
      </c>
      <c r="C346" s="34" t="n">
        <v>-66.67</v>
      </c>
      <c r="D346" s="34" t="n">
        <v>64.04</v>
      </c>
      <c r="E346" s="34" t="n">
        <v>92.13</v>
      </c>
      <c r="F346" s="34" t="n">
        <v>111.67</v>
      </c>
      <c r="G346" s="34" t="n">
        <v>78.66</v>
      </c>
      <c r="H346" s="34" t="n">
        <v>98.06</v>
      </c>
      <c r="I346" s="34" t="n">
        <v>120.31</v>
      </c>
      <c r="J346" s="34" t="n">
        <v>91.71</v>
      </c>
      <c r="K346" s="34" t="n">
        <v>1245.97</v>
      </c>
      <c r="L346" s="34" t="n">
        <f aca="false">AVERAGE(C346:E346)</f>
        <v>29.8333333333333</v>
      </c>
      <c r="M346" s="34" t="n">
        <f aca="false">AVERAGE(C346:J346)</f>
        <v>73.73875</v>
      </c>
    </row>
    <row r="347" customFormat="false" ht="15.75" hidden="false" customHeight="true" outlineLevel="0" collapsed="false">
      <c r="A347" s="34" t="s">
        <v>812</v>
      </c>
      <c r="B347" s="34" t="n">
        <v>1202.9</v>
      </c>
      <c r="C347" s="34" t="n">
        <v>-66.67</v>
      </c>
      <c r="D347" s="34" t="n">
        <v>-85.04</v>
      </c>
      <c r="E347" s="34" t="n">
        <v>-87.05</v>
      </c>
      <c r="F347" s="34" t="n">
        <v>-112.87</v>
      </c>
      <c r="G347" s="34" t="n">
        <v>-24.53</v>
      </c>
      <c r="H347" s="34" t="n">
        <v>13.59</v>
      </c>
      <c r="I347" s="34" t="n">
        <v>48.51</v>
      </c>
      <c r="J347" s="34" t="n">
        <v>63.06</v>
      </c>
      <c r="K347" s="34" t="n">
        <v>1341.45</v>
      </c>
      <c r="L347" s="34" t="n">
        <f aca="false">AVERAGE(C347:E347)</f>
        <v>-79.5866666666667</v>
      </c>
      <c r="M347" s="34" t="n">
        <f aca="false">AVERAGE(C347:J347)</f>
        <v>-31.375</v>
      </c>
    </row>
    <row r="348" customFormat="false" ht="15.75" hidden="false" customHeight="true" outlineLevel="0" collapsed="false">
      <c r="A348" s="34" t="s">
        <v>237</v>
      </c>
      <c r="B348" s="34" t="n">
        <v>1196.6</v>
      </c>
      <c r="C348" s="34" t="n">
        <v>-66.67</v>
      </c>
      <c r="D348" s="34" t="n">
        <v>-61.86</v>
      </c>
      <c r="E348" s="34" t="n">
        <v>-53.93</v>
      </c>
      <c r="F348" s="34" t="n">
        <v>-72.56</v>
      </c>
      <c r="G348" s="34" t="n">
        <v>-97.69</v>
      </c>
      <c r="H348" s="34" t="n">
        <v>-92.28</v>
      </c>
      <c r="I348" s="34" t="n">
        <v>-78.81</v>
      </c>
      <c r="J348" s="34" t="n">
        <v>-90.62</v>
      </c>
      <c r="K348" s="34" t="n">
        <v>1164.64</v>
      </c>
      <c r="L348" s="34" t="n">
        <f aca="false">AVERAGE(C348:E348)</f>
        <v>-60.82</v>
      </c>
      <c r="M348" s="34" t="n">
        <f aca="false">AVERAGE(C348:J348)</f>
        <v>-76.8025</v>
      </c>
    </row>
    <row r="349" customFormat="false" ht="15.75" hidden="false" customHeight="true" outlineLevel="0" collapsed="false">
      <c r="A349" s="34" t="s">
        <v>813</v>
      </c>
      <c r="B349" s="34" t="n">
        <v>1192.9</v>
      </c>
      <c r="C349" s="34" t="n">
        <v>-66.67</v>
      </c>
      <c r="D349" s="34" t="n">
        <v>40.62</v>
      </c>
      <c r="E349" s="34" t="n">
        <v>83.17</v>
      </c>
      <c r="F349" s="34" t="n">
        <v>174.23</v>
      </c>
      <c r="G349" s="34" t="n">
        <v>106.72</v>
      </c>
      <c r="H349" s="34" t="n">
        <v>128.63</v>
      </c>
      <c r="I349" s="34" t="n">
        <v>157.92</v>
      </c>
      <c r="J349" s="34" t="n">
        <v>187.47</v>
      </c>
      <c r="K349" s="34" t="n">
        <v>1090.28</v>
      </c>
      <c r="L349" s="34" t="n">
        <f aca="false">AVERAGE(C349:E349)</f>
        <v>19.04</v>
      </c>
      <c r="M349" s="34" t="n">
        <f aca="false">AVERAGE(C349:J349)</f>
        <v>101.51125</v>
      </c>
    </row>
    <row r="350" customFormat="false" ht="15.75" hidden="false" customHeight="true" outlineLevel="0" collapsed="false">
      <c r="A350" s="34" t="s">
        <v>385</v>
      </c>
      <c r="B350" s="34" t="n">
        <v>1178</v>
      </c>
      <c r="C350" s="34" t="n">
        <v>66.67</v>
      </c>
      <c r="D350" s="34" t="n">
        <v>90.01</v>
      </c>
      <c r="E350" s="34" t="n">
        <v>91.71</v>
      </c>
      <c r="F350" s="34" t="n">
        <v>2.99</v>
      </c>
      <c r="G350" s="34" t="n">
        <v>65.73</v>
      </c>
      <c r="H350" s="34" t="n">
        <v>87.31</v>
      </c>
      <c r="I350" s="34" t="n">
        <v>101.21</v>
      </c>
      <c r="J350" s="34" t="n">
        <v>114.89</v>
      </c>
      <c r="K350" s="34" t="n">
        <v>1205.4</v>
      </c>
      <c r="L350" s="34" t="n">
        <f aca="false">AVERAGE(C350:E350)</f>
        <v>82.7966666666667</v>
      </c>
      <c r="M350" s="34" t="n">
        <f aca="false">AVERAGE(C350:J350)</f>
        <v>77.565</v>
      </c>
    </row>
    <row r="351" customFormat="false" ht="15.75" hidden="false" customHeight="true" outlineLevel="0" collapsed="false">
      <c r="A351" s="34" t="s">
        <v>814</v>
      </c>
      <c r="B351" s="34" t="n">
        <v>1174.8</v>
      </c>
      <c r="C351" s="34" t="n">
        <v>66.67</v>
      </c>
      <c r="D351" s="34" t="n">
        <v>19.01</v>
      </c>
      <c r="E351" s="34" t="n">
        <v>56.97</v>
      </c>
      <c r="F351" s="34" t="n">
        <v>161.85</v>
      </c>
      <c r="G351" s="34" t="n">
        <v>143.58</v>
      </c>
      <c r="H351" s="34" t="n">
        <v>146.58</v>
      </c>
      <c r="I351" s="34" t="n">
        <v>170.94</v>
      </c>
      <c r="J351" s="34" t="n">
        <v>198.92</v>
      </c>
      <c r="K351" s="34" t="n">
        <v>1111.79</v>
      </c>
      <c r="L351" s="34" t="n">
        <f aca="false">AVERAGE(C351:E351)</f>
        <v>47.55</v>
      </c>
      <c r="M351" s="34" t="n">
        <f aca="false">AVERAGE(C351:J351)</f>
        <v>120.565</v>
      </c>
    </row>
    <row r="352" customFormat="false" ht="15.75" hidden="false" customHeight="true" outlineLevel="0" collapsed="false">
      <c r="A352" s="34" t="s">
        <v>43</v>
      </c>
      <c r="B352" s="34" t="n">
        <v>1167.7</v>
      </c>
      <c r="C352" s="34" t="n">
        <v>-66.67</v>
      </c>
      <c r="D352" s="34" t="n">
        <v>-133.33</v>
      </c>
      <c r="E352" s="34" t="n">
        <v>-39.51</v>
      </c>
      <c r="F352" s="34" t="n">
        <v>-88.87</v>
      </c>
      <c r="G352" s="34" t="n">
        <v>-53.04</v>
      </c>
      <c r="H352" s="34" t="n">
        <v>3.53</v>
      </c>
      <c r="I352" s="34" t="n">
        <v>35.41</v>
      </c>
      <c r="J352" s="34" t="n">
        <v>49.79</v>
      </c>
      <c r="K352" s="34" t="n">
        <v>1212.52</v>
      </c>
      <c r="L352" s="34" t="n">
        <f aca="false">AVERAGE(C352:E352)</f>
        <v>-79.8366666666667</v>
      </c>
      <c r="M352" s="34" t="n">
        <f aca="false">AVERAGE(C352:J352)</f>
        <v>-36.58625</v>
      </c>
    </row>
    <row r="353" customFormat="false" ht="15.75" hidden="false" customHeight="true" outlineLevel="0" collapsed="false">
      <c r="A353" s="34" t="s">
        <v>815</v>
      </c>
      <c r="B353" s="34" t="n">
        <v>1165</v>
      </c>
      <c r="C353" s="34" t="n">
        <v>66.67</v>
      </c>
      <c r="D353" s="34" t="n">
        <v>90.51</v>
      </c>
      <c r="E353" s="34" t="n">
        <v>143.98</v>
      </c>
      <c r="F353" s="34" t="n">
        <v>154.19</v>
      </c>
      <c r="G353" s="34" t="n">
        <v>-30.27</v>
      </c>
      <c r="H353" s="34" t="n">
        <v>-58.12</v>
      </c>
      <c r="I353" s="34" t="n">
        <v>-49.48</v>
      </c>
      <c r="J353" s="34" t="n">
        <v>-16.26</v>
      </c>
      <c r="K353" s="34" t="n">
        <v>1065.9</v>
      </c>
      <c r="L353" s="34" t="n">
        <f aca="false">AVERAGE(C353:E353)</f>
        <v>100.386666666667</v>
      </c>
      <c r="M353" s="34" t="n">
        <f aca="false">AVERAGE(C353:J353)</f>
        <v>37.6525</v>
      </c>
    </row>
    <row r="354" customFormat="false" ht="15.75" hidden="false" customHeight="true" outlineLevel="0" collapsed="false">
      <c r="A354" s="34" t="s">
        <v>147</v>
      </c>
      <c r="B354" s="34" t="n">
        <v>1162.9</v>
      </c>
      <c r="C354" s="34" t="n">
        <v>-66.67</v>
      </c>
      <c r="D354" s="34" t="n">
        <v>-1.37</v>
      </c>
      <c r="E354" s="34" t="n">
        <v>76.54</v>
      </c>
      <c r="F354" s="34" t="n">
        <v>19.86</v>
      </c>
      <c r="G354" s="34" t="n">
        <v>-16.06</v>
      </c>
      <c r="H354" s="34" t="n">
        <v>-32.61</v>
      </c>
      <c r="I354" s="34" t="n">
        <v>5.64</v>
      </c>
      <c r="J354" s="34" t="n">
        <v>23.01</v>
      </c>
      <c r="K354" s="34" t="n">
        <v>1122.65</v>
      </c>
      <c r="L354" s="34" t="n">
        <f aca="false">AVERAGE(C354:E354)</f>
        <v>2.83333333333333</v>
      </c>
      <c r="M354" s="34" t="n">
        <f aca="false">AVERAGE(C354:J354)</f>
        <v>1.0425</v>
      </c>
    </row>
    <row r="355" customFormat="false" ht="15.75" hidden="false" customHeight="true" outlineLevel="0" collapsed="false">
      <c r="A355" s="34" t="s">
        <v>816</v>
      </c>
      <c r="B355" s="34" t="n">
        <v>1159.7</v>
      </c>
      <c r="C355" s="34" t="n">
        <v>-66.67</v>
      </c>
      <c r="D355" s="34" t="n">
        <v>-69.75</v>
      </c>
      <c r="E355" s="34" t="n">
        <v>54.51</v>
      </c>
      <c r="F355" s="34" t="n">
        <v>11.79</v>
      </c>
      <c r="G355" s="34" t="n">
        <v>15.42</v>
      </c>
      <c r="H355" s="34" t="n">
        <v>50.53</v>
      </c>
      <c r="I355" s="34" t="n">
        <v>67.04</v>
      </c>
      <c r="J355" s="34" t="n">
        <v>-1.22</v>
      </c>
      <c r="K355" s="34" t="n">
        <v>1098.17</v>
      </c>
      <c r="L355" s="34" t="n">
        <f aca="false">AVERAGE(C355:E355)</f>
        <v>-27.3033333333333</v>
      </c>
      <c r="M355" s="34" t="n">
        <f aca="false">AVERAGE(C355:J355)</f>
        <v>7.70625</v>
      </c>
    </row>
    <row r="356" customFormat="false" ht="15.75" hidden="false" customHeight="true" outlineLevel="0" collapsed="false">
      <c r="A356" s="34" t="s">
        <v>413</v>
      </c>
      <c r="B356" s="34" t="n">
        <v>1159.5</v>
      </c>
      <c r="C356" s="34" t="n">
        <v>66.67</v>
      </c>
      <c r="D356" s="34" t="n">
        <v>70.69</v>
      </c>
      <c r="E356" s="34" t="n">
        <v>100.39</v>
      </c>
      <c r="F356" s="34" t="n">
        <v>-36.32</v>
      </c>
      <c r="G356" s="34" t="n">
        <v>-43.88</v>
      </c>
      <c r="H356" s="34" t="n">
        <v>-6.41</v>
      </c>
      <c r="I356" s="34" t="n">
        <v>20.55</v>
      </c>
      <c r="J356" s="34" t="n">
        <v>5.69</v>
      </c>
      <c r="K356" s="34" t="n">
        <v>1179.14</v>
      </c>
      <c r="L356" s="34" t="n">
        <f aca="false">AVERAGE(C356:E356)</f>
        <v>79.25</v>
      </c>
      <c r="M356" s="34" t="n">
        <f aca="false">AVERAGE(C356:J356)</f>
        <v>22.1725</v>
      </c>
    </row>
    <row r="357" customFormat="false" ht="15.75" hidden="false" customHeight="true" outlineLevel="0" collapsed="false">
      <c r="A357" s="34" t="s">
        <v>817</v>
      </c>
      <c r="B357" s="34" t="n">
        <v>1157</v>
      </c>
      <c r="C357" s="34" t="n">
        <v>-66.67</v>
      </c>
      <c r="D357" s="34" t="n">
        <v>-66.92</v>
      </c>
      <c r="E357" s="34" t="n">
        <v>-132.98</v>
      </c>
      <c r="F357" s="34" t="n">
        <v>-303.13</v>
      </c>
      <c r="G357" s="34" t="n">
        <v>-227.44</v>
      </c>
      <c r="H357" s="34" t="n">
        <v>-62.38</v>
      </c>
      <c r="I357" s="34" t="n">
        <v>-6.65</v>
      </c>
      <c r="J357" s="34" t="n">
        <v>10.86</v>
      </c>
      <c r="K357" s="34" t="n">
        <v>1271.23</v>
      </c>
      <c r="L357" s="34" t="n">
        <f aca="false">AVERAGE(C357:E357)</f>
        <v>-88.8566666666667</v>
      </c>
      <c r="M357" s="34" t="n">
        <f aca="false">AVERAGE(C357:J357)</f>
        <v>-106.91375</v>
      </c>
    </row>
    <row r="358" customFormat="false" ht="15.75" hidden="false" customHeight="true" outlineLevel="0" collapsed="false">
      <c r="A358" s="34" t="s">
        <v>818</v>
      </c>
      <c r="B358" s="34" t="n">
        <v>1156</v>
      </c>
      <c r="C358" s="34" t="n">
        <v>-66.67</v>
      </c>
      <c r="D358" s="34" t="n">
        <v>-63.94</v>
      </c>
      <c r="E358" s="34" t="n">
        <v>69.92</v>
      </c>
      <c r="F358" s="34" t="n">
        <v>-46.36</v>
      </c>
      <c r="G358" s="34" t="n">
        <v>3.88</v>
      </c>
      <c r="H358" s="34" t="n">
        <v>38.65</v>
      </c>
      <c r="I358" s="34" t="n">
        <v>60.47</v>
      </c>
      <c r="J358" s="34" t="n">
        <v>71.88</v>
      </c>
      <c r="K358" s="34" t="n">
        <v>1193.94</v>
      </c>
      <c r="L358" s="34" t="n">
        <f aca="false">AVERAGE(C358:E358)</f>
        <v>-20.23</v>
      </c>
      <c r="M358" s="34" t="n">
        <f aca="false">AVERAGE(C358:J358)</f>
        <v>8.47875</v>
      </c>
    </row>
    <row r="359" customFormat="false" ht="15.75" hidden="false" customHeight="true" outlineLevel="0" collapsed="false">
      <c r="A359" s="34" t="s">
        <v>819</v>
      </c>
      <c r="B359" s="34" t="n">
        <v>1155</v>
      </c>
      <c r="C359" s="34" t="n">
        <v>66.67</v>
      </c>
      <c r="D359" s="34" t="n">
        <v>38.1</v>
      </c>
      <c r="E359" s="34" t="n">
        <v>73.63</v>
      </c>
      <c r="F359" s="34" t="n">
        <v>-16.96</v>
      </c>
      <c r="G359" s="34" t="n">
        <v>-48.71</v>
      </c>
      <c r="H359" s="34" t="n">
        <v>-68.68</v>
      </c>
      <c r="I359" s="34" t="n">
        <v>-42.95</v>
      </c>
      <c r="J359" s="34" t="n">
        <v>-52.21</v>
      </c>
      <c r="K359" s="34" t="n">
        <v>1194.03</v>
      </c>
      <c r="L359" s="34" t="n">
        <f aca="false">AVERAGE(C359:E359)</f>
        <v>59.4666666666667</v>
      </c>
      <c r="M359" s="34" t="n">
        <f aca="false">AVERAGE(C359:J359)</f>
        <v>-6.38875</v>
      </c>
    </row>
    <row r="360" customFormat="false" ht="15.75" hidden="false" customHeight="true" outlineLevel="0" collapsed="false">
      <c r="A360" s="34" t="s">
        <v>373</v>
      </c>
      <c r="B360" s="34" t="n">
        <v>1153.8</v>
      </c>
      <c r="C360" s="34" t="n">
        <v>-66.67</v>
      </c>
      <c r="D360" s="34" t="n">
        <v>-90.63</v>
      </c>
      <c r="E360" s="34" t="n">
        <v>-152.73</v>
      </c>
      <c r="F360" s="34" t="n">
        <v>-95.98</v>
      </c>
      <c r="G360" s="34" t="n">
        <v>-121.21</v>
      </c>
      <c r="H360" s="34" t="n">
        <v>-100.82</v>
      </c>
      <c r="I360" s="34" t="n">
        <v>-90.33</v>
      </c>
      <c r="J360" s="34" t="n">
        <v>-103.73</v>
      </c>
      <c r="K360" s="34" t="n">
        <v>1236.28</v>
      </c>
      <c r="L360" s="34" t="n">
        <f aca="false">AVERAGE(C360:E360)</f>
        <v>-103.343333333333</v>
      </c>
      <c r="M360" s="34" t="n">
        <f aca="false">AVERAGE(C360:J360)</f>
        <v>-102.7625</v>
      </c>
    </row>
    <row r="361" customFormat="false" ht="15.75" hidden="false" customHeight="true" outlineLevel="0" collapsed="false">
      <c r="A361" s="34" t="s">
        <v>820</v>
      </c>
      <c r="B361" s="34" t="n">
        <v>1149</v>
      </c>
      <c r="C361" s="34" t="n">
        <v>66.67</v>
      </c>
      <c r="D361" s="34" t="n">
        <v>126.58</v>
      </c>
      <c r="E361" s="34" t="n">
        <v>151.9</v>
      </c>
      <c r="F361" s="34" t="n">
        <v>-68.94</v>
      </c>
      <c r="G361" s="34" t="n">
        <v>-118.33</v>
      </c>
      <c r="H361" s="34" t="n">
        <v>-120.32</v>
      </c>
      <c r="I361" s="34" t="n">
        <v>-95.53</v>
      </c>
      <c r="J361" s="34" t="n">
        <v>-106.39</v>
      </c>
      <c r="K361" s="34" t="n">
        <v>1212.87</v>
      </c>
      <c r="L361" s="34" t="n">
        <f aca="false">AVERAGE(C361:E361)</f>
        <v>115.05</v>
      </c>
      <c r="M361" s="34" t="n">
        <f aca="false">AVERAGE(C361:J361)</f>
        <v>-20.545</v>
      </c>
    </row>
    <row r="362" customFormat="false" ht="15.75" hidden="false" customHeight="true" outlineLevel="0" collapsed="false">
      <c r="A362" s="34" t="s">
        <v>430</v>
      </c>
      <c r="B362" s="34" t="n">
        <v>1145</v>
      </c>
      <c r="C362" s="34" t="n">
        <v>66.67</v>
      </c>
      <c r="D362" s="34" t="n">
        <v>81.18</v>
      </c>
      <c r="E362" s="34" t="n">
        <v>88.43</v>
      </c>
      <c r="F362" s="34" t="n">
        <v>-41.47</v>
      </c>
      <c r="G362" s="34" t="n">
        <v>-82.92</v>
      </c>
      <c r="H362" s="34" t="n">
        <v>-12.82</v>
      </c>
      <c r="I362" s="34" t="n">
        <v>18.49</v>
      </c>
      <c r="J362" s="34" t="n">
        <v>37.77</v>
      </c>
      <c r="K362" s="34" t="n">
        <v>1149.88</v>
      </c>
      <c r="L362" s="34" t="n">
        <f aca="false">AVERAGE(C362:E362)</f>
        <v>78.76</v>
      </c>
      <c r="M362" s="34" t="n">
        <f aca="false">AVERAGE(C362:J362)</f>
        <v>19.41625</v>
      </c>
    </row>
    <row r="363" customFormat="false" ht="15.75" hidden="false" customHeight="true" outlineLevel="0" collapsed="false">
      <c r="A363" s="34" t="s">
        <v>821</v>
      </c>
      <c r="B363" s="34" t="n">
        <v>1142.2</v>
      </c>
      <c r="C363" s="34" t="n">
        <v>66.67</v>
      </c>
      <c r="D363" s="34" t="n">
        <v>17.98</v>
      </c>
      <c r="E363" s="34" t="n">
        <v>86.85</v>
      </c>
      <c r="F363" s="34" t="n">
        <v>58.99</v>
      </c>
      <c r="G363" s="34" t="n">
        <v>67.07</v>
      </c>
      <c r="H363" s="34" t="n">
        <v>67.96</v>
      </c>
      <c r="I363" s="34" t="n">
        <v>82.5</v>
      </c>
      <c r="J363" s="34" t="n">
        <v>99.81</v>
      </c>
      <c r="K363" s="34" t="n">
        <v>1023.31</v>
      </c>
      <c r="L363" s="34" t="n">
        <f aca="false">AVERAGE(C363:E363)</f>
        <v>57.1666666666667</v>
      </c>
      <c r="M363" s="34" t="n">
        <f aca="false">AVERAGE(C363:J363)</f>
        <v>68.47875</v>
      </c>
    </row>
    <row r="364" customFormat="false" ht="15.75" hidden="false" customHeight="true" outlineLevel="0" collapsed="false">
      <c r="A364" s="34" t="s">
        <v>37</v>
      </c>
      <c r="B364" s="34" t="n">
        <v>1131.2</v>
      </c>
      <c r="C364" s="34" t="n">
        <v>66.67</v>
      </c>
      <c r="D364" s="34" t="n">
        <v>102.99</v>
      </c>
      <c r="E364" s="34" t="n">
        <v>212.34</v>
      </c>
      <c r="F364" s="34" t="n">
        <v>164.54</v>
      </c>
      <c r="G364" s="34" t="n">
        <v>220.88</v>
      </c>
      <c r="H364" s="34" t="n">
        <v>266.01</v>
      </c>
      <c r="I364" s="34" t="n">
        <v>272.8</v>
      </c>
      <c r="J364" s="34" t="n">
        <v>191.82</v>
      </c>
      <c r="K364" s="34" t="n">
        <v>1062.61</v>
      </c>
      <c r="L364" s="34" t="n">
        <f aca="false">AVERAGE(C364:E364)</f>
        <v>127.333333333333</v>
      </c>
      <c r="M364" s="34" t="n">
        <f aca="false">AVERAGE(C364:J364)</f>
        <v>187.25625</v>
      </c>
    </row>
    <row r="365" customFormat="false" ht="15.75" hidden="false" customHeight="true" outlineLevel="0" collapsed="false">
      <c r="A365" s="34" t="s">
        <v>822</v>
      </c>
      <c r="B365" s="34" t="n">
        <v>1130.7</v>
      </c>
      <c r="C365" s="34" t="n">
        <v>-66.67</v>
      </c>
      <c r="D365" s="34" t="n">
        <v>-58.13</v>
      </c>
      <c r="E365" s="34" t="n">
        <v>-24.03</v>
      </c>
      <c r="F365" s="34" t="n">
        <v>-38.97</v>
      </c>
      <c r="G365" s="34" t="n">
        <v>34.16</v>
      </c>
      <c r="H365" s="34" t="n">
        <v>56.75</v>
      </c>
      <c r="I365" s="34" t="n">
        <v>72.26</v>
      </c>
      <c r="J365" s="34" t="n">
        <v>85.05</v>
      </c>
      <c r="K365" s="34" t="n">
        <v>1110.97</v>
      </c>
      <c r="L365" s="34" t="n">
        <f aca="false">AVERAGE(C365:E365)</f>
        <v>-49.61</v>
      </c>
      <c r="M365" s="34" t="n">
        <f aca="false">AVERAGE(C365:J365)</f>
        <v>7.5525</v>
      </c>
    </row>
    <row r="366" customFormat="false" ht="15.75" hidden="false" customHeight="true" outlineLevel="0" collapsed="false">
      <c r="A366" s="34" t="s">
        <v>823</v>
      </c>
      <c r="B366" s="34" t="n">
        <v>1130</v>
      </c>
      <c r="C366" s="34" t="n">
        <v>-66.67</v>
      </c>
      <c r="D366" s="34" t="n">
        <v>-108.97</v>
      </c>
      <c r="E366" s="34" t="n">
        <v>2.77</v>
      </c>
      <c r="F366" s="34" t="n">
        <v>-85.72</v>
      </c>
      <c r="G366" s="34" t="n">
        <v>-32.82</v>
      </c>
      <c r="H366" s="34" t="n">
        <v>24.37</v>
      </c>
      <c r="I366" s="34" t="n">
        <v>47.04</v>
      </c>
      <c r="J366" s="34" t="n">
        <v>24.25</v>
      </c>
      <c r="K366" s="34" t="n">
        <v>1179.52</v>
      </c>
      <c r="L366" s="34" t="n">
        <f aca="false">AVERAGE(C366:E366)</f>
        <v>-57.6233333333333</v>
      </c>
      <c r="M366" s="34" t="n">
        <f aca="false">AVERAGE(C366:J366)</f>
        <v>-24.46875</v>
      </c>
    </row>
    <row r="367" customFormat="false" ht="15.75" hidden="false" customHeight="true" outlineLevel="0" collapsed="false">
      <c r="A367" s="34" t="s">
        <v>470</v>
      </c>
      <c r="B367" s="34" t="n">
        <v>1126.2</v>
      </c>
      <c r="C367" s="34" t="n">
        <v>66.67</v>
      </c>
      <c r="D367" s="34" t="n">
        <v>129.55</v>
      </c>
      <c r="E367" s="34" t="n">
        <v>73.66</v>
      </c>
      <c r="F367" s="34" t="n">
        <v>-38.4</v>
      </c>
      <c r="G367" s="34" t="n">
        <v>-72.68</v>
      </c>
      <c r="H367" s="34" t="n">
        <v>-41.38</v>
      </c>
      <c r="I367" s="34" t="n">
        <v>-1.4</v>
      </c>
      <c r="J367" s="34" t="n">
        <v>7.89</v>
      </c>
      <c r="K367" s="34" t="n">
        <v>1144.42</v>
      </c>
      <c r="L367" s="34" t="n">
        <f aca="false">AVERAGE(C367:E367)</f>
        <v>89.96</v>
      </c>
      <c r="M367" s="34" t="n">
        <f aca="false">AVERAGE(C367:J367)</f>
        <v>15.48875</v>
      </c>
    </row>
    <row r="368" customFormat="false" ht="15.75" hidden="false" customHeight="true" outlineLevel="0" collapsed="false">
      <c r="A368" s="34" t="s">
        <v>824</v>
      </c>
      <c r="B368" s="34" t="n">
        <v>1124.5</v>
      </c>
      <c r="C368" s="34" t="n">
        <v>66.67</v>
      </c>
      <c r="D368" s="34" t="n">
        <v>83.1</v>
      </c>
      <c r="E368" s="34" t="n">
        <v>129.02</v>
      </c>
      <c r="F368" s="34" t="n">
        <v>67.28</v>
      </c>
      <c r="G368" s="34" t="n">
        <v>61.1</v>
      </c>
      <c r="H368" s="34" t="n">
        <v>77.91</v>
      </c>
      <c r="I368" s="34" t="n">
        <v>87.7</v>
      </c>
      <c r="J368" s="34" t="n">
        <v>104.98</v>
      </c>
      <c r="K368" s="34" t="n">
        <v>1016.62</v>
      </c>
      <c r="L368" s="34" t="n">
        <f aca="false">AVERAGE(C368:E368)</f>
        <v>92.93</v>
      </c>
      <c r="M368" s="34" t="n">
        <f aca="false">AVERAGE(C368:J368)</f>
        <v>84.72</v>
      </c>
    </row>
    <row r="369" customFormat="false" ht="15.75" hidden="false" customHeight="true" outlineLevel="0" collapsed="false">
      <c r="A369" s="34" t="s">
        <v>134</v>
      </c>
      <c r="B369" s="34" t="n">
        <v>1123</v>
      </c>
      <c r="C369" s="34" t="n">
        <v>-66.67</v>
      </c>
      <c r="D369" s="34" t="n">
        <v>-126.7</v>
      </c>
      <c r="E369" s="34" t="n">
        <v>-148.29</v>
      </c>
      <c r="F369" s="34" t="n">
        <v>-132.88</v>
      </c>
      <c r="G369" s="34" t="n">
        <v>-133.83</v>
      </c>
      <c r="H369" s="34" t="n">
        <v>-91.43</v>
      </c>
      <c r="I369" s="34" t="n">
        <v>-43.9</v>
      </c>
      <c r="J369" s="34" t="n">
        <v>-39.5</v>
      </c>
      <c r="K369" s="34" t="n">
        <v>1202.85</v>
      </c>
      <c r="L369" s="34" t="n">
        <f aca="false">AVERAGE(C369:E369)</f>
        <v>-113.886666666667</v>
      </c>
      <c r="M369" s="34" t="n">
        <f aca="false">AVERAGE(C369:J369)</f>
        <v>-97.9</v>
      </c>
    </row>
    <row r="370" customFormat="false" ht="15.75" hidden="false" customHeight="true" outlineLevel="0" collapsed="false">
      <c r="A370" s="34" t="s">
        <v>517</v>
      </c>
      <c r="B370" s="34" t="n">
        <v>1121.9</v>
      </c>
      <c r="C370" s="34" t="n">
        <v>-66.67</v>
      </c>
      <c r="D370" s="34" t="n">
        <v>44.7</v>
      </c>
      <c r="E370" s="34" t="n">
        <v>88.31</v>
      </c>
      <c r="F370" s="34" t="n">
        <v>-56.03</v>
      </c>
      <c r="G370" s="34" t="n">
        <v>-106.86</v>
      </c>
      <c r="H370" s="34" t="n">
        <v>-97.69</v>
      </c>
      <c r="I370" s="34" t="n">
        <v>-52.59</v>
      </c>
      <c r="J370" s="34" t="n">
        <v>-51.89</v>
      </c>
      <c r="K370" s="34" t="n">
        <v>1158.78</v>
      </c>
      <c r="L370" s="34" t="n">
        <f aca="false">AVERAGE(C370:E370)</f>
        <v>22.1133333333333</v>
      </c>
      <c r="M370" s="34" t="n">
        <f aca="false">AVERAGE(C370:J370)</f>
        <v>-37.34</v>
      </c>
    </row>
    <row r="371" customFormat="false" ht="15.75" hidden="false" customHeight="true" outlineLevel="0" collapsed="false">
      <c r="A371" s="34" t="s">
        <v>825</v>
      </c>
      <c r="B371" s="34" t="n">
        <v>1114.6</v>
      </c>
      <c r="C371" s="34" t="n">
        <v>66.67</v>
      </c>
      <c r="D371" s="34" t="n">
        <v>-56.91</v>
      </c>
      <c r="E371" s="34" t="n">
        <v>-113.34</v>
      </c>
      <c r="F371" s="34" t="n">
        <v>-78.02</v>
      </c>
      <c r="G371" s="34" t="n">
        <v>-124.18</v>
      </c>
      <c r="H371" s="34" t="n">
        <v>-53.55</v>
      </c>
      <c r="I371" s="34" t="n">
        <v>-50.4</v>
      </c>
      <c r="J371" s="34" t="n">
        <v>-63.89</v>
      </c>
      <c r="K371" s="34" t="n">
        <v>1175.88</v>
      </c>
      <c r="L371" s="34" t="n">
        <f aca="false">AVERAGE(C371:E371)</f>
        <v>-34.5266666666667</v>
      </c>
      <c r="M371" s="34" t="n">
        <f aca="false">AVERAGE(C371:J371)</f>
        <v>-59.2025</v>
      </c>
    </row>
    <row r="372" customFormat="false" ht="15.75" hidden="false" customHeight="true" outlineLevel="0" collapsed="false">
      <c r="A372" s="34" t="s">
        <v>826</v>
      </c>
      <c r="B372" s="34" t="n">
        <v>1110</v>
      </c>
      <c r="C372" s="34" t="n">
        <v>66.67</v>
      </c>
      <c r="D372" s="34" t="n">
        <v>89.49</v>
      </c>
      <c r="E372" s="34" t="n">
        <v>115.97</v>
      </c>
      <c r="F372" s="34" t="n">
        <v>46.22</v>
      </c>
      <c r="G372" s="34" t="n">
        <v>94.2</v>
      </c>
      <c r="H372" s="34" t="n">
        <v>113.22</v>
      </c>
      <c r="I372" s="34" t="n">
        <v>110.95</v>
      </c>
      <c r="J372" s="34" t="n">
        <v>128.89</v>
      </c>
      <c r="K372" s="34" t="n">
        <v>1159.97</v>
      </c>
      <c r="L372" s="34" t="n">
        <f aca="false">AVERAGE(C372:E372)</f>
        <v>90.71</v>
      </c>
      <c r="M372" s="34" t="n">
        <f aca="false">AVERAGE(C372:J372)</f>
        <v>95.70125</v>
      </c>
    </row>
    <row r="373" customFormat="false" ht="15.75" hidden="false" customHeight="true" outlineLevel="0" collapsed="false">
      <c r="A373" s="34" t="s">
        <v>324</v>
      </c>
      <c r="B373" s="34" t="n">
        <v>1104.8</v>
      </c>
      <c r="C373" s="34" t="n">
        <v>-66.67</v>
      </c>
      <c r="D373" s="34" t="n">
        <v>-117.31</v>
      </c>
      <c r="E373" s="34" t="n">
        <v>-45.37</v>
      </c>
      <c r="F373" s="34" t="n">
        <v>-134.08</v>
      </c>
      <c r="G373" s="34" t="n">
        <v>-212.14</v>
      </c>
      <c r="H373" s="34" t="n">
        <v>-265.31</v>
      </c>
      <c r="I373" s="34" t="n">
        <v>-299.81</v>
      </c>
      <c r="J373" s="34" t="n">
        <v>-222.66</v>
      </c>
      <c r="K373" s="34" t="n">
        <v>1069.9</v>
      </c>
      <c r="L373" s="34" t="n">
        <f aca="false">AVERAGE(C373:E373)</f>
        <v>-76.45</v>
      </c>
      <c r="M373" s="34" t="n">
        <f aca="false">AVERAGE(C373:J373)</f>
        <v>-170.41875</v>
      </c>
    </row>
    <row r="374" customFormat="false" ht="15.75" hidden="false" customHeight="true" outlineLevel="0" collapsed="false">
      <c r="A374" s="34" t="s">
        <v>827</v>
      </c>
      <c r="B374" s="34" t="n">
        <v>1096.15</v>
      </c>
      <c r="C374" s="34" t="n">
        <v>-66.67</v>
      </c>
      <c r="D374" s="34" t="n">
        <v>-106.6</v>
      </c>
      <c r="E374" s="34" t="n">
        <v>-18.03</v>
      </c>
      <c r="F374" s="34" t="n">
        <v>22.79</v>
      </c>
      <c r="G374" s="34" t="n">
        <v>52.23</v>
      </c>
      <c r="H374" s="34" t="n">
        <v>79.86</v>
      </c>
      <c r="I374" s="34" t="n">
        <v>103.73</v>
      </c>
      <c r="J374" s="34" t="n">
        <v>127.26</v>
      </c>
      <c r="K374" s="34" t="n">
        <v>1044.72</v>
      </c>
      <c r="L374" s="34" t="n">
        <f aca="false">AVERAGE(C374:E374)</f>
        <v>-63.7666666666667</v>
      </c>
      <c r="M374" s="34" t="n">
        <f aca="false">AVERAGE(C374:J374)</f>
        <v>24.32125</v>
      </c>
    </row>
    <row r="375" customFormat="false" ht="15.75" hidden="false" customHeight="true" outlineLevel="0" collapsed="false">
      <c r="A375" s="34" t="s">
        <v>828</v>
      </c>
      <c r="B375" s="34" t="n">
        <v>1096</v>
      </c>
      <c r="C375" s="34" t="n">
        <v>-66.67</v>
      </c>
      <c r="D375" s="34" t="n">
        <v>-81.03</v>
      </c>
      <c r="E375" s="34" t="n">
        <v>74.22</v>
      </c>
      <c r="F375" s="34" t="n">
        <v>-33.87</v>
      </c>
      <c r="G375" s="34" t="n">
        <v>-31.53</v>
      </c>
      <c r="H375" s="34" t="n">
        <v>28.18</v>
      </c>
      <c r="I375" s="34" t="n">
        <v>47.96</v>
      </c>
      <c r="J375" s="34" t="n">
        <v>64.02</v>
      </c>
      <c r="K375" s="34" t="n">
        <v>1149.14</v>
      </c>
      <c r="L375" s="34" t="n">
        <f aca="false">AVERAGE(C375:E375)</f>
        <v>-24.4933333333333</v>
      </c>
      <c r="M375" s="34" t="n">
        <f aca="false">AVERAGE(C375:J375)</f>
        <v>0.159999999999998</v>
      </c>
    </row>
    <row r="376" customFormat="false" ht="15.75" hidden="false" customHeight="true" outlineLevel="0" collapsed="false">
      <c r="A376" s="34" t="s">
        <v>829</v>
      </c>
      <c r="B376" s="34" t="n">
        <v>1094.2</v>
      </c>
      <c r="C376" s="34" t="n">
        <v>-66.67</v>
      </c>
      <c r="D376" s="34" t="n">
        <v>66.13</v>
      </c>
      <c r="E376" s="34" t="n">
        <v>60.9</v>
      </c>
      <c r="F376" s="34" t="n">
        <v>41</v>
      </c>
      <c r="G376" s="34" t="n">
        <v>85.58</v>
      </c>
      <c r="H376" s="34" t="n">
        <v>115.69</v>
      </c>
      <c r="I376" s="34" t="n">
        <v>135.29</v>
      </c>
      <c r="J376" s="34" t="n">
        <v>161.77</v>
      </c>
      <c r="K376" s="34" t="n">
        <v>1176.32</v>
      </c>
      <c r="L376" s="34" t="n">
        <f aca="false">AVERAGE(C376:E376)</f>
        <v>20.12</v>
      </c>
      <c r="M376" s="34" t="n">
        <f aca="false">AVERAGE(C376:J376)</f>
        <v>74.96125</v>
      </c>
    </row>
    <row r="377" customFormat="false" ht="15.75" hidden="false" customHeight="true" outlineLevel="0" collapsed="false">
      <c r="A377" s="34" t="s">
        <v>830</v>
      </c>
      <c r="B377" s="34" t="n">
        <v>1087</v>
      </c>
      <c r="C377" s="34" t="n">
        <v>-66.67</v>
      </c>
      <c r="D377" s="34" t="n">
        <v>-127.08</v>
      </c>
      <c r="E377" s="34" t="n">
        <v>5.26</v>
      </c>
      <c r="F377" s="34" t="n">
        <v>-54.51</v>
      </c>
      <c r="G377" s="34" t="n">
        <v>-87.63</v>
      </c>
      <c r="H377" s="34" t="n">
        <v>-2.44</v>
      </c>
      <c r="I377" s="34" t="n">
        <v>28.69</v>
      </c>
      <c r="J377" s="34" t="n">
        <v>42.63</v>
      </c>
      <c r="K377" s="34" t="n">
        <v>1116.35</v>
      </c>
      <c r="L377" s="34" t="n">
        <f aca="false">AVERAGE(C377:E377)</f>
        <v>-62.83</v>
      </c>
      <c r="M377" s="34" t="n">
        <f aca="false">AVERAGE(C377:J377)</f>
        <v>-32.71875</v>
      </c>
    </row>
    <row r="378" customFormat="false" ht="15.75" hidden="false" customHeight="true" outlineLevel="0" collapsed="false">
      <c r="A378" s="34" t="s">
        <v>99</v>
      </c>
      <c r="B378" s="34" t="n">
        <v>1084.1</v>
      </c>
      <c r="C378" s="34" t="n">
        <v>-66.67</v>
      </c>
      <c r="D378" s="34" t="n">
        <v>-50.35</v>
      </c>
      <c r="E378" s="34" t="n">
        <v>62.87</v>
      </c>
      <c r="F378" s="34" t="n">
        <v>68.41</v>
      </c>
      <c r="G378" s="34" t="n">
        <v>-7.52</v>
      </c>
      <c r="H378" s="34" t="n">
        <v>-47.45</v>
      </c>
      <c r="I378" s="34" t="n">
        <v>12.15</v>
      </c>
      <c r="J378" s="34" t="n">
        <v>29.22</v>
      </c>
      <c r="K378" s="34" t="n">
        <v>1050.62</v>
      </c>
      <c r="L378" s="34" t="n">
        <f aca="false">AVERAGE(C378:E378)</f>
        <v>-18.05</v>
      </c>
      <c r="M378" s="34" t="n">
        <f aca="false">AVERAGE(C378:J378)</f>
        <v>0.0824999999999978</v>
      </c>
    </row>
    <row r="379" customFormat="false" ht="15.75" hidden="false" customHeight="true" outlineLevel="0" collapsed="false">
      <c r="A379" s="34" t="s">
        <v>453</v>
      </c>
      <c r="B379" s="34" t="n">
        <v>1081.3</v>
      </c>
      <c r="C379" s="34" t="n">
        <v>66.67</v>
      </c>
      <c r="D379" s="34" t="n">
        <v>-36.78</v>
      </c>
      <c r="E379" s="34" t="n">
        <v>-17.99</v>
      </c>
      <c r="F379" s="34" t="n">
        <v>-91.69</v>
      </c>
      <c r="G379" s="34" t="n">
        <v>-133.71</v>
      </c>
      <c r="H379" s="34" t="n">
        <v>-6.74</v>
      </c>
      <c r="I379" s="34" t="n">
        <v>20.94</v>
      </c>
      <c r="J379" s="34" t="n">
        <v>32.01</v>
      </c>
      <c r="K379" s="34" t="n">
        <v>1128.17</v>
      </c>
      <c r="L379" s="34" t="n">
        <f aca="false">AVERAGE(C379:E379)</f>
        <v>3.96666666666667</v>
      </c>
      <c r="M379" s="34" t="n">
        <f aca="false">AVERAGE(C379:J379)</f>
        <v>-20.91125</v>
      </c>
    </row>
    <row r="380" customFormat="false" ht="15.75" hidden="false" customHeight="true" outlineLevel="0" collapsed="false">
      <c r="A380" s="34" t="s">
        <v>831</v>
      </c>
      <c r="B380" s="34" t="n">
        <v>1080</v>
      </c>
      <c r="C380" s="34" t="n">
        <v>-66.67</v>
      </c>
      <c r="D380" s="34" t="n">
        <v>25.67</v>
      </c>
      <c r="E380" s="34" t="n">
        <v>30.41</v>
      </c>
      <c r="F380" s="34" t="n">
        <v>-78.44</v>
      </c>
      <c r="G380" s="34" t="n">
        <v>-116.87</v>
      </c>
      <c r="H380" s="34" t="n">
        <v>-39.08</v>
      </c>
      <c r="I380" s="34" t="n">
        <v>-8.7</v>
      </c>
      <c r="J380" s="34" t="n">
        <v>-18.04</v>
      </c>
      <c r="K380" s="34" t="n">
        <v>1151.17</v>
      </c>
      <c r="L380" s="34" t="n">
        <f aca="false">AVERAGE(C380:E380)</f>
        <v>-3.53</v>
      </c>
      <c r="M380" s="34" t="n">
        <f aca="false">AVERAGE(C380:J380)</f>
        <v>-33.965</v>
      </c>
    </row>
    <row r="381" customFormat="false" ht="15.75" hidden="false" customHeight="true" outlineLevel="0" collapsed="false">
      <c r="A381" s="34" t="s">
        <v>273</v>
      </c>
      <c r="B381" s="34" t="n">
        <v>1077.6</v>
      </c>
      <c r="C381" s="34" t="n">
        <v>-66.67</v>
      </c>
      <c r="D381" s="34" t="n">
        <v>-40.85</v>
      </c>
      <c r="E381" s="34" t="n">
        <v>68.73</v>
      </c>
      <c r="F381" s="34" t="n">
        <v>-27.46</v>
      </c>
      <c r="G381" s="34" t="n">
        <v>-42.73</v>
      </c>
      <c r="H381" s="34" t="n">
        <v>5.71</v>
      </c>
      <c r="I381" s="34" t="n">
        <v>34.61</v>
      </c>
      <c r="J381" s="34" t="n">
        <v>36.35</v>
      </c>
      <c r="K381" s="34" t="n">
        <v>1030.15</v>
      </c>
      <c r="L381" s="34" t="n">
        <f aca="false">AVERAGE(C381:E381)</f>
        <v>-12.93</v>
      </c>
      <c r="M381" s="34" t="n">
        <f aca="false">AVERAGE(C381:J381)</f>
        <v>-4.03875</v>
      </c>
    </row>
    <row r="382" customFormat="false" ht="15.75" hidden="false" customHeight="true" outlineLevel="0" collapsed="false">
      <c r="A382" s="34" t="s">
        <v>62</v>
      </c>
      <c r="B382" s="34" t="n">
        <v>1073.3</v>
      </c>
      <c r="C382" s="34" t="n">
        <v>-66.67</v>
      </c>
      <c r="D382" s="34" t="n">
        <v>-62.17</v>
      </c>
      <c r="E382" s="34" t="n">
        <v>11.97</v>
      </c>
      <c r="F382" s="34" t="n">
        <v>-95.23</v>
      </c>
      <c r="G382" s="34" t="n">
        <v>-9.35</v>
      </c>
      <c r="H382" s="34" t="n">
        <v>33.65</v>
      </c>
      <c r="I382" s="34" t="n">
        <v>59.89</v>
      </c>
      <c r="J382" s="34" t="n">
        <v>76.57</v>
      </c>
      <c r="K382" s="34" t="n">
        <v>1141.78</v>
      </c>
      <c r="L382" s="34" t="n">
        <f aca="false">AVERAGE(C382:E382)</f>
        <v>-38.9566666666667</v>
      </c>
      <c r="M382" s="34" t="n">
        <f aca="false">AVERAGE(C382:J382)</f>
        <v>-6.4175</v>
      </c>
    </row>
    <row r="383" customFormat="false" ht="15.75" hidden="false" customHeight="true" outlineLevel="0" collapsed="false">
      <c r="A383" s="34" t="s">
        <v>40</v>
      </c>
      <c r="B383" s="34" t="n">
        <v>1070.9</v>
      </c>
      <c r="C383" s="34" t="n">
        <v>-66.67</v>
      </c>
      <c r="D383" s="34" t="n">
        <v>-133.33</v>
      </c>
      <c r="E383" s="34" t="n">
        <v>-11.06</v>
      </c>
      <c r="F383" s="34" t="n">
        <v>-50.08</v>
      </c>
      <c r="G383" s="34" t="n">
        <v>-86.18</v>
      </c>
      <c r="H383" s="34" t="n">
        <v>-126.36</v>
      </c>
      <c r="I383" s="34" t="n">
        <v>-65.36</v>
      </c>
      <c r="J383" s="34" t="n">
        <v>-30.19</v>
      </c>
      <c r="K383" s="34" t="n">
        <v>1100.97</v>
      </c>
      <c r="L383" s="34" t="n">
        <f aca="false">AVERAGE(C383:E383)</f>
        <v>-70.3533333333333</v>
      </c>
      <c r="M383" s="34" t="n">
        <f aca="false">AVERAGE(C383:J383)</f>
        <v>-71.15375</v>
      </c>
    </row>
    <row r="384" customFormat="false" ht="15.75" hidden="false" customHeight="true" outlineLevel="0" collapsed="false">
      <c r="A384" s="34" t="s">
        <v>832</v>
      </c>
      <c r="B384" s="34" t="n">
        <v>1067.1</v>
      </c>
      <c r="C384" s="34" t="n">
        <v>66.67</v>
      </c>
      <c r="D384" s="34" t="n">
        <v>72.55</v>
      </c>
      <c r="E384" s="34" t="n">
        <v>-44.44</v>
      </c>
      <c r="F384" s="34" t="n">
        <v>-31.55</v>
      </c>
      <c r="G384" s="34" t="n">
        <v>-84.44</v>
      </c>
      <c r="H384" s="34" t="n">
        <v>7.98</v>
      </c>
      <c r="I384" s="34" t="n">
        <v>32.07</v>
      </c>
      <c r="J384" s="34" t="n">
        <v>20.73</v>
      </c>
      <c r="K384" s="34" t="n">
        <v>1048.93</v>
      </c>
      <c r="L384" s="34" t="n">
        <f aca="false">AVERAGE(C384:E384)</f>
        <v>31.5933333333333</v>
      </c>
      <c r="M384" s="34" t="n">
        <f aca="false">AVERAGE(C384:J384)</f>
        <v>4.94625</v>
      </c>
    </row>
    <row r="385" customFormat="false" ht="15.75" hidden="false" customHeight="true" outlineLevel="0" collapsed="false">
      <c r="A385" s="34" t="s">
        <v>833</v>
      </c>
      <c r="B385" s="34" t="n">
        <v>1065.9</v>
      </c>
      <c r="C385" s="34" t="n">
        <v>66.67</v>
      </c>
      <c r="D385" s="34" t="n">
        <v>133.33</v>
      </c>
      <c r="E385" s="34" t="n">
        <v>180.31</v>
      </c>
      <c r="F385" s="34" t="n">
        <v>-5.33</v>
      </c>
      <c r="G385" s="34" t="n">
        <v>37.65</v>
      </c>
      <c r="H385" s="34" t="n">
        <v>46.05</v>
      </c>
      <c r="I385" s="34"/>
      <c r="J385" s="34"/>
      <c r="K385" s="34" t="n">
        <v>1074.06</v>
      </c>
      <c r="L385" s="34" t="n">
        <f aca="false">AVERAGE(C385:E385)</f>
        <v>126.77</v>
      </c>
      <c r="M385" s="34" t="n">
        <f aca="false">AVERAGE(C385:J385)</f>
        <v>76.4466666666667</v>
      </c>
    </row>
    <row r="386" customFormat="false" ht="15.75" hidden="false" customHeight="true" outlineLevel="0" collapsed="false">
      <c r="A386" s="34" t="s">
        <v>834</v>
      </c>
      <c r="B386" s="34" t="n">
        <v>1060.5</v>
      </c>
      <c r="C386" s="34" t="n">
        <v>-66.67</v>
      </c>
      <c r="D386" s="34" t="n">
        <v>-34.12</v>
      </c>
      <c r="E386" s="34" t="n">
        <v>63.6</v>
      </c>
      <c r="F386" s="34" t="n">
        <v>10.21</v>
      </c>
      <c r="G386" s="34" t="n">
        <v>54.2</v>
      </c>
      <c r="H386" s="34" t="n">
        <v>80.02</v>
      </c>
      <c r="I386" s="34" t="n">
        <v>91.32</v>
      </c>
      <c r="J386" s="34" t="n">
        <v>108.49</v>
      </c>
      <c r="K386" s="34" t="n">
        <v>1110.28</v>
      </c>
      <c r="L386" s="34" t="n">
        <f aca="false">AVERAGE(C386:E386)</f>
        <v>-12.3966666666667</v>
      </c>
      <c r="M386" s="34" t="n">
        <f aca="false">AVERAGE(C386:J386)</f>
        <v>38.38125</v>
      </c>
    </row>
    <row r="387" customFormat="false" ht="15.75" hidden="false" customHeight="true" outlineLevel="0" collapsed="false">
      <c r="A387" s="34" t="s">
        <v>45</v>
      </c>
      <c r="B387" s="34" t="n">
        <v>1054.6</v>
      </c>
      <c r="C387" s="34" t="n">
        <v>-66.67</v>
      </c>
      <c r="D387" s="34" t="n">
        <v>-133.33</v>
      </c>
      <c r="E387" s="34" t="n">
        <v>-21.12</v>
      </c>
      <c r="F387" s="34" t="n">
        <v>65.59</v>
      </c>
      <c r="G387" s="34" t="n">
        <v>91.95</v>
      </c>
      <c r="H387" s="34" t="n">
        <v>104.44</v>
      </c>
      <c r="I387" s="34" t="n">
        <v>100.18</v>
      </c>
      <c r="J387" s="34" t="n">
        <v>102.34</v>
      </c>
      <c r="K387" s="34" t="n">
        <v>1035.36</v>
      </c>
      <c r="L387" s="34" t="n">
        <f aca="false">AVERAGE(C387:E387)</f>
        <v>-73.7066666666667</v>
      </c>
      <c r="M387" s="34" t="n">
        <f aca="false">AVERAGE(C387:J387)</f>
        <v>30.4225</v>
      </c>
    </row>
    <row r="388" customFormat="false" ht="15.75" hidden="false" customHeight="true" outlineLevel="0" collapsed="false">
      <c r="A388" s="34" t="s">
        <v>835</v>
      </c>
      <c r="B388" s="34" t="n">
        <v>1053</v>
      </c>
      <c r="C388" s="34" t="n">
        <v>66.67</v>
      </c>
      <c r="D388" s="34" t="n">
        <v>92.57</v>
      </c>
      <c r="E388" s="34" t="n">
        <v>-28.66</v>
      </c>
      <c r="F388" s="34" t="n">
        <v>-111.24</v>
      </c>
      <c r="G388" s="34" t="n">
        <v>-103.71</v>
      </c>
      <c r="H388" s="34" t="n">
        <v>-16.68</v>
      </c>
      <c r="I388" s="34" t="n">
        <v>11.12</v>
      </c>
      <c r="J388" s="34" t="n">
        <v>-0.168</v>
      </c>
      <c r="K388" s="34" t="n">
        <v>1113.33</v>
      </c>
      <c r="L388" s="34" t="n">
        <f aca="false">AVERAGE(C388:E388)</f>
        <v>43.5266666666667</v>
      </c>
      <c r="M388" s="34" t="n">
        <f aca="false">AVERAGE(C388:J388)</f>
        <v>-11.26225</v>
      </c>
    </row>
    <row r="389" customFormat="false" ht="15.75" hidden="false" customHeight="true" outlineLevel="0" collapsed="false">
      <c r="A389" s="34" t="s">
        <v>836</v>
      </c>
      <c r="B389" s="34" t="n">
        <v>1052.4</v>
      </c>
      <c r="C389" s="34" t="n">
        <v>-66.67</v>
      </c>
      <c r="D389" s="34" t="n">
        <v>-10.51</v>
      </c>
      <c r="E389" s="34" t="n">
        <v>28.46</v>
      </c>
      <c r="F389" s="34" t="n">
        <v>-38.9</v>
      </c>
      <c r="G389" s="34" t="n">
        <v>-58.03</v>
      </c>
      <c r="H389" s="34" t="n">
        <v>-70.93</v>
      </c>
      <c r="I389" s="34" t="n">
        <v>-72.25</v>
      </c>
      <c r="J389" s="34" t="n">
        <v>-79.79</v>
      </c>
      <c r="K389" s="34" t="n">
        <v>1100.62</v>
      </c>
      <c r="L389" s="34" t="n">
        <f aca="false">AVERAGE(C389:E389)</f>
        <v>-16.24</v>
      </c>
      <c r="M389" s="34" t="n">
        <f aca="false">AVERAGE(C389:J389)</f>
        <v>-46.0775</v>
      </c>
    </row>
    <row r="390" customFormat="false" ht="15.75" hidden="false" customHeight="true" outlineLevel="0" collapsed="false">
      <c r="A390" s="34" t="s">
        <v>837</v>
      </c>
      <c r="B390" s="34" t="n">
        <v>1052</v>
      </c>
      <c r="C390" s="34" t="n">
        <v>-66.67</v>
      </c>
      <c r="D390" s="34" t="n">
        <v>47.11</v>
      </c>
      <c r="E390" s="34" t="n">
        <v>52.76</v>
      </c>
      <c r="F390" s="34" t="n">
        <v>55.92</v>
      </c>
      <c r="G390" s="34" t="n">
        <v>79.79</v>
      </c>
      <c r="H390" s="34" t="n">
        <v>109.44</v>
      </c>
      <c r="I390" s="34" t="n">
        <v>138.38</v>
      </c>
      <c r="J390" s="34" t="n">
        <v>158.41</v>
      </c>
      <c r="K390" s="34" t="n">
        <v>983.01</v>
      </c>
      <c r="L390" s="34" t="n">
        <f aca="false">AVERAGE(C390:E390)</f>
        <v>11.0666666666667</v>
      </c>
      <c r="M390" s="34" t="n">
        <f aca="false">AVERAGE(C390:J390)</f>
        <v>71.8925</v>
      </c>
    </row>
    <row r="391" customFormat="false" ht="15.75" hidden="false" customHeight="true" outlineLevel="0" collapsed="false">
      <c r="A391" s="34" t="s">
        <v>125</v>
      </c>
      <c r="B391" s="34" t="n">
        <v>1050.4</v>
      </c>
      <c r="C391" s="34" t="n">
        <v>66.67</v>
      </c>
      <c r="D391" s="34" t="n">
        <v>-46.5</v>
      </c>
      <c r="E391" s="34" t="n">
        <v>-64.28</v>
      </c>
      <c r="F391" s="34" t="n">
        <v>-111.1</v>
      </c>
      <c r="G391" s="34" t="n">
        <v>-161.43</v>
      </c>
      <c r="H391" s="34" t="n">
        <v>-167.72</v>
      </c>
      <c r="I391" s="34" t="n">
        <v>-150.89</v>
      </c>
      <c r="J391" s="34" t="n">
        <v>-166.43</v>
      </c>
      <c r="K391" s="34" t="n">
        <v>1103.15</v>
      </c>
      <c r="L391" s="34" t="n">
        <f aca="false">AVERAGE(C391:E391)</f>
        <v>-14.7033333333333</v>
      </c>
      <c r="M391" s="34" t="n">
        <f aca="false">AVERAGE(C391:J391)</f>
        <v>-100.21</v>
      </c>
    </row>
    <row r="392" customFormat="false" ht="15.75" hidden="false" customHeight="true" outlineLevel="0" collapsed="false">
      <c r="A392" s="34" t="s">
        <v>838</v>
      </c>
      <c r="B392" s="34" t="n">
        <v>1050</v>
      </c>
      <c r="C392" s="34" t="n">
        <v>-66.67</v>
      </c>
      <c r="D392" s="34" t="n">
        <v>-133.33</v>
      </c>
      <c r="E392" s="34" t="n">
        <v>-134.2</v>
      </c>
      <c r="F392" s="34" t="n">
        <v>-194.27</v>
      </c>
      <c r="G392" s="34" t="n">
        <v>-128.04</v>
      </c>
      <c r="H392" s="34" t="n">
        <v>-14.92</v>
      </c>
      <c r="I392" s="34" t="n">
        <v>18.74</v>
      </c>
      <c r="J392" s="34" t="n">
        <v>16.48</v>
      </c>
      <c r="K392" s="34" t="n">
        <v>1095.92</v>
      </c>
      <c r="L392" s="34" t="n">
        <f aca="false">AVERAGE(C392:E392)</f>
        <v>-111.4</v>
      </c>
      <c r="M392" s="34" t="n">
        <f aca="false">AVERAGE(C392:J392)</f>
        <v>-79.52625</v>
      </c>
    </row>
    <row r="393" customFormat="false" ht="15.75" hidden="false" customHeight="true" outlineLevel="0" collapsed="false">
      <c r="A393" s="34" t="s">
        <v>839</v>
      </c>
      <c r="B393" s="34" t="n">
        <v>1045.6</v>
      </c>
      <c r="C393" s="34" t="n">
        <v>66.67</v>
      </c>
      <c r="D393" s="34" t="n">
        <v>78.14</v>
      </c>
      <c r="E393" s="34" t="n">
        <v>147.76</v>
      </c>
      <c r="F393" s="34" t="n">
        <v>-0.539</v>
      </c>
      <c r="G393" s="34" t="n">
        <v>-64.42</v>
      </c>
      <c r="H393" s="34" t="n">
        <v>-25.6</v>
      </c>
      <c r="I393" s="34" t="n">
        <v>10.59</v>
      </c>
      <c r="J393" s="34" t="n">
        <v>21.93</v>
      </c>
      <c r="K393" s="34" t="n">
        <v>1069.86</v>
      </c>
      <c r="L393" s="34" t="n">
        <f aca="false">AVERAGE(C393:E393)</f>
        <v>97.5233333333333</v>
      </c>
      <c r="M393" s="34" t="n">
        <f aca="false">AVERAGE(C393:J393)</f>
        <v>29.316375</v>
      </c>
    </row>
    <row r="394" customFormat="false" ht="15.75" hidden="false" customHeight="true" outlineLevel="0" collapsed="false">
      <c r="A394" s="34" t="s">
        <v>840</v>
      </c>
      <c r="B394" s="34" t="n">
        <v>1045.2</v>
      </c>
      <c r="C394" s="34" t="n">
        <v>-66.67</v>
      </c>
      <c r="D394" s="34" t="n">
        <v>-62.26</v>
      </c>
      <c r="E394" s="34" t="n">
        <v>52.39</v>
      </c>
      <c r="F394" s="34" t="n">
        <v>-46.37</v>
      </c>
      <c r="G394" s="34" t="n">
        <v>-71.19</v>
      </c>
      <c r="H394" s="34" t="n">
        <v>-25.67</v>
      </c>
      <c r="I394" s="34" t="n">
        <v>13.63</v>
      </c>
      <c r="J394" s="34" t="n">
        <v>7.56</v>
      </c>
      <c r="K394" s="34" t="n">
        <v>1088.23</v>
      </c>
      <c r="L394" s="34" t="n">
        <f aca="false">AVERAGE(C394:E394)</f>
        <v>-25.5133333333333</v>
      </c>
      <c r="M394" s="34" t="n">
        <f aca="false">AVERAGE(C394:J394)</f>
        <v>-24.8225</v>
      </c>
    </row>
    <row r="395" customFormat="false" ht="15.75" hidden="false" customHeight="true" outlineLevel="0" collapsed="false">
      <c r="A395" s="34" t="s">
        <v>841</v>
      </c>
      <c r="B395" s="34" t="n">
        <v>1040.8</v>
      </c>
      <c r="C395" s="34" t="n">
        <v>-66.67</v>
      </c>
      <c r="D395" s="34" t="n">
        <v>39.13</v>
      </c>
      <c r="E395" s="34" t="n">
        <v>88.52</v>
      </c>
      <c r="F395" s="34" t="n">
        <v>149.69</v>
      </c>
      <c r="G395" s="34"/>
      <c r="H395" s="34"/>
      <c r="I395" s="34"/>
      <c r="J395" s="34"/>
      <c r="K395" s="34" t="n">
        <v>967.57</v>
      </c>
      <c r="L395" s="34" t="n">
        <f aca="false">AVERAGE(C395:E395)</f>
        <v>20.3266666666667</v>
      </c>
      <c r="M395" s="34" t="n">
        <f aca="false">AVERAGE(C395:J395)</f>
        <v>52.6675</v>
      </c>
    </row>
    <row r="396" customFormat="false" ht="15.75" hidden="false" customHeight="true" outlineLevel="0" collapsed="false">
      <c r="A396" s="34" t="s">
        <v>842</v>
      </c>
      <c r="B396" s="34" t="n">
        <v>1032.5</v>
      </c>
      <c r="C396" s="34" t="n">
        <v>-66.67</v>
      </c>
      <c r="D396" s="34" t="n">
        <v>-133.33</v>
      </c>
      <c r="E396" s="34" t="n">
        <v>-98.07</v>
      </c>
      <c r="F396" s="34" t="n">
        <v>-21.11</v>
      </c>
      <c r="G396" s="34" t="n">
        <v>40.97</v>
      </c>
      <c r="H396" s="34" t="n">
        <v>61.08</v>
      </c>
      <c r="I396" s="34" t="n">
        <v>76.55</v>
      </c>
      <c r="J396" s="34" t="n">
        <v>92.89</v>
      </c>
      <c r="K396" s="34" t="n">
        <v>1029.61</v>
      </c>
      <c r="L396" s="34" t="n">
        <f aca="false">AVERAGE(C396:E396)</f>
        <v>-99.3566666666667</v>
      </c>
      <c r="M396" s="34" t="n">
        <f aca="false">AVERAGE(C396:J396)</f>
        <v>-5.96125</v>
      </c>
    </row>
    <row r="397" customFormat="false" ht="15.75" hidden="false" customHeight="true" outlineLevel="0" collapsed="false">
      <c r="A397" s="34" t="s">
        <v>391</v>
      </c>
      <c r="B397" s="34" t="n">
        <v>1028.1</v>
      </c>
      <c r="C397" s="34" t="n">
        <v>66.67</v>
      </c>
      <c r="D397" s="34" t="n">
        <v>60.41</v>
      </c>
      <c r="E397" s="34" t="n">
        <v>109.47</v>
      </c>
      <c r="F397" s="34" t="n">
        <v>-57.31</v>
      </c>
      <c r="G397" s="34" t="n">
        <v>-109.56</v>
      </c>
      <c r="H397" s="34" t="n">
        <v>-101.96</v>
      </c>
      <c r="I397" s="34" t="n">
        <v>-26.05</v>
      </c>
      <c r="J397" s="34" t="n">
        <v>-3.99</v>
      </c>
      <c r="K397" s="34" t="n">
        <v>1049.28</v>
      </c>
      <c r="L397" s="34" t="n">
        <f aca="false">AVERAGE(C397:E397)</f>
        <v>78.85</v>
      </c>
      <c r="M397" s="34" t="n">
        <f aca="false">AVERAGE(C397:J397)</f>
        <v>-7.79</v>
      </c>
    </row>
    <row r="398" customFormat="false" ht="15.75" hidden="false" customHeight="true" outlineLevel="0" collapsed="false">
      <c r="A398" s="34" t="s">
        <v>843</v>
      </c>
      <c r="B398" s="34" t="n">
        <v>1020.3</v>
      </c>
      <c r="C398" s="34" t="n">
        <v>-66.67</v>
      </c>
      <c r="D398" s="34" t="n">
        <v>-126.75</v>
      </c>
      <c r="E398" s="34" t="n">
        <v>-111.32</v>
      </c>
      <c r="F398" s="34" t="n">
        <v>-87.14</v>
      </c>
      <c r="G398" s="34" t="n">
        <v>-122.67</v>
      </c>
      <c r="H398" s="34" t="n">
        <v>11.49</v>
      </c>
      <c r="I398" s="34" t="n">
        <v>33.74</v>
      </c>
      <c r="J398" s="34" t="n">
        <v>46.38</v>
      </c>
      <c r="K398" s="34" t="n">
        <v>1000.75</v>
      </c>
      <c r="L398" s="34" t="n">
        <f aca="false">AVERAGE(C398:E398)</f>
        <v>-101.58</v>
      </c>
      <c r="M398" s="34" t="n">
        <f aca="false">AVERAGE(C398:J398)</f>
        <v>-52.8675</v>
      </c>
    </row>
    <row r="399" customFormat="false" ht="15.75" hidden="false" customHeight="true" outlineLevel="0" collapsed="false">
      <c r="A399" s="34" t="s">
        <v>544</v>
      </c>
      <c r="B399" s="34" t="n">
        <v>1020.3</v>
      </c>
      <c r="C399" s="34" t="n">
        <v>-66.67</v>
      </c>
      <c r="D399" s="34" t="n">
        <v>-69.03</v>
      </c>
      <c r="E399" s="34" t="n">
        <v>-164.42</v>
      </c>
      <c r="F399" s="34" t="n">
        <v>-92.29</v>
      </c>
      <c r="G399" s="34" t="n">
        <v>11.1</v>
      </c>
      <c r="H399" s="34" t="n">
        <v>21.08</v>
      </c>
      <c r="I399" s="34" t="n">
        <v>21.37</v>
      </c>
      <c r="J399" s="34" t="n">
        <v>14.99</v>
      </c>
      <c r="K399" s="34" t="n">
        <v>1083.01</v>
      </c>
      <c r="L399" s="34" t="n">
        <f aca="false">AVERAGE(C399:E399)</f>
        <v>-100.04</v>
      </c>
      <c r="M399" s="34" t="n">
        <f aca="false">AVERAGE(C399:J399)</f>
        <v>-40.48375</v>
      </c>
    </row>
    <row r="400" customFormat="false" ht="15.75" hidden="false" customHeight="true" outlineLevel="0" collapsed="false">
      <c r="A400" s="34" t="s">
        <v>366</v>
      </c>
      <c r="B400" s="34" t="n">
        <v>1019.45</v>
      </c>
      <c r="C400" s="34" t="n">
        <v>66.67</v>
      </c>
      <c r="D400" s="34" t="n">
        <v>73.92</v>
      </c>
      <c r="E400" s="34" t="n">
        <v>111.81</v>
      </c>
      <c r="F400" s="34" t="n">
        <v>219.01</v>
      </c>
      <c r="G400" s="34" t="n">
        <v>316.01</v>
      </c>
      <c r="H400" s="34" t="n">
        <v>256.09</v>
      </c>
      <c r="I400" s="34" t="n">
        <v>211.52</v>
      </c>
      <c r="J400" s="34" t="n">
        <v>185.98</v>
      </c>
      <c r="K400" s="34" t="n">
        <v>952.47</v>
      </c>
      <c r="L400" s="34" t="n">
        <f aca="false">AVERAGE(C400:E400)</f>
        <v>84.1333333333333</v>
      </c>
      <c r="M400" s="34" t="n">
        <f aca="false">AVERAGE(C400:J400)</f>
        <v>180.12625</v>
      </c>
    </row>
    <row r="401" customFormat="false" ht="15.75" hidden="false" customHeight="true" outlineLevel="0" collapsed="false">
      <c r="A401" s="34" t="s">
        <v>844</v>
      </c>
      <c r="B401" s="34" t="n">
        <v>1019</v>
      </c>
      <c r="C401" s="34" t="n">
        <v>-66.67</v>
      </c>
      <c r="D401" s="34" t="n">
        <v>-133.33</v>
      </c>
      <c r="E401" s="34" t="n">
        <v>-48.83</v>
      </c>
      <c r="F401" s="34" t="n">
        <v>-102.05</v>
      </c>
      <c r="G401" s="34" t="n">
        <v>-144.91</v>
      </c>
      <c r="H401" s="34" t="n">
        <v>-145.65</v>
      </c>
      <c r="I401" s="34" t="n">
        <v>-84.34</v>
      </c>
      <c r="J401" s="34" t="n">
        <v>-75.89</v>
      </c>
      <c r="K401" s="34" t="n">
        <v>1071.9</v>
      </c>
      <c r="L401" s="34" t="n">
        <f aca="false">AVERAGE(C401:E401)</f>
        <v>-82.9433333333333</v>
      </c>
      <c r="M401" s="34" t="n">
        <f aca="false">AVERAGE(C401:J401)</f>
        <v>-100.20875</v>
      </c>
    </row>
    <row r="402" customFormat="false" ht="15.75" hidden="false" customHeight="true" outlineLevel="0" collapsed="false">
      <c r="A402" s="34" t="s">
        <v>845</v>
      </c>
      <c r="B402" s="34" t="n">
        <v>1016.8</v>
      </c>
      <c r="C402" s="34" t="n">
        <v>-66.67</v>
      </c>
      <c r="D402" s="34" t="n">
        <v>-133.33</v>
      </c>
      <c r="E402" s="34" t="n">
        <v>-123.17</v>
      </c>
      <c r="F402" s="34" t="n">
        <v>-230.47</v>
      </c>
      <c r="G402" s="34" t="n">
        <v>-147.45</v>
      </c>
      <c r="H402" s="34" t="n">
        <v>-177.21</v>
      </c>
      <c r="I402" s="34" t="n">
        <v>-181.94</v>
      </c>
      <c r="J402" s="34" t="n">
        <v>-181.26</v>
      </c>
      <c r="K402" s="34" t="n">
        <v>1100.28</v>
      </c>
      <c r="L402" s="34" t="n">
        <f aca="false">AVERAGE(C402:E402)</f>
        <v>-107.723333333333</v>
      </c>
      <c r="M402" s="34" t="n">
        <f aca="false">AVERAGE(C402:J402)</f>
        <v>-155.1875</v>
      </c>
    </row>
    <row r="403" customFormat="false" ht="15.75" hidden="false" customHeight="true" outlineLevel="0" collapsed="false">
      <c r="A403" s="34" t="s">
        <v>846</v>
      </c>
      <c r="B403" s="34" t="n">
        <v>1011.9</v>
      </c>
      <c r="C403" s="34" t="n">
        <v>66.67</v>
      </c>
      <c r="D403" s="34" t="n">
        <v>-65.31</v>
      </c>
      <c r="E403" s="34" t="n">
        <v>54</v>
      </c>
      <c r="F403" s="34" t="n">
        <v>-17.73</v>
      </c>
      <c r="G403" s="34" t="n">
        <v>-10.96</v>
      </c>
      <c r="H403" s="34" t="n">
        <v>43.89</v>
      </c>
      <c r="I403" s="34" t="n">
        <v>61.07</v>
      </c>
      <c r="J403" s="34" t="n">
        <v>75.5</v>
      </c>
      <c r="K403" s="34" t="n">
        <v>962.89</v>
      </c>
      <c r="L403" s="34" t="n">
        <f aca="false">AVERAGE(C403:E403)</f>
        <v>18.4533333333333</v>
      </c>
      <c r="M403" s="34" t="n">
        <f aca="false">AVERAGE(C403:J403)</f>
        <v>25.89125</v>
      </c>
    </row>
    <row r="404" customFormat="false" ht="15.75" hidden="false" customHeight="true" outlineLevel="0" collapsed="false">
      <c r="A404" s="34" t="s">
        <v>847</v>
      </c>
      <c r="B404" s="34" t="n">
        <v>1011.85</v>
      </c>
      <c r="C404" s="34" t="n">
        <v>66.67</v>
      </c>
      <c r="D404" s="34" t="n">
        <v>-58.74</v>
      </c>
      <c r="E404" s="34" t="n">
        <v>18.51</v>
      </c>
      <c r="F404" s="34" t="n">
        <v>81.18</v>
      </c>
      <c r="G404" s="34" t="n">
        <v>145.45</v>
      </c>
      <c r="H404" s="34" t="n">
        <v>101.62</v>
      </c>
      <c r="I404" s="34" t="n">
        <v>98.88</v>
      </c>
      <c r="J404" s="34" t="n">
        <v>94.88</v>
      </c>
      <c r="K404" s="34" t="n">
        <v>959.77</v>
      </c>
      <c r="L404" s="34" t="n">
        <f aca="false">AVERAGE(C404:E404)</f>
        <v>8.81333333333333</v>
      </c>
      <c r="M404" s="34" t="n">
        <f aca="false">AVERAGE(C404:J404)</f>
        <v>68.55625</v>
      </c>
    </row>
    <row r="405" customFormat="false" ht="15.75" hidden="false" customHeight="true" outlineLevel="0" collapsed="false">
      <c r="A405" s="34" t="s">
        <v>347</v>
      </c>
      <c r="B405" s="34" t="n">
        <v>1010.55</v>
      </c>
      <c r="C405" s="34" t="n">
        <v>-66.67</v>
      </c>
      <c r="D405" s="34" t="n">
        <v>63.21</v>
      </c>
      <c r="E405" s="34" t="n">
        <v>108.69</v>
      </c>
      <c r="F405" s="34" t="n">
        <v>196.21</v>
      </c>
      <c r="G405" s="34" t="n">
        <v>71.85</v>
      </c>
      <c r="H405" s="34" t="n">
        <v>84.55</v>
      </c>
      <c r="I405" s="34" t="n">
        <v>82.3</v>
      </c>
      <c r="J405" s="34" t="n">
        <v>88.93</v>
      </c>
      <c r="K405" s="34" t="n">
        <v>942.3</v>
      </c>
      <c r="L405" s="34" t="n">
        <f aca="false">AVERAGE(C405:E405)</f>
        <v>35.0766666666667</v>
      </c>
      <c r="M405" s="34" t="n">
        <f aca="false">AVERAGE(C405:J405)</f>
        <v>78.63375</v>
      </c>
    </row>
    <row r="406" customFormat="false" ht="15.75" hidden="false" customHeight="true" outlineLevel="0" collapsed="false">
      <c r="A406" s="34" t="s">
        <v>848</v>
      </c>
      <c r="B406" s="34" t="n">
        <v>1010</v>
      </c>
      <c r="C406" s="34" t="n">
        <v>66.67</v>
      </c>
      <c r="D406" s="34" t="n">
        <v>36.75</v>
      </c>
      <c r="E406" s="34" t="n">
        <v>16.45</v>
      </c>
      <c r="F406" s="34" t="n">
        <v>-66.13</v>
      </c>
      <c r="G406" s="34" t="n">
        <v>-102.06</v>
      </c>
      <c r="H406" s="34" t="n">
        <v>-2.99</v>
      </c>
      <c r="I406" s="34" t="n">
        <v>26.95</v>
      </c>
      <c r="J406" s="34" t="n">
        <v>37.82</v>
      </c>
      <c r="K406" s="34" t="n">
        <v>1078.5</v>
      </c>
      <c r="L406" s="34" t="n">
        <f aca="false">AVERAGE(C406:E406)</f>
        <v>39.9566666666667</v>
      </c>
      <c r="M406" s="34" t="n">
        <f aca="false">AVERAGE(C406:J406)</f>
        <v>1.6825</v>
      </c>
    </row>
    <row r="407" customFormat="false" ht="15.75" hidden="false" customHeight="true" outlineLevel="0" collapsed="false">
      <c r="A407" s="34" t="s">
        <v>849</v>
      </c>
      <c r="B407" s="34" t="n">
        <v>1008.75</v>
      </c>
      <c r="C407" s="34" t="n">
        <v>66.67</v>
      </c>
      <c r="D407" s="34" t="n">
        <v>26.05</v>
      </c>
      <c r="E407" s="34" t="n">
        <v>48.64</v>
      </c>
      <c r="F407" s="34" t="n">
        <v>95.6</v>
      </c>
      <c r="G407" s="34" t="n">
        <v>-39.72</v>
      </c>
      <c r="H407" s="34" t="n">
        <v>3.07</v>
      </c>
      <c r="I407" s="34" t="n">
        <v>38.28</v>
      </c>
      <c r="J407" s="34" t="n">
        <v>53.28</v>
      </c>
      <c r="K407" s="34" t="n">
        <v>951.57</v>
      </c>
      <c r="L407" s="34" t="n">
        <f aca="false">AVERAGE(C407:E407)</f>
        <v>47.12</v>
      </c>
      <c r="M407" s="34" t="n">
        <f aca="false">AVERAGE(C407:J407)</f>
        <v>36.48375</v>
      </c>
    </row>
    <row r="408" customFormat="false" ht="15.75" hidden="false" customHeight="true" outlineLevel="0" collapsed="false">
      <c r="A408" s="34" t="s">
        <v>850</v>
      </c>
      <c r="B408" s="34" t="n">
        <v>1008.6</v>
      </c>
      <c r="C408" s="34" t="n">
        <v>-66.67</v>
      </c>
      <c r="D408" s="34" t="n">
        <v>-69.66</v>
      </c>
      <c r="E408" s="34" t="n">
        <v>46.42</v>
      </c>
      <c r="F408" s="34" t="n">
        <v>-45.81</v>
      </c>
      <c r="G408" s="34" t="n">
        <v>-59.29</v>
      </c>
      <c r="H408" s="34" t="n">
        <v>-33.28</v>
      </c>
      <c r="I408" s="34" t="n">
        <v>19.9</v>
      </c>
      <c r="J408" s="34" t="n">
        <v>16.98</v>
      </c>
      <c r="K408" s="34" t="n">
        <v>1050.87</v>
      </c>
      <c r="L408" s="34" t="n">
        <f aca="false">AVERAGE(C408:E408)</f>
        <v>-29.97</v>
      </c>
      <c r="M408" s="34" t="n">
        <f aca="false">AVERAGE(C408:J408)</f>
        <v>-23.92625</v>
      </c>
    </row>
    <row r="409" customFormat="false" ht="15.75" hidden="false" customHeight="true" outlineLevel="0" collapsed="false">
      <c r="A409" s="34" t="s">
        <v>851</v>
      </c>
      <c r="B409" s="34" t="n">
        <v>1004.9</v>
      </c>
      <c r="C409" s="34" t="n">
        <v>66.67</v>
      </c>
      <c r="D409" s="34" t="n">
        <v>133.33</v>
      </c>
      <c r="E409" s="34" t="n">
        <v>126.81</v>
      </c>
      <c r="F409" s="34"/>
      <c r="G409" s="34"/>
      <c r="H409" s="34"/>
      <c r="I409" s="34"/>
      <c r="J409" s="34"/>
      <c r="K409" s="34" t="n">
        <v>1006.77</v>
      </c>
      <c r="L409" s="34" t="n">
        <f aca="false">AVERAGE(C409:E409)</f>
        <v>108.936666666667</v>
      </c>
      <c r="M409" s="34" t="n">
        <f aca="false">AVERAGE(C409:J409)</f>
        <v>108.936666666667</v>
      </c>
    </row>
    <row r="410" customFormat="false" ht="15.75" hidden="false" customHeight="true" outlineLevel="0" collapsed="false">
      <c r="A410" s="34" t="s">
        <v>852</v>
      </c>
      <c r="B410" s="34" t="n">
        <v>1003</v>
      </c>
      <c r="C410" s="34" t="n">
        <v>-66.67</v>
      </c>
      <c r="D410" s="34" t="n">
        <v>31.66</v>
      </c>
      <c r="E410" s="34" t="n">
        <v>73.81</v>
      </c>
      <c r="F410" s="34" t="n">
        <v>-56.51</v>
      </c>
      <c r="G410" s="34" t="n">
        <v>-95.02</v>
      </c>
      <c r="H410" s="34" t="n">
        <v>-110.8</v>
      </c>
      <c r="I410" s="34" t="n">
        <v>-105.19</v>
      </c>
      <c r="J410" s="34" t="n">
        <v>-99.78</v>
      </c>
      <c r="K410" s="34" t="n">
        <v>1025.31</v>
      </c>
      <c r="L410" s="34" t="n">
        <f aca="false">AVERAGE(C410:E410)</f>
        <v>12.9333333333333</v>
      </c>
      <c r="M410" s="34" t="n">
        <f aca="false">AVERAGE(C410:J410)</f>
        <v>-53.5625</v>
      </c>
    </row>
    <row r="411" customFormat="false" ht="15.75" hidden="false" customHeight="true" outlineLevel="0" collapsed="false">
      <c r="A411" s="34" t="s">
        <v>853</v>
      </c>
      <c r="B411" s="34" t="n">
        <v>1002.55</v>
      </c>
      <c r="C411" s="34" t="n">
        <v>66.67</v>
      </c>
      <c r="D411" s="34" t="n">
        <v>133.33</v>
      </c>
      <c r="E411" s="34"/>
      <c r="F411" s="34"/>
      <c r="G411" s="34"/>
      <c r="H411" s="34"/>
      <c r="I411" s="34"/>
      <c r="J411" s="34"/>
      <c r="K411" s="34"/>
      <c r="L411" s="34" t="n">
        <f aca="false">AVERAGE(C411:E411)</f>
        <v>100</v>
      </c>
      <c r="M411" s="34" t="n">
        <f aca="false">AVERAGE(C411:J411)</f>
        <v>100</v>
      </c>
    </row>
    <row r="412" customFormat="false" ht="15.75" hidden="false" customHeight="true" outlineLevel="0" collapsed="false">
      <c r="A412" s="34" t="s">
        <v>854</v>
      </c>
      <c r="B412" s="34" t="n">
        <v>1000.1</v>
      </c>
      <c r="C412" s="34" t="n">
        <v>-66.67</v>
      </c>
      <c r="D412" s="34" t="n">
        <v>49.09</v>
      </c>
      <c r="E412" s="34" t="n">
        <v>27.28</v>
      </c>
      <c r="F412" s="34" t="n">
        <v>-47.65</v>
      </c>
      <c r="G412" s="34" t="n">
        <v>-99.99</v>
      </c>
      <c r="H412" s="34" t="n">
        <v>-113.36</v>
      </c>
      <c r="I412" s="34" t="n">
        <v>-101.18</v>
      </c>
      <c r="J412" s="34" t="n">
        <v>-99.66</v>
      </c>
      <c r="K412" s="34" t="n">
        <v>1043.42</v>
      </c>
      <c r="L412" s="34" t="n">
        <f aca="false">AVERAGE(C412:E412)</f>
        <v>3.23333333333333</v>
      </c>
      <c r="M412" s="34" t="n">
        <f aca="false">AVERAGE(C412:J412)</f>
        <v>-56.5175</v>
      </c>
    </row>
    <row r="413" customFormat="false" ht="15.75" hidden="false" customHeight="true" outlineLevel="0" collapsed="false">
      <c r="A413" s="34" t="s">
        <v>263</v>
      </c>
      <c r="B413" s="34" t="n">
        <v>997.25</v>
      </c>
      <c r="C413" s="34" t="n">
        <v>-66.67</v>
      </c>
      <c r="D413" s="34" t="n">
        <v>-73.04</v>
      </c>
      <c r="E413" s="34" t="n">
        <v>31.38</v>
      </c>
      <c r="F413" s="34" t="n">
        <v>80.29</v>
      </c>
      <c r="G413" s="34" t="n">
        <v>115.65</v>
      </c>
      <c r="H413" s="34" t="n">
        <v>121.4</v>
      </c>
      <c r="I413" s="34" t="n">
        <v>124.03</v>
      </c>
      <c r="J413" s="34" t="n">
        <v>127.69</v>
      </c>
      <c r="K413" s="34" t="n">
        <v>966.41</v>
      </c>
      <c r="L413" s="34" t="n">
        <f aca="false">AVERAGE(C413:E413)</f>
        <v>-36.11</v>
      </c>
      <c r="M413" s="34" t="n">
        <f aca="false">AVERAGE(C413:J413)</f>
        <v>57.59125</v>
      </c>
    </row>
    <row r="414" customFormat="false" ht="15.75" hidden="false" customHeight="true" outlineLevel="0" collapsed="false">
      <c r="A414" s="34" t="s">
        <v>448</v>
      </c>
      <c r="B414" s="34" t="n">
        <v>997</v>
      </c>
      <c r="C414" s="34" t="n">
        <v>66.67</v>
      </c>
      <c r="D414" s="34" t="n">
        <v>-28.81</v>
      </c>
      <c r="E414" s="34" t="n">
        <v>74.97</v>
      </c>
      <c r="F414" s="34" t="n">
        <v>9.59</v>
      </c>
      <c r="G414" s="34" t="n">
        <v>-11.57</v>
      </c>
      <c r="H414" s="34" t="n">
        <v>21.63</v>
      </c>
      <c r="I414" s="34" t="n">
        <v>45.27</v>
      </c>
      <c r="J414" s="34" t="n">
        <v>28.95</v>
      </c>
      <c r="K414" s="34" t="n">
        <v>948.96</v>
      </c>
      <c r="L414" s="34" t="n">
        <f aca="false">AVERAGE(C414:E414)</f>
        <v>37.61</v>
      </c>
      <c r="M414" s="34" t="n">
        <f aca="false">AVERAGE(C414:J414)</f>
        <v>25.8375</v>
      </c>
    </row>
    <row r="415" customFormat="false" ht="15.75" hidden="false" customHeight="true" outlineLevel="0" collapsed="false">
      <c r="A415" s="34" t="s">
        <v>109</v>
      </c>
      <c r="B415" s="34" t="n">
        <v>988.8</v>
      </c>
      <c r="C415" s="34" t="n">
        <v>66.67</v>
      </c>
      <c r="D415" s="34" t="n">
        <v>84.85</v>
      </c>
      <c r="E415" s="34" t="n">
        <v>69.05</v>
      </c>
      <c r="F415" s="34" t="n">
        <v>105.36</v>
      </c>
      <c r="G415" s="34" t="n">
        <v>94.13</v>
      </c>
      <c r="H415" s="34" t="n">
        <v>85.91</v>
      </c>
      <c r="I415" s="34" t="n">
        <v>101.83</v>
      </c>
      <c r="J415" s="34" t="n">
        <v>97.74</v>
      </c>
      <c r="K415" s="34" t="n">
        <v>952.24</v>
      </c>
      <c r="L415" s="34" t="n">
        <f aca="false">AVERAGE(C415:E415)</f>
        <v>73.5233333333333</v>
      </c>
      <c r="M415" s="34" t="n">
        <f aca="false">AVERAGE(C415:J415)</f>
        <v>88.1925</v>
      </c>
    </row>
    <row r="416" customFormat="false" ht="15.75" hidden="false" customHeight="true" outlineLevel="0" collapsed="false">
      <c r="A416" s="34" t="s">
        <v>278</v>
      </c>
      <c r="B416" s="34" t="n">
        <v>987.75</v>
      </c>
      <c r="C416" s="34" t="n">
        <v>-66.67</v>
      </c>
      <c r="D416" s="34" t="n">
        <v>-1.29</v>
      </c>
      <c r="E416" s="34" t="n">
        <v>83.1</v>
      </c>
      <c r="F416" s="34" t="n">
        <v>52.3</v>
      </c>
      <c r="G416" s="34" t="n">
        <v>29.67</v>
      </c>
      <c r="H416" s="34" t="n">
        <v>0.18</v>
      </c>
      <c r="I416" s="34" t="n">
        <v>-8.91</v>
      </c>
      <c r="J416" s="34" t="n">
        <v>-26.73</v>
      </c>
      <c r="K416" s="34" t="n">
        <v>947.79</v>
      </c>
      <c r="L416" s="34" t="n">
        <f aca="false">AVERAGE(C416:E416)</f>
        <v>5.04666666666666</v>
      </c>
      <c r="M416" s="34" t="n">
        <f aca="false">AVERAGE(C416:J416)</f>
        <v>7.70625</v>
      </c>
    </row>
    <row r="417" customFormat="false" ht="15.75" hidden="false" customHeight="true" outlineLevel="0" collapsed="false">
      <c r="A417" s="34" t="s">
        <v>280</v>
      </c>
      <c r="B417" s="34" t="n">
        <v>985.4</v>
      </c>
      <c r="C417" s="34" t="n">
        <v>-66.67</v>
      </c>
      <c r="D417" s="34" t="n">
        <v>-68.36</v>
      </c>
      <c r="E417" s="34" t="n">
        <v>-2.33</v>
      </c>
      <c r="F417" s="34" t="n">
        <v>-100.82</v>
      </c>
      <c r="G417" s="34" t="n">
        <v>-155.73</v>
      </c>
      <c r="H417" s="34" t="n">
        <v>-197.75</v>
      </c>
      <c r="I417" s="34" t="n">
        <v>-202.74</v>
      </c>
      <c r="J417" s="34" t="n">
        <v>-224.28</v>
      </c>
      <c r="K417" s="34" t="n">
        <v>1016.85</v>
      </c>
      <c r="L417" s="34" t="n">
        <f aca="false">AVERAGE(C417:E417)</f>
        <v>-45.7866666666667</v>
      </c>
      <c r="M417" s="34" t="n">
        <f aca="false">AVERAGE(C417:J417)</f>
        <v>-127.335</v>
      </c>
    </row>
    <row r="418" customFormat="false" ht="15.75" hidden="false" customHeight="true" outlineLevel="0" collapsed="false">
      <c r="A418" s="34" t="s">
        <v>855</v>
      </c>
      <c r="B418" s="34" t="n">
        <v>980.2</v>
      </c>
      <c r="C418" s="34" t="n">
        <v>66.67</v>
      </c>
      <c r="D418" s="34" t="n">
        <v>118.99</v>
      </c>
      <c r="E418" s="34" t="n">
        <v>11.82</v>
      </c>
      <c r="F418" s="34" t="n">
        <v>50.03</v>
      </c>
      <c r="G418" s="34" t="n">
        <v>96.14</v>
      </c>
      <c r="H418" s="34" t="n">
        <v>135.06</v>
      </c>
      <c r="I418" s="34" t="n">
        <v>174.21</v>
      </c>
      <c r="J418" s="34" t="n">
        <v>215</v>
      </c>
      <c r="K418" s="34" t="n">
        <v>1035.69</v>
      </c>
      <c r="L418" s="34" t="n">
        <f aca="false">AVERAGE(C418:E418)</f>
        <v>65.8266666666667</v>
      </c>
      <c r="M418" s="34" t="n">
        <f aca="false">AVERAGE(C418:J418)</f>
        <v>108.49</v>
      </c>
    </row>
    <row r="419" customFormat="false" ht="15.75" hidden="false" customHeight="true" outlineLevel="0" collapsed="false">
      <c r="A419" s="34" t="s">
        <v>292</v>
      </c>
      <c r="B419" s="34" t="n">
        <v>974.6</v>
      </c>
      <c r="C419" s="34" t="n">
        <v>-66.67</v>
      </c>
      <c r="D419" s="34" t="n">
        <v>-74.01</v>
      </c>
      <c r="E419" s="34" t="n">
        <v>36.87</v>
      </c>
      <c r="F419" s="34" t="n">
        <v>-37.12</v>
      </c>
      <c r="G419" s="34" t="n">
        <v>-41.64</v>
      </c>
      <c r="H419" s="34" t="n">
        <v>15.79</v>
      </c>
      <c r="I419" s="34" t="n">
        <v>41.95</v>
      </c>
      <c r="J419" s="34" t="n">
        <v>47.2</v>
      </c>
      <c r="K419" s="34" t="n">
        <v>1003.05</v>
      </c>
      <c r="L419" s="34" t="n">
        <f aca="false">AVERAGE(C419:E419)</f>
        <v>-34.6033333333333</v>
      </c>
      <c r="M419" s="34" t="n">
        <f aca="false">AVERAGE(C419:J419)</f>
        <v>-9.70375</v>
      </c>
    </row>
    <row r="420" customFormat="false" ht="15.75" hidden="false" customHeight="true" outlineLevel="0" collapsed="false">
      <c r="A420" s="34" t="s">
        <v>856</v>
      </c>
      <c r="B420" s="34" t="n">
        <v>971.05</v>
      </c>
      <c r="C420" s="34" t="n">
        <v>-66.67</v>
      </c>
      <c r="D420" s="34" t="n">
        <v>25.15</v>
      </c>
      <c r="E420" s="34" t="n">
        <v>96.93</v>
      </c>
      <c r="F420" s="34" t="n">
        <v>282.21</v>
      </c>
      <c r="G420" s="34" t="n">
        <v>276.68</v>
      </c>
      <c r="H420" s="34" t="n">
        <v>306.37</v>
      </c>
      <c r="I420" s="34" t="n">
        <v>282.79</v>
      </c>
      <c r="J420" s="34" t="n">
        <v>226.87</v>
      </c>
      <c r="K420" s="34" t="n">
        <v>955.7</v>
      </c>
      <c r="L420" s="34" t="n">
        <f aca="false">AVERAGE(C420:E420)</f>
        <v>18.47</v>
      </c>
      <c r="M420" s="34" t="n">
        <f aca="false">AVERAGE(C420:J420)</f>
        <v>178.79125</v>
      </c>
    </row>
    <row r="421" customFormat="false" ht="15.75" hidden="false" customHeight="true" outlineLevel="0" collapsed="false">
      <c r="A421" s="34" t="s">
        <v>441</v>
      </c>
      <c r="B421" s="34" t="n">
        <v>967.9</v>
      </c>
      <c r="C421" s="34" t="n">
        <v>-66.67</v>
      </c>
      <c r="D421" s="34" t="n">
        <v>45.31</v>
      </c>
      <c r="E421" s="34" t="n">
        <v>112.21</v>
      </c>
      <c r="F421" s="34" t="n">
        <v>-54.56</v>
      </c>
      <c r="G421" s="34" t="n">
        <v>-104.29</v>
      </c>
      <c r="H421" s="34" t="n">
        <v>-37.41</v>
      </c>
      <c r="I421" s="34" t="n">
        <v>7.83</v>
      </c>
      <c r="J421" s="34" t="n">
        <v>19.59</v>
      </c>
      <c r="K421" s="34" t="n">
        <v>994.64</v>
      </c>
      <c r="L421" s="34" t="n">
        <f aca="false">AVERAGE(C421:E421)</f>
        <v>30.2833333333333</v>
      </c>
      <c r="M421" s="34" t="n">
        <f aca="false">AVERAGE(C421:J421)</f>
        <v>-9.74875</v>
      </c>
    </row>
    <row r="422" customFormat="false" ht="15.75" hidden="false" customHeight="true" outlineLevel="0" collapsed="false">
      <c r="A422" s="34" t="s">
        <v>301</v>
      </c>
      <c r="B422" s="34" t="n">
        <v>967.85</v>
      </c>
      <c r="C422" s="34" t="n">
        <v>-66.67</v>
      </c>
      <c r="D422" s="34" t="n">
        <v>-130.22</v>
      </c>
      <c r="E422" s="34" t="n">
        <v>39.23</v>
      </c>
      <c r="F422" s="34" t="n">
        <v>22.35</v>
      </c>
      <c r="G422" s="34" t="n">
        <v>-12.91</v>
      </c>
      <c r="H422" s="34" t="n">
        <v>34.85</v>
      </c>
      <c r="I422" s="34" t="n">
        <v>56.22</v>
      </c>
      <c r="J422" s="34" t="n">
        <v>64.28</v>
      </c>
      <c r="K422" s="34" t="n">
        <v>939.18</v>
      </c>
      <c r="L422" s="34" t="n">
        <f aca="false">AVERAGE(C422:E422)</f>
        <v>-52.5533333333333</v>
      </c>
      <c r="M422" s="34" t="n">
        <f aca="false">AVERAGE(C422:J422)</f>
        <v>0.891249999999998</v>
      </c>
    </row>
    <row r="423" customFormat="false" ht="15.75" hidden="false" customHeight="true" outlineLevel="0" collapsed="false">
      <c r="A423" s="34" t="s">
        <v>857</v>
      </c>
      <c r="B423" s="34" t="n">
        <v>963</v>
      </c>
      <c r="C423" s="34" t="n">
        <v>-66.67</v>
      </c>
      <c r="D423" s="34" t="n">
        <v>11</v>
      </c>
      <c r="E423" s="34" t="n">
        <v>77.91</v>
      </c>
      <c r="F423" s="34" t="n">
        <v>-54.88</v>
      </c>
      <c r="G423" s="34" t="n">
        <v>-103.01</v>
      </c>
      <c r="H423" s="34" t="n">
        <v>-105.68</v>
      </c>
      <c r="I423" s="34" t="n">
        <v>-100.1</v>
      </c>
      <c r="J423" s="34" t="n">
        <v>-99.49</v>
      </c>
      <c r="K423" s="34" t="n">
        <v>999.16</v>
      </c>
      <c r="L423" s="34" t="n">
        <f aca="false">AVERAGE(C423:E423)</f>
        <v>7.41333333333333</v>
      </c>
      <c r="M423" s="34" t="n">
        <f aca="false">AVERAGE(C423:J423)</f>
        <v>-55.115</v>
      </c>
    </row>
    <row r="424" customFormat="false" ht="15.75" hidden="false" customHeight="true" outlineLevel="0" collapsed="false">
      <c r="A424" s="34" t="s">
        <v>290</v>
      </c>
      <c r="B424" s="34" t="n">
        <v>962.5</v>
      </c>
      <c r="C424" s="34" t="n">
        <v>66.67</v>
      </c>
      <c r="D424" s="34" t="n">
        <v>92.22</v>
      </c>
      <c r="E424" s="34" t="n">
        <v>80.55</v>
      </c>
      <c r="F424" s="34" t="n">
        <v>-61.51</v>
      </c>
      <c r="G424" s="34" t="n">
        <v>-103.81</v>
      </c>
      <c r="H424" s="34" t="n">
        <v>-107.61</v>
      </c>
      <c r="I424" s="34" t="n">
        <v>-70.6</v>
      </c>
      <c r="J424" s="34" t="n">
        <v>-79.01</v>
      </c>
      <c r="K424" s="34" t="n">
        <v>1020.63</v>
      </c>
      <c r="L424" s="34" t="n">
        <f aca="false">AVERAGE(C424:E424)</f>
        <v>79.8133333333333</v>
      </c>
      <c r="M424" s="34" t="n">
        <f aca="false">AVERAGE(C424:J424)</f>
        <v>-22.8875</v>
      </c>
    </row>
    <row r="425" customFormat="false" ht="15.75" hidden="false" customHeight="true" outlineLevel="0" collapsed="false">
      <c r="A425" s="34" t="s">
        <v>858</v>
      </c>
      <c r="B425" s="34" t="n">
        <v>962.25</v>
      </c>
      <c r="C425" s="34" t="n">
        <v>66.67</v>
      </c>
      <c r="D425" s="34" t="n">
        <v>27.33</v>
      </c>
      <c r="E425" s="34" t="n">
        <v>-79.64</v>
      </c>
      <c r="F425" s="34" t="n">
        <v>-64.71</v>
      </c>
      <c r="G425" s="34" t="n">
        <v>6.44</v>
      </c>
      <c r="H425" s="34" t="n">
        <v>11.11</v>
      </c>
      <c r="I425" s="34" t="n">
        <v>23.25</v>
      </c>
      <c r="J425" s="34" t="n">
        <v>16.96</v>
      </c>
      <c r="K425" s="34" t="n">
        <v>1023.56</v>
      </c>
      <c r="L425" s="34" t="n">
        <f aca="false">AVERAGE(C425:E425)</f>
        <v>4.78666666666667</v>
      </c>
      <c r="M425" s="34" t="n">
        <f aca="false">AVERAGE(C425:J425)</f>
        <v>0.92625</v>
      </c>
    </row>
    <row r="426" customFormat="false" ht="15.75" hidden="false" customHeight="true" outlineLevel="0" collapsed="false">
      <c r="A426" s="34" t="s">
        <v>859</v>
      </c>
      <c r="B426" s="34" t="n">
        <v>961.2</v>
      </c>
      <c r="C426" s="34" t="n">
        <v>66.67</v>
      </c>
      <c r="D426" s="34" t="n">
        <v>18.23</v>
      </c>
      <c r="E426" s="34" t="n">
        <v>-66.83</v>
      </c>
      <c r="F426" s="34" t="n">
        <v>-5.11</v>
      </c>
      <c r="G426" s="34" t="n">
        <v>49.26</v>
      </c>
      <c r="H426" s="34" t="n">
        <v>84.38</v>
      </c>
      <c r="I426" s="34" t="n">
        <v>96.62</v>
      </c>
      <c r="J426" s="34" t="n">
        <v>114.1</v>
      </c>
      <c r="K426" s="34" t="n">
        <v>1049.77</v>
      </c>
      <c r="L426" s="34" t="n">
        <f aca="false">AVERAGE(C426:E426)</f>
        <v>6.02333333333334</v>
      </c>
      <c r="M426" s="34" t="n">
        <f aca="false">AVERAGE(C426:J426)</f>
        <v>44.665</v>
      </c>
    </row>
    <row r="427" customFormat="false" ht="15.75" hidden="false" customHeight="true" outlineLevel="0" collapsed="false">
      <c r="A427" s="34" t="s">
        <v>860</v>
      </c>
      <c r="B427" s="34" t="n">
        <v>960.2</v>
      </c>
      <c r="C427" s="34" t="n">
        <v>-66.67</v>
      </c>
      <c r="D427" s="34" t="n">
        <v>-118.95</v>
      </c>
      <c r="E427" s="34" t="n">
        <v>24.55</v>
      </c>
      <c r="F427" s="34" t="n">
        <v>-57.57</v>
      </c>
      <c r="G427" s="34" t="n">
        <v>-4.71</v>
      </c>
      <c r="H427" s="34" t="n">
        <v>43.98</v>
      </c>
      <c r="I427" s="34" t="n">
        <v>63.46</v>
      </c>
      <c r="J427" s="34" t="n">
        <v>79.71</v>
      </c>
      <c r="K427" s="34" t="n">
        <v>1016.65</v>
      </c>
      <c r="L427" s="34" t="n">
        <f aca="false">AVERAGE(C427:E427)</f>
        <v>-53.69</v>
      </c>
      <c r="M427" s="34" t="n">
        <f aca="false">AVERAGE(C427:J427)</f>
        <v>-4.525</v>
      </c>
    </row>
    <row r="428" customFormat="false" ht="15.75" hidden="false" customHeight="true" outlineLevel="0" collapsed="false">
      <c r="A428" s="34" t="s">
        <v>861</v>
      </c>
      <c r="B428" s="34" t="n">
        <v>957.6</v>
      </c>
      <c r="C428" s="34" t="n">
        <v>-66.67</v>
      </c>
      <c r="D428" s="34" t="n">
        <v>-89.09</v>
      </c>
      <c r="E428" s="34" t="n">
        <v>-42.17</v>
      </c>
      <c r="F428" s="34" t="n">
        <v>-86.01</v>
      </c>
      <c r="G428" s="34" t="n">
        <v>-149.6</v>
      </c>
      <c r="H428" s="34" t="n">
        <v>-176.37</v>
      </c>
      <c r="I428" s="34" t="n">
        <v>-206.81</v>
      </c>
      <c r="J428" s="34" t="n">
        <v>-203.41</v>
      </c>
      <c r="K428" s="34" t="n">
        <v>1012.14</v>
      </c>
      <c r="L428" s="34" t="n">
        <f aca="false">AVERAGE(C428:E428)</f>
        <v>-65.9766666666667</v>
      </c>
      <c r="M428" s="34" t="n">
        <f aca="false">AVERAGE(C428:J428)</f>
        <v>-127.51625</v>
      </c>
    </row>
    <row r="429" customFormat="false" ht="15.75" hidden="false" customHeight="true" outlineLevel="0" collapsed="false">
      <c r="A429" s="34" t="s">
        <v>242</v>
      </c>
      <c r="B429" s="34" t="n">
        <v>957.2</v>
      </c>
      <c r="C429" s="34" t="n">
        <v>-66.67</v>
      </c>
      <c r="D429" s="34" t="n">
        <v>-77.29</v>
      </c>
      <c r="E429" s="34" t="n">
        <v>57.31</v>
      </c>
      <c r="F429" s="34" t="n">
        <v>-50.64</v>
      </c>
      <c r="G429" s="34" t="n">
        <v>-81.3</v>
      </c>
      <c r="H429" s="34" t="n">
        <v>-44.53</v>
      </c>
      <c r="I429" s="34" t="n">
        <v>3.44</v>
      </c>
      <c r="J429" s="34" t="n">
        <v>0.877</v>
      </c>
      <c r="K429" s="34" t="n">
        <v>977.44</v>
      </c>
      <c r="L429" s="34" t="n">
        <f aca="false">AVERAGE(C429:E429)</f>
        <v>-28.8833333333333</v>
      </c>
      <c r="M429" s="34" t="n">
        <f aca="false">AVERAGE(C429:J429)</f>
        <v>-32.350375</v>
      </c>
    </row>
    <row r="430" customFormat="false" ht="15.75" hidden="false" customHeight="true" outlineLevel="0" collapsed="false">
      <c r="A430" s="34" t="s">
        <v>862</v>
      </c>
      <c r="B430" s="34" t="n">
        <v>955.3</v>
      </c>
      <c r="C430" s="34" t="n">
        <v>66.67</v>
      </c>
      <c r="D430" s="34" t="n">
        <v>122.92</v>
      </c>
      <c r="E430" s="34" t="n">
        <v>166.65</v>
      </c>
      <c r="F430" s="34" t="n">
        <v>222.68</v>
      </c>
      <c r="G430" s="34" t="n">
        <v>145.65</v>
      </c>
      <c r="H430" s="34" t="n">
        <v>158.76</v>
      </c>
      <c r="I430" s="34" t="n">
        <v>122.04</v>
      </c>
      <c r="J430" s="34" t="n">
        <v>123.07</v>
      </c>
      <c r="K430" s="34" t="n">
        <v>833.24</v>
      </c>
      <c r="L430" s="34" t="n">
        <f aca="false">AVERAGE(C430:E430)</f>
        <v>118.746666666667</v>
      </c>
      <c r="M430" s="34" t="n">
        <f aca="false">AVERAGE(C430:J430)</f>
        <v>141.055</v>
      </c>
    </row>
    <row r="431" customFormat="false" ht="15.75" hidden="false" customHeight="true" outlineLevel="0" collapsed="false">
      <c r="A431" s="34" t="s">
        <v>459</v>
      </c>
      <c r="B431" s="34" t="n">
        <v>954.6</v>
      </c>
      <c r="C431" s="34" t="n">
        <v>-66.67</v>
      </c>
      <c r="D431" s="34" t="n">
        <v>43.79</v>
      </c>
      <c r="E431" s="34" t="n">
        <v>75.03</v>
      </c>
      <c r="F431" s="34" t="n">
        <v>-64.34</v>
      </c>
      <c r="G431" s="34" t="n">
        <v>-93.43</v>
      </c>
      <c r="H431" s="34" t="n">
        <v>-113.71</v>
      </c>
      <c r="I431" s="34" t="n">
        <v>-90.78</v>
      </c>
      <c r="J431" s="34" t="n">
        <v>-88</v>
      </c>
      <c r="K431" s="34" t="n">
        <v>977.25</v>
      </c>
      <c r="L431" s="34" t="n">
        <f aca="false">AVERAGE(C431:E431)</f>
        <v>17.3833333333333</v>
      </c>
      <c r="M431" s="34" t="n">
        <f aca="false">AVERAGE(C431:J431)</f>
        <v>-49.76375</v>
      </c>
    </row>
    <row r="432" customFormat="false" ht="15.75" hidden="false" customHeight="true" outlineLevel="0" collapsed="false">
      <c r="A432" s="34" t="s">
        <v>863</v>
      </c>
      <c r="B432" s="34" t="n">
        <v>950.05</v>
      </c>
      <c r="C432" s="34" t="n">
        <v>66.67</v>
      </c>
      <c r="D432" s="34" t="n">
        <v>86.12</v>
      </c>
      <c r="E432" s="34" t="n">
        <v>100.99</v>
      </c>
      <c r="F432" s="34" t="n">
        <v>-28.27</v>
      </c>
      <c r="G432" s="34" t="n">
        <v>-83.46</v>
      </c>
      <c r="H432" s="34" t="n">
        <v>-58.76</v>
      </c>
      <c r="I432" s="34" t="n">
        <v>-63.03</v>
      </c>
      <c r="J432" s="34" t="n">
        <v>-75.85</v>
      </c>
      <c r="K432" s="34" t="n">
        <v>984.03</v>
      </c>
      <c r="L432" s="34" t="n">
        <f aca="false">AVERAGE(C432:E432)</f>
        <v>84.5933333333334</v>
      </c>
      <c r="M432" s="34" t="n">
        <f aca="false">AVERAGE(C432:J432)</f>
        <v>-6.94874999999999</v>
      </c>
    </row>
    <row r="433" customFormat="false" ht="15.75" hidden="false" customHeight="true" outlineLevel="0" collapsed="false">
      <c r="A433" s="34" t="s">
        <v>864</v>
      </c>
      <c r="B433" s="34" t="n">
        <v>948.95</v>
      </c>
      <c r="C433" s="34" t="n">
        <v>-66.67</v>
      </c>
      <c r="D433" s="34" t="n">
        <v>-60.38</v>
      </c>
      <c r="E433" s="34" t="n">
        <v>-4.96</v>
      </c>
      <c r="F433" s="34" t="n">
        <v>-2.8</v>
      </c>
      <c r="G433" s="34" t="n">
        <v>-54.55</v>
      </c>
      <c r="H433" s="34" t="n">
        <v>-47.26</v>
      </c>
      <c r="I433" s="34" t="n">
        <v>-42.37</v>
      </c>
      <c r="J433" s="34" t="n">
        <v>-55.68</v>
      </c>
      <c r="K433" s="34" t="n">
        <v>894.3</v>
      </c>
      <c r="L433" s="34" t="n">
        <f aca="false">AVERAGE(C433:E433)</f>
        <v>-44.0033333333333</v>
      </c>
      <c r="M433" s="34" t="n">
        <f aca="false">AVERAGE(C433:J433)</f>
        <v>-41.83375</v>
      </c>
    </row>
    <row r="434" customFormat="false" ht="15.75" hidden="false" customHeight="true" outlineLevel="0" collapsed="false">
      <c r="A434" s="34" t="s">
        <v>472</v>
      </c>
      <c r="B434" s="34" t="n">
        <v>948.9</v>
      </c>
      <c r="C434" s="34" t="n">
        <v>66.67</v>
      </c>
      <c r="D434" s="34" t="n">
        <v>-57.61</v>
      </c>
      <c r="E434" s="34" t="n">
        <v>65.06</v>
      </c>
      <c r="F434" s="34" t="n">
        <v>129.77</v>
      </c>
      <c r="G434" s="34" t="n">
        <v>133.7</v>
      </c>
      <c r="H434" s="34" t="n">
        <v>114.45</v>
      </c>
      <c r="I434" s="34" t="n">
        <v>101.86</v>
      </c>
      <c r="J434" s="34" t="n">
        <v>100.24</v>
      </c>
      <c r="K434" s="34" t="n">
        <v>897.96</v>
      </c>
      <c r="L434" s="34" t="n">
        <f aca="false">AVERAGE(C434:E434)</f>
        <v>24.7066666666667</v>
      </c>
      <c r="M434" s="34" t="n">
        <f aca="false">AVERAGE(C434:J434)</f>
        <v>81.7675</v>
      </c>
    </row>
    <row r="435" customFormat="false" ht="15.75" hidden="false" customHeight="true" outlineLevel="0" collapsed="false">
      <c r="A435" s="34" t="s">
        <v>865</v>
      </c>
      <c r="B435" s="34" t="n">
        <v>945.5</v>
      </c>
      <c r="C435" s="34" t="n">
        <v>-66.67</v>
      </c>
      <c r="D435" s="34" t="n">
        <v>31.61</v>
      </c>
      <c r="E435" s="34" t="n">
        <v>-30.91</v>
      </c>
      <c r="F435" s="34" t="n">
        <v>-33.64</v>
      </c>
      <c r="G435" s="34" t="n">
        <v>-61.78</v>
      </c>
      <c r="H435" s="34" t="n">
        <v>38.67</v>
      </c>
      <c r="I435" s="34" t="n">
        <v>56.16</v>
      </c>
      <c r="J435" s="34" t="n">
        <v>39.95</v>
      </c>
      <c r="K435" s="34" t="n">
        <v>920.51</v>
      </c>
      <c r="L435" s="34" t="n">
        <f aca="false">AVERAGE(C435:E435)</f>
        <v>-21.99</v>
      </c>
      <c r="M435" s="34" t="n">
        <f aca="false">AVERAGE(C435:J435)</f>
        <v>-3.32625</v>
      </c>
    </row>
    <row r="436" customFormat="false" ht="15.75" hidden="false" customHeight="true" outlineLevel="0" collapsed="false">
      <c r="A436" s="34" t="s">
        <v>866</v>
      </c>
      <c r="B436" s="34" t="n">
        <v>943.95</v>
      </c>
      <c r="C436" s="34" t="n">
        <v>66.67</v>
      </c>
      <c r="D436" s="34" t="n">
        <v>113.67</v>
      </c>
      <c r="E436" s="34" t="n">
        <v>106.45</v>
      </c>
      <c r="F436" s="34" t="n">
        <v>54.13</v>
      </c>
      <c r="G436" s="34" t="n">
        <v>95.23</v>
      </c>
      <c r="H436" s="34" t="n">
        <v>132.12</v>
      </c>
      <c r="I436" s="34" t="n">
        <v>137.38</v>
      </c>
      <c r="J436" s="34" t="n">
        <v>121.03</v>
      </c>
      <c r="K436" s="34" t="n">
        <v>972.41</v>
      </c>
      <c r="L436" s="34" t="n">
        <f aca="false">AVERAGE(C436:E436)</f>
        <v>95.5966666666667</v>
      </c>
      <c r="M436" s="34" t="n">
        <f aca="false">AVERAGE(C436:J436)</f>
        <v>103.335</v>
      </c>
    </row>
    <row r="437" customFormat="false" ht="15.75" hidden="false" customHeight="true" outlineLevel="0" collapsed="false">
      <c r="A437" s="34" t="s">
        <v>516</v>
      </c>
      <c r="B437" s="34" t="n">
        <v>940</v>
      </c>
      <c r="C437" s="34" t="n">
        <v>-66.67</v>
      </c>
      <c r="D437" s="34" t="n">
        <v>-108.36</v>
      </c>
      <c r="E437" s="34" t="n">
        <v>-134.89</v>
      </c>
      <c r="F437" s="34" t="n">
        <v>-1.56</v>
      </c>
      <c r="G437" s="34" t="n">
        <v>59.36</v>
      </c>
      <c r="H437" s="34" t="n">
        <v>80.91</v>
      </c>
      <c r="I437" s="34" t="n">
        <v>100.2</v>
      </c>
      <c r="J437" s="34" t="n">
        <v>103.1</v>
      </c>
      <c r="K437" s="34" t="n">
        <v>933.37</v>
      </c>
      <c r="L437" s="34" t="n">
        <f aca="false">AVERAGE(C437:E437)</f>
        <v>-103.306666666667</v>
      </c>
      <c r="M437" s="34" t="n">
        <f aca="false">AVERAGE(C437:J437)</f>
        <v>4.01125000000001</v>
      </c>
    </row>
    <row r="438" customFormat="false" ht="15.75" hidden="false" customHeight="true" outlineLevel="0" collapsed="false">
      <c r="A438" s="34" t="s">
        <v>169</v>
      </c>
      <c r="B438" s="34" t="n">
        <v>938.05</v>
      </c>
      <c r="C438" s="34" t="n">
        <v>-66.67</v>
      </c>
      <c r="D438" s="34" t="n">
        <v>-78.25</v>
      </c>
      <c r="E438" s="34" t="n">
        <v>-91.58</v>
      </c>
      <c r="F438" s="34" t="n">
        <v>-46.66</v>
      </c>
      <c r="G438" s="34" t="n">
        <v>2.7</v>
      </c>
      <c r="H438" s="34" t="n">
        <v>49.67</v>
      </c>
      <c r="I438" s="34" t="n">
        <v>67.02</v>
      </c>
      <c r="J438" s="34" t="n">
        <v>59.14</v>
      </c>
      <c r="K438" s="34" t="n">
        <v>976.58</v>
      </c>
      <c r="L438" s="34" t="n">
        <f aca="false">AVERAGE(C438:E438)</f>
        <v>-78.8333333333333</v>
      </c>
      <c r="M438" s="34" t="n">
        <f aca="false">AVERAGE(C438:J438)</f>
        <v>-13.07875</v>
      </c>
    </row>
    <row r="439" customFormat="false" ht="15.75" hidden="false" customHeight="true" outlineLevel="0" collapsed="false">
      <c r="A439" s="34" t="s">
        <v>350</v>
      </c>
      <c r="B439" s="34" t="n">
        <v>934.4</v>
      </c>
      <c r="C439" s="34" t="n">
        <v>-66.67</v>
      </c>
      <c r="D439" s="34" t="n">
        <v>-100.61</v>
      </c>
      <c r="E439" s="34" t="n">
        <v>14.36</v>
      </c>
      <c r="F439" s="34" t="n">
        <v>100.91</v>
      </c>
      <c r="G439" s="34" t="n">
        <v>150.4</v>
      </c>
      <c r="H439" s="34" t="n">
        <v>165.85</v>
      </c>
      <c r="I439" s="34" t="n">
        <v>170.36</v>
      </c>
      <c r="J439" s="34" t="n">
        <v>185.38</v>
      </c>
      <c r="K439" s="34" t="n">
        <v>915.28</v>
      </c>
      <c r="L439" s="34" t="n">
        <f aca="false">AVERAGE(C439:E439)</f>
        <v>-50.9733333333333</v>
      </c>
      <c r="M439" s="34" t="n">
        <f aca="false">AVERAGE(C439:J439)</f>
        <v>77.4975</v>
      </c>
    </row>
    <row r="440" customFormat="false" ht="15.75" hidden="false" customHeight="true" outlineLevel="0" collapsed="false">
      <c r="A440" s="34" t="s">
        <v>867</v>
      </c>
      <c r="B440" s="34" t="n">
        <v>931.8</v>
      </c>
      <c r="C440" s="34" t="n">
        <v>-66.67</v>
      </c>
      <c r="D440" s="34" t="n">
        <v>42.55</v>
      </c>
      <c r="E440" s="34" t="n">
        <v>47.3</v>
      </c>
      <c r="F440" s="34" t="n">
        <v>-15.38</v>
      </c>
      <c r="G440" s="34" t="n">
        <v>-28.93</v>
      </c>
      <c r="H440" s="34" t="n">
        <v>19.45</v>
      </c>
      <c r="I440" s="34" t="n">
        <v>45.55</v>
      </c>
      <c r="J440" s="34" t="n">
        <v>60.24</v>
      </c>
      <c r="K440" s="34" t="n">
        <v>944.4</v>
      </c>
      <c r="L440" s="34" t="n">
        <f aca="false">AVERAGE(C440:E440)</f>
        <v>7.72666666666666</v>
      </c>
      <c r="M440" s="34" t="n">
        <f aca="false">AVERAGE(C440:J440)</f>
        <v>13.01375</v>
      </c>
    </row>
    <row r="441" customFormat="false" ht="15.75" hidden="false" customHeight="true" outlineLevel="0" collapsed="false">
      <c r="A441" s="34" t="s">
        <v>868</v>
      </c>
      <c r="B441" s="34" t="n">
        <v>930.8</v>
      </c>
      <c r="C441" s="34" t="n">
        <v>-66.67</v>
      </c>
      <c r="D441" s="34" t="n">
        <v>-26.98</v>
      </c>
      <c r="E441" s="34" t="n">
        <v>-89.16</v>
      </c>
      <c r="F441" s="34" t="n">
        <v>-99.86</v>
      </c>
      <c r="G441" s="34" t="n">
        <v>-68.8</v>
      </c>
      <c r="H441" s="34" t="n">
        <v>-25.57</v>
      </c>
      <c r="I441" s="34" t="n">
        <v>24.21</v>
      </c>
      <c r="J441" s="34" t="n">
        <v>41.31</v>
      </c>
      <c r="K441" s="34" t="n">
        <v>996.34</v>
      </c>
      <c r="L441" s="34" t="n">
        <f aca="false">AVERAGE(C441:E441)</f>
        <v>-60.9366666666667</v>
      </c>
      <c r="M441" s="34" t="n">
        <f aca="false">AVERAGE(C441:J441)</f>
        <v>-38.94</v>
      </c>
    </row>
    <row r="442" customFormat="false" ht="15.75" hidden="false" customHeight="true" outlineLevel="0" collapsed="false">
      <c r="A442" s="34" t="s">
        <v>482</v>
      </c>
      <c r="B442" s="34" t="n">
        <v>929.25</v>
      </c>
      <c r="C442" s="34" t="n">
        <v>-66.67</v>
      </c>
      <c r="D442" s="34" t="n">
        <v>-120.04</v>
      </c>
      <c r="E442" s="34" t="n">
        <v>5.01</v>
      </c>
      <c r="F442" s="34" t="n">
        <v>41.54</v>
      </c>
      <c r="G442" s="34" t="n">
        <v>68.57</v>
      </c>
      <c r="H442" s="34" t="n">
        <v>82.27</v>
      </c>
      <c r="I442" s="34" t="n">
        <v>89.87</v>
      </c>
      <c r="J442" s="34" t="n">
        <v>102.95</v>
      </c>
      <c r="K442" s="34" t="n">
        <v>911.15</v>
      </c>
      <c r="L442" s="34" t="n">
        <f aca="false">AVERAGE(C442:E442)</f>
        <v>-60.5666666666667</v>
      </c>
      <c r="M442" s="34" t="n">
        <f aca="false">AVERAGE(C442:J442)</f>
        <v>25.4375</v>
      </c>
    </row>
    <row r="443" customFormat="false" ht="15.75" hidden="false" customHeight="true" outlineLevel="0" collapsed="false">
      <c r="A443" s="34" t="s">
        <v>319</v>
      </c>
      <c r="B443" s="34" t="n">
        <v>929</v>
      </c>
      <c r="C443" s="34" t="n">
        <v>-66.67</v>
      </c>
      <c r="D443" s="34" t="n">
        <v>4.66</v>
      </c>
      <c r="E443" s="34" t="n">
        <v>81.7</v>
      </c>
      <c r="F443" s="34" t="n">
        <v>1.21</v>
      </c>
      <c r="G443" s="34" t="n">
        <v>-30.83</v>
      </c>
      <c r="H443" s="34" t="n">
        <v>-64.64</v>
      </c>
      <c r="I443" s="34" t="n">
        <v>-57.73</v>
      </c>
      <c r="J443" s="34" t="n">
        <v>-65.6</v>
      </c>
      <c r="K443" s="34" t="n">
        <v>884.82</v>
      </c>
      <c r="L443" s="34" t="n">
        <f aca="false">AVERAGE(C443:E443)</f>
        <v>6.56333333333333</v>
      </c>
      <c r="M443" s="34" t="n">
        <f aca="false">AVERAGE(C443:J443)</f>
        <v>-24.7375</v>
      </c>
    </row>
    <row r="444" customFormat="false" ht="15.75" hidden="false" customHeight="true" outlineLevel="0" collapsed="false">
      <c r="A444" s="34" t="s">
        <v>869</v>
      </c>
      <c r="B444" s="34" t="n">
        <v>925.9</v>
      </c>
      <c r="C444" s="34" t="n">
        <v>66.67</v>
      </c>
      <c r="D444" s="34" t="n">
        <v>97.07</v>
      </c>
      <c r="E444" s="34" t="n">
        <v>119.69</v>
      </c>
      <c r="F444" s="34" t="n">
        <v>158.97</v>
      </c>
      <c r="G444" s="34" t="n">
        <v>207.07</v>
      </c>
      <c r="H444" s="34" t="n">
        <v>220.18</v>
      </c>
      <c r="I444" s="34" t="n">
        <v>247.96</v>
      </c>
      <c r="J444" s="34" t="n">
        <v>261.35</v>
      </c>
      <c r="K444" s="34" t="n">
        <v>862.51</v>
      </c>
      <c r="L444" s="34" t="n">
        <f aca="false">AVERAGE(C444:E444)</f>
        <v>94.4766666666667</v>
      </c>
      <c r="M444" s="34" t="n">
        <f aca="false">AVERAGE(C444:J444)</f>
        <v>172.37</v>
      </c>
    </row>
    <row r="445" customFormat="false" ht="15.75" hidden="false" customHeight="true" outlineLevel="0" collapsed="false">
      <c r="A445" s="34" t="s">
        <v>445</v>
      </c>
      <c r="B445" s="34" t="n">
        <v>925.05</v>
      </c>
      <c r="C445" s="34" t="n">
        <v>-66.67</v>
      </c>
      <c r="D445" s="34" t="n">
        <v>-133.33</v>
      </c>
      <c r="E445" s="34" t="n">
        <v>35.06</v>
      </c>
      <c r="F445" s="34" t="n">
        <v>-56.79</v>
      </c>
      <c r="G445" s="34" t="n">
        <v>20.43</v>
      </c>
      <c r="H445" s="34" t="n">
        <v>49.36</v>
      </c>
      <c r="I445" s="34" t="n">
        <v>73.39</v>
      </c>
      <c r="J445" s="34" t="n">
        <v>91.9</v>
      </c>
      <c r="K445" s="34" t="n">
        <v>954.65</v>
      </c>
      <c r="L445" s="34" t="n">
        <f aca="false">AVERAGE(C445:E445)</f>
        <v>-54.98</v>
      </c>
      <c r="M445" s="34" t="n">
        <f aca="false">AVERAGE(C445:J445)</f>
        <v>1.66875</v>
      </c>
    </row>
    <row r="446" customFormat="false" ht="15.75" hidden="false" customHeight="true" outlineLevel="0" collapsed="false">
      <c r="A446" s="34" t="s">
        <v>870</v>
      </c>
      <c r="B446" s="34" t="n">
        <v>919.7</v>
      </c>
      <c r="C446" s="34" t="n">
        <v>-66.67</v>
      </c>
      <c r="D446" s="34" t="n">
        <v>-85.77</v>
      </c>
      <c r="E446" s="34" t="n">
        <v>-74.58</v>
      </c>
      <c r="F446" s="34" t="n">
        <v>-143.94</v>
      </c>
      <c r="G446" s="34" t="n">
        <v>-145.53</v>
      </c>
      <c r="H446" s="34" t="n">
        <v>-38.65</v>
      </c>
      <c r="I446" s="34" t="n">
        <v>-9.99</v>
      </c>
      <c r="J446" s="34" t="n">
        <v>4.44</v>
      </c>
      <c r="K446" s="34" t="n">
        <v>973.87</v>
      </c>
      <c r="L446" s="34" t="n">
        <f aca="false">AVERAGE(C446:E446)</f>
        <v>-75.6733333333333</v>
      </c>
      <c r="M446" s="34" t="n">
        <f aca="false">AVERAGE(C446:J446)</f>
        <v>-70.08625</v>
      </c>
    </row>
    <row r="447" customFormat="false" ht="15.75" hidden="false" customHeight="true" outlineLevel="0" collapsed="false">
      <c r="A447" s="34" t="s">
        <v>871</v>
      </c>
      <c r="B447" s="34" t="n">
        <v>915.55</v>
      </c>
      <c r="C447" s="34" t="n">
        <v>-66.67</v>
      </c>
      <c r="D447" s="34" t="n">
        <v>-83.11</v>
      </c>
      <c r="E447" s="34" t="n">
        <v>-59.12</v>
      </c>
      <c r="F447" s="34" t="n">
        <v>-119.18</v>
      </c>
      <c r="G447" s="34" t="n">
        <v>-158.69</v>
      </c>
      <c r="H447" s="34" t="n">
        <v>-88.73</v>
      </c>
      <c r="I447" s="34" t="n">
        <v>-42.57</v>
      </c>
      <c r="J447" s="34" t="n">
        <v>-46.11</v>
      </c>
      <c r="K447" s="34" t="n">
        <v>994.23</v>
      </c>
      <c r="L447" s="34" t="n">
        <f aca="false">AVERAGE(C447:E447)</f>
        <v>-69.6333333333333</v>
      </c>
      <c r="M447" s="34" t="n">
        <f aca="false">AVERAGE(C447:J447)</f>
        <v>-83.0225</v>
      </c>
    </row>
    <row r="448" customFormat="false" ht="15.75" hidden="false" customHeight="true" outlineLevel="0" collapsed="false">
      <c r="A448" s="34" t="s">
        <v>872</v>
      </c>
      <c r="B448" s="34" t="n">
        <v>915</v>
      </c>
      <c r="C448" s="34" t="n">
        <v>66.67</v>
      </c>
      <c r="D448" s="34" t="n">
        <v>133.33</v>
      </c>
      <c r="E448" s="34" t="n">
        <v>128.51</v>
      </c>
      <c r="F448" s="34" t="n">
        <v>157.45</v>
      </c>
      <c r="G448" s="34" t="n">
        <v>122.81</v>
      </c>
      <c r="H448" s="34" t="n">
        <v>36.78</v>
      </c>
      <c r="I448" s="34" t="n">
        <v>-1.08</v>
      </c>
      <c r="J448" s="34" t="n">
        <v>-18.21</v>
      </c>
      <c r="K448" s="34" t="n">
        <v>817.72</v>
      </c>
      <c r="L448" s="34" t="n">
        <f aca="false">AVERAGE(C448:E448)</f>
        <v>109.503333333333</v>
      </c>
      <c r="M448" s="34" t="n">
        <f aca="false">AVERAGE(C448:J448)</f>
        <v>78.2825</v>
      </c>
    </row>
    <row r="449" customFormat="false" ht="15.75" hidden="false" customHeight="true" outlineLevel="0" collapsed="false">
      <c r="A449" s="34" t="s">
        <v>873</v>
      </c>
      <c r="B449" s="34" t="n">
        <v>915</v>
      </c>
      <c r="C449" s="34" t="n">
        <v>-66.67</v>
      </c>
      <c r="D449" s="34" t="n">
        <v>-81.83</v>
      </c>
      <c r="E449" s="34" t="n">
        <v>-24.38</v>
      </c>
      <c r="F449" s="34" t="n">
        <v>-78.46</v>
      </c>
      <c r="G449" s="34" t="n">
        <v>-130.9</v>
      </c>
      <c r="H449" s="34" t="n">
        <v>-136.3</v>
      </c>
      <c r="I449" s="34" t="n">
        <v>-163.01</v>
      </c>
      <c r="J449" s="34" t="n">
        <v>-177.05</v>
      </c>
      <c r="K449" s="34" t="n">
        <v>976.47</v>
      </c>
      <c r="L449" s="34" t="n">
        <f aca="false">AVERAGE(C449:E449)</f>
        <v>-57.6266666666667</v>
      </c>
      <c r="M449" s="34" t="n">
        <f aca="false">AVERAGE(C449:J449)</f>
        <v>-107.325</v>
      </c>
    </row>
    <row r="450" customFormat="false" ht="15.75" hidden="false" customHeight="true" outlineLevel="0" collapsed="false">
      <c r="A450" s="34" t="s">
        <v>874</v>
      </c>
      <c r="B450" s="34" t="n">
        <v>913</v>
      </c>
      <c r="C450" s="34" t="n">
        <v>-66.67</v>
      </c>
      <c r="D450" s="34" t="n">
        <v>-18.55</v>
      </c>
      <c r="E450" s="34" t="n">
        <v>77.91</v>
      </c>
      <c r="F450" s="34" t="n">
        <v>-18.22</v>
      </c>
      <c r="G450" s="34" t="n">
        <v>-24.13</v>
      </c>
      <c r="H450" s="34" t="n">
        <v>27.66</v>
      </c>
      <c r="I450" s="34" t="n">
        <v>49.76</v>
      </c>
      <c r="J450" s="34" t="n">
        <v>37.63</v>
      </c>
      <c r="K450" s="34" t="n">
        <v>953.96</v>
      </c>
      <c r="L450" s="34" t="n">
        <f aca="false">AVERAGE(C450:E450)</f>
        <v>-2.43666666666667</v>
      </c>
      <c r="M450" s="34" t="n">
        <f aca="false">AVERAGE(C450:J450)</f>
        <v>8.17375</v>
      </c>
    </row>
    <row r="451" customFormat="false" ht="15.75" hidden="false" customHeight="true" outlineLevel="0" collapsed="false">
      <c r="A451" s="34" t="s">
        <v>875</v>
      </c>
      <c r="B451" s="34" t="n">
        <v>911.25</v>
      </c>
      <c r="C451" s="34" t="n">
        <v>66.67</v>
      </c>
      <c r="D451" s="34" t="n">
        <v>133.33</v>
      </c>
      <c r="E451" s="34" t="n">
        <v>6.72</v>
      </c>
      <c r="F451" s="34" t="n">
        <v>28.81</v>
      </c>
      <c r="G451" s="34" t="n">
        <v>60.96</v>
      </c>
      <c r="H451" s="34" t="n">
        <v>55.15</v>
      </c>
      <c r="I451" s="34" t="n">
        <v>60.86</v>
      </c>
      <c r="J451" s="34" t="n">
        <v>33.66</v>
      </c>
      <c r="K451" s="34" t="n">
        <v>862.2</v>
      </c>
      <c r="L451" s="34" t="n">
        <f aca="false">AVERAGE(C451:E451)</f>
        <v>68.9066666666667</v>
      </c>
      <c r="M451" s="34" t="n">
        <f aca="false">AVERAGE(C451:J451)</f>
        <v>55.77</v>
      </c>
    </row>
    <row r="452" customFormat="false" ht="15.75" hidden="false" customHeight="true" outlineLevel="0" collapsed="false">
      <c r="A452" s="34" t="s">
        <v>876</v>
      </c>
      <c r="B452" s="34" t="n">
        <v>910.65</v>
      </c>
      <c r="C452" s="34" t="n">
        <v>-66.67</v>
      </c>
      <c r="D452" s="34" t="n">
        <v>-98.34</v>
      </c>
      <c r="E452" s="34" t="n">
        <v>-129.91</v>
      </c>
      <c r="F452" s="34" t="n">
        <v>-67.85</v>
      </c>
      <c r="G452" s="34" t="n">
        <v>7.59</v>
      </c>
      <c r="H452" s="34" t="n">
        <v>35.37</v>
      </c>
      <c r="I452" s="34" t="n">
        <v>65.21</v>
      </c>
      <c r="J452" s="34" t="n">
        <v>66.63</v>
      </c>
      <c r="K452" s="34" t="n">
        <v>954.32</v>
      </c>
      <c r="L452" s="34" t="n">
        <f aca="false">AVERAGE(C452:E452)</f>
        <v>-98.3066666666667</v>
      </c>
      <c r="M452" s="34" t="n">
        <f aca="false">AVERAGE(C452:J452)</f>
        <v>-23.49625</v>
      </c>
    </row>
    <row r="453" customFormat="false" ht="15.75" hidden="false" customHeight="true" outlineLevel="0" collapsed="false">
      <c r="A453" s="34" t="s">
        <v>877</v>
      </c>
      <c r="B453" s="34" t="n">
        <v>908</v>
      </c>
      <c r="C453" s="34" t="n">
        <v>66.67</v>
      </c>
      <c r="D453" s="34" t="n">
        <v>133.33</v>
      </c>
      <c r="E453" s="34" t="n">
        <v>286.9</v>
      </c>
      <c r="F453" s="34" t="n">
        <v>21.19</v>
      </c>
      <c r="G453" s="34" t="n">
        <v>32.32</v>
      </c>
      <c r="H453" s="34" t="n">
        <v>64.9</v>
      </c>
      <c r="I453" s="34" t="n">
        <v>85.49</v>
      </c>
      <c r="J453" s="34" t="n">
        <v>52.94</v>
      </c>
      <c r="K453" s="34" t="n">
        <v>773.57</v>
      </c>
      <c r="L453" s="34" t="n">
        <f aca="false">AVERAGE(C453:E453)</f>
        <v>162.3</v>
      </c>
      <c r="M453" s="34" t="n">
        <f aca="false">AVERAGE(C453:J453)</f>
        <v>92.9675</v>
      </c>
    </row>
    <row r="454" customFormat="false" ht="15.75" hidden="false" customHeight="true" outlineLevel="0" collapsed="false">
      <c r="A454" s="34" t="s">
        <v>878</v>
      </c>
      <c r="B454" s="34" t="n">
        <v>904.55</v>
      </c>
      <c r="C454" s="34" t="n">
        <v>-66.67</v>
      </c>
      <c r="D454" s="34" t="n">
        <v>3.96</v>
      </c>
      <c r="E454" s="34" t="n">
        <v>78.34</v>
      </c>
      <c r="F454" s="34" t="n">
        <v>24.9</v>
      </c>
      <c r="G454" s="34" t="n">
        <v>-34.69</v>
      </c>
      <c r="H454" s="34" t="n">
        <v>-6.42</v>
      </c>
      <c r="I454" s="34" t="n">
        <v>27.19</v>
      </c>
      <c r="J454" s="34" t="n">
        <v>15.57</v>
      </c>
      <c r="K454" s="34" t="n">
        <v>863.48</v>
      </c>
      <c r="L454" s="34" t="n">
        <f aca="false">AVERAGE(C454:E454)</f>
        <v>5.21</v>
      </c>
      <c r="M454" s="34" t="n">
        <f aca="false">AVERAGE(C454:J454)</f>
        <v>5.2725</v>
      </c>
    </row>
    <row r="455" customFormat="false" ht="15.75" hidden="false" customHeight="true" outlineLevel="0" collapsed="false">
      <c r="A455" s="34" t="s">
        <v>879</v>
      </c>
      <c r="B455" s="34" t="n">
        <v>901</v>
      </c>
      <c r="C455" s="34" t="n">
        <v>-66.67</v>
      </c>
      <c r="D455" s="34" t="n">
        <v>-133.33</v>
      </c>
      <c r="E455" s="34" t="n">
        <v>36.51</v>
      </c>
      <c r="F455" s="34" t="n">
        <v>-44.41</v>
      </c>
      <c r="G455" s="34" t="n">
        <v>-95.22</v>
      </c>
      <c r="H455" s="34" t="n">
        <v>-60.99</v>
      </c>
      <c r="I455" s="34" t="n">
        <v>-53.96</v>
      </c>
      <c r="J455" s="34" t="n">
        <v>-70.11</v>
      </c>
      <c r="K455" s="34" t="n">
        <v>935.95</v>
      </c>
      <c r="L455" s="34" t="n">
        <f aca="false">AVERAGE(C455:E455)</f>
        <v>-54.4966666666667</v>
      </c>
      <c r="M455" s="34" t="n">
        <f aca="false">AVERAGE(C455:J455)</f>
        <v>-61.0225</v>
      </c>
    </row>
    <row r="456" customFormat="false" ht="15.75" hidden="false" customHeight="true" outlineLevel="0" collapsed="false">
      <c r="A456" s="34" t="s">
        <v>880</v>
      </c>
      <c r="B456" s="34" t="n">
        <v>899</v>
      </c>
      <c r="C456" s="34" t="n">
        <v>-66.67</v>
      </c>
      <c r="D456" s="34" t="n">
        <v>-75.45</v>
      </c>
      <c r="E456" s="34" t="n">
        <v>67.63</v>
      </c>
      <c r="F456" s="34" t="n">
        <v>69.68</v>
      </c>
      <c r="G456" s="34" t="n">
        <v>72.27</v>
      </c>
      <c r="H456" s="34" t="n">
        <v>70.88</v>
      </c>
      <c r="I456" s="34" t="n">
        <v>80.81</v>
      </c>
      <c r="J456" s="34" t="n">
        <v>97.34</v>
      </c>
      <c r="K456" s="34" t="n">
        <v>833.86</v>
      </c>
      <c r="L456" s="34" t="n">
        <f aca="false">AVERAGE(C456:E456)</f>
        <v>-24.83</v>
      </c>
      <c r="M456" s="34" t="n">
        <f aca="false">AVERAGE(C456:J456)</f>
        <v>39.56125</v>
      </c>
    </row>
    <row r="457" customFormat="false" ht="15.75" hidden="false" customHeight="true" outlineLevel="0" collapsed="false">
      <c r="A457" s="34" t="s">
        <v>881</v>
      </c>
      <c r="B457" s="34" t="n">
        <v>895.15</v>
      </c>
      <c r="C457" s="34" t="n">
        <v>-66.67</v>
      </c>
      <c r="D457" s="34" t="n">
        <v>-87.07</v>
      </c>
      <c r="E457" s="34" t="n">
        <v>27.59</v>
      </c>
      <c r="F457" s="34" t="n">
        <v>-0.507</v>
      </c>
      <c r="G457" s="34" t="n">
        <v>-22.24</v>
      </c>
      <c r="H457" s="34" t="n">
        <v>28.82</v>
      </c>
      <c r="I457" s="34" t="n">
        <v>40.35</v>
      </c>
      <c r="J457" s="34" t="n">
        <v>26.68</v>
      </c>
      <c r="K457" s="34" t="n">
        <v>852.71</v>
      </c>
      <c r="L457" s="34" t="n">
        <f aca="false">AVERAGE(C457:E457)</f>
        <v>-42.05</v>
      </c>
      <c r="M457" s="34" t="n">
        <f aca="false">AVERAGE(C457:J457)</f>
        <v>-6.630875</v>
      </c>
    </row>
    <row r="458" customFormat="false" ht="15.75" hidden="false" customHeight="true" outlineLevel="0" collapsed="false">
      <c r="A458" s="34" t="s">
        <v>882</v>
      </c>
      <c r="B458" s="34" t="n">
        <v>895</v>
      </c>
      <c r="C458" s="34" t="n">
        <v>-66.67</v>
      </c>
      <c r="D458" s="34" t="n">
        <v>-81.86</v>
      </c>
      <c r="E458" s="34" t="n">
        <v>65.89</v>
      </c>
      <c r="F458" s="34" t="n">
        <v>-22.06</v>
      </c>
      <c r="G458" s="34" t="n">
        <v>-71.26</v>
      </c>
      <c r="H458" s="34" t="n">
        <v>-102.92</v>
      </c>
      <c r="I458" s="34" t="n">
        <v>-123.71</v>
      </c>
      <c r="J458" s="34" t="n">
        <v>-99.1</v>
      </c>
      <c r="K458" s="34" t="n">
        <v>918.97</v>
      </c>
      <c r="L458" s="34" t="n">
        <f aca="false">AVERAGE(C458:E458)</f>
        <v>-27.5466666666667</v>
      </c>
      <c r="M458" s="34" t="n">
        <f aca="false">AVERAGE(C458:J458)</f>
        <v>-62.71125</v>
      </c>
    </row>
    <row r="459" customFormat="false" ht="15.75" hidden="false" customHeight="true" outlineLevel="0" collapsed="false">
      <c r="A459" s="34" t="s">
        <v>140</v>
      </c>
      <c r="B459" s="34" t="n">
        <v>894.5</v>
      </c>
      <c r="C459" s="34" t="n">
        <v>66.67</v>
      </c>
      <c r="D459" s="34" t="n">
        <v>21.55</v>
      </c>
      <c r="E459" s="34" t="n">
        <v>67.39</v>
      </c>
      <c r="F459" s="34" t="n">
        <v>-15.25</v>
      </c>
      <c r="G459" s="34" t="n">
        <v>-51.65</v>
      </c>
      <c r="H459" s="34" t="n">
        <v>-52.9</v>
      </c>
      <c r="I459" s="34" t="n">
        <v>-12.48</v>
      </c>
      <c r="J459" s="34" t="n">
        <v>24.99</v>
      </c>
      <c r="K459" s="34" t="n">
        <v>857.08</v>
      </c>
      <c r="L459" s="34" t="n">
        <f aca="false">AVERAGE(C459:E459)</f>
        <v>51.87</v>
      </c>
      <c r="M459" s="34" t="n">
        <f aca="false">AVERAGE(C459:J459)</f>
        <v>6.04</v>
      </c>
    </row>
    <row r="460" customFormat="false" ht="15.75" hidden="false" customHeight="true" outlineLevel="0" collapsed="false">
      <c r="A460" s="34" t="s">
        <v>883</v>
      </c>
      <c r="B460" s="34" t="n">
        <v>891</v>
      </c>
      <c r="C460" s="34" t="n">
        <v>66.67</v>
      </c>
      <c r="D460" s="34" t="n">
        <v>86.77</v>
      </c>
      <c r="E460" s="34" t="n">
        <v>119.5</v>
      </c>
      <c r="F460" s="34" t="n">
        <v>94.28</v>
      </c>
      <c r="G460" s="34" t="n">
        <v>11.09</v>
      </c>
      <c r="H460" s="34" t="n">
        <v>48.75</v>
      </c>
      <c r="I460" s="34" t="n">
        <v>64.03</v>
      </c>
      <c r="J460" s="34" t="n">
        <v>78.01</v>
      </c>
      <c r="K460" s="34" t="n">
        <v>841.58</v>
      </c>
      <c r="L460" s="34" t="n">
        <f aca="false">AVERAGE(C460:E460)</f>
        <v>90.98</v>
      </c>
      <c r="M460" s="34" t="n">
        <f aca="false">AVERAGE(C460:J460)</f>
        <v>71.1375</v>
      </c>
    </row>
    <row r="461" customFormat="false" ht="15.75" hidden="false" customHeight="true" outlineLevel="0" collapsed="false">
      <c r="A461" s="34" t="s">
        <v>546</v>
      </c>
      <c r="B461" s="34" t="n">
        <v>889.6</v>
      </c>
      <c r="C461" s="34" t="n">
        <v>66.67</v>
      </c>
      <c r="D461" s="34" t="n">
        <v>76.31</v>
      </c>
      <c r="E461" s="34" t="n">
        <v>115.9</v>
      </c>
      <c r="F461" s="34" t="n">
        <v>-21.93</v>
      </c>
      <c r="G461" s="34" t="n">
        <v>-70.1</v>
      </c>
      <c r="H461" s="34" t="n">
        <v>26</v>
      </c>
      <c r="I461" s="34" t="n">
        <v>41.82</v>
      </c>
      <c r="J461" s="34" t="n">
        <v>57.33</v>
      </c>
      <c r="K461" s="34" t="n">
        <v>861.7</v>
      </c>
      <c r="L461" s="34" t="n">
        <f aca="false">AVERAGE(C461:E461)</f>
        <v>86.2933333333333</v>
      </c>
      <c r="M461" s="34" t="n">
        <f aca="false">AVERAGE(C461:J461)</f>
        <v>36.5</v>
      </c>
    </row>
    <row r="462" customFormat="false" ht="15.75" hidden="false" customHeight="true" outlineLevel="0" collapsed="false">
      <c r="A462" s="34" t="s">
        <v>207</v>
      </c>
      <c r="B462" s="34" t="n">
        <v>889.1</v>
      </c>
      <c r="C462" s="34" t="n">
        <v>-66.67</v>
      </c>
      <c r="D462" s="34" t="n">
        <v>-59.02</v>
      </c>
      <c r="E462" s="34" t="n">
        <v>-73.69</v>
      </c>
      <c r="F462" s="34" t="n">
        <v>-66.65</v>
      </c>
      <c r="G462" s="34" t="n">
        <v>-106.26</v>
      </c>
      <c r="H462" s="34" t="n">
        <v>-3.7</v>
      </c>
      <c r="I462" s="34" t="n">
        <v>28.32</v>
      </c>
      <c r="J462" s="34" t="n">
        <v>41.33</v>
      </c>
      <c r="K462" s="34" t="n">
        <v>916.75</v>
      </c>
      <c r="L462" s="34" t="n">
        <f aca="false">AVERAGE(C462:E462)</f>
        <v>-66.46</v>
      </c>
      <c r="M462" s="34" t="n">
        <f aca="false">AVERAGE(C462:J462)</f>
        <v>-38.2925</v>
      </c>
    </row>
    <row r="463" customFormat="false" ht="15.75" hidden="false" customHeight="true" outlineLevel="0" collapsed="false">
      <c r="A463" s="34" t="s">
        <v>884</v>
      </c>
      <c r="B463" s="34" t="n">
        <v>886</v>
      </c>
      <c r="C463" s="34" t="n">
        <v>-66.67</v>
      </c>
      <c r="D463" s="34" t="n">
        <v>-121.4</v>
      </c>
      <c r="E463" s="34" t="n">
        <v>-104</v>
      </c>
      <c r="F463" s="34" t="n">
        <v>-125.8</v>
      </c>
      <c r="G463" s="34" t="n">
        <v>-196.21</v>
      </c>
      <c r="H463" s="34" t="n">
        <v>-163.27</v>
      </c>
      <c r="I463" s="34" t="n">
        <v>-168.88</v>
      </c>
      <c r="J463" s="34" t="n">
        <v>-180.01</v>
      </c>
      <c r="K463" s="34" t="n">
        <v>953.64</v>
      </c>
      <c r="L463" s="34" t="n">
        <f aca="false">AVERAGE(C463:E463)</f>
        <v>-97.3566666666667</v>
      </c>
      <c r="M463" s="34" t="n">
        <f aca="false">AVERAGE(C463:J463)</f>
        <v>-140.78</v>
      </c>
    </row>
    <row r="464" customFormat="false" ht="15.75" hidden="false" customHeight="true" outlineLevel="0" collapsed="false">
      <c r="A464" s="34" t="s">
        <v>307</v>
      </c>
      <c r="B464" s="34" t="n">
        <v>882.85</v>
      </c>
      <c r="C464" s="34" t="n">
        <v>66.67</v>
      </c>
      <c r="D464" s="34" t="n">
        <v>133.33</v>
      </c>
      <c r="E464" s="34" t="n">
        <v>85.13</v>
      </c>
      <c r="F464" s="34" t="n">
        <v>175.06</v>
      </c>
      <c r="G464" s="34" t="n">
        <v>108.38</v>
      </c>
      <c r="H464" s="34" t="n">
        <v>128.72</v>
      </c>
      <c r="I464" s="34" t="n">
        <v>135.44</v>
      </c>
      <c r="J464" s="34" t="n">
        <v>147.86</v>
      </c>
      <c r="K464" s="34" t="n">
        <v>825.79</v>
      </c>
      <c r="L464" s="34" t="n">
        <f aca="false">AVERAGE(C464:E464)</f>
        <v>95.0433333333333</v>
      </c>
      <c r="M464" s="34" t="n">
        <f aca="false">AVERAGE(C464:J464)</f>
        <v>122.57375</v>
      </c>
    </row>
    <row r="465" customFormat="false" ht="15.75" hidden="false" customHeight="true" outlineLevel="0" collapsed="false">
      <c r="A465" s="34" t="s">
        <v>338</v>
      </c>
      <c r="B465" s="34" t="n">
        <v>882.55</v>
      </c>
      <c r="C465" s="34" t="n">
        <v>-66.67</v>
      </c>
      <c r="D465" s="34" t="n">
        <v>-112.83</v>
      </c>
      <c r="E465" s="34" t="n">
        <v>14.22</v>
      </c>
      <c r="F465" s="34" t="n">
        <v>37.82</v>
      </c>
      <c r="G465" s="34" t="n">
        <v>57.78</v>
      </c>
      <c r="H465" s="34" t="n">
        <v>68.24</v>
      </c>
      <c r="I465" s="34" t="n">
        <v>73.54</v>
      </c>
      <c r="J465" s="34" t="n">
        <v>87.34</v>
      </c>
      <c r="K465" s="34" t="n">
        <v>854.49</v>
      </c>
      <c r="L465" s="34" t="n">
        <f aca="false">AVERAGE(C465:E465)</f>
        <v>-55.0933333333333</v>
      </c>
      <c r="M465" s="34" t="n">
        <f aca="false">AVERAGE(C465:J465)</f>
        <v>19.93</v>
      </c>
    </row>
    <row r="466" customFormat="false" ht="15.75" hidden="false" customHeight="true" outlineLevel="0" collapsed="false">
      <c r="A466" s="34" t="s">
        <v>323</v>
      </c>
      <c r="B466" s="34" t="n">
        <v>882.45</v>
      </c>
      <c r="C466" s="34" t="n">
        <v>-66.67</v>
      </c>
      <c r="D466" s="34" t="n">
        <v>-76.58</v>
      </c>
      <c r="E466" s="34" t="n">
        <v>-60.78</v>
      </c>
      <c r="F466" s="34" t="n">
        <v>-97.92</v>
      </c>
      <c r="G466" s="34" t="n">
        <v>-64.85</v>
      </c>
      <c r="H466" s="34" t="n">
        <v>-26.34</v>
      </c>
      <c r="I466" s="34" t="n">
        <v>7.08</v>
      </c>
      <c r="J466" s="34" t="n">
        <v>-26.71</v>
      </c>
      <c r="K466" s="34" t="n">
        <v>937.95</v>
      </c>
      <c r="L466" s="34" t="n">
        <f aca="false">AVERAGE(C466:E466)</f>
        <v>-68.01</v>
      </c>
      <c r="M466" s="34" t="n">
        <f aca="false">AVERAGE(C466:J466)</f>
        <v>-51.59625</v>
      </c>
    </row>
    <row r="467" customFormat="false" ht="15.75" hidden="false" customHeight="true" outlineLevel="0" collapsed="false">
      <c r="A467" s="34" t="s">
        <v>285</v>
      </c>
      <c r="B467" s="34" t="n">
        <v>882.2</v>
      </c>
      <c r="C467" s="34" t="n">
        <v>-66.67</v>
      </c>
      <c r="D467" s="34" t="n">
        <v>-57.32</v>
      </c>
      <c r="E467" s="34" t="n">
        <v>72.43</v>
      </c>
      <c r="F467" s="34" t="n">
        <v>110.6</v>
      </c>
      <c r="G467" s="34" t="n">
        <v>94.53</v>
      </c>
      <c r="H467" s="34" t="n">
        <v>105.02</v>
      </c>
      <c r="I467" s="34" t="n">
        <v>114.53</v>
      </c>
      <c r="J467" s="34" t="n">
        <v>132.98</v>
      </c>
      <c r="K467" s="34" t="n">
        <v>842.74</v>
      </c>
      <c r="L467" s="34" t="n">
        <f aca="false">AVERAGE(C467:E467)</f>
        <v>-17.1866666666667</v>
      </c>
      <c r="M467" s="34" t="n">
        <f aca="false">AVERAGE(C467:J467)</f>
        <v>63.2625</v>
      </c>
    </row>
    <row r="468" customFormat="false" ht="15.75" hidden="false" customHeight="true" outlineLevel="0" collapsed="false">
      <c r="A468" s="34" t="s">
        <v>507</v>
      </c>
      <c r="B468" s="34" t="n">
        <v>880.3</v>
      </c>
      <c r="C468" s="34" t="n">
        <v>-66.67</v>
      </c>
      <c r="D468" s="34" t="n">
        <v>-120.41</v>
      </c>
      <c r="E468" s="34" t="n">
        <v>7</v>
      </c>
      <c r="F468" s="34" t="n">
        <v>-59.43</v>
      </c>
      <c r="G468" s="34" t="n">
        <v>-99.15</v>
      </c>
      <c r="H468" s="34" t="n">
        <v>-132.13</v>
      </c>
      <c r="I468" s="34" t="n">
        <v>-153.24</v>
      </c>
      <c r="J468" s="34" t="n">
        <v>-114.44</v>
      </c>
      <c r="K468" s="34" t="n">
        <v>865.59</v>
      </c>
      <c r="L468" s="34" t="n">
        <f aca="false">AVERAGE(C468:E468)</f>
        <v>-60.0266666666667</v>
      </c>
      <c r="M468" s="34" t="n">
        <f aca="false">AVERAGE(C468:J468)</f>
        <v>-92.30875</v>
      </c>
    </row>
    <row r="469" customFormat="false" ht="15.75" hidden="false" customHeight="true" outlineLevel="0" collapsed="false">
      <c r="A469" s="34" t="s">
        <v>138</v>
      </c>
      <c r="B469" s="34" t="n">
        <v>879.1</v>
      </c>
      <c r="C469" s="34" t="n">
        <v>66.67</v>
      </c>
      <c r="D469" s="34" t="n">
        <v>94.56</v>
      </c>
      <c r="E469" s="34" t="n">
        <v>79.56</v>
      </c>
      <c r="F469" s="34" t="n">
        <v>99.64</v>
      </c>
      <c r="G469" s="34" t="n">
        <v>93.89</v>
      </c>
      <c r="H469" s="34" t="n">
        <v>114.67</v>
      </c>
      <c r="I469" s="34" t="n">
        <v>141.19</v>
      </c>
      <c r="J469" s="34" t="n">
        <v>167.69</v>
      </c>
      <c r="K469" s="34" t="n">
        <v>838.15</v>
      </c>
      <c r="L469" s="34" t="n">
        <f aca="false">AVERAGE(C469:E469)</f>
        <v>80.2633333333333</v>
      </c>
      <c r="M469" s="34" t="n">
        <f aca="false">AVERAGE(C469:J469)</f>
        <v>107.23375</v>
      </c>
    </row>
    <row r="470" customFormat="false" ht="15.75" hidden="false" customHeight="true" outlineLevel="0" collapsed="false">
      <c r="A470" s="34" t="s">
        <v>885</v>
      </c>
      <c r="B470" s="34" t="n">
        <v>876</v>
      </c>
      <c r="C470" s="34" t="n">
        <v>66.67</v>
      </c>
      <c r="D470" s="34" t="n">
        <v>75.37</v>
      </c>
      <c r="E470" s="34" t="n">
        <v>142.28</v>
      </c>
      <c r="F470" s="34" t="n">
        <v>-13.49</v>
      </c>
      <c r="G470" s="34" t="n">
        <v>-17.39</v>
      </c>
      <c r="H470" s="34" t="n">
        <v>29.25</v>
      </c>
      <c r="I470" s="34" t="n">
        <v>55.42</v>
      </c>
      <c r="J470" s="34" t="n">
        <v>30.32</v>
      </c>
      <c r="K470" s="34" t="n">
        <v>894.27</v>
      </c>
      <c r="L470" s="34" t="n">
        <f aca="false">AVERAGE(C470:E470)</f>
        <v>94.7733333333333</v>
      </c>
      <c r="M470" s="34" t="n">
        <f aca="false">AVERAGE(C470:J470)</f>
        <v>46.05375</v>
      </c>
    </row>
    <row r="471" customFormat="false" ht="15.75" hidden="false" customHeight="true" outlineLevel="0" collapsed="false">
      <c r="A471" s="34" t="s">
        <v>886</v>
      </c>
      <c r="B471" s="34" t="n">
        <v>873.8</v>
      </c>
      <c r="C471" s="34" t="n">
        <v>66.67</v>
      </c>
      <c r="D471" s="34" t="n">
        <v>74.04</v>
      </c>
      <c r="E471" s="34" t="n">
        <v>115.7</v>
      </c>
      <c r="F471" s="34" t="n">
        <v>191.48</v>
      </c>
      <c r="G471" s="34"/>
      <c r="H471" s="34"/>
      <c r="I471" s="34"/>
      <c r="J471" s="34"/>
      <c r="K471" s="34" t="n">
        <v>800.92</v>
      </c>
      <c r="L471" s="34" t="n">
        <f aca="false">AVERAGE(C471:E471)</f>
        <v>85.47</v>
      </c>
      <c r="M471" s="34" t="n">
        <f aca="false">AVERAGE(C471:J471)</f>
        <v>111.9725</v>
      </c>
    </row>
    <row r="472" customFormat="false" ht="15.75" hidden="false" customHeight="true" outlineLevel="0" collapsed="false">
      <c r="A472" s="34" t="s">
        <v>887</v>
      </c>
      <c r="B472" s="34" t="n">
        <v>870</v>
      </c>
      <c r="C472" s="34" t="n">
        <v>66.67</v>
      </c>
      <c r="D472" s="34" t="n">
        <v>118.96</v>
      </c>
      <c r="E472" s="34" t="n">
        <v>69.83</v>
      </c>
      <c r="F472" s="34" t="n">
        <v>42.75</v>
      </c>
      <c r="G472" s="34" t="n">
        <v>-1.88</v>
      </c>
      <c r="H472" s="34" t="n">
        <v>-20.64</v>
      </c>
      <c r="I472" s="34" t="n">
        <v>-39.31</v>
      </c>
      <c r="J472" s="34" t="n">
        <v>-51.43</v>
      </c>
      <c r="K472" s="34" t="n">
        <v>816.81</v>
      </c>
      <c r="L472" s="34" t="n">
        <f aca="false">AVERAGE(C472:E472)</f>
        <v>85.1533333333333</v>
      </c>
      <c r="M472" s="34" t="n">
        <f aca="false">AVERAGE(C472:J472)</f>
        <v>23.11875</v>
      </c>
    </row>
    <row r="473" customFormat="false" ht="15.75" hidden="false" customHeight="true" outlineLevel="0" collapsed="false">
      <c r="A473" s="34" t="s">
        <v>888</v>
      </c>
      <c r="B473" s="34" t="n">
        <v>869.85</v>
      </c>
      <c r="C473" s="34" t="n">
        <v>66.67</v>
      </c>
      <c r="D473" s="34" t="n">
        <v>86.51</v>
      </c>
      <c r="E473" s="34" t="n">
        <v>85.23</v>
      </c>
      <c r="F473" s="34" t="n">
        <v>12.65</v>
      </c>
      <c r="G473" s="34" t="n">
        <v>-8.37</v>
      </c>
      <c r="H473" s="34" t="n">
        <v>42</v>
      </c>
      <c r="I473" s="34" t="n">
        <v>62.47</v>
      </c>
      <c r="J473" s="34" t="n">
        <v>78.11</v>
      </c>
      <c r="K473" s="34" t="n">
        <v>874.42</v>
      </c>
      <c r="L473" s="34" t="n">
        <f aca="false">AVERAGE(C473:E473)</f>
        <v>79.47</v>
      </c>
      <c r="M473" s="34" t="n">
        <f aca="false">AVERAGE(C473:J473)</f>
        <v>53.15875</v>
      </c>
    </row>
    <row r="474" customFormat="false" ht="15.75" hidden="false" customHeight="true" outlineLevel="0" collapsed="false">
      <c r="A474" s="34" t="s">
        <v>486</v>
      </c>
      <c r="B474" s="34" t="n">
        <v>866.45</v>
      </c>
      <c r="C474" s="34" t="n">
        <v>-66.67</v>
      </c>
      <c r="D474" s="34" t="n">
        <v>-122.05</v>
      </c>
      <c r="E474" s="34" t="n">
        <v>-62.33</v>
      </c>
      <c r="F474" s="34" t="n">
        <v>-49.32</v>
      </c>
      <c r="G474" s="34" t="n">
        <v>-86.22</v>
      </c>
      <c r="H474" s="34" t="n">
        <v>-108.56</v>
      </c>
      <c r="I474" s="34" t="n">
        <v>-98.7</v>
      </c>
      <c r="J474" s="34" t="n">
        <v>-104.89</v>
      </c>
      <c r="K474" s="34" t="n">
        <v>848.93</v>
      </c>
      <c r="L474" s="34" t="n">
        <f aca="false">AVERAGE(C474:E474)</f>
        <v>-83.6833333333333</v>
      </c>
      <c r="M474" s="34" t="n">
        <f aca="false">AVERAGE(C474:J474)</f>
        <v>-87.3425</v>
      </c>
    </row>
    <row r="475" customFormat="false" ht="15.75" hidden="false" customHeight="true" outlineLevel="0" collapsed="false">
      <c r="A475" s="34" t="s">
        <v>889</v>
      </c>
      <c r="B475" s="34" t="n">
        <v>865.75</v>
      </c>
      <c r="C475" s="34" t="n">
        <v>66.67</v>
      </c>
      <c r="D475" s="34" t="n">
        <v>106.54</v>
      </c>
      <c r="E475" s="34" t="n">
        <v>96.65</v>
      </c>
      <c r="F475" s="34" t="n">
        <v>207.07</v>
      </c>
      <c r="G475" s="34" t="n">
        <v>214.92</v>
      </c>
      <c r="H475" s="34" t="n">
        <v>163.88</v>
      </c>
      <c r="I475" s="34" t="n">
        <v>176.41</v>
      </c>
      <c r="J475" s="34" t="n">
        <v>163.64</v>
      </c>
      <c r="K475" s="34" t="n">
        <v>809.17</v>
      </c>
      <c r="L475" s="34" t="n">
        <f aca="false">AVERAGE(C475:E475)</f>
        <v>89.9533333333333</v>
      </c>
      <c r="M475" s="34" t="n">
        <f aca="false">AVERAGE(C475:J475)</f>
        <v>149.4725</v>
      </c>
    </row>
    <row r="476" customFormat="false" ht="15.75" hidden="false" customHeight="true" outlineLevel="0" collapsed="false">
      <c r="A476" s="34" t="s">
        <v>890</v>
      </c>
      <c r="B476" s="34" t="n">
        <v>865.55</v>
      </c>
      <c r="C476" s="34" t="n">
        <v>-66.67</v>
      </c>
      <c r="D476" s="34" t="n">
        <v>-133.33</v>
      </c>
      <c r="E476" s="34" t="n">
        <v>-92.79</v>
      </c>
      <c r="F476" s="34" t="n">
        <v>-86.44</v>
      </c>
      <c r="G476" s="34" t="n">
        <v>-112.61</v>
      </c>
      <c r="H476" s="34" t="n">
        <v>-75.06</v>
      </c>
      <c r="I476" s="34" t="n">
        <v>-88.89</v>
      </c>
      <c r="J476" s="34" t="n">
        <v>-60.49</v>
      </c>
      <c r="K476" s="34" t="n">
        <v>955.55</v>
      </c>
      <c r="L476" s="34" t="n">
        <f aca="false">AVERAGE(C476:E476)</f>
        <v>-97.5966666666667</v>
      </c>
      <c r="M476" s="34" t="n">
        <f aca="false">AVERAGE(C476:J476)</f>
        <v>-89.535</v>
      </c>
    </row>
    <row r="477" customFormat="false" ht="15.75" hidden="false" customHeight="true" outlineLevel="0" collapsed="false">
      <c r="A477" s="34" t="s">
        <v>891</v>
      </c>
      <c r="B477" s="34" t="n">
        <v>865.5</v>
      </c>
      <c r="C477" s="34" t="n">
        <v>-66.67</v>
      </c>
      <c r="D477" s="34" t="n">
        <v>-123.68</v>
      </c>
      <c r="E477" s="34" t="n">
        <v>30.41</v>
      </c>
      <c r="F477" s="34" t="n">
        <v>-15.95</v>
      </c>
      <c r="G477" s="34" t="n">
        <v>9.73</v>
      </c>
      <c r="H477" s="34" t="n">
        <v>53.39</v>
      </c>
      <c r="I477" s="34" t="n">
        <v>69.87</v>
      </c>
      <c r="J477" s="34" t="n">
        <v>86.29</v>
      </c>
      <c r="K477" s="34" t="n">
        <v>824.53</v>
      </c>
      <c r="L477" s="34" t="n">
        <f aca="false">AVERAGE(C477:E477)</f>
        <v>-53.3133333333333</v>
      </c>
      <c r="M477" s="34" t="n">
        <f aca="false">AVERAGE(C477:J477)</f>
        <v>5.42375</v>
      </c>
    </row>
    <row r="478" customFormat="false" ht="15.75" hidden="false" customHeight="true" outlineLevel="0" collapsed="false">
      <c r="A478" s="34" t="s">
        <v>418</v>
      </c>
      <c r="B478" s="34" t="n">
        <v>864.85</v>
      </c>
      <c r="C478" s="34" t="n">
        <v>66.67</v>
      </c>
      <c r="D478" s="34" t="n">
        <v>76.21</v>
      </c>
      <c r="E478" s="34" t="n">
        <v>102.99</v>
      </c>
      <c r="F478" s="34" t="n">
        <v>133.59</v>
      </c>
      <c r="G478" s="34" t="n">
        <v>164.66</v>
      </c>
      <c r="H478" s="34" t="n">
        <v>127.26</v>
      </c>
      <c r="I478" s="34" t="n">
        <v>112.3</v>
      </c>
      <c r="J478" s="34" t="n">
        <v>123.72</v>
      </c>
      <c r="K478" s="34" t="n">
        <v>822.74</v>
      </c>
      <c r="L478" s="34" t="n">
        <f aca="false">AVERAGE(C478:E478)</f>
        <v>81.9566666666667</v>
      </c>
      <c r="M478" s="34" t="n">
        <f aca="false">AVERAGE(C478:J478)</f>
        <v>113.425</v>
      </c>
    </row>
    <row r="479" customFormat="false" ht="15.75" hidden="false" customHeight="true" outlineLevel="0" collapsed="false">
      <c r="A479" s="34" t="s">
        <v>892</v>
      </c>
      <c r="B479" s="34" t="n">
        <v>863.25</v>
      </c>
      <c r="C479" s="34" t="n">
        <v>-66.67</v>
      </c>
      <c r="D479" s="34" t="n">
        <v>66.28</v>
      </c>
      <c r="E479" s="34" t="n">
        <v>71.34</v>
      </c>
      <c r="F479" s="34" t="n">
        <v>-37.1</v>
      </c>
      <c r="G479" s="34" t="n">
        <v>-58.48</v>
      </c>
      <c r="H479" s="34" t="n">
        <v>6.17</v>
      </c>
      <c r="I479" s="34" t="n">
        <v>31.53</v>
      </c>
      <c r="J479" s="34" t="n">
        <v>49.55</v>
      </c>
      <c r="K479" s="34" t="n">
        <v>783.17</v>
      </c>
      <c r="L479" s="34" t="n">
        <f aca="false">AVERAGE(C479:E479)</f>
        <v>23.65</v>
      </c>
      <c r="M479" s="34" t="n">
        <f aca="false">AVERAGE(C479:J479)</f>
        <v>7.8275</v>
      </c>
    </row>
    <row r="480" customFormat="false" ht="15.75" hidden="false" customHeight="true" outlineLevel="0" collapsed="false">
      <c r="A480" s="34" t="s">
        <v>893</v>
      </c>
      <c r="B480" s="34" t="n">
        <v>862.2</v>
      </c>
      <c r="C480" s="34" t="n">
        <v>-66.67</v>
      </c>
      <c r="D480" s="34" t="n">
        <v>-40.57</v>
      </c>
      <c r="E480" s="34" t="n">
        <v>-93.17</v>
      </c>
      <c r="F480" s="34" t="n">
        <v>-106.06</v>
      </c>
      <c r="G480" s="34" t="n">
        <v>-32.98</v>
      </c>
      <c r="H480" s="34" t="n">
        <v>20.43</v>
      </c>
      <c r="I480" s="34" t="n">
        <v>42.31</v>
      </c>
      <c r="J480" s="34" t="n">
        <v>36.22</v>
      </c>
      <c r="K480" s="34" t="n">
        <v>923.16</v>
      </c>
      <c r="L480" s="34" t="n">
        <f aca="false">AVERAGE(C480:E480)</f>
        <v>-66.8033333333333</v>
      </c>
      <c r="M480" s="34" t="n">
        <f aca="false">AVERAGE(C480:J480)</f>
        <v>-30.06125</v>
      </c>
    </row>
    <row r="481" customFormat="false" ht="15.75" hidden="false" customHeight="true" outlineLevel="0" collapsed="false">
      <c r="A481" s="34" t="s">
        <v>513</v>
      </c>
      <c r="B481" s="34" t="n">
        <v>860.5</v>
      </c>
      <c r="C481" s="34" t="n">
        <v>66.67</v>
      </c>
      <c r="D481" s="34" t="n">
        <v>126.14</v>
      </c>
      <c r="E481" s="34" t="n">
        <v>-34.95</v>
      </c>
      <c r="F481" s="34" t="n">
        <v>-72.71</v>
      </c>
      <c r="G481" s="34" t="n">
        <v>13.61</v>
      </c>
      <c r="H481" s="34" t="n">
        <v>55.78</v>
      </c>
      <c r="I481" s="34" t="n">
        <v>73.84</v>
      </c>
      <c r="J481" s="34" t="n">
        <v>90.45</v>
      </c>
      <c r="K481" s="34" t="n">
        <v>939.09</v>
      </c>
      <c r="L481" s="34" t="n">
        <f aca="false">AVERAGE(C481:E481)</f>
        <v>52.62</v>
      </c>
      <c r="M481" s="34" t="n">
        <f aca="false">AVERAGE(C481:J481)</f>
        <v>39.85375</v>
      </c>
    </row>
    <row r="482" customFormat="false" ht="15.75" hidden="false" customHeight="true" outlineLevel="0" collapsed="false">
      <c r="A482" s="34" t="s">
        <v>894</v>
      </c>
      <c r="B482" s="34" t="n">
        <v>859</v>
      </c>
      <c r="C482" s="34" t="n">
        <v>-66.67</v>
      </c>
      <c r="D482" s="34" t="n">
        <v>-102.75</v>
      </c>
      <c r="E482" s="34" t="n">
        <v>-53.57</v>
      </c>
      <c r="F482" s="34" t="n">
        <v>-76.4</v>
      </c>
      <c r="G482" s="34" t="n">
        <v>-93.44</v>
      </c>
      <c r="H482" s="34" t="n">
        <v>19.15</v>
      </c>
      <c r="I482" s="34" t="n">
        <v>41.2</v>
      </c>
      <c r="J482" s="34" t="n">
        <v>52.93</v>
      </c>
      <c r="K482" s="34" t="n">
        <v>834.71</v>
      </c>
      <c r="L482" s="34" t="n">
        <f aca="false">AVERAGE(C482:E482)</f>
        <v>-74.33</v>
      </c>
      <c r="M482" s="34" t="n">
        <f aca="false">AVERAGE(C482:J482)</f>
        <v>-34.94375</v>
      </c>
    </row>
    <row r="483" customFormat="false" ht="15.75" hidden="false" customHeight="true" outlineLevel="0" collapsed="false">
      <c r="A483" s="34" t="s">
        <v>530</v>
      </c>
      <c r="B483" s="34" t="n">
        <v>858.85</v>
      </c>
      <c r="C483" s="34" t="n">
        <v>66.67</v>
      </c>
      <c r="D483" s="34" t="n">
        <v>97.75</v>
      </c>
      <c r="E483" s="34" t="n">
        <v>166.45</v>
      </c>
      <c r="F483" s="34" t="n">
        <v>-14.13</v>
      </c>
      <c r="G483" s="34" t="n">
        <v>-53.33</v>
      </c>
      <c r="H483" s="34" t="n">
        <v>-6.26</v>
      </c>
      <c r="I483" s="34" t="n">
        <v>21.43</v>
      </c>
      <c r="J483" s="34" t="n">
        <v>8.16</v>
      </c>
      <c r="K483" s="34" t="n">
        <v>807.11</v>
      </c>
      <c r="L483" s="34" t="n">
        <f aca="false">AVERAGE(C483:E483)</f>
        <v>110.29</v>
      </c>
      <c r="M483" s="34" t="n">
        <f aca="false">AVERAGE(C483:J483)</f>
        <v>35.8425</v>
      </c>
    </row>
    <row r="484" customFormat="false" ht="15.75" hidden="false" customHeight="true" outlineLevel="0" collapsed="false">
      <c r="A484" s="34" t="s">
        <v>895</v>
      </c>
      <c r="B484" s="34" t="n">
        <v>854.1</v>
      </c>
      <c r="C484" s="34" t="n">
        <v>66.67</v>
      </c>
      <c r="D484" s="34" t="n">
        <v>-21.21</v>
      </c>
      <c r="E484" s="34" t="n">
        <v>-59.51</v>
      </c>
      <c r="F484" s="34" t="n">
        <v>-38.4</v>
      </c>
      <c r="G484" s="34" t="n">
        <v>-3.2</v>
      </c>
      <c r="H484" s="34" t="n">
        <v>-11.77</v>
      </c>
      <c r="I484" s="34" t="n">
        <v>37.83</v>
      </c>
      <c r="J484" s="34" t="n">
        <v>51.1</v>
      </c>
      <c r="K484" s="34" t="n">
        <v>916.12</v>
      </c>
      <c r="L484" s="34" t="n">
        <f aca="false">AVERAGE(C484:E484)</f>
        <v>-4.68333333333333</v>
      </c>
      <c r="M484" s="34" t="n">
        <f aca="false">AVERAGE(C484:J484)</f>
        <v>2.68875</v>
      </c>
    </row>
    <row r="485" customFormat="false" ht="15.75" hidden="false" customHeight="true" outlineLevel="0" collapsed="false">
      <c r="A485" s="34" t="s">
        <v>896</v>
      </c>
      <c r="B485" s="34" t="n">
        <v>851.1</v>
      </c>
      <c r="C485" s="34" t="n">
        <v>-66.67</v>
      </c>
      <c r="D485" s="34" t="n">
        <v>46.79</v>
      </c>
      <c r="E485" s="34" t="n">
        <v>112.95</v>
      </c>
      <c r="F485" s="34" t="n">
        <v>156.39</v>
      </c>
      <c r="G485" s="34" t="n">
        <v>6.45</v>
      </c>
      <c r="H485" s="34" t="n">
        <v>-47.66</v>
      </c>
      <c r="I485" s="34" t="n">
        <v>-62.39</v>
      </c>
      <c r="J485" s="34"/>
      <c r="K485" s="34" t="n">
        <v>787.19</v>
      </c>
      <c r="L485" s="34" t="n">
        <f aca="false">AVERAGE(C485:E485)</f>
        <v>31.0233333333333</v>
      </c>
      <c r="M485" s="34" t="n">
        <f aca="false">AVERAGE(C485:J485)</f>
        <v>20.8371428571429</v>
      </c>
    </row>
    <row r="486" customFormat="false" ht="15.75" hidden="false" customHeight="true" outlineLevel="0" collapsed="false">
      <c r="A486" s="34" t="s">
        <v>897</v>
      </c>
      <c r="B486" s="34" t="n">
        <v>850.5</v>
      </c>
      <c r="C486" s="34" t="n">
        <v>-66.67</v>
      </c>
      <c r="D486" s="34" t="n">
        <v>-133.33</v>
      </c>
      <c r="E486" s="34" t="n">
        <v>-36.01</v>
      </c>
      <c r="F486" s="34" t="n">
        <v>-62.14</v>
      </c>
      <c r="G486" s="34" t="n">
        <v>-95.73</v>
      </c>
      <c r="H486" s="34" t="n">
        <v>-23.75</v>
      </c>
      <c r="I486" s="34" t="n">
        <v>22.53</v>
      </c>
      <c r="J486" s="34" t="n">
        <v>37.28</v>
      </c>
      <c r="K486" s="34" t="n">
        <v>909.66</v>
      </c>
      <c r="L486" s="34" t="n">
        <f aca="false">AVERAGE(C486:E486)</f>
        <v>-78.67</v>
      </c>
      <c r="M486" s="34" t="n">
        <f aca="false">AVERAGE(C486:J486)</f>
        <v>-44.7275</v>
      </c>
    </row>
    <row r="487" customFormat="false" ht="15.75" hidden="false" customHeight="true" outlineLevel="0" collapsed="false">
      <c r="A487" s="34" t="s">
        <v>898</v>
      </c>
      <c r="B487" s="34" t="n">
        <v>850.25</v>
      </c>
      <c r="C487" s="34" t="n">
        <v>-66.67</v>
      </c>
      <c r="D487" s="34" t="n">
        <v>54.74</v>
      </c>
      <c r="E487" s="34" t="n">
        <v>135.52</v>
      </c>
      <c r="F487" s="34" t="n">
        <v>-53.4</v>
      </c>
      <c r="G487" s="34" t="n">
        <v>-88.38</v>
      </c>
      <c r="H487" s="34" t="n">
        <v>7.86</v>
      </c>
      <c r="I487" s="34" t="n">
        <v>31.89</v>
      </c>
      <c r="J487" s="34" t="n">
        <v>17.96</v>
      </c>
      <c r="K487" s="34" t="n">
        <v>872.54</v>
      </c>
      <c r="L487" s="34" t="n">
        <f aca="false">AVERAGE(C487:E487)</f>
        <v>41.1966666666667</v>
      </c>
      <c r="M487" s="34" t="n">
        <f aca="false">AVERAGE(C487:J487)</f>
        <v>4.94</v>
      </c>
    </row>
    <row r="488" customFormat="false" ht="15.75" hidden="false" customHeight="true" outlineLevel="0" collapsed="false">
      <c r="A488" s="34" t="s">
        <v>299</v>
      </c>
      <c r="B488" s="34" t="n">
        <v>849.5</v>
      </c>
      <c r="C488" s="34" t="n">
        <v>66.67</v>
      </c>
      <c r="D488" s="34" t="n">
        <v>124.9</v>
      </c>
      <c r="E488" s="34" t="n">
        <v>160.67</v>
      </c>
      <c r="F488" s="34" t="n">
        <v>-39.9</v>
      </c>
      <c r="G488" s="34" t="n">
        <v>-93.22</v>
      </c>
      <c r="H488" s="34" t="n">
        <v>-93.88</v>
      </c>
      <c r="I488" s="34" t="n">
        <v>-59.09</v>
      </c>
      <c r="J488" s="34" t="n">
        <v>-72.68</v>
      </c>
      <c r="K488" s="34" t="n">
        <v>864.17</v>
      </c>
      <c r="L488" s="34" t="n">
        <f aca="false">AVERAGE(C488:E488)</f>
        <v>117.413333333333</v>
      </c>
      <c r="M488" s="34" t="n">
        <f aca="false">AVERAGE(C488:J488)</f>
        <v>-0.816249999999998</v>
      </c>
    </row>
    <row r="489" customFormat="false" ht="15.75" hidden="false" customHeight="true" outlineLevel="0" collapsed="false">
      <c r="A489" s="34" t="s">
        <v>899</v>
      </c>
      <c r="B489" s="34" t="n">
        <v>848.9</v>
      </c>
      <c r="C489" s="34" t="n">
        <v>-66.67</v>
      </c>
      <c r="D489" s="34" t="n">
        <v>-3.37</v>
      </c>
      <c r="E489" s="34" t="n">
        <v>-57.68</v>
      </c>
      <c r="F489" s="34" t="n">
        <v>-154.9</v>
      </c>
      <c r="G489" s="34" t="n">
        <v>-104.91</v>
      </c>
      <c r="H489" s="34" t="n">
        <v>-12.47</v>
      </c>
      <c r="I489" s="34" t="n">
        <v>22.62</v>
      </c>
      <c r="J489" s="34" t="n">
        <v>40.09</v>
      </c>
      <c r="K489" s="34" t="n">
        <v>956.1</v>
      </c>
      <c r="L489" s="34" t="n">
        <f aca="false">AVERAGE(C489:E489)</f>
        <v>-42.5733333333333</v>
      </c>
      <c r="M489" s="34" t="n">
        <f aca="false">AVERAGE(C489:J489)</f>
        <v>-42.16125</v>
      </c>
    </row>
    <row r="490" customFormat="false" ht="15.75" hidden="false" customHeight="true" outlineLevel="0" collapsed="false">
      <c r="A490" s="34" t="s">
        <v>900</v>
      </c>
      <c r="B490" s="34" t="n">
        <v>847.2</v>
      </c>
      <c r="C490" s="34" t="n">
        <v>-66.67</v>
      </c>
      <c r="D490" s="34" t="n">
        <v>-88.67</v>
      </c>
      <c r="E490" s="34" t="n">
        <v>-34.65</v>
      </c>
      <c r="F490" s="34" t="n">
        <v>-68.03</v>
      </c>
      <c r="G490" s="34" t="n">
        <v>-101.99</v>
      </c>
      <c r="H490" s="34" t="n">
        <v>-84.42</v>
      </c>
      <c r="I490" s="34" t="n">
        <v>-86.68</v>
      </c>
      <c r="J490" s="34" t="n">
        <v>-85.89</v>
      </c>
      <c r="K490" s="34" t="n">
        <v>810.85</v>
      </c>
      <c r="L490" s="34" t="n">
        <f aca="false">AVERAGE(C490:E490)</f>
        <v>-63.33</v>
      </c>
      <c r="M490" s="34" t="n">
        <f aca="false">AVERAGE(C490:J490)</f>
        <v>-77.125</v>
      </c>
    </row>
    <row r="491" customFormat="false" ht="15.75" hidden="false" customHeight="true" outlineLevel="0" collapsed="false">
      <c r="A491" s="34" t="s">
        <v>901</v>
      </c>
      <c r="B491" s="34" t="n">
        <v>845</v>
      </c>
      <c r="C491" s="34" t="n">
        <v>66.67</v>
      </c>
      <c r="D491" s="34" t="n">
        <v>66.97</v>
      </c>
      <c r="E491" s="34" t="n">
        <v>118.93</v>
      </c>
      <c r="F491" s="34" t="n">
        <v>-24.92</v>
      </c>
      <c r="G491" s="34" t="n">
        <v>-53.9</v>
      </c>
      <c r="H491" s="34" t="n">
        <v>-51.74</v>
      </c>
      <c r="I491" s="34" t="n">
        <v>21.9</v>
      </c>
      <c r="J491" s="34" t="n">
        <v>36.23</v>
      </c>
      <c r="K491" s="34" t="n">
        <v>882.62</v>
      </c>
      <c r="L491" s="34" t="n">
        <f aca="false">AVERAGE(C491:E491)</f>
        <v>84.19</v>
      </c>
      <c r="M491" s="34" t="n">
        <f aca="false">AVERAGE(C491:J491)</f>
        <v>22.5175</v>
      </c>
    </row>
    <row r="492" customFormat="false" ht="15.75" hidden="false" customHeight="true" outlineLevel="0" collapsed="false">
      <c r="A492" s="34" t="s">
        <v>902</v>
      </c>
      <c r="B492" s="34" t="n">
        <v>843</v>
      </c>
      <c r="C492" s="34" t="n">
        <v>66.67</v>
      </c>
      <c r="D492" s="34" t="n">
        <v>84.55</v>
      </c>
      <c r="E492" s="34" t="n">
        <v>23.26</v>
      </c>
      <c r="F492" s="34" t="n">
        <v>-88.43</v>
      </c>
      <c r="G492" s="34" t="n">
        <v>-163.03</v>
      </c>
      <c r="H492" s="34"/>
      <c r="I492" s="34"/>
      <c r="J492" s="34"/>
      <c r="K492" s="34" t="n">
        <v>874.96</v>
      </c>
      <c r="L492" s="34" t="n">
        <f aca="false">AVERAGE(C492:E492)</f>
        <v>58.16</v>
      </c>
      <c r="M492" s="34" t="n">
        <f aca="false">AVERAGE(C492:J492)</f>
        <v>-15.396</v>
      </c>
    </row>
    <row r="493" customFormat="false" ht="15.75" hidden="false" customHeight="true" outlineLevel="0" collapsed="false">
      <c r="A493" s="34" t="s">
        <v>903</v>
      </c>
      <c r="B493" s="34" t="n">
        <v>840.8</v>
      </c>
      <c r="C493" s="34" t="n">
        <v>-66.67</v>
      </c>
      <c r="D493" s="34" t="n">
        <v>-22.27</v>
      </c>
      <c r="E493" s="34" t="n">
        <v>-74.91</v>
      </c>
      <c r="F493" s="34" t="n">
        <v>-85.45</v>
      </c>
      <c r="G493" s="34" t="n">
        <v>-80.63</v>
      </c>
      <c r="H493" s="34" t="n">
        <v>-75.43</v>
      </c>
      <c r="I493" s="34" t="n">
        <v>-56.1</v>
      </c>
      <c r="J493" s="34" t="n">
        <v>-61.68</v>
      </c>
      <c r="K493" s="34" t="n">
        <v>828.1</v>
      </c>
      <c r="L493" s="34" t="n">
        <f aca="false">AVERAGE(C493:E493)</f>
        <v>-54.6166666666667</v>
      </c>
      <c r="M493" s="34" t="n">
        <f aca="false">AVERAGE(C493:J493)</f>
        <v>-65.3925</v>
      </c>
    </row>
    <row r="494" customFormat="false" ht="15.75" hidden="false" customHeight="true" outlineLevel="0" collapsed="false">
      <c r="A494" s="34" t="s">
        <v>904</v>
      </c>
      <c r="B494" s="34" t="n">
        <v>837.95</v>
      </c>
      <c r="C494" s="34" t="n">
        <v>66.67</v>
      </c>
      <c r="D494" s="34" t="n">
        <v>113.3</v>
      </c>
      <c r="E494" s="34" t="n">
        <v>206.45</v>
      </c>
      <c r="F494" s="34" t="n">
        <v>-19.9</v>
      </c>
      <c r="G494" s="34" t="n">
        <v>-63.25</v>
      </c>
      <c r="H494" s="34" t="n">
        <v>-54.9</v>
      </c>
      <c r="I494" s="34" t="n">
        <v>-36.05</v>
      </c>
      <c r="J494" s="34" t="n">
        <v>-56.47</v>
      </c>
      <c r="K494" s="34" t="n">
        <v>863.04</v>
      </c>
      <c r="L494" s="34" t="n">
        <f aca="false">AVERAGE(C494:E494)</f>
        <v>128.806666666667</v>
      </c>
      <c r="M494" s="34" t="n">
        <f aca="false">AVERAGE(C494:J494)</f>
        <v>19.48125</v>
      </c>
    </row>
    <row r="495" customFormat="false" ht="15.75" hidden="false" customHeight="true" outlineLevel="0" collapsed="false">
      <c r="A495" s="34" t="s">
        <v>455</v>
      </c>
      <c r="B495" s="34" t="n">
        <v>834.65</v>
      </c>
      <c r="C495" s="34" t="n">
        <v>-66.67</v>
      </c>
      <c r="D495" s="34" t="n">
        <v>-66.04</v>
      </c>
      <c r="E495" s="34" t="n">
        <v>52.22</v>
      </c>
      <c r="F495" s="34" t="n">
        <v>-50.19</v>
      </c>
      <c r="G495" s="34" t="n">
        <v>-91.5</v>
      </c>
      <c r="H495" s="34" t="n">
        <v>-118.05</v>
      </c>
      <c r="I495" s="34" t="n">
        <v>-77.35</v>
      </c>
      <c r="J495" s="34" t="n">
        <v>-73</v>
      </c>
      <c r="K495" s="34" t="n">
        <v>862.62</v>
      </c>
      <c r="L495" s="34" t="n">
        <f aca="false">AVERAGE(C495:E495)</f>
        <v>-26.83</v>
      </c>
      <c r="M495" s="34" t="n">
        <f aca="false">AVERAGE(C495:J495)</f>
        <v>-61.3225</v>
      </c>
    </row>
    <row r="496" customFormat="false" ht="15.75" hidden="false" customHeight="true" outlineLevel="0" collapsed="false">
      <c r="A496" s="34" t="s">
        <v>905</v>
      </c>
      <c r="B496" s="34" t="n">
        <v>830.75</v>
      </c>
      <c r="C496" s="34" t="n">
        <v>-66.67</v>
      </c>
      <c r="D496" s="34" t="n">
        <v>-133.33</v>
      </c>
      <c r="E496" s="34" t="n">
        <v>-111.09</v>
      </c>
      <c r="F496" s="34" t="n">
        <v>-58.64</v>
      </c>
      <c r="G496" s="34" t="n">
        <v>-95.1</v>
      </c>
      <c r="H496" s="34" t="n">
        <v>-99.48</v>
      </c>
      <c r="I496" s="34" t="n">
        <v>-102.83</v>
      </c>
      <c r="J496" s="34" t="n">
        <v>-91.56</v>
      </c>
      <c r="K496" s="34" t="n">
        <v>812.87</v>
      </c>
      <c r="L496" s="34" t="n">
        <f aca="false">AVERAGE(C496:E496)</f>
        <v>-103.696666666667</v>
      </c>
      <c r="M496" s="34" t="n">
        <f aca="false">AVERAGE(C496:J496)</f>
        <v>-94.8375</v>
      </c>
    </row>
    <row r="497" customFormat="false" ht="15.75" hidden="false" customHeight="true" outlineLevel="0" collapsed="false">
      <c r="A497" s="34" t="s">
        <v>906</v>
      </c>
      <c r="B497" s="34" t="n">
        <v>830</v>
      </c>
      <c r="C497" s="34" t="n">
        <v>-66.67</v>
      </c>
      <c r="D497" s="34" t="n">
        <v>-74.62</v>
      </c>
      <c r="E497" s="34" t="n">
        <v>-22.41</v>
      </c>
      <c r="F497" s="34" t="n">
        <v>-49.04</v>
      </c>
      <c r="G497" s="34" t="n">
        <v>-84.61</v>
      </c>
      <c r="H497" s="34" t="n">
        <v>-34.03</v>
      </c>
      <c r="I497" s="34" t="n">
        <v>-14.39</v>
      </c>
      <c r="J497" s="34" t="n">
        <v>-9.2</v>
      </c>
      <c r="K497" s="34" t="n">
        <v>796.45</v>
      </c>
      <c r="L497" s="34" t="n">
        <f aca="false">AVERAGE(C497:E497)</f>
        <v>-54.5666666666667</v>
      </c>
      <c r="M497" s="34" t="n">
        <f aca="false">AVERAGE(C497:J497)</f>
        <v>-44.37125</v>
      </c>
    </row>
    <row r="498" customFormat="false" ht="15.75" hidden="false" customHeight="true" outlineLevel="0" collapsed="false">
      <c r="A498" s="34" t="s">
        <v>907</v>
      </c>
      <c r="B498" s="34" t="n">
        <v>828.9</v>
      </c>
      <c r="C498" s="34" t="n">
        <v>-66.67</v>
      </c>
      <c r="D498" s="34" t="n">
        <v>45.84</v>
      </c>
      <c r="E498" s="34" t="n">
        <v>-24.35</v>
      </c>
      <c r="F498" s="34" t="n">
        <v>-94.96</v>
      </c>
      <c r="G498" s="34" t="n">
        <v>-131.33</v>
      </c>
      <c r="H498" s="34" t="n">
        <v>-97.36</v>
      </c>
      <c r="I498" s="34" t="n">
        <v>-37.59</v>
      </c>
      <c r="J498" s="34" t="n">
        <v>-52.16</v>
      </c>
      <c r="K498" s="34" t="n">
        <v>908.35</v>
      </c>
      <c r="L498" s="34" t="n">
        <f aca="false">AVERAGE(C498:E498)</f>
        <v>-15.06</v>
      </c>
      <c r="M498" s="34" t="n">
        <f aca="false">AVERAGE(C498:J498)</f>
        <v>-57.3225</v>
      </c>
    </row>
    <row r="499" customFormat="false" ht="15.75" hidden="false" customHeight="true" outlineLevel="0" collapsed="false">
      <c r="A499" s="34" t="s">
        <v>908</v>
      </c>
      <c r="B499" s="34" t="n">
        <v>825</v>
      </c>
      <c r="C499" s="34" t="n">
        <v>-66.67</v>
      </c>
      <c r="D499" s="34" t="n">
        <v>-133.33</v>
      </c>
      <c r="E499" s="34" t="n">
        <v>-35.67</v>
      </c>
      <c r="F499" s="34" t="n">
        <v>-94.48</v>
      </c>
      <c r="G499" s="34" t="n">
        <v>-145.59</v>
      </c>
      <c r="H499" s="34" t="n">
        <v>-86.81</v>
      </c>
      <c r="I499" s="34" t="n">
        <v>-15.98</v>
      </c>
      <c r="J499" s="34" t="n">
        <v>1.76</v>
      </c>
      <c r="K499" s="34" t="n">
        <v>875.86</v>
      </c>
      <c r="L499" s="34" t="n">
        <f aca="false">AVERAGE(C499:E499)</f>
        <v>-78.5566666666667</v>
      </c>
      <c r="M499" s="34" t="n">
        <f aca="false">AVERAGE(C499:J499)</f>
        <v>-72.09625</v>
      </c>
    </row>
    <row r="500" customFormat="false" ht="15.75" hidden="false" customHeight="true" outlineLevel="0" collapsed="false">
      <c r="A500" s="34" t="s">
        <v>469</v>
      </c>
      <c r="B500" s="34" t="n">
        <v>824.75</v>
      </c>
      <c r="C500" s="34" t="n">
        <v>66.67</v>
      </c>
      <c r="D500" s="34" t="n">
        <v>-36.67</v>
      </c>
      <c r="E500" s="34" t="n">
        <v>46.38</v>
      </c>
      <c r="F500" s="34" t="n">
        <v>-57.67</v>
      </c>
      <c r="G500" s="34" t="n">
        <v>-113</v>
      </c>
      <c r="H500" s="34" t="n">
        <v>-12.76</v>
      </c>
      <c r="I500" s="34" t="n">
        <v>14.54</v>
      </c>
      <c r="J500" s="34" t="n">
        <v>12.66</v>
      </c>
      <c r="K500" s="34" t="n">
        <v>836.7</v>
      </c>
      <c r="L500" s="34" t="n">
        <f aca="false">AVERAGE(C500:E500)</f>
        <v>25.46</v>
      </c>
      <c r="M500" s="34" t="n">
        <f aca="false">AVERAGE(C500:J500)</f>
        <v>-9.98125000000001</v>
      </c>
    </row>
    <row r="501" customFormat="false" ht="15.75" hidden="false" customHeight="true" outlineLevel="0" collapsed="false">
      <c r="A501" s="34" t="s">
        <v>909</v>
      </c>
      <c r="B501" s="34" t="n">
        <v>824</v>
      </c>
      <c r="C501" s="34" t="n">
        <v>-66.67</v>
      </c>
      <c r="D501" s="34" t="n">
        <v>-62.58</v>
      </c>
      <c r="E501" s="34" t="n">
        <v>-121.24</v>
      </c>
      <c r="F501" s="34" t="n">
        <v>-106.3</v>
      </c>
      <c r="G501" s="34" t="n">
        <v>-152.47</v>
      </c>
      <c r="H501" s="34" t="n">
        <v>-86.48</v>
      </c>
      <c r="I501" s="34" t="n">
        <v>-95.86</v>
      </c>
      <c r="J501" s="34" t="n">
        <v>-101.13</v>
      </c>
      <c r="K501" s="34" t="n">
        <v>879.97</v>
      </c>
      <c r="L501" s="34" t="n">
        <f aca="false">AVERAGE(C501:E501)</f>
        <v>-83.4966666666667</v>
      </c>
      <c r="M501" s="34" t="n">
        <f aca="false">AVERAGE(C501:J501)</f>
        <v>-99.09125</v>
      </c>
    </row>
    <row r="502" customFormat="false" ht="15.75" hidden="false" customHeight="true" outlineLevel="0" collapsed="false">
      <c r="A502" s="34" t="s">
        <v>910</v>
      </c>
      <c r="B502" s="34" t="n">
        <v>822.9</v>
      </c>
      <c r="C502" s="34" t="n">
        <v>-66.67</v>
      </c>
      <c r="D502" s="34" t="n">
        <v>-19.2</v>
      </c>
      <c r="E502" s="34" t="n">
        <v>63</v>
      </c>
      <c r="F502" s="34"/>
      <c r="G502" s="34"/>
      <c r="H502" s="34"/>
      <c r="I502" s="34"/>
      <c r="J502" s="34"/>
      <c r="K502" s="34" t="n">
        <v>780.26</v>
      </c>
      <c r="L502" s="34" t="n">
        <f aca="false">AVERAGE(C502:E502)</f>
        <v>-7.62333333333334</v>
      </c>
      <c r="M502" s="34" t="n">
        <f aca="false">AVERAGE(C502:J502)</f>
        <v>-7.62333333333334</v>
      </c>
    </row>
    <row r="503" customFormat="false" ht="15.75" hidden="false" customHeight="true" outlineLevel="0" collapsed="false">
      <c r="A503" s="34" t="s">
        <v>911</v>
      </c>
      <c r="B503" s="34" t="n">
        <v>821</v>
      </c>
      <c r="C503" s="34" t="n">
        <v>-66.67</v>
      </c>
      <c r="D503" s="34" t="n">
        <v>-133.33</v>
      </c>
      <c r="E503" s="34" t="n">
        <v>-126.87</v>
      </c>
      <c r="F503" s="34" t="n">
        <v>-86.05</v>
      </c>
      <c r="G503" s="34" t="n">
        <v>30.94</v>
      </c>
      <c r="H503" s="34" t="n">
        <v>66.28</v>
      </c>
      <c r="I503" s="34" t="n">
        <v>81.21</v>
      </c>
      <c r="J503" s="34" t="n">
        <v>91.59</v>
      </c>
      <c r="K503" s="34" t="n">
        <v>926.3</v>
      </c>
      <c r="L503" s="34" t="n">
        <f aca="false">AVERAGE(C503:E503)</f>
        <v>-108.956666666667</v>
      </c>
      <c r="M503" s="34" t="n">
        <f aca="false">AVERAGE(C503:J503)</f>
        <v>-17.8625</v>
      </c>
    </row>
    <row r="504" customFormat="false" ht="15.75" hidden="false" customHeight="true" outlineLevel="0" collapsed="false">
      <c r="A504" s="34" t="s">
        <v>163</v>
      </c>
      <c r="B504" s="34" t="n">
        <v>821</v>
      </c>
      <c r="C504" s="34" t="n">
        <v>66.67</v>
      </c>
      <c r="D504" s="34" t="n">
        <v>68.84</v>
      </c>
      <c r="E504" s="34" t="n">
        <v>95.51</v>
      </c>
      <c r="F504" s="34" t="n">
        <v>-28.87</v>
      </c>
      <c r="G504" s="34" t="n">
        <v>-85.57</v>
      </c>
      <c r="H504" s="34" t="n">
        <v>-115.89</v>
      </c>
      <c r="I504" s="34" t="n">
        <v>-92.66</v>
      </c>
      <c r="J504" s="34" t="n">
        <v>-60.05</v>
      </c>
      <c r="K504" s="34" t="n">
        <v>791.77</v>
      </c>
      <c r="L504" s="34" t="n">
        <f aca="false">AVERAGE(C504:E504)</f>
        <v>77.0066666666667</v>
      </c>
      <c r="M504" s="34" t="n">
        <f aca="false">AVERAGE(C504:J504)</f>
        <v>-19.0025</v>
      </c>
    </row>
    <row r="505" customFormat="false" ht="15.75" hidden="false" customHeight="true" outlineLevel="0" collapsed="false">
      <c r="A505" s="34" t="s">
        <v>912</v>
      </c>
      <c r="B505" s="34" t="n">
        <v>820</v>
      </c>
      <c r="C505" s="34" t="n">
        <v>66.67</v>
      </c>
      <c r="D505" s="34" t="n">
        <v>87.84</v>
      </c>
      <c r="E505" s="34" t="n">
        <v>130.51</v>
      </c>
      <c r="F505" s="34" t="n">
        <v>24.09</v>
      </c>
      <c r="G505" s="34" t="n">
        <v>70.92</v>
      </c>
      <c r="H505" s="34" t="n">
        <v>72.84</v>
      </c>
      <c r="I505" s="34" t="n">
        <v>85.47</v>
      </c>
      <c r="J505" s="34" t="n">
        <v>104.28</v>
      </c>
      <c r="K505" s="34" t="n">
        <v>843.11</v>
      </c>
      <c r="L505" s="34" t="n">
        <f aca="false">AVERAGE(C505:E505)</f>
        <v>95.0066666666667</v>
      </c>
      <c r="M505" s="34" t="n">
        <f aca="false">AVERAGE(C505:J505)</f>
        <v>80.3275</v>
      </c>
    </row>
    <row r="506" customFormat="false" ht="15.75" hidden="false" customHeight="true" outlineLevel="0" collapsed="false">
      <c r="A506" s="34" t="s">
        <v>913</v>
      </c>
      <c r="B506" s="34" t="n">
        <v>817.9</v>
      </c>
      <c r="C506" s="34" t="n">
        <v>66.67</v>
      </c>
      <c r="D506" s="34" t="n">
        <v>76.62</v>
      </c>
      <c r="E506" s="34" t="n">
        <v>180.15</v>
      </c>
      <c r="F506" s="34" t="n">
        <v>91.2</v>
      </c>
      <c r="G506" s="34" t="n">
        <v>104.4</v>
      </c>
      <c r="H506" s="34" t="n">
        <v>124.8</v>
      </c>
      <c r="I506" s="34" t="n">
        <v>123.31</v>
      </c>
      <c r="J506" s="34" t="n">
        <v>106.03</v>
      </c>
      <c r="K506" s="34" t="n">
        <v>757.68</v>
      </c>
      <c r="L506" s="34" t="n">
        <f aca="false">AVERAGE(C506:E506)</f>
        <v>107.813333333333</v>
      </c>
      <c r="M506" s="34" t="n">
        <f aca="false">AVERAGE(C506:J506)</f>
        <v>109.1475</v>
      </c>
    </row>
    <row r="507" customFormat="false" ht="15.75" hidden="false" customHeight="true" outlineLevel="0" collapsed="false">
      <c r="A507" s="34" t="s">
        <v>159</v>
      </c>
      <c r="B507" s="34" t="n">
        <v>816.25</v>
      </c>
      <c r="C507" s="34" t="n">
        <v>-66.67</v>
      </c>
      <c r="D507" s="34" t="n">
        <v>-133.33</v>
      </c>
      <c r="E507" s="34" t="n">
        <v>-35.98</v>
      </c>
      <c r="F507" s="34" t="n">
        <v>31.99</v>
      </c>
      <c r="G507" s="34" t="n">
        <v>64.92</v>
      </c>
      <c r="H507" s="34" t="n">
        <v>79.89</v>
      </c>
      <c r="I507" s="34" t="n">
        <v>80.06</v>
      </c>
      <c r="J507" s="34" t="n">
        <v>86.76</v>
      </c>
      <c r="K507" s="34" t="n">
        <v>809.91</v>
      </c>
      <c r="L507" s="34" t="n">
        <f aca="false">AVERAGE(C507:E507)</f>
        <v>-78.66</v>
      </c>
      <c r="M507" s="34" t="n">
        <f aca="false">AVERAGE(C507:J507)</f>
        <v>13.455</v>
      </c>
    </row>
    <row r="508" customFormat="false" ht="15.75" hidden="false" customHeight="true" outlineLevel="0" collapsed="false">
      <c r="A508" s="34" t="s">
        <v>914</v>
      </c>
      <c r="B508" s="34" t="n">
        <v>815.05</v>
      </c>
      <c r="C508" s="34" t="n">
        <v>-66.67</v>
      </c>
      <c r="D508" s="34" t="n">
        <v>-61.71</v>
      </c>
      <c r="E508" s="34" t="n">
        <v>-39.69</v>
      </c>
      <c r="F508" s="34" t="n">
        <v>-103.2</v>
      </c>
      <c r="G508" s="34" t="n">
        <v>-154.27</v>
      </c>
      <c r="H508" s="34" t="n">
        <v>-182.87</v>
      </c>
      <c r="I508" s="34" t="n">
        <v>-92.95</v>
      </c>
      <c r="J508" s="34" t="n">
        <v>-49.84</v>
      </c>
      <c r="K508" s="34" t="n">
        <v>858.58</v>
      </c>
      <c r="L508" s="34" t="n">
        <f aca="false">AVERAGE(C508:E508)</f>
        <v>-56.0233333333333</v>
      </c>
      <c r="M508" s="34" t="n">
        <f aca="false">AVERAGE(C508:J508)</f>
        <v>-93.9</v>
      </c>
    </row>
    <row r="509" customFormat="false" ht="15.75" hidden="false" customHeight="true" outlineLevel="0" collapsed="false">
      <c r="A509" s="34" t="s">
        <v>915</v>
      </c>
      <c r="B509" s="34" t="n">
        <v>810</v>
      </c>
      <c r="C509" s="34" t="n">
        <v>-66.67</v>
      </c>
      <c r="D509" s="34" t="n">
        <v>-80.25</v>
      </c>
      <c r="E509" s="34" t="n">
        <v>-57.35</v>
      </c>
      <c r="F509" s="34" t="n">
        <v>-110.42</v>
      </c>
      <c r="G509" s="34" t="n">
        <v>40.26</v>
      </c>
      <c r="H509" s="34" t="n">
        <v>60.53</v>
      </c>
      <c r="I509" s="34" t="n">
        <v>66.81</v>
      </c>
      <c r="J509" s="34" t="n">
        <v>49.93</v>
      </c>
      <c r="K509" s="34" t="n">
        <v>857.17</v>
      </c>
      <c r="L509" s="34" t="n">
        <f aca="false">AVERAGE(C509:E509)</f>
        <v>-68.09</v>
      </c>
      <c r="M509" s="34" t="n">
        <f aca="false">AVERAGE(C509:J509)</f>
        <v>-12.145</v>
      </c>
    </row>
    <row r="510" customFormat="false" ht="15.75" hidden="false" customHeight="true" outlineLevel="0" collapsed="false">
      <c r="A510" s="34" t="s">
        <v>916</v>
      </c>
      <c r="B510" s="34" t="n">
        <v>808</v>
      </c>
      <c r="C510" s="34" t="n">
        <v>-66.67</v>
      </c>
      <c r="D510" s="34" t="n">
        <v>-48.95</v>
      </c>
      <c r="E510" s="34" t="n">
        <v>20.75</v>
      </c>
      <c r="F510" s="34" t="n">
        <v>-74.52</v>
      </c>
      <c r="G510" s="34" t="n">
        <v>-83.14</v>
      </c>
      <c r="H510" s="34" t="n">
        <v>-79.15</v>
      </c>
      <c r="I510" s="34" t="n">
        <v>-79.06</v>
      </c>
      <c r="J510" s="34" t="n">
        <v>-68.39</v>
      </c>
      <c r="K510" s="34" t="n">
        <v>853.11</v>
      </c>
      <c r="L510" s="34" t="n">
        <f aca="false">AVERAGE(C510:E510)</f>
        <v>-31.6233333333333</v>
      </c>
      <c r="M510" s="34" t="n">
        <f aca="false">AVERAGE(C510:J510)</f>
        <v>-59.89125</v>
      </c>
    </row>
    <row r="511" customFormat="false" ht="15.75" hidden="false" customHeight="true" outlineLevel="0" collapsed="false">
      <c r="A511" s="34" t="s">
        <v>463</v>
      </c>
      <c r="B511" s="34" t="n">
        <v>805.5</v>
      </c>
      <c r="C511" s="34" t="n">
        <v>66.67</v>
      </c>
      <c r="D511" s="34" t="n">
        <v>16.53</v>
      </c>
      <c r="E511" s="34" t="n">
        <v>15.6</v>
      </c>
      <c r="F511" s="34" t="n">
        <v>-88.81</v>
      </c>
      <c r="G511" s="34" t="n">
        <v>-99.26</v>
      </c>
      <c r="H511" s="34" t="n">
        <v>-18.8</v>
      </c>
      <c r="I511" s="34" t="n">
        <v>24.08</v>
      </c>
      <c r="J511" s="34" t="n">
        <v>42.46</v>
      </c>
      <c r="K511" s="34" t="n">
        <v>841.33</v>
      </c>
      <c r="L511" s="34" t="n">
        <f aca="false">AVERAGE(C511:E511)</f>
        <v>32.9333333333333</v>
      </c>
      <c r="M511" s="34" t="n">
        <f aca="false">AVERAGE(C511:J511)</f>
        <v>-5.19125</v>
      </c>
    </row>
    <row r="512" customFormat="false" ht="15.75" hidden="false" customHeight="true" outlineLevel="0" collapsed="false">
      <c r="A512" s="34" t="s">
        <v>917</v>
      </c>
      <c r="B512" s="34" t="n">
        <v>803.25</v>
      </c>
      <c r="C512" s="34" t="n">
        <v>66.67</v>
      </c>
      <c r="D512" s="34" t="n">
        <v>-34.07</v>
      </c>
      <c r="E512" s="34" t="n">
        <v>29.71</v>
      </c>
      <c r="F512" s="34" t="n">
        <v>112.79</v>
      </c>
      <c r="G512" s="34" t="n">
        <v>144.86</v>
      </c>
      <c r="H512" s="34" t="n">
        <v>155.08</v>
      </c>
      <c r="I512" s="34" t="n">
        <v>109.34</v>
      </c>
      <c r="J512" s="34" t="n">
        <v>117.49</v>
      </c>
      <c r="K512" s="34" t="n">
        <v>778.65</v>
      </c>
      <c r="L512" s="34" t="n">
        <f aca="false">AVERAGE(C512:E512)</f>
        <v>20.77</v>
      </c>
      <c r="M512" s="34" t="n">
        <f aca="false">AVERAGE(C512:J512)</f>
        <v>87.73375</v>
      </c>
    </row>
    <row r="513" customFormat="false" ht="15.75" hidden="false" customHeight="true" outlineLevel="0" collapsed="false">
      <c r="A513" s="34" t="s">
        <v>918</v>
      </c>
      <c r="B513" s="34" t="n">
        <v>802.3</v>
      </c>
      <c r="C513" s="34" t="n">
        <v>-66.67</v>
      </c>
      <c r="D513" s="34" t="n">
        <v>-129.32</v>
      </c>
      <c r="E513" s="34" t="n">
        <v>-88.48</v>
      </c>
      <c r="F513" s="34" t="n">
        <v>-229.23</v>
      </c>
      <c r="G513" s="34" t="n">
        <v>-348.52</v>
      </c>
      <c r="H513" s="34" t="n">
        <v>-334.62</v>
      </c>
      <c r="I513" s="34" t="n">
        <v>-312.73</v>
      </c>
      <c r="J513" s="34" t="n">
        <v>-236.08</v>
      </c>
      <c r="K513" s="34" t="n">
        <v>872.05</v>
      </c>
      <c r="L513" s="34" t="n">
        <f aca="false">AVERAGE(C513:E513)</f>
        <v>-94.8233333333333</v>
      </c>
      <c r="M513" s="34" t="n">
        <f aca="false">AVERAGE(C513:J513)</f>
        <v>-218.20625</v>
      </c>
    </row>
    <row r="514" customFormat="false" ht="15.75" hidden="false" customHeight="true" outlineLevel="0" collapsed="false">
      <c r="A514" s="34" t="s">
        <v>919</v>
      </c>
      <c r="B514" s="34" t="n">
        <v>802.1</v>
      </c>
      <c r="C514" s="34" t="n">
        <v>66.67</v>
      </c>
      <c r="D514" s="34" t="n">
        <v>-51.67</v>
      </c>
      <c r="E514" s="34" t="n">
        <v>-83.91</v>
      </c>
      <c r="F514" s="34" t="n">
        <v>17.77</v>
      </c>
      <c r="G514" s="34" t="n">
        <v>70.22</v>
      </c>
      <c r="H514" s="34" t="n">
        <v>86.25</v>
      </c>
      <c r="I514" s="34" t="n">
        <v>95.78</v>
      </c>
      <c r="J514" s="34" t="n">
        <v>112.46</v>
      </c>
      <c r="K514" s="34" t="n">
        <v>778.77</v>
      </c>
      <c r="L514" s="34" t="n">
        <f aca="false">AVERAGE(C514:E514)</f>
        <v>-22.97</v>
      </c>
      <c r="M514" s="34" t="n">
        <f aca="false">AVERAGE(C514:J514)</f>
        <v>39.19625</v>
      </c>
    </row>
    <row r="515" customFormat="false" ht="15.75" hidden="false" customHeight="true" outlineLevel="0" collapsed="false">
      <c r="A515" s="34" t="s">
        <v>422</v>
      </c>
      <c r="B515" s="34" t="n">
        <v>800.65</v>
      </c>
      <c r="C515" s="34" t="n">
        <v>66.67</v>
      </c>
      <c r="D515" s="34" t="n">
        <v>82.32</v>
      </c>
      <c r="E515" s="34" t="n">
        <v>76.85</v>
      </c>
      <c r="F515" s="34" t="n">
        <v>153.3</v>
      </c>
      <c r="G515" s="34" t="n">
        <v>284.69</v>
      </c>
      <c r="H515" s="34" t="n">
        <v>300.76</v>
      </c>
      <c r="I515" s="34" t="n">
        <v>242.97</v>
      </c>
      <c r="J515" s="34" t="n">
        <v>267.46</v>
      </c>
      <c r="K515" s="34" t="n">
        <v>734.74</v>
      </c>
      <c r="L515" s="34" t="n">
        <f aca="false">AVERAGE(C515:E515)</f>
        <v>75.28</v>
      </c>
      <c r="M515" s="34" t="n">
        <f aca="false">AVERAGE(C515:J515)</f>
        <v>184.3775</v>
      </c>
    </row>
    <row r="516" customFormat="false" ht="15.75" hidden="false" customHeight="true" outlineLevel="0" collapsed="false">
      <c r="A516" s="34" t="s">
        <v>238</v>
      </c>
      <c r="B516" s="34" t="n">
        <v>800.15</v>
      </c>
      <c r="C516" s="34" t="n">
        <v>-66.67</v>
      </c>
      <c r="D516" s="34" t="n">
        <v>-133.33</v>
      </c>
      <c r="E516" s="34" t="n">
        <v>5.33</v>
      </c>
      <c r="F516" s="34" t="n">
        <v>-53.2</v>
      </c>
      <c r="G516" s="34" t="n">
        <v>-96.95</v>
      </c>
      <c r="H516" s="34" t="n">
        <v>-127.22</v>
      </c>
      <c r="I516" s="34" t="n">
        <v>-64.64</v>
      </c>
      <c r="J516" s="34" t="n">
        <v>-28.03</v>
      </c>
      <c r="K516" s="34" t="n">
        <v>786.37</v>
      </c>
      <c r="L516" s="34" t="n">
        <f aca="false">AVERAGE(C516:E516)</f>
        <v>-64.89</v>
      </c>
      <c r="M516" s="34" t="n">
        <f aca="false">AVERAGE(C516:J516)</f>
        <v>-70.58875</v>
      </c>
    </row>
    <row r="517" customFormat="false" ht="15.75" hidden="false" customHeight="true" outlineLevel="0" collapsed="false">
      <c r="A517" s="34" t="s">
        <v>332</v>
      </c>
      <c r="B517" s="34" t="n">
        <v>799.75</v>
      </c>
      <c r="C517" s="34" t="n">
        <v>-66.67</v>
      </c>
      <c r="D517" s="34" t="n">
        <v>-133.33</v>
      </c>
      <c r="E517" s="34" t="n">
        <v>56.77</v>
      </c>
      <c r="F517" s="34" t="n">
        <v>-59.93</v>
      </c>
      <c r="G517" s="34" t="n">
        <v>-124</v>
      </c>
      <c r="H517" s="34" t="n">
        <v>-177.91</v>
      </c>
      <c r="I517" s="34" t="n">
        <v>-108.18</v>
      </c>
      <c r="J517" s="34" t="n">
        <v>-90.23</v>
      </c>
      <c r="K517" s="34" t="n">
        <v>830.26</v>
      </c>
      <c r="L517" s="34" t="n">
        <f aca="false">AVERAGE(C517:E517)</f>
        <v>-47.7433333333333</v>
      </c>
      <c r="M517" s="34" t="n">
        <f aca="false">AVERAGE(C517:J517)</f>
        <v>-87.935</v>
      </c>
    </row>
    <row r="518" customFormat="false" ht="15.75" hidden="false" customHeight="true" outlineLevel="0" collapsed="false">
      <c r="A518" s="34" t="s">
        <v>920</v>
      </c>
      <c r="B518" s="34" t="n">
        <v>796</v>
      </c>
      <c r="C518" s="34" t="n">
        <v>-66.67</v>
      </c>
      <c r="D518" s="34" t="n">
        <v>57.84</v>
      </c>
      <c r="E518" s="34" t="n">
        <v>132.48</v>
      </c>
      <c r="F518" s="34" t="n">
        <v>31.45</v>
      </c>
      <c r="G518" s="34" t="n">
        <v>-9.14</v>
      </c>
      <c r="H518" s="34" t="n">
        <v>20.57</v>
      </c>
      <c r="I518" s="34" t="n">
        <v>33.76</v>
      </c>
      <c r="J518" s="34"/>
      <c r="K518" s="34" t="n">
        <v>749.68</v>
      </c>
      <c r="L518" s="34" t="n">
        <f aca="false">AVERAGE(C518:E518)</f>
        <v>41.2166666666667</v>
      </c>
      <c r="M518" s="34" t="n">
        <f aca="false">AVERAGE(C518:J518)</f>
        <v>28.6128571428571</v>
      </c>
    </row>
    <row r="519" customFormat="false" ht="15.75" hidden="false" customHeight="true" outlineLevel="0" collapsed="false">
      <c r="A519" s="34" t="s">
        <v>921</v>
      </c>
      <c r="B519" s="34" t="n">
        <v>795.3</v>
      </c>
      <c r="C519" s="34" t="n">
        <v>66.67</v>
      </c>
      <c r="D519" s="34" t="n">
        <v>70.7</v>
      </c>
      <c r="E519" s="34" t="n">
        <v>98.17</v>
      </c>
      <c r="F519" s="34" t="n">
        <v>48.96</v>
      </c>
      <c r="G519" s="34"/>
      <c r="H519" s="34"/>
      <c r="I519" s="34"/>
      <c r="J519" s="34"/>
      <c r="K519" s="34" t="n">
        <v>764.48</v>
      </c>
      <c r="L519" s="34" t="n">
        <f aca="false">AVERAGE(C519:E519)</f>
        <v>78.5133333333333</v>
      </c>
      <c r="M519" s="34" t="n">
        <f aca="false">AVERAGE(C519:J519)</f>
        <v>71.125</v>
      </c>
    </row>
    <row r="520" customFormat="false" ht="15.75" hidden="false" customHeight="true" outlineLevel="0" collapsed="false">
      <c r="A520" s="34" t="s">
        <v>357</v>
      </c>
      <c r="B520" s="34" t="n">
        <v>792.5</v>
      </c>
      <c r="C520" s="34" t="n">
        <v>-66.67</v>
      </c>
      <c r="D520" s="34" t="n">
        <v>-88.48</v>
      </c>
      <c r="E520" s="34" t="n">
        <v>-37.84</v>
      </c>
      <c r="F520" s="34" t="n">
        <v>-57.56</v>
      </c>
      <c r="G520" s="34" t="n">
        <v>-93.71</v>
      </c>
      <c r="H520" s="34" t="n">
        <v>-8.55</v>
      </c>
      <c r="I520" s="34" t="n">
        <v>24.01</v>
      </c>
      <c r="J520" s="34" t="n">
        <v>11.52</v>
      </c>
      <c r="K520" s="34" t="n">
        <v>832.67</v>
      </c>
      <c r="L520" s="34" t="n">
        <f aca="false">AVERAGE(C520:E520)</f>
        <v>-64.33</v>
      </c>
      <c r="M520" s="34" t="n">
        <f aca="false">AVERAGE(C520:J520)</f>
        <v>-39.66</v>
      </c>
    </row>
    <row r="521" customFormat="false" ht="15.75" hidden="false" customHeight="true" outlineLevel="0" collapsed="false">
      <c r="A521" s="34" t="s">
        <v>922</v>
      </c>
      <c r="B521" s="34" t="n">
        <v>791.9</v>
      </c>
      <c r="C521" s="34" t="n">
        <v>-66.67</v>
      </c>
      <c r="D521" s="34" t="n">
        <v>-47.37</v>
      </c>
      <c r="E521" s="34" t="n">
        <v>-11.04</v>
      </c>
      <c r="F521" s="34" t="n">
        <v>42.24</v>
      </c>
      <c r="G521" s="34" t="n">
        <v>94.17</v>
      </c>
      <c r="H521" s="34" t="n">
        <v>102.26</v>
      </c>
      <c r="I521" s="34" t="n">
        <v>101.92</v>
      </c>
      <c r="J521" s="34" t="n">
        <v>121.29</v>
      </c>
      <c r="K521" s="34" t="n">
        <v>850.59</v>
      </c>
      <c r="L521" s="34" t="n">
        <f aca="false">AVERAGE(C521:E521)</f>
        <v>-41.6933333333333</v>
      </c>
      <c r="M521" s="34" t="n">
        <f aca="false">AVERAGE(C521:J521)</f>
        <v>42.1</v>
      </c>
    </row>
    <row r="522" customFormat="false" ht="15.75" hidden="false" customHeight="true" outlineLevel="0" collapsed="false">
      <c r="A522" s="34" t="s">
        <v>150</v>
      </c>
      <c r="B522" s="34" t="n">
        <v>788.85</v>
      </c>
      <c r="C522" s="34" t="n">
        <v>-66.67</v>
      </c>
      <c r="D522" s="34" t="n">
        <v>12.19</v>
      </c>
      <c r="E522" s="34" t="n">
        <v>82.12</v>
      </c>
      <c r="F522" s="34" t="n">
        <v>170.91</v>
      </c>
      <c r="G522" s="34" t="n">
        <v>171.39</v>
      </c>
      <c r="H522" s="34" t="n">
        <v>93.72</v>
      </c>
      <c r="I522" s="34" t="n">
        <v>67.17</v>
      </c>
      <c r="J522" s="34" t="n">
        <v>66.86</v>
      </c>
      <c r="K522" s="34" t="n">
        <v>768.26</v>
      </c>
      <c r="L522" s="34" t="n">
        <f aca="false">AVERAGE(C522:E522)</f>
        <v>9.21333333333333</v>
      </c>
      <c r="M522" s="34" t="n">
        <f aca="false">AVERAGE(C522:J522)</f>
        <v>74.71125</v>
      </c>
    </row>
    <row r="523" customFormat="false" ht="15.75" hidden="false" customHeight="true" outlineLevel="0" collapsed="false">
      <c r="A523" s="34" t="s">
        <v>184</v>
      </c>
      <c r="B523" s="34" t="n">
        <v>788.75</v>
      </c>
      <c r="C523" s="34" t="n">
        <v>-66.67</v>
      </c>
      <c r="D523" s="34" t="n">
        <v>-82.55</v>
      </c>
      <c r="E523" s="34" t="n">
        <v>38.73</v>
      </c>
      <c r="F523" s="34" t="n">
        <v>137.4</v>
      </c>
      <c r="G523" s="34" t="n">
        <v>88.69</v>
      </c>
      <c r="H523" s="34" t="n">
        <v>104.78</v>
      </c>
      <c r="I523" s="34" t="n">
        <v>88.69</v>
      </c>
      <c r="J523" s="34" t="n">
        <v>91.73</v>
      </c>
      <c r="K523" s="34" t="n">
        <v>770.59</v>
      </c>
      <c r="L523" s="34" t="n">
        <f aca="false">AVERAGE(C523:E523)</f>
        <v>-36.83</v>
      </c>
      <c r="M523" s="34" t="n">
        <f aca="false">AVERAGE(C523:J523)</f>
        <v>50.1</v>
      </c>
    </row>
    <row r="524" customFormat="false" ht="15.75" hidden="false" customHeight="true" outlineLevel="0" collapsed="false">
      <c r="A524" s="34" t="s">
        <v>923</v>
      </c>
      <c r="B524" s="34" t="n">
        <v>788.7</v>
      </c>
      <c r="C524" s="34" t="n">
        <v>66.67</v>
      </c>
      <c r="D524" s="34" t="n">
        <v>-12.26</v>
      </c>
      <c r="E524" s="34" t="n">
        <v>-46.56</v>
      </c>
      <c r="F524" s="34" t="n">
        <v>-36.54</v>
      </c>
      <c r="G524" s="34" t="n">
        <v>52.1</v>
      </c>
      <c r="H524" s="34" t="n">
        <v>74.78</v>
      </c>
      <c r="I524" s="34" t="n">
        <v>96.8</v>
      </c>
      <c r="J524" s="34"/>
      <c r="K524" s="34" t="n">
        <v>702.44</v>
      </c>
      <c r="L524" s="34" t="n">
        <f aca="false">AVERAGE(C524:E524)</f>
        <v>2.61666666666667</v>
      </c>
      <c r="M524" s="34" t="n">
        <f aca="false">AVERAGE(C524:J524)</f>
        <v>27.8557142857143</v>
      </c>
    </row>
    <row r="525" customFormat="false" ht="15.75" hidden="false" customHeight="true" outlineLevel="0" collapsed="false">
      <c r="A525" s="34" t="s">
        <v>924</v>
      </c>
      <c r="B525" s="34" t="n">
        <v>788</v>
      </c>
      <c r="C525" s="34" t="n">
        <v>-66.67</v>
      </c>
      <c r="D525" s="34" t="n">
        <v>-133.33</v>
      </c>
      <c r="E525" s="34" t="n">
        <v>39.47</v>
      </c>
      <c r="F525" s="34" t="n">
        <v>6.2</v>
      </c>
      <c r="G525" s="34" t="n">
        <v>7.72</v>
      </c>
      <c r="H525" s="34" t="n">
        <v>48.63</v>
      </c>
      <c r="I525" s="34" t="n">
        <v>69.94</v>
      </c>
      <c r="J525" s="34" t="n">
        <v>84.49</v>
      </c>
      <c r="K525" s="34" t="n">
        <v>759.88</v>
      </c>
      <c r="L525" s="34" t="n">
        <f aca="false">AVERAGE(C525:E525)</f>
        <v>-53.51</v>
      </c>
      <c r="M525" s="34" t="n">
        <f aca="false">AVERAGE(C525:J525)</f>
        <v>7.05625</v>
      </c>
    </row>
    <row r="526" customFormat="false" ht="15.75" hidden="false" customHeight="true" outlineLevel="0" collapsed="false">
      <c r="A526" s="34" t="s">
        <v>925</v>
      </c>
      <c r="B526" s="34" t="n">
        <v>784.15</v>
      </c>
      <c r="C526" s="34" t="n">
        <v>-66.67</v>
      </c>
      <c r="D526" s="34" t="n">
        <v>-133.33</v>
      </c>
      <c r="E526" s="34" t="n">
        <v>0.666</v>
      </c>
      <c r="F526" s="34" t="n">
        <v>-52.43</v>
      </c>
      <c r="G526" s="34" t="n">
        <v>-62.37</v>
      </c>
      <c r="H526" s="34" t="n">
        <v>-27.51</v>
      </c>
      <c r="I526" s="34" t="n">
        <v>-14.83</v>
      </c>
      <c r="J526" s="34" t="n">
        <v>-42.8</v>
      </c>
      <c r="K526" s="34" t="n">
        <v>859.67</v>
      </c>
      <c r="L526" s="34" t="n">
        <f aca="false">AVERAGE(C526:E526)</f>
        <v>-66.4446666666667</v>
      </c>
      <c r="M526" s="34" t="n">
        <f aca="false">AVERAGE(C526:J526)</f>
        <v>-49.90925</v>
      </c>
    </row>
    <row r="527" customFormat="false" ht="15.75" hidden="false" customHeight="true" outlineLevel="0" collapsed="false">
      <c r="A527" s="34" t="s">
        <v>926</v>
      </c>
      <c r="B527" s="34" t="n">
        <v>781.65</v>
      </c>
      <c r="C527" s="34" t="n">
        <v>66.67</v>
      </c>
      <c r="D527" s="34" t="n">
        <v>27.44</v>
      </c>
      <c r="E527" s="34" t="n">
        <v>-66.16</v>
      </c>
      <c r="F527" s="34" t="n">
        <v>-85.13</v>
      </c>
      <c r="G527" s="34" t="n">
        <v>-145.24</v>
      </c>
      <c r="H527" s="34" t="n">
        <v>-196.81</v>
      </c>
      <c r="I527" s="34" t="n">
        <v>-105.53</v>
      </c>
      <c r="J527" s="34" t="n">
        <v>-82.86</v>
      </c>
      <c r="K527" s="34" t="n">
        <v>838.88</v>
      </c>
      <c r="L527" s="34" t="n">
        <f aca="false">AVERAGE(C527:E527)</f>
        <v>9.31666666666667</v>
      </c>
      <c r="M527" s="34" t="n">
        <f aca="false">AVERAGE(C527:J527)</f>
        <v>-73.4525</v>
      </c>
    </row>
    <row r="528" customFormat="false" ht="15.75" hidden="false" customHeight="true" outlineLevel="0" collapsed="false">
      <c r="A528" s="34" t="s">
        <v>927</v>
      </c>
      <c r="B528" s="34" t="n">
        <v>779.75</v>
      </c>
      <c r="C528" s="34" t="n">
        <v>-66.67</v>
      </c>
      <c r="D528" s="34" t="n">
        <v>-86.38</v>
      </c>
      <c r="E528" s="34" t="n">
        <v>-43.97</v>
      </c>
      <c r="F528" s="34" t="n">
        <v>59.35</v>
      </c>
      <c r="G528" s="34" t="n">
        <v>93.71</v>
      </c>
      <c r="H528" s="34" t="n">
        <v>103.33</v>
      </c>
      <c r="I528" s="34" t="n">
        <v>115.36</v>
      </c>
      <c r="J528" s="34" t="n">
        <v>136.41</v>
      </c>
      <c r="K528" s="34" t="n">
        <v>723.11</v>
      </c>
      <c r="L528" s="34" t="n">
        <f aca="false">AVERAGE(C528:E528)</f>
        <v>-65.6733333333333</v>
      </c>
      <c r="M528" s="34" t="n">
        <f aca="false">AVERAGE(C528:J528)</f>
        <v>38.8925</v>
      </c>
    </row>
    <row r="529" customFormat="false" ht="15.75" hidden="false" customHeight="true" outlineLevel="0" collapsed="false">
      <c r="A529" s="34" t="s">
        <v>928</v>
      </c>
      <c r="B529" s="34" t="n">
        <v>778</v>
      </c>
      <c r="C529" s="34" t="n">
        <v>-66.67</v>
      </c>
      <c r="D529" s="34" t="n">
        <v>-24.83</v>
      </c>
      <c r="E529" s="34" t="n">
        <v>54.95</v>
      </c>
      <c r="F529" s="34" t="n">
        <v>86.82</v>
      </c>
      <c r="G529" s="34" t="n">
        <v>128.77</v>
      </c>
      <c r="H529" s="34" t="n">
        <v>140.72</v>
      </c>
      <c r="I529" s="34" t="n">
        <v>146.62</v>
      </c>
      <c r="J529" s="34" t="n">
        <v>142.88</v>
      </c>
      <c r="K529" s="34" t="n">
        <v>714.85</v>
      </c>
      <c r="L529" s="34" t="n">
        <f aca="false">AVERAGE(C529:E529)</f>
        <v>-12.1833333333333</v>
      </c>
      <c r="M529" s="34" t="n">
        <f aca="false">AVERAGE(C529:J529)</f>
        <v>76.1575</v>
      </c>
    </row>
    <row r="530" customFormat="false" ht="15.75" hidden="false" customHeight="true" outlineLevel="0" collapsed="false">
      <c r="A530" s="34" t="s">
        <v>239</v>
      </c>
      <c r="B530" s="34" t="n">
        <v>777.55</v>
      </c>
      <c r="C530" s="34" t="n">
        <v>-66.67</v>
      </c>
      <c r="D530" s="34" t="n">
        <v>56.79</v>
      </c>
      <c r="E530" s="34" t="n">
        <v>95.17</v>
      </c>
      <c r="F530" s="34" t="n">
        <v>177.17</v>
      </c>
      <c r="G530" s="34" t="n">
        <v>240.47</v>
      </c>
      <c r="H530" s="34" t="n">
        <v>181.65</v>
      </c>
      <c r="I530" s="34" t="n">
        <v>179.71</v>
      </c>
      <c r="J530" s="34" t="n">
        <v>203.97</v>
      </c>
      <c r="K530" s="34" t="n">
        <v>732.05</v>
      </c>
      <c r="L530" s="34" t="n">
        <f aca="false">AVERAGE(C530:E530)</f>
        <v>28.43</v>
      </c>
      <c r="M530" s="34" t="n">
        <f aca="false">AVERAGE(C530:J530)</f>
        <v>133.5325</v>
      </c>
    </row>
    <row r="531" customFormat="false" ht="15.75" hidden="false" customHeight="true" outlineLevel="0" collapsed="false">
      <c r="A531" s="34" t="s">
        <v>929</v>
      </c>
      <c r="B531" s="34" t="n">
        <v>775.35</v>
      </c>
      <c r="C531" s="34" t="n">
        <v>66.67</v>
      </c>
      <c r="D531" s="34" t="n">
        <v>-61.23</v>
      </c>
      <c r="E531" s="34" t="n">
        <v>-94.38</v>
      </c>
      <c r="F531" s="34" t="n">
        <v>-61.82</v>
      </c>
      <c r="G531" s="34" t="n">
        <v>-107.46</v>
      </c>
      <c r="H531" s="34" t="n">
        <v>-59.2</v>
      </c>
      <c r="I531" s="34" t="n">
        <v>-55.07</v>
      </c>
      <c r="J531" s="34" t="n">
        <v>-28.06</v>
      </c>
      <c r="K531" s="34" t="n">
        <v>829.87</v>
      </c>
      <c r="L531" s="34" t="n">
        <f aca="false">AVERAGE(C531:E531)</f>
        <v>-29.6466666666667</v>
      </c>
      <c r="M531" s="34" t="n">
        <f aca="false">AVERAGE(C531:J531)</f>
        <v>-50.06875</v>
      </c>
    </row>
    <row r="532" customFormat="false" ht="15.75" hidden="false" customHeight="true" outlineLevel="0" collapsed="false">
      <c r="A532" s="34" t="s">
        <v>543</v>
      </c>
      <c r="B532" s="34" t="n">
        <v>774.4</v>
      </c>
      <c r="C532" s="34" t="n">
        <v>-66.67</v>
      </c>
      <c r="D532" s="34" t="n">
        <v>33.45</v>
      </c>
      <c r="E532" s="34" t="n">
        <v>89.16</v>
      </c>
      <c r="F532" s="34" t="n">
        <v>21.06</v>
      </c>
      <c r="G532" s="34" t="n">
        <v>-31.66</v>
      </c>
      <c r="H532" s="34" t="n">
        <v>-4.85</v>
      </c>
      <c r="I532" s="34" t="n">
        <v>-16.16</v>
      </c>
      <c r="J532" s="34" t="n">
        <v>-46.5</v>
      </c>
      <c r="K532" s="34" t="n">
        <v>745.05</v>
      </c>
      <c r="L532" s="34" t="n">
        <f aca="false">AVERAGE(C532:E532)</f>
        <v>18.6466666666667</v>
      </c>
      <c r="M532" s="34" t="n">
        <f aca="false">AVERAGE(C532:J532)</f>
        <v>-2.77125</v>
      </c>
    </row>
    <row r="533" customFormat="false" ht="15.75" hidden="false" customHeight="true" outlineLevel="0" collapsed="false">
      <c r="A533" s="34" t="s">
        <v>930</v>
      </c>
      <c r="B533" s="34" t="n">
        <v>773.7</v>
      </c>
      <c r="C533" s="34" t="n">
        <v>-66.67</v>
      </c>
      <c r="D533" s="34" t="n">
        <v>16.66</v>
      </c>
      <c r="E533" s="34" t="n">
        <v>88.39</v>
      </c>
      <c r="F533" s="34" t="n">
        <v>3.51</v>
      </c>
      <c r="G533" s="34" t="n">
        <v>-0.685</v>
      </c>
      <c r="H533" s="34" t="n">
        <v>47.93</v>
      </c>
      <c r="I533" s="34" t="n">
        <v>64.83</v>
      </c>
      <c r="J533" s="34" t="n">
        <v>79.63</v>
      </c>
      <c r="K533" s="34" t="n">
        <v>789.83</v>
      </c>
      <c r="L533" s="34" t="n">
        <f aca="false">AVERAGE(C533:E533)</f>
        <v>12.7933333333333</v>
      </c>
      <c r="M533" s="34" t="n">
        <f aca="false">AVERAGE(C533:J533)</f>
        <v>29.199375</v>
      </c>
    </row>
    <row r="534" customFormat="false" ht="15.75" hidden="false" customHeight="true" outlineLevel="0" collapsed="false">
      <c r="A534" s="34" t="s">
        <v>931</v>
      </c>
      <c r="B534" s="34" t="n">
        <v>772.2</v>
      </c>
      <c r="C534" s="34" t="n">
        <v>-66.67</v>
      </c>
      <c r="D534" s="34" t="n">
        <v>39.47</v>
      </c>
      <c r="E534" s="34" t="n">
        <v>94.31</v>
      </c>
      <c r="F534" s="34" t="n">
        <v>83.93</v>
      </c>
      <c r="G534" s="34" t="n">
        <v>124.26</v>
      </c>
      <c r="H534" s="34" t="n">
        <v>55.11</v>
      </c>
      <c r="I534" s="34" t="n">
        <v>9.26</v>
      </c>
      <c r="J534" s="34" t="n">
        <v>-36.83</v>
      </c>
      <c r="K534" s="34" t="n">
        <v>745.94</v>
      </c>
      <c r="L534" s="34" t="n">
        <f aca="false">AVERAGE(C534:E534)</f>
        <v>22.37</v>
      </c>
      <c r="M534" s="34" t="n">
        <f aca="false">AVERAGE(C534:J534)</f>
        <v>37.855</v>
      </c>
    </row>
    <row r="535" customFormat="false" ht="15.75" hidden="false" customHeight="true" outlineLevel="0" collapsed="false">
      <c r="A535" s="34" t="s">
        <v>932</v>
      </c>
      <c r="B535" s="34" t="n">
        <v>771.3</v>
      </c>
      <c r="C535" s="34" t="n">
        <v>-66.67</v>
      </c>
      <c r="D535" s="34" t="n">
        <v>64.08</v>
      </c>
      <c r="E535" s="34" t="n">
        <v>101.17</v>
      </c>
      <c r="F535" s="34" t="n">
        <v>-9.85</v>
      </c>
      <c r="G535" s="34" t="n">
        <v>-12.53</v>
      </c>
      <c r="H535" s="34" t="n">
        <v>-18.75</v>
      </c>
      <c r="I535" s="34" t="n">
        <v>-47.54</v>
      </c>
      <c r="J535" s="34" t="n">
        <v>-53.67</v>
      </c>
      <c r="K535" s="34" t="n">
        <v>774.53</v>
      </c>
      <c r="L535" s="34" t="n">
        <f aca="false">AVERAGE(C535:E535)</f>
        <v>32.86</v>
      </c>
      <c r="M535" s="34" t="n">
        <f aca="false">AVERAGE(C535:J535)</f>
        <v>-5.47</v>
      </c>
    </row>
    <row r="536" customFormat="false" ht="15.75" hidden="false" customHeight="true" outlineLevel="0" collapsed="false">
      <c r="A536" s="34" t="s">
        <v>326</v>
      </c>
      <c r="B536" s="34" t="n">
        <v>770.15</v>
      </c>
      <c r="C536" s="34" t="n">
        <v>-66.67</v>
      </c>
      <c r="D536" s="34" t="n">
        <v>-47.99</v>
      </c>
      <c r="E536" s="34" t="n">
        <v>58.83</v>
      </c>
      <c r="F536" s="34" t="n">
        <v>79.89</v>
      </c>
      <c r="G536" s="34" t="n">
        <v>100.25</v>
      </c>
      <c r="H536" s="34" t="n">
        <v>120.17</v>
      </c>
      <c r="I536" s="34" t="n">
        <v>116.8</v>
      </c>
      <c r="J536" s="34" t="n">
        <v>117.23</v>
      </c>
      <c r="K536" s="34" t="n">
        <v>743.89</v>
      </c>
      <c r="L536" s="34" t="n">
        <f aca="false">AVERAGE(C536:E536)</f>
        <v>-18.61</v>
      </c>
      <c r="M536" s="34" t="n">
        <f aca="false">AVERAGE(C536:J536)</f>
        <v>59.81375</v>
      </c>
    </row>
    <row r="537" customFormat="false" ht="15.75" hidden="false" customHeight="true" outlineLevel="0" collapsed="false">
      <c r="A537" s="34" t="s">
        <v>933</v>
      </c>
      <c r="B537" s="34" t="n">
        <v>770</v>
      </c>
      <c r="C537" s="34" t="n">
        <v>-66.67</v>
      </c>
      <c r="D537" s="34" t="n">
        <v>-133.33</v>
      </c>
      <c r="E537" s="34" t="n">
        <v>-128.83</v>
      </c>
      <c r="F537" s="34" t="n">
        <v>-8.38</v>
      </c>
      <c r="G537" s="34" t="n">
        <v>27.65</v>
      </c>
      <c r="H537" s="34" t="n">
        <v>61.64</v>
      </c>
      <c r="I537" s="34" t="n">
        <v>71.62</v>
      </c>
      <c r="J537" s="34" t="n">
        <v>85.29</v>
      </c>
      <c r="K537" s="34" t="n">
        <v>744.83</v>
      </c>
      <c r="L537" s="34" t="n">
        <f aca="false">AVERAGE(C537:E537)</f>
        <v>-109.61</v>
      </c>
      <c r="M537" s="34" t="n">
        <f aca="false">AVERAGE(C537:J537)</f>
        <v>-11.37625</v>
      </c>
    </row>
    <row r="538" customFormat="false" ht="15.75" hidden="false" customHeight="true" outlineLevel="0" collapsed="false">
      <c r="A538" s="34" t="s">
        <v>346</v>
      </c>
      <c r="B538" s="34" t="n">
        <v>769.75</v>
      </c>
      <c r="C538" s="34" t="n">
        <v>-66.67</v>
      </c>
      <c r="D538" s="34" t="n">
        <v>6.2</v>
      </c>
      <c r="E538" s="34" t="n">
        <v>85.42</v>
      </c>
      <c r="F538" s="34" t="n">
        <v>12.3</v>
      </c>
      <c r="G538" s="34" t="n">
        <v>-26.07</v>
      </c>
      <c r="H538" s="34" t="n">
        <v>22.25</v>
      </c>
      <c r="I538" s="34" t="n">
        <v>52.28</v>
      </c>
      <c r="J538" s="34" t="n">
        <v>65.28</v>
      </c>
      <c r="K538" s="34" t="n">
        <v>750.2</v>
      </c>
      <c r="L538" s="34" t="n">
        <f aca="false">AVERAGE(C538:E538)</f>
        <v>8.31666666666667</v>
      </c>
      <c r="M538" s="34" t="n">
        <f aca="false">AVERAGE(C538:J538)</f>
        <v>18.87375</v>
      </c>
    </row>
    <row r="539" customFormat="false" ht="15.75" hidden="false" customHeight="true" outlineLevel="0" collapsed="false">
      <c r="A539" s="34" t="s">
        <v>934</v>
      </c>
      <c r="B539" s="34" t="n">
        <v>763.15</v>
      </c>
      <c r="C539" s="34" t="n">
        <v>-66.67</v>
      </c>
      <c r="D539" s="34" t="n">
        <v>-68.17</v>
      </c>
      <c r="E539" s="34" t="n">
        <v>-24.14</v>
      </c>
      <c r="F539" s="34" t="n">
        <v>-54.94</v>
      </c>
      <c r="G539" s="34" t="n">
        <v>-60.88</v>
      </c>
      <c r="H539" s="34" t="n">
        <v>21.81</v>
      </c>
      <c r="I539" s="34" t="n">
        <v>42.76</v>
      </c>
      <c r="J539" s="34" t="n">
        <v>58.54</v>
      </c>
      <c r="K539" s="34" t="n">
        <v>801.32</v>
      </c>
      <c r="L539" s="34" t="n">
        <f aca="false">AVERAGE(C539:E539)</f>
        <v>-52.9933333333333</v>
      </c>
      <c r="M539" s="34" t="n">
        <f aca="false">AVERAGE(C539:J539)</f>
        <v>-18.96125</v>
      </c>
    </row>
    <row r="540" customFormat="false" ht="15.75" hidden="false" customHeight="true" outlineLevel="0" collapsed="false">
      <c r="A540" s="34" t="s">
        <v>60</v>
      </c>
      <c r="B540" s="34" t="n">
        <v>762.55</v>
      </c>
      <c r="C540" s="34" t="n">
        <v>-66.67</v>
      </c>
      <c r="D540" s="34" t="n">
        <v>-133.33</v>
      </c>
      <c r="E540" s="34" t="n">
        <v>9.73</v>
      </c>
      <c r="F540" s="34" t="n">
        <v>-70.48</v>
      </c>
      <c r="G540" s="34" t="n">
        <v>-115.27</v>
      </c>
      <c r="H540" s="34" t="n">
        <v>-18.93</v>
      </c>
      <c r="I540" s="34" t="n">
        <v>12.76</v>
      </c>
      <c r="J540" s="34" t="n">
        <v>20.63</v>
      </c>
      <c r="K540" s="34" t="n">
        <v>794.36</v>
      </c>
      <c r="L540" s="34" t="n">
        <f aca="false">AVERAGE(C540:E540)</f>
        <v>-63.4233333333333</v>
      </c>
      <c r="M540" s="34" t="n">
        <f aca="false">AVERAGE(C540:J540)</f>
        <v>-45.195</v>
      </c>
    </row>
    <row r="541" customFormat="false" ht="15.75" hidden="false" customHeight="true" outlineLevel="0" collapsed="false">
      <c r="A541" s="34" t="s">
        <v>47</v>
      </c>
      <c r="B541" s="34" t="n">
        <v>760.1</v>
      </c>
      <c r="C541" s="34" t="n">
        <v>-66.67</v>
      </c>
      <c r="D541" s="34" t="n">
        <v>-100.67</v>
      </c>
      <c r="E541" s="34" t="n">
        <v>-149.64</v>
      </c>
      <c r="F541" s="34" t="n">
        <v>-107.16</v>
      </c>
      <c r="G541" s="34" t="n">
        <v>-159.21</v>
      </c>
      <c r="H541" s="34" t="n">
        <v>-143.41</v>
      </c>
      <c r="I541" s="34" t="n">
        <v>-49.09</v>
      </c>
      <c r="J541" s="34" t="n">
        <v>-65.32</v>
      </c>
      <c r="K541" s="34" t="n">
        <v>803.68</v>
      </c>
      <c r="L541" s="34" t="n">
        <f aca="false">AVERAGE(C541:E541)</f>
        <v>-105.66</v>
      </c>
      <c r="M541" s="34" t="n">
        <f aca="false">AVERAGE(C541:J541)</f>
        <v>-105.14625</v>
      </c>
    </row>
    <row r="542" customFormat="false" ht="15.75" hidden="false" customHeight="true" outlineLevel="0" collapsed="false">
      <c r="A542" s="34" t="s">
        <v>935</v>
      </c>
      <c r="B542" s="34" t="n">
        <v>760</v>
      </c>
      <c r="C542" s="34" t="n">
        <v>-66.67</v>
      </c>
      <c r="D542" s="34" t="n">
        <v>30.23</v>
      </c>
      <c r="E542" s="34" t="n">
        <v>70.71</v>
      </c>
      <c r="F542" s="34" t="n">
        <v>152.52</v>
      </c>
      <c r="G542" s="34" t="n">
        <v>197.08</v>
      </c>
      <c r="H542" s="34" t="n">
        <v>249.85</v>
      </c>
      <c r="I542" s="34" t="n">
        <v>273.66</v>
      </c>
      <c r="J542" s="34" t="n">
        <v>99.52</v>
      </c>
      <c r="K542" s="34" t="n">
        <v>687.8</v>
      </c>
      <c r="L542" s="34" t="n">
        <f aca="false">AVERAGE(C542:E542)</f>
        <v>11.4233333333333</v>
      </c>
      <c r="M542" s="34" t="n">
        <f aca="false">AVERAGE(C542:J542)</f>
        <v>125.8625</v>
      </c>
    </row>
    <row r="543" customFormat="false" ht="15.75" hidden="false" customHeight="true" outlineLevel="0" collapsed="false">
      <c r="A543" s="34" t="s">
        <v>936</v>
      </c>
      <c r="B543" s="34" t="n">
        <v>754.6</v>
      </c>
      <c r="C543" s="34" t="n">
        <v>-66.67</v>
      </c>
      <c r="D543" s="34" t="n">
        <v>5.55</v>
      </c>
      <c r="E543" s="34" t="n">
        <v>85.7</v>
      </c>
      <c r="F543" s="34" t="n">
        <v>-51.11</v>
      </c>
      <c r="G543" s="34" t="n">
        <v>-110.52</v>
      </c>
      <c r="H543" s="34" t="n">
        <v>-134.31</v>
      </c>
      <c r="I543" s="34" t="n">
        <v>-116.87</v>
      </c>
      <c r="J543" s="34" t="n">
        <v>-130.55</v>
      </c>
      <c r="K543" s="34" t="n">
        <v>715.47</v>
      </c>
      <c r="L543" s="34" t="n">
        <f aca="false">AVERAGE(C543:E543)</f>
        <v>8.19333333333333</v>
      </c>
      <c r="M543" s="34" t="n">
        <f aca="false">AVERAGE(C543:J543)</f>
        <v>-64.8475</v>
      </c>
    </row>
    <row r="544" customFormat="false" ht="15.75" hidden="false" customHeight="true" outlineLevel="0" collapsed="false">
      <c r="A544" s="34" t="s">
        <v>937</v>
      </c>
      <c r="B544" s="34" t="n">
        <v>752.05</v>
      </c>
      <c r="C544" s="34" t="n">
        <v>-66.67</v>
      </c>
      <c r="D544" s="34" t="n">
        <v>63.37</v>
      </c>
      <c r="E544" s="34" t="n">
        <v>158.26</v>
      </c>
      <c r="F544" s="34" t="n">
        <v>-21.51</v>
      </c>
      <c r="G544" s="34" t="n">
        <v>-28.91</v>
      </c>
      <c r="H544" s="34" t="n">
        <v>16.05</v>
      </c>
      <c r="I544" s="34" t="n">
        <v>46.06</v>
      </c>
      <c r="J544" s="34" t="n">
        <v>59.25</v>
      </c>
      <c r="K544" s="34" t="n">
        <v>770.29</v>
      </c>
      <c r="L544" s="34" t="n">
        <f aca="false">AVERAGE(C544:E544)</f>
        <v>51.6533333333333</v>
      </c>
      <c r="M544" s="34" t="n">
        <f aca="false">AVERAGE(C544:J544)</f>
        <v>28.2375</v>
      </c>
    </row>
    <row r="545" customFormat="false" ht="15.75" hidden="false" customHeight="true" outlineLevel="0" collapsed="false">
      <c r="A545" s="34" t="s">
        <v>938</v>
      </c>
      <c r="B545" s="34" t="n">
        <v>751.5</v>
      </c>
      <c r="C545" s="34" t="n">
        <v>66.67</v>
      </c>
      <c r="D545" s="34" t="n">
        <v>120.84</v>
      </c>
      <c r="E545" s="34" t="n">
        <v>113.44</v>
      </c>
      <c r="F545" s="34" t="n">
        <v>-40.5</v>
      </c>
      <c r="G545" s="34" t="n">
        <v>17.41</v>
      </c>
      <c r="H545" s="34" t="n">
        <v>10.89</v>
      </c>
      <c r="I545" s="34" t="n">
        <v>34.8</v>
      </c>
      <c r="J545" s="34" t="n">
        <v>47.15</v>
      </c>
      <c r="K545" s="34" t="n">
        <v>785.61</v>
      </c>
      <c r="L545" s="34" t="n">
        <f aca="false">AVERAGE(C545:E545)</f>
        <v>100.316666666667</v>
      </c>
      <c r="M545" s="34" t="n">
        <f aca="false">AVERAGE(C545:J545)</f>
        <v>46.3375</v>
      </c>
    </row>
    <row r="546" customFormat="false" ht="15.75" hidden="false" customHeight="true" outlineLevel="0" collapsed="false">
      <c r="A546" s="34" t="s">
        <v>939</v>
      </c>
      <c r="B546" s="34" t="n">
        <v>749.35</v>
      </c>
      <c r="C546" s="34" t="n">
        <v>-66.67</v>
      </c>
      <c r="D546" s="34" t="n">
        <v>-74.91</v>
      </c>
      <c r="E546" s="34" t="n">
        <v>-96.33</v>
      </c>
      <c r="F546" s="34" t="n">
        <v>-105.82</v>
      </c>
      <c r="G546" s="34" t="n">
        <v>-66.35</v>
      </c>
      <c r="H546" s="34" t="n">
        <v>-58.26</v>
      </c>
      <c r="I546" s="34" t="n">
        <v>-68.81</v>
      </c>
      <c r="J546" s="34" t="n">
        <v>-46.56</v>
      </c>
      <c r="K546" s="34" t="n">
        <v>790.6</v>
      </c>
      <c r="L546" s="34" t="n">
        <f aca="false">AVERAGE(C546:E546)</f>
        <v>-79.3033333333333</v>
      </c>
      <c r="M546" s="34" t="n">
        <f aca="false">AVERAGE(C546:J546)</f>
        <v>-72.96375</v>
      </c>
    </row>
    <row r="547" customFormat="false" ht="15.75" hidden="false" customHeight="true" outlineLevel="0" collapsed="false">
      <c r="A547" s="34" t="s">
        <v>940</v>
      </c>
      <c r="B547" s="34" t="n">
        <v>746.1</v>
      </c>
      <c r="C547" s="34" t="n">
        <v>-66.67</v>
      </c>
      <c r="D547" s="34" t="n">
        <v>-90.99</v>
      </c>
      <c r="E547" s="34" t="n">
        <v>-51.1</v>
      </c>
      <c r="F547" s="34" t="n">
        <v>-111.7</v>
      </c>
      <c r="G547" s="34" t="n">
        <v>-94.61</v>
      </c>
      <c r="H547" s="34" t="n">
        <v>-122.63</v>
      </c>
      <c r="I547" s="34" t="n">
        <v>-74.91</v>
      </c>
      <c r="J547" s="34" t="n">
        <v>-73.25</v>
      </c>
      <c r="K547" s="34" t="n">
        <v>785.06</v>
      </c>
      <c r="L547" s="34" t="n">
        <f aca="false">AVERAGE(C547:E547)</f>
        <v>-69.5866666666667</v>
      </c>
      <c r="M547" s="34" t="n">
        <f aca="false">AVERAGE(C547:J547)</f>
        <v>-85.7325</v>
      </c>
    </row>
    <row r="548" customFormat="false" ht="15.75" hidden="false" customHeight="true" outlineLevel="0" collapsed="false">
      <c r="A548" s="34" t="s">
        <v>412</v>
      </c>
      <c r="B548" s="34" t="n">
        <v>746.05</v>
      </c>
      <c r="C548" s="34" t="n">
        <v>-66.67</v>
      </c>
      <c r="D548" s="34" t="n">
        <v>-133.33</v>
      </c>
      <c r="E548" s="34" t="n">
        <v>-80.07</v>
      </c>
      <c r="F548" s="34" t="n">
        <v>-127.59</v>
      </c>
      <c r="G548" s="34" t="n">
        <v>-117.2</v>
      </c>
      <c r="H548" s="34" t="n">
        <v>-57.34</v>
      </c>
      <c r="I548" s="34" t="n">
        <v>-46.03</v>
      </c>
      <c r="J548" s="34" t="n">
        <v>-26.93</v>
      </c>
      <c r="K548" s="34" t="n">
        <v>800.22</v>
      </c>
      <c r="L548" s="34" t="n">
        <f aca="false">AVERAGE(C548:E548)</f>
        <v>-93.3566666666667</v>
      </c>
      <c r="M548" s="34" t="n">
        <f aca="false">AVERAGE(C548:J548)</f>
        <v>-81.895</v>
      </c>
    </row>
    <row r="549" customFormat="false" ht="15.75" hidden="false" customHeight="true" outlineLevel="0" collapsed="false">
      <c r="A549" s="34" t="s">
        <v>524</v>
      </c>
      <c r="B549" s="34" t="n">
        <v>745.95</v>
      </c>
      <c r="C549" s="34" t="n">
        <v>66.67</v>
      </c>
      <c r="D549" s="34" t="n">
        <v>83.04</v>
      </c>
      <c r="E549" s="34" t="n">
        <v>136.82</v>
      </c>
      <c r="F549" s="34" t="n">
        <v>102.49</v>
      </c>
      <c r="G549" s="34" t="n">
        <v>88.63</v>
      </c>
      <c r="H549" s="34" t="n">
        <v>116.98</v>
      </c>
      <c r="I549" s="34" t="n">
        <v>142.54</v>
      </c>
      <c r="J549" s="34" t="n">
        <v>171.77</v>
      </c>
      <c r="K549" s="34" t="n">
        <v>757.01</v>
      </c>
      <c r="L549" s="34" t="n">
        <f aca="false">AVERAGE(C549:E549)</f>
        <v>95.51</v>
      </c>
      <c r="M549" s="34" t="n">
        <f aca="false">AVERAGE(C549:J549)</f>
        <v>113.6175</v>
      </c>
    </row>
    <row r="550" customFormat="false" ht="15.75" hidden="false" customHeight="true" outlineLevel="0" collapsed="false">
      <c r="A550" s="34" t="s">
        <v>941</v>
      </c>
      <c r="B550" s="34" t="n">
        <v>742.15</v>
      </c>
      <c r="C550" s="34" t="n">
        <v>66.67</v>
      </c>
      <c r="D550" s="34" t="n">
        <v>88.82</v>
      </c>
      <c r="E550" s="34" t="n">
        <v>88.29</v>
      </c>
      <c r="F550" s="34" t="n">
        <v>-82.12</v>
      </c>
      <c r="G550" s="34" t="n">
        <v>-140.51</v>
      </c>
      <c r="H550" s="34" t="n">
        <v>-106.09</v>
      </c>
      <c r="I550" s="34" t="n">
        <v>-99.02</v>
      </c>
      <c r="J550" s="34" t="n">
        <v>-63.49</v>
      </c>
      <c r="K550" s="34" t="n">
        <v>782.57</v>
      </c>
      <c r="L550" s="34" t="n">
        <f aca="false">AVERAGE(C550:E550)</f>
        <v>81.26</v>
      </c>
      <c r="M550" s="34" t="n">
        <f aca="false">AVERAGE(C550:J550)</f>
        <v>-30.93125</v>
      </c>
    </row>
    <row r="551" customFormat="false" ht="15.75" hidden="false" customHeight="true" outlineLevel="0" collapsed="false">
      <c r="A551" s="34" t="s">
        <v>174</v>
      </c>
      <c r="B551" s="34" t="n">
        <v>742.05</v>
      </c>
      <c r="C551" s="34" t="n">
        <v>-66.67</v>
      </c>
      <c r="D551" s="34" t="n">
        <v>-133.33</v>
      </c>
      <c r="E551" s="34" t="n">
        <v>-9.4</v>
      </c>
      <c r="F551" s="34" t="n">
        <v>-28.6</v>
      </c>
      <c r="G551" s="34" t="n">
        <v>-48.46</v>
      </c>
      <c r="H551" s="34" t="n">
        <v>12.6</v>
      </c>
      <c r="I551" s="34" t="n">
        <v>46.88</v>
      </c>
      <c r="J551" s="34" t="n">
        <v>59.52</v>
      </c>
      <c r="K551" s="34" t="n">
        <v>770.28</v>
      </c>
      <c r="L551" s="34" t="n">
        <f aca="false">AVERAGE(C551:E551)</f>
        <v>-69.8</v>
      </c>
      <c r="M551" s="34" t="n">
        <f aca="false">AVERAGE(C551:J551)</f>
        <v>-20.9325</v>
      </c>
    </row>
    <row r="552" customFormat="false" ht="15.75" hidden="false" customHeight="true" outlineLevel="0" collapsed="false">
      <c r="A552" s="34" t="s">
        <v>942</v>
      </c>
      <c r="B552" s="34" t="n">
        <v>742</v>
      </c>
      <c r="C552" s="34" t="n">
        <v>-66.67</v>
      </c>
      <c r="D552" s="34" t="n">
        <v>-133.33</v>
      </c>
      <c r="E552" s="34" t="n">
        <v>3.26</v>
      </c>
      <c r="F552" s="34" t="n">
        <v>-52.06</v>
      </c>
      <c r="G552" s="34" t="n">
        <v>-98.62</v>
      </c>
      <c r="H552" s="34" t="n">
        <v>-109.21</v>
      </c>
      <c r="I552" s="34" t="n">
        <v>-58.71</v>
      </c>
      <c r="J552" s="34" t="n">
        <v>-67.24</v>
      </c>
      <c r="K552" s="34" t="n">
        <v>775.7</v>
      </c>
      <c r="L552" s="34" t="n">
        <f aca="false">AVERAGE(C552:E552)</f>
        <v>-65.58</v>
      </c>
      <c r="M552" s="34" t="n">
        <f aca="false">AVERAGE(C552:J552)</f>
        <v>-72.8225</v>
      </c>
    </row>
    <row r="553" customFormat="false" ht="15.75" hidden="false" customHeight="true" outlineLevel="0" collapsed="false">
      <c r="A553" s="34" t="s">
        <v>363</v>
      </c>
      <c r="B553" s="34" t="n">
        <v>737.6</v>
      </c>
      <c r="C553" s="34" t="n">
        <v>-66.67</v>
      </c>
      <c r="D553" s="34" t="n">
        <v>-71.84</v>
      </c>
      <c r="E553" s="34" t="n">
        <v>-4.9</v>
      </c>
      <c r="F553" s="34" t="n">
        <v>20.02</v>
      </c>
      <c r="G553" s="34" t="n">
        <v>-38.14</v>
      </c>
      <c r="H553" s="34" t="n">
        <v>-9.68</v>
      </c>
      <c r="I553" s="34" t="n">
        <v>18.69</v>
      </c>
      <c r="J553" s="34" t="n">
        <v>-15.82</v>
      </c>
      <c r="K553" s="34" t="n">
        <v>718.56</v>
      </c>
      <c r="L553" s="34" t="n">
        <f aca="false">AVERAGE(C553:E553)</f>
        <v>-47.8033333333333</v>
      </c>
      <c r="M553" s="34" t="n">
        <f aca="false">AVERAGE(C553:J553)</f>
        <v>-21.0425</v>
      </c>
    </row>
    <row r="554" customFormat="false" ht="15.75" hidden="false" customHeight="true" outlineLevel="0" collapsed="false">
      <c r="A554" s="34" t="s">
        <v>474</v>
      </c>
      <c r="B554" s="34" t="n">
        <v>736.8</v>
      </c>
      <c r="C554" s="34" t="n">
        <v>-66.67</v>
      </c>
      <c r="D554" s="34" t="n">
        <v>-97.84</v>
      </c>
      <c r="E554" s="34" t="n">
        <v>0.765</v>
      </c>
      <c r="F554" s="34" t="n">
        <v>-18.13</v>
      </c>
      <c r="G554" s="34" t="n">
        <v>59.73</v>
      </c>
      <c r="H554" s="34" t="n">
        <v>90.4</v>
      </c>
      <c r="I554" s="34" t="n">
        <v>107.39</v>
      </c>
      <c r="J554" s="34" t="n">
        <v>119.44</v>
      </c>
      <c r="K554" s="34" t="n">
        <v>715.14</v>
      </c>
      <c r="L554" s="34" t="n">
        <f aca="false">AVERAGE(C554:E554)</f>
        <v>-54.5816666666667</v>
      </c>
      <c r="M554" s="34" t="n">
        <f aca="false">AVERAGE(C554:J554)</f>
        <v>24.385625</v>
      </c>
    </row>
    <row r="555" customFormat="false" ht="15.75" hidden="false" customHeight="true" outlineLevel="0" collapsed="false">
      <c r="A555" s="34" t="s">
        <v>286</v>
      </c>
      <c r="B555" s="34" t="n">
        <v>734</v>
      </c>
      <c r="C555" s="34" t="n">
        <v>-66.67</v>
      </c>
      <c r="D555" s="34" t="n">
        <v>54.15</v>
      </c>
      <c r="E555" s="34" t="n">
        <v>106.58</v>
      </c>
      <c r="F555" s="34" t="n">
        <v>23.84</v>
      </c>
      <c r="G555" s="34" t="n">
        <v>-51.58</v>
      </c>
      <c r="H555" s="34" t="n">
        <v>-77.64</v>
      </c>
      <c r="I555" s="34" t="n">
        <v>-84.6</v>
      </c>
      <c r="J555" s="34" t="n">
        <v>-60.42</v>
      </c>
      <c r="K555" s="34" t="n">
        <v>696.68</v>
      </c>
      <c r="L555" s="34" t="n">
        <f aca="false">AVERAGE(C555:E555)</f>
        <v>31.3533333333333</v>
      </c>
      <c r="M555" s="34" t="n">
        <f aca="false">AVERAGE(C555:J555)</f>
        <v>-19.5425</v>
      </c>
    </row>
    <row r="556" customFormat="false" ht="15.75" hidden="false" customHeight="true" outlineLevel="0" collapsed="false">
      <c r="A556" s="34" t="s">
        <v>943</v>
      </c>
      <c r="B556" s="34" t="n">
        <v>732.4</v>
      </c>
      <c r="C556" s="34" t="n">
        <v>-66.67</v>
      </c>
      <c r="D556" s="34" t="n">
        <v>-133.33</v>
      </c>
      <c r="E556" s="34" t="n">
        <v>-99.84</v>
      </c>
      <c r="F556" s="34" t="n">
        <v>-143.45</v>
      </c>
      <c r="G556" s="34" t="n">
        <v>-204.55</v>
      </c>
      <c r="H556" s="34" t="n">
        <v>-126.04</v>
      </c>
      <c r="I556" s="34" t="n">
        <v>-48.57</v>
      </c>
      <c r="J556" s="34" t="n">
        <v>-59.55</v>
      </c>
      <c r="K556" s="34" t="n">
        <v>834.26</v>
      </c>
      <c r="L556" s="34" t="n">
        <f aca="false">AVERAGE(C556:E556)</f>
        <v>-99.9466666666667</v>
      </c>
      <c r="M556" s="34" t="n">
        <f aca="false">AVERAGE(C556:J556)</f>
        <v>-110.25</v>
      </c>
    </row>
    <row r="557" customFormat="false" ht="15.75" hidden="false" customHeight="true" outlineLevel="0" collapsed="false">
      <c r="A557" s="34" t="s">
        <v>944</v>
      </c>
      <c r="B557" s="34" t="n">
        <v>732</v>
      </c>
      <c r="C557" s="34" t="n">
        <v>-66.67</v>
      </c>
      <c r="D557" s="34" t="n">
        <v>23.24</v>
      </c>
      <c r="E557" s="34" t="n">
        <v>87.94</v>
      </c>
      <c r="F557" s="34" t="n">
        <v>21.59</v>
      </c>
      <c r="G557" s="34" t="n">
        <v>13.88</v>
      </c>
      <c r="H557" s="34" t="n">
        <v>32.49</v>
      </c>
      <c r="I557" s="34" t="n">
        <v>51.77</v>
      </c>
      <c r="J557" s="34" t="n">
        <v>61.19</v>
      </c>
      <c r="K557" s="34" t="n">
        <v>760.37</v>
      </c>
      <c r="L557" s="34" t="n">
        <f aca="false">AVERAGE(C557:E557)</f>
        <v>14.8366666666667</v>
      </c>
      <c r="M557" s="34" t="n">
        <f aca="false">AVERAGE(C557:J557)</f>
        <v>28.17875</v>
      </c>
    </row>
    <row r="558" customFormat="false" ht="15.75" hidden="false" customHeight="true" outlineLevel="0" collapsed="false">
      <c r="A558" s="34" t="s">
        <v>63</v>
      </c>
      <c r="B558" s="34" t="n">
        <v>730.7</v>
      </c>
      <c r="C558" s="34" t="n">
        <v>-66.67</v>
      </c>
      <c r="D558" s="34" t="n">
        <v>-26.6</v>
      </c>
      <c r="E558" s="34" t="n">
        <v>65.83</v>
      </c>
      <c r="F558" s="34" t="n">
        <v>91.96</v>
      </c>
      <c r="G558" s="34" t="n">
        <v>103.73</v>
      </c>
      <c r="H558" s="34" t="n">
        <v>114.69</v>
      </c>
      <c r="I558" s="34" t="n">
        <v>82.27</v>
      </c>
      <c r="J558" s="34" t="n">
        <v>89.1</v>
      </c>
      <c r="K558" s="34" t="n">
        <v>713.17</v>
      </c>
      <c r="L558" s="34" t="n">
        <f aca="false">AVERAGE(C558:E558)</f>
        <v>-9.14666666666667</v>
      </c>
      <c r="M558" s="34" t="n">
        <f aca="false">AVERAGE(C558:J558)</f>
        <v>56.78875</v>
      </c>
    </row>
    <row r="559" customFormat="false" ht="15.75" hidden="false" customHeight="true" outlineLevel="0" collapsed="false">
      <c r="A559" s="34" t="s">
        <v>945</v>
      </c>
      <c r="B559" s="34" t="n">
        <v>729.1</v>
      </c>
      <c r="C559" s="34" t="n">
        <v>-66.67</v>
      </c>
      <c r="D559" s="34" t="n">
        <v>-133.33</v>
      </c>
      <c r="E559" s="34" t="n">
        <v>-6.12</v>
      </c>
      <c r="F559" s="34" t="n">
        <v>17.46</v>
      </c>
      <c r="G559" s="34" t="n">
        <v>-46.65</v>
      </c>
      <c r="H559" s="34" t="n">
        <v>-65.28</v>
      </c>
      <c r="I559" s="34" t="n">
        <v>-61.61</v>
      </c>
      <c r="J559" s="34" t="n">
        <v>-64.32</v>
      </c>
      <c r="K559" s="34" t="n">
        <v>743.57</v>
      </c>
      <c r="L559" s="34" t="n">
        <f aca="false">AVERAGE(C559:E559)</f>
        <v>-68.7066666666667</v>
      </c>
      <c r="M559" s="34" t="n">
        <f aca="false">AVERAGE(C559:J559)</f>
        <v>-53.315</v>
      </c>
    </row>
    <row r="560" customFormat="false" ht="15.75" hidden="false" customHeight="true" outlineLevel="0" collapsed="false">
      <c r="A560" s="34" t="s">
        <v>157</v>
      </c>
      <c r="B560" s="34" t="n">
        <v>725</v>
      </c>
      <c r="C560" s="34" t="n">
        <v>-66.67</v>
      </c>
      <c r="D560" s="34" t="n">
        <v>-79.5</v>
      </c>
      <c r="E560" s="34" t="n">
        <v>-36.8</v>
      </c>
      <c r="F560" s="34" t="n">
        <v>-63.74</v>
      </c>
      <c r="G560" s="34" t="n">
        <v>-111.19</v>
      </c>
      <c r="H560" s="34" t="n">
        <v>-133.92</v>
      </c>
      <c r="I560" s="34" t="n">
        <v>-57.57</v>
      </c>
      <c r="J560" s="34" t="n">
        <v>-66.04</v>
      </c>
      <c r="K560" s="34" t="n">
        <v>744.47</v>
      </c>
      <c r="L560" s="34" t="n">
        <f aca="false">AVERAGE(C560:E560)</f>
        <v>-60.99</v>
      </c>
      <c r="M560" s="34" t="n">
        <f aca="false">AVERAGE(C560:J560)</f>
        <v>-76.92875</v>
      </c>
    </row>
    <row r="561" customFormat="false" ht="15.75" hidden="false" customHeight="true" outlineLevel="0" collapsed="false">
      <c r="A561" s="34" t="s">
        <v>946</v>
      </c>
      <c r="B561" s="34" t="n">
        <v>724.9</v>
      </c>
      <c r="C561" s="34" t="n">
        <v>-66.67</v>
      </c>
      <c r="D561" s="34" t="n">
        <v>20.32</v>
      </c>
      <c r="E561" s="34" t="n">
        <v>-36.34</v>
      </c>
      <c r="F561" s="34" t="n">
        <v>-41.23</v>
      </c>
      <c r="G561" s="34" t="n">
        <v>-66.23</v>
      </c>
      <c r="H561" s="34" t="n">
        <v>-68.31</v>
      </c>
      <c r="I561" s="34" t="n">
        <v>-3.49</v>
      </c>
      <c r="J561" s="34" t="n">
        <v>15.28</v>
      </c>
      <c r="K561" s="34" t="n">
        <v>715.2</v>
      </c>
      <c r="L561" s="34" t="n">
        <f aca="false">AVERAGE(C561:E561)</f>
        <v>-27.5633333333333</v>
      </c>
      <c r="M561" s="34" t="n">
        <f aca="false">AVERAGE(C561:J561)</f>
        <v>-30.83375</v>
      </c>
    </row>
    <row r="562" customFormat="false" ht="15.75" hidden="false" customHeight="true" outlineLevel="0" collapsed="false">
      <c r="A562" s="34" t="s">
        <v>947</v>
      </c>
      <c r="B562" s="34" t="n">
        <v>724.25</v>
      </c>
      <c r="C562" s="34" t="n">
        <v>66.67</v>
      </c>
      <c r="D562" s="34" t="n">
        <v>133.33</v>
      </c>
      <c r="E562" s="34" t="n">
        <v>125.47</v>
      </c>
      <c r="F562" s="34" t="n">
        <v>130.41</v>
      </c>
      <c r="G562" s="34" t="n">
        <v>134.45</v>
      </c>
      <c r="H562" s="34" t="n">
        <v>162.99</v>
      </c>
      <c r="I562" s="34" t="n">
        <v>191.78</v>
      </c>
      <c r="J562" s="34" t="n">
        <v>217.65</v>
      </c>
      <c r="K562" s="34" t="n">
        <v>652.32</v>
      </c>
      <c r="L562" s="34" t="n">
        <f aca="false">AVERAGE(C562:E562)</f>
        <v>108.49</v>
      </c>
      <c r="M562" s="34" t="n">
        <f aca="false">AVERAGE(C562:J562)</f>
        <v>145.34375</v>
      </c>
    </row>
    <row r="563" customFormat="false" ht="15.75" hidden="false" customHeight="true" outlineLevel="0" collapsed="false">
      <c r="A563" s="34" t="s">
        <v>948</v>
      </c>
      <c r="B563" s="34" t="n">
        <v>723.95</v>
      </c>
      <c r="C563" s="34" t="n">
        <v>-66.67</v>
      </c>
      <c r="D563" s="34" t="n">
        <v>-60.19</v>
      </c>
      <c r="E563" s="34" t="n">
        <v>-91.71</v>
      </c>
      <c r="F563" s="34" t="n">
        <v>-98.82</v>
      </c>
      <c r="G563" s="34" t="n">
        <v>-140.04</v>
      </c>
      <c r="H563" s="34" t="n">
        <v>-168.36</v>
      </c>
      <c r="I563" s="34" t="n">
        <v>-62.84</v>
      </c>
      <c r="J563" s="34" t="n">
        <v>-50.31</v>
      </c>
      <c r="K563" s="34" t="n">
        <v>769.85</v>
      </c>
      <c r="L563" s="34" t="n">
        <f aca="false">AVERAGE(C563:E563)</f>
        <v>-72.8566666666667</v>
      </c>
      <c r="M563" s="34" t="n">
        <f aca="false">AVERAGE(C563:J563)</f>
        <v>-92.3675</v>
      </c>
    </row>
    <row r="564" customFormat="false" ht="15.75" hidden="false" customHeight="true" outlineLevel="0" collapsed="false">
      <c r="A564" s="34" t="s">
        <v>949</v>
      </c>
      <c r="B564" s="34" t="n">
        <v>720.15</v>
      </c>
      <c r="C564" s="34" t="n">
        <v>-66.67</v>
      </c>
      <c r="D564" s="34" t="n">
        <v>-39.55</v>
      </c>
      <c r="E564" s="34" t="n">
        <v>71.96</v>
      </c>
      <c r="F564" s="34" t="n">
        <v>75.76</v>
      </c>
      <c r="G564" s="34" t="n">
        <v>-6.46</v>
      </c>
      <c r="H564" s="34" t="n">
        <v>-8.33</v>
      </c>
      <c r="I564" s="34" t="n">
        <v>4.95</v>
      </c>
      <c r="J564" s="34" t="n">
        <v>10.4</v>
      </c>
      <c r="K564" s="34" t="n">
        <v>683.95</v>
      </c>
      <c r="L564" s="34" t="n">
        <f aca="false">AVERAGE(C564:E564)</f>
        <v>-11.42</v>
      </c>
      <c r="M564" s="34" t="n">
        <f aca="false">AVERAGE(C564:J564)</f>
        <v>5.2575</v>
      </c>
    </row>
    <row r="565" customFormat="false" ht="15.75" hidden="false" customHeight="true" outlineLevel="0" collapsed="false">
      <c r="A565" s="34" t="s">
        <v>950</v>
      </c>
      <c r="B565" s="34" t="n">
        <v>720.1</v>
      </c>
      <c r="C565" s="34" t="n">
        <v>-66.67</v>
      </c>
      <c r="D565" s="34" t="n">
        <v>57.52</v>
      </c>
      <c r="E565" s="34"/>
      <c r="F565" s="34"/>
      <c r="G565" s="34"/>
      <c r="H565" s="34"/>
      <c r="I565" s="34"/>
      <c r="J565" s="34"/>
      <c r="K565" s="34"/>
      <c r="L565" s="34" t="n">
        <f aca="false">AVERAGE(C565:E565)</f>
        <v>-4.575</v>
      </c>
      <c r="M565" s="34" t="n">
        <f aca="false">AVERAGE(C565:J565)</f>
        <v>-4.575</v>
      </c>
    </row>
    <row r="566" customFormat="false" ht="15.75" hidden="false" customHeight="true" outlineLevel="0" collapsed="false">
      <c r="A566" s="34" t="s">
        <v>452</v>
      </c>
      <c r="B566" s="34" t="n">
        <v>717.05</v>
      </c>
      <c r="C566" s="34" t="n">
        <v>66.67</v>
      </c>
      <c r="D566" s="34" t="n">
        <v>81.39</v>
      </c>
      <c r="E566" s="34" t="n">
        <v>157.69</v>
      </c>
      <c r="F566" s="34" t="n">
        <v>-66.11</v>
      </c>
      <c r="G566" s="34" t="n">
        <v>-61.95</v>
      </c>
      <c r="H566" s="34" t="n">
        <v>-24.71</v>
      </c>
      <c r="I566" s="34" t="n">
        <v>4.42</v>
      </c>
      <c r="J566" s="34" t="n">
        <v>12.5</v>
      </c>
      <c r="K566" s="34" t="n">
        <v>747.37</v>
      </c>
      <c r="L566" s="34" t="n">
        <f aca="false">AVERAGE(C566:E566)</f>
        <v>101.916666666667</v>
      </c>
      <c r="M566" s="34" t="n">
        <f aca="false">AVERAGE(C566:J566)</f>
        <v>21.2375</v>
      </c>
    </row>
    <row r="567" customFormat="false" ht="15.75" hidden="false" customHeight="true" outlineLevel="0" collapsed="false">
      <c r="A567" s="34" t="s">
        <v>951</v>
      </c>
      <c r="B567" s="34" t="n">
        <v>716.65</v>
      </c>
      <c r="C567" s="34" t="n">
        <v>-66.67</v>
      </c>
      <c r="D567" s="34" t="n">
        <v>6.07</v>
      </c>
      <c r="E567" s="34" t="n">
        <v>-26.06</v>
      </c>
      <c r="F567" s="34" t="n">
        <v>-65.08</v>
      </c>
      <c r="G567" s="34" t="n">
        <v>3.47</v>
      </c>
      <c r="H567" s="34" t="n">
        <v>47.92</v>
      </c>
      <c r="I567" s="34" t="n">
        <v>67.6</v>
      </c>
      <c r="J567" s="34" t="n">
        <v>72.32</v>
      </c>
      <c r="K567" s="34" t="n">
        <v>756.02</v>
      </c>
      <c r="L567" s="34" t="n">
        <f aca="false">AVERAGE(C567:E567)</f>
        <v>-28.8866666666667</v>
      </c>
      <c r="M567" s="34" t="n">
        <f aca="false">AVERAGE(C567:J567)</f>
        <v>4.94625</v>
      </c>
    </row>
    <row r="568" customFormat="false" ht="15.75" hidden="false" customHeight="true" outlineLevel="0" collapsed="false">
      <c r="A568" s="34" t="s">
        <v>181</v>
      </c>
      <c r="B568" s="34" t="n">
        <v>716.45</v>
      </c>
      <c r="C568" s="34" t="n">
        <v>66.67</v>
      </c>
      <c r="D568" s="34" t="n">
        <v>57.4</v>
      </c>
      <c r="E568" s="34" t="n">
        <v>106.86</v>
      </c>
      <c r="F568" s="34" t="n">
        <v>59.68</v>
      </c>
      <c r="G568" s="34" t="n">
        <v>97.52</v>
      </c>
      <c r="H568" s="34" t="n">
        <v>124.92</v>
      </c>
      <c r="I568" s="34" t="n">
        <v>142.92</v>
      </c>
      <c r="J568" s="34" t="n">
        <v>149.77</v>
      </c>
      <c r="K568" s="34" t="n">
        <v>725.44</v>
      </c>
      <c r="L568" s="34" t="n">
        <f aca="false">AVERAGE(C568:E568)</f>
        <v>76.9766666666667</v>
      </c>
      <c r="M568" s="34" t="n">
        <f aca="false">AVERAGE(C568:J568)</f>
        <v>100.7175</v>
      </c>
    </row>
    <row r="569" customFormat="false" ht="15.75" hidden="false" customHeight="true" outlineLevel="0" collapsed="false">
      <c r="A569" s="34" t="s">
        <v>952</v>
      </c>
      <c r="B569" s="34" t="n">
        <v>716.15</v>
      </c>
      <c r="C569" s="34" t="n">
        <v>-66.67</v>
      </c>
      <c r="D569" s="34" t="n">
        <v>-38.35</v>
      </c>
      <c r="E569" s="34" t="n">
        <v>-3.76</v>
      </c>
      <c r="F569" s="34" t="n">
        <v>87.48</v>
      </c>
      <c r="G569" s="34" t="n">
        <v>116.62</v>
      </c>
      <c r="H569" s="34" t="n">
        <v>141.98</v>
      </c>
      <c r="I569" s="34" t="n">
        <v>161.87</v>
      </c>
      <c r="J569" s="34" t="n">
        <v>178.71</v>
      </c>
      <c r="K569" s="34" t="n">
        <v>673.92</v>
      </c>
      <c r="L569" s="34" t="n">
        <f aca="false">AVERAGE(C569:E569)</f>
        <v>-36.26</v>
      </c>
      <c r="M569" s="34" t="n">
        <f aca="false">AVERAGE(C569:J569)</f>
        <v>72.235</v>
      </c>
    </row>
    <row r="570" customFormat="false" ht="15.75" hidden="false" customHeight="true" outlineLevel="0" collapsed="false">
      <c r="A570" s="34" t="s">
        <v>72</v>
      </c>
      <c r="B570" s="34" t="n">
        <v>704.2</v>
      </c>
      <c r="C570" s="34" t="n">
        <v>-66.67</v>
      </c>
      <c r="D570" s="34" t="n">
        <v>-8.18</v>
      </c>
      <c r="E570" s="34" t="n">
        <v>58.97</v>
      </c>
      <c r="F570" s="34" t="n">
        <v>121.34</v>
      </c>
      <c r="G570" s="34" t="n">
        <v>110.35</v>
      </c>
      <c r="H570" s="34" t="n">
        <v>123.45</v>
      </c>
      <c r="I570" s="34" t="n">
        <v>110.49</v>
      </c>
      <c r="J570" s="34" t="n">
        <v>115.76</v>
      </c>
      <c r="K570" s="34" t="n">
        <v>678.04</v>
      </c>
      <c r="L570" s="34" t="n">
        <f aca="false">AVERAGE(C570:E570)</f>
        <v>-5.29333333333333</v>
      </c>
      <c r="M570" s="34" t="n">
        <f aca="false">AVERAGE(C570:J570)</f>
        <v>70.68875</v>
      </c>
    </row>
    <row r="571" customFormat="false" ht="15.75" hidden="false" customHeight="true" outlineLevel="0" collapsed="false">
      <c r="A571" s="34" t="s">
        <v>953</v>
      </c>
      <c r="B571" s="34" t="n">
        <v>703.3</v>
      </c>
      <c r="C571" s="34" t="n">
        <v>-66.67</v>
      </c>
      <c r="D571" s="34" t="n">
        <v>-36.66</v>
      </c>
      <c r="E571" s="34" t="n">
        <v>75.93</v>
      </c>
      <c r="F571" s="34" t="n">
        <v>134.46</v>
      </c>
      <c r="G571" s="34" t="n">
        <v>34.95</v>
      </c>
      <c r="H571" s="34" t="n">
        <v>66.91</v>
      </c>
      <c r="I571" s="34" t="n">
        <v>33.18</v>
      </c>
      <c r="J571" s="34" t="n">
        <v>-22.33</v>
      </c>
      <c r="K571" s="34" t="n">
        <v>664.96</v>
      </c>
      <c r="L571" s="34" t="n">
        <f aca="false">AVERAGE(C571:E571)</f>
        <v>-9.13333333333333</v>
      </c>
      <c r="M571" s="34" t="n">
        <f aca="false">AVERAGE(C571:J571)</f>
        <v>27.47125</v>
      </c>
    </row>
    <row r="572" customFormat="false" ht="15.75" hidden="false" customHeight="true" outlineLevel="0" collapsed="false">
      <c r="A572" s="34" t="s">
        <v>954</v>
      </c>
      <c r="B572" s="34" t="n">
        <v>702.15</v>
      </c>
      <c r="C572" s="34" t="n">
        <v>-66.67</v>
      </c>
      <c r="D572" s="34" t="n">
        <v>-34.85</v>
      </c>
      <c r="E572" s="34" t="n">
        <v>-29.14</v>
      </c>
      <c r="F572" s="34" t="n">
        <v>-58.75</v>
      </c>
      <c r="G572" s="34" t="n">
        <v>-91.94</v>
      </c>
      <c r="H572" s="34" t="n">
        <v>-13.63</v>
      </c>
      <c r="I572" s="34" t="n">
        <v>28.84</v>
      </c>
      <c r="J572" s="34" t="n">
        <v>36.6</v>
      </c>
      <c r="K572" s="34" t="n">
        <v>759.67</v>
      </c>
      <c r="L572" s="34" t="n">
        <f aca="false">AVERAGE(C572:E572)</f>
        <v>-43.5533333333333</v>
      </c>
      <c r="M572" s="34" t="n">
        <f aca="false">AVERAGE(C572:J572)</f>
        <v>-28.6925</v>
      </c>
    </row>
    <row r="573" customFormat="false" ht="15.75" hidden="false" customHeight="true" outlineLevel="0" collapsed="false">
      <c r="A573" s="34" t="s">
        <v>955</v>
      </c>
      <c r="B573" s="34" t="n">
        <v>701.95</v>
      </c>
      <c r="C573" s="34" t="n">
        <v>-66.67</v>
      </c>
      <c r="D573" s="34" t="n">
        <v>-129.78</v>
      </c>
      <c r="E573" s="34" t="n">
        <v>43.37</v>
      </c>
      <c r="F573" s="34" t="n">
        <v>56.66</v>
      </c>
      <c r="G573" s="34" t="n">
        <v>5.64</v>
      </c>
      <c r="H573" s="34" t="n">
        <v>16.43</v>
      </c>
      <c r="I573" s="34" t="n">
        <v>47.98</v>
      </c>
      <c r="J573" s="34" t="n">
        <v>58.51</v>
      </c>
      <c r="K573" s="34" t="n">
        <v>678.86</v>
      </c>
      <c r="L573" s="34" t="n">
        <f aca="false">AVERAGE(C573:E573)</f>
        <v>-51.0266666666667</v>
      </c>
      <c r="M573" s="34" t="n">
        <f aca="false">AVERAGE(C573:J573)</f>
        <v>4.0175</v>
      </c>
    </row>
    <row r="574" customFormat="false" ht="15.75" hidden="false" customHeight="true" outlineLevel="0" collapsed="false">
      <c r="A574" s="34" t="s">
        <v>548</v>
      </c>
      <c r="B574" s="34" t="n">
        <v>700.15</v>
      </c>
      <c r="C574" s="34" t="n">
        <v>-66.67</v>
      </c>
      <c r="D574" s="34" t="n">
        <v>14.47</v>
      </c>
      <c r="E574" s="34" t="n">
        <v>89.06</v>
      </c>
      <c r="F574" s="34" t="n">
        <v>-41.91</v>
      </c>
      <c r="G574" s="34" t="n">
        <v>-39.73</v>
      </c>
      <c r="H574" s="34" t="n">
        <v>-25.31</v>
      </c>
      <c r="I574" s="34" t="n">
        <v>-19.59</v>
      </c>
      <c r="J574" s="34" t="n">
        <v>-36.35</v>
      </c>
      <c r="K574" s="34" t="n">
        <v>669.6</v>
      </c>
      <c r="L574" s="34" t="n">
        <f aca="false">AVERAGE(C574:E574)</f>
        <v>12.2866666666667</v>
      </c>
      <c r="M574" s="34" t="n">
        <f aca="false">AVERAGE(C574:J574)</f>
        <v>-15.75375</v>
      </c>
    </row>
    <row r="575" customFormat="false" ht="15.75" hidden="false" customHeight="true" outlineLevel="0" collapsed="false">
      <c r="A575" s="34" t="s">
        <v>956</v>
      </c>
      <c r="B575" s="34" t="n">
        <v>697.5</v>
      </c>
      <c r="C575" s="34" t="n">
        <v>66.67</v>
      </c>
      <c r="D575" s="34" t="n">
        <v>-65.08</v>
      </c>
      <c r="E575" s="34" t="n">
        <v>58.39</v>
      </c>
      <c r="F575" s="34" t="n">
        <v>-27.31</v>
      </c>
      <c r="G575" s="34" t="n">
        <v>-81.9</v>
      </c>
      <c r="H575" s="34" t="n">
        <v>-57.05</v>
      </c>
      <c r="I575" s="34" t="n">
        <v>-20.36</v>
      </c>
      <c r="J575" s="34" t="n">
        <v>-32.73</v>
      </c>
      <c r="K575" s="34" t="n">
        <v>708.58</v>
      </c>
      <c r="L575" s="34" t="n">
        <f aca="false">AVERAGE(C575:E575)</f>
        <v>19.9933333333333</v>
      </c>
      <c r="M575" s="34" t="n">
        <f aca="false">AVERAGE(C575:J575)</f>
        <v>-19.92125</v>
      </c>
    </row>
    <row r="576" customFormat="false" ht="15.75" hidden="false" customHeight="true" outlineLevel="0" collapsed="false">
      <c r="A576" s="34" t="s">
        <v>957</v>
      </c>
      <c r="B576" s="34" t="n">
        <v>691.55</v>
      </c>
      <c r="C576" s="34" t="n">
        <v>-66.67</v>
      </c>
      <c r="D576" s="34" t="n">
        <v>-104.31</v>
      </c>
      <c r="E576" s="34" t="n">
        <v>-33.35</v>
      </c>
      <c r="F576" s="34" t="n">
        <v>-76.59</v>
      </c>
      <c r="G576" s="34" t="n">
        <v>-146.02</v>
      </c>
      <c r="H576" s="34" t="n">
        <v>-147.65</v>
      </c>
      <c r="I576" s="34" t="n">
        <v>-84.86</v>
      </c>
      <c r="J576" s="34" t="n">
        <v>-101.66</v>
      </c>
      <c r="K576" s="34" t="n">
        <v>740.37</v>
      </c>
      <c r="L576" s="34" t="n">
        <f aca="false">AVERAGE(C576:E576)</f>
        <v>-68.11</v>
      </c>
      <c r="M576" s="34" t="n">
        <f aca="false">AVERAGE(C576:J576)</f>
        <v>-95.13875</v>
      </c>
    </row>
    <row r="577" customFormat="false" ht="15.75" hidden="false" customHeight="true" outlineLevel="0" collapsed="false">
      <c r="A577" s="34" t="s">
        <v>958</v>
      </c>
      <c r="B577" s="34" t="n">
        <v>690.3</v>
      </c>
      <c r="C577" s="34" t="n">
        <v>-66.67</v>
      </c>
      <c r="D577" s="34" t="n">
        <v>13.85</v>
      </c>
      <c r="E577" s="34" t="n">
        <v>92.75</v>
      </c>
      <c r="F577" s="34" t="n">
        <v>-53.61</v>
      </c>
      <c r="G577" s="34" t="n">
        <v>-106.23</v>
      </c>
      <c r="H577" s="34" t="n">
        <v>-125.97</v>
      </c>
      <c r="I577" s="34" t="n">
        <v>-130.97</v>
      </c>
      <c r="J577" s="34" t="n">
        <v>-112.22</v>
      </c>
      <c r="K577" s="34" t="n">
        <v>739.96</v>
      </c>
      <c r="L577" s="34" t="n">
        <f aca="false">AVERAGE(C577:E577)</f>
        <v>13.31</v>
      </c>
      <c r="M577" s="34" t="n">
        <f aca="false">AVERAGE(C577:J577)</f>
        <v>-61.13375</v>
      </c>
    </row>
    <row r="578" customFormat="false" ht="15.75" hidden="false" customHeight="true" outlineLevel="0" collapsed="false">
      <c r="A578" s="34" t="s">
        <v>959</v>
      </c>
      <c r="B578" s="34" t="n">
        <v>689.55</v>
      </c>
      <c r="C578" s="34" t="n">
        <v>-66.67</v>
      </c>
      <c r="D578" s="34" t="n">
        <v>55.98</v>
      </c>
      <c r="E578" s="34" t="n">
        <v>116.76</v>
      </c>
      <c r="F578" s="34" t="n">
        <v>29.92</v>
      </c>
      <c r="G578" s="34" t="n">
        <v>-1.52</v>
      </c>
      <c r="H578" s="34" t="n">
        <v>-8.31</v>
      </c>
      <c r="I578" s="34" t="n">
        <v>2.34</v>
      </c>
      <c r="J578" s="34" t="n">
        <v>-0.428</v>
      </c>
      <c r="K578" s="34" t="n">
        <v>648.04</v>
      </c>
      <c r="L578" s="34" t="n">
        <f aca="false">AVERAGE(C578:E578)</f>
        <v>35.3566666666667</v>
      </c>
      <c r="M578" s="34" t="n">
        <f aca="false">AVERAGE(C578:J578)</f>
        <v>16.009</v>
      </c>
    </row>
    <row r="579" customFormat="false" ht="15.75" hidden="false" customHeight="true" outlineLevel="0" collapsed="false">
      <c r="A579" s="34" t="s">
        <v>960</v>
      </c>
      <c r="B579" s="34" t="n">
        <v>687.5</v>
      </c>
      <c r="C579" s="34" t="n">
        <v>-66.67</v>
      </c>
      <c r="D579" s="34" t="n">
        <v>-90.31</v>
      </c>
      <c r="E579" s="34" t="n">
        <v>54.25</v>
      </c>
      <c r="F579" s="34" t="n">
        <v>2.06</v>
      </c>
      <c r="G579" s="34" t="n">
        <v>38.8</v>
      </c>
      <c r="H579" s="34" t="n">
        <v>59.32</v>
      </c>
      <c r="I579" s="34" t="n">
        <v>70.13</v>
      </c>
      <c r="J579" s="34" t="n">
        <v>85.26</v>
      </c>
      <c r="K579" s="34" t="n">
        <v>743.73</v>
      </c>
      <c r="L579" s="34" t="n">
        <f aca="false">AVERAGE(C579:E579)</f>
        <v>-34.2433333333333</v>
      </c>
      <c r="M579" s="34" t="n">
        <f aca="false">AVERAGE(C579:J579)</f>
        <v>19.105</v>
      </c>
    </row>
    <row r="580" customFormat="false" ht="15.75" hidden="false" customHeight="true" outlineLevel="0" collapsed="false">
      <c r="A580" s="34" t="s">
        <v>961</v>
      </c>
      <c r="B580" s="34" t="n">
        <v>683.9</v>
      </c>
      <c r="C580" s="34" t="n">
        <v>-66.67</v>
      </c>
      <c r="D580" s="34" t="n">
        <v>-13.6</v>
      </c>
      <c r="E580" s="34" t="n">
        <v>16.1</v>
      </c>
      <c r="F580" s="34" t="n">
        <v>-64.31</v>
      </c>
      <c r="G580" s="34" t="n">
        <v>-24.15</v>
      </c>
      <c r="H580" s="34" t="n">
        <v>29.24</v>
      </c>
      <c r="I580" s="34" t="n">
        <v>46.93</v>
      </c>
      <c r="J580" s="34" t="n">
        <v>62.69</v>
      </c>
      <c r="K580" s="34" t="n">
        <v>761.2</v>
      </c>
      <c r="L580" s="34" t="n">
        <f aca="false">AVERAGE(C580:E580)</f>
        <v>-21.39</v>
      </c>
      <c r="M580" s="34" t="n">
        <f aca="false">AVERAGE(C580:J580)</f>
        <v>-1.72125</v>
      </c>
    </row>
    <row r="581" customFormat="false" ht="15.75" hidden="false" customHeight="true" outlineLevel="0" collapsed="false">
      <c r="A581" s="34" t="s">
        <v>576</v>
      </c>
      <c r="B581" s="34" t="n">
        <v>683.85</v>
      </c>
      <c r="C581" s="34" t="n">
        <v>66.67</v>
      </c>
      <c r="D581" s="34" t="n">
        <v>133.33</v>
      </c>
      <c r="E581" s="34" t="n">
        <v>106.74</v>
      </c>
      <c r="F581" s="34" t="n">
        <v>-27.9</v>
      </c>
      <c r="G581" s="34" t="n">
        <v>-82.21</v>
      </c>
      <c r="H581" s="34" t="n">
        <v>-44.62</v>
      </c>
      <c r="I581" s="34" t="n">
        <v>6.02</v>
      </c>
      <c r="J581" s="34" t="n">
        <v>23</v>
      </c>
      <c r="K581" s="34" t="n">
        <v>702.9</v>
      </c>
      <c r="L581" s="34" t="n">
        <f aca="false">AVERAGE(C581:E581)</f>
        <v>102.246666666667</v>
      </c>
      <c r="M581" s="34" t="n">
        <f aca="false">AVERAGE(C581:J581)</f>
        <v>22.62875</v>
      </c>
    </row>
    <row r="582" customFormat="false" ht="15.75" hidden="false" customHeight="true" outlineLevel="0" collapsed="false">
      <c r="A582" s="34" t="s">
        <v>458</v>
      </c>
      <c r="B582" s="34" t="n">
        <v>683.6</v>
      </c>
      <c r="C582" s="34" t="n">
        <v>-66.67</v>
      </c>
      <c r="D582" s="34" t="n">
        <v>-2.38</v>
      </c>
      <c r="E582" s="34" t="n">
        <v>82.59</v>
      </c>
      <c r="F582" s="34" t="n">
        <v>-36.77</v>
      </c>
      <c r="G582" s="34" t="n">
        <v>-79.32</v>
      </c>
      <c r="H582" s="34" t="n">
        <v>-62.44</v>
      </c>
      <c r="I582" s="34" t="n">
        <v>-31.52</v>
      </c>
      <c r="J582" s="34" t="n">
        <v>-49.84</v>
      </c>
      <c r="K582" s="34" t="n">
        <v>664.14</v>
      </c>
      <c r="L582" s="34" t="n">
        <f aca="false">AVERAGE(C582:E582)</f>
        <v>4.51333333333334</v>
      </c>
      <c r="M582" s="34" t="n">
        <f aca="false">AVERAGE(C582:J582)</f>
        <v>-30.79375</v>
      </c>
    </row>
    <row r="583" customFormat="false" ht="15.75" hidden="false" customHeight="true" outlineLevel="0" collapsed="false">
      <c r="A583" s="34" t="s">
        <v>962</v>
      </c>
      <c r="B583" s="34" t="n">
        <v>682.1</v>
      </c>
      <c r="C583" s="34" t="n">
        <v>66.67</v>
      </c>
      <c r="D583" s="34" t="n">
        <v>-25.26</v>
      </c>
      <c r="E583" s="34" t="n">
        <v>64.59</v>
      </c>
      <c r="F583" s="34" t="n">
        <v>143.97</v>
      </c>
      <c r="G583" s="34" t="n">
        <v>148.51</v>
      </c>
      <c r="H583" s="34" t="n">
        <v>174.09</v>
      </c>
      <c r="I583" s="34" t="n">
        <v>197.06</v>
      </c>
      <c r="J583" s="34" t="n">
        <v>223.6</v>
      </c>
      <c r="K583" s="34" t="n">
        <v>597.27</v>
      </c>
      <c r="L583" s="34" t="n">
        <f aca="false">AVERAGE(C583:E583)</f>
        <v>35.3333333333333</v>
      </c>
      <c r="M583" s="34" t="n">
        <f aca="false">AVERAGE(C583:J583)</f>
        <v>124.15375</v>
      </c>
    </row>
    <row r="584" customFormat="false" ht="15.75" hidden="false" customHeight="true" outlineLevel="0" collapsed="false">
      <c r="A584" s="34" t="s">
        <v>170</v>
      </c>
      <c r="B584" s="34" t="n">
        <v>680.3</v>
      </c>
      <c r="C584" s="34" t="n">
        <v>-66.67</v>
      </c>
      <c r="D584" s="34" t="n">
        <v>-116.07</v>
      </c>
      <c r="E584" s="34" t="n">
        <v>52.65</v>
      </c>
      <c r="F584" s="34" t="n">
        <v>46.3</v>
      </c>
      <c r="G584" s="34" t="n">
        <v>-4.42</v>
      </c>
      <c r="H584" s="34" t="n">
        <v>-4.21</v>
      </c>
      <c r="I584" s="34" t="n">
        <v>18.14</v>
      </c>
      <c r="J584" s="34" t="n">
        <v>-0.009</v>
      </c>
      <c r="K584" s="34" t="n">
        <v>661.82</v>
      </c>
      <c r="L584" s="34" t="n">
        <f aca="false">AVERAGE(C584:E584)</f>
        <v>-43.3633333333333</v>
      </c>
      <c r="M584" s="34" t="n">
        <f aca="false">AVERAGE(C584:J584)</f>
        <v>-9.286125</v>
      </c>
    </row>
    <row r="585" customFormat="false" ht="15.75" hidden="false" customHeight="true" outlineLevel="0" collapsed="false">
      <c r="A585" s="34" t="s">
        <v>224</v>
      </c>
      <c r="B585" s="34" t="n">
        <v>679.85</v>
      </c>
      <c r="C585" s="34" t="n">
        <v>66.67</v>
      </c>
      <c r="D585" s="34" t="n">
        <v>119.5</v>
      </c>
      <c r="E585" s="34" t="n">
        <v>125.45</v>
      </c>
      <c r="F585" s="34" t="n">
        <v>84.64</v>
      </c>
      <c r="G585" s="34" t="n">
        <v>38.38</v>
      </c>
      <c r="H585" s="34" t="n">
        <v>43.78</v>
      </c>
      <c r="I585" s="34" t="n">
        <v>58.97</v>
      </c>
      <c r="J585" s="34" t="n">
        <v>70.01</v>
      </c>
      <c r="K585" s="34" t="n">
        <v>689.49</v>
      </c>
      <c r="L585" s="34" t="n">
        <f aca="false">AVERAGE(C585:E585)</f>
        <v>103.873333333333</v>
      </c>
      <c r="M585" s="34" t="n">
        <f aca="false">AVERAGE(C585:J585)</f>
        <v>75.925</v>
      </c>
    </row>
    <row r="586" customFormat="false" ht="15.75" hidden="false" customHeight="true" outlineLevel="0" collapsed="false">
      <c r="A586" s="34" t="s">
        <v>963</v>
      </c>
      <c r="B586" s="34" t="n">
        <v>679.85</v>
      </c>
      <c r="C586" s="34" t="n">
        <v>-66.67</v>
      </c>
      <c r="D586" s="34" t="n">
        <v>-133.33</v>
      </c>
      <c r="E586" s="34" t="n">
        <v>-110.17</v>
      </c>
      <c r="F586" s="34" t="n">
        <v>-29.82</v>
      </c>
      <c r="G586" s="34" t="n">
        <v>42.28</v>
      </c>
      <c r="H586" s="34" t="n">
        <v>28.38</v>
      </c>
      <c r="I586" s="34" t="n">
        <v>50.82</v>
      </c>
      <c r="J586" s="34"/>
      <c r="K586" s="34" t="n">
        <v>660.8</v>
      </c>
      <c r="L586" s="34" t="n">
        <f aca="false">AVERAGE(C586:E586)</f>
        <v>-103.39</v>
      </c>
      <c r="M586" s="34" t="n">
        <f aca="false">AVERAGE(C586:J586)</f>
        <v>-31.2157142857143</v>
      </c>
    </row>
    <row r="587" customFormat="false" ht="15.75" hidden="false" customHeight="true" outlineLevel="0" collapsed="false">
      <c r="A587" s="34" t="s">
        <v>964</v>
      </c>
      <c r="B587" s="34" t="n">
        <v>679.75</v>
      </c>
      <c r="C587" s="34" t="n">
        <v>-66.67</v>
      </c>
      <c r="D587" s="34" t="n">
        <v>-67.84</v>
      </c>
      <c r="E587" s="34" t="n">
        <v>-26.35</v>
      </c>
      <c r="F587" s="34" t="n">
        <v>-71.76</v>
      </c>
      <c r="G587" s="34" t="n">
        <v>-117.01</v>
      </c>
      <c r="H587" s="34" t="n">
        <v>-88.76</v>
      </c>
      <c r="I587" s="34" t="n">
        <v>-25.79</v>
      </c>
      <c r="J587" s="34" t="n">
        <v>-32.73</v>
      </c>
      <c r="K587" s="34" t="n">
        <v>707.48</v>
      </c>
      <c r="L587" s="34" t="n">
        <f aca="false">AVERAGE(C587:E587)</f>
        <v>-53.62</v>
      </c>
      <c r="M587" s="34" t="n">
        <f aca="false">AVERAGE(C587:J587)</f>
        <v>-62.11375</v>
      </c>
    </row>
    <row r="588" customFormat="false" ht="15.75" hidden="false" customHeight="true" outlineLevel="0" collapsed="false">
      <c r="A588" s="34" t="s">
        <v>965</v>
      </c>
      <c r="B588" s="34" t="n">
        <v>677.05</v>
      </c>
      <c r="C588" s="34" t="n">
        <v>66.67</v>
      </c>
      <c r="D588" s="34" t="n">
        <v>84.17</v>
      </c>
      <c r="E588" s="34" t="n">
        <v>92.31</v>
      </c>
      <c r="F588" s="34" t="n">
        <v>116.69</v>
      </c>
      <c r="G588" s="34" t="n">
        <v>147.73</v>
      </c>
      <c r="H588" s="34" t="n">
        <v>198.58</v>
      </c>
      <c r="I588" s="34" t="n">
        <v>246.73</v>
      </c>
      <c r="J588" s="34" t="n">
        <v>291.5</v>
      </c>
      <c r="K588" s="34" t="n">
        <v>583.78</v>
      </c>
      <c r="L588" s="34" t="n">
        <f aca="false">AVERAGE(C588:E588)</f>
        <v>81.05</v>
      </c>
      <c r="M588" s="34" t="n">
        <f aca="false">AVERAGE(C588:J588)</f>
        <v>155.5475</v>
      </c>
    </row>
    <row r="589" customFormat="false" ht="15.75" hidden="false" customHeight="true" outlineLevel="0" collapsed="false">
      <c r="A589" s="34" t="s">
        <v>306</v>
      </c>
      <c r="B589" s="34" t="n">
        <v>674</v>
      </c>
      <c r="C589" s="34" t="n">
        <v>-66.67</v>
      </c>
      <c r="D589" s="34" t="n">
        <v>-130.44</v>
      </c>
      <c r="E589" s="34" t="n">
        <v>26.19</v>
      </c>
      <c r="F589" s="34" t="n">
        <v>33.66</v>
      </c>
      <c r="G589" s="34" t="n">
        <v>80.87</v>
      </c>
      <c r="H589" s="34" t="n">
        <v>115.63</v>
      </c>
      <c r="I589" s="34" t="n">
        <v>106</v>
      </c>
      <c r="J589" s="34" t="n">
        <v>105.98</v>
      </c>
      <c r="K589" s="34" t="n">
        <v>638.8</v>
      </c>
      <c r="L589" s="34" t="n">
        <f aca="false">AVERAGE(C589:E589)</f>
        <v>-56.9733333333333</v>
      </c>
      <c r="M589" s="34" t="n">
        <f aca="false">AVERAGE(C589:J589)</f>
        <v>33.9025</v>
      </c>
    </row>
    <row r="590" customFormat="false" ht="15.75" hidden="false" customHeight="true" outlineLevel="0" collapsed="false">
      <c r="A590" s="34" t="s">
        <v>966</v>
      </c>
      <c r="B590" s="34" t="n">
        <v>674</v>
      </c>
      <c r="C590" s="34" t="n">
        <v>-66.67</v>
      </c>
      <c r="D590" s="34" t="n">
        <v>-11.47</v>
      </c>
      <c r="E590" s="34" t="n">
        <v>56.15</v>
      </c>
      <c r="F590" s="34" t="n">
        <v>118.46</v>
      </c>
      <c r="G590" s="34" t="n">
        <v>178.68</v>
      </c>
      <c r="H590" s="34" t="n">
        <v>213.01</v>
      </c>
      <c r="I590" s="34" t="n">
        <v>227.39</v>
      </c>
      <c r="J590" s="34" t="n">
        <v>238.7</v>
      </c>
      <c r="K590" s="34" t="n">
        <v>631.47</v>
      </c>
      <c r="L590" s="34" t="n">
        <f aca="false">AVERAGE(C590:E590)</f>
        <v>-7.33</v>
      </c>
      <c r="M590" s="34" t="n">
        <f aca="false">AVERAGE(C590:J590)</f>
        <v>119.28125</v>
      </c>
    </row>
    <row r="591" customFormat="false" ht="15.75" hidden="false" customHeight="true" outlineLevel="0" collapsed="false">
      <c r="A591" s="34" t="s">
        <v>967</v>
      </c>
      <c r="B591" s="34" t="n">
        <v>671.85</v>
      </c>
      <c r="C591" s="34" t="n">
        <v>66.67</v>
      </c>
      <c r="D591" s="34" t="n">
        <v>75.95</v>
      </c>
      <c r="E591" s="34" t="n">
        <v>162.16</v>
      </c>
      <c r="F591" s="34" t="n">
        <v>297.94</v>
      </c>
      <c r="G591" s="34" t="n">
        <v>186.14</v>
      </c>
      <c r="H591" s="34" t="n">
        <v>134.29</v>
      </c>
      <c r="I591" s="34" t="n">
        <v>147.71</v>
      </c>
      <c r="J591" s="34" t="n">
        <v>159.42</v>
      </c>
      <c r="K591" s="34" t="n">
        <v>612.14</v>
      </c>
      <c r="L591" s="34" t="n">
        <f aca="false">AVERAGE(C591:E591)</f>
        <v>101.593333333333</v>
      </c>
      <c r="M591" s="34" t="n">
        <f aca="false">AVERAGE(C591:J591)</f>
        <v>153.785</v>
      </c>
    </row>
    <row r="592" customFormat="false" ht="15.75" hidden="false" customHeight="true" outlineLevel="0" collapsed="false">
      <c r="A592" s="34" t="s">
        <v>968</v>
      </c>
      <c r="B592" s="34" t="n">
        <v>671.65</v>
      </c>
      <c r="C592" s="34" t="n">
        <v>66.67</v>
      </c>
      <c r="D592" s="34" t="n">
        <v>133.33</v>
      </c>
      <c r="E592" s="34" t="n">
        <v>53.5</v>
      </c>
      <c r="F592" s="34" t="n">
        <v>-74.57</v>
      </c>
      <c r="G592" s="34" t="n">
        <v>-74.18</v>
      </c>
      <c r="H592" s="34" t="n">
        <v>-34.76</v>
      </c>
      <c r="I592" s="34" t="n">
        <v>-15.29</v>
      </c>
      <c r="J592" s="34" t="n">
        <v>-3.01</v>
      </c>
      <c r="K592" s="34" t="n">
        <v>715.17</v>
      </c>
      <c r="L592" s="34" t="n">
        <f aca="false">AVERAGE(C592:E592)</f>
        <v>84.5</v>
      </c>
      <c r="M592" s="34" t="n">
        <f aca="false">AVERAGE(C592:J592)</f>
        <v>6.46125</v>
      </c>
    </row>
    <row r="593" customFormat="false" ht="15.75" hidden="false" customHeight="true" outlineLevel="0" collapsed="false">
      <c r="A593" s="34" t="s">
        <v>225</v>
      </c>
      <c r="B593" s="34" t="n">
        <v>670.25</v>
      </c>
      <c r="C593" s="34" t="n">
        <v>66.67</v>
      </c>
      <c r="D593" s="34" t="n">
        <v>-38.04</v>
      </c>
      <c r="E593" s="34" t="n">
        <v>19.74</v>
      </c>
      <c r="F593" s="34" t="n">
        <v>105.08</v>
      </c>
      <c r="G593" s="34" t="n">
        <v>166.44</v>
      </c>
      <c r="H593" s="34" t="n">
        <v>130.77</v>
      </c>
      <c r="I593" s="34" t="n">
        <v>114.07</v>
      </c>
      <c r="J593" s="34" t="n">
        <v>122.83</v>
      </c>
      <c r="K593" s="34" t="n">
        <v>647.15</v>
      </c>
      <c r="L593" s="34" t="n">
        <f aca="false">AVERAGE(C593:E593)</f>
        <v>16.1233333333333</v>
      </c>
      <c r="M593" s="34" t="n">
        <f aca="false">AVERAGE(C593:J593)</f>
        <v>85.945</v>
      </c>
    </row>
    <row r="594" customFormat="false" ht="15.75" hidden="false" customHeight="true" outlineLevel="0" collapsed="false">
      <c r="A594" s="34" t="s">
        <v>969</v>
      </c>
      <c r="B594" s="34" t="n">
        <v>670</v>
      </c>
      <c r="C594" s="34" t="n">
        <v>66.67</v>
      </c>
      <c r="D594" s="34" t="n">
        <v>83.27</v>
      </c>
      <c r="E594" s="34" t="n">
        <v>-11.26</v>
      </c>
      <c r="F594" s="34" t="n">
        <v>9.31</v>
      </c>
      <c r="G594" s="34" t="n">
        <v>-45.38</v>
      </c>
      <c r="H594" s="34" t="n">
        <v>14.36</v>
      </c>
      <c r="I594" s="34" t="n">
        <v>37.7</v>
      </c>
      <c r="J594" s="34" t="n">
        <v>39.25</v>
      </c>
      <c r="K594" s="34" t="n">
        <v>637.4</v>
      </c>
      <c r="L594" s="34" t="n">
        <f aca="false">AVERAGE(C594:E594)</f>
        <v>46.2266666666667</v>
      </c>
      <c r="M594" s="34" t="n">
        <f aca="false">AVERAGE(C594:J594)</f>
        <v>24.24</v>
      </c>
    </row>
    <row r="595" customFormat="false" ht="15.75" hidden="false" customHeight="true" outlineLevel="0" collapsed="false">
      <c r="A595" s="34" t="s">
        <v>478</v>
      </c>
      <c r="B595" s="34" t="n">
        <v>668</v>
      </c>
      <c r="C595" s="34" t="n">
        <v>-66.67</v>
      </c>
      <c r="D595" s="34" t="n">
        <v>-133.33</v>
      </c>
      <c r="E595" s="34" t="n">
        <v>-41.06</v>
      </c>
      <c r="F595" s="34" t="n">
        <v>-82.92</v>
      </c>
      <c r="G595" s="34" t="n">
        <v>-88.34</v>
      </c>
      <c r="H595" s="34" t="n">
        <v>-77.39</v>
      </c>
      <c r="I595" s="34" t="n">
        <v>-49.44</v>
      </c>
      <c r="J595" s="34" t="n">
        <v>-11.92</v>
      </c>
      <c r="K595" s="34" t="n">
        <v>700.56</v>
      </c>
      <c r="L595" s="34" t="n">
        <f aca="false">AVERAGE(C595:E595)</f>
        <v>-80.3533333333333</v>
      </c>
      <c r="M595" s="34" t="n">
        <f aca="false">AVERAGE(C595:J595)</f>
        <v>-68.88375</v>
      </c>
    </row>
    <row r="596" customFormat="false" ht="15.75" hidden="false" customHeight="true" outlineLevel="0" collapsed="false">
      <c r="A596" s="34" t="s">
        <v>51</v>
      </c>
      <c r="B596" s="34" t="n">
        <v>667.4</v>
      </c>
      <c r="C596" s="34" t="n">
        <v>-66.67</v>
      </c>
      <c r="D596" s="34" t="n">
        <v>-83.49</v>
      </c>
      <c r="E596" s="34" t="n">
        <v>43.88</v>
      </c>
      <c r="F596" s="34" t="n">
        <v>-18.94</v>
      </c>
      <c r="G596" s="34" t="n">
        <v>36.35</v>
      </c>
      <c r="H596" s="34" t="n">
        <v>37.23</v>
      </c>
      <c r="I596" s="34" t="n">
        <v>5.96</v>
      </c>
      <c r="J596" s="34" t="n">
        <v>-24.4</v>
      </c>
      <c r="K596" s="34" t="n">
        <v>638.31</v>
      </c>
      <c r="L596" s="34" t="n">
        <f aca="false">AVERAGE(C596:E596)</f>
        <v>-35.4266666666667</v>
      </c>
      <c r="M596" s="34" t="n">
        <f aca="false">AVERAGE(C596:J596)</f>
        <v>-8.76</v>
      </c>
    </row>
    <row r="597" customFormat="false" ht="15.75" hidden="false" customHeight="true" outlineLevel="0" collapsed="false">
      <c r="A597" s="34" t="s">
        <v>970</v>
      </c>
      <c r="B597" s="34" t="n">
        <v>666.95</v>
      </c>
      <c r="C597" s="34" t="n">
        <v>66.67</v>
      </c>
      <c r="D597" s="34" t="n">
        <v>5.01</v>
      </c>
      <c r="E597" s="34" t="n">
        <v>73.69</v>
      </c>
      <c r="F597" s="34" t="n">
        <v>196.22</v>
      </c>
      <c r="G597" s="34" t="n">
        <v>279.86</v>
      </c>
      <c r="H597" s="34" t="n">
        <v>179.91</v>
      </c>
      <c r="I597" s="34" t="n">
        <v>33.66</v>
      </c>
      <c r="J597" s="34" t="n">
        <v>-3.75</v>
      </c>
      <c r="K597" s="34" t="n">
        <v>607.8</v>
      </c>
      <c r="L597" s="34" t="n">
        <f aca="false">AVERAGE(C597:E597)</f>
        <v>48.4566666666667</v>
      </c>
      <c r="M597" s="34" t="n">
        <f aca="false">AVERAGE(C597:J597)</f>
        <v>103.90875</v>
      </c>
    </row>
    <row r="598" customFormat="false" ht="15.75" hidden="false" customHeight="true" outlineLevel="0" collapsed="false">
      <c r="A598" s="34" t="s">
        <v>971</v>
      </c>
      <c r="B598" s="34" t="n">
        <v>661.2</v>
      </c>
      <c r="C598" s="34" t="n">
        <v>-66.67</v>
      </c>
      <c r="D598" s="34" t="n">
        <v>-11.52</v>
      </c>
      <c r="E598" s="34" t="n">
        <v>68.88</v>
      </c>
      <c r="F598" s="34" t="n">
        <v>123.24</v>
      </c>
      <c r="G598" s="34" t="n">
        <v>135.12</v>
      </c>
      <c r="H598" s="34" t="n">
        <v>103.83</v>
      </c>
      <c r="I598" s="34" t="n">
        <v>110.39</v>
      </c>
      <c r="J598" s="34" t="n">
        <v>118.89</v>
      </c>
      <c r="K598" s="34" t="n">
        <v>625.21</v>
      </c>
      <c r="L598" s="34" t="n">
        <f aca="false">AVERAGE(C598:E598)</f>
        <v>-3.10333333333333</v>
      </c>
      <c r="M598" s="34" t="n">
        <f aca="false">AVERAGE(C598:J598)</f>
        <v>72.77</v>
      </c>
    </row>
    <row r="599" customFormat="false" ht="15.75" hidden="false" customHeight="true" outlineLevel="0" collapsed="false">
      <c r="A599" s="34" t="s">
        <v>369</v>
      </c>
      <c r="B599" s="34" t="n">
        <v>659.2</v>
      </c>
      <c r="C599" s="34" t="n">
        <v>-66.67</v>
      </c>
      <c r="D599" s="34" t="n">
        <v>6.83</v>
      </c>
      <c r="E599" s="34" t="n">
        <v>56.4</v>
      </c>
      <c r="F599" s="34" t="n">
        <v>-51.04</v>
      </c>
      <c r="G599" s="34" t="n">
        <v>-46.79</v>
      </c>
      <c r="H599" s="34" t="n">
        <v>-20.83</v>
      </c>
      <c r="I599" s="34" t="n">
        <v>19.72</v>
      </c>
      <c r="J599" s="34" t="n">
        <v>41.32</v>
      </c>
      <c r="K599" s="34" t="n">
        <v>681.68</v>
      </c>
      <c r="L599" s="34" t="n">
        <f aca="false">AVERAGE(C599:E599)</f>
        <v>-1.14666666666667</v>
      </c>
      <c r="M599" s="34" t="n">
        <f aca="false">AVERAGE(C599:J599)</f>
        <v>-7.6325</v>
      </c>
    </row>
    <row r="600" customFormat="false" ht="15.75" hidden="false" customHeight="true" outlineLevel="0" collapsed="false">
      <c r="A600" s="34" t="s">
        <v>972</v>
      </c>
      <c r="B600" s="34" t="n">
        <v>657.75</v>
      </c>
      <c r="C600" s="34" t="n">
        <v>-66.67</v>
      </c>
      <c r="D600" s="34" t="n">
        <v>-46</v>
      </c>
      <c r="E600" s="34" t="n">
        <v>37.89</v>
      </c>
      <c r="F600" s="34" t="n">
        <v>61.69</v>
      </c>
      <c r="G600" s="34" t="n">
        <v>113</v>
      </c>
      <c r="H600" s="34" t="n">
        <v>163.45</v>
      </c>
      <c r="I600" s="34" t="n">
        <v>197.57</v>
      </c>
      <c r="J600" s="34" t="n">
        <v>217.11</v>
      </c>
      <c r="K600" s="34" t="n">
        <v>712.9</v>
      </c>
      <c r="L600" s="34" t="n">
        <f aca="false">AVERAGE(C600:E600)</f>
        <v>-24.9266666666667</v>
      </c>
      <c r="M600" s="34" t="n">
        <f aca="false">AVERAGE(C600:J600)</f>
        <v>84.755</v>
      </c>
    </row>
    <row r="601" customFormat="false" ht="15.75" hidden="false" customHeight="true" outlineLevel="0" collapsed="false">
      <c r="A601" s="34" t="s">
        <v>973</v>
      </c>
      <c r="B601" s="34" t="n">
        <v>656.4</v>
      </c>
      <c r="C601" s="34" t="n">
        <v>-66.67</v>
      </c>
      <c r="D601" s="34" t="n">
        <v>-64.34</v>
      </c>
      <c r="E601" s="34" t="n">
        <v>73.3</v>
      </c>
      <c r="F601" s="34" t="n">
        <v>202.88</v>
      </c>
      <c r="G601" s="34" t="n">
        <v>229.79</v>
      </c>
      <c r="H601" s="34" t="n">
        <v>112.54</v>
      </c>
      <c r="I601" s="34" t="n">
        <v>125.11</v>
      </c>
      <c r="J601" s="34" t="n">
        <v>15.31</v>
      </c>
      <c r="K601" s="34" t="n">
        <v>633.53</v>
      </c>
      <c r="L601" s="34" t="n">
        <f aca="false">AVERAGE(C601:E601)</f>
        <v>-19.2366666666667</v>
      </c>
      <c r="M601" s="34" t="n">
        <f aca="false">AVERAGE(C601:J601)</f>
        <v>78.49</v>
      </c>
    </row>
    <row r="602" customFormat="false" ht="15.75" hidden="false" customHeight="true" outlineLevel="0" collapsed="false">
      <c r="A602" s="34" t="s">
        <v>974</v>
      </c>
      <c r="B602" s="34" t="n">
        <v>650</v>
      </c>
      <c r="C602" s="34" t="n">
        <v>-66.67</v>
      </c>
      <c r="D602" s="34" t="n">
        <v>41.89</v>
      </c>
      <c r="E602" s="34" t="n">
        <v>73.6</v>
      </c>
      <c r="F602" s="34" t="n">
        <v>78.63</v>
      </c>
      <c r="G602" s="34" t="n">
        <v>78.54</v>
      </c>
      <c r="H602" s="34" t="n">
        <v>100.53</v>
      </c>
      <c r="I602" s="34" t="n">
        <v>127.55</v>
      </c>
      <c r="J602" s="34" t="n">
        <v>124.32</v>
      </c>
      <c r="K602" s="34" t="n">
        <v>604.8</v>
      </c>
      <c r="L602" s="34" t="n">
        <f aca="false">AVERAGE(C602:E602)</f>
        <v>16.2733333333333</v>
      </c>
      <c r="M602" s="34" t="n">
        <f aca="false">AVERAGE(C602:J602)</f>
        <v>69.79875</v>
      </c>
    </row>
    <row r="603" customFormat="false" ht="15.75" hidden="false" customHeight="true" outlineLevel="0" collapsed="false">
      <c r="A603" s="34" t="s">
        <v>975</v>
      </c>
      <c r="B603" s="34" t="n">
        <v>649.65</v>
      </c>
      <c r="C603" s="34" t="n">
        <v>-66.67</v>
      </c>
      <c r="D603" s="34" t="n">
        <v>-133.33</v>
      </c>
      <c r="E603" s="34" t="n">
        <v>-148.6</v>
      </c>
      <c r="F603" s="34" t="n">
        <v>-132.16</v>
      </c>
      <c r="G603" s="34" t="n">
        <v>-210.44</v>
      </c>
      <c r="H603" s="34" t="n">
        <v>-135.23</v>
      </c>
      <c r="I603" s="34" t="n">
        <v>-98.66</v>
      </c>
      <c r="J603" s="34" t="n">
        <v>-110.15</v>
      </c>
      <c r="K603" s="34" t="n">
        <v>700.39</v>
      </c>
      <c r="L603" s="34" t="n">
        <f aca="false">AVERAGE(C603:E603)</f>
        <v>-116.2</v>
      </c>
      <c r="M603" s="34" t="n">
        <f aca="false">AVERAGE(C603:J603)</f>
        <v>-129.405</v>
      </c>
    </row>
    <row r="604" customFormat="false" ht="15.75" hidden="false" customHeight="true" outlineLevel="0" collapsed="false">
      <c r="A604" s="34" t="s">
        <v>976</v>
      </c>
      <c r="B604" s="34" t="n">
        <v>646</v>
      </c>
      <c r="C604" s="34" t="n">
        <v>-66.67</v>
      </c>
      <c r="D604" s="34" t="n">
        <v>61.89</v>
      </c>
      <c r="E604" s="34" t="n">
        <v>87.53</v>
      </c>
      <c r="F604" s="34" t="n">
        <v>-64.12</v>
      </c>
      <c r="G604" s="34" t="n">
        <v>3.24</v>
      </c>
      <c r="H604" s="34" t="n">
        <v>42.99</v>
      </c>
      <c r="I604" s="34" t="n">
        <v>65.52</v>
      </c>
      <c r="J604" s="34" t="n">
        <v>74.6</v>
      </c>
      <c r="K604" s="34" t="n">
        <v>683.65</v>
      </c>
      <c r="L604" s="34" t="n">
        <f aca="false">AVERAGE(C604:E604)</f>
        <v>27.5833333333333</v>
      </c>
      <c r="M604" s="34" t="n">
        <f aca="false">AVERAGE(C604:J604)</f>
        <v>25.6225</v>
      </c>
    </row>
    <row r="605" customFormat="false" ht="15.75" hidden="false" customHeight="true" outlineLevel="0" collapsed="false">
      <c r="A605" s="34" t="s">
        <v>977</v>
      </c>
      <c r="B605" s="34" t="n">
        <v>644.2</v>
      </c>
      <c r="C605" s="34" t="n">
        <v>66.67</v>
      </c>
      <c r="D605" s="34" t="n">
        <v>99.41</v>
      </c>
      <c r="E605" s="34" t="n">
        <v>146.59</v>
      </c>
      <c r="F605" s="34" t="n">
        <v>175.09</v>
      </c>
      <c r="G605" s="34" t="n">
        <v>290.79</v>
      </c>
      <c r="H605" s="34" t="n">
        <v>364.98</v>
      </c>
      <c r="I605" s="34" t="n">
        <v>408.98</v>
      </c>
      <c r="J605" s="34" t="n">
        <v>408</v>
      </c>
      <c r="K605" s="34" t="n">
        <v>550.84</v>
      </c>
      <c r="L605" s="34" t="n">
        <f aca="false">AVERAGE(C605:E605)</f>
        <v>104.223333333333</v>
      </c>
      <c r="M605" s="34" t="n">
        <f aca="false">AVERAGE(C605:J605)</f>
        <v>245.06375</v>
      </c>
    </row>
    <row r="606" customFormat="false" ht="15.75" hidden="false" customHeight="true" outlineLevel="0" collapsed="false">
      <c r="A606" s="34" t="s">
        <v>314</v>
      </c>
      <c r="B606" s="34" t="n">
        <v>642.75</v>
      </c>
      <c r="C606" s="34" t="n">
        <v>-66.67</v>
      </c>
      <c r="D606" s="34" t="n">
        <v>-121.82</v>
      </c>
      <c r="E606" s="34" t="n">
        <v>-68.74</v>
      </c>
      <c r="F606" s="34" t="n">
        <v>-86.1</v>
      </c>
      <c r="G606" s="34" t="n">
        <v>-138.56</v>
      </c>
      <c r="H606" s="34" t="n">
        <v>-115.89</v>
      </c>
      <c r="I606" s="34" t="n">
        <v>-122.44</v>
      </c>
      <c r="J606" s="34" t="n">
        <v>-109.51</v>
      </c>
      <c r="K606" s="34" t="n">
        <v>680.86</v>
      </c>
      <c r="L606" s="34" t="n">
        <f aca="false">AVERAGE(C606:E606)</f>
        <v>-85.7433333333333</v>
      </c>
      <c r="M606" s="34" t="n">
        <f aca="false">AVERAGE(C606:J606)</f>
        <v>-103.71625</v>
      </c>
    </row>
    <row r="607" customFormat="false" ht="15.75" hidden="false" customHeight="true" outlineLevel="0" collapsed="false">
      <c r="A607" s="34" t="s">
        <v>978</v>
      </c>
      <c r="B607" s="34" t="n">
        <v>641</v>
      </c>
      <c r="C607" s="34" t="n">
        <v>-66.67</v>
      </c>
      <c r="D607" s="34" t="n">
        <v>-62.27</v>
      </c>
      <c r="E607" s="34" t="n">
        <v>-20.49</v>
      </c>
      <c r="F607" s="34" t="n">
        <v>-108.34</v>
      </c>
      <c r="G607" s="34" t="n">
        <v>-104.47</v>
      </c>
      <c r="H607" s="34" t="n">
        <v>-23.31</v>
      </c>
      <c r="I607" s="34" t="n">
        <v>1.52</v>
      </c>
      <c r="J607" s="34" t="n">
        <v>-12.95</v>
      </c>
      <c r="K607" s="34" t="n">
        <v>698.41</v>
      </c>
      <c r="L607" s="34" t="n">
        <f aca="false">AVERAGE(C607:E607)</f>
        <v>-49.81</v>
      </c>
      <c r="M607" s="34" t="n">
        <f aca="false">AVERAGE(C607:J607)</f>
        <v>-49.6225</v>
      </c>
    </row>
    <row r="608" customFormat="false" ht="15.75" hidden="false" customHeight="true" outlineLevel="0" collapsed="false">
      <c r="A608" s="34" t="s">
        <v>979</v>
      </c>
      <c r="B608" s="34" t="n">
        <v>640.35</v>
      </c>
      <c r="C608" s="34" t="n">
        <v>66.67</v>
      </c>
      <c r="D608" s="34" t="n">
        <v>75.59</v>
      </c>
      <c r="E608" s="34" t="n">
        <v>134.38</v>
      </c>
      <c r="F608" s="34" t="n">
        <v>31.21</v>
      </c>
      <c r="G608" s="34" t="n">
        <v>0.287</v>
      </c>
      <c r="H608" s="34" t="n">
        <v>-42.43</v>
      </c>
      <c r="I608" s="34" t="n">
        <v>-46.92</v>
      </c>
      <c r="J608" s="34" t="n">
        <v>-56.62</v>
      </c>
      <c r="K608" s="34" t="n">
        <v>598.05</v>
      </c>
      <c r="L608" s="34" t="n">
        <f aca="false">AVERAGE(C608:E608)</f>
        <v>92.2133333333333</v>
      </c>
      <c r="M608" s="34" t="n">
        <f aca="false">AVERAGE(C608:J608)</f>
        <v>20.270875</v>
      </c>
    </row>
    <row r="609" customFormat="false" ht="15.75" hidden="false" customHeight="true" outlineLevel="0" collapsed="false">
      <c r="A609" s="34" t="s">
        <v>444</v>
      </c>
      <c r="B609" s="34" t="n">
        <v>638.4</v>
      </c>
      <c r="C609" s="34" t="n">
        <v>-66.67</v>
      </c>
      <c r="D609" s="34" t="n">
        <v>-52.86</v>
      </c>
      <c r="E609" s="34" t="n">
        <v>73.5</v>
      </c>
      <c r="F609" s="34" t="n">
        <v>20.11</v>
      </c>
      <c r="G609" s="34" t="n">
        <v>-43.31</v>
      </c>
      <c r="H609" s="34" t="n">
        <v>-62.26</v>
      </c>
      <c r="I609" s="34" t="n">
        <v>-8.96</v>
      </c>
      <c r="J609" s="34" t="n">
        <v>-20.97</v>
      </c>
      <c r="K609" s="34" t="n">
        <v>605.1</v>
      </c>
      <c r="L609" s="34" t="n">
        <f aca="false">AVERAGE(C609:E609)</f>
        <v>-15.3433333333333</v>
      </c>
      <c r="M609" s="34" t="n">
        <f aca="false">AVERAGE(C609:J609)</f>
        <v>-20.1775</v>
      </c>
    </row>
    <row r="610" customFormat="false" ht="15.75" hidden="false" customHeight="true" outlineLevel="0" collapsed="false">
      <c r="A610" s="34" t="s">
        <v>980</v>
      </c>
      <c r="B610" s="34" t="n">
        <v>638</v>
      </c>
      <c r="C610" s="34" t="n">
        <v>-66.67</v>
      </c>
      <c r="D610" s="34" t="n">
        <v>-97.78</v>
      </c>
      <c r="E610" s="34" t="n">
        <v>-71.94</v>
      </c>
      <c r="F610" s="34" t="n">
        <v>-86.71</v>
      </c>
      <c r="G610" s="34"/>
      <c r="H610" s="34"/>
      <c r="I610" s="34"/>
      <c r="J610" s="34"/>
      <c r="K610" s="34" t="n">
        <v>706.5</v>
      </c>
      <c r="L610" s="34" t="n">
        <f aca="false">AVERAGE(C610:E610)</f>
        <v>-78.7966666666667</v>
      </c>
      <c r="M610" s="34" t="n">
        <f aca="false">AVERAGE(C610:J610)</f>
        <v>-80.775</v>
      </c>
    </row>
    <row r="611" customFormat="false" ht="15.75" hidden="false" customHeight="true" outlineLevel="0" collapsed="false">
      <c r="A611" s="34" t="s">
        <v>981</v>
      </c>
      <c r="B611" s="34" t="n">
        <v>635</v>
      </c>
      <c r="C611" s="34" t="n">
        <v>-66.67</v>
      </c>
      <c r="D611" s="34" t="n">
        <v>-123.06</v>
      </c>
      <c r="E611" s="34" t="n">
        <v>-8.19</v>
      </c>
      <c r="F611" s="34" t="n">
        <v>-32.71</v>
      </c>
      <c r="G611" s="34" t="n">
        <v>-75.63</v>
      </c>
      <c r="H611" s="34" t="n">
        <v>-92.84</v>
      </c>
      <c r="I611" s="34" t="n">
        <v>-109.6</v>
      </c>
      <c r="J611" s="34" t="n">
        <v>-90.16</v>
      </c>
      <c r="K611" s="34" t="n">
        <v>614.22</v>
      </c>
      <c r="L611" s="34" t="n">
        <f aca="false">AVERAGE(C611:E611)</f>
        <v>-65.9733333333333</v>
      </c>
      <c r="M611" s="34" t="n">
        <f aca="false">AVERAGE(C611:J611)</f>
        <v>-74.8575</v>
      </c>
    </row>
    <row r="612" customFormat="false" ht="15.75" hidden="false" customHeight="true" outlineLevel="0" collapsed="false">
      <c r="A612" s="34" t="s">
        <v>982</v>
      </c>
      <c r="B612" s="34" t="n">
        <v>633.25</v>
      </c>
      <c r="C612" s="34" t="n">
        <v>-66.67</v>
      </c>
      <c r="D612" s="34" t="n">
        <v>-105.7</v>
      </c>
      <c r="E612" s="34" t="n">
        <v>-57.11</v>
      </c>
      <c r="F612" s="34" t="n">
        <v>-100.04</v>
      </c>
      <c r="G612" s="34" t="n">
        <v>-153.52</v>
      </c>
      <c r="H612" s="34" t="n">
        <v>-167.4</v>
      </c>
      <c r="I612" s="34" t="n">
        <v>-79.05</v>
      </c>
      <c r="J612" s="34" t="n">
        <v>-82.6</v>
      </c>
      <c r="K612" s="34" t="n">
        <v>674.51</v>
      </c>
      <c r="L612" s="34" t="n">
        <f aca="false">AVERAGE(C612:E612)</f>
        <v>-76.4933333333333</v>
      </c>
      <c r="M612" s="34" t="n">
        <f aca="false">AVERAGE(C612:J612)</f>
        <v>-101.51125</v>
      </c>
    </row>
    <row r="613" customFormat="false" ht="15.75" hidden="false" customHeight="true" outlineLevel="0" collapsed="false">
      <c r="A613" s="34" t="s">
        <v>983</v>
      </c>
      <c r="B613" s="34" t="n">
        <v>632</v>
      </c>
      <c r="C613" s="34" t="n">
        <v>66.67</v>
      </c>
      <c r="D613" s="34" t="n">
        <v>96.89</v>
      </c>
      <c r="E613" s="34" t="n">
        <v>116.01</v>
      </c>
      <c r="F613" s="34" t="n">
        <v>-16.38</v>
      </c>
      <c r="G613" s="34" t="n">
        <v>-63.4</v>
      </c>
      <c r="H613" s="34" t="n">
        <v>-17.93</v>
      </c>
      <c r="I613" s="34" t="n">
        <v>12.62</v>
      </c>
      <c r="J613" s="34" t="n">
        <v>15.49</v>
      </c>
      <c r="K613" s="34" t="n">
        <v>575.48</v>
      </c>
      <c r="L613" s="34" t="n">
        <f aca="false">AVERAGE(C613:E613)</f>
        <v>93.19</v>
      </c>
      <c r="M613" s="34" t="n">
        <f aca="false">AVERAGE(C613:J613)</f>
        <v>26.24625</v>
      </c>
    </row>
    <row r="614" customFormat="false" ht="15.75" hidden="false" customHeight="true" outlineLevel="0" collapsed="false">
      <c r="A614" s="34" t="s">
        <v>984</v>
      </c>
      <c r="B614" s="34" t="n">
        <v>631.6</v>
      </c>
      <c r="C614" s="34" t="n">
        <v>-66.67</v>
      </c>
      <c r="D614" s="34" t="n">
        <v>-95.52</v>
      </c>
      <c r="E614" s="34" t="n">
        <v>71.79</v>
      </c>
      <c r="F614" s="34" t="n">
        <v>-20.06</v>
      </c>
      <c r="G614" s="34" t="n">
        <v>39.25</v>
      </c>
      <c r="H614" s="34" t="n">
        <v>64.8</v>
      </c>
      <c r="I614" s="34" t="n">
        <v>87.59</v>
      </c>
      <c r="J614" s="34" t="n">
        <v>88.96</v>
      </c>
      <c r="K614" s="34" t="n">
        <v>652.58</v>
      </c>
      <c r="L614" s="34" t="n">
        <f aca="false">AVERAGE(C614:E614)</f>
        <v>-30.1333333333333</v>
      </c>
      <c r="M614" s="34" t="n">
        <f aca="false">AVERAGE(C614:J614)</f>
        <v>21.2675</v>
      </c>
    </row>
    <row r="615" customFormat="false" ht="15.75" hidden="false" customHeight="true" outlineLevel="0" collapsed="false">
      <c r="A615" s="34" t="s">
        <v>985</v>
      </c>
      <c r="B615" s="34" t="n">
        <v>630</v>
      </c>
      <c r="C615" s="34" t="n">
        <v>-66.67</v>
      </c>
      <c r="D615" s="34" t="n">
        <v>-18.95</v>
      </c>
      <c r="E615" s="34" t="n">
        <v>-49.6</v>
      </c>
      <c r="F615" s="34" t="n">
        <v>-93.31</v>
      </c>
      <c r="G615" s="34" t="n">
        <v>-10.94</v>
      </c>
      <c r="H615" s="34" t="n">
        <v>2.68</v>
      </c>
      <c r="I615" s="34" t="n">
        <v>41.09</v>
      </c>
      <c r="J615" s="34" t="n">
        <v>46.36</v>
      </c>
      <c r="K615" s="34" t="n">
        <v>665.94</v>
      </c>
      <c r="L615" s="34" t="n">
        <f aca="false">AVERAGE(C615:E615)</f>
        <v>-45.0733333333333</v>
      </c>
      <c r="M615" s="34" t="n">
        <f aca="false">AVERAGE(C615:J615)</f>
        <v>-18.6675</v>
      </c>
    </row>
    <row r="616" customFormat="false" ht="15.75" hidden="false" customHeight="true" outlineLevel="0" collapsed="false">
      <c r="A616" s="34" t="s">
        <v>186</v>
      </c>
      <c r="B616" s="34" t="n">
        <v>626.05</v>
      </c>
      <c r="C616" s="34" t="n">
        <v>-66.67</v>
      </c>
      <c r="D616" s="34" t="n">
        <v>-133.33</v>
      </c>
      <c r="E616" s="34" t="n">
        <v>12.27</v>
      </c>
      <c r="F616" s="34" t="n">
        <v>-7.67</v>
      </c>
      <c r="G616" s="34" t="n">
        <v>-47.6</v>
      </c>
      <c r="H616" s="34" t="n">
        <v>-6.63</v>
      </c>
      <c r="I616" s="34" t="n">
        <v>34.06</v>
      </c>
      <c r="J616" s="34" t="n">
        <v>42.27</v>
      </c>
      <c r="K616" s="34" t="n">
        <v>614.71</v>
      </c>
      <c r="L616" s="34" t="n">
        <f aca="false">AVERAGE(C616:E616)</f>
        <v>-62.5766666666667</v>
      </c>
      <c r="M616" s="34" t="n">
        <f aca="false">AVERAGE(C616:J616)</f>
        <v>-21.6625</v>
      </c>
    </row>
    <row r="617" customFormat="false" ht="15.75" hidden="false" customHeight="true" outlineLevel="0" collapsed="false">
      <c r="A617" s="34" t="s">
        <v>527</v>
      </c>
      <c r="B617" s="34" t="n">
        <v>624.75</v>
      </c>
      <c r="C617" s="34" t="n">
        <v>-66.67</v>
      </c>
      <c r="D617" s="34" t="n">
        <v>-105.1</v>
      </c>
      <c r="E617" s="34" t="n">
        <v>29.47</v>
      </c>
      <c r="F617" s="34" t="n">
        <v>-54.44</v>
      </c>
      <c r="G617" s="34" t="n">
        <v>-70.77</v>
      </c>
      <c r="H617" s="34" t="n">
        <v>29.11</v>
      </c>
      <c r="I617" s="34" t="n">
        <v>50.42</v>
      </c>
      <c r="J617" s="34" t="n">
        <v>56.04</v>
      </c>
      <c r="K617" s="34" t="n">
        <v>601.81</v>
      </c>
      <c r="L617" s="34" t="n">
        <f aca="false">AVERAGE(C617:E617)</f>
        <v>-47.4333333333333</v>
      </c>
      <c r="M617" s="34" t="n">
        <f aca="false">AVERAGE(C617:J617)</f>
        <v>-16.4925</v>
      </c>
    </row>
    <row r="618" customFormat="false" ht="15.75" hidden="false" customHeight="true" outlineLevel="0" collapsed="false">
      <c r="A618" s="34" t="s">
        <v>986</v>
      </c>
      <c r="B618" s="34" t="n">
        <v>624.5</v>
      </c>
      <c r="C618" s="34" t="n">
        <v>-66.67</v>
      </c>
      <c r="D618" s="34" t="n">
        <v>66</v>
      </c>
      <c r="E618" s="34" t="n">
        <v>138.61</v>
      </c>
      <c r="F618" s="34" t="n">
        <v>10.6</v>
      </c>
      <c r="G618" s="34" t="n">
        <v>-53.21</v>
      </c>
      <c r="H618" s="34" t="n">
        <v>-78.01</v>
      </c>
      <c r="I618" s="34" t="n">
        <v>-96.93</v>
      </c>
      <c r="J618" s="34" t="n">
        <v>-104.39</v>
      </c>
      <c r="K618" s="34" t="n">
        <v>592.76</v>
      </c>
      <c r="L618" s="34" t="n">
        <f aca="false">AVERAGE(C618:E618)</f>
        <v>45.98</v>
      </c>
      <c r="M618" s="34" t="n">
        <f aca="false">AVERAGE(C618:J618)</f>
        <v>-23</v>
      </c>
    </row>
    <row r="619" customFormat="false" ht="15.75" hidden="false" customHeight="true" outlineLevel="0" collapsed="false">
      <c r="A619" s="34" t="s">
        <v>987</v>
      </c>
      <c r="B619" s="34" t="n">
        <v>622</v>
      </c>
      <c r="C619" s="34" t="n">
        <v>-66.67</v>
      </c>
      <c r="D619" s="34" t="n">
        <v>-114.19</v>
      </c>
      <c r="E619" s="34" t="n">
        <v>23.48</v>
      </c>
      <c r="F619" s="34" t="n">
        <v>25.16</v>
      </c>
      <c r="G619" s="34" t="n">
        <v>-25.74</v>
      </c>
      <c r="H619" s="34" t="n">
        <v>-49.9</v>
      </c>
      <c r="I619" s="34" t="n">
        <v>-57.89</v>
      </c>
      <c r="J619" s="34" t="n">
        <v>-67.15</v>
      </c>
      <c r="K619" s="34" t="n">
        <v>603.61</v>
      </c>
      <c r="L619" s="34" t="n">
        <f aca="false">AVERAGE(C619:E619)</f>
        <v>-52.46</v>
      </c>
      <c r="M619" s="34" t="n">
        <f aca="false">AVERAGE(C619:J619)</f>
        <v>-41.6125</v>
      </c>
    </row>
    <row r="620" customFormat="false" ht="15.75" hidden="false" customHeight="true" outlineLevel="0" collapsed="false">
      <c r="A620" s="34" t="s">
        <v>506</v>
      </c>
      <c r="B620" s="34" t="n">
        <v>621.15</v>
      </c>
      <c r="C620" s="34" t="n">
        <v>-66.67</v>
      </c>
      <c r="D620" s="34" t="n">
        <v>-112.8</v>
      </c>
      <c r="E620" s="34" t="n">
        <v>-9.49</v>
      </c>
      <c r="F620" s="34" t="n">
        <v>-80.57</v>
      </c>
      <c r="G620" s="34" t="n">
        <v>-44.59</v>
      </c>
      <c r="H620" s="34" t="n">
        <v>2.58</v>
      </c>
      <c r="I620" s="34" t="n">
        <v>34.45</v>
      </c>
      <c r="J620" s="34" t="n">
        <v>48.71</v>
      </c>
      <c r="K620" s="34" t="n">
        <v>656.46</v>
      </c>
      <c r="L620" s="34" t="n">
        <f aca="false">AVERAGE(C620:E620)</f>
        <v>-62.9866666666667</v>
      </c>
      <c r="M620" s="34" t="n">
        <f aca="false">AVERAGE(C620:J620)</f>
        <v>-28.5475</v>
      </c>
    </row>
    <row r="621" customFormat="false" ht="15.75" hidden="false" customHeight="true" outlineLevel="0" collapsed="false">
      <c r="A621" s="34" t="s">
        <v>351</v>
      </c>
      <c r="B621" s="34" t="n">
        <v>621.15</v>
      </c>
      <c r="C621" s="34" t="n">
        <v>66.67</v>
      </c>
      <c r="D621" s="34" t="n">
        <v>75.95</v>
      </c>
      <c r="E621" s="34" t="n">
        <v>152.12</v>
      </c>
      <c r="F621" s="34" t="n">
        <v>36.58</v>
      </c>
      <c r="G621" s="34" t="n">
        <v>-41.45</v>
      </c>
      <c r="H621" s="34" t="n">
        <v>-78.05</v>
      </c>
      <c r="I621" s="34" t="n">
        <v>-99.08</v>
      </c>
      <c r="J621" s="34" t="n">
        <v>-96.41</v>
      </c>
      <c r="K621" s="34" t="n">
        <v>575.96</v>
      </c>
      <c r="L621" s="34" t="n">
        <f aca="false">AVERAGE(C621:E621)</f>
        <v>98.2466666666667</v>
      </c>
      <c r="M621" s="34" t="n">
        <f aca="false">AVERAGE(C621:J621)</f>
        <v>2.04125</v>
      </c>
    </row>
    <row r="622" customFormat="false" ht="15.75" hidden="false" customHeight="true" outlineLevel="0" collapsed="false">
      <c r="A622" s="34" t="s">
        <v>988</v>
      </c>
      <c r="B622" s="34" t="n">
        <v>620.05</v>
      </c>
      <c r="C622" s="34" t="n">
        <v>-66.67</v>
      </c>
      <c r="D622" s="34" t="n">
        <v>21.39</v>
      </c>
      <c r="E622" s="34" t="n">
        <v>92.86</v>
      </c>
      <c r="F622" s="34" t="n">
        <v>185.38</v>
      </c>
      <c r="G622" s="34" t="n">
        <v>193.23</v>
      </c>
      <c r="H622" s="34" t="n">
        <v>195.21</v>
      </c>
      <c r="I622" s="34" t="n">
        <v>197.12</v>
      </c>
      <c r="J622" s="34" t="n">
        <v>112.98</v>
      </c>
      <c r="K622" s="34" t="n">
        <v>568.57</v>
      </c>
      <c r="L622" s="34" t="n">
        <f aca="false">AVERAGE(C622:E622)</f>
        <v>15.86</v>
      </c>
      <c r="M622" s="34" t="n">
        <f aca="false">AVERAGE(C622:J622)</f>
        <v>116.4375</v>
      </c>
    </row>
    <row r="623" customFormat="false" ht="15.75" hidden="false" customHeight="true" outlineLevel="0" collapsed="false">
      <c r="A623" s="34" t="s">
        <v>145</v>
      </c>
      <c r="B623" s="34" t="n">
        <v>619.15</v>
      </c>
      <c r="C623" s="34" t="n">
        <v>-66.67</v>
      </c>
      <c r="D623" s="34" t="n">
        <v>-133.33</v>
      </c>
      <c r="E623" s="34" t="n">
        <v>-144.59</v>
      </c>
      <c r="F623" s="34" t="n">
        <v>-115.06</v>
      </c>
      <c r="G623" s="34" t="n">
        <v>-139.45</v>
      </c>
      <c r="H623" s="34" t="n">
        <v>-172.5</v>
      </c>
      <c r="I623" s="34" t="n">
        <v>-123.18</v>
      </c>
      <c r="J623" s="34" t="n">
        <v>-138.49</v>
      </c>
      <c r="K623" s="34" t="n">
        <v>655.97</v>
      </c>
      <c r="L623" s="34" t="n">
        <f aca="false">AVERAGE(C623:E623)</f>
        <v>-114.863333333333</v>
      </c>
      <c r="M623" s="34" t="n">
        <f aca="false">AVERAGE(C623:J623)</f>
        <v>-129.15875</v>
      </c>
    </row>
    <row r="624" customFormat="false" ht="15.75" hidden="false" customHeight="true" outlineLevel="0" collapsed="false">
      <c r="A624" s="34" t="s">
        <v>210</v>
      </c>
      <c r="B624" s="34" t="n">
        <v>617.75</v>
      </c>
      <c r="C624" s="34" t="n">
        <v>-66.67</v>
      </c>
      <c r="D624" s="34" t="n">
        <v>-101.22</v>
      </c>
      <c r="E624" s="34" t="n">
        <v>30.75</v>
      </c>
      <c r="F624" s="34" t="n">
        <v>-24.71</v>
      </c>
      <c r="G624" s="34" t="n">
        <v>-72.37</v>
      </c>
      <c r="H624" s="34" t="n">
        <v>-67.28</v>
      </c>
      <c r="I624" s="34" t="n">
        <v>-31.22</v>
      </c>
      <c r="J624" s="34" t="n">
        <v>-26.82</v>
      </c>
      <c r="K624" s="34" t="n">
        <v>600.17</v>
      </c>
      <c r="L624" s="34" t="n">
        <f aca="false">AVERAGE(C624:E624)</f>
        <v>-45.7133333333333</v>
      </c>
      <c r="M624" s="34" t="n">
        <f aca="false">AVERAGE(C624:J624)</f>
        <v>-44.9425</v>
      </c>
    </row>
    <row r="625" customFormat="false" ht="15.75" hidden="false" customHeight="true" outlineLevel="0" collapsed="false">
      <c r="A625" s="34" t="s">
        <v>989</v>
      </c>
      <c r="B625" s="34" t="n">
        <v>617.7</v>
      </c>
      <c r="C625" s="34" t="n">
        <v>-66.67</v>
      </c>
      <c r="D625" s="34" t="n">
        <v>-111.46</v>
      </c>
      <c r="E625" s="34" t="n">
        <v>65.61</v>
      </c>
      <c r="F625" s="34" t="n">
        <v>-44.79</v>
      </c>
      <c r="G625" s="34" t="n">
        <v>-96.84</v>
      </c>
      <c r="H625" s="34" t="n">
        <v>-129.13</v>
      </c>
      <c r="I625" s="34" t="n">
        <v>-113.34</v>
      </c>
      <c r="J625" s="34" t="n">
        <v>-110.18</v>
      </c>
      <c r="K625" s="34" t="n">
        <v>579.46</v>
      </c>
      <c r="L625" s="34" t="n">
        <f aca="false">AVERAGE(C625:E625)</f>
        <v>-37.5066666666667</v>
      </c>
      <c r="M625" s="34" t="n">
        <f aca="false">AVERAGE(C625:J625)</f>
        <v>-75.85</v>
      </c>
    </row>
    <row r="626" customFormat="false" ht="15.75" hidden="false" customHeight="true" outlineLevel="0" collapsed="false">
      <c r="A626" s="34" t="s">
        <v>990</v>
      </c>
      <c r="B626" s="34" t="n">
        <v>616.15</v>
      </c>
      <c r="C626" s="34" t="n">
        <v>-66.67</v>
      </c>
      <c r="D626" s="34" t="n">
        <v>-133.33</v>
      </c>
      <c r="E626" s="34" t="n">
        <v>-119.91</v>
      </c>
      <c r="F626" s="34" t="n">
        <v>-128.29</v>
      </c>
      <c r="G626" s="34" t="n">
        <v>-157.23</v>
      </c>
      <c r="H626" s="34" t="n">
        <v>-84.22</v>
      </c>
      <c r="I626" s="34" t="n">
        <v>-28.98</v>
      </c>
      <c r="J626" s="34" t="n">
        <v>-35.83</v>
      </c>
      <c r="K626" s="34" t="n">
        <v>661.44</v>
      </c>
      <c r="L626" s="34" t="n">
        <f aca="false">AVERAGE(C626:E626)</f>
        <v>-106.636666666667</v>
      </c>
      <c r="M626" s="34" t="n">
        <f aca="false">AVERAGE(C626:J626)</f>
        <v>-94.3075</v>
      </c>
    </row>
    <row r="627" customFormat="false" ht="15.75" hidden="false" customHeight="true" outlineLevel="0" collapsed="false">
      <c r="A627" s="34" t="s">
        <v>70</v>
      </c>
      <c r="B627" s="34" t="n">
        <v>615.85</v>
      </c>
      <c r="C627" s="34" t="n">
        <v>-66.67</v>
      </c>
      <c r="D627" s="34" t="n">
        <v>-82.2</v>
      </c>
      <c r="E627" s="34" t="n">
        <v>-38.72</v>
      </c>
      <c r="F627" s="34" t="n">
        <v>-74.6</v>
      </c>
      <c r="G627" s="34" t="n">
        <v>-106.64</v>
      </c>
      <c r="H627" s="34" t="n">
        <v>-104.52</v>
      </c>
      <c r="I627" s="34" t="n">
        <v>-100.14</v>
      </c>
      <c r="J627" s="34" t="n">
        <v>-23.48</v>
      </c>
      <c r="K627" s="34" t="n">
        <v>645.56</v>
      </c>
      <c r="L627" s="34" t="n">
        <f aca="false">AVERAGE(C627:E627)</f>
        <v>-62.53</v>
      </c>
      <c r="M627" s="34" t="n">
        <f aca="false">AVERAGE(C627:J627)</f>
        <v>-74.62125</v>
      </c>
    </row>
    <row r="628" customFormat="false" ht="15.75" hidden="false" customHeight="true" outlineLevel="0" collapsed="false">
      <c r="A628" s="34" t="s">
        <v>991</v>
      </c>
      <c r="B628" s="34" t="n">
        <v>615.35</v>
      </c>
      <c r="C628" s="34" t="n">
        <v>-66.67</v>
      </c>
      <c r="D628" s="34" t="n">
        <v>-123.17</v>
      </c>
      <c r="E628" s="34" t="n">
        <v>-79</v>
      </c>
      <c r="F628" s="34" t="n">
        <v>-56.35</v>
      </c>
      <c r="G628" s="34" t="n">
        <v>26.02</v>
      </c>
      <c r="H628" s="34" t="n">
        <v>57.51</v>
      </c>
      <c r="I628" s="34" t="n">
        <v>82.78</v>
      </c>
      <c r="J628" s="34" t="n">
        <v>102.45</v>
      </c>
      <c r="K628" s="34" t="n">
        <v>691.18</v>
      </c>
      <c r="L628" s="34" t="n">
        <f aca="false">AVERAGE(C628:E628)</f>
        <v>-89.6133333333333</v>
      </c>
      <c r="M628" s="34" t="n">
        <f aca="false">AVERAGE(C628:J628)</f>
        <v>-7.05375</v>
      </c>
    </row>
    <row r="629" customFormat="false" ht="15.75" hidden="false" customHeight="true" outlineLevel="0" collapsed="false">
      <c r="A629" s="34" t="s">
        <v>334</v>
      </c>
      <c r="B629" s="34" t="n">
        <v>611.95</v>
      </c>
      <c r="C629" s="34" t="n">
        <v>-66.67</v>
      </c>
      <c r="D629" s="34" t="n">
        <v>10.98</v>
      </c>
      <c r="E629" s="34" t="n">
        <v>88.89</v>
      </c>
      <c r="F629" s="34" t="n">
        <v>139.32</v>
      </c>
      <c r="G629" s="34" t="n">
        <v>185.96</v>
      </c>
      <c r="H629" s="34" t="n">
        <v>62.77</v>
      </c>
      <c r="I629" s="34" t="n">
        <v>85.07</v>
      </c>
      <c r="J629" s="34" t="n">
        <v>98.43</v>
      </c>
      <c r="K629" s="34" t="n">
        <v>590.03</v>
      </c>
      <c r="L629" s="34" t="n">
        <f aca="false">AVERAGE(C629:E629)</f>
        <v>11.0666666666667</v>
      </c>
      <c r="M629" s="34" t="n">
        <f aca="false">AVERAGE(C629:J629)</f>
        <v>75.59375</v>
      </c>
    </row>
    <row r="630" customFormat="false" ht="15.75" hidden="false" customHeight="true" outlineLevel="0" collapsed="false">
      <c r="A630" s="34" t="s">
        <v>992</v>
      </c>
      <c r="B630" s="34" t="n">
        <v>610</v>
      </c>
      <c r="C630" s="34" t="n">
        <v>-66.67</v>
      </c>
      <c r="D630" s="34" t="n">
        <v>-109.94</v>
      </c>
      <c r="E630" s="34" t="n">
        <v>-38.76</v>
      </c>
      <c r="F630" s="34" t="n">
        <v>-76.3</v>
      </c>
      <c r="G630" s="34" t="n">
        <v>-74.74</v>
      </c>
      <c r="H630" s="34" t="n">
        <v>5.09</v>
      </c>
      <c r="I630" s="34" t="n">
        <v>32.94</v>
      </c>
      <c r="J630" s="34" t="n">
        <v>19.58</v>
      </c>
      <c r="K630" s="34" t="n">
        <v>647.25</v>
      </c>
      <c r="L630" s="34" t="n">
        <f aca="false">AVERAGE(C630:E630)</f>
        <v>-71.79</v>
      </c>
      <c r="M630" s="34" t="n">
        <f aca="false">AVERAGE(C630:J630)</f>
        <v>-38.6</v>
      </c>
    </row>
    <row r="631" customFormat="false" ht="15.75" hidden="false" customHeight="true" outlineLevel="0" collapsed="false">
      <c r="A631" s="34" t="s">
        <v>993</v>
      </c>
      <c r="B631" s="34" t="n">
        <v>607.05</v>
      </c>
      <c r="C631" s="34" t="n">
        <v>-66.67</v>
      </c>
      <c r="D631" s="34" t="n">
        <v>-118.41</v>
      </c>
      <c r="E631" s="34" t="n">
        <v>62.9</v>
      </c>
      <c r="F631" s="34" t="n">
        <v>129.12</v>
      </c>
      <c r="G631" s="34" t="n">
        <v>84.03</v>
      </c>
      <c r="H631" s="34" t="n">
        <v>80.19</v>
      </c>
      <c r="I631" s="34" t="n">
        <v>95.75</v>
      </c>
      <c r="J631" s="34" t="n">
        <v>113.73</v>
      </c>
      <c r="K631" s="34" t="n">
        <v>568.06</v>
      </c>
      <c r="L631" s="34" t="n">
        <f aca="false">AVERAGE(C631:E631)</f>
        <v>-40.7266666666667</v>
      </c>
      <c r="M631" s="34" t="n">
        <f aca="false">AVERAGE(C631:J631)</f>
        <v>47.58</v>
      </c>
    </row>
    <row r="632" customFormat="false" ht="15.75" hidden="false" customHeight="true" outlineLevel="0" collapsed="false">
      <c r="A632" s="34" t="s">
        <v>994</v>
      </c>
      <c r="B632" s="34" t="n">
        <v>604.05</v>
      </c>
      <c r="C632" s="34" t="n">
        <v>66.67</v>
      </c>
      <c r="D632" s="34" t="n">
        <v>74.78</v>
      </c>
      <c r="E632" s="34" t="n">
        <v>135.21</v>
      </c>
      <c r="F632" s="34" t="n">
        <v>56.07</v>
      </c>
      <c r="G632" s="34" t="n">
        <v>88.56</v>
      </c>
      <c r="H632" s="34" t="n">
        <v>109.3</v>
      </c>
      <c r="I632" s="34" t="n">
        <v>127.44</v>
      </c>
      <c r="J632" s="34" t="n">
        <v>133.22</v>
      </c>
      <c r="K632" s="34" t="n">
        <v>560.21</v>
      </c>
      <c r="L632" s="34" t="n">
        <f aca="false">AVERAGE(C632:E632)</f>
        <v>92.22</v>
      </c>
      <c r="M632" s="34" t="n">
        <f aca="false">AVERAGE(C632:J632)</f>
        <v>98.90625</v>
      </c>
    </row>
    <row r="633" customFormat="false" ht="15.75" hidden="false" customHeight="true" outlineLevel="0" collapsed="false">
      <c r="A633" s="34" t="s">
        <v>310</v>
      </c>
      <c r="B633" s="34" t="n">
        <v>602.5</v>
      </c>
      <c r="C633" s="34" t="n">
        <v>-66.67</v>
      </c>
      <c r="D633" s="34" t="n">
        <v>-114.05</v>
      </c>
      <c r="E633" s="34" t="n">
        <v>-22.74</v>
      </c>
      <c r="F633" s="34" t="n">
        <v>27.32</v>
      </c>
      <c r="G633" s="34" t="n">
        <v>44.73</v>
      </c>
      <c r="H633" s="34" t="n">
        <v>67.98</v>
      </c>
      <c r="I633" s="34" t="n">
        <v>72.65</v>
      </c>
      <c r="J633" s="34" t="n">
        <v>84.48</v>
      </c>
      <c r="K633" s="34" t="n">
        <v>586.15</v>
      </c>
      <c r="L633" s="34" t="n">
        <f aca="false">AVERAGE(C633:E633)</f>
        <v>-67.82</v>
      </c>
      <c r="M633" s="34" t="n">
        <f aca="false">AVERAGE(C633:J633)</f>
        <v>11.7125</v>
      </c>
    </row>
    <row r="634" customFormat="false" ht="15.75" hidden="false" customHeight="true" outlineLevel="0" collapsed="false">
      <c r="A634" s="34" t="s">
        <v>995</v>
      </c>
      <c r="B634" s="34" t="n">
        <v>601.95</v>
      </c>
      <c r="C634" s="34" t="n">
        <v>66.67</v>
      </c>
      <c r="D634" s="34" t="n">
        <v>96.86</v>
      </c>
      <c r="E634" s="34" t="n">
        <v>121.68</v>
      </c>
      <c r="F634" s="34" t="n">
        <v>161.27</v>
      </c>
      <c r="G634" s="34" t="n">
        <v>180.4</v>
      </c>
      <c r="H634" s="34" t="n">
        <v>129.54</v>
      </c>
      <c r="I634" s="34" t="n">
        <v>125.21</v>
      </c>
      <c r="J634" s="34" t="n">
        <v>133.81</v>
      </c>
      <c r="K634" s="34" t="n">
        <v>547.21</v>
      </c>
      <c r="L634" s="34" t="n">
        <f aca="false">AVERAGE(C634:E634)</f>
        <v>95.07</v>
      </c>
      <c r="M634" s="34" t="n">
        <f aca="false">AVERAGE(C634:J634)</f>
        <v>126.93</v>
      </c>
    </row>
    <row r="635" customFormat="false" ht="15.75" hidden="false" customHeight="true" outlineLevel="0" collapsed="false">
      <c r="A635" s="34" t="s">
        <v>520</v>
      </c>
      <c r="B635" s="34" t="n">
        <v>598.05</v>
      </c>
      <c r="C635" s="34" t="n">
        <v>66.67</v>
      </c>
      <c r="D635" s="34" t="n">
        <v>116.19</v>
      </c>
      <c r="E635" s="34" t="n">
        <v>122.99</v>
      </c>
      <c r="F635" s="34" t="n">
        <v>13.79</v>
      </c>
      <c r="G635" s="34" t="n">
        <v>70.85</v>
      </c>
      <c r="H635" s="34" t="n">
        <v>101.95</v>
      </c>
      <c r="I635" s="34" t="n">
        <v>118.63</v>
      </c>
      <c r="J635" s="34" t="n">
        <v>138.14</v>
      </c>
      <c r="K635" s="34" t="n">
        <v>625.02</v>
      </c>
      <c r="L635" s="34" t="n">
        <f aca="false">AVERAGE(C635:E635)</f>
        <v>101.95</v>
      </c>
      <c r="M635" s="34" t="n">
        <f aca="false">AVERAGE(C635:J635)</f>
        <v>93.65125</v>
      </c>
    </row>
    <row r="636" customFormat="false" ht="15.75" hidden="false" customHeight="true" outlineLevel="0" collapsed="false">
      <c r="A636" s="34" t="s">
        <v>996</v>
      </c>
      <c r="B636" s="34" t="n">
        <v>596.8</v>
      </c>
      <c r="C636" s="34" t="n">
        <v>-66.67</v>
      </c>
      <c r="D636" s="34" t="n">
        <v>38.74</v>
      </c>
      <c r="E636" s="34" t="n">
        <v>88.12</v>
      </c>
      <c r="F636" s="34" t="n">
        <v>107.49</v>
      </c>
      <c r="G636" s="34" t="n">
        <v>191.81</v>
      </c>
      <c r="H636" s="34" t="n">
        <v>249.26</v>
      </c>
      <c r="I636" s="34" t="n">
        <v>215.5</v>
      </c>
      <c r="J636" s="34" t="n">
        <v>252.74</v>
      </c>
      <c r="K636" s="34" t="n">
        <v>545.39</v>
      </c>
      <c r="L636" s="34" t="n">
        <f aca="false">AVERAGE(C636:E636)</f>
        <v>20.0633333333333</v>
      </c>
      <c r="M636" s="34" t="n">
        <f aca="false">AVERAGE(C636:J636)</f>
        <v>134.62375</v>
      </c>
    </row>
    <row r="637" customFormat="false" ht="15.75" hidden="false" customHeight="true" outlineLevel="0" collapsed="false">
      <c r="A637" s="34" t="s">
        <v>997</v>
      </c>
      <c r="B637" s="34" t="n">
        <v>596.4</v>
      </c>
      <c r="C637" s="34" t="n">
        <v>-66.67</v>
      </c>
      <c r="D637" s="34" t="n">
        <v>23.87</v>
      </c>
      <c r="E637" s="34" t="n">
        <v>48.51</v>
      </c>
      <c r="F637" s="34" t="n">
        <v>-27.23</v>
      </c>
      <c r="G637" s="34" t="n">
        <v>-75.79</v>
      </c>
      <c r="H637" s="34" t="n">
        <v>-97.01</v>
      </c>
      <c r="I637" s="34" t="n">
        <v>-102.82</v>
      </c>
      <c r="J637" s="34" t="n">
        <v>-99.84</v>
      </c>
      <c r="K637" s="34" t="n">
        <v>608.84</v>
      </c>
      <c r="L637" s="34" t="n">
        <f aca="false">AVERAGE(C637:E637)</f>
        <v>1.90333333333333</v>
      </c>
      <c r="M637" s="34" t="n">
        <f aca="false">AVERAGE(C637:J637)</f>
        <v>-49.6225</v>
      </c>
    </row>
    <row r="638" customFormat="false" ht="15.75" hidden="false" customHeight="true" outlineLevel="0" collapsed="false">
      <c r="A638" s="34" t="s">
        <v>998</v>
      </c>
      <c r="B638" s="34" t="n">
        <v>595.8</v>
      </c>
      <c r="C638" s="34" t="n">
        <v>-66.67</v>
      </c>
      <c r="D638" s="34" t="n">
        <v>-133.33</v>
      </c>
      <c r="E638" s="34" t="n">
        <v>-106.23</v>
      </c>
      <c r="F638" s="34" t="n">
        <v>-66.1</v>
      </c>
      <c r="G638" s="34"/>
      <c r="H638" s="34"/>
      <c r="I638" s="34"/>
      <c r="J638" s="34"/>
      <c r="K638" s="34" t="n">
        <v>651.28</v>
      </c>
      <c r="L638" s="34" t="n">
        <f aca="false">AVERAGE(C638:E638)</f>
        <v>-102.076666666667</v>
      </c>
      <c r="M638" s="34" t="n">
        <f aca="false">AVERAGE(C638:J638)</f>
        <v>-93.0825</v>
      </c>
    </row>
    <row r="639" customFormat="false" ht="15.75" hidden="false" customHeight="true" outlineLevel="0" collapsed="false">
      <c r="A639" s="34" t="s">
        <v>999</v>
      </c>
      <c r="B639" s="34" t="n">
        <v>595.35</v>
      </c>
      <c r="C639" s="34" t="n">
        <v>-66.67</v>
      </c>
      <c r="D639" s="34" t="n">
        <v>-133.33</v>
      </c>
      <c r="E639" s="34" t="n">
        <v>-120.05</v>
      </c>
      <c r="F639" s="34" t="n">
        <v>-91.06</v>
      </c>
      <c r="G639" s="34" t="n">
        <v>-137.49</v>
      </c>
      <c r="H639" s="34" t="n">
        <v>-125.39</v>
      </c>
      <c r="I639" s="34" t="n">
        <v>-35.3</v>
      </c>
      <c r="J639" s="34" t="n">
        <v>-29.14</v>
      </c>
      <c r="K639" s="34" t="n">
        <v>636.94</v>
      </c>
      <c r="L639" s="34" t="n">
        <f aca="false">AVERAGE(C639:E639)</f>
        <v>-106.683333333333</v>
      </c>
      <c r="M639" s="34" t="n">
        <f aca="false">AVERAGE(C639:J639)</f>
        <v>-92.30375</v>
      </c>
    </row>
    <row r="640" customFormat="false" ht="15.75" hidden="false" customHeight="true" outlineLevel="0" collapsed="false">
      <c r="A640" s="34" t="s">
        <v>259</v>
      </c>
      <c r="B640" s="34" t="n">
        <v>594.3</v>
      </c>
      <c r="C640" s="34" t="n">
        <v>-66.67</v>
      </c>
      <c r="D640" s="34" t="n">
        <v>-96.19</v>
      </c>
      <c r="E640" s="34" t="n">
        <v>39.37</v>
      </c>
      <c r="F640" s="34" t="n">
        <v>42.17</v>
      </c>
      <c r="G640" s="34" t="n">
        <v>63.44</v>
      </c>
      <c r="H640" s="34" t="n">
        <v>86.25</v>
      </c>
      <c r="I640" s="34" t="n">
        <v>97.58</v>
      </c>
      <c r="J640" s="34" t="n">
        <v>106.45</v>
      </c>
      <c r="K640" s="34" t="n">
        <v>571.05</v>
      </c>
      <c r="L640" s="34" t="n">
        <f aca="false">AVERAGE(C640:E640)</f>
        <v>-41.1633333333333</v>
      </c>
      <c r="M640" s="34" t="n">
        <f aca="false">AVERAGE(C640:J640)</f>
        <v>34.05</v>
      </c>
    </row>
    <row r="641" customFormat="false" ht="15.75" hidden="false" customHeight="true" outlineLevel="0" collapsed="false">
      <c r="A641" s="34" t="s">
        <v>1000</v>
      </c>
      <c r="B641" s="34" t="n">
        <v>593.45</v>
      </c>
      <c r="C641" s="34" t="n">
        <v>-66.67</v>
      </c>
      <c r="D641" s="34" t="n">
        <v>-29.08</v>
      </c>
      <c r="E641" s="34" t="n">
        <v>-1.73</v>
      </c>
      <c r="F641" s="34" t="n">
        <v>-88.15</v>
      </c>
      <c r="G641" s="34" t="n">
        <v>-127.31</v>
      </c>
      <c r="H641" s="34" t="n">
        <v>-138.64</v>
      </c>
      <c r="I641" s="34" t="n">
        <v>-158.52</v>
      </c>
      <c r="J641" s="34" t="n">
        <v>-177.57</v>
      </c>
      <c r="K641" s="34" t="n">
        <v>637.39</v>
      </c>
      <c r="L641" s="34" t="n">
        <f aca="false">AVERAGE(C641:E641)</f>
        <v>-32.4933333333333</v>
      </c>
      <c r="M641" s="34" t="n">
        <f aca="false">AVERAGE(C641:J641)</f>
        <v>-98.45875</v>
      </c>
    </row>
    <row r="642" customFormat="false" ht="15.75" hidden="false" customHeight="true" outlineLevel="0" collapsed="false">
      <c r="A642" s="34" t="s">
        <v>1001</v>
      </c>
      <c r="B642" s="34" t="n">
        <v>592.25</v>
      </c>
      <c r="C642" s="34" t="n">
        <v>-66.67</v>
      </c>
      <c r="D642" s="34" t="n">
        <v>-59.19</v>
      </c>
      <c r="E642" s="34" t="n">
        <v>-29.76</v>
      </c>
      <c r="F642" s="34" t="n">
        <v>-67.18</v>
      </c>
      <c r="G642" s="34" t="n">
        <v>-90.82</v>
      </c>
      <c r="H642" s="34" t="n">
        <v>-9.19</v>
      </c>
      <c r="I642" s="34" t="n">
        <v>19.1</v>
      </c>
      <c r="J642" s="34" t="n">
        <v>20.02</v>
      </c>
      <c r="K642" s="34" t="n">
        <v>628.15</v>
      </c>
      <c r="L642" s="34" t="n">
        <f aca="false">AVERAGE(C642:E642)</f>
        <v>-51.8733333333333</v>
      </c>
      <c r="M642" s="34" t="n">
        <f aca="false">AVERAGE(C642:J642)</f>
        <v>-35.46125</v>
      </c>
    </row>
    <row r="643" customFormat="false" ht="15.75" hidden="false" customHeight="true" outlineLevel="0" collapsed="false">
      <c r="A643" s="34" t="s">
        <v>423</v>
      </c>
      <c r="B643" s="34" t="n">
        <v>591.8</v>
      </c>
      <c r="C643" s="34" t="n">
        <v>-66.67</v>
      </c>
      <c r="D643" s="34" t="n">
        <v>-8.32</v>
      </c>
      <c r="E643" s="34" t="n">
        <v>57.41</v>
      </c>
      <c r="F643" s="34" t="n">
        <v>-56.03</v>
      </c>
      <c r="G643" s="34" t="n">
        <v>-78.98</v>
      </c>
      <c r="H643" s="34" t="n">
        <v>-56.34</v>
      </c>
      <c r="I643" s="34" t="n">
        <v>-54.96</v>
      </c>
      <c r="J643" s="34" t="n">
        <v>-66.28</v>
      </c>
      <c r="K643" s="34" t="n">
        <v>606.46</v>
      </c>
      <c r="L643" s="34" t="n">
        <f aca="false">AVERAGE(C643:E643)</f>
        <v>-5.86</v>
      </c>
      <c r="M643" s="34" t="n">
        <f aca="false">AVERAGE(C643:J643)</f>
        <v>-41.27125</v>
      </c>
    </row>
    <row r="644" customFormat="false" ht="15.75" hidden="false" customHeight="true" outlineLevel="0" collapsed="false">
      <c r="A644" s="34" t="s">
        <v>1002</v>
      </c>
      <c r="B644" s="34" t="n">
        <v>591.05</v>
      </c>
      <c r="C644" s="34" t="n">
        <v>-66.67</v>
      </c>
      <c r="D644" s="34" t="n">
        <v>-108.8</v>
      </c>
      <c r="E644" s="34" t="n">
        <v>-61.86</v>
      </c>
      <c r="F644" s="34" t="n">
        <v>-41.55</v>
      </c>
      <c r="G644" s="34" t="n">
        <v>29.11</v>
      </c>
      <c r="H644" s="34" t="n">
        <v>53.61</v>
      </c>
      <c r="I644" s="34" t="n">
        <v>81.6</v>
      </c>
      <c r="J644" s="34" t="n">
        <v>63.71</v>
      </c>
      <c r="K644" s="34" t="n">
        <v>603.72</v>
      </c>
      <c r="L644" s="34" t="n">
        <f aca="false">AVERAGE(C644:E644)</f>
        <v>-79.11</v>
      </c>
      <c r="M644" s="34" t="n">
        <f aca="false">AVERAGE(C644:J644)</f>
        <v>-6.35625</v>
      </c>
    </row>
    <row r="645" customFormat="false" ht="15.75" hidden="false" customHeight="true" outlineLevel="0" collapsed="false">
      <c r="A645" s="34" t="s">
        <v>401</v>
      </c>
      <c r="B645" s="34" t="n">
        <v>588.75</v>
      </c>
      <c r="C645" s="34" t="n">
        <v>66.67</v>
      </c>
      <c r="D645" s="34" t="n">
        <v>-9.14</v>
      </c>
      <c r="E645" s="34" t="n">
        <v>31.61</v>
      </c>
      <c r="F645" s="34" t="n">
        <v>-62.58</v>
      </c>
      <c r="G645" s="34" t="n">
        <v>-114.92</v>
      </c>
      <c r="H645" s="34" t="n">
        <v>-141.79</v>
      </c>
      <c r="I645" s="34" t="n">
        <v>-165.15</v>
      </c>
      <c r="J645" s="34" t="n">
        <v>-181.78</v>
      </c>
      <c r="K645" s="34" t="n">
        <v>620.4</v>
      </c>
      <c r="L645" s="34" t="n">
        <f aca="false">AVERAGE(C645:E645)</f>
        <v>29.7133333333333</v>
      </c>
      <c r="M645" s="34" t="n">
        <f aca="false">AVERAGE(C645:J645)</f>
        <v>-72.135</v>
      </c>
    </row>
    <row r="646" customFormat="false" ht="15.75" hidden="false" customHeight="true" outlineLevel="0" collapsed="false">
      <c r="A646" s="34" t="s">
        <v>1003</v>
      </c>
      <c r="B646" s="34" t="n">
        <v>587.55</v>
      </c>
      <c r="C646" s="34" t="n">
        <v>66.67</v>
      </c>
      <c r="D646" s="34" t="n">
        <v>132.91</v>
      </c>
      <c r="E646" s="34" t="n">
        <v>263.09</v>
      </c>
      <c r="F646" s="34" t="n">
        <v>443.27</v>
      </c>
      <c r="G646" s="34" t="n">
        <v>342.68</v>
      </c>
      <c r="H646" s="34" t="n">
        <v>313.86</v>
      </c>
      <c r="I646" s="34" t="n">
        <v>317.91</v>
      </c>
      <c r="J646" s="34" t="n">
        <v>258.71</v>
      </c>
      <c r="K646" s="34" t="n">
        <v>483.89</v>
      </c>
      <c r="L646" s="34" t="n">
        <f aca="false">AVERAGE(C646:E646)</f>
        <v>154.223333333333</v>
      </c>
      <c r="M646" s="34" t="n">
        <f aca="false">AVERAGE(C646:J646)</f>
        <v>267.3875</v>
      </c>
    </row>
    <row r="647" customFormat="false" ht="15.75" hidden="false" customHeight="true" outlineLevel="0" collapsed="false">
      <c r="A647" s="34" t="s">
        <v>1004</v>
      </c>
      <c r="B647" s="34" t="n">
        <v>586.9</v>
      </c>
      <c r="C647" s="34" t="n">
        <v>-66.67</v>
      </c>
      <c r="D647" s="34" t="n">
        <v>-27.83</v>
      </c>
      <c r="E647" s="34" t="n">
        <v>46.41</v>
      </c>
      <c r="F647" s="34" t="n">
        <v>-5.57</v>
      </c>
      <c r="G647" s="34" t="n">
        <v>-56.41</v>
      </c>
      <c r="H647" s="34" t="n">
        <v>12.27</v>
      </c>
      <c r="I647" s="34" t="n">
        <v>43.95</v>
      </c>
      <c r="J647" s="34" t="n">
        <v>33.51</v>
      </c>
      <c r="K647" s="34" t="n">
        <v>610.62</v>
      </c>
      <c r="L647" s="34" t="n">
        <f aca="false">AVERAGE(C647:E647)</f>
        <v>-16.03</v>
      </c>
      <c r="M647" s="34" t="n">
        <f aca="false">AVERAGE(C647:J647)</f>
        <v>-2.5425</v>
      </c>
    </row>
    <row r="648" customFormat="false" ht="15.75" hidden="false" customHeight="true" outlineLevel="0" collapsed="false">
      <c r="A648" s="34" t="s">
        <v>322</v>
      </c>
      <c r="B648" s="34" t="n">
        <v>584.85</v>
      </c>
      <c r="C648" s="34" t="n">
        <v>66.67</v>
      </c>
      <c r="D648" s="34" t="n">
        <v>85.88</v>
      </c>
      <c r="E648" s="34" t="n">
        <v>118.08</v>
      </c>
      <c r="F648" s="34" t="n">
        <v>7.66</v>
      </c>
      <c r="G648" s="34" t="n">
        <v>-21.31</v>
      </c>
      <c r="H648" s="34" t="n">
        <v>16.35</v>
      </c>
      <c r="I648" s="34" t="n">
        <v>48.71</v>
      </c>
      <c r="J648" s="34" t="n">
        <v>61.64</v>
      </c>
      <c r="K648" s="34" t="n">
        <v>552.98</v>
      </c>
      <c r="L648" s="34" t="n">
        <f aca="false">AVERAGE(C648:E648)</f>
        <v>90.21</v>
      </c>
      <c r="M648" s="34" t="n">
        <f aca="false">AVERAGE(C648:J648)</f>
        <v>47.96</v>
      </c>
    </row>
    <row r="649" customFormat="false" ht="15.75" hidden="false" customHeight="true" outlineLevel="0" collapsed="false">
      <c r="A649" s="34" t="s">
        <v>1005</v>
      </c>
      <c r="B649" s="34" t="n">
        <v>584.15</v>
      </c>
      <c r="C649" s="34" t="n">
        <v>-66.67</v>
      </c>
      <c r="D649" s="34" t="n">
        <v>-110.92</v>
      </c>
      <c r="E649" s="34" t="n">
        <v>34.33</v>
      </c>
      <c r="F649" s="34" t="n">
        <v>-73.28</v>
      </c>
      <c r="G649" s="34" t="n">
        <v>-127.81</v>
      </c>
      <c r="H649" s="34" t="n">
        <v>-65.87</v>
      </c>
      <c r="I649" s="34" t="n">
        <v>-41.29</v>
      </c>
      <c r="J649" s="34" t="n">
        <v>-58.23</v>
      </c>
      <c r="K649" s="34" t="n">
        <v>610.83</v>
      </c>
      <c r="L649" s="34" t="n">
        <f aca="false">AVERAGE(C649:E649)</f>
        <v>-47.7533333333333</v>
      </c>
      <c r="M649" s="34" t="n">
        <f aca="false">AVERAGE(C649:J649)</f>
        <v>-63.7175</v>
      </c>
    </row>
    <row r="650" customFormat="false" ht="15.75" hidden="false" customHeight="true" outlineLevel="0" collapsed="false">
      <c r="A650" s="34" t="s">
        <v>1006</v>
      </c>
      <c r="B650" s="34" t="n">
        <v>583.5</v>
      </c>
      <c r="C650" s="34" t="n">
        <v>-66.67</v>
      </c>
      <c r="D650" s="34" t="n">
        <v>-133.33</v>
      </c>
      <c r="E650" s="34" t="n">
        <v>68.85</v>
      </c>
      <c r="F650" s="34" t="n">
        <v>1.25</v>
      </c>
      <c r="G650" s="34" t="n">
        <v>-51.1</v>
      </c>
      <c r="H650" s="34" t="n">
        <v>-35.17</v>
      </c>
      <c r="I650" s="34" t="n">
        <v>0.563</v>
      </c>
      <c r="J650" s="34" t="n">
        <v>-33.32</v>
      </c>
      <c r="K650" s="34" t="n">
        <v>556.51</v>
      </c>
      <c r="L650" s="34" t="n">
        <f aca="false">AVERAGE(C650:E650)</f>
        <v>-43.7166666666667</v>
      </c>
      <c r="M650" s="34" t="n">
        <f aca="false">AVERAGE(C650:J650)</f>
        <v>-31.115875</v>
      </c>
    </row>
    <row r="651" customFormat="false" ht="15.75" hidden="false" customHeight="true" outlineLevel="0" collapsed="false">
      <c r="A651" s="34" t="s">
        <v>1007</v>
      </c>
      <c r="B651" s="34" t="n">
        <v>583.35</v>
      </c>
      <c r="C651" s="34" t="n">
        <v>-66.67</v>
      </c>
      <c r="D651" s="34" t="n">
        <v>61.95</v>
      </c>
      <c r="E651" s="34" t="n">
        <v>90.77</v>
      </c>
      <c r="F651" s="34" t="n">
        <v>-0.087</v>
      </c>
      <c r="G651" s="34" t="n">
        <v>1.52</v>
      </c>
      <c r="H651" s="34" t="n">
        <v>43.25</v>
      </c>
      <c r="I651" s="34" t="n">
        <v>64.8</v>
      </c>
      <c r="J651" s="34" t="n">
        <v>58.47</v>
      </c>
      <c r="K651" s="34" t="n">
        <v>583.96</v>
      </c>
      <c r="L651" s="34" t="n">
        <f aca="false">AVERAGE(C651:E651)</f>
        <v>28.6833333333333</v>
      </c>
      <c r="M651" s="34" t="n">
        <f aca="false">AVERAGE(C651:J651)</f>
        <v>31.750375</v>
      </c>
    </row>
    <row r="652" customFormat="false" ht="15.75" hidden="false" customHeight="true" outlineLevel="0" collapsed="false">
      <c r="A652" s="34" t="s">
        <v>1008</v>
      </c>
      <c r="B652" s="34" t="n">
        <v>581.4</v>
      </c>
      <c r="C652" s="34" t="n">
        <v>-66.67</v>
      </c>
      <c r="D652" s="34" t="n">
        <v>-102.25</v>
      </c>
      <c r="E652" s="34" t="n">
        <v>-118.06</v>
      </c>
      <c r="F652" s="34" t="n">
        <v>-67.39</v>
      </c>
      <c r="G652" s="34" t="n">
        <v>-109.16</v>
      </c>
      <c r="H652" s="34" t="n">
        <v>-142.23</v>
      </c>
      <c r="I652" s="34" t="n">
        <v>-150.88</v>
      </c>
      <c r="J652" s="34" t="n">
        <v>-163.19</v>
      </c>
      <c r="K652" s="34" t="n">
        <v>619.23</v>
      </c>
      <c r="L652" s="34" t="n">
        <f aca="false">AVERAGE(C652:E652)</f>
        <v>-95.66</v>
      </c>
      <c r="M652" s="34" t="n">
        <f aca="false">AVERAGE(C652:J652)</f>
        <v>-114.97875</v>
      </c>
    </row>
    <row r="653" customFormat="false" ht="15.75" hidden="false" customHeight="true" outlineLevel="0" collapsed="false">
      <c r="A653" s="34" t="s">
        <v>1009</v>
      </c>
      <c r="B653" s="34" t="n">
        <v>580.65</v>
      </c>
      <c r="C653" s="34" t="n">
        <v>-66.67</v>
      </c>
      <c r="D653" s="34" t="n">
        <v>-20.82</v>
      </c>
      <c r="E653" s="34" t="n">
        <v>44.02</v>
      </c>
      <c r="F653" s="34" t="n">
        <v>-55.31</v>
      </c>
      <c r="G653" s="34" t="n">
        <v>-51.14</v>
      </c>
      <c r="H653" s="34" t="n">
        <v>27.91</v>
      </c>
      <c r="I653" s="34" t="n">
        <v>48.31</v>
      </c>
      <c r="J653" s="34" t="n">
        <v>62.31</v>
      </c>
      <c r="K653" s="34" t="n">
        <v>601.7</v>
      </c>
      <c r="L653" s="34" t="n">
        <f aca="false">AVERAGE(C653:E653)</f>
        <v>-14.49</v>
      </c>
      <c r="M653" s="34" t="n">
        <f aca="false">AVERAGE(C653:J653)</f>
        <v>-1.42375</v>
      </c>
    </row>
    <row r="654" customFormat="false" ht="15.75" hidden="false" customHeight="true" outlineLevel="0" collapsed="false">
      <c r="A654" s="34" t="s">
        <v>1010</v>
      </c>
      <c r="B654" s="34" t="n">
        <v>578.55</v>
      </c>
      <c r="C654" s="34" t="n">
        <v>-66.67</v>
      </c>
      <c r="D654" s="34" t="n">
        <v>-15.31</v>
      </c>
      <c r="E654" s="34" t="n">
        <v>-50.63</v>
      </c>
      <c r="F654" s="34" t="n">
        <v>-108.3</v>
      </c>
      <c r="G654" s="34" t="n">
        <v>-104.06</v>
      </c>
      <c r="H654" s="34" t="n">
        <v>-91.77</v>
      </c>
      <c r="I654" s="34" t="n">
        <v>-47.25</v>
      </c>
      <c r="J654" s="34" t="n">
        <v>-56.67</v>
      </c>
      <c r="K654" s="34" t="n">
        <v>651.27</v>
      </c>
      <c r="L654" s="34" t="n">
        <f aca="false">AVERAGE(C654:E654)</f>
        <v>-44.2033333333333</v>
      </c>
      <c r="M654" s="34" t="n">
        <f aca="false">AVERAGE(C654:J654)</f>
        <v>-67.5825</v>
      </c>
    </row>
    <row r="655" customFormat="false" ht="15.75" hidden="false" customHeight="true" outlineLevel="0" collapsed="false">
      <c r="A655" s="34" t="s">
        <v>1011</v>
      </c>
      <c r="B655" s="34" t="n">
        <v>577.3</v>
      </c>
      <c r="C655" s="34" t="n">
        <v>-66.67</v>
      </c>
      <c r="D655" s="34" t="n">
        <v>-130.72</v>
      </c>
      <c r="E655" s="34" t="n">
        <v>-28.9</v>
      </c>
      <c r="F655" s="34" t="n">
        <v>-74.76</v>
      </c>
      <c r="G655" s="34" t="n">
        <v>-116.75</v>
      </c>
      <c r="H655" s="34" t="n">
        <v>-145.76</v>
      </c>
      <c r="I655" s="34" t="n">
        <v>-151.1</v>
      </c>
      <c r="J655" s="34" t="n">
        <v>-166.28</v>
      </c>
      <c r="K655" s="34" t="n">
        <v>604.51</v>
      </c>
      <c r="L655" s="34" t="n">
        <f aca="false">AVERAGE(C655:E655)</f>
        <v>-75.43</v>
      </c>
      <c r="M655" s="34" t="n">
        <f aca="false">AVERAGE(C655:J655)</f>
        <v>-110.1175</v>
      </c>
    </row>
    <row r="656" customFormat="false" ht="15.75" hidden="false" customHeight="true" outlineLevel="0" collapsed="false">
      <c r="A656" s="34" t="s">
        <v>143</v>
      </c>
      <c r="B656" s="34" t="n">
        <v>577.15</v>
      </c>
      <c r="C656" s="34" t="n">
        <v>-66.67</v>
      </c>
      <c r="D656" s="34" t="n">
        <v>-133.33</v>
      </c>
      <c r="E656" s="34" t="n">
        <v>-86.92</v>
      </c>
      <c r="F656" s="34" t="n">
        <v>-104.93</v>
      </c>
      <c r="G656" s="34" t="n">
        <v>2.13</v>
      </c>
      <c r="H656" s="34" t="n">
        <v>29.54</v>
      </c>
      <c r="I656" s="34" t="n">
        <v>56.38</v>
      </c>
      <c r="J656" s="34" t="n">
        <v>70.87</v>
      </c>
      <c r="K656" s="34" t="n">
        <v>605.16</v>
      </c>
      <c r="L656" s="34" t="n">
        <f aca="false">AVERAGE(C656:E656)</f>
        <v>-95.64</v>
      </c>
      <c r="M656" s="34" t="n">
        <f aca="false">AVERAGE(C656:J656)</f>
        <v>-29.11625</v>
      </c>
    </row>
    <row r="657" customFormat="false" ht="15.75" hidden="false" customHeight="true" outlineLevel="0" collapsed="false">
      <c r="A657" s="34" t="s">
        <v>1012</v>
      </c>
      <c r="B657" s="34" t="n">
        <v>576.9</v>
      </c>
      <c r="C657" s="34" t="n">
        <v>66.67</v>
      </c>
      <c r="D657" s="34" t="n">
        <v>102.74</v>
      </c>
      <c r="E657" s="34" t="n">
        <v>120.67</v>
      </c>
      <c r="F657" s="34" t="n">
        <v>-17.56</v>
      </c>
      <c r="G657" s="34" t="n">
        <v>-48.96</v>
      </c>
      <c r="H657" s="34" t="n">
        <v>-72.86</v>
      </c>
      <c r="I657" s="34" t="n">
        <v>-33.54</v>
      </c>
      <c r="J657" s="34" t="n">
        <v>-48.44</v>
      </c>
      <c r="K657" s="34" t="n">
        <v>581.18</v>
      </c>
      <c r="L657" s="34" t="n">
        <f aca="false">AVERAGE(C657:E657)</f>
        <v>96.6933333333333</v>
      </c>
      <c r="M657" s="34" t="n">
        <f aca="false">AVERAGE(C657:J657)</f>
        <v>8.59</v>
      </c>
    </row>
    <row r="658" customFormat="false" ht="15.75" hidden="false" customHeight="true" outlineLevel="0" collapsed="false">
      <c r="A658" s="34" t="s">
        <v>1013</v>
      </c>
      <c r="B658" s="34" t="n">
        <v>575</v>
      </c>
      <c r="C658" s="34" t="n">
        <v>-66.67</v>
      </c>
      <c r="D658" s="34" t="n">
        <v>50.04</v>
      </c>
      <c r="E658" s="34" t="n">
        <v>71.11</v>
      </c>
      <c r="F658" s="34" t="n">
        <v>-41.47</v>
      </c>
      <c r="G658" s="34" t="n">
        <v>-92.25</v>
      </c>
      <c r="H658" s="34" t="n">
        <v>-123.3</v>
      </c>
      <c r="I658" s="34" t="n">
        <v>-25.98</v>
      </c>
      <c r="J658" s="34" t="n">
        <v>-9.85</v>
      </c>
      <c r="K658" s="34" t="n">
        <v>588.02</v>
      </c>
      <c r="L658" s="34" t="n">
        <f aca="false">AVERAGE(C658:E658)</f>
        <v>18.16</v>
      </c>
      <c r="M658" s="34" t="n">
        <f aca="false">AVERAGE(C658:J658)</f>
        <v>-29.79625</v>
      </c>
    </row>
    <row r="659" customFormat="false" ht="15.75" hidden="false" customHeight="true" outlineLevel="0" collapsed="false">
      <c r="A659" s="34" t="s">
        <v>1014</v>
      </c>
      <c r="B659" s="34" t="n">
        <v>574.9</v>
      </c>
      <c r="C659" s="34" t="n">
        <v>66.67</v>
      </c>
      <c r="D659" s="34" t="n">
        <v>79.65</v>
      </c>
      <c r="E659" s="34" t="n">
        <v>111.11</v>
      </c>
      <c r="F659" s="34" t="n">
        <v>167.4</v>
      </c>
      <c r="G659" s="34" t="n">
        <v>184.79</v>
      </c>
      <c r="H659" s="34" t="n">
        <v>149.76</v>
      </c>
      <c r="I659" s="34" t="n">
        <v>156</v>
      </c>
      <c r="J659" s="34" t="n">
        <v>135.24</v>
      </c>
      <c r="K659" s="34" t="n">
        <v>519.99</v>
      </c>
      <c r="L659" s="34" t="n">
        <f aca="false">AVERAGE(C659:E659)</f>
        <v>85.81</v>
      </c>
      <c r="M659" s="34" t="n">
        <f aca="false">AVERAGE(C659:J659)</f>
        <v>131.3275</v>
      </c>
    </row>
    <row r="660" customFormat="false" ht="15.75" hidden="false" customHeight="true" outlineLevel="0" collapsed="false">
      <c r="A660" s="34" t="s">
        <v>35</v>
      </c>
      <c r="B660" s="34" t="n">
        <v>573.1</v>
      </c>
      <c r="C660" s="34" t="n">
        <v>-66.67</v>
      </c>
      <c r="D660" s="34" t="n">
        <v>-91.81</v>
      </c>
      <c r="E660" s="34" t="n">
        <v>-13.8</v>
      </c>
      <c r="F660" s="34" t="n">
        <v>7.37</v>
      </c>
      <c r="G660" s="34" t="n">
        <v>-56.13</v>
      </c>
      <c r="H660" s="34" t="n">
        <v>-77.06</v>
      </c>
      <c r="I660" s="34" t="n">
        <v>-73.79</v>
      </c>
      <c r="J660" s="34" t="n">
        <v>-81.26</v>
      </c>
      <c r="K660" s="34" t="n">
        <v>553</v>
      </c>
      <c r="L660" s="34" t="n">
        <f aca="false">AVERAGE(C660:E660)</f>
        <v>-57.4266666666667</v>
      </c>
      <c r="M660" s="34" t="n">
        <f aca="false">AVERAGE(C660:J660)</f>
        <v>-56.64375</v>
      </c>
    </row>
    <row r="661" customFormat="false" ht="15.75" hidden="false" customHeight="true" outlineLevel="0" collapsed="false">
      <c r="A661" s="34" t="s">
        <v>1015</v>
      </c>
      <c r="B661" s="34" t="n">
        <v>573.05</v>
      </c>
      <c r="C661" s="34" t="n">
        <v>-66.67</v>
      </c>
      <c r="D661" s="34" t="n">
        <v>-47.4</v>
      </c>
      <c r="E661" s="34" t="n">
        <v>66.28</v>
      </c>
      <c r="F661" s="34" t="n">
        <v>-41.99</v>
      </c>
      <c r="G661" s="34" t="n">
        <v>-87.71</v>
      </c>
      <c r="H661" s="34" t="n">
        <v>-105.54</v>
      </c>
      <c r="I661" s="34" t="n">
        <v>-112.56</v>
      </c>
      <c r="J661" s="34" t="n">
        <v>-109.12</v>
      </c>
      <c r="K661" s="34" t="n">
        <v>551.07</v>
      </c>
      <c r="L661" s="34" t="n">
        <f aca="false">AVERAGE(C661:E661)</f>
        <v>-15.93</v>
      </c>
      <c r="M661" s="34" t="n">
        <f aca="false">AVERAGE(C661:J661)</f>
        <v>-63.08875</v>
      </c>
    </row>
    <row r="662" customFormat="false" ht="15.75" hidden="false" customHeight="true" outlineLevel="0" collapsed="false">
      <c r="A662" s="34" t="s">
        <v>435</v>
      </c>
      <c r="B662" s="34" t="n">
        <v>572.5</v>
      </c>
      <c r="C662" s="34" t="n">
        <v>-66.67</v>
      </c>
      <c r="D662" s="34" t="n">
        <v>-106.48</v>
      </c>
      <c r="E662" s="34" t="n">
        <v>-45.81</v>
      </c>
      <c r="F662" s="34" t="n">
        <v>32.17</v>
      </c>
      <c r="G662" s="34" t="n">
        <v>-16.82</v>
      </c>
      <c r="H662" s="34" t="n">
        <v>-15.4</v>
      </c>
      <c r="I662" s="34" t="n">
        <v>19.83</v>
      </c>
      <c r="J662" s="34" t="n">
        <v>-7.96</v>
      </c>
      <c r="K662" s="34" t="n">
        <v>558.97</v>
      </c>
      <c r="L662" s="34" t="n">
        <f aca="false">AVERAGE(C662:E662)</f>
        <v>-72.9866666666667</v>
      </c>
      <c r="M662" s="34" t="n">
        <f aca="false">AVERAGE(C662:J662)</f>
        <v>-25.8925</v>
      </c>
    </row>
    <row r="663" customFormat="false" ht="15.75" hidden="false" customHeight="true" outlineLevel="0" collapsed="false">
      <c r="A663" s="34" t="s">
        <v>342</v>
      </c>
      <c r="B663" s="34" t="n">
        <v>572.4</v>
      </c>
      <c r="C663" s="34" t="n">
        <v>-66.67</v>
      </c>
      <c r="D663" s="34" t="n">
        <v>-111.11</v>
      </c>
      <c r="E663" s="34" t="n">
        <v>-87.91</v>
      </c>
      <c r="F663" s="34" t="n">
        <v>-69.28</v>
      </c>
      <c r="G663" s="34" t="n">
        <v>-107.44</v>
      </c>
      <c r="H663" s="34" t="n">
        <v>-102.8</v>
      </c>
      <c r="I663" s="34" t="n">
        <v>-104.57</v>
      </c>
      <c r="J663" s="34" t="n">
        <v>-104.62</v>
      </c>
      <c r="K663" s="34" t="n">
        <v>609.79</v>
      </c>
      <c r="L663" s="34" t="n">
        <f aca="false">AVERAGE(C663:E663)</f>
        <v>-88.5633333333333</v>
      </c>
      <c r="M663" s="34" t="n">
        <f aca="false">AVERAGE(C663:J663)</f>
        <v>-94.3</v>
      </c>
    </row>
    <row r="664" customFormat="false" ht="15.75" hidden="false" customHeight="true" outlineLevel="0" collapsed="false">
      <c r="A664" s="34" t="s">
        <v>1016</v>
      </c>
      <c r="B664" s="34" t="n">
        <v>570.35</v>
      </c>
      <c r="C664" s="34" t="n">
        <v>-66.67</v>
      </c>
      <c r="D664" s="34" t="n">
        <v>0.367</v>
      </c>
      <c r="E664" s="34" t="n">
        <v>83.54</v>
      </c>
      <c r="F664" s="34" t="n">
        <v>93.39</v>
      </c>
      <c r="G664" s="34" t="n">
        <v>132.35</v>
      </c>
      <c r="H664" s="34" t="n">
        <v>164.46</v>
      </c>
      <c r="I664" s="34" t="n">
        <v>170.87</v>
      </c>
      <c r="J664" s="34" t="n">
        <v>181.21</v>
      </c>
      <c r="K664" s="34" t="n">
        <v>549.66</v>
      </c>
      <c r="L664" s="34" t="n">
        <f aca="false">AVERAGE(C664:E664)</f>
        <v>5.74566666666667</v>
      </c>
      <c r="M664" s="34" t="n">
        <f aca="false">AVERAGE(C664:J664)</f>
        <v>94.939625</v>
      </c>
    </row>
    <row r="665" customFormat="false" ht="15.75" hidden="false" customHeight="true" outlineLevel="0" collapsed="false">
      <c r="A665" s="34" t="s">
        <v>1017</v>
      </c>
      <c r="B665" s="34" t="n">
        <v>570</v>
      </c>
      <c r="C665" s="34" t="n">
        <v>-66.67</v>
      </c>
      <c r="D665" s="34" t="n">
        <v>-133.33</v>
      </c>
      <c r="E665" s="34" t="n">
        <v>32.26</v>
      </c>
      <c r="F665" s="34" t="n">
        <v>122.12</v>
      </c>
      <c r="G665" s="34" t="n">
        <v>165.73</v>
      </c>
      <c r="H665" s="34" t="n">
        <v>170.32</v>
      </c>
      <c r="I665" s="34" t="n">
        <v>141.35</v>
      </c>
      <c r="J665" s="34" t="n">
        <v>40.61</v>
      </c>
      <c r="K665" s="34" t="n">
        <v>554.3</v>
      </c>
      <c r="L665" s="34" t="n">
        <f aca="false">AVERAGE(C665:E665)</f>
        <v>-55.9133333333333</v>
      </c>
      <c r="M665" s="34" t="n">
        <f aca="false">AVERAGE(C665:J665)</f>
        <v>59.04875</v>
      </c>
    </row>
    <row r="666" customFormat="false" ht="15.75" hidden="false" customHeight="true" outlineLevel="0" collapsed="false">
      <c r="A666" s="34" t="s">
        <v>1018</v>
      </c>
      <c r="B666" s="34" t="n">
        <v>566.85</v>
      </c>
      <c r="C666" s="34" t="n">
        <v>-66.67</v>
      </c>
      <c r="D666" s="34" t="n">
        <v>-66.94</v>
      </c>
      <c r="E666" s="34" t="n">
        <v>-95.65</v>
      </c>
      <c r="F666" s="34" t="n">
        <v>-92.28</v>
      </c>
      <c r="G666" s="34" t="n">
        <v>-3.39</v>
      </c>
      <c r="H666" s="34" t="n">
        <v>26.75</v>
      </c>
      <c r="I666" s="34" t="n">
        <v>49.42</v>
      </c>
      <c r="J666" s="34" t="n">
        <v>57.2</v>
      </c>
      <c r="K666" s="34" t="n">
        <v>601.93</v>
      </c>
      <c r="L666" s="34" t="n">
        <f aca="false">AVERAGE(C666:E666)</f>
        <v>-76.42</v>
      </c>
      <c r="M666" s="34" t="n">
        <f aca="false">AVERAGE(C666:J666)</f>
        <v>-23.945</v>
      </c>
    </row>
    <row r="667" customFormat="false" ht="15.75" hidden="false" customHeight="true" outlineLevel="0" collapsed="false">
      <c r="A667" s="34" t="s">
        <v>1019</v>
      </c>
      <c r="B667" s="34" t="n">
        <v>564.45</v>
      </c>
      <c r="C667" s="34" t="n">
        <v>66.67</v>
      </c>
      <c r="D667" s="34" t="n">
        <v>133.33</v>
      </c>
      <c r="E667" s="34" t="n">
        <v>146.9</v>
      </c>
      <c r="F667" s="34" t="n">
        <v>180.16</v>
      </c>
      <c r="G667" s="34" t="n">
        <v>174.83</v>
      </c>
      <c r="H667" s="34" t="n">
        <v>131.44</v>
      </c>
      <c r="I667" s="34" t="n">
        <v>97.54</v>
      </c>
      <c r="J667" s="34" t="n">
        <v>106.57</v>
      </c>
      <c r="K667" s="34" t="n">
        <v>517.37</v>
      </c>
      <c r="L667" s="34" t="n">
        <f aca="false">AVERAGE(C667:E667)</f>
        <v>115.633333333333</v>
      </c>
      <c r="M667" s="34" t="n">
        <f aca="false">AVERAGE(C667:J667)</f>
        <v>129.68</v>
      </c>
    </row>
    <row r="668" customFormat="false" ht="15.75" hidden="false" customHeight="true" outlineLevel="0" collapsed="false">
      <c r="A668" s="34" t="s">
        <v>581</v>
      </c>
      <c r="B668" s="34" t="n">
        <v>563.7</v>
      </c>
      <c r="C668" s="34" t="n">
        <v>66.67</v>
      </c>
      <c r="D668" s="34" t="n">
        <v>129.14</v>
      </c>
      <c r="E668" s="34" t="n">
        <v>64.98</v>
      </c>
      <c r="F668" s="34" t="n">
        <v>-83.43</v>
      </c>
      <c r="G668" s="34" t="n">
        <v>-170.62</v>
      </c>
      <c r="H668" s="34" t="n">
        <v>-220.57</v>
      </c>
      <c r="I668" s="34" t="n">
        <v>-223.2</v>
      </c>
      <c r="J668" s="34" t="n">
        <v>-242.2</v>
      </c>
      <c r="K668" s="34" t="n">
        <v>581.1</v>
      </c>
      <c r="L668" s="34" t="n">
        <f aca="false">AVERAGE(C668:E668)</f>
        <v>86.93</v>
      </c>
      <c r="M668" s="34" t="n">
        <f aca="false">AVERAGE(C668:J668)</f>
        <v>-84.90375</v>
      </c>
    </row>
    <row r="669" customFormat="false" ht="15.75" hidden="false" customHeight="true" outlineLevel="0" collapsed="false">
      <c r="A669" s="34" t="s">
        <v>164</v>
      </c>
      <c r="B669" s="34" t="n">
        <v>563.5</v>
      </c>
      <c r="C669" s="34" t="n">
        <v>-66.67</v>
      </c>
      <c r="D669" s="34" t="n">
        <v>-133.33</v>
      </c>
      <c r="E669" s="34" t="n">
        <v>-175.26</v>
      </c>
      <c r="F669" s="34" t="n">
        <v>-98.32</v>
      </c>
      <c r="G669" s="34" t="n">
        <v>-155.27</v>
      </c>
      <c r="H669" s="34" t="n">
        <v>-186.16</v>
      </c>
      <c r="I669" s="34" t="n">
        <v>-58.3</v>
      </c>
      <c r="J669" s="34" t="n">
        <v>-42.41</v>
      </c>
      <c r="K669" s="34" t="n">
        <v>589.5</v>
      </c>
      <c r="L669" s="34" t="n">
        <f aca="false">AVERAGE(C669:E669)</f>
        <v>-125.086666666667</v>
      </c>
      <c r="M669" s="34" t="n">
        <f aca="false">AVERAGE(C669:J669)</f>
        <v>-114.465</v>
      </c>
    </row>
    <row r="670" customFormat="false" ht="15.75" hidden="false" customHeight="true" outlineLevel="0" collapsed="false">
      <c r="A670" s="34" t="s">
        <v>1020</v>
      </c>
      <c r="B670" s="34" t="n">
        <v>562.55</v>
      </c>
      <c r="C670" s="34" t="n">
        <v>66.67</v>
      </c>
      <c r="D670" s="34" t="n">
        <v>133.33</v>
      </c>
      <c r="E670" s="34" t="n">
        <v>110.12</v>
      </c>
      <c r="F670" s="34" t="n">
        <v>104.94</v>
      </c>
      <c r="G670" s="34" t="n">
        <v>101.11</v>
      </c>
      <c r="H670" s="34" t="n">
        <v>111.92</v>
      </c>
      <c r="I670" s="34" t="n">
        <v>127.95</v>
      </c>
      <c r="J670" s="34" t="n">
        <v>100.79</v>
      </c>
      <c r="K670" s="34" t="n">
        <v>520.34</v>
      </c>
      <c r="L670" s="34" t="n">
        <f aca="false">AVERAGE(C670:E670)</f>
        <v>103.373333333333</v>
      </c>
      <c r="M670" s="34" t="n">
        <f aca="false">AVERAGE(C670:J670)</f>
        <v>107.10375</v>
      </c>
    </row>
    <row r="671" customFormat="false" ht="15.75" hidden="false" customHeight="true" outlineLevel="0" collapsed="false">
      <c r="A671" s="34" t="s">
        <v>103</v>
      </c>
      <c r="B671" s="34" t="n">
        <v>561.55</v>
      </c>
      <c r="C671" s="34" t="n">
        <v>-66.67</v>
      </c>
      <c r="D671" s="34" t="n">
        <v>47.53</v>
      </c>
      <c r="E671" s="34" t="n">
        <v>105.27</v>
      </c>
      <c r="F671" s="34" t="n">
        <v>94.51</v>
      </c>
      <c r="G671" s="34" t="n">
        <v>73.37</v>
      </c>
      <c r="H671" s="34" t="n">
        <v>-35.05</v>
      </c>
      <c r="I671" s="34" t="n">
        <v>-41.57</v>
      </c>
      <c r="J671" s="34" t="n">
        <v>-19.33</v>
      </c>
      <c r="K671" s="34" t="n">
        <v>565.29</v>
      </c>
      <c r="L671" s="34" t="n">
        <f aca="false">AVERAGE(C671:E671)</f>
        <v>28.71</v>
      </c>
      <c r="M671" s="34" t="n">
        <f aca="false">AVERAGE(C671:J671)</f>
        <v>19.7575</v>
      </c>
    </row>
    <row r="672" customFormat="false" ht="15.75" hidden="false" customHeight="true" outlineLevel="0" collapsed="false">
      <c r="A672" s="34" t="s">
        <v>1021</v>
      </c>
      <c r="B672" s="34" t="n">
        <v>560</v>
      </c>
      <c r="C672" s="34" t="n">
        <v>-66.67</v>
      </c>
      <c r="D672" s="34" t="n">
        <v>-16.25</v>
      </c>
      <c r="E672" s="34" t="n">
        <v>43.18</v>
      </c>
      <c r="F672" s="34" t="n">
        <v>89.8</v>
      </c>
      <c r="G672" s="34" t="n">
        <v>159.27</v>
      </c>
      <c r="H672" s="34" t="n">
        <v>142.82</v>
      </c>
      <c r="I672" s="34" t="n">
        <v>129.51</v>
      </c>
      <c r="J672" s="34" t="n">
        <v>125.57</v>
      </c>
      <c r="K672" s="34" t="n">
        <v>576.97</v>
      </c>
      <c r="L672" s="34" t="n">
        <f aca="false">AVERAGE(C672:E672)</f>
        <v>-13.2466666666667</v>
      </c>
      <c r="M672" s="34" t="n">
        <f aca="false">AVERAGE(C672:J672)</f>
        <v>75.90375</v>
      </c>
    </row>
    <row r="673" customFormat="false" ht="15.75" hidden="false" customHeight="true" outlineLevel="0" collapsed="false">
      <c r="A673" s="34" t="s">
        <v>1022</v>
      </c>
      <c r="B673" s="34" t="n">
        <v>559.85</v>
      </c>
      <c r="C673" s="34" t="n">
        <v>66.67</v>
      </c>
      <c r="D673" s="34" t="n">
        <v>67.78</v>
      </c>
      <c r="E673" s="34" t="n">
        <v>135.71</v>
      </c>
      <c r="F673" s="34" t="n">
        <v>-14.21</v>
      </c>
      <c r="G673" s="34" t="n">
        <v>-71.04</v>
      </c>
      <c r="H673" s="34" t="n">
        <v>-106.46</v>
      </c>
      <c r="I673" s="34" t="n">
        <v>-76.27</v>
      </c>
      <c r="J673" s="34" t="n">
        <v>-60.43</v>
      </c>
      <c r="K673" s="34" t="n">
        <v>517.66</v>
      </c>
      <c r="L673" s="34" t="n">
        <f aca="false">AVERAGE(C673:E673)</f>
        <v>90.0533333333333</v>
      </c>
      <c r="M673" s="34" t="n">
        <f aca="false">AVERAGE(C673:J673)</f>
        <v>-7.28125</v>
      </c>
    </row>
    <row r="674" customFormat="false" ht="15.75" hidden="false" customHeight="true" outlineLevel="0" collapsed="false">
      <c r="A674" s="34" t="s">
        <v>1023</v>
      </c>
      <c r="B674" s="34" t="n">
        <v>556.9</v>
      </c>
      <c r="C674" s="34" t="n">
        <v>-66.67</v>
      </c>
      <c r="D674" s="34" t="n">
        <v>-26.09</v>
      </c>
      <c r="E674" s="34" t="n">
        <v>-51.92</v>
      </c>
      <c r="F674" s="34" t="n">
        <v>-122.12</v>
      </c>
      <c r="G674" s="34" t="n">
        <v>-167.97</v>
      </c>
      <c r="H674" s="34" t="n">
        <v>-156.42</v>
      </c>
      <c r="I674" s="34" t="n">
        <v>-167.12</v>
      </c>
      <c r="J674" s="34" t="n">
        <v>-121.63</v>
      </c>
      <c r="K674" s="34" t="n">
        <v>584.57</v>
      </c>
      <c r="L674" s="34" t="n">
        <f aca="false">AVERAGE(C674:E674)</f>
        <v>-48.2266666666667</v>
      </c>
      <c r="M674" s="34" t="n">
        <f aca="false">AVERAGE(C674:J674)</f>
        <v>-109.9925</v>
      </c>
    </row>
    <row r="675" customFormat="false" ht="15.75" hidden="false" customHeight="true" outlineLevel="0" collapsed="false">
      <c r="A675" s="34" t="s">
        <v>389</v>
      </c>
      <c r="B675" s="34" t="n">
        <v>555.85</v>
      </c>
      <c r="C675" s="34" t="n">
        <v>-66.67</v>
      </c>
      <c r="D675" s="34" t="n">
        <v>-133.33</v>
      </c>
      <c r="E675" s="34" t="n">
        <v>10.05</v>
      </c>
      <c r="F675" s="34" t="n">
        <v>-64.4</v>
      </c>
      <c r="G675" s="34" t="n">
        <v>-97.17</v>
      </c>
      <c r="H675" s="34" t="n">
        <v>-74.78</v>
      </c>
      <c r="I675" s="34" t="n">
        <v>-7.02</v>
      </c>
      <c r="J675" s="34" t="n">
        <v>2.29</v>
      </c>
      <c r="K675" s="34" t="n">
        <v>541.76</v>
      </c>
      <c r="L675" s="34" t="n">
        <f aca="false">AVERAGE(C675:E675)</f>
        <v>-63.3166666666667</v>
      </c>
      <c r="M675" s="34" t="n">
        <f aca="false">AVERAGE(C675:J675)</f>
        <v>-53.87875</v>
      </c>
    </row>
    <row r="676" customFormat="false" ht="15.75" hidden="false" customHeight="true" outlineLevel="0" collapsed="false">
      <c r="A676" s="34" t="s">
        <v>1024</v>
      </c>
      <c r="B676" s="34" t="n">
        <v>553</v>
      </c>
      <c r="C676" s="34" t="n">
        <v>-66.67</v>
      </c>
      <c r="D676" s="34" t="n">
        <v>-6.33</v>
      </c>
      <c r="E676" s="34" t="n">
        <v>39.49</v>
      </c>
      <c r="F676" s="34" t="n">
        <v>-73</v>
      </c>
      <c r="G676" s="34" t="n">
        <v>-123.98</v>
      </c>
      <c r="H676" s="34" t="n">
        <v>-113.9</v>
      </c>
      <c r="I676" s="34" t="n">
        <v>-91.97</v>
      </c>
      <c r="J676" s="34" t="n">
        <v>-74.96</v>
      </c>
      <c r="K676" s="34" t="n">
        <v>570.41</v>
      </c>
      <c r="L676" s="34" t="n">
        <f aca="false">AVERAGE(C676:E676)</f>
        <v>-11.17</v>
      </c>
      <c r="M676" s="34" t="n">
        <f aca="false">AVERAGE(C676:J676)</f>
        <v>-63.915</v>
      </c>
    </row>
    <row r="677" customFormat="false" ht="15.75" hidden="false" customHeight="true" outlineLevel="0" collapsed="false">
      <c r="A677" s="34" t="s">
        <v>542</v>
      </c>
      <c r="B677" s="34" t="n">
        <v>552.9</v>
      </c>
      <c r="C677" s="34" t="n">
        <v>-66.67</v>
      </c>
      <c r="D677" s="34" t="n">
        <v>33.87</v>
      </c>
      <c r="E677" s="34" t="n">
        <v>88.16</v>
      </c>
      <c r="F677" s="34" t="n">
        <v>41.69</v>
      </c>
      <c r="G677" s="34" t="n">
        <v>11.05</v>
      </c>
      <c r="H677" s="34" t="n">
        <v>53.03</v>
      </c>
      <c r="I677" s="34" t="n">
        <v>67.25</v>
      </c>
      <c r="J677" s="34" t="n">
        <v>62.11</v>
      </c>
      <c r="K677" s="34" t="n">
        <v>514.04</v>
      </c>
      <c r="L677" s="34" t="n">
        <f aca="false">AVERAGE(C677:E677)</f>
        <v>18.4533333333333</v>
      </c>
      <c r="M677" s="34" t="n">
        <f aca="false">AVERAGE(C677:J677)</f>
        <v>36.31125</v>
      </c>
    </row>
    <row r="678" customFormat="false" ht="15.75" hidden="false" customHeight="true" outlineLevel="0" collapsed="false">
      <c r="A678" s="34" t="s">
        <v>1025</v>
      </c>
      <c r="B678" s="34" t="n">
        <v>551.15</v>
      </c>
      <c r="C678" s="34" t="n">
        <v>-66.67</v>
      </c>
      <c r="D678" s="34" t="n">
        <v>-25.76</v>
      </c>
      <c r="E678" s="34" t="n">
        <v>65.27</v>
      </c>
      <c r="F678" s="34" t="n">
        <v>98.4</v>
      </c>
      <c r="G678" s="34" t="n">
        <v>164.23</v>
      </c>
      <c r="H678" s="34" t="n">
        <v>197.33</v>
      </c>
      <c r="I678" s="34" t="n">
        <v>204.88</v>
      </c>
      <c r="J678" s="34" t="n">
        <v>140.16</v>
      </c>
      <c r="K678" s="34" t="n">
        <v>523.58</v>
      </c>
      <c r="L678" s="34" t="n">
        <f aca="false">AVERAGE(C678:E678)</f>
        <v>-9.05333333333334</v>
      </c>
      <c r="M678" s="34" t="n">
        <f aca="false">AVERAGE(C678:J678)</f>
        <v>97.23</v>
      </c>
    </row>
    <row r="679" customFormat="false" ht="15.75" hidden="false" customHeight="true" outlineLevel="0" collapsed="false">
      <c r="A679" s="34" t="s">
        <v>1026</v>
      </c>
      <c r="B679" s="34" t="n">
        <v>550.7</v>
      </c>
      <c r="C679" s="34" t="n">
        <v>-66.67</v>
      </c>
      <c r="D679" s="34" t="n">
        <v>41.1</v>
      </c>
      <c r="E679" s="34" t="n">
        <v>-76.28</v>
      </c>
      <c r="F679" s="34" t="n">
        <v>-137.47</v>
      </c>
      <c r="G679" s="34" t="n">
        <v>-108.96</v>
      </c>
      <c r="H679" s="34" t="n">
        <v>-42.92</v>
      </c>
      <c r="I679" s="34" t="n">
        <v>-13.68</v>
      </c>
      <c r="J679" s="34" t="n">
        <v>-4.71</v>
      </c>
      <c r="K679" s="34" t="n">
        <v>578.71</v>
      </c>
      <c r="L679" s="34" t="n">
        <f aca="false">AVERAGE(C679:E679)</f>
        <v>-33.95</v>
      </c>
      <c r="M679" s="34" t="n">
        <f aca="false">AVERAGE(C679:J679)</f>
        <v>-51.19875</v>
      </c>
    </row>
    <row r="680" customFormat="false" ht="15.75" hidden="false" customHeight="true" outlineLevel="0" collapsed="false">
      <c r="A680" s="34" t="s">
        <v>1027</v>
      </c>
      <c r="B680" s="34" t="n">
        <v>550.55</v>
      </c>
      <c r="C680" s="34" t="n">
        <v>-66.67</v>
      </c>
      <c r="D680" s="34" t="n">
        <v>-71.17</v>
      </c>
      <c r="E680" s="34" t="n">
        <v>-17.66</v>
      </c>
      <c r="F680" s="34" t="n">
        <v>3.73</v>
      </c>
      <c r="G680" s="34" t="n">
        <v>-45.95</v>
      </c>
      <c r="H680" s="34" t="n">
        <v>-64.72</v>
      </c>
      <c r="I680" s="34" t="n">
        <v>-46.07</v>
      </c>
      <c r="J680" s="34" t="n">
        <v>-53.29</v>
      </c>
      <c r="K680" s="34" t="n">
        <v>533.33</v>
      </c>
      <c r="L680" s="34" t="n">
        <f aca="false">AVERAGE(C680:E680)</f>
        <v>-51.8333333333333</v>
      </c>
      <c r="M680" s="34" t="n">
        <f aca="false">AVERAGE(C680:J680)</f>
        <v>-45.225</v>
      </c>
    </row>
    <row r="681" customFormat="false" ht="15.75" hidden="false" customHeight="true" outlineLevel="0" collapsed="false">
      <c r="A681" s="34" t="s">
        <v>1028</v>
      </c>
      <c r="B681" s="34" t="n">
        <v>550</v>
      </c>
      <c r="C681" s="34" t="n">
        <v>-66.67</v>
      </c>
      <c r="D681" s="34" t="n">
        <v>4.93</v>
      </c>
      <c r="E681" s="34" t="n">
        <v>-12.05</v>
      </c>
      <c r="F681" s="34" t="n">
        <v>-83.42</v>
      </c>
      <c r="G681" s="34" t="n">
        <v>-97.19</v>
      </c>
      <c r="H681" s="34" t="n">
        <v>-57.56</v>
      </c>
      <c r="I681" s="34" t="n">
        <v>-50.68</v>
      </c>
      <c r="J681" s="34" t="n">
        <v>-57.61</v>
      </c>
      <c r="K681" s="34" t="n">
        <v>583.9</v>
      </c>
      <c r="L681" s="34" t="n">
        <f aca="false">AVERAGE(C681:E681)</f>
        <v>-24.5966666666667</v>
      </c>
      <c r="M681" s="34" t="n">
        <f aca="false">AVERAGE(C681:J681)</f>
        <v>-52.53125</v>
      </c>
    </row>
    <row r="682" customFormat="false" ht="15.75" hidden="false" customHeight="true" outlineLevel="0" collapsed="false">
      <c r="A682" s="34" t="s">
        <v>152</v>
      </c>
      <c r="B682" s="34" t="n">
        <v>547.9</v>
      </c>
      <c r="C682" s="34" t="n">
        <v>-66.67</v>
      </c>
      <c r="D682" s="34" t="n">
        <v>-58.6</v>
      </c>
      <c r="E682" s="34" t="n">
        <v>30.02</v>
      </c>
      <c r="F682" s="34" t="n">
        <v>-76.73</v>
      </c>
      <c r="G682" s="34" t="n">
        <v>-133.12</v>
      </c>
      <c r="H682" s="34" t="n">
        <v>-88.62</v>
      </c>
      <c r="I682" s="34" t="n">
        <v>-50.3</v>
      </c>
      <c r="J682" s="34" t="n">
        <v>-55.52</v>
      </c>
      <c r="K682" s="34" t="n">
        <v>562.14</v>
      </c>
      <c r="L682" s="34" t="n">
        <f aca="false">AVERAGE(C682:E682)</f>
        <v>-31.75</v>
      </c>
      <c r="M682" s="34" t="n">
        <f aca="false">AVERAGE(C682:J682)</f>
        <v>-62.4425</v>
      </c>
    </row>
    <row r="683" customFormat="false" ht="15.75" hidden="false" customHeight="true" outlineLevel="0" collapsed="false">
      <c r="A683" s="34" t="s">
        <v>300</v>
      </c>
      <c r="B683" s="34" t="n">
        <v>547.1</v>
      </c>
      <c r="C683" s="34" t="n">
        <v>-66.67</v>
      </c>
      <c r="D683" s="34" t="n">
        <v>59.24</v>
      </c>
      <c r="E683" s="34" t="n">
        <v>125.4</v>
      </c>
      <c r="F683" s="34" t="n">
        <v>-54.32</v>
      </c>
      <c r="G683" s="34" t="n">
        <v>-37.66</v>
      </c>
      <c r="H683" s="34" t="n">
        <v>30.64</v>
      </c>
      <c r="I683" s="34" t="n">
        <v>48.62</v>
      </c>
      <c r="J683" s="34" t="n">
        <v>4.81</v>
      </c>
      <c r="K683" s="34" t="n">
        <v>570.34</v>
      </c>
      <c r="L683" s="34" t="n">
        <f aca="false">AVERAGE(C683:E683)</f>
        <v>39.3233333333333</v>
      </c>
      <c r="M683" s="34" t="n">
        <f aca="false">AVERAGE(C683:J683)</f>
        <v>13.7575</v>
      </c>
    </row>
    <row r="684" customFormat="false" ht="15.75" hidden="false" customHeight="true" outlineLevel="0" collapsed="false">
      <c r="A684" s="34" t="s">
        <v>1029</v>
      </c>
      <c r="B684" s="34" t="n">
        <v>547</v>
      </c>
      <c r="C684" s="34" t="n">
        <v>-66.67</v>
      </c>
      <c r="D684" s="34" t="n">
        <v>-6</v>
      </c>
      <c r="E684" s="34" t="n">
        <v>65.95</v>
      </c>
      <c r="F684" s="34" t="n">
        <v>-67.94</v>
      </c>
      <c r="G684" s="34" t="n">
        <v>-88.4</v>
      </c>
      <c r="H684" s="34" t="n">
        <v>-42.9</v>
      </c>
      <c r="I684" s="34" t="n">
        <v>-6.65</v>
      </c>
      <c r="J684" s="34" t="n">
        <v>-21.1</v>
      </c>
      <c r="K684" s="34" t="n">
        <v>570.2</v>
      </c>
      <c r="L684" s="34" t="n">
        <f aca="false">AVERAGE(C684:E684)</f>
        <v>-2.24</v>
      </c>
      <c r="M684" s="34" t="n">
        <f aca="false">AVERAGE(C684:J684)</f>
        <v>-29.21375</v>
      </c>
    </row>
    <row r="685" customFormat="false" ht="15.75" hidden="false" customHeight="true" outlineLevel="0" collapsed="false">
      <c r="A685" s="34" t="s">
        <v>1030</v>
      </c>
      <c r="B685" s="34" t="n">
        <v>547</v>
      </c>
      <c r="C685" s="34" t="n">
        <v>66.67</v>
      </c>
      <c r="D685" s="34" t="n">
        <v>92.87</v>
      </c>
      <c r="E685" s="34" t="n">
        <v>155.27</v>
      </c>
      <c r="F685" s="34" t="n">
        <v>-55.67</v>
      </c>
      <c r="G685" s="34" t="n">
        <v>-12.94</v>
      </c>
      <c r="H685" s="34" t="n">
        <v>28.86</v>
      </c>
      <c r="I685" s="34" t="n">
        <v>50.18</v>
      </c>
      <c r="J685" s="34" t="n">
        <v>8.46</v>
      </c>
      <c r="K685" s="34" t="n">
        <v>573.9</v>
      </c>
      <c r="L685" s="34" t="n">
        <f aca="false">AVERAGE(C685:E685)</f>
        <v>104.936666666667</v>
      </c>
      <c r="M685" s="34" t="n">
        <f aca="false">AVERAGE(C685:J685)</f>
        <v>41.7125</v>
      </c>
    </row>
    <row r="686" customFormat="false" ht="15.75" hidden="false" customHeight="true" outlineLevel="0" collapsed="false">
      <c r="A686" s="34" t="s">
        <v>1031</v>
      </c>
      <c r="B686" s="34" t="n">
        <v>545</v>
      </c>
      <c r="C686" s="34" t="n">
        <v>-66.67</v>
      </c>
      <c r="D686" s="34" t="n">
        <v>-71.14</v>
      </c>
      <c r="E686" s="34" t="n">
        <v>-131.73</v>
      </c>
      <c r="F686" s="34" t="n">
        <v>-264.99</v>
      </c>
      <c r="G686" s="34" t="n">
        <v>-250.98</v>
      </c>
      <c r="H686" s="34" t="n">
        <v>-138.85</v>
      </c>
      <c r="I686" s="34" t="n">
        <v>-24.39</v>
      </c>
      <c r="J686" s="34" t="n">
        <v>1.77</v>
      </c>
      <c r="K686" s="34" t="n">
        <v>584.65</v>
      </c>
      <c r="L686" s="34" t="n">
        <f aca="false">AVERAGE(C686:E686)</f>
        <v>-89.8466666666667</v>
      </c>
      <c r="M686" s="34" t="n">
        <f aca="false">AVERAGE(C686:J686)</f>
        <v>-118.3725</v>
      </c>
    </row>
    <row r="687" customFormat="false" ht="15.75" hidden="false" customHeight="true" outlineLevel="0" collapsed="false">
      <c r="A687" s="34" t="s">
        <v>1032</v>
      </c>
      <c r="B687" s="34" t="n">
        <v>545</v>
      </c>
      <c r="C687" s="34" t="n">
        <v>-66.67</v>
      </c>
      <c r="D687" s="34" t="n">
        <v>17.58</v>
      </c>
      <c r="E687" s="34" t="n">
        <v>83.27</v>
      </c>
      <c r="F687" s="34" t="n">
        <v>41.25</v>
      </c>
      <c r="G687" s="34" t="n">
        <v>99.16</v>
      </c>
      <c r="H687" s="34" t="n">
        <v>102.43</v>
      </c>
      <c r="I687" s="34" t="n">
        <v>104.63</v>
      </c>
      <c r="J687" s="34" t="n">
        <v>28.01</v>
      </c>
      <c r="K687" s="34" t="n">
        <v>550.44</v>
      </c>
      <c r="L687" s="34" t="n">
        <f aca="false">AVERAGE(C687:E687)</f>
        <v>11.3933333333333</v>
      </c>
      <c r="M687" s="34" t="n">
        <f aca="false">AVERAGE(C687:J687)</f>
        <v>51.2075</v>
      </c>
    </row>
    <row r="688" customFormat="false" ht="15.75" hidden="false" customHeight="true" outlineLevel="0" collapsed="false">
      <c r="A688" s="34" t="s">
        <v>1033</v>
      </c>
      <c r="B688" s="34" t="n">
        <v>542.75</v>
      </c>
      <c r="C688" s="34" t="n">
        <v>66.67</v>
      </c>
      <c r="D688" s="34" t="n">
        <v>114.5</v>
      </c>
      <c r="E688" s="34" t="n">
        <v>194.48</v>
      </c>
      <c r="F688" s="34" t="n">
        <v>-47.55</v>
      </c>
      <c r="G688" s="34" t="n">
        <v>-74.52</v>
      </c>
      <c r="H688" s="34" t="n">
        <v>-88.03</v>
      </c>
      <c r="I688" s="34" t="n">
        <v>-99.09</v>
      </c>
      <c r="J688" s="34" t="n">
        <v>-89.7</v>
      </c>
      <c r="K688" s="34" t="n">
        <v>553.06</v>
      </c>
      <c r="L688" s="34" t="n">
        <f aca="false">AVERAGE(C688:E688)</f>
        <v>125.216666666667</v>
      </c>
      <c r="M688" s="34" t="n">
        <f aca="false">AVERAGE(C688:J688)</f>
        <v>-2.90500000000001</v>
      </c>
    </row>
    <row r="689" customFormat="false" ht="15.75" hidden="false" customHeight="true" outlineLevel="0" collapsed="false">
      <c r="A689" s="34" t="s">
        <v>1034</v>
      </c>
      <c r="B689" s="34" t="n">
        <v>541.9</v>
      </c>
      <c r="C689" s="34" t="n">
        <v>-66.67</v>
      </c>
      <c r="D689" s="34" t="n">
        <v>34</v>
      </c>
      <c r="E689" s="34" t="n">
        <v>101.62</v>
      </c>
      <c r="F689" s="34" t="n">
        <v>-34.24</v>
      </c>
      <c r="G689" s="34" t="n">
        <v>-63.49</v>
      </c>
      <c r="H689" s="34" t="n">
        <v>-18.36</v>
      </c>
      <c r="I689" s="34" t="n">
        <v>16.45</v>
      </c>
      <c r="J689" s="34" t="n">
        <v>18.68</v>
      </c>
      <c r="K689" s="34" t="n">
        <v>557.33</v>
      </c>
      <c r="L689" s="34" t="n">
        <f aca="false">AVERAGE(C689:E689)</f>
        <v>22.9833333333333</v>
      </c>
      <c r="M689" s="34" t="n">
        <f aca="false">AVERAGE(C689:J689)</f>
        <v>-1.50125</v>
      </c>
    </row>
    <row r="690" customFormat="false" ht="15.75" hidden="false" customHeight="true" outlineLevel="0" collapsed="false">
      <c r="A690" s="34" t="s">
        <v>1035</v>
      </c>
      <c r="B690" s="34" t="n">
        <v>540.2</v>
      </c>
      <c r="C690" s="34" t="n">
        <v>66.67</v>
      </c>
      <c r="D690" s="34" t="n">
        <v>133.33</v>
      </c>
      <c r="E690" s="34" t="n">
        <v>-18.09</v>
      </c>
      <c r="F690" s="34" t="n">
        <v>-83.55</v>
      </c>
      <c r="G690" s="34" t="n">
        <v>-116.02</v>
      </c>
      <c r="H690" s="34" t="n">
        <v>-117.31</v>
      </c>
      <c r="I690" s="34" t="n">
        <v>-121.38</v>
      </c>
      <c r="J690" s="34" t="n">
        <v>-116.18</v>
      </c>
      <c r="K690" s="34" t="n">
        <v>564.9</v>
      </c>
      <c r="L690" s="34" t="n">
        <f aca="false">AVERAGE(C690:E690)</f>
        <v>60.6366666666667</v>
      </c>
      <c r="M690" s="34" t="n">
        <f aca="false">AVERAGE(C690:J690)</f>
        <v>-46.56625</v>
      </c>
    </row>
    <row r="691" customFormat="false" ht="15.75" hidden="false" customHeight="true" outlineLevel="0" collapsed="false">
      <c r="A691" s="34" t="s">
        <v>1036</v>
      </c>
      <c r="B691" s="34" t="n">
        <v>539.8</v>
      </c>
      <c r="C691" s="34" t="n">
        <v>-66.67</v>
      </c>
      <c r="D691" s="34" t="n">
        <v>13.54</v>
      </c>
      <c r="E691" s="34" t="n">
        <v>77.2</v>
      </c>
      <c r="F691" s="34" t="n">
        <v>121.68</v>
      </c>
      <c r="G691" s="34" t="n">
        <v>179.26</v>
      </c>
      <c r="H691" s="34" t="n">
        <v>180.96</v>
      </c>
      <c r="I691" s="34" t="n">
        <v>148.13</v>
      </c>
      <c r="J691" s="34" t="n">
        <v>158.66</v>
      </c>
      <c r="K691" s="34" t="n">
        <v>502.53</v>
      </c>
      <c r="L691" s="34" t="n">
        <f aca="false">AVERAGE(C691:E691)</f>
        <v>8.02333333333334</v>
      </c>
      <c r="M691" s="34" t="n">
        <f aca="false">AVERAGE(C691:J691)</f>
        <v>101.595</v>
      </c>
    </row>
    <row r="692" customFormat="false" ht="15.75" hidden="false" customHeight="true" outlineLevel="0" collapsed="false">
      <c r="A692" s="34" t="s">
        <v>358</v>
      </c>
      <c r="B692" s="34" t="n">
        <v>539.6</v>
      </c>
      <c r="C692" s="34" t="n">
        <v>-66.67</v>
      </c>
      <c r="D692" s="34" t="n">
        <v>-28.85</v>
      </c>
      <c r="E692" s="34" t="n">
        <v>-45.07</v>
      </c>
      <c r="F692" s="34" t="n">
        <v>-111.04</v>
      </c>
      <c r="G692" s="34" t="n">
        <v>-164.86</v>
      </c>
      <c r="H692" s="34" t="n">
        <v>-138.9</v>
      </c>
      <c r="I692" s="34" t="n">
        <v>-92</v>
      </c>
      <c r="J692" s="34" t="n">
        <v>-103.04</v>
      </c>
      <c r="K692" s="34" t="n">
        <v>565.1</v>
      </c>
      <c r="L692" s="34" t="n">
        <f aca="false">AVERAGE(C692:E692)</f>
        <v>-46.8633333333333</v>
      </c>
      <c r="M692" s="34" t="n">
        <f aca="false">AVERAGE(C692:J692)</f>
        <v>-93.80375</v>
      </c>
    </row>
    <row r="693" customFormat="false" ht="15.75" hidden="false" customHeight="true" outlineLevel="0" collapsed="false">
      <c r="A693" s="34" t="s">
        <v>1037</v>
      </c>
      <c r="B693" s="34" t="n">
        <v>537.45</v>
      </c>
      <c r="C693" s="34" t="n">
        <v>66.67</v>
      </c>
      <c r="D693" s="34" t="n">
        <v>133.33</v>
      </c>
      <c r="E693" s="34" t="n">
        <v>77.63</v>
      </c>
      <c r="F693" s="34" t="n">
        <v>73.3</v>
      </c>
      <c r="G693" s="34" t="n">
        <v>-12.39</v>
      </c>
      <c r="H693" s="34" t="n">
        <v>16.37</v>
      </c>
      <c r="I693" s="34" t="n">
        <v>44.14</v>
      </c>
      <c r="J693" s="34" t="n">
        <v>57.95</v>
      </c>
      <c r="K693" s="34" t="n">
        <v>470.94</v>
      </c>
      <c r="L693" s="34" t="n">
        <f aca="false">AVERAGE(C693:E693)</f>
        <v>92.5433333333333</v>
      </c>
      <c r="M693" s="34" t="n">
        <f aca="false">AVERAGE(C693:J693)</f>
        <v>57.125</v>
      </c>
    </row>
    <row r="694" customFormat="false" ht="15.75" hidden="false" customHeight="true" outlineLevel="0" collapsed="false">
      <c r="A694" s="34" t="s">
        <v>415</v>
      </c>
      <c r="B694" s="34" t="n">
        <v>537.15</v>
      </c>
      <c r="C694" s="34" t="n">
        <v>-66.67</v>
      </c>
      <c r="D694" s="34" t="n">
        <v>-108.53</v>
      </c>
      <c r="E694" s="34" t="n">
        <v>-1.82</v>
      </c>
      <c r="F694" s="34" t="n">
        <v>-56.11</v>
      </c>
      <c r="G694" s="34" t="n">
        <v>-75.91</v>
      </c>
      <c r="H694" s="34" t="n">
        <v>12.34</v>
      </c>
      <c r="I694" s="34" t="n">
        <v>38.49</v>
      </c>
      <c r="J694" s="34" t="n">
        <v>52.2</v>
      </c>
      <c r="K694" s="34" t="n">
        <v>560.8</v>
      </c>
      <c r="L694" s="34" t="n">
        <f aca="false">AVERAGE(C694:E694)</f>
        <v>-59.0066666666667</v>
      </c>
      <c r="M694" s="34" t="n">
        <f aca="false">AVERAGE(C694:J694)</f>
        <v>-25.75125</v>
      </c>
    </row>
    <row r="695" customFormat="false" ht="15.75" hidden="false" customHeight="true" outlineLevel="0" collapsed="false">
      <c r="A695" s="34" t="s">
        <v>533</v>
      </c>
      <c r="B695" s="34" t="n">
        <v>534.05</v>
      </c>
      <c r="C695" s="34" t="n">
        <v>-66.67</v>
      </c>
      <c r="D695" s="34" t="n">
        <v>52.24</v>
      </c>
      <c r="E695" s="34" t="n">
        <v>104.2</v>
      </c>
      <c r="F695" s="34" t="n">
        <v>-68.19</v>
      </c>
      <c r="G695" s="34" t="n">
        <v>-127.61</v>
      </c>
      <c r="H695" s="34" t="n">
        <v>-80.2</v>
      </c>
      <c r="I695" s="34" t="n">
        <v>-57.68</v>
      </c>
      <c r="J695" s="34" t="n">
        <v>-70.75</v>
      </c>
      <c r="K695" s="34" t="n">
        <v>549.47</v>
      </c>
      <c r="L695" s="34" t="n">
        <f aca="false">AVERAGE(C695:E695)</f>
        <v>29.9233333333333</v>
      </c>
      <c r="M695" s="34" t="n">
        <f aca="false">AVERAGE(C695:J695)</f>
        <v>-39.3325</v>
      </c>
    </row>
    <row r="696" customFormat="false" ht="15.75" hidden="false" customHeight="true" outlineLevel="0" collapsed="false">
      <c r="A696" s="34" t="s">
        <v>1038</v>
      </c>
      <c r="B696" s="34" t="n">
        <v>533.1</v>
      </c>
      <c r="C696" s="34" t="n">
        <v>-66.67</v>
      </c>
      <c r="D696" s="34" t="n">
        <v>-28.3</v>
      </c>
      <c r="E696" s="34" t="n">
        <v>30.68</v>
      </c>
      <c r="F696" s="34" t="n">
        <v>-81.06</v>
      </c>
      <c r="G696" s="34" t="n">
        <v>-24.09</v>
      </c>
      <c r="H696" s="34" t="n">
        <v>40.76</v>
      </c>
      <c r="I696" s="34" t="n">
        <v>59.57</v>
      </c>
      <c r="J696" s="34" t="n">
        <v>75.48</v>
      </c>
      <c r="K696" s="34" t="n">
        <v>561.09</v>
      </c>
      <c r="L696" s="34" t="n">
        <f aca="false">AVERAGE(C696:E696)</f>
        <v>-21.43</v>
      </c>
      <c r="M696" s="34" t="n">
        <f aca="false">AVERAGE(C696:J696)</f>
        <v>0.796250000000001</v>
      </c>
    </row>
    <row r="697" customFormat="false" ht="15.75" hidden="false" customHeight="true" outlineLevel="0" collapsed="false">
      <c r="A697" s="34" t="s">
        <v>1039</v>
      </c>
      <c r="B697" s="34" t="n">
        <v>532</v>
      </c>
      <c r="C697" s="34" t="n">
        <v>66.67</v>
      </c>
      <c r="D697" s="34" t="n">
        <v>82.49</v>
      </c>
      <c r="E697" s="34" t="n">
        <v>87.5</v>
      </c>
      <c r="F697" s="34" t="n">
        <v>-24.54</v>
      </c>
      <c r="G697" s="34" t="n">
        <v>17.09</v>
      </c>
      <c r="H697" s="34" t="n">
        <v>54.31</v>
      </c>
      <c r="I697" s="34" t="n">
        <v>75.05</v>
      </c>
      <c r="J697" s="34" t="n">
        <v>76.13</v>
      </c>
      <c r="K697" s="34" t="n">
        <v>536.03</v>
      </c>
      <c r="L697" s="34" t="n">
        <f aca="false">AVERAGE(C697:E697)</f>
        <v>78.8866666666667</v>
      </c>
      <c r="M697" s="34" t="n">
        <f aca="false">AVERAGE(C697:J697)</f>
        <v>54.3375</v>
      </c>
    </row>
    <row r="698" customFormat="false" ht="15.75" hidden="false" customHeight="true" outlineLevel="0" collapsed="false">
      <c r="A698" s="34" t="s">
        <v>185</v>
      </c>
      <c r="B698" s="34" t="n">
        <v>531.55</v>
      </c>
      <c r="C698" s="34" t="n">
        <v>66.67</v>
      </c>
      <c r="D698" s="34" t="n">
        <v>67.91</v>
      </c>
      <c r="E698" s="34" t="n">
        <v>117.3</v>
      </c>
      <c r="F698" s="34" t="n">
        <v>1.74</v>
      </c>
      <c r="G698" s="34" t="n">
        <v>-34.21</v>
      </c>
      <c r="H698" s="34" t="n">
        <v>15.87</v>
      </c>
      <c r="I698" s="34" t="n">
        <v>39.28</v>
      </c>
      <c r="J698" s="34" t="n">
        <v>18.39</v>
      </c>
      <c r="K698" s="34" t="n">
        <v>509.42</v>
      </c>
      <c r="L698" s="34" t="n">
        <f aca="false">AVERAGE(C698:E698)</f>
        <v>83.96</v>
      </c>
      <c r="M698" s="34" t="n">
        <f aca="false">AVERAGE(C698:J698)</f>
        <v>36.61875</v>
      </c>
    </row>
    <row r="699" customFormat="false" ht="15.75" hidden="false" customHeight="true" outlineLevel="0" collapsed="false">
      <c r="A699" s="34" t="s">
        <v>1040</v>
      </c>
      <c r="B699" s="34" t="n">
        <v>531.1</v>
      </c>
      <c r="C699" s="34" t="n">
        <v>66.67</v>
      </c>
      <c r="D699" s="34" t="n">
        <v>69.59</v>
      </c>
      <c r="E699" s="34" t="n">
        <v>111.54</v>
      </c>
      <c r="F699" s="34" t="n">
        <v>55.99</v>
      </c>
      <c r="G699" s="34" t="n">
        <v>-39.26</v>
      </c>
      <c r="H699" s="34" t="n">
        <v>2.53</v>
      </c>
      <c r="I699" s="34" t="n">
        <v>36.4</v>
      </c>
      <c r="J699" s="34" t="n">
        <v>53.31</v>
      </c>
      <c r="K699" s="34" t="n">
        <v>551.06</v>
      </c>
      <c r="L699" s="34" t="n">
        <f aca="false">AVERAGE(C699:E699)</f>
        <v>82.6</v>
      </c>
      <c r="M699" s="34" t="n">
        <f aca="false">AVERAGE(C699:J699)</f>
        <v>44.59625</v>
      </c>
    </row>
    <row r="700" customFormat="false" ht="15.75" hidden="false" customHeight="true" outlineLevel="0" collapsed="false">
      <c r="A700" s="34" t="s">
        <v>1041</v>
      </c>
      <c r="B700" s="34" t="n">
        <v>530.65</v>
      </c>
      <c r="C700" s="34" t="n">
        <v>66.67</v>
      </c>
      <c r="D700" s="34" t="n">
        <v>-33.38</v>
      </c>
      <c r="E700" s="34" t="n">
        <v>24.09</v>
      </c>
      <c r="F700" s="34" t="n">
        <v>4.93</v>
      </c>
      <c r="G700" s="34" t="n">
        <v>59.21</v>
      </c>
      <c r="H700" s="34" t="n">
        <v>82.58</v>
      </c>
      <c r="I700" s="34" t="n">
        <v>106.93</v>
      </c>
      <c r="J700" s="34" t="n">
        <v>127.76</v>
      </c>
      <c r="K700" s="34" t="n">
        <v>490.3</v>
      </c>
      <c r="L700" s="34" t="n">
        <f aca="false">AVERAGE(C700:E700)</f>
        <v>19.1266666666667</v>
      </c>
      <c r="M700" s="34" t="n">
        <f aca="false">AVERAGE(C700:J700)</f>
        <v>54.84875</v>
      </c>
    </row>
    <row r="701" customFormat="false" ht="15.75" hidden="false" customHeight="true" outlineLevel="0" collapsed="false">
      <c r="A701" s="34" t="s">
        <v>1042</v>
      </c>
      <c r="B701" s="34" t="n">
        <v>529.9</v>
      </c>
      <c r="C701" s="34" t="n">
        <v>-66.67</v>
      </c>
      <c r="D701" s="34" t="n">
        <v>-71.67</v>
      </c>
      <c r="E701" s="34" t="n">
        <v>30.89</v>
      </c>
      <c r="F701" s="34" t="n">
        <v>-78.67</v>
      </c>
      <c r="G701" s="34" t="n">
        <v>-72.74</v>
      </c>
      <c r="H701" s="34" t="n">
        <v>-63.52</v>
      </c>
      <c r="I701" s="34" t="n">
        <v>-62.75</v>
      </c>
      <c r="J701" s="34" t="n">
        <v>-34.8</v>
      </c>
      <c r="K701" s="34" t="n">
        <v>546.61</v>
      </c>
      <c r="L701" s="34" t="n">
        <f aca="false">AVERAGE(C701:E701)</f>
        <v>-35.8166666666667</v>
      </c>
      <c r="M701" s="34" t="n">
        <f aca="false">AVERAGE(C701:J701)</f>
        <v>-52.49125</v>
      </c>
    </row>
    <row r="702" customFormat="false" ht="15.75" hidden="false" customHeight="true" outlineLevel="0" collapsed="false">
      <c r="A702" s="34" t="s">
        <v>1043</v>
      </c>
      <c r="B702" s="34" t="n">
        <v>527.4</v>
      </c>
      <c r="C702" s="34" t="n">
        <v>66.67</v>
      </c>
      <c r="D702" s="34" t="n">
        <v>133.33</v>
      </c>
      <c r="E702" s="34" t="n">
        <v>113.4</v>
      </c>
      <c r="F702" s="34" t="n">
        <v>-66.31</v>
      </c>
      <c r="G702" s="34"/>
      <c r="H702" s="34"/>
      <c r="I702" s="34"/>
      <c r="J702" s="34"/>
      <c r="K702" s="34" t="n">
        <v>552.67</v>
      </c>
      <c r="L702" s="34" t="n">
        <f aca="false">AVERAGE(C702:E702)</f>
        <v>104.466666666667</v>
      </c>
      <c r="M702" s="34" t="n">
        <f aca="false">AVERAGE(C702:J702)</f>
        <v>61.7725</v>
      </c>
    </row>
    <row r="703" customFormat="false" ht="15.75" hidden="false" customHeight="true" outlineLevel="0" collapsed="false">
      <c r="A703" s="34" t="s">
        <v>77</v>
      </c>
      <c r="B703" s="34" t="n">
        <v>527</v>
      </c>
      <c r="C703" s="34" t="n">
        <v>-66.67</v>
      </c>
      <c r="D703" s="34" t="n">
        <v>-96.23</v>
      </c>
      <c r="E703" s="34" t="n">
        <v>-130</v>
      </c>
      <c r="F703" s="34" t="n">
        <v>-163.15</v>
      </c>
      <c r="G703" s="34" t="n">
        <v>-197.59</v>
      </c>
      <c r="H703" s="34" t="n">
        <v>-168.5</v>
      </c>
      <c r="I703" s="34" t="n">
        <v>-52.35</v>
      </c>
      <c r="J703" s="34" t="n">
        <v>-10.53</v>
      </c>
      <c r="K703" s="34" t="n">
        <v>559.14</v>
      </c>
      <c r="L703" s="34" t="n">
        <f aca="false">AVERAGE(C703:E703)</f>
        <v>-97.6333333333333</v>
      </c>
      <c r="M703" s="34" t="n">
        <f aca="false">AVERAGE(C703:J703)</f>
        <v>-110.6275</v>
      </c>
    </row>
    <row r="704" customFormat="false" ht="15.75" hidden="false" customHeight="true" outlineLevel="0" collapsed="false">
      <c r="A704" s="34" t="s">
        <v>1044</v>
      </c>
      <c r="B704" s="34" t="n">
        <v>523.7</v>
      </c>
      <c r="C704" s="34" t="n">
        <v>-66.67</v>
      </c>
      <c r="D704" s="34" t="n">
        <v>-48.67</v>
      </c>
      <c r="E704" s="34" t="n">
        <v>-68.33</v>
      </c>
      <c r="F704" s="34" t="n">
        <v>-92.59</v>
      </c>
      <c r="G704" s="34" t="n">
        <v>-158.95</v>
      </c>
      <c r="H704" s="34" t="n">
        <v>-178.9</v>
      </c>
      <c r="I704" s="34" t="n">
        <v>-177.17</v>
      </c>
      <c r="J704" s="34" t="n">
        <v>-141.74</v>
      </c>
      <c r="K704" s="34" t="n">
        <v>553.62</v>
      </c>
      <c r="L704" s="34" t="n">
        <f aca="false">AVERAGE(C704:E704)</f>
        <v>-61.2233333333333</v>
      </c>
      <c r="M704" s="34" t="n">
        <f aca="false">AVERAGE(C704:J704)</f>
        <v>-116.6275</v>
      </c>
    </row>
    <row r="705" customFormat="false" ht="15.75" hidden="false" customHeight="true" outlineLevel="0" collapsed="false">
      <c r="A705" s="34" t="s">
        <v>1045</v>
      </c>
      <c r="B705" s="34" t="n">
        <v>523.25</v>
      </c>
      <c r="C705" s="34" t="n">
        <v>66.67</v>
      </c>
      <c r="D705" s="34" t="n">
        <v>44.5</v>
      </c>
      <c r="E705" s="34" t="n">
        <v>100.45</v>
      </c>
      <c r="F705" s="34" t="n">
        <v>261.8</v>
      </c>
      <c r="G705" s="34" t="n">
        <v>303.22</v>
      </c>
      <c r="H705" s="34" t="n">
        <v>140.46</v>
      </c>
      <c r="I705" s="34" t="n">
        <v>126.73</v>
      </c>
      <c r="J705" s="34" t="n">
        <v>147.18</v>
      </c>
      <c r="K705" s="34" t="n">
        <v>468.53</v>
      </c>
      <c r="L705" s="34" t="n">
        <f aca="false">AVERAGE(C705:E705)</f>
        <v>70.54</v>
      </c>
      <c r="M705" s="34" t="n">
        <f aca="false">AVERAGE(C705:J705)</f>
        <v>148.87625</v>
      </c>
    </row>
    <row r="706" customFormat="false" ht="15.75" hidden="false" customHeight="true" outlineLevel="0" collapsed="false">
      <c r="A706" s="34" t="s">
        <v>1046</v>
      </c>
      <c r="B706" s="34" t="n">
        <v>522.1</v>
      </c>
      <c r="C706" s="34" t="n">
        <v>-66.67</v>
      </c>
      <c r="D706" s="34" t="n">
        <v>0.743</v>
      </c>
      <c r="E706" s="34" t="n">
        <v>83.49</v>
      </c>
      <c r="F706" s="34" t="n">
        <v>131.19</v>
      </c>
      <c r="G706" s="34" t="n">
        <v>122.66</v>
      </c>
      <c r="H706" s="34" t="n">
        <v>131.79</v>
      </c>
      <c r="I706" s="34" t="n">
        <v>133.96</v>
      </c>
      <c r="J706" s="34" t="n">
        <v>156</v>
      </c>
      <c r="K706" s="34" t="n">
        <v>490.78</v>
      </c>
      <c r="L706" s="34" t="n">
        <f aca="false">AVERAGE(C706:E706)</f>
        <v>5.85433333333333</v>
      </c>
      <c r="M706" s="34" t="n">
        <f aca="false">AVERAGE(C706:J706)</f>
        <v>86.645375</v>
      </c>
    </row>
    <row r="707" customFormat="false" ht="15.75" hidden="false" customHeight="true" outlineLevel="0" collapsed="false">
      <c r="A707" s="34" t="s">
        <v>275</v>
      </c>
      <c r="B707" s="34" t="n">
        <v>521.85</v>
      </c>
      <c r="C707" s="34" t="n">
        <v>66.67</v>
      </c>
      <c r="D707" s="34" t="n">
        <v>79.59</v>
      </c>
      <c r="E707" s="34" t="n">
        <v>151.03</v>
      </c>
      <c r="F707" s="34" t="n">
        <v>116.84</v>
      </c>
      <c r="G707" s="34" t="n">
        <v>104.31</v>
      </c>
      <c r="H707" s="34" t="n">
        <v>140.08</v>
      </c>
      <c r="I707" s="34" t="n">
        <v>157.26</v>
      </c>
      <c r="J707" s="34" t="n">
        <v>156</v>
      </c>
      <c r="K707" s="34" t="n">
        <v>495.02</v>
      </c>
      <c r="L707" s="34" t="n">
        <f aca="false">AVERAGE(C707:E707)</f>
        <v>99.0966666666667</v>
      </c>
      <c r="M707" s="34" t="n">
        <f aca="false">AVERAGE(C707:J707)</f>
        <v>121.4725</v>
      </c>
    </row>
    <row r="708" customFormat="false" ht="15.75" hidden="false" customHeight="true" outlineLevel="0" collapsed="false">
      <c r="A708" s="34" t="s">
        <v>1047</v>
      </c>
      <c r="B708" s="34" t="n">
        <v>521.4</v>
      </c>
      <c r="C708" s="34" t="n">
        <v>66.67</v>
      </c>
      <c r="D708" s="34" t="n">
        <v>46.8</v>
      </c>
      <c r="E708" s="34" t="n">
        <v>72.77</v>
      </c>
      <c r="F708" s="34" t="n">
        <v>30.7</v>
      </c>
      <c r="G708" s="34" t="n">
        <v>81.23</v>
      </c>
      <c r="H708" s="34" t="n">
        <v>103.82</v>
      </c>
      <c r="I708" s="34" t="n">
        <v>106.92</v>
      </c>
      <c r="J708" s="34" t="n">
        <v>107.2</v>
      </c>
      <c r="K708" s="34" t="n">
        <v>539.37</v>
      </c>
      <c r="L708" s="34" t="n">
        <f aca="false">AVERAGE(C708:E708)</f>
        <v>62.08</v>
      </c>
      <c r="M708" s="34" t="n">
        <f aca="false">AVERAGE(C708:J708)</f>
        <v>77.01375</v>
      </c>
    </row>
    <row r="709" customFormat="false" ht="15.75" hidden="false" customHeight="true" outlineLevel="0" collapsed="false">
      <c r="A709" s="34" t="s">
        <v>1048</v>
      </c>
      <c r="B709" s="34" t="n">
        <v>518.85</v>
      </c>
      <c r="C709" s="34" t="n">
        <v>-66.67</v>
      </c>
      <c r="D709" s="34" t="n">
        <v>-95.27</v>
      </c>
      <c r="E709" s="34" t="n">
        <v>-17.79</v>
      </c>
      <c r="F709" s="34" t="n">
        <v>-58.04</v>
      </c>
      <c r="G709" s="34" t="n">
        <v>13.46</v>
      </c>
      <c r="H709" s="34" t="n">
        <v>53.72</v>
      </c>
      <c r="I709" s="34" t="n">
        <v>68.49</v>
      </c>
      <c r="J709" s="34" t="n">
        <v>82.01</v>
      </c>
      <c r="K709" s="34" t="n">
        <v>546.79</v>
      </c>
      <c r="L709" s="34" t="n">
        <f aca="false">AVERAGE(C709:E709)</f>
        <v>-59.91</v>
      </c>
      <c r="M709" s="34" t="n">
        <f aca="false">AVERAGE(C709:J709)</f>
        <v>-2.51125</v>
      </c>
    </row>
    <row r="710" customFormat="false" ht="15.75" hidden="false" customHeight="true" outlineLevel="0" collapsed="false">
      <c r="A710" s="34" t="s">
        <v>1049</v>
      </c>
      <c r="B710" s="34" t="n">
        <v>518.2</v>
      </c>
      <c r="C710" s="34" t="n">
        <v>66.67</v>
      </c>
      <c r="D710" s="34" t="n">
        <v>111.95</v>
      </c>
      <c r="E710" s="34" t="n">
        <v>191.9</v>
      </c>
      <c r="F710" s="34" t="n">
        <v>47.89</v>
      </c>
      <c r="G710" s="34" t="n">
        <v>-18.45</v>
      </c>
      <c r="H710" s="34" t="n">
        <v>27.33</v>
      </c>
      <c r="I710" s="34" t="n">
        <v>49.25</v>
      </c>
      <c r="J710" s="34" t="n">
        <v>64.48</v>
      </c>
      <c r="K710" s="34" t="n">
        <v>523.71</v>
      </c>
      <c r="L710" s="34" t="n">
        <f aca="false">AVERAGE(C710:E710)</f>
        <v>123.506666666667</v>
      </c>
      <c r="M710" s="34" t="n">
        <f aca="false">AVERAGE(C710:J710)</f>
        <v>67.6275</v>
      </c>
    </row>
    <row r="711" customFormat="false" ht="15.75" hidden="false" customHeight="true" outlineLevel="0" collapsed="false">
      <c r="A711" s="34" t="s">
        <v>1050</v>
      </c>
      <c r="B711" s="34" t="n">
        <v>517.95</v>
      </c>
      <c r="C711" s="34" t="n">
        <v>66.67</v>
      </c>
      <c r="D711" s="34" t="n">
        <v>133.33</v>
      </c>
      <c r="E711" s="34" t="n">
        <v>94.3</v>
      </c>
      <c r="F711" s="34" t="n">
        <v>127.8</v>
      </c>
      <c r="G711" s="34" t="n">
        <v>110.47</v>
      </c>
      <c r="H711" s="34" t="n">
        <v>90.13</v>
      </c>
      <c r="I711" s="34" t="n">
        <v>80.86</v>
      </c>
      <c r="J711" s="34" t="n">
        <v>91.26</v>
      </c>
      <c r="K711" s="34" t="n">
        <v>529.47</v>
      </c>
      <c r="L711" s="34" t="n">
        <f aca="false">AVERAGE(C711:E711)</f>
        <v>98.1</v>
      </c>
      <c r="M711" s="34" t="n">
        <f aca="false">AVERAGE(C711:J711)</f>
        <v>99.3525</v>
      </c>
    </row>
    <row r="712" customFormat="false" ht="15.75" hidden="false" customHeight="true" outlineLevel="0" collapsed="false">
      <c r="A712" s="34" t="s">
        <v>248</v>
      </c>
      <c r="B712" s="34" t="n">
        <v>517.9</v>
      </c>
      <c r="C712" s="34" t="n">
        <v>-66.67</v>
      </c>
      <c r="D712" s="34" t="n">
        <v>-100.9</v>
      </c>
      <c r="E712" s="34" t="n">
        <v>-165.15</v>
      </c>
      <c r="F712" s="34" t="n">
        <v>-152.69</v>
      </c>
      <c r="G712" s="34" t="n">
        <v>-16.47</v>
      </c>
      <c r="H712" s="34" t="n">
        <v>30</v>
      </c>
      <c r="I712" s="34" t="n">
        <v>20.71</v>
      </c>
      <c r="J712" s="34" t="n">
        <v>26.22</v>
      </c>
      <c r="K712" s="34" t="n">
        <v>512.06</v>
      </c>
      <c r="L712" s="34" t="n">
        <f aca="false">AVERAGE(C712:E712)</f>
        <v>-110.906666666667</v>
      </c>
      <c r="M712" s="34" t="n">
        <f aca="false">AVERAGE(C712:J712)</f>
        <v>-53.11875</v>
      </c>
    </row>
    <row r="713" customFormat="false" ht="15.75" hidden="false" customHeight="true" outlineLevel="0" collapsed="false">
      <c r="A713" s="34" t="s">
        <v>219</v>
      </c>
      <c r="B713" s="34" t="n">
        <v>516.6</v>
      </c>
      <c r="C713" s="34" t="n">
        <v>-66.67</v>
      </c>
      <c r="D713" s="34" t="n">
        <v>27.16</v>
      </c>
      <c r="E713" s="34" t="n">
        <v>67.24</v>
      </c>
      <c r="F713" s="34" t="n">
        <v>82.37</v>
      </c>
      <c r="G713" s="34" t="n">
        <v>125.99</v>
      </c>
      <c r="H713" s="34" t="n">
        <v>68.42</v>
      </c>
      <c r="I713" s="34" t="n">
        <v>47.41</v>
      </c>
      <c r="J713" s="34" t="n">
        <v>26.33</v>
      </c>
      <c r="K713" s="34" t="n">
        <v>522.96</v>
      </c>
      <c r="L713" s="34" t="n">
        <f aca="false">AVERAGE(C713:E713)</f>
        <v>9.24333333333333</v>
      </c>
      <c r="M713" s="34" t="n">
        <f aca="false">AVERAGE(C713:J713)</f>
        <v>47.28125</v>
      </c>
    </row>
    <row r="714" customFormat="false" ht="15.75" hidden="false" customHeight="true" outlineLevel="0" collapsed="false">
      <c r="A714" s="34" t="s">
        <v>1051</v>
      </c>
      <c r="B714" s="34" t="n">
        <v>516</v>
      </c>
      <c r="C714" s="34" t="n">
        <v>-66.67</v>
      </c>
      <c r="D714" s="34" t="n">
        <v>-88.8</v>
      </c>
      <c r="E714" s="34" t="n">
        <v>-106.3</v>
      </c>
      <c r="F714" s="34" t="n">
        <v>-63.4</v>
      </c>
      <c r="G714" s="34" t="n">
        <v>6.12</v>
      </c>
      <c r="H714" s="34" t="n">
        <v>42.49</v>
      </c>
      <c r="I714" s="34" t="n">
        <v>64.81</v>
      </c>
      <c r="J714" s="34" t="n">
        <v>79.56</v>
      </c>
      <c r="K714" s="34" t="n">
        <v>549.87</v>
      </c>
      <c r="L714" s="34" t="n">
        <f aca="false">AVERAGE(C714:E714)</f>
        <v>-87.2566666666667</v>
      </c>
      <c r="M714" s="34" t="n">
        <f aca="false">AVERAGE(C714:J714)</f>
        <v>-16.52375</v>
      </c>
    </row>
    <row r="715" customFormat="false" ht="15.75" hidden="false" customHeight="true" outlineLevel="0" collapsed="false">
      <c r="A715" s="34" t="s">
        <v>126</v>
      </c>
      <c r="B715" s="34" t="n">
        <v>515.95</v>
      </c>
      <c r="C715" s="34" t="n">
        <v>-66.67</v>
      </c>
      <c r="D715" s="34" t="n">
        <v>-88.25</v>
      </c>
      <c r="E715" s="34" t="n">
        <v>24.81</v>
      </c>
      <c r="F715" s="34" t="n">
        <v>-24.44</v>
      </c>
      <c r="G715" s="34" t="n">
        <v>51.22</v>
      </c>
      <c r="H715" s="34" t="n">
        <v>80.42</v>
      </c>
      <c r="I715" s="34" t="n">
        <v>92.26</v>
      </c>
      <c r="J715" s="34" t="n">
        <v>60.79</v>
      </c>
      <c r="K715" s="34" t="n">
        <v>505.3</v>
      </c>
      <c r="L715" s="34" t="n">
        <f aca="false">AVERAGE(C715:E715)</f>
        <v>-43.37</v>
      </c>
      <c r="M715" s="34" t="n">
        <f aca="false">AVERAGE(C715:J715)</f>
        <v>16.2675</v>
      </c>
    </row>
    <row r="716" customFormat="false" ht="15.75" hidden="false" customHeight="true" outlineLevel="0" collapsed="false">
      <c r="A716" s="34" t="s">
        <v>1052</v>
      </c>
      <c r="B716" s="34" t="n">
        <v>512.2</v>
      </c>
      <c r="C716" s="34" t="n">
        <v>-66.67</v>
      </c>
      <c r="D716" s="34" t="n">
        <v>52.4</v>
      </c>
      <c r="E716" s="34" t="n">
        <v>-10.1</v>
      </c>
      <c r="F716" s="34" t="n">
        <v>-98.72</v>
      </c>
      <c r="G716" s="34" t="n">
        <v>-20.45</v>
      </c>
      <c r="H716" s="34" t="n">
        <v>23.53</v>
      </c>
      <c r="I716" s="34" t="n">
        <v>40.23</v>
      </c>
      <c r="J716" s="34" t="n">
        <v>24.51</v>
      </c>
      <c r="K716" s="34" t="n">
        <v>544.47</v>
      </c>
      <c r="L716" s="34" t="n">
        <f aca="false">AVERAGE(C716:E716)</f>
        <v>-8.12333333333334</v>
      </c>
      <c r="M716" s="34" t="n">
        <f aca="false">AVERAGE(C716:J716)</f>
        <v>-6.90875</v>
      </c>
    </row>
    <row r="717" customFormat="false" ht="15.75" hidden="false" customHeight="true" outlineLevel="0" collapsed="false">
      <c r="A717" s="34" t="s">
        <v>1053</v>
      </c>
      <c r="B717" s="34" t="n">
        <v>511.8</v>
      </c>
      <c r="C717" s="34" t="n">
        <v>-66.67</v>
      </c>
      <c r="D717" s="34" t="n">
        <v>0.201</v>
      </c>
      <c r="E717" s="34" t="n">
        <v>74.14</v>
      </c>
      <c r="F717" s="34" t="n">
        <v>26.53</v>
      </c>
      <c r="G717" s="34" t="n">
        <v>44.51</v>
      </c>
      <c r="H717" s="34" t="n">
        <v>76.94</v>
      </c>
      <c r="I717" s="34" t="n">
        <v>99.63</v>
      </c>
      <c r="J717" s="34" t="n">
        <v>120.77</v>
      </c>
      <c r="K717" s="34" t="n">
        <v>476.72</v>
      </c>
      <c r="L717" s="34" t="n">
        <f aca="false">AVERAGE(C717:E717)</f>
        <v>2.557</v>
      </c>
      <c r="M717" s="34" t="n">
        <f aca="false">AVERAGE(C717:J717)</f>
        <v>47.006375</v>
      </c>
    </row>
    <row r="718" customFormat="false" ht="15.75" hidden="false" customHeight="true" outlineLevel="0" collapsed="false">
      <c r="A718" s="34" t="s">
        <v>216</v>
      </c>
      <c r="B718" s="34" t="n">
        <v>511.15</v>
      </c>
      <c r="C718" s="34" t="n">
        <v>-66.67</v>
      </c>
      <c r="D718" s="34" t="n">
        <v>50.85</v>
      </c>
      <c r="E718" s="34" t="n">
        <v>-73.68</v>
      </c>
      <c r="F718" s="34" t="n">
        <v>-124.89</v>
      </c>
      <c r="G718" s="34" t="n">
        <v>-113.58</v>
      </c>
      <c r="H718" s="34" t="n">
        <v>-102.88</v>
      </c>
      <c r="I718" s="34" t="n">
        <v>-31.77</v>
      </c>
      <c r="J718" s="34" t="n">
        <v>-21.86</v>
      </c>
      <c r="K718" s="34" t="n">
        <v>550.93</v>
      </c>
      <c r="L718" s="34" t="n">
        <f aca="false">AVERAGE(C718:E718)</f>
        <v>-29.8333333333333</v>
      </c>
      <c r="M718" s="34" t="n">
        <f aca="false">AVERAGE(C718:J718)</f>
        <v>-60.56</v>
      </c>
    </row>
    <row r="719" customFormat="false" ht="15.75" hidden="false" customHeight="true" outlineLevel="0" collapsed="false">
      <c r="A719" s="34" t="s">
        <v>1054</v>
      </c>
      <c r="B719" s="34" t="n">
        <v>511</v>
      </c>
      <c r="C719" s="34" t="n">
        <v>66.67</v>
      </c>
      <c r="D719" s="34" t="n">
        <v>133.33</v>
      </c>
      <c r="E719" s="34" t="n">
        <v>-22.76</v>
      </c>
      <c r="F719" s="34" t="n">
        <v>-95.4</v>
      </c>
      <c r="G719" s="34" t="n">
        <v>-76.69</v>
      </c>
      <c r="H719" s="34" t="n">
        <v>-29.54</v>
      </c>
      <c r="I719" s="34" t="n">
        <v>-40.89</v>
      </c>
      <c r="J719" s="34" t="n">
        <v>-55.95</v>
      </c>
      <c r="K719" s="34" t="n">
        <v>544.97</v>
      </c>
      <c r="L719" s="34" t="n">
        <f aca="false">AVERAGE(C719:E719)</f>
        <v>59.08</v>
      </c>
      <c r="M719" s="34" t="n">
        <f aca="false">AVERAGE(C719:J719)</f>
        <v>-15.15375</v>
      </c>
    </row>
    <row r="720" customFormat="false" ht="15.75" hidden="false" customHeight="true" outlineLevel="0" collapsed="false">
      <c r="A720" s="34" t="s">
        <v>481</v>
      </c>
      <c r="B720" s="34" t="n">
        <v>507.85</v>
      </c>
      <c r="C720" s="34" t="n">
        <v>66.67</v>
      </c>
      <c r="D720" s="34" t="n">
        <v>-54.15</v>
      </c>
      <c r="E720" s="34" t="n">
        <v>50.2</v>
      </c>
      <c r="F720" s="34" t="n">
        <v>10.75</v>
      </c>
      <c r="G720" s="34" t="n">
        <v>-43.17</v>
      </c>
      <c r="H720" s="34" t="n">
        <v>-29.69</v>
      </c>
      <c r="I720" s="34" t="n">
        <v>-33.24</v>
      </c>
      <c r="J720" s="34" t="n">
        <v>-51.3</v>
      </c>
      <c r="K720" s="34" t="n">
        <v>483.17</v>
      </c>
      <c r="L720" s="34" t="n">
        <f aca="false">AVERAGE(C720:E720)</f>
        <v>20.9066666666667</v>
      </c>
      <c r="M720" s="34" t="n">
        <f aca="false">AVERAGE(C720:J720)</f>
        <v>-10.49125</v>
      </c>
    </row>
    <row r="721" customFormat="false" ht="15.75" hidden="false" customHeight="true" outlineLevel="0" collapsed="false">
      <c r="A721" s="34" t="s">
        <v>1055</v>
      </c>
      <c r="B721" s="34" t="n">
        <v>507.8</v>
      </c>
      <c r="C721" s="34" t="n">
        <v>66.67</v>
      </c>
      <c r="D721" s="34" t="n">
        <v>25.4</v>
      </c>
      <c r="E721" s="34" t="n">
        <v>72.56</v>
      </c>
      <c r="F721" s="34" t="n">
        <v>-14.03</v>
      </c>
      <c r="G721" s="34" t="n">
        <v>38.59</v>
      </c>
      <c r="H721" s="34" t="n">
        <v>71.28</v>
      </c>
      <c r="I721" s="34" t="n">
        <v>84.46</v>
      </c>
      <c r="J721" s="34" t="n">
        <v>91.12</v>
      </c>
      <c r="K721" s="34" t="n">
        <v>473.49</v>
      </c>
      <c r="L721" s="34" t="n">
        <f aca="false">AVERAGE(C721:E721)</f>
        <v>54.8766666666667</v>
      </c>
      <c r="M721" s="34" t="n">
        <f aca="false">AVERAGE(C721:J721)</f>
        <v>54.50625</v>
      </c>
    </row>
    <row r="722" customFormat="false" ht="15.75" hidden="false" customHeight="true" outlineLevel="0" collapsed="false">
      <c r="A722" s="34" t="s">
        <v>1056</v>
      </c>
      <c r="B722" s="34" t="n">
        <v>502.8</v>
      </c>
      <c r="C722" s="34" t="n">
        <v>-66.67</v>
      </c>
      <c r="D722" s="34" t="n">
        <v>-78.99</v>
      </c>
      <c r="E722" s="34" t="n">
        <v>5.41</v>
      </c>
      <c r="F722" s="34" t="n">
        <v>-85.41</v>
      </c>
      <c r="G722" s="34" t="n">
        <v>-161.45</v>
      </c>
      <c r="H722" s="34" t="n">
        <v>-199.51</v>
      </c>
      <c r="I722" s="34" t="n">
        <v>-193.02</v>
      </c>
      <c r="J722" s="34" t="n">
        <v>-174.12</v>
      </c>
      <c r="K722" s="34" t="n">
        <v>549.16</v>
      </c>
      <c r="L722" s="34" t="n">
        <f aca="false">AVERAGE(C722:E722)</f>
        <v>-46.75</v>
      </c>
      <c r="M722" s="34" t="n">
        <f aca="false">AVERAGE(C722:J722)</f>
        <v>-119.22</v>
      </c>
    </row>
    <row r="723" customFormat="false" ht="15.75" hidden="false" customHeight="true" outlineLevel="0" collapsed="false">
      <c r="A723" s="34" t="s">
        <v>1057</v>
      </c>
      <c r="B723" s="34" t="n">
        <v>502.25</v>
      </c>
      <c r="C723" s="34" t="n">
        <v>-66.67</v>
      </c>
      <c r="D723" s="34" t="n">
        <v>56.45</v>
      </c>
      <c r="E723" s="34" t="n">
        <v>88.89</v>
      </c>
      <c r="F723" s="34" t="n">
        <v>189.23</v>
      </c>
      <c r="G723" s="34" t="n">
        <v>285.84</v>
      </c>
      <c r="H723" s="34" t="n">
        <v>255.27</v>
      </c>
      <c r="I723" s="34" t="n">
        <v>242.31</v>
      </c>
      <c r="J723" s="34" t="n">
        <v>200.61</v>
      </c>
      <c r="K723" s="34" t="n">
        <v>460.98</v>
      </c>
      <c r="L723" s="34" t="n">
        <f aca="false">AVERAGE(C723:E723)</f>
        <v>26.2233333333333</v>
      </c>
      <c r="M723" s="34" t="n">
        <f aca="false">AVERAGE(C723:J723)</f>
        <v>156.49125</v>
      </c>
    </row>
    <row r="724" customFormat="false" ht="15.75" hidden="false" customHeight="true" outlineLevel="0" collapsed="false">
      <c r="A724" s="34" t="s">
        <v>1058</v>
      </c>
      <c r="B724" s="34" t="n">
        <v>500</v>
      </c>
      <c r="C724" s="34" t="n">
        <v>-66.67</v>
      </c>
      <c r="D724" s="34" t="n">
        <v>-83.03</v>
      </c>
      <c r="E724" s="34" t="n">
        <v>22.88</v>
      </c>
      <c r="F724" s="34" t="n">
        <v>-53.88</v>
      </c>
      <c r="G724" s="34" t="n">
        <v>-8.62</v>
      </c>
      <c r="H724" s="34" t="n">
        <v>13.3</v>
      </c>
      <c r="I724" s="34" t="n">
        <v>-6.91</v>
      </c>
      <c r="J724" s="34" t="n">
        <v>-18.3</v>
      </c>
      <c r="K724" s="34" t="n">
        <v>520.1</v>
      </c>
      <c r="L724" s="34" t="n">
        <f aca="false">AVERAGE(C724:E724)</f>
        <v>-42.2733333333333</v>
      </c>
      <c r="M724" s="34" t="n">
        <f aca="false">AVERAGE(C724:J724)</f>
        <v>-25.15375</v>
      </c>
    </row>
    <row r="725" customFormat="false" ht="15.75" hidden="false" customHeight="true" outlineLevel="0" collapsed="false">
      <c r="A725" s="34" t="s">
        <v>1059</v>
      </c>
      <c r="B725" s="34" t="n">
        <v>499.9</v>
      </c>
      <c r="C725" s="34" t="n">
        <v>-66.67</v>
      </c>
      <c r="D725" s="34" t="n">
        <v>-7.95</v>
      </c>
      <c r="E725" s="34" t="n">
        <v>82.69</v>
      </c>
      <c r="F725" s="34" t="n">
        <v>55.39</v>
      </c>
      <c r="G725" s="34" t="n">
        <v>62.87</v>
      </c>
      <c r="H725" s="34" t="n">
        <v>72.64</v>
      </c>
      <c r="I725" s="34" t="n">
        <v>88.51</v>
      </c>
      <c r="J725" s="34" t="n">
        <v>105.17</v>
      </c>
      <c r="K725" s="34" t="n">
        <v>464.64</v>
      </c>
      <c r="L725" s="34" t="n">
        <f aca="false">AVERAGE(C725:E725)</f>
        <v>2.69</v>
      </c>
      <c r="M725" s="34" t="n">
        <f aca="false">AVERAGE(C725:J725)</f>
        <v>49.08125</v>
      </c>
    </row>
    <row r="726" customFormat="false" ht="15.75" hidden="false" customHeight="true" outlineLevel="0" collapsed="false">
      <c r="A726" s="34" t="s">
        <v>1060</v>
      </c>
      <c r="B726" s="34" t="n">
        <v>499.8</v>
      </c>
      <c r="C726" s="34" t="n">
        <v>66.67</v>
      </c>
      <c r="D726" s="34" t="n">
        <v>133.33</v>
      </c>
      <c r="E726" s="34" t="n">
        <v>111.85</v>
      </c>
      <c r="F726" s="34" t="n">
        <v>119.41</v>
      </c>
      <c r="G726" s="34" t="n">
        <v>125.66</v>
      </c>
      <c r="H726" s="34" t="n">
        <v>167.03</v>
      </c>
      <c r="I726" s="34" t="n">
        <v>188.89</v>
      </c>
      <c r="J726" s="34" t="n">
        <v>209.61</v>
      </c>
      <c r="K726" s="34" t="n">
        <v>439.96</v>
      </c>
      <c r="L726" s="34" t="n">
        <f aca="false">AVERAGE(C726:E726)</f>
        <v>103.95</v>
      </c>
      <c r="M726" s="34" t="n">
        <f aca="false">AVERAGE(C726:J726)</f>
        <v>140.30625</v>
      </c>
    </row>
    <row r="727" customFormat="false" ht="15.75" hidden="false" customHeight="true" outlineLevel="0" collapsed="false">
      <c r="A727" s="34" t="s">
        <v>390</v>
      </c>
      <c r="B727" s="34" t="n">
        <v>499.6</v>
      </c>
      <c r="C727" s="34" t="n">
        <v>-66.67</v>
      </c>
      <c r="D727" s="34" t="n">
        <v>-133.33</v>
      </c>
      <c r="E727" s="34" t="n">
        <v>-73.29</v>
      </c>
      <c r="F727" s="34" t="n">
        <v>-111.37</v>
      </c>
      <c r="G727" s="34" t="n">
        <v>-147.66</v>
      </c>
      <c r="H727" s="34" t="n">
        <v>-22.57</v>
      </c>
      <c r="I727" s="34" t="n">
        <v>3.76</v>
      </c>
      <c r="J727" s="34" t="n">
        <v>-4.52</v>
      </c>
      <c r="K727" s="34" t="n">
        <v>537.24</v>
      </c>
      <c r="L727" s="34" t="n">
        <f aca="false">AVERAGE(C727:E727)</f>
        <v>-91.0966666666667</v>
      </c>
      <c r="M727" s="34" t="n">
        <f aca="false">AVERAGE(C727:J727)</f>
        <v>-69.45625</v>
      </c>
    </row>
    <row r="728" customFormat="false" ht="15.75" hidden="false" customHeight="true" outlineLevel="0" collapsed="false">
      <c r="A728" s="34" t="s">
        <v>1061</v>
      </c>
      <c r="B728" s="34" t="n">
        <v>499.05</v>
      </c>
      <c r="C728" s="34" t="n">
        <v>66.67</v>
      </c>
      <c r="D728" s="34" t="n">
        <v>133.33</v>
      </c>
      <c r="E728" s="34" t="n">
        <v>230.77</v>
      </c>
      <c r="F728" s="34" t="n">
        <v>19.74</v>
      </c>
      <c r="G728" s="34" t="n">
        <v>-44.58</v>
      </c>
      <c r="H728" s="34" t="n">
        <v>-9.14</v>
      </c>
      <c r="I728" s="34" t="n">
        <v>21.51</v>
      </c>
      <c r="J728" s="34" t="n">
        <v>24.04</v>
      </c>
      <c r="K728" s="34" t="n">
        <v>447.84</v>
      </c>
      <c r="L728" s="34" t="n">
        <f aca="false">AVERAGE(C728:E728)</f>
        <v>143.59</v>
      </c>
      <c r="M728" s="34" t="n">
        <f aca="false">AVERAGE(C728:J728)</f>
        <v>55.2925</v>
      </c>
    </row>
    <row r="729" customFormat="false" ht="15.75" hidden="false" customHeight="true" outlineLevel="0" collapsed="false">
      <c r="A729" s="34" t="s">
        <v>1062</v>
      </c>
      <c r="B729" s="34" t="n">
        <v>498.95</v>
      </c>
      <c r="C729" s="34" t="n">
        <v>-66.67</v>
      </c>
      <c r="D729" s="34" t="n">
        <v>-11.76</v>
      </c>
      <c r="E729" s="34" t="n">
        <v>-59.63</v>
      </c>
      <c r="F729" s="34" t="n">
        <v>-62.93</v>
      </c>
      <c r="G729" s="34" t="n">
        <v>-18.81</v>
      </c>
      <c r="H729" s="34" t="n">
        <v>-33.37</v>
      </c>
      <c r="I729" s="34" t="n">
        <v>13.03</v>
      </c>
      <c r="J729" s="34" t="n">
        <v>29.17</v>
      </c>
      <c r="K729" s="34" t="n">
        <v>540.07</v>
      </c>
      <c r="L729" s="34" t="n">
        <f aca="false">AVERAGE(C729:E729)</f>
        <v>-46.02</v>
      </c>
      <c r="M729" s="34" t="n">
        <f aca="false">AVERAGE(C729:J729)</f>
        <v>-26.37125</v>
      </c>
    </row>
    <row r="730" customFormat="false" ht="15.75" hidden="false" customHeight="true" outlineLevel="0" collapsed="false">
      <c r="A730" s="34" t="s">
        <v>1063</v>
      </c>
      <c r="B730" s="34" t="n">
        <v>498.2</v>
      </c>
      <c r="C730" s="34" t="n">
        <v>-66.67</v>
      </c>
      <c r="D730" s="34" t="n">
        <v>-77.57</v>
      </c>
      <c r="E730" s="34" t="n">
        <v>-70.65</v>
      </c>
      <c r="F730" s="34" t="n">
        <v>-106.84</v>
      </c>
      <c r="G730" s="34" t="n">
        <v>-51.15</v>
      </c>
      <c r="H730" s="34" t="n">
        <v>-25.77</v>
      </c>
      <c r="I730" s="34" t="n">
        <v>-23.66</v>
      </c>
      <c r="J730" s="34" t="n">
        <v>-44.34</v>
      </c>
      <c r="K730" s="34" t="n">
        <v>543.92</v>
      </c>
      <c r="L730" s="34" t="n">
        <f aca="false">AVERAGE(C730:E730)</f>
        <v>-71.63</v>
      </c>
      <c r="M730" s="34" t="n">
        <f aca="false">AVERAGE(C730:J730)</f>
        <v>-58.33125</v>
      </c>
    </row>
    <row r="731" customFormat="false" ht="15.75" hidden="false" customHeight="true" outlineLevel="0" collapsed="false">
      <c r="A731" s="34" t="s">
        <v>1064</v>
      </c>
      <c r="B731" s="34" t="n">
        <v>496.6</v>
      </c>
      <c r="C731" s="34" t="n">
        <v>-66.67</v>
      </c>
      <c r="D731" s="34" t="n">
        <v>-133.33</v>
      </c>
      <c r="E731" s="34" t="n">
        <v>-96.27</v>
      </c>
      <c r="F731" s="34" t="n">
        <v>-140.08</v>
      </c>
      <c r="G731" s="34" t="n">
        <v>-164.17</v>
      </c>
      <c r="H731" s="34" t="n">
        <v>-170.21</v>
      </c>
      <c r="I731" s="34" t="n">
        <v>-150.42</v>
      </c>
      <c r="J731" s="34" t="n">
        <v>-116.38</v>
      </c>
      <c r="K731" s="34" t="n">
        <v>552.26</v>
      </c>
      <c r="L731" s="34" t="n">
        <f aca="false">AVERAGE(C731:E731)</f>
        <v>-98.7566666666667</v>
      </c>
      <c r="M731" s="34" t="n">
        <f aca="false">AVERAGE(C731:J731)</f>
        <v>-129.69125</v>
      </c>
    </row>
    <row r="732" customFormat="false" ht="15.75" hidden="false" customHeight="true" outlineLevel="0" collapsed="false">
      <c r="A732" s="34" t="s">
        <v>1065</v>
      </c>
      <c r="B732" s="34" t="n">
        <v>496.3</v>
      </c>
      <c r="C732" s="34" t="n">
        <v>66.67</v>
      </c>
      <c r="D732" s="34" t="n">
        <v>107.04</v>
      </c>
      <c r="E732" s="34" t="n">
        <v>195.32</v>
      </c>
      <c r="F732" s="34" t="n">
        <v>96.39</v>
      </c>
      <c r="G732" s="34" t="n">
        <v>19.63</v>
      </c>
      <c r="H732" s="34" t="n">
        <v>2.62</v>
      </c>
      <c r="I732" s="34" t="n">
        <v>39.65</v>
      </c>
      <c r="J732" s="34" t="n">
        <v>55.62</v>
      </c>
      <c r="K732" s="34" t="n">
        <v>454.83</v>
      </c>
      <c r="L732" s="34" t="n">
        <f aca="false">AVERAGE(C732:E732)</f>
        <v>123.01</v>
      </c>
      <c r="M732" s="34" t="n">
        <f aca="false">AVERAGE(C732:J732)</f>
        <v>72.8675</v>
      </c>
    </row>
    <row r="733" customFormat="false" ht="15.75" hidden="false" customHeight="true" outlineLevel="0" collapsed="false">
      <c r="A733" s="34" t="s">
        <v>1066</v>
      </c>
      <c r="B733" s="34" t="n">
        <v>496</v>
      </c>
      <c r="C733" s="34" t="n">
        <v>-66.67</v>
      </c>
      <c r="D733" s="34" t="n">
        <v>28.99</v>
      </c>
      <c r="E733" s="34" t="n">
        <v>82.28</v>
      </c>
      <c r="F733" s="34" t="n">
        <v>113.62</v>
      </c>
      <c r="G733" s="34" t="n">
        <v>164.92</v>
      </c>
      <c r="H733" s="34" t="n">
        <v>132.11</v>
      </c>
      <c r="I733" s="34" t="n">
        <v>126.98</v>
      </c>
      <c r="J733" s="34" t="n">
        <v>-2.34</v>
      </c>
      <c r="K733" s="34" t="n">
        <v>467.71</v>
      </c>
      <c r="L733" s="34" t="n">
        <f aca="false">AVERAGE(C733:E733)</f>
        <v>14.8666666666667</v>
      </c>
      <c r="M733" s="34" t="n">
        <f aca="false">AVERAGE(C733:J733)</f>
        <v>72.48625</v>
      </c>
    </row>
    <row r="734" customFormat="false" ht="15.75" hidden="false" customHeight="true" outlineLevel="0" collapsed="false">
      <c r="A734" s="34" t="s">
        <v>1067</v>
      </c>
      <c r="B734" s="34" t="n">
        <v>495</v>
      </c>
      <c r="C734" s="34" t="n">
        <v>-66.67</v>
      </c>
      <c r="D734" s="34" t="n">
        <v>-133.33</v>
      </c>
      <c r="E734" s="34" t="n">
        <v>-135.67</v>
      </c>
      <c r="F734" s="34" t="n">
        <v>-128.23</v>
      </c>
      <c r="G734" s="34" t="n">
        <v>-99.69</v>
      </c>
      <c r="H734" s="34" t="n">
        <v>-15.46</v>
      </c>
      <c r="I734" s="34" t="n">
        <v>12.58</v>
      </c>
      <c r="J734" s="34" t="n">
        <v>10.43</v>
      </c>
      <c r="K734" s="34" t="n">
        <v>542.23</v>
      </c>
      <c r="L734" s="34" t="n">
        <f aca="false">AVERAGE(C734:E734)</f>
        <v>-111.89</v>
      </c>
      <c r="M734" s="34" t="n">
        <f aca="false">AVERAGE(C734:J734)</f>
        <v>-69.505</v>
      </c>
    </row>
    <row r="735" customFormat="false" ht="15.75" hidden="false" customHeight="true" outlineLevel="0" collapsed="false">
      <c r="A735" s="34" t="s">
        <v>1068</v>
      </c>
      <c r="B735" s="34" t="n">
        <v>491.95</v>
      </c>
      <c r="C735" s="34" t="n">
        <v>-66.67</v>
      </c>
      <c r="D735" s="34" t="n">
        <v>6.72</v>
      </c>
      <c r="E735" s="34" t="n">
        <v>70.66</v>
      </c>
      <c r="F735" s="34" t="n">
        <v>61.5</v>
      </c>
      <c r="G735" s="34" t="n">
        <v>74.15</v>
      </c>
      <c r="H735" s="34" t="n">
        <v>77.2</v>
      </c>
      <c r="I735" s="34" t="n">
        <v>87.5</v>
      </c>
      <c r="J735" s="34" t="n">
        <v>104.48</v>
      </c>
      <c r="K735" s="34" t="n">
        <v>495.35</v>
      </c>
      <c r="L735" s="34" t="n">
        <f aca="false">AVERAGE(C735:E735)</f>
        <v>3.57</v>
      </c>
      <c r="M735" s="34" t="n">
        <f aca="false">AVERAGE(C735:J735)</f>
        <v>51.9425</v>
      </c>
    </row>
    <row r="736" customFormat="false" ht="15.75" hidden="false" customHeight="true" outlineLevel="0" collapsed="false">
      <c r="A736" s="34" t="s">
        <v>1069</v>
      </c>
      <c r="B736" s="34" t="n">
        <v>491.1</v>
      </c>
      <c r="C736" s="34" t="n">
        <v>-66.67</v>
      </c>
      <c r="D736" s="34" t="n">
        <v>-133.33</v>
      </c>
      <c r="E736" s="34" t="n">
        <v>60.96</v>
      </c>
      <c r="F736" s="34" t="n">
        <v>-41.64</v>
      </c>
      <c r="G736" s="34" t="n">
        <v>-68.32</v>
      </c>
      <c r="H736" s="34" t="n">
        <v>-47.96</v>
      </c>
      <c r="I736" s="34" t="n">
        <v>-34.74</v>
      </c>
      <c r="J736" s="34" t="n">
        <v>-39.91</v>
      </c>
      <c r="K736" s="34" t="n">
        <v>465.18</v>
      </c>
      <c r="L736" s="34" t="n">
        <f aca="false">AVERAGE(C736:E736)</f>
        <v>-46.3466666666667</v>
      </c>
      <c r="M736" s="34" t="n">
        <f aca="false">AVERAGE(C736:J736)</f>
        <v>-46.45125</v>
      </c>
    </row>
    <row r="737" customFormat="false" ht="15.75" hidden="false" customHeight="true" outlineLevel="0" collapsed="false">
      <c r="A737" s="34" t="s">
        <v>1070</v>
      </c>
      <c r="B737" s="34" t="n">
        <v>491.1</v>
      </c>
      <c r="C737" s="34" t="n">
        <v>66.67</v>
      </c>
      <c r="D737" s="34" t="n">
        <v>133.33</v>
      </c>
      <c r="E737" s="34" t="n">
        <v>130.23</v>
      </c>
      <c r="F737" s="34"/>
      <c r="G737" s="34"/>
      <c r="H737" s="34"/>
      <c r="I737" s="34"/>
      <c r="J737" s="34"/>
      <c r="K737" s="34" t="n">
        <v>445.27</v>
      </c>
      <c r="L737" s="34" t="n">
        <f aca="false">AVERAGE(C737:E737)</f>
        <v>110.076666666667</v>
      </c>
      <c r="M737" s="34" t="n">
        <f aca="false">AVERAGE(C737:J737)</f>
        <v>110.076666666667</v>
      </c>
    </row>
    <row r="738" customFormat="false" ht="15.75" hidden="false" customHeight="true" outlineLevel="0" collapsed="false">
      <c r="A738" s="34" t="s">
        <v>1071</v>
      </c>
      <c r="B738" s="34" t="n">
        <v>490.9</v>
      </c>
      <c r="C738" s="34" t="n">
        <v>-66.67</v>
      </c>
      <c r="D738" s="34" t="n">
        <v>-83.08</v>
      </c>
      <c r="E738" s="34" t="n">
        <v>-63.33</v>
      </c>
      <c r="F738" s="34" t="n">
        <v>-156.03</v>
      </c>
      <c r="G738" s="34" t="n">
        <v>-188.05</v>
      </c>
      <c r="H738" s="34" t="n">
        <v>-39.07</v>
      </c>
      <c r="I738" s="34" t="n">
        <v>-2.32</v>
      </c>
      <c r="J738" s="34" t="n">
        <v>5.97</v>
      </c>
      <c r="K738" s="34" t="n">
        <v>544.5</v>
      </c>
      <c r="L738" s="34" t="n">
        <f aca="false">AVERAGE(C738:E738)</f>
        <v>-71.0266666666667</v>
      </c>
      <c r="M738" s="34" t="n">
        <f aca="false">AVERAGE(C738:J738)</f>
        <v>-74.0725</v>
      </c>
    </row>
    <row r="739" customFormat="false" ht="15.75" hidden="false" customHeight="true" outlineLevel="0" collapsed="false">
      <c r="A739" s="34" t="s">
        <v>1072</v>
      </c>
      <c r="B739" s="34" t="n">
        <v>490.6</v>
      </c>
      <c r="C739" s="34" t="n">
        <v>-66.67</v>
      </c>
      <c r="D739" s="34" t="n">
        <v>-98.72</v>
      </c>
      <c r="E739" s="34" t="n">
        <v>4.64</v>
      </c>
      <c r="F739" s="34" t="n">
        <v>63.98</v>
      </c>
      <c r="G739" s="34" t="n">
        <v>103.72</v>
      </c>
      <c r="H739" s="34" t="n">
        <v>129.7</v>
      </c>
      <c r="I739" s="34" t="n">
        <v>151.96</v>
      </c>
      <c r="J739" s="34" t="n">
        <v>123.81</v>
      </c>
      <c r="K739" s="34" t="n">
        <v>457.32</v>
      </c>
      <c r="L739" s="34" t="n">
        <f aca="false">AVERAGE(C739:E739)</f>
        <v>-53.5833333333333</v>
      </c>
      <c r="M739" s="34" t="n">
        <f aca="false">AVERAGE(C739:J739)</f>
        <v>51.5525</v>
      </c>
    </row>
    <row r="740" customFormat="false" ht="15.75" hidden="false" customHeight="true" outlineLevel="0" collapsed="false">
      <c r="A740" s="34" t="s">
        <v>1073</v>
      </c>
      <c r="B740" s="34" t="n">
        <v>489.4</v>
      </c>
      <c r="C740" s="34" t="n">
        <v>-66.67</v>
      </c>
      <c r="D740" s="34" t="n">
        <v>-122.78</v>
      </c>
      <c r="E740" s="34" t="n">
        <v>-33.6</v>
      </c>
      <c r="F740" s="34" t="n">
        <v>-19.05</v>
      </c>
      <c r="G740" s="34" t="n">
        <v>51.02</v>
      </c>
      <c r="H740" s="34" t="n">
        <v>80.84</v>
      </c>
      <c r="I740" s="34" t="n">
        <v>106.43</v>
      </c>
      <c r="J740" s="34" t="n">
        <v>129.62</v>
      </c>
      <c r="K740" s="34" t="n">
        <v>478.43</v>
      </c>
      <c r="L740" s="34" t="n">
        <f aca="false">AVERAGE(C740:E740)</f>
        <v>-74.35</v>
      </c>
      <c r="M740" s="34" t="n">
        <f aca="false">AVERAGE(C740:J740)</f>
        <v>15.72625</v>
      </c>
    </row>
    <row r="741" customFormat="false" ht="15.75" hidden="false" customHeight="true" outlineLevel="0" collapsed="false">
      <c r="A741" s="34" t="s">
        <v>512</v>
      </c>
      <c r="B741" s="34" t="n">
        <v>489.3</v>
      </c>
      <c r="C741" s="34" t="n">
        <v>66.67</v>
      </c>
      <c r="D741" s="34" t="n">
        <v>133.33</v>
      </c>
      <c r="E741" s="34" t="n">
        <v>94.51</v>
      </c>
      <c r="F741" s="34" t="n">
        <v>34.87</v>
      </c>
      <c r="G741" s="34" t="n">
        <v>-46.36</v>
      </c>
      <c r="H741" s="34" t="n">
        <v>-68.43</v>
      </c>
      <c r="I741" s="34" t="n">
        <v>-58.84</v>
      </c>
      <c r="J741" s="34" t="n">
        <v>-58.94</v>
      </c>
      <c r="K741" s="34" t="n">
        <v>501.67</v>
      </c>
      <c r="L741" s="34" t="n">
        <f aca="false">AVERAGE(C741:E741)</f>
        <v>98.17</v>
      </c>
      <c r="M741" s="34" t="n">
        <f aca="false">AVERAGE(C741:J741)</f>
        <v>12.10125</v>
      </c>
    </row>
    <row r="742" customFormat="false" ht="15.75" hidden="false" customHeight="true" outlineLevel="0" collapsed="false">
      <c r="A742" s="34" t="s">
        <v>1074</v>
      </c>
      <c r="B742" s="34" t="n">
        <v>489.25</v>
      </c>
      <c r="C742" s="34" t="n">
        <v>66.67</v>
      </c>
      <c r="D742" s="34" t="n">
        <v>-66.23</v>
      </c>
      <c r="E742" s="34" t="n">
        <v>-37.71</v>
      </c>
      <c r="F742" s="34" t="n">
        <v>34.25</v>
      </c>
      <c r="G742" s="34" t="n">
        <v>80.64</v>
      </c>
      <c r="H742" s="34" t="n">
        <v>120.27</v>
      </c>
      <c r="I742" s="34" t="n">
        <v>137.29</v>
      </c>
      <c r="J742" s="34" t="n">
        <v>142.06</v>
      </c>
      <c r="K742" s="34" t="n">
        <v>472.87</v>
      </c>
      <c r="L742" s="34" t="n">
        <f aca="false">AVERAGE(C742:E742)</f>
        <v>-12.4233333333333</v>
      </c>
      <c r="M742" s="34" t="n">
        <f aca="false">AVERAGE(C742:J742)</f>
        <v>59.655</v>
      </c>
    </row>
    <row r="743" customFormat="false" ht="15.75" hidden="false" customHeight="true" outlineLevel="0" collapsed="false">
      <c r="A743" s="34" t="s">
        <v>1075</v>
      </c>
      <c r="B743" s="34" t="n">
        <v>489</v>
      </c>
      <c r="C743" s="34" t="n">
        <v>66.67</v>
      </c>
      <c r="D743" s="34" t="n">
        <v>-65.8</v>
      </c>
      <c r="E743" s="34" t="n">
        <v>-107.25</v>
      </c>
      <c r="F743" s="34" t="n">
        <v>-107.58</v>
      </c>
      <c r="G743" s="34" t="n">
        <v>-119.64</v>
      </c>
      <c r="H743" s="34" t="n">
        <v>-53.19</v>
      </c>
      <c r="I743" s="34" t="n">
        <v>19.8</v>
      </c>
      <c r="J743" s="34" t="n">
        <v>33.31</v>
      </c>
      <c r="K743" s="34" t="n">
        <v>522.19</v>
      </c>
      <c r="L743" s="34" t="n">
        <f aca="false">AVERAGE(C743:E743)</f>
        <v>-35.46</v>
      </c>
      <c r="M743" s="34" t="n">
        <f aca="false">AVERAGE(C743:J743)</f>
        <v>-41.71</v>
      </c>
    </row>
    <row r="744" customFormat="false" ht="15.75" hidden="false" customHeight="true" outlineLevel="0" collapsed="false">
      <c r="A744" s="34" t="s">
        <v>1076</v>
      </c>
      <c r="B744" s="34" t="n">
        <v>488.8</v>
      </c>
      <c r="C744" s="34" t="n">
        <v>-66.67</v>
      </c>
      <c r="D744" s="34" t="n">
        <v>-132.12</v>
      </c>
      <c r="E744" s="34" t="n">
        <v>-110.32</v>
      </c>
      <c r="F744" s="34" t="n">
        <v>-110.84</v>
      </c>
      <c r="G744" s="34" t="n">
        <v>26.41</v>
      </c>
      <c r="H744" s="34" t="n">
        <v>60.51</v>
      </c>
      <c r="I744" s="34" t="n">
        <v>85.17</v>
      </c>
      <c r="J744" s="34" t="n">
        <v>71.15</v>
      </c>
      <c r="K744" s="34" t="n">
        <v>552.27</v>
      </c>
      <c r="L744" s="34" t="n">
        <f aca="false">AVERAGE(C744:E744)</f>
        <v>-103.036666666667</v>
      </c>
      <c r="M744" s="34" t="n">
        <f aca="false">AVERAGE(C744:J744)</f>
        <v>-22.08875</v>
      </c>
    </row>
    <row r="745" customFormat="false" ht="15.75" hidden="false" customHeight="true" outlineLevel="0" collapsed="false">
      <c r="A745" s="34" t="s">
        <v>1077</v>
      </c>
      <c r="B745" s="34" t="n">
        <v>488</v>
      </c>
      <c r="C745" s="34" t="n">
        <v>66.67</v>
      </c>
      <c r="D745" s="34" t="n">
        <v>100.88</v>
      </c>
      <c r="E745" s="34" t="n">
        <v>143.56</v>
      </c>
      <c r="F745" s="34" t="n">
        <v>153.96</v>
      </c>
      <c r="G745" s="34" t="n">
        <v>47.45</v>
      </c>
      <c r="H745" s="34" t="n">
        <v>-5.8</v>
      </c>
      <c r="I745" s="34" t="n">
        <v>29.24</v>
      </c>
      <c r="J745" s="34" t="n">
        <v>16.33</v>
      </c>
      <c r="K745" s="34" t="n">
        <v>447.78</v>
      </c>
      <c r="L745" s="34" t="n">
        <f aca="false">AVERAGE(C745:E745)</f>
        <v>103.703333333333</v>
      </c>
      <c r="M745" s="34" t="n">
        <f aca="false">AVERAGE(C745:J745)</f>
        <v>69.03625</v>
      </c>
    </row>
    <row r="746" customFormat="false" ht="15.75" hidden="false" customHeight="true" outlineLevel="0" collapsed="false">
      <c r="A746" s="34" t="s">
        <v>1078</v>
      </c>
      <c r="B746" s="34" t="n">
        <v>487.1</v>
      </c>
      <c r="C746" s="34" t="n">
        <v>66.67</v>
      </c>
      <c r="D746" s="34" t="n">
        <v>60.67</v>
      </c>
      <c r="E746" s="34" t="n">
        <v>46.02</v>
      </c>
      <c r="F746" s="34" t="n">
        <v>-83.25</v>
      </c>
      <c r="G746" s="34" t="n">
        <v>-130.14</v>
      </c>
      <c r="H746" s="34" t="n">
        <v>-59.02</v>
      </c>
      <c r="I746" s="34" t="n">
        <v>-18.02</v>
      </c>
      <c r="J746" s="34" t="n">
        <v>-19.01</v>
      </c>
      <c r="K746" s="34" t="n">
        <v>507.17</v>
      </c>
      <c r="L746" s="34" t="n">
        <f aca="false">AVERAGE(C746:E746)</f>
        <v>57.7866666666667</v>
      </c>
      <c r="M746" s="34" t="n">
        <f aca="false">AVERAGE(C746:J746)</f>
        <v>-17.01</v>
      </c>
    </row>
    <row r="747" customFormat="false" ht="15.75" hidden="false" customHeight="true" outlineLevel="0" collapsed="false">
      <c r="A747" s="34" t="s">
        <v>421</v>
      </c>
      <c r="B747" s="34" t="n">
        <v>486.7</v>
      </c>
      <c r="C747" s="34" t="n">
        <v>-66.67</v>
      </c>
      <c r="D747" s="34" t="n">
        <v>-114.29</v>
      </c>
      <c r="E747" s="34" t="n">
        <v>-211.62</v>
      </c>
      <c r="F747" s="34" t="n">
        <v>-141.56</v>
      </c>
      <c r="G747" s="34" t="n">
        <v>-114.89</v>
      </c>
      <c r="H747" s="34" t="n">
        <v>-40.13</v>
      </c>
      <c r="I747" s="34" t="n">
        <v>12.83</v>
      </c>
      <c r="J747" s="34" t="n">
        <v>35.52</v>
      </c>
      <c r="K747" s="34" t="n">
        <v>528.4</v>
      </c>
      <c r="L747" s="34" t="n">
        <f aca="false">AVERAGE(C747:E747)</f>
        <v>-130.86</v>
      </c>
      <c r="M747" s="34" t="n">
        <f aca="false">AVERAGE(C747:J747)</f>
        <v>-80.10125</v>
      </c>
    </row>
    <row r="748" customFormat="false" ht="15.75" hidden="false" customHeight="true" outlineLevel="0" collapsed="false">
      <c r="A748" s="34" t="s">
        <v>498</v>
      </c>
      <c r="B748" s="34" t="n">
        <v>486.35</v>
      </c>
      <c r="C748" s="34" t="n">
        <v>-66.67</v>
      </c>
      <c r="D748" s="34" t="n">
        <v>-133.33</v>
      </c>
      <c r="E748" s="34" t="n">
        <v>-67.22</v>
      </c>
      <c r="F748" s="34" t="n">
        <v>-41.02</v>
      </c>
      <c r="G748" s="34" t="n">
        <v>19.05</v>
      </c>
      <c r="H748" s="34" t="n">
        <v>48.69</v>
      </c>
      <c r="I748" s="34" t="n">
        <v>57.79</v>
      </c>
      <c r="J748" s="34" t="n">
        <v>64.08</v>
      </c>
      <c r="K748" s="34" t="n">
        <v>530.28</v>
      </c>
      <c r="L748" s="34" t="n">
        <f aca="false">AVERAGE(C748:E748)</f>
        <v>-89.0733333333333</v>
      </c>
      <c r="M748" s="34" t="n">
        <f aca="false">AVERAGE(C748:J748)</f>
        <v>-14.82875</v>
      </c>
    </row>
    <row r="749" customFormat="false" ht="15.75" hidden="false" customHeight="true" outlineLevel="0" collapsed="false">
      <c r="A749" s="34" t="s">
        <v>1079</v>
      </c>
      <c r="B749" s="34" t="n">
        <v>485.05</v>
      </c>
      <c r="C749" s="34" t="n">
        <v>-66.67</v>
      </c>
      <c r="D749" s="34" t="n">
        <v>-103.33</v>
      </c>
      <c r="E749" s="34" t="n">
        <v>-23.97</v>
      </c>
      <c r="F749" s="34" t="n">
        <v>51.79</v>
      </c>
      <c r="G749" s="34" t="n">
        <v>99.9</v>
      </c>
      <c r="H749" s="34" t="n">
        <v>122.69</v>
      </c>
      <c r="I749" s="34" t="n">
        <v>131.61</v>
      </c>
      <c r="J749" s="34" t="n">
        <v>112.77</v>
      </c>
      <c r="K749" s="34" t="n">
        <v>468.85</v>
      </c>
      <c r="L749" s="34" t="n">
        <f aca="false">AVERAGE(C749:E749)</f>
        <v>-64.6566666666667</v>
      </c>
      <c r="M749" s="34" t="n">
        <f aca="false">AVERAGE(C749:J749)</f>
        <v>40.59875</v>
      </c>
    </row>
    <row r="750" customFormat="false" ht="15.75" hidden="false" customHeight="true" outlineLevel="0" collapsed="false">
      <c r="A750" s="34" t="s">
        <v>1080</v>
      </c>
      <c r="B750" s="34" t="n">
        <v>484.6</v>
      </c>
      <c r="C750" s="34" t="n">
        <v>-66.67</v>
      </c>
      <c r="D750" s="34" t="n">
        <v>-80.87</v>
      </c>
      <c r="E750" s="34" t="n">
        <v>-172.01</v>
      </c>
      <c r="F750" s="34" t="n">
        <v>-138.02</v>
      </c>
      <c r="G750" s="34" t="n">
        <v>-112.79</v>
      </c>
      <c r="H750" s="34" t="n">
        <v>-52.49</v>
      </c>
      <c r="I750" s="34" t="n">
        <v>5.28</v>
      </c>
      <c r="J750" s="34" t="n">
        <v>11.18</v>
      </c>
      <c r="K750" s="34" t="n">
        <v>516.84</v>
      </c>
      <c r="L750" s="34" t="n">
        <f aca="false">AVERAGE(C750:E750)</f>
        <v>-106.516666666667</v>
      </c>
      <c r="M750" s="34" t="n">
        <f aca="false">AVERAGE(C750:J750)</f>
        <v>-75.79875</v>
      </c>
    </row>
    <row r="751" customFormat="false" ht="15.75" hidden="false" customHeight="true" outlineLevel="0" collapsed="false">
      <c r="A751" s="34" t="s">
        <v>1081</v>
      </c>
      <c r="B751" s="34" t="n">
        <v>483.7</v>
      </c>
      <c r="C751" s="34" t="n">
        <v>-66.67</v>
      </c>
      <c r="D751" s="34" t="n">
        <v>-101.32</v>
      </c>
      <c r="E751" s="34" t="n">
        <v>-88.37</v>
      </c>
      <c r="F751" s="34" t="n">
        <v>-99.18</v>
      </c>
      <c r="G751" s="34" t="n">
        <v>-93.26</v>
      </c>
      <c r="H751" s="34" t="n">
        <v>-22.17</v>
      </c>
      <c r="I751" s="34" t="n">
        <v>16.04</v>
      </c>
      <c r="J751" s="34" t="n">
        <v>6.9</v>
      </c>
      <c r="K751" s="34" t="n">
        <v>520.72</v>
      </c>
      <c r="L751" s="34" t="n">
        <f aca="false">AVERAGE(C751:E751)</f>
        <v>-85.4533333333333</v>
      </c>
      <c r="M751" s="34" t="n">
        <f aca="false">AVERAGE(C751:J751)</f>
        <v>-56.00375</v>
      </c>
    </row>
    <row r="752" customFormat="false" ht="15.75" hidden="false" customHeight="true" outlineLevel="0" collapsed="false">
      <c r="A752" s="34" t="s">
        <v>1082</v>
      </c>
      <c r="B752" s="34" t="n">
        <v>483.2</v>
      </c>
      <c r="C752" s="34" t="n">
        <v>-66.67</v>
      </c>
      <c r="D752" s="34" t="n">
        <v>-109.05</v>
      </c>
      <c r="E752" s="34" t="n">
        <v>-56.96</v>
      </c>
      <c r="F752" s="34" t="n">
        <v>-94.66</v>
      </c>
      <c r="G752" s="34" t="n">
        <v>-128.55</v>
      </c>
      <c r="H752" s="34" t="n">
        <v>-112.31</v>
      </c>
      <c r="I752" s="34" t="n">
        <v>-29.63</v>
      </c>
      <c r="J752" s="34" t="n">
        <v>-8.15</v>
      </c>
      <c r="K752" s="34" t="n">
        <v>564.34</v>
      </c>
      <c r="L752" s="34" t="n">
        <f aca="false">AVERAGE(C752:E752)</f>
        <v>-77.56</v>
      </c>
      <c r="M752" s="34" t="n">
        <f aca="false">AVERAGE(C752:J752)</f>
        <v>-75.7475</v>
      </c>
    </row>
    <row r="753" customFormat="false" ht="15.75" hidden="false" customHeight="true" outlineLevel="0" collapsed="false">
      <c r="A753" s="34" t="s">
        <v>1083</v>
      </c>
      <c r="B753" s="34" t="n">
        <v>483.05</v>
      </c>
      <c r="C753" s="34" t="n">
        <v>66.67</v>
      </c>
      <c r="D753" s="34" t="n">
        <v>-50.72</v>
      </c>
      <c r="E753" s="34" t="n">
        <v>-116.71</v>
      </c>
      <c r="F753" s="34" t="n">
        <v>-91.54</v>
      </c>
      <c r="G753" s="34" t="n">
        <v>-20.72</v>
      </c>
      <c r="H753" s="34" t="n">
        <v>29.96</v>
      </c>
      <c r="I753" s="34" t="n">
        <v>50.28</v>
      </c>
      <c r="J753" s="34" t="n">
        <v>63.38</v>
      </c>
      <c r="K753" s="34" t="n">
        <v>511.63</v>
      </c>
      <c r="L753" s="34" t="n">
        <f aca="false">AVERAGE(C753:E753)</f>
        <v>-33.5866666666667</v>
      </c>
      <c r="M753" s="34" t="n">
        <f aca="false">AVERAGE(C753:J753)</f>
        <v>-8.675</v>
      </c>
    </row>
    <row r="754" customFormat="false" ht="15.75" hidden="false" customHeight="true" outlineLevel="0" collapsed="false">
      <c r="A754" s="34" t="s">
        <v>1084</v>
      </c>
      <c r="B754" s="34" t="n">
        <v>483</v>
      </c>
      <c r="C754" s="34" t="n">
        <v>66.67</v>
      </c>
      <c r="D754" s="34" t="n">
        <v>91.59</v>
      </c>
      <c r="E754" s="34" t="n">
        <v>-52.49</v>
      </c>
      <c r="F754" s="34" t="n">
        <v>-113.94</v>
      </c>
      <c r="G754" s="34" t="n">
        <v>-154.36</v>
      </c>
      <c r="H754" s="34" t="n">
        <v>-100.69</v>
      </c>
      <c r="I754" s="34" t="n">
        <v>-26.59</v>
      </c>
      <c r="J754" s="34" t="n">
        <v>-27.29</v>
      </c>
      <c r="K754" s="34" t="n">
        <v>516.78</v>
      </c>
      <c r="L754" s="34" t="n">
        <f aca="false">AVERAGE(C754:E754)</f>
        <v>35.2566666666667</v>
      </c>
      <c r="M754" s="34" t="n">
        <f aca="false">AVERAGE(C754:J754)</f>
        <v>-39.6375</v>
      </c>
    </row>
    <row r="755" customFormat="false" ht="15.75" hidden="false" customHeight="true" outlineLevel="0" collapsed="false">
      <c r="A755" s="34" t="s">
        <v>1085</v>
      </c>
      <c r="B755" s="34" t="n">
        <v>482.7</v>
      </c>
      <c r="C755" s="34" t="n">
        <v>66.67</v>
      </c>
      <c r="D755" s="34" t="n">
        <v>133.33</v>
      </c>
      <c r="E755" s="34" t="n">
        <v>253.26</v>
      </c>
      <c r="F755" s="34" t="n">
        <v>267.21</v>
      </c>
      <c r="G755" s="34" t="n">
        <v>265.75</v>
      </c>
      <c r="H755" s="34" t="n">
        <v>302.44</v>
      </c>
      <c r="I755" s="34" t="n">
        <v>306.28</v>
      </c>
      <c r="J755" s="34" t="n">
        <v>280.5</v>
      </c>
      <c r="K755" s="34" t="n">
        <v>425.75</v>
      </c>
      <c r="L755" s="34" t="n">
        <f aca="false">AVERAGE(C755:E755)</f>
        <v>151.086666666667</v>
      </c>
      <c r="M755" s="34" t="n">
        <f aca="false">AVERAGE(C755:J755)</f>
        <v>234.43</v>
      </c>
    </row>
    <row r="756" customFormat="false" ht="15.75" hidden="false" customHeight="true" outlineLevel="0" collapsed="false">
      <c r="A756" s="34" t="s">
        <v>291</v>
      </c>
      <c r="B756" s="34" t="n">
        <v>480.05</v>
      </c>
      <c r="C756" s="34" t="n">
        <v>-66.67</v>
      </c>
      <c r="D756" s="34" t="n">
        <v>-32.1</v>
      </c>
      <c r="E756" s="34" t="n">
        <v>-19.32</v>
      </c>
      <c r="F756" s="34" t="n">
        <v>-84.61</v>
      </c>
      <c r="G756" s="34" t="n">
        <v>-143.38</v>
      </c>
      <c r="H756" s="34" t="n">
        <v>-135.76</v>
      </c>
      <c r="I756" s="34" t="n">
        <v>-83.09</v>
      </c>
      <c r="J756" s="34" t="n">
        <v>-92.23</v>
      </c>
      <c r="K756" s="34" t="n">
        <v>507.12</v>
      </c>
      <c r="L756" s="34" t="n">
        <f aca="false">AVERAGE(C756:E756)</f>
        <v>-39.3633333333333</v>
      </c>
      <c r="M756" s="34" t="n">
        <f aca="false">AVERAGE(C756:J756)</f>
        <v>-82.145</v>
      </c>
    </row>
    <row r="757" customFormat="false" ht="15.75" hidden="false" customHeight="true" outlineLevel="0" collapsed="false">
      <c r="A757" s="34" t="s">
        <v>1086</v>
      </c>
      <c r="B757" s="34" t="n">
        <v>479.4</v>
      </c>
      <c r="C757" s="34" t="n">
        <v>-66.67</v>
      </c>
      <c r="D757" s="34" t="n">
        <v>-119.06</v>
      </c>
      <c r="E757" s="34" t="n">
        <v>-54.36</v>
      </c>
      <c r="F757" s="34" t="n">
        <v>-106.67</v>
      </c>
      <c r="G757" s="34" t="n">
        <v>-109.89</v>
      </c>
      <c r="H757" s="34" t="n">
        <v>-2.33</v>
      </c>
      <c r="I757" s="34" t="n">
        <v>29.98</v>
      </c>
      <c r="J757" s="34" t="n">
        <v>15.15</v>
      </c>
      <c r="K757" s="34" t="n">
        <v>509.79</v>
      </c>
      <c r="L757" s="34" t="n">
        <f aca="false">AVERAGE(C757:E757)</f>
        <v>-80.03</v>
      </c>
      <c r="M757" s="34" t="n">
        <f aca="false">AVERAGE(C757:J757)</f>
        <v>-51.73125</v>
      </c>
    </row>
    <row r="758" customFormat="false" ht="15.75" hidden="false" customHeight="true" outlineLevel="0" collapsed="false">
      <c r="A758" s="34" t="s">
        <v>1087</v>
      </c>
      <c r="B758" s="34" t="n">
        <v>479.4</v>
      </c>
      <c r="C758" s="34" t="n">
        <v>-66.67</v>
      </c>
      <c r="D758" s="34" t="n">
        <v>42.67</v>
      </c>
      <c r="E758" s="34" t="n">
        <v>107.98</v>
      </c>
      <c r="F758" s="34" t="n">
        <v>150.26</v>
      </c>
      <c r="G758" s="34" t="n">
        <v>156.44</v>
      </c>
      <c r="H758" s="34" t="n">
        <v>100.32</v>
      </c>
      <c r="I758" s="34" t="n">
        <v>118.24</v>
      </c>
      <c r="J758" s="34" t="n">
        <v>138.42</v>
      </c>
      <c r="K758" s="34" t="n">
        <v>455.67</v>
      </c>
      <c r="L758" s="34" t="n">
        <f aca="false">AVERAGE(C758:E758)</f>
        <v>27.9933333333333</v>
      </c>
      <c r="M758" s="34" t="n">
        <f aca="false">AVERAGE(C758:J758)</f>
        <v>93.4575</v>
      </c>
    </row>
    <row r="759" customFormat="false" ht="15.75" hidden="false" customHeight="true" outlineLevel="0" collapsed="false">
      <c r="A759" s="34" t="s">
        <v>1088</v>
      </c>
      <c r="B759" s="34" t="n">
        <v>476.85</v>
      </c>
      <c r="C759" s="34" t="n">
        <v>-66.67</v>
      </c>
      <c r="D759" s="34" t="n">
        <v>-53.5</v>
      </c>
      <c r="E759" s="34" t="n">
        <v>67.76</v>
      </c>
      <c r="F759" s="34" t="n">
        <v>13.09</v>
      </c>
      <c r="G759" s="34" t="n">
        <v>48.75</v>
      </c>
      <c r="H759" s="34" t="n">
        <v>84.08</v>
      </c>
      <c r="I759" s="34" t="n">
        <v>112.18</v>
      </c>
      <c r="J759" s="34" t="n">
        <v>36.81</v>
      </c>
      <c r="K759" s="34" t="n">
        <v>442.73</v>
      </c>
      <c r="L759" s="34" t="n">
        <f aca="false">AVERAGE(C759:E759)</f>
        <v>-17.47</v>
      </c>
      <c r="M759" s="34" t="n">
        <f aca="false">AVERAGE(C759:J759)</f>
        <v>30.3125</v>
      </c>
    </row>
    <row r="760" customFormat="false" ht="15.75" hidden="false" customHeight="true" outlineLevel="0" collapsed="false">
      <c r="A760" s="34" t="s">
        <v>523</v>
      </c>
      <c r="B760" s="34" t="n">
        <v>475.3</v>
      </c>
      <c r="C760" s="34" t="n">
        <v>66.67</v>
      </c>
      <c r="D760" s="34" t="n">
        <v>105.15</v>
      </c>
      <c r="E760" s="34" t="n">
        <v>172.5</v>
      </c>
      <c r="F760" s="34" t="n">
        <v>27.91</v>
      </c>
      <c r="G760" s="34" t="n">
        <v>69.36</v>
      </c>
      <c r="H760" s="34" t="n">
        <v>102.42</v>
      </c>
      <c r="I760" s="34" t="n">
        <v>121.75</v>
      </c>
      <c r="J760" s="34" t="n">
        <v>31.23</v>
      </c>
      <c r="K760" s="34" t="n">
        <v>432.94</v>
      </c>
      <c r="L760" s="34" t="n">
        <f aca="false">AVERAGE(C760:E760)</f>
        <v>114.773333333333</v>
      </c>
      <c r="M760" s="34" t="n">
        <f aca="false">AVERAGE(C760:J760)</f>
        <v>87.12375</v>
      </c>
    </row>
    <row r="761" customFormat="false" ht="15.75" hidden="false" customHeight="true" outlineLevel="0" collapsed="false">
      <c r="A761" s="34" t="s">
        <v>1089</v>
      </c>
      <c r="B761" s="34" t="n">
        <v>474.65</v>
      </c>
      <c r="C761" s="34" t="n">
        <v>-66.67</v>
      </c>
      <c r="D761" s="34" t="n">
        <v>-130.22</v>
      </c>
      <c r="E761" s="34" t="n">
        <v>-143.84</v>
      </c>
      <c r="F761" s="34" t="n">
        <v>-101.77</v>
      </c>
      <c r="G761" s="34" t="n">
        <v>-9.52</v>
      </c>
      <c r="H761" s="34" t="n">
        <v>31.97</v>
      </c>
      <c r="I761" s="34" t="n">
        <v>56.34</v>
      </c>
      <c r="J761" s="34" t="n">
        <v>55.66</v>
      </c>
      <c r="K761" s="34" t="n">
        <v>496.33</v>
      </c>
      <c r="L761" s="34" t="n">
        <f aca="false">AVERAGE(C761:E761)</f>
        <v>-113.576666666667</v>
      </c>
      <c r="M761" s="34" t="n">
        <f aca="false">AVERAGE(C761:J761)</f>
        <v>-38.50625</v>
      </c>
    </row>
    <row r="762" customFormat="false" ht="15.75" hidden="false" customHeight="true" outlineLevel="0" collapsed="false">
      <c r="A762" s="34" t="s">
        <v>247</v>
      </c>
      <c r="B762" s="34" t="n">
        <v>473.6</v>
      </c>
      <c r="C762" s="34" t="n">
        <v>66.67</v>
      </c>
      <c r="D762" s="34" t="n">
        <v>60.37</v>
      </c>
      <c r="E762" s="34" t="n">
        <v>114.89</v>
      </c>
      <c r="F762" s="34" t="n">
        <v>96.82</v>
      </c>
      <c r="G762" s="34" t="n">
        <v>121.68</v>
      </c>
      <c r="H762" s="34" t="n">
        <v>133.5</v>
      </c>
      <c r="I762" s="34" t="n">
        <v>132.24</v>
      </c>
      <c r="J762" s="34" t="n">
        <v>152.66</v>
      </c>
      <c r="K762" s="34" t="n">
        <v>450.45</v>
      </c>
      <c r="L762" s="34" t="n">
        <f aca="false">AVERAGE(C762:E762)</f>
        <v>80.6433333333333</v>
      </c>
      <c r="M762" s="34" t="n">
        <f aca="false">AVERAGE(C762:J762)</f>
        <v>109.85375</v>
      </c>
    </row>
    <row r="763" customFormat="false" ht="15.75" hidden="false" customHeight="true" outlineLevel="0" collapsed="false">
      <c r="A763" s="34" t="s">
        <v>1090</v>
      </c>
      <c r="B763" s="34" t="n">
        <v>473.3</v>
      </c>
      <c r="C763" s="34" t="n">
        <v>66.67</v>
      </c>
      <c r="D763" s="34" t="n">
        <v>80.77</v>
      </c>
      <c r="E763" s="34" t="n">
        <v>63.77</v>
      </c>
      <c r="F763" s="34" t="n">
        <v>132.68</v>
      </c>
      <c r="G763" s="34" t="n">
        <v>208.02</v>
      </c>
      <c r="H763" s="34" t="n">
        <v>210.82</v>
      </c>
      <c r="I763" s="34" t="n">
        <v>182.58</v>
      </c>
      <c r="J763" s="34" t="n">
        <v>191.5</v>
      </c>
      <c r="K763" s="34" t="n">
        <v>439.62</v>
      </c>
      <c r="L763" s="34" t="n">
        <f aca="false">AVERAGE(C763:E763)</f>
        <v>70.4033333333333</v>
      </c>
      <c r="M763" s="34" t="n">
        <f aca="false">AVERAGE(C763:J763)</f>
        <v>142.10125</v>
      </c>
    </row>
    <row r="764" customFormat="false" ht="15.75" hidden="false" customHeight="true" outlineLevel="0" collapsed="false">
      <c r="A764" s="34" t="s">
        <v>1091</v>
      </c>
      <c r="B764" s="34" t="n">
        <v>472.6</v>
      </c>
      <c r="C764" s="34" t="n">
        <v>-66.67</v>
      </c>
      <c r="D764" s="34" t="n">
        <v>27.31</v>
      </c>
      <c r="E764" s="34" t="n">
        <v>114.94</v>
      </c>
      <c r="F764" s="34" t="n">
        <v>0.587</v>
      </c>
      <c r="G764" s="34" t="n">
        <v>-47.38</v>
      </c>
      <c r="H764" s="34" t="n">
        <v>-75.57</v>
      </c>
      <c r="I764" s="34" t="n">
        <v>-40.66</v>
      </c>
      <c r="J764" s="34" t="n">
        <v>-49.22</v>
      </c>
      <c r="K764" s="34" t="n">
        <v>460.6</v>
      </c>
      <c r="L764" s="34" t="n">
        <f aca="false">AVERAGE(C764:E764)</f>
        <v>25.1933333333333</v>
      </c>
      <c r="M764" s="34" t="n">
        <f aca="false">AVERAGE(C764:J764)</f>
        <v>-17.082875</v>
      </c>
    </row>
    <row r="765" customFormat="false" ht="15.75" hidden="false" customHeight="true" outlineLevel="0" collapsed="false">
      <c r="A765" s="34" t="s">
        <v>1092</v>
      </c>
      <c r="B765" s="34" t="n">
        <v>471.6</v>
      </c>
      <c r="C765" s="34" t="n">
        <v>66.67</v>
      </c>
      <c r="D765" s="34" t="n">
        <v>102.86</v>
      </c>
      <c r="E765" s="34" t="n">
        <v>127.55</v>
      </c>
      <c r="F765" s="34" t="n">
        <v>-45.57</v>
      </c>
      <c r="G765" s="34" t="n">
        <v>-99.67</v>
      </c>
      <c r="H765" s="34" t="n">
        <v>-108.6</v>
      </c>
      <c r="I765" s="34" t="n">
        <v>-62.35</v>
      </c>
      <c r="J765" s="34" t="n">
        <v>-69.39</v>
      </c>
      <c r="K765" s="34" t="n">
        <v>481.69</v>
      </c>
      <c r="L765" s="34" t="n">
        <f aca="false">AVERAGE(C765:E765)</f>
        <v>99.0266666666667</v>
      </c>
      <c r="M765" s="34" t="n">
        <f aca="false">AVERAGE(C765:J765)</f>
        <v>-11.0625</v>
      </c>
    </row>
    <row r="766" customFormat="false" ht="15.75" hidden="false" customHeight="true" outlineLevel="0" collapsed="false">
      <c r="A766" s="34" t="s">
        <v>1093</v>
      </c>
      <c r="B766" s="34" t="n">
        <v>471.5</v>
      </c>
      <c r="C766" s="34" t="n">
        <v>-66.67</v>
      </c>
      <c r="D766" s="34" t="n">
        <v>-40.27</v>
      </c>
      <c r="E766" s="34" t="n">
        <v>44.15</v>
      </c>
      <c r="F766" s="34" t="n">
        <v>14.9</v>
      </c>
      <c r="G766" s="34" t="n">
        <v>18.72</v>
      </c>
      <c r="H766" s="34" t="n">
        <v>53.63</v>
      </c>
      <c r="I766" s="34" t="n">
        <v>72.27</v>
      </c>
      <c r="J766" s="34" t="n">
        <v>87.35</v>
      </c>
      <c r="K766" s="34" t="n">
        <v>491.34</v>
      </c>
      <c r="L766" s="34" t="n">
        <f aca="false">AVERAGE(C766:E766)</f>
        <v>-20.93</v>
      </c>
      <c r="M766" s="34" t="n">
        <f aca="false">AVERAGE(C766:J766)</f>
        <v>23.01</v>
      </c>
    </row>
    <row r="767" customFormat="false" ht="15.75" hidden="false" customHeight="true" outlineLevel="0" collapsed="false">
      <c r="A767" s="34" t="s">
        <v>1094</v>
      </c>
      <c r="B767" s="34" t="n">
        <v>471.3</v>
      </c>
      <c r="C767" s="34" t="n">
        <v>-66.67</v>
      </c>
      <c r="D767" s="34" t="n">
        <v>-133.33</v>
      </c>
      <c r="E767" s="34" t="n">
        <v>-23.76</v>
      </c>
      <c r="F767" s="34" t="n">
        <v>-99.55</v>
      </c>
      <c r="G767" s="34" t="n">
        <v>-186.41</v>
      </c>
      <c r="H767" s="34" t="n">
        <v>-82.99</v>
      </c>
      <c r="I767" s="34" t="n">
        <v>-36.08</v>
      </c>
      <c r="J767" s="34" t="n">
        <v>-46.83</v>
      </c>
      <c r="K767" s="34" t="n">
        <v>506.21</v>
      </c>
      <c r="L767" s="34" t="n">
        <f aca="false">AVERAGE(C767:E767)</f>
        <v>-74.5866666666667</v>
      </c>
      <c r="M767" s="34" t="n">
        <f aca="false">AVERAGE(C767:J767)</f>
        <v>-84.4525</v>
      </c>
    </row>
    <row r="768" customFormat="false" ht="15.75" hidden="false" customHeight="true" outlineLevel="0" collapsed="false">
      <c r="A768" s="34" t="s">
        <v>1095</v>
      </c>
      <c r="B768" s="34" t="n">
        <v>470.7</v>
      </c>
      <c r="C768" s="34" t="n">
        <v>-66.67</v>
      </c>
      <c r="D768" s="34" t="n">
        <v>-21.29</v>
      </c>
      <c r="E768" s="34" t="n">
        <v>22.02</v>
      </c>
      <c r="F768" s="34" t="n">
        <v>-67.49</v>
      </c>
      <c r="G768" s="34" t="n">
        <v>-92.55</v>
      </c>
      <c r="H768" s="34" t="n">
        <v>2.55</v>
      </c>
      <c r="I768" s="34" t="n">
        <v>24.98</v>
      </c>
      <c r="J768" s="34" t="n">
        <v>30.64</v>
      </c>
      <c r="K768" s="34" t="n">
        <v>496.25</v>
      </c>
      <c r="L768" s="34" t="n">
        <f aca="false">AVERAGE(C768:E768)</f>
        <v>-21.98</v>
      </c>
      <c r="M768" s="34" t="n">
        <f aca="false">AVERAGE(C768:J768)</f>
        <v>-20.97625</v>
      </c>
    </row>
    <row r="769" customFormat="false" ht="15.75" hidden="false" customHeight="true" outlineLevel="0" collapsed="false">
      <c r="A769" s="34" t="s">
        <v>424</v>
      </c>
      <c r="B769" s="34" t="n">
        <v>469.45</v>
      </c>
      <c r="C769" s="34" t="n">
        <v>-66.67</v>
      </c>
      <c r="D769" s="34" t="n">
        <v>-133.33</v>
      </c>
      <c r="E769" s="34" t="n">
        <v>23.14</v>
      </c>
      <c r="F769" s="34" t="n">
        <v>-49.77</v>
      </c>
      <c r="G769" s="34" t="n">
        <v>-39.4</v>
      </c>
      <c r="H769" s="34" t="n">
        <v>-8.47</v>
      </c>
      <c r="I769" s="34" t="n">
        <v>24.57</v>
      </c>
      <c r="J769" s="34" t="n">
        <v>14.02</v>
      </c>
      <c r="K769" s="34" t="n">
        <v>450.67</v>
      </c>
      <c r="L769" s="34" t="n">
        <f aca="false">AVERAGE(C769:E769)</f>
        <v>-58.9533333333333</v>
      </c>
      <c r="M769" s="34" t="n">
        <f aca="false">AVERAGE(C769:J769)</f>
        <v>-29.48875</v>
      </c>
    </row>
    <row r="770" customFormat="false" ht="15.75" hidden="false" customHeight="true" outlineLevel="0" collapsed="false">
      <c r="A770" s="34" t="s">
        <v>1096</v>
      </c>
      <c r="B770" s="34" t="n">
        <v>468.75</v>
      </c>
      <c r="C770" s="34" t="n">
        <v>66.67</v>
      </c>
      <c r="D770" s="34" t="n">
        <v>-14.05</v>
      </c>
      <c r="E770" s="34" t="n">
        <v>-58.92</v>
      </c>
      <c r="F770" s="34" t="n">
        <v>-90.34</v>
      </c>
      <c r="G770" s="34" t="n">
        <v>-124.77</v>
      </c>
      <c r="H770" s="34" t="n">
        <v>-125.5</v>
      </c>
      <c r="I770" s="34" t="n">
        <v>-115.4</v>
      </c>
      <c r="J770" s="34" t="n">
        <v>-128.26</v>
      </c>
      <c r="K770" s="34" t="n">
        <v>514.99</v>
      </c>
      <c r="L770" s="34" t="n">
        <f aca="false">AVERAGE(C770:E770)</f>
        <v>-2.1</v>
      </c>
      <c r="M770" s="34" t="n">
        <f aca="false">AVERAGE(C770:J770)</f>
        <v>-73.82125</v>
      </c>
    </row>
    <row r="771" customFormat="false" ht="15.75" hidden="false" customHeight="true" outlineLevel="0" collapsed="false">
      <c r="A771" s="34" t="s">
        <v>1097</v>
      </c>
      <c r="B771" s="34" t="n">
        <v>467.75</v>
      </c>
      <c r="C771" s="34" t="n">
        <v>-66.67</v>
      </c>
      <c r="D771" s="34" t="n">
        <v>-133.33</v>
      </c>
      <c r="E771" s="34" t="n">
        <v>-63.47</v>
      </c>
      <c r="F771" s="34" t="n">
        <v>-62.06</v>
      </c>
      <c r="G771" s="34" t="n">
        <v>-98.13</v>
      </c>
      <c r="H771" s="34" t="n">
        <v>-33.16</v>
      </c>
      <c r="I771" s="34" t="n">
        <v>-7.07</v>
      </c>
      <c r="J771" s="34" t="n">
        <v>20.27</v>
      </c>
      <c r="K771" s="34" t="n">
        <v>461.84</v>
      </c>
      <c r="L771" s="34" t="n">
        <f aca="false">AVERAGE(C771:E771)</f>
        <v>-87.8233333333333</v>
      </c>
      <c r="M771" s="34" t="n">
        <f aca="false">AVERAGE(C771:J771)</f>
        <v>-55.4525</v>
      </c>
    </row>
    <row r="772" customFormat="false" ht="15.75" hidden="false" customHeight="true" outlineLevel="0" collapsed="false">
      <c r="A772" s="34" t="s">
        <v>86</v>
      </c>
      <c r="B772" s="34" t="n">
        <v>465.75</v>
      </c>
      <c r="C772" s="34" t="n">
        <v>-66.67</v>
      </c>
      <c r="D772" s="34" t="n">
        <v>-68.03</v>
      </c>
      <c r="E772" s="34" t="n">
        <v>71.44</v>
      </c>
      <c r="F772" s="34" t="n">
        <v>91.54</v>
      </c>
      <c r="G772" s="34" t="n">
        <v>62.03</v>
      </c>
      <c r="H772" s="34" t="n">
        <v>5.64</v>
      </c>
      <c r="I772" s="34" t="n">
        <v>42.96</v>
      </c>
      <c r="J772" s="34" t="n">
        <v>55.56</v>
      </c>
      <c r="K772" s="34" t="n">
        <v>439.06</v>
      </c>
      <c r="L772" s="34" t="n">
        <f aca="false">AVERAGE(C772:E772)</f>
        <v>-21.0866666666667</v>
      </c>
      <c r="M772" s="34" t="n">
        <f aca="false">AVERAGE(C772:J772)</f>
        <v>24.30875</v>
      </c>
    </row>
    <row r="773" customFormat="false" ht="15.75" hidden="false" customHeight="true" outlineLevel="0" collapsed="false">
      <c r="A773" s="34" t="s">
        <v>245</v>
      </c>
      <c r="B773" s="34" t="n">
        <v>465.5</v>
      </c>
      <c r="C773" s="34" t="n">
        <v>66.67</v>
      </c>
      <c r="D773" s="34" t="n">
        <v>-22.6</v>
      </c>
      <c r="E773" s="34" t="n">
        <v>46.65</v>
      </c>
      <c r="F773" s="34" t="n">
        <v>81.7</v>
      </c>
      <c r="G773" s="34" t="n">
        <v>76.03</v>
      </c>
      <c r="H773" s="34" t="n">
        <v>96.49</v>
      </c>
      <c r="I773" s="34" t="n">
        <v>98.32</v>
      </c>
      <c r="J773" s="34" t="n">
        <v>102.72</v>
      </c>
      <c r="K773" s="34" t="n">
        <v>440.05</v>
      </c>
      <c r="L773" s="34" t="n">
        <f aca="false">AVERAGE(C773:E773)</f>
        <v>30.24</v>
      </c>
      <c r="M773" s="34" t="n">
        <f aca="false">AVERAGE(C773:J773)</f>
        <v>68.2475</v>
      </c>
    </row>
    <row r="774" customFormat="false" ht="15.75" hidden="false" customHeight="true" outlineLevel="0" collapsed="false">
      <c r="A774" s="34" t="s">
        <v>1098</v>
      </c>
      <c r="B774" s="34" t="n">
        <v>465.2</v>
      </c>
      <c r="C774" s="34" t="n">
        <v>66.67</v>
      </c>
      <c r="D774" s="34" t="n">
        <v>112.13</v>
      </c>
      <c r="E774" s="34" t="n">
        <v>137.96</v>
      </c>
      <c r="F774" s="34"/>
      <c r="G774" s="34"/>
      <c r="H774" s="34"/>
      <c r="I774" s="34"/>
      <c r="J774" s="34"/>
      <c r="K774" s="34" t="n">
        <v>519.12</v>
      </c>
      <c r="L774" s="34" t="n">
        <f aca="false">AVERAGE(C774:E774)</f>
        <v>105.586666666667</v>
      </c>
      <c r="M774" s="34" t="n">
        <f aca="false">AVERAGE(C774:J774)</f>
        <v>105.586666666667</v>
      </c>
    </row>
    <row r="775" customFormat="false" ht="15.75" hidden="false" customHeight="true" outlineLevel="0" collapsed="false">
      <c r="A775" s="34" t="s">
        <v>1099</v>
      </c>
      <c r="B775" s="34" t="n">
        <v>464.5</v>
      </c>
      <c r="C775" s="34" t="n">
        <v>-66.67</v>
      </c>
      <c r="D775" s="34" t="n">
        <v>-82.86</v>
      </c>
      <c r="E775" s="34" t="n">
        <v>-71.52</v>
      </c>
      <c r="F775" s="34" t="n">
        <v>-85.62</v>
      </c>
      <c r="G775" s="34" t="n">
        <v>-121.93</v>
      </c>
      <c r="H775" s="34" t="n">
        <v>-88.24</v>
      </c>
      <c r="I775" s="34" t="n">
        <v>-33.93</v>
      </c>
      <c r="J775" s="34" t="n">
        <v>-54.65</v>
      </c>
      <c r="K775" s="34" t="n">
        <v>482.31</v>
      </c>
      <c r="L775" s="34" t="n">
        <f aca="false">AVERAGE(C775:E775)</f>
        <v>-73.6833333333333</v>
      </c>
      <c r="M775" s="34" t="n">
        <f aca="false">AVERAGE(C775:J775)</f>
        <v>-75.6775</v>
      </c>
    </row>
    <row r="776" customFormat="false" ht="15.75" hidden="false" customHeight="true" outlineLevel="0" collapsed="false">
      <c r="A776" s="34" t="s">
        <v>1100</v>
      </c>
      <c r="B776" s="34" t="n">
        <v>463.55</v>
      </c>
      <c r="C776" s="34" t="n">
        <v>66.67</v>
      </c>
      <c r="D776" s="34" t="n">
        <v>97.03</v>
      </c>
      <c r="E776" s="34" t="n">
        <v>93.02</v>
      </c>
      <c r="F776" s="34" t="n">
        <v>-30.37</v>
      </c>
      <c r="G776" s="34" t="n">
        <v>-59.24</v>
      </c>
      <c r="H776" s="34" t="n">
        <v>-13.26</v>
      </c>
      <c r="I776" s="34" t="n">
        <v>13.02</v>
      </c>
      <c r="J776" s="34" t="n">
        <v>15.97</v>
      </c>
      <c r="K776" s="34" t="n">
        <v>421.54</v>
      </c>
      <c r="L776" s="34" t="n">
        <f aca="false">AVERAGE(C776:E776)</f>
        <v>85.5733333333333</v>
      </c>
      <c r="M776" s="34" t="n">
        <f aca="false">AVERAGE(C776:J776)</f>
        <v>22.855</v>
      </c>
    </row>
    <row r="777" customFormat="false" ht="15.75" hidden="false" customHeight="true" outlineLevel="0" collapsed="false">
      <c r="A777" s="34" t="s">
        <v>1101</v>
      </c>
      <c r="B777" s="34" t="n">
        <v>459.5</v>
      </c>
      <c r="C777" s="34" t="n">
        <v>-66.67</v>
      </c>
      <c r="D777" s="34" t="n">
        <v>-107.93</v>
      </c>
      <c r="E777" s="34" t="n">
        <v>-37.54</v>
      </c>
      <c r="F777" s="34" t="n">
        <v>-48.3</v>
      </c>
      <c r="G777" s="34" t="n">
        <v>15.56</v>
      </c>
      <c r="H777" s="34" t="n">
        <v>44.61</v>
      </c>
      <c r="I777" s="34" t="n">
        <v>68.38</v>
      </c>
      <c r="J777" s="34" t="n">
        <v>64.76</v>
      </c>
      <c r="K777" s="34" t="n">
        <v>473.66</v>
      </c>
      <c r="L777" s="34" t="n">
        <f aca="false">AVERAGE(C777:E777)</f>
        <v>-70.7133333333333</v>
      </c>
      <c r="M777" s="34" t="n">
        <f aca="false">AVERAGE(C777:J777)</f>
        <v>-8.39125</v>
      </c>
    </row>
    <row r="778" customFormat="false" ht="15.75" hidden="false" customHeight="true" outlineLevel="0" collapsed="false">
      <c r="A778" s="34" t="s">
        <v>1102</v>
      </c>
      <c r="B778" s="34" t="n">
        <v>459</v>
      </c>
      <c r="C778" s="34" t="n">
        <v>-66.67</v>
      </c>
      <c r="D778" s="34" t="n">
        <v>-23.08</v>
      </c>
      <c r="E778" s="34" t="n">
        <v>25.66</v>
      </c>
      <c r="F778" s="34" t="n">
        <v>-64.37</v>
      </c>
      <c r="G778" s="34" t="n">
        <v>-116.91</v>
      </c>
      <c r="H778" s="34" t="n">
        <v>-31.5</v>
      </c>
      <c r="I778" s="34" t="n">
        <v>5.87</v>
      </c>
      <c r="J778" s="34" t="n">
        <v>-8.29</v>
      </c>
      <c r="K778" s="34" t="n">
        <v>487.11</v>
      </c>
      <c r="L778" s="34" t="n">
        <f aca="false">AVERAGE(C778:E778)</f>
        <v>-21.3633333333333</v>
      </c>
      <c r="M778" s="34" t="n">
        <f aca="false">AVERAGE(C778:J778)</f>
        <v>-34.91125</v>
      </c>
    </row>
    <row r="779" customFormat="false" ht="15.75" hidden="false" customHeight="true" outlineLevel="0" collapsed="false">
      <c r="A779" s="34" t="s">
        <v>1103</v>
      </c>
      <c r="B779" s="34" t="n">
        <v>458.85</v>
      </c>
      <c r="C779" s="34" t="n">
        <v>66.67</v>
      </c>
      <c r="D779" s="34" t="n">
        <v>30.34</v>
      </c>
      <c r="E779" s="34" t="n">
        <v>-3.12</v>
      </c>
      <c r="F779" s="34" t="n">
        <v>89.61</v>
      </c>
      <c r="G779" s="34" t="n">
        <v>116.68</v>
      </c>
      <c r="H779" s="34" t="n">
        <v>112.29</v>
      </c>
      <c r="I779" s="34" t="n">
        <v>117.84</v>
      </c>
      <c r="J779" s="34" t="n">
        <v>139.6</v>
      </c>
      <c r="K779" s="34" t="n">
        <v>444.87</v>
      </c>
      <c r="L779" s="34" t="n">
        <f aca="false">AVERAGE(C779:E779)</f>
        <v>31.2966666666667</v>
      </c>
      <c r="M779" s="34" t="n">
        <f aca="false">AVERAGE(C779:J779)</f>
        <v>83.73875</v>
      </c>
    </row>
    <row r="780" customFormat="false" ht="15.75" hidden="false" customHeight="true" outlineLevel="0" collapsed="false">
      <c r="A780" s="34" t="s">
        <v>194</v>
      </c>
      <c r="B780" s="34" t="n">
        <v>458.5</v>
      </c>
      <c r="C780" s="34" t="n">
        <v>-66.67</v>
      </c>
      <c r="D780" s="34" t="n">
        <v>37.81</v>
      </c>
      <c r="E780" s="34" t="n">
        <v>45.65</v>
      </c>
      <c r="F780" s="34" t="n">
        <v>-39.72</v>
      </c>
      <c r="G780" s="34" t="n">
        <v>-87.41</v>
      </c>
      <c r="H780" s="34" t="n">
        <v>-76.05</v>
      </c>
      <c r="I780" s="34" t="n">
        <v>-77.2</v>
      </c>
      <c r="J780" s="34" t="n">
        <v>-83.98</v>
      </c>
      <c r="K780" s="34" t="n">
        <v>471.69</v>
      </c>
      <c r="L780" s="34" t="n">
        <f aca="false">AVERAGE(C780:E780)</f>
        <v>5.59666666666667</v>
      </c>
      <c r="M780" s="34" t="n">
        <f aca="false">AVERAGE(C780:J780)</f>
        <v>-43.44625</v>
      </c>
    </row>
    <row r="781" customFormat="false" ht="15.75" hidden="false" customHeight="true" outlineLevel="0" collapsed="false">
      <c r="A781" s="34" t="s">
        <v>488</v>
      </c>
      <c r="B781" s="34" t="n">
        <v>457.35</v>
      </c>
      <c r="C781" s="34" t="n">
        <v>-66.67</v>
      </c>
      <c r="D781" s="34" t="n">
        <v>-26.45</v>
      </c>
      <c r="E781" s="34" t="n">
        <v>68.35</v>
      </c>
      <c r="F781" s="34" t="n">
        <v>98.96</v>
      </c>
      <c r="G781" s="34" t="n">
        <v>128.89</v>
      </c>
      <c r="H781" s="34" t="n">
        <v>173.94</v>
      </c>
      <c r="I781" s="34" t="n">
        <v>207.95</v>
      </c>
      <c r="J781" s="34" t="n">
        <v>244</v>
      </c>
      <c r="K781" s="34" t="n">
        <v>437.17</v>
      </c>
      <c r="L781" s="34" t="n">
        <f aca="false">AVERAGE(C781:E781)</f>
        <v>-8.25666666666667</v>
      </c>
      <c r="M781" s="34" t="n">
        <f aca="false">AVERAGE(C781:J781)</f>
        <v>103.62125</v>
      </c>
    </row>
    <row r="782" customFormat="false" ht="15.75" hidden="false" customHeight="true" outlineLevel="0" collapsed="false">
      <c r="A782" s="34" t="s">
        <v>1104</v>
      </c>
      <c r="B782" s="34" t="n">
        <v>456</v>
      </c>
      <c r="C782" s="34" t="n">
        <v>-66.67</v>
      </c>
      <c r="D782" s="34" t="n">
        <v>-132.76</v>
      </c>
      <c r="E782" s="34" t="n">
        <v>47.63</v>
      </c>
      <c r="F782" s="34" t="n">
        <v>-3.46</v>
      </c>
      <c r="G782" s="34" t="n">
        <v>-12.64</v>
      </c>
      <c r="H782" s="34" t="n">
        <v>39.85</v>
      </c>
      <c r="I782" s="34" t="n">
        <v>60.15</v>
      </c>
      <c r="J782" s="34" t="n">
        <v>76.36</v>
      </c>
      <c r="K782" s="34" t="n">
        <v>435.6</v>
      </c>
      <c r="L782" s="34" t="n">
        <f aca="false">AVERAGE(C782:E782)</f>
        <v>-50.6</v>
      </c>
      <c r="M782" s="34" t="n">
        <f aca="false">AVERAGE(C782:J782)</f>
        <v>1.0575</v>
      </c>
    </row>
    <row r="783" customFormat="false" ht="15.75" hidden="false" customHeight="true" outlineLevel="0" collapsed="false">
      <c r="A783" s="34" t="s">
        <v>1105</v>
      </c>
      <c r="B783" s="34" t="n">
        <v>453.75</v>
      </c>
      <c r="C783" s="34" t="n">
        <v>-66.67</v>
      </c>
      <c r="D783" s="34" t="n">
        <v>21.48</v>
      </c>
      <c r="E783" s="34" t="n">
        <v>90.47</v>
      </c>
      <c r="F783" s="34" t="n">
        <v>63.73</v>
      </c>
      <c r="G783" s="34" t="n">
        <v>37.47</v>
      </c>
      <c r="H783" s="34" t="n">
        <v>61.85</v>
      </c>
      <c r="I783" s="34" t="n">
        <v>71.58</v>
      </c>
      <c r="J783" s="34" t="n">
        <v>77.88</v>
      </c>
      <c r="K783" s="34" t="n">
        <v>436.49</v>
      </c>
      <c r="L783" s="34" t="n">
        <f aca="false">AVERAGE(C783:E783)</f>
        <v>15.0933333333333</v>
      </c>
      <c r="M783" s="34" t="n">
        <f aca="false">AVERAGE(C783:J783)</f>
        <v>44.72375</v>
      </c>
    </row>
    <row r="784" customFormat="false" ht="15.75" hidden="false" customHeight="true" outlineLevel="0" collapsed="false">
      <c r="A784" s="34" t="s">
        <v>1106</v>
      </c>
      <c r="B784" s="34" t="n">
        <v>453</v>
      </c>
      <c r="C784" s="34" t="n">
        <v>66.67</v>
      </c>
      <c r="D784" s="34" t="n">
        <v>68.21</v>
      </c>
      <c r="E784" s="34" t="n">
        <v>64.09</v>
      </c>
      <c r="F784" s="34" t="n">
        <v>63.05</v>
      </c>
      <c r="G784" s="34" t="n">
        <v>80.44</v>
      </c>
      <c r="H784" s="34" t="n">
        <v>108.83</v>
      </c>
      <c r="I784" s="34" t="n">
        <v>108.22</v>
      </c>
      <c r="J784" s="34"/>
      <c r="K784" s="34" t="n">
        <v>469.37</v>
      </c>
      <c r="L784" s="34" t="n">
        <f aca="false">AVERAGE(C784:E784)</f>
        <v>66.3233333333333</v>
      </c>
      <c r="M784" s="34" t="n">
        <f aca="false">AVERAGE(C784:J784)</f>
        <v>79.93</v>
      </c>
    </row>
    <row r="785" customFormat="false" ht="15.75" hidden="false" customHeight="true" outlineLevel="0" collapsed="false">
      <c r="A785" s="34" t="s">
        <v>309</v>
      </c>
      <c r="B785" s="34" t="n">
        <v>451.1</v>
      </c>
      <c r="C785" s="34" t="n">
        <v>-66.67</v>
      </c>
      <c r="D785" s="34" t="n">
        <v>-133.33</v>
      </c>
      <c r="E785" s="34" t="n">
        <v>0.751</v>
      </c>
      <c r="F785" s="34" t="n">
        <v>-59.01</v>
      </c>
      <c r="G785" s="34" t="n">
        <v>-62.24</v>
      </c>
      <c r="H785" s="34" t="n">
        <v>11.81</v>
      </c>
      <c r="I785" s="34" t="n">
        <v>41.24</v>
      </c>
      <c r="J785" s="34" t="n">
        <v>55.4</v>
      </c>
      <c r="K785" s="34" t="n">
        <v>479.66</v>
      </c>
      <c r="L785" s="34" t="n">
        <f aca="false">AVERAGE(C785:E785)</f>
        <v>-66.4163333333333</v>
      </c>
      <c r="M785" s="34" t="n">
        <f aca="false">AVERAGE(C785:J785)</f>
        <v>-26.506125</v>
      </c>
    </row>
    <row r="786" customFormat="false" ht="15.75" hidden="false" customHeight="true" outlineLevel="0" collapsed="false">
      <c r="A786" s="34" t="s">
        <v>1107</v>
      </c>
      <c r="B786" s="34" t="n">
        <v>450.25</v>
      </c>
      <c r="C786" s="34" t="n">
        <v>-66.67</v>
      </c>
      <c r="D786" s="34" t="n">
        <v>-133.33</v>
      </c>
      <c r="E786" s="34" t="n">
        <v>-126.3</v>
      </c>
      <c r="F786" s="34" t="n">
        <v>-103.44</v>
      </c>
      <c r="G786" s="34" t="n">
        <v>-142.09</v>
      </c>
      <c r="H786" s="34" t="n">
        <v>-171.46</v>
      </c>
      <c r="I786" s="34" t="n">
        <v>-130.47</v>
      </c>
      <c r="J786" s="34" t="n">
        <v>-126.14</v>
      </c>
      <c r="K786" s="34" t="n">
        <v>482.83</v>
      </c>
      <c r="L786" s="34" t="n">
        <f aca="false">AVERAGE(C786:E786)</f>
        <v>-108.766666666667</v>
      </c>
      <c r="M786" s="34" t="n">
        <f aca="false">AVERAGE(C786:J786)</f>
        <v>-124.9875</v>
      </c>
    </row>
    <row r="787" customFormat="false" ht="15.75" hidden="false" customHeight="true" outlineLevel="0" collapsed="false">
      <c r="A787" s="34" t="s">
        <v>250</v>
      </c>
      <c r="B787" s="34" t="n">
        <v>449.65</v>
      </c>
      <c r="C787" s="34" t="n">
        <v>66.67</v>
      </c>
      <c r="D787" s="34" t="n">
        <v>-47.18</v>
      </c>
      <c r="E787" s="34" t="n">
        <v>8.06</v>
      </c>
      <c r="F787" s="34" t="n">
        <v>-49.53</v>
      </c>
      <c r="G787" s="34" t="n">
        <v>-86.23</v>
      </c>
      <c r="H787" s="34" t="n">
        <v>-92.12</v>
      </c>
      <c r="I787" s="34" t="n">
        <v>-88.26</v>
      </c>
      <c r="J787" s="34" t="n">
        <v>-101.01</v>
      </c>
      <c r="K787" s="34" t="n">
        <v>470.91</v>
      </c>
      <c r="L787" s="34" t="n">
        <f aca="false">AVERAGE(C787:E787)</f>
        <v>9.18333333333334</v>
      </c>
      <c r="M787" s="34" t="n">
        <f aca="false">AVERAGE(C787:J787)</f>
        <v>-48.7</v>
      </c>
    </row>
    <row r="788" customFormat="false" ht="15.75" hidden="false" customHeight="true" outlineLevel="0" collapsed="false">
      <c r="A788" s="34" t="s">
        <v>1108</v>
      </c>
      <c r="B788" s="34" t="n">
        <v>449.45</v>
      </c>
      <c r="C788" s="34" t="n">
        <v>-66.67</v>
      </c>
      <c r="D788" s="34" t="n">
        <v>-121.53</v>
      </c>
      <c r="E788" s="34" t="n">
        <v>-186.28</v>
      </c>
      <c r="F788" s="34" t="n">
        <v>-110</v>
      </c>
      <c r="G788" s="34" t="n">
        <v>-146.71</v>
      </c>
      <c r="H788" s="34" t="n">
        <v>-111.97</v>
      </c>
      <c r="I788" s="34" t="n">
        <v>-60.32</v>
      </c>
      <c r="J788" s="34" t="n">
        <v>-7.08</v>
      </c>
      <c r="K788" s="34" t="n">
        <v>480.16</v>
      </c>
      <c r="L788" s="34" t="n">
        <f aca="false">AVERAGE(C788:E788)</f>
        <v>-124.826666666667</v>
      </c>
      <c r="M788" s="34" t="n">
        <f aca="false">AVERAGE(C788:J788)</f>
        <v>-101.32</v>
      </c>
    </row>
    <row r="789" customFormat="false" ht="15.75" hidden="false" customHeight="true" outlineLevel="0" collapsed="false">
      <c r="A789" s="34" t="s">
        <v>1109</v>
      </c>
      <c r="B789" s="34" t="n">
        <v>448.1</v>
      </c>
      <c r="C789" s="34" t="n">
        <v>-66.67</v>
      </c>
      <c r="D789" s="34" t="n">
        <v>-86.81</v>
      </c>
      <c r="E789" s="34" t="n">
        <v>63.95</v>
      </c>
      <c r="F789" s="34" t="n">
        <v>39.08</v>
      </c>
      <c r="G789" s="34" t="n">
        <v>21.05</v>
      </c>
      <c r="H789" s="34" t="n">
        <v>22.27</v>
      </c>
      <c r="I789" s="34" t="n">
        <v>39.34</v>
      </c>
      <c r="J789" s="34" t="n">
        <v>-10.27</v>
      </c>
      <c r="K789" s="34" t="n">
        <v>425.82</v>
      </c>
      <c r="L789" s="34" t="n">
        <f aca="false">AVERAGE(C789:E789)</f>
        <v>-29.8433333333333</v>
      </c>
      <c r="M789" s="34" t="n">
        <f aca="false">AVERAGE(C789:J789)</f>
        <v>2.7425</v>
      </c>
    </row>
    <row r="790" customFormat="false" ht="15.75" hidden="false" customHeight="true" outlineLevel="0" collapsed="false">
      <c r="A790" s="34" t="s">
        <v>1110</v>
      </c>
      <c r="B790" s="34" t="n">
        <v>447</v>
      </c>
      <c r="C790" s="34" t="n">
        <v>-66.67</v>
      </c>
      <c r="D790" s="34" t="n">
        <v>-87.08</v>
      </c>
      <c r="E790" s="34" t="n">
        <v>53.54</v>
      </c>
      <c r="F790" s="34" t="n">
        <v>-15.29</v>
      </c>
      <c r="G790" s="34" t="n">
        <v>-52.31</v>
      </c>
      <c r="H790" s="34" t="n">
        <v>-70.34</v>
      </c>
      <c r="I790" s="34" t="n">
        <v>-60.16</v>
      </c>
      <c r="J790" s="34" t="n">
        <v>-71.75</v>
      </c>
      <c r="K790" s="34" t="n">
        <v>433.95</v>
      </c>
      <c r="L790" s="34" t="n">
        <f aca="false">AVERAGE(C790:E790)</f>
        <v>-33.4033333333333</v>
      </c>
      <c r="M790" s="34" t="n">
        <f aca="false">AVERAGE(C790:J790)</f>
        <v>-46.2575</v>
      </c>
    </row>
    <row r="791" customFormat="false" ht="15.75" hidden="false" customHeight="true" outlineLevel="0" collapsed="false">
      <c r="A791" s="34" t="s">
        <v>1111</v>
      </c>
      <c r="B791" s="34" t="n">
        <v>446.2</v>
      </c>
      <c r="C791" s="34" t="n">
        <v>66.67</v>
      </c>
      <c r="D791" s="34" t="n">
        <v>133.33</v>
      </c>
      <c r="E791" s="34" t="n">
        <v>189.86</v>
      </c>
      <c r="F791" s="34" t="n">
        <v>161.74</v>
      </c>
      <c r="G791" s="34" t="n">
        <v>103.96</v>
      </c>
      <c r="H791" s="34" t="n">
        <v>88.67</v>
      </c>
      <c r="I791" s="34" t="n">
        <v>103.36</v>
      </c>
      <c r="J791" s="34" t="n">
        <v>103.74</v>
      </c>
      <c r="K791" s="34" t="n">
        <v>421.93</v>
      </c>
      <c r="L791" s="34" t="n">
        <f aca="false">AVERAGE(C791:E791)</f>
        <v>129.953333333333</v>
      </c>
      <c r="M791" s="34" t="n">
        <f aca="false">AVERAGE(C791:J791)</f>
        <v>118.91625</v>
      </c>
    </row>
    <row r="792" customFormat="false" ht="15.75" hidden="false" customHeight="true" outlineLevel="0" collapsed="false">
      <c r="A792" s="34" t="s">
        <v>1112</v>
      </c>
      <c r="B792" s="34" t="n">
        <v>445.45</v>
      </c>
      <c r="C792" s="34" t="n">
        <v>-66.67</v>
      </c>
      <c r="D792" s="34" t="n">
        <v>51.82</v>
      </c>
      <c r="E792" s="34" t="n">
        <v>97.23</v>
      </c>
      <c r="F792" s="34" t="n">
        <v>-29.61</v>
      </c>
      <c r="G792" s="34" t="n">
        <v>-72.41</v>
      </c>
      <c r="H792" s="34" t="n">
        <v>-78.24</v>
      </c>
      <c r="I792" s="34" t="n">
        <v>-26.84</v>
      </c>
      <c r="J792" s="34" t="n">
        <v>-35.06</v>
      </c>
      <c r="K792" s="34" t="n">
        <v>448.86</v>
      </c>
      <c r="L792" s="34" t="n">
        <f aca="false">AVERAGE(C792:E792)</f>
        <v>27.46</v>
      </c>
      <c r="M792" s="34" t="n">
        <f aca="false">AVERAGE(C792:J792)</f>
        <v>-19.9725</v>
      </c>
    </row>
    <row r="793" customFormat="false" ht="15.75" hidden="false" customHeight="true" outlineLevel="0" collapsed="false">
      <c r="A793" s="34" t="s">
        <v>1113</v>
      </c>
      <c r="B793" s="34" t="n">
        <v>444.85</v>
      </c>
      <c r="C793" s="34" t="n">
        <v>-66.67</v>
      </c>
      <c r="D793" s="34" t="n">
        <v>9.86</v>
      </c>
      <c r="E793" s="34" t="n">
        <v>34.96</v>
      </c>
      <c r="F793" s="34" t="n">
        <v>-59.72</v>
      </c>
      <c r="G793" s="34" t="n">
        <v>-105.96</v>
      </c>
      <c r="H793" s="34" t="n">
        <v>-144.98</v>
      </c>
      <c r="I793" s="34" t="n">
        <v>-120.07</v>
      </c>
      <c r="J793" s="34" t="n">
        <v>-132.58</v>
      </c>
      <c r="K793" s="34" t="n">
        <v>460.06</v>
      </c>
      <c r="L793" s="34" t="n">
        <f aca="false">AVERAGE(C793:E793)</f>
        <v>-7.28333333333333</v>
      </c>
      <c r="M793" s="34" t="n">
        <f aca="false">AVERAGE(C793:J793)</f>
        <v>-73.145</v>
      </c>
    </row>
    <row r="794" customFormat="false" ht="15.75" hidden="false" customHeight="true" outlineLevel="0" collapsed="false">
      <c r="A794" s="34" t="s">
        <v>443</v>
      </c>
      <c r="B794" s="34" t="n">
        <v>444.55</v>
      </c>
      <c r="C794" s="34" t="n">
        <v>66.67</v>
      </c>
      <c r="D794" s="34" t="n">
        <v>55.08</v>
      </c>
      <c r="E794" s="34" t="n">
        <v>18.42</v>
      </c>
      <c r="F794" s="34" t="n">
        <v>71.76</v>
      </c>
      <c r="G794" s="34" t="n">
        <v>19.53</v>
      </c>
      <c r="H794" s="34" t="n">
        <v>43.01</v>
      </c>
      <c r="I794" s="34" t="n">
        <v>59.58</v>
      </c>
      <c r="J794" s="34" t="n">
        <v>56.16</v>
      </c>
      <c r="K794" s="34" t="n">
        <v>425.28</v>
      </c>
      <c r="L794" s="34" t="n">
        <f aca="false">AVERAGE(C794:E794)</f>
        <v>46.7233333333333</v>
      </c>
      <c r="M794" s="34" t="n">
        <f aca="false">AVERAGE(C794:J794)</f>
        <v>48.77625</v>
      </c>
    </row>
    <row r="795" customFormat="false" ht="15.75" hidden="false" customHeight="true" outlineLevel="0" collapsed="false">
      <c r="A795" s="34" t="s">
        <v>1114</v>
      </c>
      <c r="B795" s="34" t="n">
        <v>444.5</v>
      </c>
      <c r="C795" s="34" t="n">
        <v>66.67</v>
      </c>
      <c r="D795" s="34" t="n">
        <v>68.63</v>
      </c>
      <c r="E795" s="34" t="n">
        <v>111.21</v>
      </c>
      <c r="F795" s="34" t="n">
        <v>113.19</v>
      </c>
      <c r="G795" s="34" t="n">
        <v>84.59</v>
      </c>
      <c r="H795" s="34" t="n">
        <v>87.4</v>
      </c>
      <c r="I795" s="34" t="n">
        <v>106.65</v>
      </c>
      <c r="J795" s="34" t="n">
        <v>125.7</v>
      </c>
      <c r="K795" s="34" t="n">
        <v>413.42</v>
      </c>
      <c r="L795" s="34" t="n">
        <f aca="false">AVERAGE(C795:E795)</f>
        <v>82.17</v>
      </c>
      <c r="M795" s="34" t="n">
        <f aca="false">AVERAGE(C795:J795)</f>
        <v>95.505</v>
      </c>
    </row>
    <row r="796" customFormat="false" ht="15.75" hidden="false" customHeight="true" outlineLevel="0" collapsed="false">
      <c r="A796" s="34" t="s">
        <v>1115</v>
      </c>
      <c r="B796" s="34" t="n">
        <v>444.4</v>
      </c>
      <c r="C796" s="34" t="n">
        <v>-66.67</v>
      </c>
      <c r="D796" s="34" t="n">
        <v>-133.33</v>
      </c>
      <c r="E796" s="34" t="n">
        <v>-100.32</v>
      </c>
      <c r="F796" s="34" t="n">
        <v>-90</v>
      </c>
      <c r="G796" s="34" t="n">
        <v>-127.85</v>
      </c>
      <c r="H796" s="34" t="n">
        <v>-150.42</v>
      </c>
      <c r="I796" s="34" t="n">
        <v>-125.68</v>
      </c>
      <c r="J796" s="34" t="n">
        <v>-132.52</v>
      </c>
      <c r="K796" s="34" t="n">
        <v>477.37</v>
      </c>
      <c r="L796" s="34" t="n">
        <f aca="false">AVERAGE(C796:E796)</f>
        <v>-100.106666666667</v>
      </c>
      <c r="M796" s="34" t="n">
        <f aca="false">AVERAGE(C796:J796)</f>
        <v>-115.84875</v>
      </c>
    </row>
    <row r="797" customFormat="false" ht="15.75" hidden="false" customHeight="true" outlineLevel="0" collapsed="false">
      <c r="A797" s="34" t="s">
        <v>110</v>
      </c>
      <c r="B797" s="34" t="n">
        <v>444.25</v>
      </c>
      <c r="C797" s="34" t="n">
        <v>66.67</v>
      </c>
      <c r="D797" s="34" t="n">
        <v>36.31</v>
      </c>
      <c r="E797" s="34" t="n">
        <v>85.22</v>
      </c>
      <c r="F797" s="34" t="n">
        <v>53.86</v>
      </c>
      <c r="G797" s="34" t="n">
        <v>-0.37</v>
      </c>
      <c r="H797" s="34" t="n">
        <v>36.63</v>
      </c>
      <c r="I797" s="34" t="n">
        <v>34.79</v>
      </c>
      <c r="J797" s="34" t="n">
        <v>39.73</v>
      </c>
      <c r="K797" s="34" t="n">
        <v>428.36</v>
      </c>
      <c r="L797" s="34" t="n">
        <f aca="false">AVERAGE(C797:E797)</f>
        <v>62.7333333333333</v>
      </c>
      <c r="M797" s="34" t="n">
        <f aca="false">AVERAGE(C797:J797)</f>
        <v>44.105</v>
      </c>
    </row>
    <row r="798" customFormat="false" ht="15.75" hidden="false" customHeight="true" outlineLevel="0" collapsed="false">
      <c r="A798" s="34" t="s">
        <v>1116</v>
      </c>
      <c r="B798" s="34" t="n">
        <v>444</v>
      </c>
      <c r="C798" s="34" t="n">
        <v>-66.67</v>
      </c>
      <c r="D798" s="34" t="n">
        <v>-24.77</v>
      </c>
      <c r="E798" s="34" t="n">
        <v>67.4</v>
      </c>
      <c r="F798" s="34" t="n">
        <v>-46.3</v>
      </c>
      <c r="G798" s="34" t="n">
        <v>-93.88</v>
      </c>
      <c r="H798" s="34" t="n">
        <v>-113.69</v>
      </c>
      <c r="I798" s="34" t="n">
        <v>-56.32</v>
      </c>
      <c r="J798" s="34" t="n">
        <v>-37.87</v>
      </c>
      <c r="K798" s="34" t="n">
        <v>433.87</v>
      </c>
      <c r="L798" s="34" t="n">
        <f aca="false">AVERAGE(C798:E798)</f>
        <v>-8.01333333333333</v>
      </c>
      <c r="M798" s="34" t="n">
        <f aca="false">AVERAGE(C798:J798)</f>
        <v>-46.5125</v>
      </c>
    </row>
    <row r="799" customFormat="false" ht="15.75" hidden="false" customHeight="true" outlineLevel="0" collapsed="false">
      <c r="A799" s="34" t="s">
        <v>1117</v>
      </c>
      <c r="B799" s="34" t="n">
        <v>441.6</v>
      </c>
      <c r="C799" s="34" t="n">
        <v>66.67</v>
      </c>
      <c r="D799" s="34" t="n">
        <v>74.23</v>
      </c>
      <c r="E799" s="34" t="n">
        <v>100.23</v>
      </c>
      <c r="F799" s="34" t="n">
        <v>155.39</v>
      </c>
      <c r="G799" s="34" t="n">
        <v>151.33</v>
      </c>
      <c r="H799" s="34" t="n">
        <v>135.58</v>
      </c>
      <c r="I799" s="34" t="n">
        <v>134.37</v>
      </c>
      <c r="J799" s="34" t="n">
        <v>79.91</v>
      </c>
      <c r="K799" s="34" t="n">
        <v>402.46</v>
      </c>
      <c r="L799" s="34" t="n">
        <f aca="false">AVERAGE(C799:E799)</f>
        <v>80.3766666666667</v>
      </c>
      <c r="M799" s="34" t="n">
        <f aca="false">AVERAGE(C799:J799)</f>
        <v>112.21375</v>
      </c>
    </row>
    <row r="800" customFormat="false" ht="15.75" hidden="false" customHeight="true" outlineLevel="0" collapsed="false">
      <c r="A800" s="34" t="s">
        <v>1118</v>
      </c>
      <c r="B800" s="34" t="n">
        <v>440.05</v>
      </c>
      <c r="C800" s="34" t="n">
        <v>-66.67</v>
      </c>
      <c r="D800" s="34" t="n">
        <v>-133.33</v>
      </c>
      <c r="E800" s="34" t="n">
        <v>11.21</v>
      </c>
      <c r="F800" s="34" t="n">
        <v>-65.43</v>
      </c>
      <c r="G800" s="34" t="n">
        <v>-119.65</v>
      </c>
      <c r="H800" s="34" t="n">
        <v>-107.66</v>
      </c>
      <c r="I800" s="34" t="n">
        <v>-91.79</v>
      </c>
      <c r="J800" s="34" t="n">
        <v>-67.14</v>
      </c>
      <c r="K800" s="34" t="n">
        <v>465.07</v>
      </c>
      <c r="L800" s="34" t="n">
        <f aca="false">AVERAGE(C800:E800)</f>
        <v>-62.93</v>
      </c>
      <c r="M800" s="34" t="n">
        <f aca="false">AVERAGE(C800:J800)</f>
        <v>-80.0575</v>
      </c>
    </row>
    <row r="801" customFormat="false" ht="15.75" hidden="false" customHeight="true" outlineLevel="0" collapsed="false">
      <c r="A801" s="34" t="s">
        <v>368</v>
      </c>
      <c r="B801" s="34" t="n">
        <v>439.2</v>
      </c>
      <c r="C801" s="34" t="n">
        <v>-66.67</v>
      </c>
      <c r="D801" s="34" t="n">
        <v>-92.54</v>
      </c>
      <c r="E801" s="34" t="n">
        <v>45.35</v>
      </c>
      <c r="F801" s="34" t="n">
        <v>45.51</v>
      </c>
      <c r="G801" s="34" t="n">
        <v>82.29</v>
      </c>
      <c r="H801" s="34" t="n">
        <v>83.17</v>
      </c>
      <c r="I801" s="34" t="n">
        <v>77.26</v>
      </c>
      <c r="J801" s="34" t="n">
        <v>40.36</v>
      </c>
      <c r="K801" s="34" t="n">
        <v>425.53</v>
      </c>
      <c r="L801" s="34" t="n">
        <f aca="false">AVERAGE(C801:E801)</f>
        <v>-37.9533333333333</v>
      </c>
      <c r="M801" s="34" t="n">
        <f aca="false">AVERAGE(C801:J801)</f>
        <v>26.84125</v>
      </c>
    </row>
    <row r="802" customFormat="false" ht="15.75" hidden="false" customHeight="true" outlineLevel="0" collapsed="false">
      <c r="A802" s="34" t="s">
        <v>1119</v>
      </c>
      <c r="B802" s="34" t="n">
        <v>439.15</v>
      </c>
      <c r="C802" s="34" t="n">
        <v>-66.67</v>
      </c>
      <c r="D802" s="34" t="n">
        <v>4.34</v>
      </c>
      <c r="E802" s="34" t="n">
        <v>85.01</v>
      </c>
      <c r="F802" s="34" t="n">
        <v>156.16</v>
      </c>
      <c r="G802" s="34" t="n">
        <v>134.99</v>
      </c>
      <c r="H802" s="34" t="n">
        <v>87.74</v>
      </c>
      <c r="I802" s="34" t="n">
        <v>22.49</v>
      </c>
      <c r="J802" s="34" t="n">
        <v>37.71</v>
      </c>
      <c r="K802" s="34" t="n">
        <v>417.14</v>
      </c>
      <c r="L802" s="34" t="n">
        <f aca="false">AVERAGE(C802:E802)</f>
        <v>7.56</v>
      </c>
      <c r="M802" s="34" t="n">
        <f aca="false">AVERAGE(C802:J802)</f>
        <v>57.72125</v>
      </c>
    </row>
    <row r="803" customFormat="false" ht="15.75" hidden="false" customHeight="true" outlineLevel="0" collapsed="false">
      <c r="A803" s="34" t="s">
        <v>1120</v>
      </c>
      <c r="B803" s="34" t="n">
        <v>439</v>
      </c>
      <c r="C803" s="34" t="n">
        <v>-66.67</v>
      </c>
      <c r="D803" s="34" t="n">
        <v>-41.04</v>
      </c>
      <c r="E803" s="34" t="n">
        <v>59.36</v>
      </c>
      <c r="F803" s="34" t="n">
        <v>-68.9</v>
      </c>
      <c r="G803" s="34" t="n">
        <v>-131.61</v>
      </c>
      <c r="H803" s="34" t="n">
        <v>-40.49</v>
      </c>
      <c r="I803" s="34" t="n">
        <v>-7.17</v>
      </c>
      <c r="J803" s="34" t="n">
        <v>-1.68</v>
      </c>
      <c r="K803" s="34" t="n">
        <v>418.27</v>
      </c>
      <c r="L803" s="34" t="n">
        <f aca="false">AVERAGE(C803:E803)</f>
        <v>-16.1166666666667</v>
      </c>
      <c r="M803" s="34" t="n">
        <f aca="false">AVERAGE(C803:J803)</f>
        <v>-37.275</v>
      </c>
    </row>
    <row r="804" customFormat="false" ht="15.75" hidden="false" customHeight="true" outlineLevel="0" collapsed="false">
      <c r="A804" s="34" t="s">
        <v>1121</v>
      </c>
      <c r="B804" s="34" t="n">
        <v>438.15</v>
      </c>
      <c r="C804" s="34" t="n">
        <v>66.67</v>
      </c>
      <c r="D804" s="34" t="n">
        <v>34.16</v>
      </c>
      <c r="E804" s="34" t="n">
        <v>64.13</v>
      </c>
      <c r="F804" s="34" t="n">
        <v>12.98</v>
      </c>
      <c r="G804" s="34" t="n">
        <v>34.38</v>
      </c>
      <c r="H804" s="34" t="n">
        <v>58.81</v>
      </c>
      <c r="I804" s="34" t="n">
        <v>72.61</v>
      </c>
      <c r="J804" s="34" t="n">
        <v>71.81</v>
      </c>
      <c r="K804" s="34" t="n">
        <v>388.29</v>
      </c>
      <c r="L804" s="34" t="n">
        <f aca="false">AVERAGE(C804:E804)</f>
        <v>54.9866666666667</v>
      </c>
      <c r="M804" s="34" t="n">
        <f aca="false">AVERAGE(C804:J804)</f>
        <v>51.94375</v>
      </c>
    </row>
    <row r="805" customFormat="false" ht="15.75" hidden="false" customHeight="true" outlineLevel="0" collapsed="false">
      <c r="A805" s="34" t="s">
        <v>1122</v>
      </c>
      <c r="B805" s="34" t="n">
        <v>438</v>
      </c>
      <c r="C805" s="34" t="n">
        <v>-66.67</v>
      </c>
      <c r="D805" s="34" t="n">
        <v>-103.05</v>
      </c>
      <c r="E805" s="34" t="n">
        <v>17.4</v>
      </c>
      <c r="F805" s="34" t="n">
        <v>110.12</v>
      </c>
      <c r="G805" s="34" t="n">
        <v>132.11</v>
      </c>
      <c r="H805" s="34" t="n">
        <v>128.97</v>
      </c>
      <c r="I805" s="34" t="n">
        <v>121.78</v>
      </c>
      <c r="J805" s="34" t="n">
        <v>114.43</v>
      </c>
      <c r="K805" s="34" t="n">
        <v>412.76</v>
      </c>
      <c r="L805" s="34" t="n">
        <f aca="false">AVERAGE(C805:E805)</f>
        <v>-50.7733333333333</v>
      </c>
      <c r="M805" s="34" t="n">
        <f aca="false">AVERAGE(C805:J805)</f>
        <v>56.88625</v>
      </c>
    </row>
    <row r="806" customFormat="false" ht="15.75" hidden="false" customHeight="true" outlineLevel="0" collapsed="false">
      <c r="A806" s="34" t="s">
        <v>1123</v>
      </c>
      <c r="B806" s="34" t="n">
        <v>437.7</v>
      </c>
      <c r="C806" s="34" t="n">
        <v>66.67</v>
      </c>
      <c r="D806" s="34" t="n">
        <v>79.98</v>
      </c>
      <c r="E806" s="34" t="n">
        <v>121.35</v>
      </c>
      <c r="F806" s="34" t="n">
        <v>-0.262</v>
      </c>
      <c r="G806" s="34" t="n">
        <v>-56.52</v>
      </c>
      <c r="H806" s="34" t="n">
        <v>-66.61</v>
      </c>
      <c r="I806" s="34" t="n">
        <v>-79.55</v>
      </c>
      <c r="J806" s="34" t="n">
        <v>-87.5</v>
      </c>
      <c r="K806" s="34" t="n">
        <v>446.24</v>
      </c>
      <c r="L806" s="34" t="n">
        <f aca="false">AVERAGE(C806:E806)</f>
        <v>89.3333333333333</v>
      </c>
      <c r="M806" s="34" t="n">
        <f aca="false">AVERAGE(C806:J806)</f>
        <v>-2.80525</v>
      </c>
    </row>
    <row r="807" customFormat="false" ht="15.75" hidden="false" customHeight="true" outlineLevel="0" collapsed="false">
      <c r="A807" s="34" t="s">
        <v>1124</v>
      </c>
      <c r="B807" s="34" t="n">
        <v>435.1</v>
      </c>
      <c r="C807" s="34" t="n">
        <v>66.67</v>
      </c>
      <c r="D807" s="34" t="n">
        <v>101.69</v>
      </c>
      <c r="E807" s="34" t="n">
        <v>103.01</v>
      </c>
      <c r="F807" s="34" t="n">
        <v>13.31</v>
      </c>
      <c r="G807" s="34" t="n">
        <v>50.85</v>
      </c>
      <c r="H807" s="34" t="n">
        <v>73.09</v>
      </c>
      <c r="I807" s="34" t="n">
        <v>91.44</v>
      </c>
      <c r="J807" s="34" t="n">
        <v>109.48</v>
      </c>
      <c r="K807" s="34" t="n">
        <v>437.55</v>
      </c>
      <c r="L807" s="34" t="n">
        <f aca="false">AVERAGE(C807:E807)</f>
        <v>90.4566666666667</v>
      </c>
      <c r="M807" s="34" t="n">
        <f aca="false">AVERAGE(C807:J807)</f>
        <v>76.1925</v>
      </c>
    </row>
    <row r="808" customFormat="false" ht="15.75" hidden="false" customHeight="true" outlineLevel="0" collapsed="false">
      <c r="A808" s="34" t="s">
        <v>1125</v>
      </c>
      <c r="B808" s="34" t="n">
        <v>434.75</v>
      </c>
      <c r="C808" s="34" t="n">
        <v>-66.67</v>
      </c>
      <c r="D808" s="34" t="n">
        <v>-6.35</v>
      </c>
      <c r="E808" s="34" t="n">
        <v>81.8</v>
      </c>
      <c r="F808" s="34" t="n">
        <v>122.49</v>
      </c>
      <c r="G808" s="34" t="n">
        <v>107.96</v>
      </c>
      <c r="H808" s="34" t="n">
        <v>144.12</v>
      </c>
      <c r="I808" s="34" t="n">
        <v>180.87</v>
      </c>
      <c r="J808" s="34" t="n">
        <v>193.25</v>
      </c>
      <c r="K808" s="34" t="n">
        <v>400.35</v>
      </c>
      <c r="L808" s="34" t="n">
        <f aca="false">AVERAGE(C808:E808)</f>
        <v>2.92666666666667</v>
      </c>
      <c r="M808" s="34" t="n">
        <f aca="false">AVERAGE(C808:J808)</f>
        <v>94.68375</v>
      </c>
    </row>
    <row r="809" customFormat="false" ht="15.75" hidden="false" customHeight="true" outlineLevel="0" collapsed="false">
      <c r="A809" s="34" t="s">
        <v>1126</v>
      </c>
      <c r="B809" s="34" t="n">
        <v>434.6</v>
      </c>
      <c r="C809" s="34" t="n">
        <v>66.67</v>
      </c>
      <c r="D809" s="34" t="n">
        <v>18.98</v>
      </c>
      <c r="E809" s="34" t="n">
        <v>83.52</v>
      </c>
      <c r="F809" s="34" t="n">
        <v>186.44</v>
      </c>
      <c r="G809" s="34" t="n">
        <v>81.67</v>
      </c>
      <c r="H809" s="34" t="n">
        <v>96.05</v>
      </c>
      <c r="I809" s="34" t="n">
        <v>103.52</v>
      </c>
      <c r="J809" s="34" t="n">
        <v>112.08</v>
      </c>
      <c r="K809" s="34" t="n">
        <v>400.54</v>
      </c>
      <c r="L809" s="34" t="n">
        <f aca="false">AVERAGE(C809:E809)</f>
        <v>56.39</v>
      </c>
      <c r="M809" s="34" t="n">
        <f aca="false">AVERAGE(C809:J809)</f>
        <v>93.61625</v>
      </c>
    </row>
    <row r="810" customFormat="false" ht="15.75" hidden="false" customHeight="true" outlineLevel="0" collapsed="false">
      <c r="A810" s="34" t="s">
        <v>1127</v>
      </c>
      <c r="B810" s="34" t="n">
        <v>434.4</v>
      </c>
      <c r="C810" s="34" t="n">
        <v>66.67</v>
      </c>
      <c r="D810" s="34" t="n">
        <v>83.94</v>
      </c>
      <c r="E810" s="34" t="n">
        <v>11.95</v>
      </c>
      <c r="F810" s="34" t="n">
        <v>-89.11</v>
      </c>
      <c r="G810" s="34" t="n">
        <v>-160.8</v>
      </c>
      <c r="H810" s="34" t="n">
        <v>-57.86</v>
      </c>
      <c r="I810" s="34" t="n">
        <v>-21.74</v>
      </c>
      <c r="J810" s="34" t="n">
        <v>-12.55</v>
      </c>
      <c r="K810" s="34" t="n">
        <v>470</v>
      </c>
      <c r="L810" s="34" t="n">
        <f aca="false">AVERAGE(C810:E810)</f>
        <v>54.1866666666667</v>
      </c>
      <c r="M810" s="34" t="n">
        <f aca="false">AVERAGE(C810:J810)</f>
        <v>-22.4375</v>
      </c>
    </row>
    <row r="811" customFormat="false" ht="15.75" hidden="false" customHeight="true" outlineLevel="0" collapsed="false">
      <c r="A811" s="34" t="s">
        <v>1128</v>
      </c>
      <c r="B811" s="34" t="n">
        <v>433.6</v>
      </c>
      <c r="C811" s="34" t="n">
        <v>-66.67</v>
      </c>
      <c r="D811" s="34" t="n">
        <v>-133.33</v>
      </c>
      <c r="E811" s="34" t="n">
        <v>-207.84</v>
      </c>
      <c r="F811" s="34" t="n">
        <v>-143.61</v>
      </c>
      <c r="G811" s="34" t="n">
        <v>-100.36</v>
      </c>
      <c r="H811" s="34" t="n">
        <v>3.12</v>
      </c>
      <c r="I811" s="34" t="n">
        <v>28.26</v>
      </c>
      <c r="J811" s="34" t="n">
        <v>40.22</v>
      </c>
      <c r="K811" s="34" t="n">
        <v>471.81</v>
      </c>
      <c r="L811" s="34" t="n">
        <f aca="false">AVERAGE(C811:E811)</f>
        <v>-135.946666666667</v>
      </c>
      <c r="M811" s="34" t="n">
        <f aca="false">AVERAGE(C811:J811)</f>
        <v>-72.52625</v>
      </c>
    </row>
    <row r="812" customFormat="false" ht="15.75" hidden="false" customHeight="true" outlineLevel="0" collapsed="false">
      <c r="A812" s="34" t="s">
        <v>202</v>
      </c>
      <c r="B812" s="34" t="n">
        <v>432.05</v>
      </c>
      <c r="C812" s="34" t="n">
        <v>-66.67</v>
      </c>
      <c r="D812" s="34" t="n">
        <v>-8.44</v>
      </c>
      <c r="E812" s="34" t="n">
        <v>64.03</v>
      </c>
      <c r="F812" s="34" t="n">
        <v>-49.26</v>
      </c>
      <c r="G812" s="34" t="n">
        <v>-98.83</v>
      </c>
      <c r="H812" s="34" t="n">
        <v>-119.05</v>
      </c>
      <c r="I812" s="34" t="n">
        <v>-24.71</v>
      </c>
      <c r="J812" s="34" t="n">
        <v>-26.69</v>
      </c>
      <c r="K812" s="34" t="n">
        <v>446.12</v>
      </c>
      <c r="L812" s="34" t="n">
        <f aca="false">AVERAGE(C812:E812)</f>
        <v>-3.69333333333333</v>
      </c>
      <c r="M812" s="34" t="n">
        <f aca="false">AVERAGE(C812:J812)</f>
        <v>-41.2025</v>
      </c>
    </row>
    <row r="813" customFormat="false" ht="15.75" hidden="false" customHeight="true" outlineLevel="0" collapsed="false">
      <c r="A813" s="34" t="s">
        <v>1129</v>
      </c>
      <c r="B813" s="34" t="n">
        <v>432.05</v>
      </c>
      <c r="C813" s="34" t="n">
        <v>66.67</v>
      </c>
      <c r="D813" s="34" t="n">
        <v>133.33</v>
      </c>
      <c r="E813" s="34" t="n">
        <v>160.34</v>
      </c>
      <c r="F813" s="34"/>
      <c r="G813" s="34"/>
      <c r="H813" s="34"/>
      <c r="I813" s="34"/>
      <c r="J813" s="34"/>
      <c r="K813" s="34" t="n">
        <v>384.67</v>
      </c>
      <c r="L813" s="34" t="n">
        <f aca="false">AVERAGE(C813:E813)</f>
        <v>120.113333333333</v>
      </c>
      <c r="M813" s="34" t="n">
        <f aca="false">AVERAGE(C813:J813)</f>
        <v>120.113333333333</v>
      </c>
    </row>
    <row r="814" customFormat="false" ht="15.75" hidden="false" customHeight="true" outlineLevel="0" collapsed="false">
      <c r="A814" s="34" t="s">
        <v>1130</v>
      </c>
      <c r="B814" s="34" t="n">
        <v>431.75</v>
      </c>
      <c r="C814" s="34" t="n">
        <v>-66.67</v>
      </c>
      <c r="D814" s="34" t="n">
        <v>59.32</v>
      </c>
      <c r="E814" s="34" t="n">
        <v>124.39</v>
      </c>
      <c r="F814" s="34" t="n">
        <v>191.85</v>
      </c>
      <c r="G814" s="34" t="n">
        <v>262</v>
      </c>
      <c r="H814" s="34" t="n">
        <v>279.95</v>
      </c>
      <c r="I814" s="34" t="n">
        <v>277</v>
      </c>
      <c r="J814" s="34" t="n">
        <v>259.67</v>
      </c>
      <c r="K814" s="34" t="n">
        <v>371.04</v>
      </c>
      <c r="L814" s="34" t="n">
        <f aca="false">AVERAGE(C814:E814)</f>
        <v>39.0133333333333</v>
      </c>
      <c r="M814" s="34" t="n">
        <f aca="false">AVERAGE(C814:J814)</f>
        <v>173.43875</v>
      </c>
    </row>
    <row r="815" customFormat="false" ht="15.75" hidden="false" customHeight="true" outlineLevel="0" collapsed="false">
      <c r="A815" s="34" t="s">
        <v>1131</v>
      </c>
      <c r="B815" s="34" t="n">
        <v>430.95</v>
      </c>
      <c r="C815" s="34" t="n">
        <v>66.67</v>
      </c>
      <c r="D815" s="34" t="n">
        <v>-45.27</v>
      </c>
      <c r="E815" s="34" t="n">
        <v>68.58</v>
      </c>
      <c r="F815" s="34" t="n">
        <v>93.15</v>
      </c>
      <c r="G815" s="34" t="n">
        <v>27.78</v>
      </c>
      <c r="H815" s="34" t="n">
        <v>2.34</v>
      </c>
      <c r="I815" s="34" t="n">
        <v>-21.51</v>
      </c>
      <c r="J815" s="34" t="n">
        <v>-38.8</v>
      </c>
      <c r="K815" s="34" t="n">
        <v>410.56</v>
      </c>
      <c r="L815" s="34" t="n">
        <f aca="false">AVERAGE(C815:E815)</f>
        <v>29.9933333333333</v>
      </c>
      <c r="M815" s="34" t="n">
        <f aca="false">AVERAGE(C815:J815)</f>
        <v>19.1175</v>
      </c>
    </row>
    <row r="816" customFormat="false" ht="15.75" hidden="false" customHeight="true" outlineLevel="0" collapsed="false">
      <c r="A816" s="34" t="s">
        <v>539</v>
      </c>
      <c r="B816" s="34" t="n">
        <v>430.05</v>
      </c>
      <c r="C816" s="34" t="n">
        <v>66.67</v>
      </c>
      <c r="D816" s="34" t="n">
        <v>95.97</v>
      </c>
      <c r="E816" s="34" t="n">
        <v>82.81</v>
      </c>
      <c r="F816" s="34" t="n">
        <v>-65.86</v>
      </c>
      <c r="G816" s="34" t="n">
        <v>10.42</v>
      </c>
      <c r="H816" s="34" t="n">
        <v>48.84</v>
      </c>
      <c r="I816" s="34" t="n">
        <v>69.09</v>
      </c>
      <c r="J816" s="34" t="n">
        <v>78.13</v>
      </c>
      <c r="K816" s="34" t="n">
        <v>443.62</v>
      </c>
      <c r="L816" s="34" t="n">
        <f aca="false">AVERAGE(C816:E816)</f>
        <v>81.8166666666667</v>
      </c>
      <c r="M816" s="34" t="n">
        <f aca="false">AVERAGE(C816:J816)</f>
        <v>48.25875</v>
      </c>
    </row>
    <row r="817" customFormat="false" ht="15.75" hidden="false" customHeight="true" outlineLevel="0" collapsed="false">
      <c r="A817" s="34" t="s">
        <v>1132</v>
      </c>
      <c r="B817" s="34" t="n">
        <v>430</v>
      </c>
      <c r="C817" s="34" t="n">
        <v>-66.67</v>
      </c>
      <c r="D817" s="34" t="n">
        <v>-26.36</v>
      </c>
      <c r="E817" s="34" t="n">
        <v>-2.68</v>
      </c>
      <c r="F817" s="34" t="n">
        <v>22.9</v>
      </c>
      <c r="G817" s="34" t="n">
        <v>72.79</v>
      </c>
      <c r="H817" s="34" t="n">
        <v>95.36</v>
      </c>
      <c r="I817" s="34" t="n">
        <v>111.31</v>
      </c>
      <c r="J817" s="34" t="n">
        <v>130.5</v>
      </c>
      <c r="K817" s="34" t="n">
        <v>462.5</v>
      </c>
      <c r="L817" s="34" t="n">
        <f aca="false">AVERAGE(C817:E817)</f>
        <v>-31.9033333333333</v>
      </c>
      <c r="M817" s="34" t="n">
        <f aca="false">AVERAGE(C817:J817)</f>
        <v>42.14375</v>
      </c>
    </row>
    <row r="818" customFormat="false" ht="15.75" hidden="false" customHeight="true" outlineLevel="0" collapsed="false">
      <c r="A818" s="34" t="s">
        <v>1133</v>
      </c>
      <c r="B818" s="34" t="n">
        <v>429.4</v>
      </c>
      <c r="C818" s="34" t="n">
        <v>66.67</v>
      </c>
      <c r="D818" s="34" t="n">
        <v>76.41</v>
      </c>
      <c r="E818" s="34" t="n">
        <v>84.36</v>
      </c>
      <c r="F818" s="34" t="n">
        <v>218.17</v>
      </c>
      <c r="G818" s="34" t="n">
        <v>417.8</v>
      </c>
      <c r="H818" s="34" t="n">
        <v>493.28</v>
      </c>
      <c r="I818" s="34" t="n">
        <v>336</v>
      </c>
      <c r="J818" s="34" t="n">
        <v>349.02</v>
      </c>
      <c r="K818" s="34" t="n">
        <v>382.32</v>
      </c>
      <c r="L818" s="34" t="n">
        <f aca="false">AVERAGE(C818:E818)</f>
        <v>75.8133333333333</v>
      </c>
      <c r="M818" s="34" t="n">
        <f aca="false">AVERAGE(C818:J818)</f>
        <v>255.21375</v>
      </c>
    </row>
    <row r="819" customFormat="false" ht="15.75" hidden="false" customHeight="true" outlineLevel="0" collapsed="false">
      <c r="A819" s="34" t="s">
        <v>1134</v>
      </c>
      <c r="B819" s="34" t="n">
        <v>429.1</v>
      </c>
      <c r="C819" s="34" t="n">
        <v>66.67</v>
      </c>
      <c r="D819" s="34" t="n">
        <v>129.22</v>
      </c>
      <c r="E819" s="34" t="n">
        <v>160.25</v>
      </c>
      <c r="F819" s="34" t="n">
        <v>208.09</v>
      </c>
      <c r="G819" s="34" t="n">
        <v>165.79</v>
      </c>
      <c r="H819" s="34" t="n">
        <v>177.11</v>
      </c>
      <c r="I819" s="34" t="n">
        <v>177.82</v>
      </c>
      <c r="J819" s="34" t="n">
        <v>193.12</v>
      </c>
      <c r="K819" s="34" t="n">
        <v>361.15</v>
      </c>
      <c r="L819" s="34" t="n">
        <f aca="false">AVERAGE(C819:E819)</f>
        <v>118.713333333333</v>
      </c>
      <c r="M819" s="34" t="n">
        <f aca="false">AVERAGE(C819:J819)</f>
        <v>159.75875</v>
      </c>
    </row>
    <row r="820" customFormat="false" ht="15.75" hidden="false" customHeight="true" outlineLevel="0" collapsed="false">
      <c r="A820" s="34" t="s">
        <v>1135</v>
      </c>
      <c r="B820" s="34" t="n">
        <v>427.9</v>
      </c>
      <c r="C820" s="34" t="n">
        <v>-66.67</v>
      </c>
      <c r="D820" s="34" t="n">
        <v>44.88</v>
      </c>
      <c r="E820" s="34" t="n">
        <v>120.57</v>
      </c>
      <c r="F820" s="34" t="n">
        <v>169.84</v>
      </c>
      <c r="G820" s="34" t="n">
        <v>160.91</v>
      </c>
      <c r="H820" s="34" t="n">
        <v>129.63</v>
      </c>
      <c r="I820" s="34" t="n">
        <v>158.1</v>
      </c>
      <c r="J820" s="34" t="n">
        <v>118.82</v>
      </c>
      <c r="K820" s="34" t="n">
        <v>403.13</v>
      </c>
      <c r="L820" s="34" t="n">
        <f aca="false">AVERAGE(C820:E820)</f>
        <v>32.9266666666667</v>
      </c>
      <c r="M820" s="34" t="n">
        <f aca="false">AVERAGE(C820:J820)</f>
        <v>104.51</v>
      </c>
    </row>
    <row r="821" customFormat="false" ht="15.75" hidden="false" customHeight="true" outlineLevel="0" collapsed="false">
      <c r="A821" s="34" t="s">
        <v>417</v>
      </c>
      <c r="B821" s="34" t="n">
        <v>427.3</v>
      </c>
      <c r="C821" s="34" t="n">
        <v>-66.67</v>
      </c>
      <c r="D821" s="34" t="n">
        <v>-5.81</v>
      </c>
      <c r="E821" s="34" t="n">
        <v>51.86</v>
      </c>
      <c r="F821" s="34" t="n">
        <v>55.43</v>
      </c>
      <c r="G821" s="34" t="n">
        <v>96.87</v>
      </c>
      <c r="H821" s="34" t="n">
        <v>90.96</v>
      </c>
      <c r="I821" s="34" t="n">
        <v>93.1</v>
      </c>
      <c r="J821" s="34" t="n">
        <v>108.43</v>
      </c>
      <c r="K821" s="34" t="n">
        <v>395.87</v>
      </c>
      <c r="L821" s="34" t="n">
        <f aca="false">AVERAGE(C821:E821)</f>
        <v>-6.87333333333334</v>
      </c>
      <c r="M821" s="34" t="n">
        <f aca="false">AVERAGE(C821:J821)</f>
        <v>53.02125</v>
      </c>
    </row>
    <row r="822" customFormat="false" ht="15.75" hidden="false" customHeight="true" outlineLevel="0" collapsed="false">
      <c r="A822" s="34" t="s">
        <v>1136</v>
      </c>
      <c r="B822" s="34" t="n">
        <v>427.15</v>
      </c>
      <c r="C822" s="34" t="n">
        <v>66.67</v>
      </c>
      <c r="D822" s="34" t="n">
        <v>-54.83</v>
      </c>
      <c r="E822" s="34" t="n">
        <v>-124.25</v>
      </c>
      <c r="F822" s="34" t="n">
        <v>-90.07</v>
      </c>
      <c r="G822" s="34" t="n">
        <v>-153.88</v>
      </c>
      <c r="H822" s="34" t="n">
        <v>-187.59</v>
      </c>
      <c r="I822" s="34" t="n">
        <v>-60.77</v>
      </c>
      <c r="J822" s="34" t="n">
        <v>-56.78</v>
      </c>
      <c r="K822" s="34" t="n">
        <v>441.16</v>
      </c>
      <c r="L822" s="34" t="n">
        <f aca="false">AVERAGE(C822:E822)</f>
        <v>-37.47</v>
      </c>
      <c r="M822" s="34" t="n">
        <f aca="false">AVERAGE(C822:J822)</f>
        <v>-82.6875</v>
      </c>
    </row>
    <row r="823" customFormat="false" ht="15.75" hidden="false" customHeight="true" outlineLevel="0" collapsed="false">
      <c r="A823" s="34" t="s">
        <v>1137</v>
      </c>
      <c r="B823" s="34" t="n">
        <v>426.4</v>
      </c>
      <c r="C823" s="34" t="n">
        <v>66.67</v>
      </c>
      <c r="D823" s="34" t="n">
        <v>133.33</v>
      </c>
      <c r="E823" s="34" t="n">
        <v>100.45</v>
      </c>
      <c r="F823" s="34" t="n">
        <v>-69.59</v>
      </c>
      <c r="G823" s="34" t="n">
        <v>-86.77</v>
      </c>
      <c r="H823" s="34" t="n">
        <v>-15.24</v>
      </c>
      <c r="I823" s="34" t="n">
        <v>26.73</v>
      </c>
      <c r="J823" s="34" t="n">
        <v>10.33</v>
      </c>
      <c r="K823" s="34" t="n">
        <v>447.41</v>
      </c>
      <c r="L823" s="34" t="n">
        <f aca="false">AVERAGE(C823:E823)</f>
        <v>100.15</v>
      </c>
      <c r="M823" s="34" t="n">
        <f aca="false">AVERAGE(C823:J823)</f>
        <v>20.73875</v>
      </c>
    </row>
    <row r="824" customFormat="false" ht="15.75" hidden="false" customHeight="true" outlineLevel="0" collapsed="false">
      <c r="A824" s="34" t="s">
        <v>371</v>
      </c>
      <c r="B824" s="34" t="n">
        <v>424.9</v>
      </c>
      <c r="C824" s="34" t="n">
        <v>-66.67</v>
      </c>
      <c r="D824" s="34" t="n">
        <v>-130.18</v>
      </c>
      <c r="E824" s="34" t="n">
        <v>10.22</v>
      </c>
      <c r="F824" s="34" t="n">
        <v>-35.32</v>
      </c>
      <c r="G824" s="34" t="n">
        <v>-66.99</v>
      </c>
      <c r="H824" s="34" t="n">
        <v>-73.34</v>
      </c>
      <c r="I824" s="34" t="n">
        <v>-57.69</v>
      </c>
      <c r="J824" s="34" t="n">
        <v>-55.73</v>
      </c>
      <c r="K824" s="34" t="n">
        <v>435.55</v>
      </c>
      <c r="L824" s="34" t="n">
        <f aca="false">AVERAGE(C824:E824)</f>
        <v>-62.21</v>
      </c>
      <c r="M824" s="34" t="n">
        <f aca="false">AVERAGE(C824:J824)</f>
        <v>-59.4625</v>
      </c>
    </row>
    <row r="825" customFormat="false" ht="15.75" hidden="false" customHeight="true" outlineLevel="0" collapsed="false">
      <c r="A825" s="34" t="s">
        <v>1138</v>
      </c>
      <c r="B825" s="34" t="n">
        <v>423.4</v>
      </c>
      <c r="C825" s="34" t="n">
        <v>66.67</v>
      </c>
      <c r="D825" s="34" t="n">
        <v>64.94</v>
      </c>
      <c r="E825" s="34" t="n">
        <v>108.76</v>
      </c>
      <c r="F825" s="34" t="n">
        <v>208.02</v>
      </c>
      <c r="G825" s="34" t="n">
        <v>285.1</v>
      </c>
      <c r="H825" s="34" t="n">
        <v>352.32</v>
      </c>
      <c r="I825" s="34" t="n">
        <v>415.2</v>
      </c>
      <c r="J825" s="34"/>
      <c r="K825" s="34" t="n">
        <v>376.67</v>
      </c>
      <c r="L825" s="34" t="n">
        <f aca="false">AVERAGE(C825:E825)</f>
        <v>80.1233333333333</v>
      </c>
      <c r="M825" s="34" t="n">
        <f aca="false">AVERAGE(C825:J825)</f>
        <v>214.43</v>
      </c>
    </row>
    <row r="826" customFormat="false" ht="15.75" hidden="false" customHeight="true" outlineLevel="0" collapsed="false">
      <c r="A826" s="34" t="s">
        <v>1139</v>
      </c>
      <c r="B826" s="34" t="n">
        <v>423</v>
      </c>
      <c r="C826" s="34" t="n">
        <v>-66.67</v>
      </c>
      <c r="D826" s="34" t="n">
        <v>44.89</v>
      </c>
      <c r="E826" s="34" t="n">
        <v>97.05</v>
      </c>
      <c r="F826" s="34" t="n">
        <v>149.19</v>
      </c>
      <c r="G826" s="34" t="n">
        <v>164.74</v>
      </c>
      <c r="H826" s="34" t="n">
        <v>148.39</v>
      </c>
      <c r="I826" s="34" t="n">
        <v>158.49</v>
      </c>
      <c r="J826" s="34" t="n">
        <v>174.7</v>
      </c>
      <c r="K826" s="34" t="n">
        <v>396.03</v>
      </c>
      <c r="L826" s="34" t="n">
        <f aca="false">AVERAGE(C826:E826)</f>
        <v>25.09</v>
      </c>
      <c r="M826" s="34" t="n">
        <f aca="false">AVERAGE(C826:J826)</f>
        <v>108.8475</v>
      </c>
    </row>
    <row r="827" customFormat="false" ht="15.75" hidden="false" customHeight="true" outlineLevel="0" collapsed="false">
      <c r="A827" s="34" t="s">
        <v>1140</v>
      </c>
      <c r="B827" s="34" t="n">
        <v>420.65</v>
      </c>
      <c r="C827" s="34" t="n">
        <v>-66.67</v>
      </c>
      <c r="D827" s="34" t="n">
        <v>-100.1</v>
      </c>
      <c r="E827" s="34" t="n">
        <v>-170.11</v>
      </c>
      <c r="F827" s="34" t="n">
        <v>-93.86</v>
      </c>
      <c r="G827" s="34"/>
      <c r="H827" s="34"/>
      <c r="I827" s="34"/>
      <c r="J827" s="34"/>
      <c r="K827" s="34" t="n">
        <v>445.68</v>
      </c>
      <c r="L827" s="34" t="n">
        <f aca="false">AVERAGE(C827:E827)</f>
        <v>-112.293333333333</v>
      </c>
      <c r="M827" s="34" t="n">
        <f aca="false">AVERAGE(C827:J827)</f>
        <v>-107.685</v>
      </c>
    </row>
    <row r="828" customFormat="false" ht="15.75" hidden="false" customHeight="true" outlineLevel="0" collapsed="false">
      <c r="A828" s="34" t="s">
        <v>475</v>
      </c>
      <c r="B828" s="34" t="n">
        <v>419.9</v>
      </c>
      <c r="C828" s="34" t="n">
        <v>-66.67</v>
      </c>
      <c r="D828" s="34" t="n">
        <v>16.36</v>
      </c>
      <c r="E828" s="34" t="n">
        <v>92.42</v>
      </c>
      <c r="F828" s="34" t="n">
        <v>21.71</v>
      </c>
      <c r="G828" s="34" t="n">
        <v>25.64</v>
      </c>
      <c r="H828" s="34" t="n">
        <v>42.35</v>
      </c>
      <c r="I828" s="34" t="n">
        <v>65.21</v>
      </c>
      <c r="J828" s="34" t="n">
        <v>44.74</v>
      </c>
      <c r="K828" s="34" t="n">
        <v>403.55</v>
      </c>
      <c r="L828" s="34" t="n">
        <f aca="false">AVERAGE(C828:E828)</f>
        <v>14.0366666666667</v>
      </c>
      <c r="M828" s="34" t="n">
        <f aca="false">AVERAGE(C828:J828)</f>
        <v>30.22</v>
      </c>
    </row>
    <row r="829" customFormat="false" ht="15.75" hidden="false" customHeight="true" outlineLevel="0" collapsed="false">
      <c r="A829" s="34" t="s">
        <v>1141</v>
      </c>
      <c r="B829" s="34" t="n">
        <v>417.4</v>
      </c>
      <c r="C829" s="34" t="n">
        <v>66.67</v>
      </c>
      <c r="D829" s="34" t="n">
        <v>133.33</v>
      </c>
      <c r="E829" s="34" t="n">
        <v>70.4</v>
      </c>
      <c r="F829" s="34" t="n">
        <v>-10.87</v>
      </c>
      <c r="G829" s="34" t="n">
        <v>-50.63</v>
      </c>
      <c r="H829" s="34" t="n">
        <v>-8.8</v>
      </c>
      <c r="I829" s="34" t="n">
        <v>37.37</v>
      </c>
      <c r="J829" s="34" t="n">
        <v>46.98</v>
      </c>
      <c r="K829" s="34" t="n">
        <v>424.77</v>
      </c>
      <c r="L829" s="34" t="n">
        <f aca="false">AVERAGE(C829:E829)</f>
        <v>90.1333333333333</v>
      </c>
      <c r="M829" s="34" t="n">
        <f aca="false">AVERAGE(C829:J829)</f>
        <v>35.55625</v>
      </c>
    </row>
    <row r="830" customFormat="false" ht="15.75" hidden="false" customHeight="true" outlineLevel="0" collapsed="false">
      <c r="A830" s="34" t="s">
        <v>1142</v>
      </c>
      <c r="B830" s="34" t="n">
        <v>417.25</v>
      </c>
      <c r="C830" s="34" t="n">
        <v>66.67</v>
      </c>
      <c r="D830" s="34" t="n">
        <v>-25.8</v>
      </c>
      <c r="E830" s="34" t="n">
        <v>34.57</v>
      </c>
      <c r="F830" s="34" t="n">
        <v>91.59</v>
      </c>
      <c r="G830" s="34" t="n">
        <v>165.89</v>
      </c>
      <c r="H830" s="34"/>
      <c r="I830" s="34"/>
      <c r="J830" s="34"/>
      <c r="K830" s="34" t="n">
        <v>389.84</v>
      </c>
      <c r="L830" s="34" t="n">
        <f aca="false">AVERAGE(C830:E830)</f>
        <v>25.1466666666667</v>
      </c>
      <c r="M830" s="34" t="n">
        <f aca="false">AVERAGE(C830:J830)</f>
        <v>66.584</v>
      </c>
    </row>
    <row r="831" customFormat="false" ht="15.75" hidden="false" customHeight="true" outlineLevel="0" collapsed="false">
      <c r="A831" s="34" t="s">
        <v>1143</v>
      </c>
      <c r="B831" s="34" t="n">
        <v>417.15</v>
      </c>
      <c r="C831" s="34" t="n">
        <v>66.67</v>
      </c>
      <c r="D831" s="34" t="n">
        <v>122.68</v>
      </c>
      <c r="E831" s="34" t="n">
        <v>184.24</v>
      </c>
      <c r="F831" s="34" t="n">
        <v>-39.81</v>
      </c>
      <c r="G831" s="34" t="n">
        <v>-84</v>
      </c>
      <c r="H831" s="34" t="n">
        <v>2.8</v>
      </c>
      <c r="I831" s="34" t="n">
        <v>32.68</v>
      </c>
      <c r="J831" s="34" t="n">
        <v>50.34</v>
      </c>
      <c r="K831" s="34" t="n">
        <v>433.8</v>
      </c>
      <c r="L831" s="34" t="n">
        <f aca="false">AVERAGE(C831:E831)</f>
        <v>124.53</v>
      </c>
      <c r="M831" s="34" t="n">
        <f aca="false">AVERAGE(C831:J831)</f>
        <v>41.95</v>
      </c>
    </row>
    <row r="832" customFormat="false" ht="15.75" hidden="false" customHeight="true" outlineLevel="0" collapsed="false">
      <c r="A832" s="34" t="s">
        <v>541</v>
      </c>
      <c r="B832" s="34" t="n">
        <v>414.75</v>
      </c>
      <c r="C832" s="34" t="n">
        <v>-66.67</v>
      </c>
      <c r="D832" s="34" t="n">
        <v>-116.1</v>
      </c>
      <c r="E832" s="34" t="n">
        <v>38.18</v>
      </c>
      <c r="F832" s="34" t="n">
        <v>-56.24</v>
      </c>
      <c r="G832" s="34" t="n">
        <v>-111.75</v>
      </c>
      <c r="H832" s="34" t="n">
        <v>-151.76</v>
      </c>
      <c r="I832" s="34" t="n">
        <v>-71.4</v>
      </c>
      <c r="J832" s="34" t="n">
        <v>-73.76</v>
      </c>
      <c r="K832" s="34" t="n">
        <v>396.19</v>
      </c>
      <c r="L832" s="34" t="n">
        <f aca="false">AVERAGE(C832:E832)</f>
        <v>-48.1966666666667</v>
      </c>
      <c r="M832" s="34" t="n">
        <f aca="false">AVERAGE(C832:J832)</f>
        <v>-76.1875</v>
      </c>
    </row>
    <row r="833" customFormat="false" ht="15.75" hidden="false" customHeight="true" outlineLevel="0" collapsed="false">
      <c r="A833" s="34" t="s">
        <v>1144</v>
      </c>
      <c r="B833" s="34" t="n">
        <v>414.25</v>
      </c>
      <c r="C833" s="34" t="n">
        <v>-66.67</v>
      </c>
      <c r="D833" s="34" t="n">
        <v>-76.44</v>
      </c>
      <c r="E833" s="34" t="n">
        <v>-41.68</v>
      </c>
      <c r="F833" s="34" t="n">
        <v>-109.03</v>
      </c>
      <c r="G833" s="34" t="n">
        <v>-68.56</v>
      </c>
      <c r="H833" s="34" t="n">
        <v>-14.83</v>
      </c>
      <c r="I833" s="34" t="n">
        <v>12.51</v>
      </c>
      <c r="J833" s="34" t="n">
        <v>9.55</v>
      </c>
      <c r="K833" s="34" t="n">
        <v>456.13</v>
      </c>
      <c r="L833" s="34" t="n">
        <f aca="false">AVERAGE(C833:E833)</f>
        <v>-61.5966666666667</v>
      </c>
      <c r="M833" s="34" t="n">
        <f aca="false">AVERAGE(C833:J833)</f>
        <v>-44.39375</v>
      </c>
    </row>
    <row r="834" customFormat="false" ht="15.75" hidden="false" customHeight="true" outlineLevel="0" collapsed="false">
      <c r="A834" s="34" t="s">
        <v>1145</v>
      </c>
      <c r="B834" s="34" t="n">
        <v>413.05</v>
      </c>
      <c r="C834" s="34" t="n">
        <v>-66.67</v>
      </c>
      <c r="D834" s="34" t="n">
        <v>-15.15</v>
      </c>
      <c r="E834" s="34" t="n">
        <v>-76.9</v>
      </c>
      <c r="F834" s="34" t="n">
        <v>-84.57</v>
      </c>
      <c r="G834" s="34" t="n">
        <v>33.07</v>
      </c>
      <c r="H834" s="34" t="n">
        <v>57.92</v>
      </c>
      <c r="I834" s="34" t="n">
        <v>65.52</v>
      </c>
      <c r="J834" s="34" t="n">
        <v>13.05</v>
      </c>
      <c r="K834" s="34" t="n">
        <v>406.01</v>
      </c>
      <c r="L834" s="34" t="n">
        <f aca="false">AVERAGE(C834:E834)</f>
        <v>-52.9066666666667</v>
      </c>
      <c r="M834" s="34" t="n">
        <f aca="false">AVERAGE(C834:J834)</f>
        <v>-9.21625</v>
      </c>
    </row>
    <row r="835" customFormat="false" ht="15.75" hidden="false" customHeight="true" outlineLevel="0" collapsed="false">
      <c r="A835" s="34" t="s">
        <v>1146</v>
      </c>
      <c r="B835" s="34" t="n">
        <v>412.5</v>
      </c>
      <c r="C835" s="34" t="n">
        <v>66.67</v>
      </c>
      <c r="D835" s="34" t="n">
        <v>133.33</v>
      </c>
      <c r="E835" s="34" t="n">
        <v>-43.5</v>
      </c>
      <c r="F835" s="34" t="n">
        <v>-130.47</v>
      </c>
      <c r="G835" s="34" t="n">
        <v>-175.24</v>
      </c>
      <c r="H835" s="34" t="n">
        <v>-78.21</v>
      </c>
      <c r="I835" s="34" t="n">
        <v>-56.94</v>
      </c>
      <c r="J835" s="34" t="n">
        <v>-58</v>
      </c>
      <c r="K835" s="34" t="n">
        <v>432.36</v>
      </c>
      <c r="L835" s="34" t="n">
        <f aca="false">AVERAGE(C835:E835)</f>
        <v>52.1666666666667</v>
      </c>
      <c r="M835" s="34" t="n">
        <f aca="false">AVERAGE(C835:J835)</f>
        <v>-42.795</v>
      </c>
    </row>
    <row r="836" customFormat="false" ht="15.75" hidden="false" customHeight="true" outlineLevel="0" collapsed="false">
      <c r="A836" s="34" t="s">
        <v>1147</v>
      </c>
      <c r="B836" s="34" t="n">
        <v>411</v>
      </c>
      <c r="C836" s="34" t="n">
        <v>-66.67</v>
      </c>
      <c r="D836" s="34" t="n">
        <v>-109.57</v>
      </c>
      <c r="E836" s="34" t="n">
        <v>-36.09</v>
      </c>
      <c r="F836" s="34" t="n">
        <v>-34.75</v>
      </c>
      <c r="G836" s="34" t="n">
        <v>26.03</v>
      </c>
      <c r="H836" s="34" t="n">
        <v>55.19</v>
      </c>
      <c r="I836" s="34" t="n">
        <v>71.13</v>
      </c>
      <c r="J836" s="34" t="n">
        <v>67.27</v>
      </c>
      <c r="K836" s="34" t="n">
        <v>398.4</v>
      </c>
      <c r="L836" s="34" t="n">
        <f aca="false">AVERAGE(C836:E836)</f>
        <v>-70.7766666666667</v>
      </c>
      <c r="M836" s="34" t="n">
        <f aca="false">AVERAGE(C836:J836)</f>
        <v>-3.4325</v>
      </c>
    </row>
    <row r="837" customFormat="false" ht="15.75" hidden="false" customHeight="true" outlineLevel="0" collapsed="false">
      <c r="A837" s="34" t="s">
        <v>1148</v>
      </c>
      <c r="B837" s="34" t="n">
        <v>410.65</v>
      </c>
      <c r="C837" s="34" t="n">
        <v>66.67</v>
      </c>
      <c r="D837" s="34" t="n">
        <v>78.73</v>
      </c>
      <c r="E837" s="34" t="n">
        <v>171.98</v>
      </c>
      <c r="F837" s="34" t="n">
        <v>-42.48</v>
      </c>
      <c r="G837" s="34" t="n">
        <v>-94.38</v>
      </c>
      <c r="H837" s="34" t="n">
        <v>-129.87</v>
      </c>
      <c r="I837" s="34" t="n">
        <v>-134.85</v>
      </c>
      <c r="J837" s="34" t="n">
        <v>-131.35</v>
      </c>
      <c r="K837" s="34" t="n">
        <v>412.2</v>
      </c>
      <c r="L837" s="34" t="n">
        <f aca="false">AVERAGE(C837:E837)</f>
        <v>105.793333333333</v>
      </c>
      <c r="M837" s="34" t="n">
        <f aca="false">AVERAGE(C837:J837)</f>
        <v>-26.94375</v>
      </c>
    </row>
    <row r="838" customFormat="false" ht="15.75" hidden="false" customHeight="true" outlineLevel="0" collapsed="false">
      <c r="A838" s="34" t="s">
        <v>236</v>
      </c>
      <c r="B838" s="34" t="n">
        <v>409.4</v>
      </c>
      <c r="C838" s="34" t="n">
        <v>-66.67</v>
      </c>
      <c r="D838" s="34" t="n">
        <v>58.21</v>
      </c>
      <c r="E838" s="34" t="n">
        <v>-24.23</v>
      </c>
      <c r="F838" s="34" t="n">
        <v>-114.25</v>
      </c>
      <c r="G838" s="34" t="n">
        <v>-135.15</v>
      </c>
      <c r="H838" s="34" t="n">
        <v>-74.53</v>
      </c>
      <c r="I838" s="34" t="n">
        <v>-12.6</v>
      </c>
      <c r="J838" s="34" t="n">
        <v>-15.25</v>
      </c>
      <c r="K838" s="34" t="n">
        <v>425.15</v>
      </c>
      <c r="L838" s="34" t="n">
        <f aca="false">AVERAGE(C838:E838)</f>
        <v>-10.8966666666667</v>
      </c>
      <c r="M838" s="34" t="n">
        <f aca="false">AVERAGE(C838:J838)</f>
        <v>-48.05875</v>
      </c>
    </row>
    <row r="839" customFormat="false" ht="15.75" hidden="false" customHeight="true" outlineLevel="0" collapsed="false">
      <c r="A839" s="34" t="s">
        <v>1149</v>
      </c>
      <c r="B839" s="34" t="n">
        <v>409</v>
      </c>
      <c r="C839" s="34" t="n">
        <v>66.67</v>
      </c>
      <c r="D839" s="34" t="n">
        <v>106.6</v>
      </c>
      <c r="E839" s="34" t="n">
        <v>160.5</v>
      </c>
      <c r="F839" s="34" t="n">
        <v>135.06</v>
      </c>
      <c r="G839" s="34"/>
      <c r="H839" s="34"/>
      <c r="I839" s="34"/>
      <c r="J839" s="34"/>
      <c r="K839" s="34" t="n">
        <v>374.93</v>
      </c>
      <c r="L839" s="34" t="n">
        <f aca="false">AVERAGE(C839:E839)</f>
        <v>111.256666666667</v>
      </c>
      <c r="M839" s="34" t="n">
        <f aca="false">AVERAGE(C839:J839)</f>
        <v>117.2075</v>
      </c>
    </row>
    <row r="840" customFormat="false" ht="15.75" hidden="false" customHeight="true" outlineLevel="0" collapsed="false">
      <c r="A840" s="34" t="s">
        <v>1150</v>
      </c>
      <c r="B840" s="34" t="n">
        <v>408</v>
      </c>
      <c r="C840" s="34" t="n">
        <v>66.67</v>
      </c>
      <c r="D840" s="34" t="n">
        <v>-32.99</v>
      </c>
      <c r="E840" s="34" t="n">
        <v>-42.1</v>
      </c>
      <c r="F840" s="34" t="n">
        <v>-67.73</v>
      </c>
      <c r="G840" s="34" t="n">
        <v>-74.77</v>
      </c>
      <c r="H840" s="34" t="n">
        <v>-75.01</v>
      </c>
      <c r="I840" s="34" t="n">
        <v>-58.99</v>
      </c>
      <c r="J840" s="34" t="n">
        <v>-31.68</v>
      </c>
      <c r="K840" s="34" t="n">
        <v>436.83</v>
      </c>
      <c r="L840" s="34" t="n">
        <f aca="false">AVERAGE(C840:E840)</f>
        <v>-2.80666666666667</v>
      </c>
      <c r="M840" s="34" t="n">
        <f aca="false">AVERAGE(C840:J840)</f>
        <v>-39.575</v>
      </c>
    </row>
    <row r="841" customFormat="false" ht="15.75" hidden="false" customHeight="true" outlineLevel="0" collapsed="false">
      <c r="A841" s="34" t="s">
        <v>495</v>
      </c>
      <c r="B841" s="34" t="n">
        <v>407.6</v>
      </c>
      <c r="C841" s="34" t="n">
        <v>-66.67</v>
      </c>
      <c r="D841" s="34" t="n">
        <v>-129.64</v>
      </c>
      <c r="E841" s="34" t="n">
        <v>-47.5</v>
      </c>
      <c r="F841" s="34" t="n">
        <v>-114.9</v>
      </c>
      <c r="G841" s="34" t="n">
        <v>-187.34</v>
      </c>
      <c r="H841" s="34" t="n">
        <v>-216.85</v>
      </c>
      <c r="I841" s="34" t="n">
        <v>-229.38</v>
      </c>
      <c r="J841" s="34" t="n">
        <v>-149.27</v>
      </c>
      <c r="K841" s="34" t="n">
        <v>434.71</v>
      </c>
      <c r="L841" s="34" t="n">
        <f aca="false">AVERAGE(C841:E841)</f>
        <v>-81.27</v>
      </c>
      <c r="M841" s="34" t="n">
        <f aca="false">AVERAGE(C841:J841)</f>
        <v>-142.69375</v>
      </c>
    </row>
    <row r="842" customFormat="false" ht="15.75" hidden="false" customHeight="true" outlineLevel="0" collapsed="false">
      <c r="A842" s="34" t="s">
        <v>386</v>
      </c>
      <c r="B842" s="34" t="n">
        <v>406.2</v>
      </c>
      <c r="C842" s="34" t="n">
        <v>66.67</v>
      </c>
      <c r="D842" s="34" t="n">
        <v>104.05</v>
      </c>
      <c r="E842" s="34" t="n">
        <v>98.07</v>
      </c>
      <c r="F842" s="34" t="n">
        <v>212.68</v>
      </c>
      <c r="G842" s="34" t="n">
        <v>228.69</v>
      </c>
      <c r="H842" s="34" t="n">
        <v>258.95</v>
      </c>
      <c r="I842" s="34" t="n">
        <v>234.5</v>
      </c>
      <c r="J842" s="34" t="n">
        <v>197.52</v>
      </c>
      <c r="K842" s="34" t="n">
        <v>381.57</v>
      </c>
      <c r="L842" s="34" t="n">
        <f aca="false">AVERAGE(C842:E842)</f>
        <v>89.5966666666667</v>
      </c>
      <c r="M842" s="34" t="n">
        <f aca="false">AVERAGE(C842:J842)</f>
        <v>175.14125</v>
      </c>
    </row>
    <row r="843" customFormat="false" ht="15.75" hidden="false" customHeight="true" outlineLevel="0" collapsed="false">
      <c r="A843" s="34" t="s">
        <v>1151</v>
      </c>
      <c r="B843" s="34" t="n">
        <v>406.1</v>
      </c>
      <c r="C843" s="34" t="n">
        <v>-66.67</v>
      </c>
      <c r="D843" s="34" t="n">
        <v>-13.28</v>
      </c>
      <c r="E843" s="34" t="n">
        <v>-61.48</v>
      </c>
      <c r="F843" s="34" t="n">
        <v>-32.22</v>
      </c>
      <c r="G843" s="34" t="n">
        <v>-67.26</v>
      </c>
      <c r="H843" s="34" t="n">
        <v>2.02</v>
      </c>
      <c r="I843" s="34" t="n">
        <v>25.38</v>
      </c>
      <c r="J843" s="34" t="n">
        <v>-13.26</v>
      </c>
      <c r="K843" s="34" t="n">
        <v>398.73</v>
      </c>
      <c r="L843" s="34" t="n">
        <f aca="false">AVERAGE(C843:E843)</f>
        <v>-47.1433333333333</v>
      </c>
      <c r="M843" s="34" t="n">
        <f aca="false">AVERAGE(C843:J843)</f>
        <v>-28.34625</v>
      </c>
    </row>
    <row r="844" customFormat="false" ht="15.75" hidden="false" customHeight="true" outlineLevel="0" collapsed="false">
      <c r="A844" s="34" t="s">
        <v>1152</v>
      </c>
      <c r="B844" s="34" t="n">
        <v>405</v>
      </c>
      <c r="C844" s="34" t="n">
        <v>-66.67</v>
      </c>
      <c r="D844" s="34" t="n">
        <v>41.85</v>
      </c>
      <c r="E844" s="34" t="n">
        <v>13.03</v>
      </c>
      <c r="F844" s="34" t="n">
        <v>-59.97</v>
      </c>
      <c r="G844" s="34" t="n">
        <v>9.38</v>
      </c>
      <c r="H844" s="34" t="n">
        <v>50.14</v>
      </c>
      <c r="I844" s="34" t="n">
        <v>70.8</v>
      </c>
      <c r="J844" s="34" t="n">
        <v>83.95</v>
      </c>
      <c r="K844" s="34" t="n">
        <v>373.17</v>
      </c>
      <c r="L844" s="34" t="n">
        <f aca="false">AVERAGE(C844:E844)</f>
        <v>-3.93</v>
      </c>
      <c r="M844" s="34" t="n">
        <f aca="false">AVERAGE(C844:J844)</f>
        <v>17.81375</v>
      </c>
    </row>
    <row r="845" customFormat="false" ht="15.75" hidden="false" customHeight="true" outlineLevel="0" collapsed="false">
      <c r="A845" s="34" t="s">
        <v>1153</v>
      </c>
      <c r="B845" s="34" t="n">
        <v>404.95</v>
      </c>
      <c r="C845" s="34" t="n">
        <v>-66.67</v>
      </c>
      <c r="D845" s="34" t="n">
        <v>17.34</v>
      </c>
      <c r="E845" s="34" t="n">
        <v>88.82</v>
      </c>
      <c r="F845" s="34" t="n">
        <v>-24.36</v>
      </c>
      <c r="G845" s="34" t="n">
        <v>-80.67</v>
      </c>
      <c r="H845" s="34" t="n">
        <v>-44.18</v>
      </c>
      <c r="I845" s="34" t="n">
        <v>-1.03</v>
      </c>
      <c r="J845" s="34" t="n">
        <v>1</v>
      </c>
      <c r="K845" s="34" t="n">
        <v>381.4</v>
      </c>
      <c r="L845" s="34" t="n">
        <f aca="false">AVERAGE(C845:E845)</f>
        <v>13.1633333333333</v>
      </c>
      <c r="M845" s="34" t="n">
        <f aca="false">AVERAGE(C845:J845)</f>
        <v>-13.71875</v>
      </c>
    </row>
    <row r="846" customFormat="false" ht="15.75" hidden="false" customHeight="true" outlineLevel="0" collapsed="false">
      <c r="A846" s="34" t="s">
        <v>1154</v>
      </c>
      <c r="B846" s="34" t="n">
        <v>404.25</v>
      </c>
      <c r="C846" s="34" t="n">
        <v>-66.67</v>
      </c>
      <c r="D846" s="34" t="n">
        <v>-16.32</v>
      </c>
      <c r="E846" s="34" t="n">
        <v>-11.66</v>
      </c>
      <c r="F846" s="34" t="n">
        <v>-86.74</v>
      </c>
      <c r="G846" s="34" t="n">
        <v>-22.26</v>
      </c>
      <c r="H846" s="34" t="n">
        <v>40.77</v>
      </c>
      <c r="I846" s="34" t="n">
        <v>59.46</v>
      </c>
      <c r="J846" s="34" t="n">
        <v>74.94</v>
      </c>
      <c r="K846" s="34" t="n">
        <v>437.71</v>
      </c>
      <c r="L846" s="34" t="n">
        <f aca="false">AVERAGE(C846:E846)</f>
        <v>-31.55</v>
      </c>
      <c r="M846" s="34" t="n">
        <f aca="false">AVERAGE(C846:J846)</f>
        <v>-3.56</v>
      </c>
    </row>
    <row r="847" customFormat="false" ht="15.75" hidden="false" customHeight="true" outlineLevel="0" collapsed="false">
      <c r="A847" s="34" t="s">
        <v>1155</v>
      </c>
      <c r="B847" s="34" t="n">
        <v>402.75</v>
      </c>
      <c r="C847" s="34" t="n">
        <v>66.67</v>
      </c>
      <c r="D847" s="34" t="n">
        <v>-47.26</v>
      </c>
      <c r="E847" s="34" t="n">
        <v>54.61</v>
      </c>
      <c r="F847" s="34" t="n">
        <v>24.63</v>
      </c>
      <c r="G847" s="34" t="n">
        <v>-38.58</v>
      </c>
      <c r="H847" s="34" t="n">
        <v>3.51</v>
      </c>
      <c r="I847" s="34" t="n">
        <v>28.54</v>
      </c>
      <c r="J847" s="34" t="n">
        <v>9.68</v>
      </c>
      <c r="K847" s="34" t="n">
        <v>372.87</v>
      </c>
      <c r="L847" s="34" t="n">
        <f aca="false">AVERAGE(C847:E847)</f>
        <v>24.6733333333333</v>
      </c>
      <c r="M847" s="34" t="n">
        <f aca="false">AVERAGE(C847:J847)</f>
        <v>12.725</v>
      </c>
    </row>
    <row r="848" customFormat="false" ht="15.75" hidden="false" customHeight="true" outlineLevel="0" collapsed="false">
      <c r="A848" s="34" t="s">
        <v>1156</v>
      </c>
      <c r="B848" s="34" t="n">
        <v>402.05</v>
      </c>
      <c r="C848" s="34" t="n">
        <v>-66.67</v>
      </c>
      <c r="D848" s="34" t="n">
        <v>34.97</v>
      </c>
      <c r="E848" s="34" t="n">
        <v>102</v>
      </c>
      <c r="F848" s="34" t="n">
        <v>150.22</v>
      </c>
      <c r="G848" s="34" t="n">
        <v>177.89</v>
      </c>
      <c r="H848" s="34" t="n">
        <v>167.55</v>
      </c>
      <c r="I848" s="34" t="n">
        <v>130.55</v>
      </c>
      <c r="J848" s="34" t="n">
        <v>127.28</v>
      </c>
      <c r="K848" s="34" t="n">
        <v>382.14</v>
      </c>
      <c r="L848" s="34" t="n">
        <f aca="false">AVERAGE(C848:E848)</f>
        <v>23.4333333333333</v>
      </c>
      <c r="M848" s="34" t="n">
        <f aca="false">AVERAGE(C848:J848)</f>
        <v>102.97375</v>
      </c>
    </row>
    <row r="849" customFormat="false" ht="15.75" hidden="false" customHeight="true" outlineLevel="0" collapsed="false">
      <c r="A849" s="34" t="s">
        <v>1157</v>
      </c>
      <c r="B849" s="34" t="n">
        <v>399.9</v>
      </c>
      <c r="C849" s="34" t="n">
        <v>66.67</v>
      </c>
      <c r="D849" s="34" t="n">
        <v>84.88</v>
      </c>
      <c r="E849" s="34" t="n">
        <v>153.84</v>
      </c>
      <c r="F849" s="34" t="n">
        <v>198.03</v>
      </c>
      <c r="G849" s="34" t="n">
        <v>191.39</v>
      </c>
      <c r="H849" s="34" t="n">
        <v>157.62</v>
      </c>
      <c r="I849" s="34" t="n">
        <v>146.07</v>
      </c>
      <c r="J849" s="34"/>
      <c r="K849" s="34" t="n">
        <v>358.09</v>
      </c>
      <c r="L849" s="34" t="n">
        <f aca="false">AVERAGE(C849:E849)</f>
        <v>101.796666666667</v>
      </c>
      <c r="M849" s="34" t="n">
        <f aca="false">AVERAGE(C849:J849)</f>
        <v>142.642857142857</v>
      </c>
    </row>
    <row r="850" customFormat="false" ht="15.75" hidden="false" customHeight="true" outlineLevel="0" collapsed="false">
      <c r="A850" s="34" t="s">
        <v>201</v>
      </c>
      <c r="B850" s="34" t="n">
        <v>399.85</v>
      </c>
      <c r="C850" s="34" t="n">
        <v>-66.67</v>
      </c>
      <c r="D850" s="34" t="n">
        <v>-100.23</v>
      </c>
      <c r="E850" s="34" t="n">
        <v>-133.97</v>
      </c>
      <c r="F850" s="34" t="n">
        <v>-166.71</v>
      </c>
      <c r="G850" s="34" t="n">
        <v>-150.06</v>
      </c>
      <c r="H850" s="34" t="n">
        <v>-136.35</v>
      </c>
      <c r="I850" s="34" t="n">
        <v>-87.69</v>
      </c>
      <c r="J850" s="34" t="n">
        <v>-59.23</v>
      </c>
      <c r="K850" s="34" t="n">
        <v>416.35</v>
      </c>
      <c r="L850" s="34" t="n">
        <f aca="false">AVERAGE(C850:E850)</f>
        <v>-100.29</v>
      </c>
      <c r="M850" s="34" t="n">
        <f aca="false">AVERAGE(C850:J850)</f>
        <v>-112.61375</v>
      </c>
    </row>
    <row r="851" customFormat="false" ht="15.75" hidden="false" customHeight="true" outlineLevel="0" collapsed="false">
      <c r="A851" s="34" t="s">
        <v>1158</v>
      </c>
      <c r="B851" s="34" t="n">
        <v>398.9</v>
      </c>
      <c r="C851" s="34" t="n">
        <v>66.67</v>
      </c>
      <c r="D851" s="34" t="n">
        <v>133.33</v>
      </c>
      <c r="E851" s="34" t="n">
        <v>109.54</v>
      </c>
      <c r="F851" s="34" t="n">
        <v>131.92</v>
      </c>
      <c r="G851" s="34" t="n">
        <v>161.84</v>
      </c>
      <c r="H851" s="34" t="n">
        <v>82.32</v>
      </c>
      <c r="I851" s="34" t="n">
        <v>84.09</v>
      </c>
      <c r="J851" s="34" t="n">
        <v>101.72</v>
      </c>
      <c r="K851" s="34" t="n">
        <v>403.81</v>
      </c>
      <c r="L851" s="34" t="n">
        <f aca="false">AVERAGE(C851:E851)</f>
        <v>103.18</v>
      </c>
      <c r="M851" s="34" t="n">
        <f aca="false">AVERAGE(C851:J851)</f>
        <v>108.92875</v>
      </c>
    </row>
    <row r="852" customFormat="false" ht="15.75" hidden="false" customHeight="true" outlineLevel="0" collapsed="false">
      <c r="A852" s="34" t="s">
        <v>178</v>
      </c>
      <c r="B852" s="34" t="n">
        <v>398.3</v>
      </c>
      <c r="C852" s="34" t="n">
        <v>-66.67</v>
      </c>
      <c r="D852" s="34" t="n">
        <v>-133.33</v>
      </c>
      <c r="E852" s="34" t="n">
        <v>-140.7</v>
      </c>
      <c r="F852" s="34" t="n">
        <v>-189.99</v>
      </c>
      <c r="G852" s="34" t="n">
        <v>-273.59</v>
      </c>
      <c r="H852" s="34" t="n">
        <v>-191.34</v>
      </c>
      <c r="I852" s="34" t="n">
        <v>-144.23</v>
      </c>
      <c r="J852" s="34" t="n">
        <v>-123.48</v>
      </c>
      <c r="K852" s="34" t="n">
        <v>412.19</v>
      </c>
      <c r="L852" s="34" t="n">
        <f aca="false">AVERAGE(C852:E852)</f>
        <v>-113.566666666667</v>
      </c>
      <c r="M852" s="34" t="n">
        <f aca="false">AVERAGE(C852:J852)</f>
        <v>-157.91625</v>
      </c>
    </row>
    <row r="853" customFormat="false" ht="15.75" hidden="false" customHeight="true" outlineLevel="0" collapsed="false">
      <c r="A853" s="34" t="s">
        <v>341</v>
      </c>
      <c r="B853" s="34" t="n">
        <v>398</v>
      </c>
      <c r="C853" s="34" t="n">
        <v>-66.67</v>
      </c>
      <c r="D853" s="34" t="n">
        <v>-121.76</v>
      </c>
      <c r="E853" s="34" t="n">
        <v>11.8</v>
      </c>
      <c r="F853" s="34" t="n">
        <v>-65.27</v>
      </c>
      <c r="G853" s="34" t="n">
        <v>-105.53</v>
      </c>
      <c r="H853" s="34" t="n">
        <v>-101.88</v>
      </c>
      <c r="I853" s="34" t="n">
        <v>-63.46</v>
      </c>
      <c r="J853" s="34" t="n">
        <v>-74.33</v>
      </c>
      <c r="K853" s="34" t="n">
        <v>411.41</v>
      </c>
      <c r="L853" s="34" t="n">
        <f aca="false">AVERAGE(C853:E853)</f>
        <v>-58.8766666666667</v>
      </c>
      <c r="M853" s="34" t="n">
        <f aca="false">AVERAGE(C853:J853)</f>
        <v>-73.3875</v>
      </c>
    </row>
    <row r="854" customFormat="false" ht="15.75" hidden="false" customHeight="true" outlineLevel="0" collapsed="false">
      <c r="A854" s="34" t="s">
        <v>1159</v>
      </c>
      <c r="B854" s="34" t="n">
        <v>397.25</v>
      </c>
      <c r="C854" s="34" t="n">
        <v>66.67</v>
      </c>
      <c r="D854" s="34" t="n">
        <v>75.01</v>
      </c>
      <c r="E854" s="34" t="n">
        <v>132.4</v>
      </c>
      <c r="F854" s="34" t="n">
        <v>78.46</v>
      </c>
      <c r="G854" s="34" t="n">
        <v>92.59</v>
      </c>
      <c r="H854" s="34" t="n">
        <v>90.9</v>
      </c>
      <c r="I854" s="34" t="n">
        <v>105.74</v>
      </c>
      <c r="J854" s="34" t="n">
        <v>112.74</v>
      </c>
      <c r="K854" s="34" t="n">
        <v>359.44</v>
      </c>
      <c r="L854" s="34" t="n">
        <f aca="false">AVERAGE(C854:E854)</f>
        <v>91.36</v>
      </c>
      <c r="M854" s="34" t="n">
        <f aca="false">AVERAGE(C854:J854)</f>
        <v>94.31375</v>
      </c>
    </row>
    <row r="855" customFormat="false" ht="15.75" hidden="false" customHeight="true" outlineLevel="0" collapsed="false">
      <c r="A855" s="34" t="s">
        <v>98</v>
      </c>
      <c r="B855" s="34" t="n">
        <v>396.05</v>
      </c>
      <c r="C855" s="34" t="n">
        <v>-66.67</v>
      </c>
      <c r="D855" s="34" t="n">
        <v>39.68</v>
      </c>
      <c r="E855" s="34" t="n">
        <v>99.15</v>
      </c>
      <c r="F855" s="34" t="n">
        <v>150.5</v>
      </c>
      <c r="G855" s="34" t="n">
        <v>140.22</v>
      </c>
      <c r="H855" s="34" t="n">
        <v>142.75</v>
      </c>
      <c r="I855" s="34" t="n">
        <v>111.3</v>
      </c>
      <c r="J855" s="34" t="n">
        <v>118.78</v>
      </c>
      <c r="K855" s="34" t="n">
        <v>380.79</v>
      </c>
      <c r="L855" s="34" t="n">
        <f aca="false">AVERAGE(C855:E855)</f>
        <v>24.0533333333333</v>
      </c>
      <c r="M855" s="34" t="n">
        <f aca="false">AVERAGE(C855:J855)</f>
        <v>91.96375</v>
      </c>
    </row>
    <row r="856" customFormat="false" ht="15.75" hidden="false" customHeight="true" outlineLevel="0" collapsed="false">
      <c r="A856" s="34" t="s">
        <v>1160</v>
      </c>
      <c r="B856" s="34" t="n">
        <v>395.05</v>
      </c>
      <c r="C856" s="34" t="n">
        <v>-66.67</v>
      </c>
      <c r="D856" s="34" t="n">
        <v>-90.86</v>
      </c>
      <c r="E856" s="34" t="n">
        <v>24.4</v>
      </c>
      <c r="F856" s="34" t="n">
        <v>-53.26</v>
      </c>
      <c r="G856" s="34" t="n">
        <v>-91.52</v>
      </c>
      <c r="H856" s="34" t="n">
        <v>-58.59</v>
      </c>
      <c r="I856" s="34" t="n">
        <v>-57.46</v>
      </c>
      <c r="J856" s="34" t="n">
        <v>-67.22</v>
      </c>
      <c r="K856" s="34" t="n">
        <v>421.84</v>
      </c>
      <c r="L856" s="34" t="n">
        <f aca="false">AVERAGE(C856:E856)</f>
        <v>-44.3766666666667</v>
      </c>
      <c r="M856" s="34" t="n">
        <f aca="false">AVERAGE(C856:J856)</f>
        <v>-57.6475</v>
      </c>
    </row>
    <row r="857" customFormat="false" ht="15.75" hidden="false" customHeight="true" outlineLevel="0" collapsed="false">
      <c r="A857" s="34" t="s">
        <v>1161</v>
      </c>
      <c r="B857" s="34" t="n">
        <v>394</v>
      </c>
      <c r="C857" s="34" t="n">
        <v>66.67</v>
      </c>
      <c r="D857" s="34" t="n">
        <v>97.55</v>
      </c>
      <c r="E857" s="34" t="n">
        <v>155.8</v>
      </c>
      <c r="F857" s="34" t="n">
        <v>94.41</v>
      </c>
      <c r="G857" s="34" t="n">
        <v>80.46</v>
      </c>
      <c r="H857" s="34" t="n">
        <v>94.56</v>
      </c>
      <c r="I857" s="34" t="n">
        <v>108.68</v>
      </c>
      <c r="J857" s="34" t="n">
        <v>63.76</v>
      </c>
      <c r="K857" s="34" t="n">
        <v>398.75</v>
      </c>
      <c r="L857" s="34" t="n">
        <f aca="false">AVERAGE(C857:E857)</f>
        <v>106.673333333333</v>
      </c>
      <c r="M857" s="34" t="n">
        <f aca="false">AVERAGE(C857:J857)</f>
        <v>95.23625</v>
      </c>
    </row>
    <row r="858" customFormat="false" ht="15.75" hidden="false" customHeight="true" outlineLevel="0" collapsed="false">
      <c r="A858" s="34" t="s">
        <v>1162</v>
      </c>
      <c r="B858" s="34" t="n">
        <v>393.7</v>
      </c>
      <c r="C858" s="34" t="n">
        <v>-66.67</v>
      </c>
      <c r="D858" s="34" t="n">
        <v>-97.85</v>
      </c>
      <c r="E858" s="34" t="n">
        <v>-146.61</v>
      </c>
      <c r="F858" s="34" t="n">
        <v>-80.03</v>
      </c>
      <c r="G858" s="34" t="n">
        <v>-11.5</v>
      </c>
      <c r="H858" s="34" t="n">
        <v>45.83</v>
      </c>
      <c r="I858" s="34" t="n">
        <v>63.4</v>
      </c>
      <c r="J858" s="34" t="n">
        <v>78.84</v>
      </c>
      <c r="K858" s="34" t="n">
        <v>421.91</v>
      </c>
      <c r="L858" s="34" t="n">
        <f aca="false">AVERAGE(C858:E858)</f>
        <v>-103.71</v>
      </c>
      <c r="M858" s="34" t="n">
        <f aca="false">AVERAGE(C858:J858)</f>
        <v>-26.82375</v>
      </c>
    </row>
    <row r="859" customFormat="false" ht="15.75" hidden="false" customHeight="true" outlineLevel="0" collapsed="false">
      <c r="A859" s="34" t="s">
        <v>1163</v>
      </c>
      <c r="B859" s="34" t="n">
        <v>391.25</v>
      </c>
      <c r="C859" s="34" t="n">
        <v>-66.67</v>
      </c>
      <c r="D859" s="34" t="n">
        <v>-91.36</v>
      </c>
      <c r="E859" s="34" t="n">
        <v>-14.5</v>
      </c>
      <c r="F859" s="34" t="n">
        <v>-67.89</v>
      </c>
      <c r="G859" s="34" t="n">
        <v>-108.63</v>
      </c>
      <c r="H859" s="34" t="n">
        <v>-1.72</v>
      </c>
      <c r="I859" s="34" t="n">
        <v>31.62</v>
      </c>
      <c r="J859" s="34" t="n">
        <v>45.25</v>
      </c>
      <c r="K859" s="34" t="n">
        <v>415.13</v>
      </c>
      <c r="L859" s="34" t="n">
        <f aca="false">AVERAGE(C859:E859)</f>
        <v>-57.51</v>
      </c>
      <c r="M859" s="34" t="n">
        <f aca="false">AVERAGE(C859:J859)</f>
        <v>-34.2375</v>
      </c>
    </row>
    <row r="860" customFormat="false" ht="15.75" hidden="false" customHeight="true" outlineLevel="0" collapsed="false">
      <c r="A860" s="34" t="s">
        <v>193</v>
      </c>
      <c r="B860" s="34" t="n">
        <v>390.75</v>
      </c>
      <c r="C860" s="34" t="n">
        <v>-66.67</v>
      </c>
      <c r="D860" s="34" t="n">
        <v>-133.33</v>
      </c>
      <c r="E860" s="34" t="n">
        <v>-73.25</v>
      </c>
      <c r="F860" s="34" t="n">
        <v>-110.97</v>
      </c>
      <c r="G860" s="34" t="n">
        <v>-99.91</v>
      </c>
      <c r="H860" s="34" t="n">
        <v>-82.63</v>
      </c>
      <c r="I860" s="34" t="n">
        <v>-5.63</v>
      </c>
      <c r="J860" s="34" t="n">
        <v>17.01</v>
      </c>
      <c r="K860" s="34" t="n">
        <v>411.53</v>
      </c>
      <c r="L860" s="34" t="n">
        <f aca="false">AVERAGE(C860:E860)</f>
        <v>-91.0833333333333</v>
      </c>
      <c r="M860" s="34" t="n">
        <f aca="false">AVERAGE(C860:J860)</f>
        <v>-69.4225</v>
      </c>
    </row>
    <row r="861" customFormat="false" ht="15.75" hidden="false" customHeight="true" outlineLevel="0" collapsed="false">
      <c r="A861" s="34" t="s">
        <v>1164</v>
      </c>
      <c r="B861" s="34" t="n">
        <v>389.5</v>
      </c>
      <c r="C861" s="34" t="n">
        <v>-66.67</v>
      </c>
      <c r="D861" s="34" t="n">
        <v>20.76</v>
      </c>
      <c r="E861" s="34" t="n">
        <v>94.39</v>
      </c>
      <c r="F861" s="34" t="n">
        <v>-40.34</v>
      </c>
      <c r="G861" s="34" t="n">
        <v>-91.86</v>
      </c>
      <c r="H861" s="34" t="n">
        <v>-77.84</v>
      </c>
      <c r="I861" s="34" t="n">
        <v>-50.3</v>
      </c>
      <c r="J861" s="34" t="n">
        <v>-60.84</v>
      </c>
      <c r="K861" s="34" t="n">
        <v>400.97</v>
      </c>
      <c r="L861" s="34" t="n">
        <f aca="false">AVERAGE(C861:E861)</f>
        <v>16.16</v>
      </c>
      <c r="M861" s="34" t="n">
        <f aca="false">AVERAGE(C861:J861)</f>
        <v>-34.0875</v>
      </c>
    </row>
    <row r="862" customFormat="false" ht="15.75" hidden="false" customHeight="true" outlineLevel="0" collapsed="false">
      <c r="A862" s="34" t="s">
        <v>1165</v>
      </c>
      <c r="B862" s="34" t="n">
        <v>388.75</v>
      </c>
      <c r="C862" s="34" t="n">
        <v>66.67</v>
      </c>
      <c r="D862" s="34" t="n">
        <v>77.3</v>
      </c>
      <c r="E862" s="34" t="n">
        <v>101.81</v>
      </c>
      <c r="F862" s="34" t="n">
        <v>200.05</v>
      </c>
      <c r="G862" s="34" t="n">
        <v>141.8</v>
      </c>
      <c r="H862" s="34" t="n">
        <v>175.63</v>
      </c>
      <c r="I862" s="34" t="n">
        <v>211.9</v>
      </c>
      <c r="J862" s="34" t="n">
        <v>197.27</v>
      </c>
      <c r="K862" s="34" t="n">
        <v>341.83</v>
      </c>
      <c r="L862" s="34" t="n">
        <f aca="false">AVERAGE(C862:E862)</f>
        <v>81.9266666666667</v>
      </c>
      <c r="M862" s="34" t="n">
        <f aca="false">AVERAGE(C862:J862)</f>
        <v>146.55375</v>
      </c>
    </row>
    <row r="863" customFormat="false" ht="15.75" hidden="false" customHeight="true" outlineLevel="0" collapsed="false">
      <c r="A863" s="34" t="s">
        <v>1166</v>
      </c>
      <c r="B863" s="34" t="n">
        <v>386.2</v>
      </c>
      <c r="C863" s="34" t="n">
        <v>-66.67</v>
      </c>
      <c r="D863" s="34" t="n">
        <v>-88.39</v>
      </c>
      <c r="E863" s="34" t="n">
        <v>-63.93</v>
      </c>
      <c r="F863" s="34" t="n">
        <v>-51.28</v>
      </c>
      <c r="G863" s="34"/>
      <c r="H863" s="34"/>
      <c r="I863" s="34"/>
      <c r="J863" s="34"/>
      <c r="K863" s="34" t="n">
        <v>373.63</v>
      </c>
      <c r="L863" s="34" t="n">
        <f aca="false">AVERAGE(C863:E863)</f>
        <v>-72.9966666666667</v>
      </c>
      <c r="M863" s="34" t="n">
        <f aca="false">AVERAGE(C863:J863)</f>
        <v>-67.5675</v>
      </c>
    </row>
    <row r="864" customFormat="false" ht="15.75" hidden="false" customHeight="true" outlineLevel="0" collapsed="false">
      <c r="A864" s="34" t="s">
        <v>92</v>
      </c>
      <c r="B864" s="34" t="n">
        <v>385.6</v>
      </c>
      <c r="C864" s="34" t="n">
        <v>-66.67</v>
      </c>
      <c r="D864" s="34" t="n">
        <v>-127.1</v>
      </c>
      <c r="E864" s="34" t="n">
        <v>0.83</v>
      </c>
      <c r="F864" s="34" t="n">
        <v>-66.5</v>
      </c>
      <c r="G864" s="34" t="n">
        <v>-104.98</v>
      </c>
      <c r="H864" s="34" t="n">
        <v>-79.14</v>
      </c>
      <c r="I864" s="34" t="n">
        <v>-3.83</v>
      </c>
      <c r="J864" s="34" t="n">
        <v>20.13</v>
      </c>
      <c r="K864" s="34" t="n">
        <v>397.93</v>
      </c>
      <c r="L864" s="34" t="n">
        <f aca="false">AVERAGE(C864:E864)</f>
        <v>-64.3133333333333</v>
      </c>
      <c r="M864" s="34" t="n">
        <f aca="false">AVERAGE(C864:J864)</f>
        <v>-53.4075</v>
      </c>
    </row>
    <row r="865" customFormat="false" ht="15.75" hidden="false" customHeight="true" outlineLevel="0" collapsed="false">
      <c r="A865" s="34" t="s">
        <v>1167</v>
      </c>
      <c r="B865" s="34" t="n">
        <v>385.15</v>
      </c>
      <c r="C865" s="34" t="n">
        <v>66.67</v>
      </c>
      <c r="D865" s="34" t="n">
        <v>21.73</v>
      </c>
      <c r="E865" s="34" t="n">
        <v>20.39</v>
      </c>
      <c r="F865" s="34" t="n">
        <v>58.35</v>
      </c>
      <c r="G865" s="34" t="n">
        <v>97.38</v>
      </c>
      <c r="H865" s="34" t="n">
        <v>73.67</v>
      </c>
      <c r="I865" s="34" t="n">
        <v>83.24</v>
      </c>
      <c r="J865" s="34" t="n">
        <v>12.32</v>
      </c>
      <c r="K865" s="34" t="n">
        <v>403.73</v>
      </c>
      <c r="L865" s="34" t="n">
        <f aca="false">AVERAGE(C865:E865)</f>
        <v>36.2633333333333</v>
      </c>
      <c r="M865" s="34" t="n">
        <f aca="false">AVERAGE(C865:J865)</f>
        <v>54.21875</v>
      </c>
    </row>
    <row r="866" customFormat="false" ht="15.75" hidden="false" customHeight="true" outlineLevel="0" collapsed="false">
      <c r="A866" s="34" t="s">
        <v>1168</v>
      </c>
      <c r="B866" s="34" t="n">
        <v>385</v>
      </c>
      <c r="C866" s="34" t="n">
        <v>-66.67</v>
      </c>
      <c r="D866" s="34" t="n">
        <v>-78.19</v>
      </c>
      <c r="E866" s="34" t="n">
        <v>-44.1</v>
      </c>
      <c r="F866" s="34" t="n">
        <v>-88.12</v>
      </c>
      <c r="G866" s="34" t="n">
        <v>-7.69</v>
      </c>
      <c r="H866" s="34" t="n">
        <v>16.85</v>
      </c>
      <c r="I866" s="34" t="n">
        <v>47.66</v>
      </c>
      <c r="J866" s="34" t="n">
        <v>13.99</v>
      </c>
      <c r="K866" s="34" t="n">
        <v>431.7</v>
      </c>
      <c r="L866" s="34" t="n">
        <f aca="false">AVERAGE(C866:E866)</f>
        <v>-62.9866666666667</v>
      </c>
      <c r="M866" s="34" t="n">
        <f aca="false">AVERAGE(C866:J866)</f>
        <v>-25.78375</v>
      </c>
    </row>
    <row r="867" customFormat="false" ht="15.75" hidden="false" customHeight="true" outlineLevel="0" collapsed="false">
      <c r="A867" s="34" t="s">
        <v>1169</v>
      </c>
      <c r="B867" s="34" t="n">
        <v>383.85</v>
      </c>
      <c r="C867" s="34" t="n">
        <v>66.67</v>
      </c>
      <c r="D867" s="34" t="n">
        <v>132.98</v>
      </c>
      <c r="E867" s="34" t="n">
        <v>-10.22</v>
      </c>
      <c r="F867" s="34" t="n">
        <v>-103.62</v>
      </c>
      <c r="G867" s="34" t="n">
        <v>-59.05</v>
      </c>
      <c r="H867" s="34" t="n">
        <v>14.41</v>
      </c>
      <c r="I867" s="34" t="n">
        <v>33.3</v>
      </c>
      <c r="J867" s="34"/>
      <c r="K867" s="34" t="n">
        <v>397.94</v>
      </c>
      <c r="L867" s="34" t="n">
        <f aca="false">AVERAGE(C867:E867)</f>
        <v>63.1433333333333</v>
      </c>
      <c r="M867" s="34" t="n">
        <f aca="false">AVERAGE(C867:J867)</f>
        <v>10.6385714285714</v>
      </c>
    </row>
    <row r="868" customFormat="false" ht="15.75" hidden="false" customHeight="true" outlineLevel="0" collapsed="false">
      <c r="A868" s="34" t="s">
        <v>1170</v>
      </c>
      <c r="B868" s="34" t="n">
        <v>383.8</v>
      </c>
      <c r="C868" s="34" t="n">
        <v>-66.67</v>
      </c>
      <c r="D868" s="34" t="n">
        <v>29.11</v>
      </c>
      <c r="E868" s="34" t="n">
        <v>98.81</v>
      </c>
      <c r="F868" s="34" t="n">
        <v>109.49</v>
      </c>
      <c r="G868" s="34" t="n">
        <v>72.19</v>
      </c>
      <c r="H868" s="34" t="n">
        <v>92.86</v>
      </c>
      <c r="I868" s="34" t="n">
        <v>88.96</v>
      </c>
      <c r="J868" s="34" t="n">
        <v>12.06</v>
      </c>
      <c r="K868" s="34" t="n">
        <v>361.54</v>
      </c>
      <c r="L868" s="34" t="n">
        <f aca="false">AVERAGE(C868:E868)</f>
        <v>20.4166666666667</v>
      </c>
      <c r="M868" s="34" t="n">
        <f aca="false">AVERAGE(C868:J868)</f>
        <v>54.60125</v>
      </c>
    </row>
    <row r="869" customFormat="false" ht="15.75" hidden="false" customHeight="true" outlineLevel="0" collapsed="false">
      <c r="A869" s="34" t="s">
        <v>1171</v>
      </c>
      <c r="B869" s="34" t="n">
        <v>382.65</v>
      </c>
      <c r="C869" s="34" t="n">
        <v>66.67</v>
      </c>
      <c r="D869" s="34" t="n">
        <v>77.13</v>
      </c>
      <c r="E869" s="34" t="n">
        <v>165.99</v>
      </c>
      <c r="F869" s="34" t="n">
        <v>24.35</v>
      </c>
      <c r="G869" s="34" t="n">
        <v>-43.76</v>
      </c>
      <c r="H869" s="34" t="n">
        <v>-57.6</v>
      </c>
      <c r="I869" s="34" t="n">
        <v>-13.75</v>
      </c>
      <c r="J869" s="34" t="n">
        <v>3.3</v>
      </c>
      <c r="K869" s="34" t="n">
        <v>360.62</v>
      </c>
      <c r="L869" s="34" t="n">
        <f aca="false">AVERAGE(C869:E869)</f>
        <v>103.263333333333</v>
      </c>
      <c r="M869" s="34" t="n">
        <f aca="false">AVERAGE(C869:J869)</f>
        <v>27.79125</v>
      </c>
    </row>
    <row r="870" customFormat="false" ht="15.75" hidden="false" customHeight="true" outlineLevel="0" collapsed="false">
      <c r="A870" s="34" t="s">
        <v>172</v>
      </c>
      <c r="B870" s="34" t="n">
        <v>382.3</v>
      </c>
      <c r="C870" s="34" t="n">
        <v>-66.67</v>
      </c>
      <c r="D870" s="34" t="n">
        <v>-86.64</v>
      </c>
      <c r="E870" s="34" t="n">
        <v>26.14</v>
      </c>
      <c r="F870" s="34" t="n">
        <v>-70.34</v>
      </c>
      <c r="G870" s="34" t="n">
        <v>-125.89</v>
      </c>
      <c r="H870" s="34" t="n">
        <v>-151.02</v>
      </c>
      <c r="I870" s="34" t="n">
        <v>-94.72</v>
      </c>
      <c r="J870" s="34" t="n">
        <v>-107.91</v>
      </c>
      <c r="K870" s="34" t="n">
        <v>398.17</v>
      </c>
      <c r="L870" s="34" t="n">
        <f aca="false">AVERAGE(C870:E870)</f>
        <v>-42.39</v>
      </c>
      <c r="M870" s="34" t="n">
        <f aca="false">AVERAGE(C870:J870)</f>
        <v>-84.63125</v>
      </c>
    </row>
    <row r="871" customFormat="false" ht="15.75" hidden="false" customHeight="true" outlineLevel="0" collapsed="false">
      <c r="A871" s="34" t="s">
        <v>1172</v>
      </c>
      <c r="B871" s="34" t="n">
        <v>382.15</v>
      </c>
      <c r="C871" s="34" t="n">
        <v>-66.67</v>
      </c>
      <c r="D871" s="34" t="n">
        <v>-123.44</v>
      </c>
      <c r="E871" s="34" t="n">
        <v>-165.76</v>
      </c>
      <c r="F871" s="34"/>
      <c r="G871" s="34"/>
      <c r="H871" s="34"/>
      <c r="I871" s="34"/>
      <c r="J871" s="34"/>
      <c r="K871" s="34" t="n">
        <v>404</v>
      </c>
      <c r="L871" s="34" t="n">
        <f aca="false">AVERAGE(C871:E871)</f>
        <v>-118.623333333333</v>
      </c>
      <c r="M871" s="34" t="n">
        <f aca="false">AVERAGE(C871:J871)</f>
        <v>-118.623333333333</v>
      </c>
    </row>
    <row r="872" customFormat="false" ht="15.75" hidden="false" customHeight="true" outlineLevel="0" collapsed="false">
      <c r="A872" s="34" t="s">
        <v>354</v>
      </c>
      <c r="B872" s="34" t="n">
        <v>380.8</v>
      </c>
      <c r="C872" s="34" t="n">
        <v>-66.67</v>
      </c>
      <c r="D872" s="34" t="n">
        <v>-133.33</v>
      </c>
      <c r="E872" s="34" t="n">
        <v>-183.4</v>
      </c>
      <c r="F872" s="34" t="n">
        <v>-43.44</v>
      </c>
      <c r="G872" s="34" t="n">
        <v>-44.38</v>
      </c>
      <c r="H872" s="34" t="n">
        <v>-66.55</v>
      </c>
      <c r="I872" s="34" t="n">
        <v>-67.13</v>
      </c>
      <c r="J872" s="34" t="n">
        <v>-69.21</v>
      </c>
      <c r="K872" s="34" t="n">
        <v>374.47</v>
      </c>
      <c r="L872" s="34" t="n">
        <f aca="false">AVERAGE(C872:E872)</f>
        <v>-127.8</v>
      </c>
      <c r="M872" s="34" t="n">
        <f aca="false">AVERAGE(C872:J872)</f>
        <v>-84.26375</v>
      </c>
    </row>
    <row r="873" customFormat="false" ht="15.75" hidden="false" customHeight="true" outlineLevel="0" collapsed="false">
      <c r="A873" s="34" t="s">
        <v>490</v>
      </c>
      <c r="B873" s="34" t="n">
        <v>380.2</v>
      </c>
      <c r="C873" s="34" t="n">
        <v>-66.67</v>
      </c>
      <c r="D873" s="34" t="n">
        <v>-108.97</v>
      </c>
      <c r="E873" s="34" t="n">
        <v>-13.51</v>
      </c>
      <c r="F873" s="34" t="n">
        <v>-76.65</v>
      </c>
      <c r="G873" s="34" t="n">
        <v>-106.11</v>
      </c>
      <c r="H873" s="34" t="n">
        <v>-73.38</v>
      </c>
      <c r="I873" s="34" t="n">
        <v>-65.28</v>
      </c>
      <c r="J873" s="34" t="n">
        <v>-47.06</v>
      </c>
      <c r="K873" s="34" t="n">
        <v>393.62</v>
      </c>
      <c r="L873" s="34" t="n">
        <f aca="false">AVERAGE(C873:E873)</f>
        <v>-63.05</v>
      </c>
      <c r="M873" s="34" t="n">
        <f aca="false">AVERAGE(C873:J873)</f>
        <v>-69.70375</v>
      </c>
    </row>
    <row r="874" customFormat="false" ht="15.75" hidden="false" customHeight="true" outlineLevel="0" collapsed="false">
      <c r="A874" s="34" t="s">
        <v>1173</v>
      </c>
      <c r="B874" s="34" t="n">
        <v>378.95</v>
      </c>
      <c r="C874" s="34" t="n">
        <v>-66.67</v>
      </c>
      <c r="D874" s="34" t="n">
        <v>57.88</v>
      </c>
      <c r="E874" s="34" t="n">
        <v>76.19</v>
      </c>
      <c r="F874" s="34" t="n">
        <v>133.4</v>
      </c>
      <c r="G874" s="34" t="n">
        <v>138.43</v>
      </c>
      <c r="H874" s="34" t="n">
        <v>124.14</v>
      </c>
      <c r="I874" s="34" t="n">
        <v>108.22</v>
      </c>
      <c r="J874" s="34" t="n">
        <v>36.68</v>
      </c>
      <c r="K874" s="34" t="n">
        <v>350.24</v>
      </c>
      <c r="L874" s="34" t="n">
        <f aca="false">AVERAGE(C874:E874)</f>
        <v>22.4666666666667</v>
      </c>
      <c r="M874" s="34" t="n">
        <f aca="false">AVERAGE(C874:J874)</f>
        <v>76.03375</v>
      </c>
    </row>
    <row r="875" customFormat="false" ht="15.75" hidden="false" customHeight="true" outlineLevel="0" collapsed="false">
      <c r="A875" s="34" t="s">
        <v>1174</v>
      </c>
      <c r="B875" s="34" t="n">
        <v>378.85</v>
      </c>
      <c r="C875" s="34" t="n">
        <v>66.67</v>
      </c>
      <c r="D875" s="34" t="n">
        <v>-60.86</v>
      </c>
      <c r="E875" s="34" t="n">
        <v>-38.96</v>
      </c>
      <c r="F875" s="34" t="n">
        <v>-122.35</v>
      </c>
      <c r="G875" s="34" t="n">
        <v>-152.22</v>
      </c>
      <c r="H875" s="34" t="n">
        <v>-143.01</v>
      </c>
      <c r="I875" s="34" t="n">
        <v>-106.01</v>
      </c>
      <c r="J875" s="34" t="n">
        <v>-110.88</v>
      </c>
      <c r="K875" s="34" t="n">
        <v>410</v>
      </c>
      <c r="L875" s="34" t="n">
        <f aca="false">AVERAGE(C875:E875)</f>
        <v>-11.05</v>
      </c>
      <c r="M875" s="34" t="n">
        <f aca="false">AVERAGE(C875:J875)</f>
        <v>-83.4525</v>
      </c>
    </row>
    <row r="876" customFormat="false" ht="15.75" hidden="false" customHeight="true" outlineLevel="0" collapsed="false">
      <c r="A876" s="34" t="s">
        <v>1175</v>
      </c>
      <c r="B876" s="34" t="n">
        <v>378.05</v>
      </c>
      <c r="C876" s="34" t="n">
        <v>66.67</v>
      </c>
      <c r="D876" s="34" t="n">
        <v>13.3</v>
      </c>
      <c r="E876" s="34" t="n">
        <v>30.29</v>
      </c>
      <c r="F876" s="34" t="n">
        <v>60.2</v>
      </c>
      <c r="G876" s="34" t="n">
        <v>86.55</v>
      </c>
      <c r="H876" s="34" t="n">
        <v>105.12</v>
      </c>
      <c r="I876" s="34" t="n">
        <v>106.78</v>
      </c>
      <c r="J876" s="34" t="n">
        <v>122</v>
      </c>
      <c r="K876" s="34" t="n">
        <v>352.99</v>
      </c>
      <c r="L876" s="34" t="n">
        <f aca="false">AVERAGE(C876:E876)</f>
        <v>36.7533333333333</v>
      </c>
      <c r="M876" s="34" t="n">
        <f aca="false">AVERAGE(C876:J876)</f>
        <v>73.86375</v>
      </c>
    </row>
    <row r="877" customFormat="false" ht="15.75" hidden="false" customHeight="true" outlineLevel="0" collapsed="false">
      <c r="A877" s="34" t="s">
        <v>1176</v>
      </c>
      <c r="B877" s="34" t="n">
        <v>378.05</v>
      </c>
      <c r="C877" s="34" t="n">
        <v>-66.67</v>
      </c>
      <c r="D877" s="34" t="n">
        <v>-133.33</v>
      </c>
      <c r="E877" s="34" t="n">
        <v>-16.72</v>
      </c>
      <c r="F877" s="34" t="n">
        <v>-98.33</v>
      </c>
      <c r="G877" s="34" t="n">
        <v>-145.49</v>
      </c>
      <c r="H877" s="34" t="n">
        <v>-124.36</v>
      </c>
      <c r="I877" s="34" t="n">
        <v>-43.14</v>
      </c>
      <c r="J877" s="34" t="n">
        <v>-8.57</v>
      </c>
      <c r="K877" s="34" t="n">
        <v>404.51</v>
      </c>
      <c r="L877" s="34" t="n">
        <f aca="false">AVERAGE(C877:E877)</f>
        <v>-72.24</v>
      </c>
      <c r="M877" s="34" t="n">
        <f aca="false">AVERAGE(C877:J877)</f>
        <v>-79.57625</v>
      </c>
    </row>
    <row r="878" customFormat="false" ht="15.75" hidden="false" customHeight="true" outlineLevel="0" collapsed="false">
      <c r="A878" s="34" t="s">
        <v>537</v>
      </c>
      <c r="B878" s="34" t="n">
        <v>377.2</v>
      </c>
      <c r="C878" s="34" t="n">
        <v>66.67</v>
      </c>
      <c r="D878" s="34" t="n">
        <v>133.33</v>
      </c>
      <c r="E878" s="34" t="n">
        <v>114.77</v>
      </c>
      <c r="F878" s="34" t="n">
        <v>45.97</v>
      </c>
      <c r="G878" s="34" t="n">
        <v>70.14</v>
      </c>
      <c r="H878" s="34" t="n">
        <v>94.1</v>
      </c>
      <c r="I878" s="34" t="n">
        <v>117.8</v>
      </c>
      <c r="J878" s="34" t="n">
        <v>129.69</v>
      </c>
      <c r="K878" s="34" t="n">
        <v>349.92</v>
      </c>
      <c r="L878" s="34" t="n">
        <f aca="false">AVERAGE(C878:E878)</f>
        <v>104.923333333333</v>
      </c>
      <c r="M878" s="34" t="n">
        <f aca="false">AVERAGE(C878:J878)</f>
        <v>96.55875</v>
      </c>
    </row>
    <row r="879" customFormat="false" ht="15.75" hidden="false" customHeight="true" outlineLevel="0" collapsed="false">
      <c r="A879" s="34" t="s">
        <v>436</v>
      </c>
      <c r="B879" s="34" t="n">
        <v>376.5</v>
      </c>
      <c r="C879" s="34" t="n">
        <v>-66.67</v>
      </c>
      <c r="D879" s="34" t="n">
        <v>33.96</v>
      </c>
      <c r="E879" s="34" t="n">
        <v>106.42</v>
      </c>
      <c r="F879" s="34" t="n">
        <v>151.5</v>
      </c>
      <c r="G879" s="34" t="n">
        <v>157.59</v>
      </c>
      <c r="H879" s="34" t="n">
        <v>149.79</v>
      </c>
      <c r="I879" s="34" t="n">
        <v>138.41</v>
      </c>
      <c r="J879" s="34" t="n">
        <v>137.61</v>
      </c>
      <c r="K879" s="34" t="n">
        <v>362.06</v>
      </c>
      <c r="L879" s="34" t="n">
        <f aca="false">AVERAGE(C879:E879)</f>
        <v>24.57</v>
      </c>
      <c r="M879" s="34" t="n">
        <f aca="false">AVERAGE(C879:J879)</f>
        <v>101.07625</v>
      </c>
    </row>
    <row r="880" customFormat="false" ht="15.75" hidden="false" customHeight="true" outlineLevel="0" collapsed="false">
      <c r="A880" s="34" t="s">
        <v>1177</v>
      </c>
      <c r="B880" s="34" t="n">
        <v>376.4</v>
      </c>
      <c r="C880" s="34" t="n">
        <v>-66.67</v>
      </c>
      <c r="D880" s="34" t="n">
        <v>61.64</v>
      </c>
      <c r="E880" s="34" t="n">
        <v>71.99</v>
      </c>
      <c r="F880" s="34" t="n">
        <v>86.61</v>
      </c>
      <c r="G880" s="34" t="n">
        <v>152.57</v>
      </c>
      <c r="H880" s="34" t="n">
        <v>223.85</v>
      </c>
      <c r="I880" s="34" t="n">
        <v>286.62</v>
      </c>
      <c r="J880" s="34" t="n">
        <v>347.81</v>
      </c>
      <c r="K880" s="34" t="n">
        <v>381.87</v>
      </c>
      <c r="L880" s="34" t="n">
        <f aca="false">AVERAGE(C880:E880)</f>
        <v>22.32</v>
      </c>
      <c r="M880" s="34" t="n">
        <f aca="false">AVERAGE(C880:J880)</f>
        <v>145.5525</v>
      </c>
    </row>
    <row r="881" customFormat="false" ht="15.75" hidden="false" customHeight="true" outlineLevel="0" collapsed="false">
      <c r="A881" s="34" t="s">
        <v>196</v>
      </c>
      <c r="B881" s="34" t="n">
        <v>375.6</v>
      </c>
      <c r="C881" s="34" t="n">
        <v>-66.67</v>
      </c>
      <c r="D881" s="34" t="n">
        <v>-133.33</v>
      </c>
      <c r="E881" s="34" t="n">
        <v>-159.83</v>
      </c>
      <c r="F881" s="34" t="n">
        <v>-138.39</v>
      </c>
      <c r="G881" s="34" t="n">
        <v>-182.23</v>
      </c>
      <c r="H881" s="34" t="n">
        <v>-161.2</v>
      </c>
      <c r="I881" s="34" t="n">
        <v>-141.78</v>
      </c>
      <c r="J881" s="34" t="n">
        <v>-123.08</v>
      </c>
      <c r="K881" s="34" t="n">
        <v>390.97</v>
      </c>
      <c r="L881" s="34" t="n">
        <f aca="false">AVERAGE(C881:E881)</f>
        <v>-119.943333333333</v>
      </c>
      <c r="M881" s="34" t="n">
        <f aca="false">AVERAGE(C881:J881)</f>
        <v>-138.31375</v>
      </c>
    </row>
    <row r="882" customFormat="false" ht="15.75" hidden="false" customHeight="true" outlineLevel="0" collapsed="false">
      <c r="A882" s="34" t="s">
        <v>168</v>
      </c>
      <c r="B882" s="34" t="n">
        <v>375.4</v>
      </c>
      <c r="C882" s="34" t="n">
        <v>-66.67</v>
      </c>
      <c r="D882" s="34" t="n">
        <v>-5.09</v>
      </c>
      <c r="E882" s="34" t="n">
        <v>62.92</v>
      </c>
      <c r="F882" s="34" t="n">
        <v>-74.77</v>
      </c>
      <c r="G882" s="34" t="n">
        <v>-116.25</v>
      </c>
      <c r="H882" s="34" t="n">
        <v>-110.64</v>
      </c>
      <c r="I882" s="34" t="n">
        <v>-96.01</v>
      </c>
      <c r="J882" s="34" t="n">
        <v>-88.92</v>
      </c>
      <c r="K882" s="34" t="n">
        <v>392.83</v>
      </c>
      <c r="L882" s="34" t="n">
        <f aca="false">AVERAGE(C882:E882)</f>
        <v>-2.94666666666667</v>
      </c>
      <c r="M882" s="34" t="n">
        <f aca="false">AVERAGE(C882:J882)</f>
        <v>-61.92875</v>
      </c>
    </row>
    <row r="883" customFormat="false" ht="15.75" hidden="false" customHeight="true" outlineLevel="0" collapsed="false">
      <c r="A883" s="34" t="s">
        <v>1178</v>
      </c>
      <c r="B883" s="34" t="n">
        <v>375</v>
      </c>
      <c r="C883" s="34" t="n">
        <v>-66.67</v>
      </c>
      <c r="D883" s="34" t="n">
        <v>-73.19</v>
      </c>
      <c r="E883" s="34" t="n">
        <v>7.31</v>
      </c>
      <c r="F883" s="34" t="n">
        <v>-36.38</v>
      </c>
      <c r="G883" s="34" t="n">
        <v>-74.51</v>
      </c>
      <c r="H883" s="34" t="n">
        <v>-84.82</v>
      </c>
      <c r="I883" s="34" t="n">
        <v>-49.03</v>
      </c>
      <c r="J883" s="34" t="n">
        <v>-59.66</v>
      </c>
      <c r="K883" s="34" t="n">
        <v>386.96</v>
      </c>
      <c r="L883" s="34" t="n">
        <f aca="false">AVERAGE(C883:E883)</f>
        <v>-44.1833333333333</v>
      </c>
      <c r="M883" s="34" t="n">
        <f aca="false">AVERAGE(C883:J883)</f>
        <v>-54.61875</v>
      </c>
    </row>
    <row r="884" customFormat="false" ht="15.75" hidden="false" customHeight="true" outlineLevel="0" collapsed="false">
      <c r="A884" s="34" t="s">
        <v>160</v>
      </c>
      <c r="B884" s="34" t="n">
        <v>374.85</v>
      </c>
      <c r="C884" s="34" t="n">
        <v>66.67</v>
      </c>
      <c r="D884" s="34" t="n">
        <v>-18.96</v>
      </c>
      <c r="E884" s="34" t="n">
        <v>-92.57</v>
      </c>
      <c r="F884" s="34" t="n">
        <v>-108.52</v>
      </c>
      <c r="G884" s="34" t="n">
        <v>-121.06</v>
      </c>
      <c r="H884" s="34" t="n">
        <v>-2.34</v>
      </c>
      <c r="I884" s="34" t="n">
        <v>30.79</v>
      </c>
      <c r="J884" s="34" t="n">
        <v>47.7</v>
      </c>
      <c r="K884" s="34" t="n">
        <v>390.45</v>
      </c>
      <c r="L884" s="34" t="n">
        <f aca="false">AVERAGE(C884:E884)</f>
        <v>-14.9533333333333</v>
      </c>
      <c r="M884" s="34" t="n">
        <f aca="false">AVERAGE(C884:J884)</f>
        <v>-24.78625</v>
      </c>
    </row>
    <row r="885" customFormat="false" ht="15.75" hidden="false" customHeight="true" outlineLevel="0" collapsed="false">
      <c r="A885" s="34" t="s">
        <v>1179</v>
      </c>
      <c r="B885" s="34" t="n">
        <v>374.75</v>
      </c>
      <c r="C885" s="34" t="n">
        <v>66.67</v>
      </c>
      <c r="D885" s="34" t="n">
        <v>101.56</v>
      </c>
      <c r="E885" s="34" t="n">
        <v>111.53</v>
      </c>
      <c r="F885" s="34" t="n">
        <v>16.39</v>
      </c>
      <c r="G885" s="34" t="n">
        <v>52.74</v>
      </c>
      <c r="H885" s="34" t="n">
        <v>69.73</v>
      </c>
      <c r="I885" s="34" t="n">
        <v>87.05</v>
      </c>
      <c r="J885" s="34" t="n">
        <v>97.24</v>
      </c>
      <c r="K885" s="34" t="n">
        <v>350.64</v>
      </c>
      <c r="L885" s="34" t="n">
        <f aca="false">AVERAGE(C885:E885)</f>
        <v>93.2533333333333</v>
      </c>
      <c r="M885" s="34" t="n">
        <f aca="false">AVERAGE(C885:J885)</f>
        <v>75.36375</v>
      </c>
    </row>
    <row r="886" customFormat="false" ht="15.75" hidden="false" customHeight="true" outlineLevel="0" collapsed="false">
      <c r="A886" s="34" t="s">
        <v>1180</v>
      </c>
      <c r="B886" s="34" t="n">
        <v>374.6</v>
      </c>
      <c r="C886" s="34" t="n">
        <v>66.67</v>
      </c>
      <c r="D886" s="34" t="n">
        <v>60.8</v>
      </c>
      <c r="E886" s="34" t="n">
        <v>94.03</v>
      </c>
      <c r="F886" s="34" t="n">
        <v>167.35</v>
      </c>
      <c r="G886" s="34" t="n">
        <v>249.92</v>
      </c>
      <c r="H886" s="34" t="n">
        <v>174.76</v>
      </c>
      <c r="I886" s="34" t="n">
        <v>189.54</v>
      </c>
      <c r="J886" s="34" t="n">
        <v>203.77</v>
      </c>
      <c r="K886" s="34" t="n">
        <v>339.73</v>
      </c>
      <c r="L886" s="34" t="n">
        <f aca="false">AVERAGE(C886:E886)</f>
        <v>73.8333333333333</v>
      </c>
      <c r="M886" s="34" t="n">
        <f aca="false">AVERAGE(C886:J886)</f>
        <v>150.855</v>
      </c>
    </row>
    <row r="887" customFormat="false" ht="15.75" hidden="false" customHeight="true" outlineLevel="0" collapsed="false">
      <c r="A887" s="34" t="s">
        <v>161</v>
      </c>
      <c r="B887" s="34" t="n">
        <v>374.45</v>
      </c>
      <c r="C887" s="34" t="n">
        <v>-66.67</v>
      </c>
      <c r="D887" s="34" t="n">
        <v>-92.51</v>
      </c>
      <c r="E887" s="34" t="n">
        <v>-151.02</v>
      </c>
      <c r="F887" s="34" t="n">
        <v>-116.68</v>
      </c>
      <c r="G887" s="34" t="n">
        <v>-141.55</v>
      </c>
      <c r="H887" s="34" t="n">
        <v>-136.89</v>
      </c>
      <c r="I887" s="34" t="n">
        <v>-108.52</v>
      </c>
      <c r="J887" s="34" t="n">
        <v>-73.99</v>
      </c>
      <c r="K887" s="34" t="n">
        <v>387.24</v>
      </c>
      <c r="L887" s="34" t="n">
        <f aca="false">AVERAGE(C887:E887)</f>
        <v>-103.4</v>
      </c>
      <c r="M887" s="34" t="n">
        <f aca="false">AVERAGE(C887:J887)</f>
        <v>-110.97875</v>
      </c>
    </row>
    <row r="888" customFormat="false" ht="15.75" hidden="false" customHeight="true" outlineLevel="0" collapsed="false">
      <c r="A888" s="34" t="s">
        <v>1181</v>
      </c>
      <c r="B888" s="34" t="n">
        <v>373.65</v>
      </c>
      <c r="C888" s="34" t="n">
        <v>-66.67</v>
      </c>
      <c r="D888" s="34" t="n">
        <v>-4.65</v>
      </c>
      <c r="E888" s="34" t="n">
        <v>76.33</v>
      </c>
      <c r="F888" s="34" t="n">
        <v>108.77</v>
      </c>
      <c r="G888" s="34" t="n">
        <v>97.27</v>
      </c>
      <c r="H888" s="34" t="n">
        <v>125.01</v>
      </c>
      <c r="I888" s="34" t="n">
        <v>140.62</v>
      </c>
      <c r="J888" s="34" t="n">
        <v>59.59</v>
      </c>
      <c r="K888" s="34" t="n">
        <v>352.1</v>
      </c>
      <c r="L888" s="34" t="n">
        <f aca="false">AVERAGE(C888:E888)</f>
        <v>1.67</v>
      </c>
      <c r="M888" s="34" t="n">
        <f aca="false">AVERAGE(C888:J888)</f>
        <v>67.03375</v>
      </c>
    </row>
    <row r="889" customFormat="false" ht="15.75" hidden="false" customHeight="true" outlineLevel="0" collapsed="false">
      <c r="A889" s="34" t="s">
        <v>348</v>
      </c>
      <c r="B889" s="34" t="n">
        <v>372.8</v>
      </c>
      <c r="C889" s="34" t="n">
        <v>-66.67</v>
      </c>
      <c r="D889" s="34" t="n">
        <v>43.46</v>
      </c>
      <c r="E889" s="34" t="n">
        <v>84.78</v>
      </c>
      <c r="F889" s="34" t="n">
        <v>-39.04</v>
      </c>
      <c r="G889" s="34" t="n">
        <v>-88.67</v>
      </c>
      <c r="H889" s="34" t="n">
        <v>-61.14</v>
      </c>
      <c r="I889" s="34" t="n">
        <v>-28.87</v>
      </c>
      <c r="J889" s="34" t="n">
        <v>-54.54</v>
      </c>
      <c r="K889" s="34" t="n">
        <v>343.65</v>
      </c>
      <c r="L889" s="34" t="n">
        <f aca="false">AVERAGE(C889:E889)</f>
        <v>20.5233333333333</v>
      </c>
      <c r="M889" s="34" t="n">
        <f aca="false">AVERAGE(C889:J889)</f>
        <v>-26.33625</v>
      </c>
    </row>
    <row r="890" customFormat="false" ht="15.75" hidden="false" customHeight="true" outlineLevel="0" collapsed="false">
      <c r="A890" s="34" t="s">
        <v>538</v>
      </c>
      <c r="B890" s="34" t="n">
        <v>372.65</v>
      </c>
      <c r="C890" s="34" t="n">
        <v>-66.67</v>
      </c>
      <c r="D890" s="34" t="n">
        <v>-75.96</v>
      </c>
      <c r="E890" s="34" t="n">
        <v>59.21</v>
      </c>
      <c r="F890" s="34" t="n">
        <v>-43.94</v>
      </c>
      <c r="G890" s="34" t="n">
        <v>-62.3</v>
      </c>
      <c r="H890" s="34" t="n">
        <v>-39.2</v>
      </c>
      <c r="I890" s="34" t="n">
        <v>11.18</v>
      </c>
      <c r="J890" s="34" t="n">
        <v>13.17</v>
      </c>
      <c r="K890" s="34" t="n">
        <v>377.77</v>
      </c>
      <c r="L890" s="34" t="n">
        <f aca="false">AVERAGE(C890:E890)</f>
        <v>-27.8066666666667</v>
      </c>
      <c r="M890" s="34" t="n">
        <f aca="false">AVERAGE(C890:J890)</f>
        <v>-25.56375</v>
      </c>
    </row>
    <row r="891" customFormat="false" ht="15.75" hidden="false" customHeight="true" outlineLevel="0" collapsed="false">
      <c r="A891" s="34" t="s">
        <v>1182</v>
      </c>
      <c r="B891" s="34" t="n">
        <v>371.15</v>
      </c>
      <c r="C891" s="34" t="n">
        <v>66.67</v>
      </c>
      <c r="D891" s="34" t="n">
        <v>127.86</v>
      </c>
      <c r="E891" s="34" t="n">
        <v>150.39</v>
      </c>
      <c r="F891" s="34" t="n">
        <v>-4.43</v>
      </c>
      <c r="G891" s="34" t="n">
        <v>46.19</v>
      </c>
      <c r="H891" s="34" t="n">
        <v>74.61</v>
      </c>
      <c r="I891" s="34" t="n">
        <v>98.01</v>
      </c>
      <c r="J891" s="34" t="n">
        <v>89.1</v>
      </c>
      <c r="K891" s="34" t="n">
        <v>317.7</v>
      </c>
      <c r="L891" s="34" t="n">
        <f aca="false">AVERAGE(C891:E891)</f>
        <v>114.973333333333</v>
      </c>
      <c r="M891" s="34" t="n">
        <f aca="false">AVERAGE(C891:J891)</f>
        <v>81.05</v>
      </c>
    </row>
    <row r="892" customFormat="false" ht="15.75" hidden="false" customHeight="true" outlineLevel="0" collapsed="false">
      <c r="A892" s="34" t="s">
        <v>1183</v>
      </c>
      <c r="B892" s="34" t="n">
        <v>371</v>
      </c>
      <c r="C892" s="34" t="n">
        <v>-66.67</v>
      </c>
      <c r="D892" s="34" t="n">
        <v>-128.33</v>
      </c>
      <c r="E892" s="34" t="n">
        <v>-26.71</v>
      </c>
      <c r="F892" s="34" t="n">
        <v>-81.4</v>
      </c>
      <c r="G892" s="34" t="n">
        <v>-119.77</v>
      </c>
      <c r="H892" s="34" t="n">
        <v>-100.22</v>
      </c>
      <c r="I892" s="34" t="n">
        <v>-40.41</v>
      </c>
      <c r="J892" s="34" t="n">
        <v>-47.35</v>
      </c>
      <c r="K892" s="34" t="n">
        <v>390.57</v>
      </c>
      <c r="L892" s="34" t="n">
        <f aca="false">AVERAGE(C892:E892)</f>
        <v>-73.9033333333334</v>
      </c>
      <c r="M892" s="34" t="n">
        <f aca="false">AVERAGE(C892:J892)</f>
        <v>-76.3575</v>
      </c>
    </row>
    <row r="893" customFormat="false" ht="15.75" hidden="false" customHeight="true" outlineLevel="0" collapsed="false">
      <c r="A893" s="34" t="s">
        <v>1184</v>
      </c>
      <c r="B893" s="34" t="n">
        <v>370.2</v>
      </c>
      <c r="C893" s="34" t="n">
        <v>-66.67</v>
      </c>
      <c r="D893" s="34" t="n">
        <v>-114.06</v>
      </c>
      <c r="E893" s="34" t="n">
        <v>36.13</v>
      </c>
      <c r="F893" s="34" t="n">
        <v>-72.21</v>
      </c>
      <c r="G893" s="34" t="n">
        <v>-70.21</v>
      </c>
      <c r="H893" s="34" t="n">
        <v>-39.78</v>
      </c>
      <c r="I893" s="34" t="n">
        <v>-13.58</v>
      </c>
      <c r="J893" s="34" t="n">
        <v>-16.7</v>
      </c>
      <c r="K893" s="34" t="n">
        <v>390.45</v>
      </c>
      <c r="L893" s="34" t="n">
        <f aca="false">AVERAGE(C893:E893)</f>
        <v>-48.2</v>
      </c>
      <c r="M893" s="34" t="n">
        <f aca="false">AVERAGE(C893:J893)</f>
        <v>-44.635</v>
      </c>
    </row>
    <row r="894" customFormat="false" ht="15.75" hidden="false" customHeight="true" outlineLevel="0" collapsed="false">
      <c r="A894" s="34" t="s">
        <v>1185</v>
      </c>
      <c r="B894" s="34" t="n">
        <v>370</v>
      </c>
      <c r="C894" s="34" t="n">
        <v>-66.67</v>
      </c>
      <c r="D894" s="34" t="n">
        <v>-67.74</v>
      </c>
      <c r="E894" s="34" t="n">
        <v>-52.94</v>
      </c>
      <c r="F894" s="34" t="n">
        <v>-109.99</v>
      </c>
      <c r="G894" s="34" t="n">
        <v>-164.6</v>
      </c>
      <c r="H894" s="34" t="n">
        <v>-197.22</v>
      </c>
      <c r="I894" s="34" t="n">
        <v>-207.37</v>
      </c>
      <c r="J894" s="34" t="n">
        <v>-173.17</v>
      </c>
      <c r="K894" s="34" t="n">
        <v>395.33</v>
      </c>
      <c r="L894" s="34" t="n">
        <f aca="false">AVERAGE(C894:E894)</f>
        <v>-62.45</v>
      </c>
      <c r="M894" s="34" t="n">
        <f aca="false">AVERAGE(C894:J894)</f>
        <v>-129.9625</v>
      </c>
    </row>
    <row r="895" customFormat="false" ht="15.75" hidden="false" customHeight="true" outlineLevel="0" collapsed="false">
      <c r="A895" s="34" t="s">
        <v>1186</v>
      </c>
      <c r="B895" s="34" t="n">
        <v>369</v>
      </c>
      <c r="C895" s="34" t="n">
        <v>66.67</v>
      </c>
      <c r="D895" s="34" t="n">
        <v>47.89</v>
      </c>
      <c r="E895" s="34" t="n">
        <v>46.32</v>
      </c>
      <c r="F895" s="34" t="n">
        <v>-63.12</v>
      </c>
      <c r="G895" s="34" t="n">
        <v>-83.47</v>
      </c>
      <c r="H895" s="34" t="n">
        <v>-109.84</v>
      </c>
      <c r="I895" s="34" t="n">
        <v>-115.95</v>
      </c>
      <c r="J895" s="34" t="n">
        <v>-115.77</v>
      </c>
      <c r="K895" s="34" t="n">
        <v>380.71</v>
      </c>
      <c r="L895" s="34" t="n">
        <f aca="false">AVERAGE(C895:E895)</f>
        <v>53.6266666666667</v>
      </c>
      <c r="M895" s="34" t="n">
        <f aca="false">AVERAGE(C895:J895)</f>
        <v>-40.90875</v>
      </c>
    </row>
    <row r="896" customFormat="false" ht="15.75" hidden="false" customHeight="true" outlineLevel="0" collapsed="false">
      <c r="A896" s="34" t="s">
        <v>399</v>
      </c>
      <c r="B896" s="34" t="n">
        <v>368.55</v>
      </c>
      <c r="C896" s="34" t="n">
        <v>-66.67</v>
      </c>
      <c r="D896" s="34" t="n">
        <v>42.6</v>
      </c>
      <c r="E896" s="34" t="n">
        <v>94.24</v>
      </c>
      <c r="F896" s="34" t="n">
        <v>113.64</v>
      </c>
      <c r="G896" s="34" t="n">
        <v>25.69</v>
      </c>
      <c r="H896" s="34" t="n">
        <v>35.23</v>
      </c>
      <c r="I896" s="34" t="n">
        <v>56.91</v>
      </c>
      <c r="J896" s="34" t="n">
        <v>61.97</v>
      </c>
      <c r="K896" s="34" t="n">
        <v>349.26</v>
      </c>
      <c r="L896" s="34" t="n">
        <f aca="false">AVERAGE(C896:E896)</f>
        <v>23.39</v>
      </c>
      <c r="M896" s="34" t="n">
        <f aca="false">AVERAGE(C896:J896)</f>
        <v>45.45125</v>
      </c>
    </row>
    <row r="897" customFormat="false" ht="15.75" hidden="false" customHeight="true" outlineLevel="0" collapsed="false">
      <c r="A897" s="34" t="s">
        <v>320</v>
      </c>
      <c r="B897" s="34" t="n">
        <v>368.15</v>
      </c>
      <c r="C897" s="34" t="n">
        <v>-66.67</v>
      </c>
      <c r="D897" s="34" t="n">
        <v>-77.37</v>
      </c>
      <c r="E897" s="34" t="n">
        <v>-78.65</v>
      </c>
      <c r="F897" s="34" t="n">
        <v>-90.63</v>
      </c>
      <c r="G897" s="34" t="n">
        <v>-60.63</v>
      </c>
      <c r="H897" s="34" t="n">
        <v>-51.93</v>
      </c>
      <c r="I897" s="34" t="n">
        <v>-25.79</v>
      </c>
      <c r="J897" s="34" t="n">
        <v>-45.82</v>
      </c>
      <c r="K897" s="34" t="n">
        <v>389.9</v>
      </c>
      <c r="L897" s="34" t="n">
        <f aca="false">AVERAGE(C897:E897)</f>
        <v>-74.23</v>
      </c>
      <c r="M897" s="34" t="n">
        <f aca="false">AVERAGE(C897:J897)</f>
        <v>-62.18625</v>
      </c>
    </row>
    <row r="898" customFormat="false" ht="15.75" hidden="false" customHeight="true" outlineLevel="0" collapsed="false">
      <c r="A898" s="34" t="s">
        <v>408</v>
      </c>
      <c r="B898" s="34" t="n">
        <v>368</v>
      </c>
      <c r="C898" s="34" t="n">
        <v>-66.67</v>
      </c>
      <c r="D898" s="34" t="n">
        <v>59.21</v>
      </c>
      <c r="E898" s="34" t="n">
        <v>113.18</v>
      </c>
      <c r="F898" s="34" t="n">
        <v>133.5</v>
      </c>
      <c r="G898" s="34" t="n">
        <v>141.55</v>
      </c>
      <c r="H898" s="34" t="n">
        <v>107.05</v>
      </c>
      <c r="I898" s="34" t="n">
        <v>112.18</v>
      </c>
      <c r="J898" s="34" t="n">
        <v>128.73</v>
      </c>
      <c r="K898" s="34" t="n">
        <v>346.41</v>
      </c>
      <c r="L898" s="34" t="n">
        <f aca="false">AVERAGE(C898:E898)</f>
        <v>35.24</v>
      </c>
      <c r="M898" s="34" t="n">
        <f aca="false">AVERAGE(C898:J898)</f>
        <v>91.09125</v>
      </c>
    </row>
    <row r="899" customFormat="false" ht="15.75" hidden="false" customHeight="true" outlineLevel="0" collapsed="false">
      <c r="A899" s="34" t="s">
        <v>1187</v>
      </c>
      <c r="B899" s="34" t="n">
        <v>367.25</v>
      </c>
      <c r="C899" s="34" t="n">
        <v>-66.67</v>
      </c>
      <c r="D899" s="34" t="n">
        <v>-104.7</v>
      </c>
      <c r="E899" s="34" t="n">
        <v>-92.66</v>
      </c>
      <c r="F899" s="34" t="n">
        <v>-112.69</v>
      </c>
      <c r="G899" s="34" t="n">
        <v>-164.26</v>
      </c>
      <c r="H899" s="34" t="n">
        <v>-145.21</v>
      </c>
      <c r="I899" s="34" t="n">
        <v>-46.13</v>
      </c>
      <c r="J899" s="34" t="n">
        <v>-41.47</v>
      </c>
      <c r="K899" s="34" t="n">
        <v>393.34</v>
      </c>
      <c r="L899" s="34" t="n">
        <f aca="false">AVERAGE(C899:E899)</f>
        <v>-88.01</v>
      </c>
      <c r="M899" s="34" t="n">
        <f aca="false">AVERAGE(C899:J899)</f>
        <v>-96.72375</v>
      </c>
    </row>
    <row r="900" customFormat="false" ht="15.75" hidden="false" customHeight="true" outlineLevel="0" collapsed="false">
      <c r="A900" s="34" t="s">
        <v>1188</v>
      </c>
      <c r="B900" s="34" t="n">
        <v>365.6</v>
      </c>
      <c r="C900" s="34" t="n">
        <v>-66.67</v>
      </c>
      <c r="D900" s="34" t="n">
        <v>-133.33</v>
      </c>
      <c r="E900" s="34" t="n">
        <v>-87.01</v>
      </c>
      <c r="F900" s="34" t="n">
        <v>-80.88</v>
      </c>
      <c r="G900" s="34" t="n">
        <v>-137.55</v>
      </c>
      <c r="H900" s="34" t="n">
        <v>-162.35</v>
      </c>
      <c r="I900" s="34" t="n">
        <v>-88.99</v>
      </c>
      <c r="J900" s="34" t="n">
        <v>-76.38</v>
      </c>
      <c r="K900" s="34" t="n">
        <v>391.31</v>
      </c>
      <c r="L900" s="34" t="n">
        <f aca="false">AVERAGE(C900:E900)</f>
        <v>-95.67</v>
      </c>
      <c r="M900" s="34" t="n">
        <f aca="false">AVERAGE(C900:J900)</f>
        <v>-104.145</v>
      </c>
    </row>
    <row r="901" customFormat="false" ht="15.75" hidden="false" customHeight="true" outlineLevel="0" collapsed="false">
      <c r="A901" s="34" t="s">
        <v>1189</v>
      </c>
      <c r="B901" s="34" t="n">
        <v>365</v>
      </c>
      <c r="C901" s="34" t="n">
        <v>66.67</v>
      </c>
      <c r="D901" s="34" t="n">
        <v>133.33</v>
      </c>
      <c r="E901" s="34" t="n">
        <v>15.58</v>
      </c>
      <c r="F901" s="34" t="n">
        <v>-76.07</v>
      </c>
      <c r="G901" s="34" t="n">
        <v>-74.02</v>
      </c>
      <c r="H901" s="34" t="n">
        <v>20.94</v>
      </c>
      <c r="I901" s="34" t="n">
        <v>46.31</v>
      </c>
      <c r="J901" s="34" t="n">
        <v>61.22</v>
      </c>
      <c r="K901" s="34" t="n">
        <v>381.34</v>
      </c>
      <c r="L901" s="34" t="n">
        <f aca="false">AVERAGE(C901:E901)</f>
        <v>71.86</v>
      </c>
      <c r="M901" s="34" t="n">
        <f aca="false">AVERAGE(C901:J901)</f>
        <v>24.245</v>
      </c>
    </row>
    <row r="902" customFormat="false" ht="15.75" hidden="false" customHeight="true" outlineLevel="0" collapsed="false">
      <c r="A902" s="34" t="s">
        <v>1190</v>
      </c>
      <c r="B902" s="34" t="n">
        <v>363.7</v>
      </c>
      <c r="C902" s="34" t="n">
        <v>66.67</v>
      </c>
      <c r="D902" s="34" t="n">
        <v>75.52</v>
      </c>
      <c r="E902" s="34" t="n">
        <v>6.47</v>
      </c>
      <c r="F902" s="34" t="n">
        <v>41.69</v>
      </c>
      <c r="G902" s="34" t="n">
        <v>57.9</v>
      </c>
      <c r="H902" s="34" t="n">
        <v>70.73</v>
      </c>
      <c r="I902" s="34" t="n">
        <v>88.79</v>
      </c>
      <c r="J902" s="34" t="n">
        <v>91.27</v>
      </c>
      <c r="K902" s="34" t="n">
        <v>376.89</v>
      </c>
      <c r="L902" s="34" t="n">
        <f aca="false">AVERAGE(C902:E902)</f>
        <v>49.5533333333333</v>
      </c>
      <c r="M902" s="34" t="n">
        <f aca="false">AVERAGE(C902:J902)</f>
        <v>62.38</v>
      </c>
    </row>
    <row r="903" customFormat="false" ht="15.75" hidden="false" customHeight="true" outlineLevel="0" collapsed="false">
      <c r="A903" s="34" t="s">
        <v>1191</v>
      </c>
      <c r="B903" s="34" t="n">
        <v>362.5</v>
      </c>
      <c r="C903" s="34" t="n">
        <v>-66.67</v>
      </c>
      <c r="D903" s="34" t="n">
        <v>-17.96</v>
      </c>
      <c r="E903" s="34" t="n">
        <v>26.09</v>
      </c>
      <c r="F903" s="34" t="n">
        <v>72.49</v>
      </c>
      <c r="G903" s="34" t="n">
        <v>60.72</v>
      </c>
      <c r="H903" s="34" t="n">
        <v>63.53</v>
      </c>
      <c r="I903" s="34" t="n">
        <v>75.96</v>
      </c>
      <c r="J903" s="34" t="n">
        <v>84.13</v>
      </c>
      <c r="K903" s="34" t="n">
        <v>344.14</v>
      </c>
      <c r="L903" s="34" t="n">
        <f aca="false">AVERAGE(C903:E903)</f>
        <v>-19.5133333333333</v>
      </c>
      <c r="M903" s="34" t="n">
        <f aca="false">AVERAGE(C903:J903)</f>
        <v>37.28625</v>
      </c>
    </row>
    <row r="904" customFormat="false" ht="15.75" hidden="false" customHeight="true" outlineLevel="0" collapsed="false">
      <c r="A904" s="34" t="s">
        <v>1192</v>
      </c>
      <c r="B904" s="34" t="n">
        <v>362.1</v>
      </c>
      <c r="C904" s="34" t="n">
        <v>-66.67</v>
      </c>
      <c r="D904" s="34" t="n">
        <v>-82.56</v>
      </c>
      <c r="E904" s="34" t="n">
        <v>-3.68</v>
      </c>
      <c r="F904" s="34" t="n">
        <v>-59.62</v>
      </c>
      <c r="G904" s="34" t="n">
        <v>-21.87</v>
      </c>
      <c r="H904" s="34" t="n">
        <v>-26.04</v>
      </c>
      <c r="I904" s="34" t="n">
        <v>13.28</v>
      </c>
      <c r="J904" s="34" t="n">
        <v>-23.7</v>
      </c>
      <c r="K904" s="34" t="n">
        <v>382.14</v>
      </c>
      <c r="L904" s="34" t="n">
        <f aca="false">AVERAGE(C904:E904)</f>
        <v>-50.97</v>
      </c>
      <c r="M904" s="34" t="n">
        <f aca="false">AVERAGE(C904:J904)</f>
        <v>-33.8575</v>
      </c>
    </row>
    <row r="905" customFormat="false" ht="15.75" hidden="false" customHeight="true" outlineLevel="0" collapsed="false">
      <c r="A905" s="34" t="s">
        <v>1193</v>
      </c>
      <c r="B905" s="34" t="n">
        <v>362</v>
      </c>
      <c r="C905" s="34" t="n">
        <v>-66.67</v>
      </c>
      <c r="D905" s="34" t="n">
        <v>51.93</v>
      </c>
      <c r="E905" s="34" t="n">
        <v>114.19</v>
      </c>
      <c r="F905" s="34" t="n">
        <v>64.75</v>
      </c>
      <c r="G905" s="34" t="n">
        <v>78.51</v>
      </c>
      <c r="H905" s="34" t="n">
        <v>71.08</v>
      </c>
      <c r="I905" s="34" t="n">
        <v>79.69</v>
      </c>
      <c r="J905" s="34" t="n">
        <v>91.81</v>
      </c>
      <c r="K905" s="34" t="n">
        <v>365.99</v>
      </c>
      <c r="L905" s="34" t="n">
        <f aca="false">AVERAGE(C905:E905)</f>
        <v>33.15</v>
      </c>
      <c r="M905" s="34" t="n">
        <f aca="false">AVERAGE(C905:J905)</f>
        <v>60.66125</v>
      </c>
    </row>
    <row r="906" customFormat="false" ht="15.75" hidden="false" customHeight="true" outlineLevel="0" collapsed="false">
      <c r="A906" s="34" t="s">
        <v>91</v>
      </c>
      <c r="B906" s="34" t="n">
        <v>359.5</v>
      </c>
      <c r="C906" s="34" t="n">
        <v>66.67</v>
      </c>
      <c r="D906" s="34" t="n">
        <v>-47.5</v>
      </c>
      <c r="E906" s="34" t="n">
        <v>28.29</v>
      </c>
      <c r="F906" s="34" t="n">
        <v>-75.8</v>
      </c>
      <c r="G906" s="34" t="n">
        <v>-22.26</v>
      </c>
      <c r="H906" s="34" t="n">
        <v>17.87</v>
      </c>
      <c r="I906" s="34" t="n">
        <v>39.55</v>
      </c>
      <c r="J906" s="34" t="n">
        <v>24.85</v>
      </c>
      <c r="K906" s="34" t="n">
        <v>341.67</v>
      </c>
      <c r="L906" s="34" t="n">
        <f aca="false">AVERAGE(C906:E906)</f>
        <v>15.82</v>
      </c>
      <c r="M906" s="34" t="n">
        <f aca="false">AVERAGE(C906:J906)</f>
        <v>3.95875</v>
      </c>
    </row>
    <row r="907" customFormat="false" ht="15.75" hidden="false" customHeight="true" outlineLevel="0" collapsed="false">
      <c r="A907" s="34" t="s">
        <v>1194</v>
      </c>
      <c r="B907" s="34" t="n">
        <v>358.75</v>
      </c>
      <c r="C907" s="34" t="n">
        <v>66.67</v>
      </c>
      <c r="D907" s="34" t="n">
        <v>98.93</v>
      </c>
      <c r="E907" s="34" t="n">
        <v>-5.59</v>
      </c>
      <c r="F907" s="34" t="n">
        <v>-50.37</v>
      </c>
      <c r="G907" s="34" t="n">
        <v>-66.79</v>
      </c>
      <c r="H907" s="34" t="n">
        <v>15.07</v>
      </c>
      <c r="I907" s="34" t="n">
        <v>42.19</v>
      </c>
      <c r="J907" s="34" t="n">
        <v>50.89</v>
      </c>
      <c r="K907" s="34" t="n">
        <v>376.29</v>
      </c>
      <c r="L907" s="34" t="n">
        <f aca="false">AVERAGE(C907:E907)</f>
        <v>53.3366666666667</v>
      </c>
      <c r="M907" s="34" t="n">
        <f aca="false">AVERAGE(C907:J907)</f>
        <v>18.875</v>
      </c>
    </row>
    <row r="908" customFormat="false" ht="15.75" hidden="false" customHeight="true" outlineLevel="0" collapsed="false">
      <c r="A908" s="34" t="s">
        <v>1195</v>
      </c>
      <c r="B908" s="34" t="n">
        <v>358.25</v>
      </c>
      <c r="C908" s="34" t="n">
        <v>66.67</v>
      </c>
      <c r="D908" s="34" t="n">
        <v>98.95</v>
      </c>
      <c r="E908" s="34" t="n">
        <v>48.59</v>
      </c>
      <c r="F908" s="34" t="n">
        <v>90.65</v>
      </c>
      <c r="G908" s="34" t="n">
        <v>82.4</v>
      </c>
      <c r="H908" s="34" t="n">
        <v>18.37</v>
      </c>
      <c r="I908" s="34" t="n">
        <v>0.287</v>
      </c>
      <c r="J908" s="34" t="n">
        <v>-36.12</v>
      </c>
      <c r="K908" s="34" t="n">
        <v>340.14</v>
      </c>
      <c r="L908" s="34" t="n">
        <f aca="false">AVERAGE(C908:E908)</f>
        <v>71.4033333333334</v>
      </c>
      <c r="M908" s="34" t="n">
        <f aca="false">AVERAGE(C908:J908)</f>
        <v>46.224625</v>
      </c>
    </row>
    <row r="909" customFormat="false" ht="15.75" hidden="false" customHeight="true" outlineLevel="0" collapsed="false">
      <c r="A909" s="34" t="s">
        <v>1196</v>
      </c>
      <c r="B909" s="34" t="n">
        <v>356.9</v>
      </c>
      <c r="C909" s="34" t="n">
        <v>-66.67</v>
      </c>
      <c r="D909" s="34" t="n">
        <v>-116.76</v>
      </c>
      <c r="E909" s="34" t="n">
        <v>-129.24</v>
      </c>
      <c r="F909" s="34" t="n">
        <v>-211.26</v>
      </c>
      <c r="G909" s="34" t="n">
        <v>-189.17</v>
      </c>
      <c r="H909" s="34" t="n">
        <v>-159.27</v>
      </c>
      <c r="I909" s="34" t="n">
        <v>-169.22</v>
      </c>
      <c r="J909" s="34" t="n">
        <v>-172.62</v>
      </c>
      <c r="K909" s="34" t="n">
        <v>379.45</v>
      </c>
      <c r="L909" s="34" t="n">
        <f aca="false">AVERAGE(C909:E909)</f>
        <v>-104.223333333333</v>
      </c>
      <c r="M909" s="34" t="n">
        <f aca="false">AVERAGE(C909:J909)</f>
        <v>-151.77625</v>
      </c>
    </row>
    <row r="910" customFormat="false" ht="15.75" hidden="false" customHeight="true" outlineLevel="0" collapsed="false">
      <c r="A910" s="34" t="s">
        <v>1197</v>
      </c>
      <c r="B910" s="34" t="n">
        <v>355</v>
      </c>
      <c r="C910" s="34" t="n">
        <v>-66.67</v>
      </c>
      <c r="D910" s="34" t="n">
        <v>-127.81</v>
      </c>
      <c r="E910" s="34" t="n">
        <v>-139.59</v>
      </c>
      <c r="F910" s="34" t="n">
        <v>-162.64</v>
      </c>
      <c r="G910" s="34" t="n">
        <v>-127.52</v>
      </c>
      <c r="H910" s="34" t="n">
        <v>-110.86</v>
      </c>
      <c r="I910" s="34" t="n">
        <v>-58.67</v>
      </c>
      <c r="J910" s="34" t="n">
        <v>-66.73</v>
      </c>
      <c r="K910" s="34" t="n">
        <v>391.93</v>
      </c>
      <c r="L910" s="34" t="n">
        <f aca="false">AVERAGE(C910:E910)</f>
        <v>-111.356666666667</v>
      </c>
      <c r="M910" s="34" t="n">
        <f aca="false">AVERAGE(C910:J910)</f>
        <v>-107.56125</v>
      </c>
    </row>
    <row r="911" customFormat="false" ht="15.75" hidden="false" customHeight="true" outlineLevel="0" collapsed="false">
      <c r="A911" s="34" t="s">
        <v>1198</v>
      </c>
      <c r="B911" s="34" t="n">
        <v>354.5</v>
      </c>
      <c r="C911" s="34" t="n">
        <v>-66.67</v>
      </c>
      <c r="D911" s="34" t="n">
        <v>20.94</v>
      </c>
      <c r="E911" s="34" t="n">
        <v>53.84</v>
      </c>
      <c r="F911" s="34" t="n">
        <v>58.97</v>
      </c>
      <c r="G911" s="34" t="n">
        <v>107.21</v>
      </c>
      <c r="H911" s="34" t="n">
        <v>143.78</v>
      </c>
      <c r="I911" s="34" t="n">
        <v>127.23</v>
      </c>
      <c r="J911" s="34" t="n">
        <v>135.75</v>
      </c>
      <c r="K911" s="34" t="n">
        <v>332.82</v>
      </c>
      <c r="L911" s="34" t="n">
        <f aca="false">AVERAGE(C911:E911)</f>
        <v>2.70333333333333</v>
      </c>
      <c r="M911" s="34" t="n">
        <f aca="false">AVERAGE(C911:J911)</f>
        <v>72.63125</v>
      </c>
    </row>
    <row r="912" customFormat="false" ht="15.75" hidden="false" customHeight="true" outlineLevel="0" collapsed="false">
      <c r="A912" s="34" t="s">
        <v>500</v>
      </c>
      <c r="B912" s="34" t="n">
        <v>354.5</v>
      </c>
      <c r="C912" s="34" t="n">
        <v>-66.67</v>
      </c>
      <c r="D912" s="34" t="n">
        <v>-60.64</v>
      </c>
      <c r="E912" s="34" t="n">
        <v>41.42</v>
      </c>
      <c r="F912" s="34" t="n">
        <v>-65.04</v>
      </c>
      <c r="G912" s="34" t="n">
        <v>-115.47</v>
      </c>
      <c r="H912" s="34" t="n">
        <v>-43.8</v>
      </c>
      <c r="I912" s="34" t="n">
        <v>-5.04</v>
      </c>
      <c r="J912" s="34" t="n">
        <v>-3.85</v>
      </c>
      <c r="K912" s="34" t="n">
        <v>371.71</v>
      </c>
      <c r="L912" s="34" t="n">
        <f aca="false">AVERAGE(C912:E912)</f>
        <v>-28.63</v>
      </c>
      <c r="M912" s="34" t="n">
        <f aca="false">AVERAGE(C912:J912)</f>
        <v>-39.88625</v>
      </c>
    </row>
    <row r="913" customFormat="false" ht="15.75" hidden="false" customHeight="true" outlineLevel="0" collapsed="false">
      <c r="A913" s="34" t="s">
        <v>190</v>
      </c>
      <c r="B913" s="34" t="n">
        <v>353.55</v>
      </c>
      <c r="C913" s="34" t="n">
        <v>66.67</v>
      </c>
      <c r="D913" s="34" t="n">
        <v>97.61</v>
      </c>
      <c r="E913" s="34" t="n">
        <v>149.92</v>
      </c>
      <c r="F913" s="34" t="n">
        <v>-36.9</v>
      </c>
      <c r="G913" s="34" t="n">
        <v>-90.99</v>
      </c>
      <c r="H913" s="34" t="n">
        <v>-128.02</v>
      </c>
      <c r="I913" s="34" t="n">
        <v>-58.56</v>
      </c>
      <c r="J913" s="34" t="n">
        <v>-44.71</v>
      </c>
      <c r="K913" s="34" t="n">
        <v>334.41</v>
      </c>
      <c r="L913" s="34" t="n">
        <f aca="false">AVERAGE(C913:E913)</f>
        <v>104.733333333333</v>
      </c>
      <c r="M913" s="34" t="n">
        <f aca="false">AVERAGE(C913:J913)</f>
        <v>-5.6225</v>
      </c>
    </row>
    <row r="914" customFormat="false" ht="15.75" hidden="false" customHeight="true" outlineLevel="0" collapsed="false">
      <c r="A914" s="34" t="s">
        <v>1199</v>
      </c>
      <c r="B914" s="34" t="n">
        <v>351.6</v>
      </c>
      <c r="C914" s="34" t="n">
        <v>66.67</v>
      </c>
      <c r="D914" s="34" t="n">
        <v>109.72</v>
      </c>
      <c r="E914" s="34" t="n">
        <v>149.56</v>
      </c>
      <c r="F914" s="34" t="n">
        <v>135.92</v>
      </c>
      <c r="G914" s="34"/>
      <c r="H914" s="34"/>
      <c r="I914" s="34"/>
      <c r="J914" s="34"/>
      <c r="K914" s="34" t="n">
        <v>313.08</v>
      </c>
      <c r="L914" s="34" t="n">
        <f aca="false">AVERAGE(C914:E914)</f>
        <v>108.65</v>
      </c>
      <c r="M914" s="34" t="n">
        <f aca="false">AVERAGE(C914:J914)</f>
        <v>115.4675</v>
      </c>
    </row>
    <row r="915" customFormat="false" ht="15.75" hidden="false" customHeight="true" outlineLevel="0" collapsed="false">
      <c r="A915" s="34" t="s">
        <v>1200</v>
      </c>
      <c r="B915" s="34" t="n">
        <v>350.95</v>
      </c>
      <c r="C915" s="34" t="n">
        <v>-66.67</v>
      </c>
      <c r="D915" s="34" t="n">
        <v>-16.59</v>
      </c>
      <c r="E915" s="34" t="n">
        <v>-19.53</v>
      </c>
      <c r="F915" s="34" t="n">
        <v>-101.88</v>
      </c>
      <c r="G915" s="34" t="n">
        <v>-147.52</v>
      </c>
      <c r="H915" s="34" t="n">
        <v>-154.18</v>
      </c>
      <c r="I915" s="34" t="n">
        <v>-150.24</v>
      </c>
      <c r="J915" s="34" t="n">
        <v>-153.68</v>
      </c>
      <c r="K915" s="34" t="n">
        <v>374.64</v>
      </c>
      <c r="L915" s="34" t="n">
        <f aca="false">AVERAGE(C915:E915)</f>
        <v>-34.2633333333333</v>
      </c>
      <c r="M915" s="34" t="n">
        <f aca="false">AVERAGE(C915:J915)</f>
        <v>-101.28625</v>
      </c>
    </row>
    <row r="916" customFormat="false" ht="15.75" hidden="false" customHeight="true" outlineLevel="0" collapsed="false">
      <c r="A916" s="34" t="s">
        <v>1201</v>
      </c>
      <c r="B916" s="34" t="n">
        <v>350.75</v>
      </c>
      <c r="C916" s="34" t="n">
        <v>-66.67</v>
      </c>
      <c r="D916" s="34" t="n">
        <v>-77.3</v>
      </c>
      <c r="E916" s="34" t="n">
        <v>-48.71</v>
      </c>
      <c r="F916" s="34" t="n">
        <v>-3.8</v>
      </c>
      <c r="G916" s="34" t="n">
        <v>59.9</v>
      </c>
      <c r="H916" s="34" t="n">
        <v>35.87</v>
      </c>
      <c r="I916" s="34" t="n">
        <v>59.79</v>
      </c>
      <c r="J916" s="34" t="n">
        <v>58.87</v>
      </c>
      <c r="K916" s="34" t="n">
        <v>345</v>
      </c>
      <c r="L916" s="34" t="n">
        <f aca="false">AVERAGE(C916:E916)</f>
        <v>-64.2266666666667</v>
      </c>
      <c r="M916" s="34" t="n">
        <f aca="false">AVERAGE(C916:J916)</f>
        <v>2.24375</v>
      </c>
    </row>
    <row r="917" customFormat="false" ht="15.75" hidden="false" customHeight="true" outlineLevel="0" collapsed="false">
      <c r="A917" s="34" t="s">
        <v>1202</v>
      </c>
      <c r="B917" s="34" t="n">
        <v>350.45</v>
      </c>
      <c r="C917" s="34" t="n">
        <v>66.67</v>
      </c>
      <c r="D917" s="34" t="n">
        <v>72.87</v>
      </c>
      <c r="E917" s="34" t="n">
        <v>124.83</v>
      </c>
      <c r="F917" s="34" t="n">
        <v>-63.57</v>
      </c>
      <c r="G917" s="34" t="n">
        <v>-85.82</v>
      </c>
      <c r="H917" s="34" t="n">
        <v>-72.24</v>
      </c>
      <c r="I917" s="34" t="n">
        <v>-44.86</v>
      </c>
      <c r="J917" s="34" t="n">
        <v>-62.26</v>
      </c>
      <c r="K917" s="34" t="n">
        <v>364.88</v>
      </c>
      <c r="L917" s="34" t="n">
        <f aca="false">AVERAGE(C917:E917)</f>
        <v>88.1233333333333</v>
      </c>
      <c r="M917" s="34" t="n">
        <f aca="false">AVERAGE(C917:J917)</f>
        <v>-8.0475</v>
      </c>
    </row>
    <row r="918" customFormat="false" ht="15.75" hidden="false" customHeight="true" outlineLevel="0" collapsed="false">
      <c r="A918" s="34" t="s">
        <v>1203</v>
      </c>
      <c r="B918" s="34" t="n">
        <v>349.85</v>
      </c>
      <c r="C918" s="34" t="n">
        <v>66.67</v>
      </c>
      <c r="D918" s="34" t="n">
        <v>67.98</v>
      </c>
      <c r="E918" s="34" t="n">
        <v>-55</v>
      </c>
      <c r="F918" s="34" t="n">
        <v>-120.55</v>
      </c>
      <c r="G918" s="34" t="n">
        <v>-170.7</v>
      </c>
      <c r="H918" s="34" t="n">
        <v>-166.6</v>
      </c>
      <c r="I918" s="34" t="n">
        <v>-150.35</v>
      </c>
      <c r="J918" s="34"/>
      <c r="K918" s="34" t="n">
        <v>382.02</v>
      </c>
      <c r="L918" s="34" t="n">
        <f aca="false">AVERAGE(C918:E918)</f>
        <v>26.55</v>
      </c>
      <c r="M918" s="34" t="n">
        <f aca="false">AVERAGE(C918:J918)</f>
        <v>-75.5071428571429</v>
      </c>
    </row>
    <row r="919" customFormat="false" ht="15.75" hidden="false" customHeight="true" outlineLevel="0" collapsed="false">
      <c r="A919" s="34" t="s">
        <v>1204</v>
      </c>
      <c r="B919" s="34" t="n">
        <v>349.15</v>
      </c>
      <c r="C919" s="34" t="n">
        <v>-66.67</v>
      </c>
      <c r="D919" s="34" t="n">
        <v>-38.27</v>
      </c>
      <c r="E919" s="34" t="n">
        <v>56.01</v>
      </c>
      <c r="F919" s="34" t="n">
        <v>-53.14</v>
      </c>
      <c r="G919" s="34" t="n">
        <v>-109.52</v>
      </c>
      <c r="H919" s="34" t="n">
        <v>-124.06</v>
      </c>
      <c r="I919" s="34" t="n">
        <v>-52.43</v>
      </c>
      <c r="J919" s="34" t="n">
        <v>-52.63</v>
      </c>
      <c r="K919" s="34" t="n">
        <v>359.1</v>
      </c>
      <c r="L919" s="34" t="n">
        <f aca="false">AVERAGE(C919:E919)</f>
        <v>-16.31</v>
      </c>
      <c r="M919" s="34" t="n">
        <f aca="false">AVERAGE(C919:J919)</f>
        <v>-55.08875</v>
      </c>
    </row>
    <row r="920" customFormat="false" ht="15.75" hidden="false" customHeight="true" outlineLevel="0" collapsed="false">
      <c r="A920" s="34" t="s">
        <v>1205</v>
      </c>
      <c r="B920" s="34" t="n">
        <v>348.7</v>
      </c>
      <c r="C920" s="34" t="n">
        <v>-66.67</v>
      </c>
      <c r="D920" s="34" t="n">
        <v>-133.33</v>
      </c>
      <c r="E920" s="34" t="n">
        <v>-120.64</v>
      </c>
      <c r="F920" s="34" t="n">
        <v>-72.11</v>
      </c>
      <c r="G920" s="34" t="n">
        <v>-102.38</v>
      </c>
      <c r="H920" s="34" t="n">
        <v>-34.23</v>
      </c>
      <c r="I920" s="34" t="n">
        <v>8.81</v>
      </c>
      <c r="J920" s="34" t="n">
        <v>5.17</v>
      </c>
      <c r="K920" s="34" t="n">
        <v>370.09</v>
      </c>
      <c r="L920" s="34" t="n">
        <f aca="false">AVERAGE(C920:E920)</f>
        <v>-106.88</v>
      </c>
      <c r="M920" s="34" t="n">
        <f aca="false">AVERAGE(C920:J920)</f>
        <v>-64.4225</v>
      </c>
    </row>
    <row r="921" customFormat="false" ht="15.75" hidden="false" customHeight="true" outlineLevel="0" collapsed="false">
      <c r="A921" s="34" t="s">
        <v>1206</v>
      </c>
      <c r="B921" s="34" t="n">
        <v>348</v>
      </c>
      <c r="C921" s="34" t="n">
        <v>-66.67</v>
      </c>
      <c r="D921" s="34" t="n">
        <v>-133.33</v>
      </c>
      <c r="E921" s="34" t="n">
        <v>-7.23</v>
      </c>
      <c r="F921" s="34" t="n">
        <v>-79.45</v>
      </c>
      <c r="G921" s="34" t="n">
        <v>23.32</v>
      </c>
      <c r="H921" s="34" t="n">
        <v>57.06</v>
      </c>
      <c r="I921" s="34" t="n">
        <v>73.99</v>
      </c>
      <c r="J921" s="34" t="n">
        <v>87.72</v>
      </c>
      <c r="K921" s="34" t="n">
        <v>368.48</v>
      </c>
      <c r="L921" s="34" t="n">
        <f aca="false">AVERAGE(C921:E921)</f>
        <v>-69.0766666666667</v>
      </c>
      <c r="M921" s="34" t="n">
        <f aca="false">AVERAGE(C921:J921)</f>
        <v>-5.57375</v>
      </c>
    </row>
    <row r="922" customFormat="false" ht="15.75" hidden="false" customHeight="true" outlineLevel="0" collapsed="false">
      <c r="A922" s="34" t="s">
        <v>1207</v>
      </c>
      <c r="B922" s="34" t="n">
        <v>347</v>
      </c>
      <c r="C922" s="34" t="n">
        <v>-66.67</v>
      </c>
      <c r="D922" s="34" t="n">
        <v>-100.03</v>
      </c>
      <c r="E922" s="34" t="n">
        <v>-16.99</v>
      </c>
      <c r="F922" s="34" t="n">
        <v>-63.72</v>
      </c>
      <c r="G922" s="34" t="n">
        <v>-105.89</v>
      </c>
      <c r="H922" s="34" t="n">
        <v>-61.35</v>
      </c>
      <c r="I922" s="34" t="n">
        <v>-14.06</v>
      </c>
      <c r="J922" s="34" t="n">
        <v>5.05</v>
      </c>
      <c r="K922" s="34" t="n">
        <v>370.47</v>
      </c>
      <c r="L922" s="34" t="n">
        <f aca="false">AVERAGE(C922:E922)</f>
        <v>-61.23</v>
      </c>
      <c r="M922" s="34" t="n">
        <f aca="false">AVERAGE(C922:J922)</f>
        <v>-52.9575</v>
      </c>
    </row>
    <row r="923" customFormat="false" ht="15.75" hidden="false" customHeight="true" outlineLevel="0" collapsed="false">
      <c r="A923" s="34" t="s">
        <v>479</v>
      </c>
      <c r="B923" s="34" t="n">
        <v>346.8</v>
      </c>
      <c r="C923" s="34" t="n">
        <v>-66.67</v>
      </c>
      <c r="D923" s="34" t="n">
        <v>-106.97</v>
      </c>
      <c r="E923" s="34" t="n">
        <v>4.96</v>
      </c>
      <c r="F923" s="34" t="n">
        <v>-79.7</v>
      </c>
      <c r="G923" s="34" t="n">
        <v>-71.58</v>
      </c>
      <c r="H923" s="34" t="n">
        <v>-11.98</v>
      </c>
      <c r="I923" s="34" t="n">
        <v>23.05</v>
      </c>
      <c r="J923" s="34" t="n">
        <v>-7.64</v>
      </c>
      <c r="K923" s="34" t="n">
        <v>364.87</v>
      </c>
      <c r="L923" s="34" t="n">
        <f aca="false">AVERAGE(C923:E923)</f>
        <v>-56.2266666666667</v>
      </c>
      <c r="M923" s="34" t="n">
        <f aca="false">AVERAGE(C923:J923)</f>
        <v>-39.56625</v>
      </c>
    </row>
    <row r="924" customFormat="false" ht="15.75" hidden="false" customHeight="true" outlineLevel="0" collapsed="false">
      <c r="A924" s="34" t="s">
        <v>304</v>
      </c>
      <c r="B924" s="34" t="n">
        <v>345.95</v>
      </c>
      <c r="C924" s="34" t="n">
        <v>-66.67</v>
      </c>
      <c r="D924" s="34" t="n">
        <v>-133.33</v>
      </c>
      <c r="E924" s="34" t="n">
        <v>2.99</v>
      </c>
      <c r="F924" s="34" t="n">
        <v>40.8</v>
      </c>
      <c r="G924" s="34" t="n">
        <v>80.98</v>
      </c>
      <c r="H924" s="34" t="n">
        <v>104.26</v>
      </c>
      <c r="I924" s="34" t="n">
        <v>112.96</v>
      </c>
      <c r="J924" s="34" t="n">
        <v>122.72</v>
      </c>
      <c r="K924" s="34" t="n">
        <v>338.02</v>
      </c>
      <c r="L924" s="34" t="n">
        <f aca="false">AVERAGE(C924:E924)</f>
        <v>-65.67</v>
      </c>
      <c r="M924" s="34" t="n">
        <f aca="false">AVERAGE(C924:J924)</f>
        <v>33.08875</v>
      </c>
    </row>
    <row r="925" customFormat="false" ht="15.75" hidden="false" customHeight="true" outlineLevel="0" collapsed="false">
      <c r="A925" s="34" t="s">
        <v>1208</v>
      </c>
      <c r="B925" s="34" t="n">
        <v>345.65</v>
      </c>
      <c r="C925" s="34" t="n">
        <v>66.67</v>
      </c>
      <c r="D925" s="34" t="n">
        <v>118.75</v>
      </c>
      <c r="E925" s="34" t="n">
        <v>126.34</v>
      </c>
      <c r="F925" s="34" t="n">
        <v>82.1</v>
      </c>
      <c r="G925" s="34" t="n">
        <v>94.25</v>
      </c>
      <c r="H925" s="34" t="n">
        <v>115.12</v>
      </c>
      <c r="I925" s="34" t="n">
        <v>144.23</v>
      </c>
      <c r="J925" s="34" t="n">
        <v>148.15</v>
      </c>
      <c r="K925" s="34" t="n">
        <v>319.87</v>
      </c>
      <c r="L925" s="34" t="n">
        <f aca="false">AVERAGE(C925:E925)</f>
        <v>103.92</v>
      </c>
      <c r="M925" s="34" t="n">
        <f aca="false">AVERAGE(C925:J925)</f>
        <v>111.95125</v>
      </c>
    </row>
    <row r="926" customFormat="false" ht="15.75" hidden="false" customHeight="true" outlineLevel="0" collapsed="false">
      <c r="A926" s="34" t="s">
        <v>1209</v>
      </c>
      <c r="B926" s="34" t="n">
        <v>344.85</v>
      </c>
      <c r="C926" s="34" t="n">
        <v>66.67</v>
      </c>
      <c r="D926" s="34" t="n">
        <v>57.13</v>
      </c>
      <c r="E926" s="34" t="n">
        <v>103.44</v>
      </c>
      <c r="F926" s="34"/>
      <c r="G926" s="34"/>
      <c r="H926" s="34"/>
      <c r="I926" s="34"/>
      <c r="J926" s="34"/>
      <c r="K926" s="34" t="n">
        <v>362.26</v>
      </c>
      <c r="L926" s="34" t="n">
        <f aca="false">AVERAGE(C926:E926)</f>
        <v>75.7466666666667</v>
      </c>
      <c r="M926" s="34" t="n">
        <f aca="false">AVERAGE(C926:J926)</f>
        <v>75.7466666666667</v>
      </c>
    </row>
    <row r="927" customFormat="false" ht="15.75" hidden="false" customHeight="true" outlineLevel="0" collapsed="false">
      <c r="A927" s="34" t="s">
        <v>1210</v>
      </c>
      <c r="B927" s="34" t="n">
        <v>344.5</v>
      </c>
      <c r="C927" s="34" t="n">
        <v>66.67</v>
      </c>
      <c r="D927" s="34" t="n">
        <v>-43.27</v>
      </c>
      <c r="E927" s="34" t="n">
        <v>70.5</v>
      </c>
      <c r="F927" s="34" t="n">
        <v>83.72</v>
      </c>
      <c r="G927" s="34" t="n">
        <v>131.68</v>
      </c>
      <c r="H927" s="34" t="n">
        <v>111.72</v>
      </c>
      <c r="I927" s="34" t="n">
        <v>127.4</v>
      </c>
      <c r="J927" s="34" t="n">
        <v>136.68</v>
      </c>
      <c r="K927" s="34" t="n">
        <v>322.96</v>
      </c>
      <c r="L927" s="34" t="n">
        <f aca="false">AVERAGE(C927:E927)</f>
        <v>31.3</v>
      </c>
      <c r="M927" s="34" t="n">
        <f aca="false">AVERAGE(C927:J927)</f>
        <v>85.6375</v>
      </c>
    </row>
    <row r="928" customFormat="false" ht="15.75" hidden="false" customHeight="true" outlineLevel="0" collapsed="false">
      <c r="A928" s="34" t="s">
        <v>1211</v>
      </c>
      <c r="B928" s="34" t="n">
        <v>343.8</v>
      </c>
      <c r="C928" s="34" t="n">
        <v>66.67</v>
      </c>
      <c r="D928" s="34" t="n">
        <v>133.33</v>
      </c>
      <c r="E928" s="34" t="n">
        <v>110.03</v>
      </c>
      <c r="F928" s="34" t="n">
        <v>111.15</v>
      </c>
      <c r="G928" s="34" t="n">
        <v>-1.7</v>
      </c>
      <c r="H928" s="34" t="n">
        <v>8.46</v>
      </c>
      <c r="I928" s="34" t="n">
        <v>19.77</v>
      </c>
      <c r="J928" s="34" t="n">
        <v>-7.81</v>
      </c>
      <c r="K928" s="34" t="n">
        <v>319.24</v>
      </c>
      <c r="L928" s="34" t="n">
        <f aca="false">AVERAGE(C928:E928)</f>
        <v>103.343333333333</v>
      </c>
      <c r="M928" s="34" t="n">
        <f aca="false">AVERAGE(C928:J928)</f>
        <v>54.9875</v>
      </c>
    </row>
    <row r="929" customFormat="false" ht="15.75" hidden="false" customHeight="true" outlineLevel="0" collapsed="false">
      <c r="A929" s="34" t="s">
        <v>1212</v>
      </c>
      <c r="B929" s="34" t="n">
        <v>343.7</v>
      </c>
      <c r="C929" s="34" t="n">
        <v>66.67</v>
      </c>
      <c r="D929" s="34" t="n">
        <v>133.33</v>
      </c>
      <c r="E929" s="34" t="n">
        <v>66.59</v>
      </c>
      <c r="F929" s="34" t="n">
        <v>-77.19</v>
      </c>
      <c r="G929" s="34" t="n">
        <v>-136.75</v>
      </c>
      <c r="H929" s="34" t="n">
        <v>-87.12</v>
      </c>
      <c r="I929" s="34" t="n">
        <v>-22.13</v>
      </c>
      <c r="J929" s="34" t="n">
        <v>-18.25</v>
      </c>
      <c r="K929" s="34" t="n">
        <v>353.89</v>
      </c>
      <c r="L929" s="34" t="n">
        <f aca="false">AVERAGE(C929:E929)</f>
        <v>88.8633333333333</v>
      </c>
      <c r="M929" s="34" t="n">
        <f aca="false">AVERAGE(C929:J929)</f>
        <v>-9.35625</v>
      </c>
    </row>
    <row r="930" customFormat="false" ht="15.75" hidden="false" customHeight="true" outlineLevel="0" collapsed="false">
      <c r="A930" s="34" t="s">
        <v>1213</v>
      </c>
      <c r="B930" s="34" t="n">
        <v>342.65</v>
      </c>
      <c r="C930" s="34" t="n">
        <v>-66.67</v>
      </c>
      <c r="D930" s="34" t="n">
        <v>39.3</v>
      </c>
      <c r="E930" s="34" t="n">
        <v>87.57</v>
      </c>
      <c r="F930" s="34" t="n">
        <v>32.17</v>
      </c>
      <c r="G930" s="34" t="n">
        <v>-2.46</v>
      </c>
      <c r="H930" s="34" t="n">
        <v>42.48</v>
      </c>
      <c r="I930" s="34" t="n">
        <v>60.69</v>
      </c>
      <c r="J930" s="34" t="n">
        <v>44.2</v>
      </c>
      <c r="K930" s="34" t="n">
        <v>314.61</v>
      </c>
      <c r="L930" s="34" t="n">
        <f aca="false">AVERAGE(C930:E930)</f>
        <v>20.0666666666667</v>
      </c>
      <c r="M930" s="34" t="n">
        <f aca="false">AVERAGE(C930:J930)</f>
        <v>29.66</v>
      </c>
    </row>
    <row r="931" customFormat="false" ht="15.75" hidden="false" customHeight="true" outlineLevel="0" collapsed="false">
      <c r="A931" s="34" t="s">
        <v>1214</v>
      </c>
      <c r="B931" s="34" t="n">
        <v>341.45</v>
      </c>
      <c r="C931" s="34" t="n">
        <v>-66.67</v>
      </c>
      <c r="D931" s="34" t="n">
        <v>-31.11</v>
      </c>
      <c r="E931" s="34" t="n">
        <v>47.71</v>
      </c>
      <c r="F931" s="34" t="n">
        <v>9.9</v>
      </c>
      <c r="G931" s="34" t="n">
        <v>-25.9</v>
      </c>
      <c r="H931" s="34" t="n">
        <v>-57.01</v>
      </c>
      <c r="I931" s="34" t="n">
        <v>-80.2</v>
      </c>
      <c r="J931" s="34" t="n">
        <v>-54.06</v>
      </c>
      <c r="K931" s="34" t="n">
        <v>308.68</v>
      </c>
      <c r="L931" s="34" t="n">
        <f aca="false">AVERAGE(C931:E931)</f>
        <v>-16.69</v>
      </c>
      <c r="M931" s="34" t="n">
        <f aca="false">AVERAGE(C931:J931)</f>
        <v>-32.1675</v>
      </c>
    </row>
    <row r="932" customFormat="false" ht="15.75" hidden="false" customHeight="true" outlineLevel="0" collapsed="false">
      <c r="A932" s="34" t="s">
        <v>1215</v>
      </c>
      <c r="B932" s="34" t="n">
        <v>341.35</v>
      </c>
      <c r="C932" s="34" t="n">
        <v>-66.67</v>
      </c>
      <c r="D932" s="34" t="n">
        <v>52.64</v>
      </c>
      <c r="E932" s="34" t="n">
        <v>118.97</v>
      </c>
      <c r="F932" s="34" t="n">
        <v>148.82</v>
      </c>
      <c r="G932" s="34" t="n">
        <v>257.68</v>
      </c>
      <c r="H932" s="34" t="n">
        <v>289.64</v>
      </c>
      <c r="I932" s="34" t="n">
        <v>227.1</v>
      </c>
      <c r="J932" s="34" t="n">
        <v>233.3</v>
      </c>
      <c r="K932" s="34" t="n">
        <v>305.83</v>
      </c>
      <c r="L932" s="34" t="n">
        <f aca="false">AVERAGE(C932:E932)</f>
        <v>34.98</v>
      </c>
      <c r="M932" s="34" t="n">
        <f aca="false">AVERAGE(C932:J932)</f>
        <v>157.685</v>
      </c>
    </row>
    <row r="933" customFormat="false" ht="15.75" hidden="false" customHeight="true" outlineLevel="0" collapsed="false">
      <c r="A933" s="34" t="s">
        <v>454</v>
      </c>
      <c r="B933" s="34" t="n">
        <v>340.9</v>
      </c>
      <c r="C933" s="34" t="n">
        <v>-66.67</v>
      </c>
      <c r="D933" s="34" t="n">
        <v>30.19</v>
      </c>
      <c r="E933" s="34" t="n">
        <v>99.59</v>
      </c>
      <c r="F933" s="34" t="n">
        <v>-26.5</v>
      </c>
      <c r="G933" s="34" t="n">
        <v>-83.46</v>
      </c>
      <c r="H933" s="34" t="n">
        <v>-97.98</v>
      </c>
      <c r="I933" s="34" t="n">
        <v>-52.9</v>
      </c>
      <c r="J933" s="34" t="n">
        <v>-50.37</v>
      </c>
      <c r="K933" s="34" t="n">
        <v>327.91</v>
      </c>
      <c r="L933" s="34" t="n">
        <f aca="false">AVERAGE(C933:E933)</f>
        <v>21.0366666666667</v>
      </c>
      <c r="M933" s="34" t="n">
        <f aca="false">AVERAGE(C933:J933)</f>
        <v>-31.0125</v>
      </c>
    </row>
    <row r="934" customFormat="false" ht="15.75" hidden="false" customHeight="true" outlineLevel="0" collapsed="false">
      <c r="A934" s="34" t="s">
        <v>457</v>
      </c>
      <c r="B934" s="34" t="n">
        <v>340.65</v>
      </c>
      <c r="C934" s="34" t="n">
        <v>-66.67</v>
      </c>
      <c r="D934" s="34" t="n">
        <v>-38.62</v>
      </c>
      <c r="E934" s="34" t="n">
        <v>58.15</v>
      </c>
      <c r="F934" s="34" t="n">
        <v>27.65</v>
      </c>
      <c r="G934" s="34" t="n">
        <v>15.26</v>
      </c>
      <c r="H934" s="34" t="n">
        <v>-30.67</v>
      </c>
      <c r="I934" s="34" t="n">
        <v>-16.35</v>
      </c>
      <c r="J934" s="34" t="n">
        <v>-35.08</v>
      </c>
      <c r="K934" s="34" t="n">
        <v>328.15</v>
      </c>
      <c r="L934" s="34" t="n">
        <f aca="false">AVERAGE(C934:E934)</f>
        <v>-15.7133333333333</v>
      </c>
      <c r="M934" s="34" t="n">
        <f aca="false">AVERAGE(C934:J934)</f>
        <v>-10.79125</v>
      </c>
    </row>
    <row r="935" customFormat="false" ht="15.75" hidden="false" customHeight="true" outlineLevel="0" collapsed="false">
      <c r="A935" s="34" t="s">
        <v>532</v>
      </c>
      <c r="B935" s="34" t="n">
        <v>340.05</v>
      </c>
      <c r="C935" s="34" t="n">
        <v>-66.67</v>
      </c>
      <c r="D935" s="34" t="n">
        <v>3.6</v>
      </c>
      <c r="E935" s="34" t="n">
        <v>65.95</v>
      </c>
      <c r="F935" s="34" t="n">
        <v>-52.23</v>
      </c>
      <c r="G935" s="34" t="n">
        <v>-91.8</v>
      </c>
      <c r="H935" s="34" t="n">
        <v>-112.18</v>
      </c>
      <c r="I935" s="34" t="n">
        <v>-116.52</v>
      </c>
      <c r="J935" s="34" t="n">
        <v>-131.08</v>
      </c>
      <c r="K935" s="34" t="n">
        <v>348.33</v>
      </c>
      <c r="L935" s="34" t="n">
        <f aca="false">AVERAGE(C935:E935)</f>
        <v>0.959999999999999</v>
      </c>
      <c r="M935" s="34" t="n">
        <f aca="false">AVERAGE(C935:J935)</f>
        <v>-62.61625</v>
      </c>
    </row>
    <row r="936" customFormat="false" ht="15.75" hidden="false" customHeight="true" outlineLevel="0" collapsed="false">
      <c r="A936" s="34" t="s">
        <v>1216</v>
      </c>
      <c r="B936" s="34" t="n">
        <v>338.95</v>
      </c>
      <c r="C936" s="34" t="n">
        <v>-66.67</v>
      </c>
      <c r="D936" s="34" t="n">
        <v>-72.08</v>
      </c>
      <c r="E936" s="34" t="n">
        <v>-80.45</v>
      </c>
      <c r="F936" s="34" t="n">
        <v>44.78</v>
      </c>
      <c r="G936" s="34" t="n">
        <v>98.23</v>
      </c>
      <c r="H936" s="34" t="n">
        <v>120.64</v>
      </c>
      <c r="I936" s="34" t="n">
        <v>127.15</v>
      </c>
      <c r="J936" s="34" t="n">
        <v>114.39</v>
      </c>
      <c r="K936" s="34" t="n">
        <v>320.74</v>
      </c>
      <c r="L936" s="34" t="n">
        <f aca="false">AVERAGE(C936:E936)</f>
        <v>-73.0666666666667</v>
      </c>
      <c r="M936" s="34" t="n">
        <f aca="false">AVERAGE(C936:J936)</f>
        <v>35.74875</v>
      </c>
    </row>
    <row r="937" customFormat="false" ht="15.75" hidden="false" customHeight="true" outlineLevel="0" collapsed="false">
      <c r="A937" s="34" t="s">
        <v>1217</v>
      </c>
      <c r="B937" s="34" t="n">
        <v>338.05</v>
      </c>
      <c r="C937" s="34" t="n">
        <v>-66.67</v>
      </c>
      <c r="D937" s="34" t="n">
        <v>47.71</v>
      </c>
      <c r="E937" s="34" t="n">
        <v>97.35</v>
      </c>
      <c r="F937" s="34" t="n">
        <v>130.23</v>
      </c>
      <c r="G937" s="34" t="n">
        <v>197.85</v>
      </c>
      <c r="H937" s="34" t="n">
        <v>184.45</v>
      </c>
      <c r="I937" s="34" t="n">
        <v>174.92</v>
      </c>
      <c r="J937" s="34" t="n">
        <v>187.27</v>
      </c>
      <c r="K937" s="34" t="n">
        <v>313.63</v>
      </c>
      <c r="L937" s="34" t="n">
        <f aca="false">AVERAGE(C937:E937)</f>
        <v>26.13</v>
      </c>
      <c r="M937" s="34" t="n">
        <f aca="false">AVERAGE(C937:J937)</f>
        <v>119.13875</v>
      </c>
    </row>
    <row r="938" customFormat="false" ht="15.75" hidden="false" customHeight="true" outlineLevel="0" collapsed="false">
      <c r="A938" s="34" t="s">
        <v>74</v>
      </c>
      <c r="B938" s="34" t="n">
        <v>337</v>
      </c>
      <c r="C938" s="34" t="n">
        <v>-66.67</v>
      </c>
      <c r="D938" s="34" t="n">
        <v>-56.68</v>
      </c>
      <c r="E938" s="34" t="n">
        <v>-37.68</v>
      </c>
      <c r="F938" s="34" t="n">
        <v>-13.34</v>
      </c>
      <c r="G938" s="34" t="n">
        <v>18.07</v>
      </c>
      <c r="H938" s="34" t="n">
        <v>-33.92</v>
      </c>
      <c r="I938" s="34" t="n">
        <v>-28.47</v>
      </c>
      <c r="J938" s="34" t="n">
        <v>6.54</v>
      </c>
      <c r="K938" s="34" t="n">
        <v>330.61</v>
      </c>
      <c r="L938" s="34" t="n">
        <f aca="false">AVERAGE(C938:E938)</f>
        <v>-53.6766666666667</v>
      </c>
      <c r="M938" s="34" t="n">
        <f aca="false">AVERAGE(C938:J938)</f>
        <v>-26.51875</v>
      </c>
    </row>
    <row r="939" customFormat="false" ht="15.75" hidden="false" customHeight="true" outlineLevel="0" collapsed="false">
      <c r="A939" s="34" t="s">
        <v>1218</v>
      </c>
      <c r="B939" s="34" t="n">
        <v>335.95</v>
      </c>
      <c r="C939" s="34" t="n">
        <v>-66.67</v>
      </c>
      <c r="D939" s="34" t="n">
        <v>-61.49</v>
      </c>
      <c r="E939" s="34" t="n">
        <v>-47.21</v>
      </c>
      <c r="F939" s="34" t="n">
        <v>-120.24</v>
      </c>
      <c r="G939" s="34" t="n">
        <v>-154.29</v>
      </c>
      <c r="H939" s="34" t="n">
        <v>-152.25</v>
      </c>
      <c r="I939" s="34" t="n">
        <v>-157.88</v>
      </c>
      <c r="J939" s="34" t="n">
        <v>-130.39</v>
      </c>
      <c r="K939" s="34" t="n">
        <v>351.26</v>
      </c>
      <c r="L939" s="34" t="n">
        <f aca="false">AVERAGE(C939:E939)</f>
        <v>-58.4566666666667</v>
      </c>
      <c r="M939" s="34" t="n">
        <f aca="false">AVERAGE(C939:J939)</f>
        <v>-111.3025</v>
      </c>
    </row>
    <row r="940" customFormat="false" ht="15.75" hidden="false" customHeight="true" outlineLevel="0" collapsed="false">
      <c r="A940" s="34" t="s">
        <v>1219</v>
      </c>
      <c r="B940" s="34" t="n">
        <v>334.75</v>
      </c>
      <c r="C940" s="34" t="n">
        <v>-66.67</v>
      </c>
      <c r="D940" s="34" t="n">
        <v>-82.65</v>
      </c>
      <c r="E940" s="34" t="n">
        <v>13.86</v>
      </c>
      <c r="F940" s="34" t="n">
        <v>-71.92</v>
      </c>
      <c r="G940" s="34" t="n">
        <v>-22.3</v>
      </c>
      <c r="H940" s="34" t="n">
        <v>6.47</v>
      </c>
      <c r="I940" s="34" t="n">
        <v>11.07</v>
      </c>
      <c r="J940" s="34" t="n">
        <v>-25.15</v>
      </c>
      <c r="K940" s="34" t="n">
        <v>356.73</v>
      </c>
      <c r="L940" s="34" t="n">
        <f aca="false">AVERAGE(C940:E940)</f>
        <v>-45.1533333333333</v>
      </c>
      <c r="M940" s="34" t="n">
        <f aca="false">AVERAGE(C940:J940)</f>
        <v>-29.66125</v>
      </c>
    </row>
    <row r="941" customFormat="false" ht="15.75" hidden="false" customHeight="true" outlineLevel="0" collapsed="false">
      <c r="A941" s="34" t="s">
        <v>1220</v>
      </c>
      <c r="B941" s="34" t="n">
        <v>334.5</v>
      </c>
      <c r="C941" s="34" t="n">
        <v>-66.67</v>
      </c>
      <c r="D941" s="34" t="n">
        <v>-101.47</v>
      </c>
      <c r="E941" s="34" t="n">
        <v>-102.47</v>
      </c>
      <c r="F941" s="34" t="n">
        <v>-140.72</v>
      </c>
      <c r="G941" s="34" t="n">
        <v>-29.45</v>
      </c>
      <c r="H941" s="34" t="n">
        <v>29.79</v>
      </c>
      <c r="I941" s="34" t="n">
        <v>47.58</v>
      </c>
      <c r="J941" s="34" t="n">
        <v>56.25</v>
      </c>
      <c r="K941" s="34" t="n">
        <v>381.26</v>
      </c>
      <c r="L941" s="34" t="n">
        <f aca="false">AVERAGE(C941:E941)</f>
        <v>-90.2033333333333</v>
      </c>
      <c r="M941" s="34" t="n">
        <f aca="false">AVERAGE(C941:J941)</f>
        <v>-38.395</v>
      </c>
    </row>
    <row r="942" customFormat="false" ht="15.75" hidden="false" customHeight="true" outlineLevel="0" collapsed="false">
      <c r="A942" s="34" t="s">
        <v>1221</v>
      </c>
      <c r="B942" s="34" t="n">
        <v>333</v>
      </c>
      <c r="C942" s="34" t="n">
        <v>-66.67</v>
      </c>
      <c r="D942" s="34" t="n">
        <v>-109.09</v>
      </c>
      <c r="E942" s="34" t="n">
        <v>-20.71</v>
      </c>
      <c r="F942" s="34" t="n">
        <v>88.58</v>
      </c>
      <c r="G942" s="34" t="n">
        <v>111.06</v>
      </c>
      <c r="H942" s="34" t="n">
        <v>132.69</v>
      </c>
      <c r="I942" s="34" t="n">
        <v>157.58</v>
      </c>
      <c r="J942" s="34" t="n">
        <v>100.62</v>
      </c>
      <c r="K942" s="34" t="n">
        <v>308.78</v>
      </c>
      <c r="L942" s="34" t="n">
        <f aca="false">AVERAGE(C942:E942)</f>
        <v>-65.49</v>
      </c>
      <c r="M942" s="34" t="n">
        <f aca="false">AVERAGE(C942:J942)</f>
        <v>49.2575</v>
      </c>
    </row>
    <row r="943" customFormat="false" ht="15.75" hidden="false" customHeight="true" outlineLevel="0" collapsed="false">
      <c r="A943" s="34" t="s">
        <v>1222</v>
      </c>
      <c r="B943" s="34" t="n">
        <v>332</v>
      </c>
      <c r="C943" s="34" t="n">
        <v>66.67</v>
      </c>
      <c r="D943" s="34" t="n">
        <v>94.96</v>
      </c>
      <c r="E943" s="34" t="n">
        <v>130.09</v>
      </c>
      <c r="F943" s="34" t="n">
        <v>-47.23</v>
      </c>
      <c r="G943" s="34" t="n">
        <v>-28.81</v>
      </c>
      <c r="H943" s="34" t="n">
        <v>23.75</v>
      </c>
      <c r="I943" s="34" t="n">
        <v>52.26</v>
      </c>
      <c r="J943" s="34" t="n">
        <v>64.85</v>
      </c>
      <c r="K943" s="34" t="n">
        <v>344.48</v>
      </c>
      <c r="L943" s="34" t="n">
        <f aca="false">AVERAGE(C943:E943)</f>
        <v>97.24</v>
      </c>
      <c r="M943" s="34" t="n">
        <f aca="false">AVERAGE(C943:J943)</f>
        <v>44.5675</v>
      </c>
    </row>
    <row r="944" customFormat="false" ht="15.75" hidden="false" customHeight="true" outlineLevel="0" collapsed="false">
      <c r="A944" s="34" t="s">
        <v>1223</v>
      </c>
      <c r="B944" s="34" t="n">
        <v>330.75</v>
      </c>
      <c r="C944" s="34" t="n">
        <v>-66.67</v>
      </c>
      <c r="D944" s="34" t="n">
        <v>-116.07</v>
      </c>
      <c r="E944" s="34" t="n">
        <v>-157.21</v>
      </c>
      <c r="F944" s="34" t="n">
        <v>-113.12</v>
      </c>
      <c r="G944" s="34" t="n">
        <v>-150.27</v>
      </c>
      <c r="H944" s="34" t="n">
        <v>-173.99</v>
      </c>
      <c r="I944" s="34" t="n">
        <v>-174.66</v>
      </c>
      <c r="J944" s="34" t="n">
        <v>-152.67</v>
      </c>
      <c r="K944" s="34" t="n">
        <v>363.01</v>
      </c>
      <c r="L944" s="34" t="n">
        <f aca="false">AVERAGE(C944:E944)</f>
        <v>-113.316666666667</v>
      </c>
      <c r="M944" s="34" t="n">
        <f aca="false">AVERAGE(C944:J944)</f>
        <v>-138.0825</v>
      </c>
    </row>
    <row r="945" customFormat="false" ht="15.75" hidden="false" customHeight="true" outlineLevel="0" collapsed="false">
      <c r="A945" s="34" t="s">
        <v>1224</v>
      </c>
      <c r="B945" s="34" t="n">
        <v>329.95</v>
      </c>
      <c r="C945" s="34" t="n">
        <v>-66.67</v>
      </c>
      <c r="D945" s="34" t="n">
        <v>-2.45</v>
      </c>
      <c r="E945" s="34" t="n">
        <v>-49.24</v>
      </c>
      <c r="F945" s="34" t="n">
        <v>-134.98</v>
      </c>
      <c r="G945" s="34" t="n">
        <v>0.309</v>
      </c>
      <c r="H945" s="34" t="n">
        <v>21.69</v>
      </c>
      <c r="I945" s="34" t="n">
        <v>-2.52</v>
      </c>
      <c r="J945" s="34" t="n">
        <v>-27.16</v>
      </c>
      <c r="K945" s="34" t="n">
        <v>348.07</v>
      </c>
      <c r="L945" s="34" t="n">
        <f aca="false">AVERAGE(C945:E945)</f>
        <v>-39.4533333333333</v>
      </c>
      <c r="M945" s="34" t="n">
        <f aca="false">AVERAGE(C945:J945)</f>
        <v>-32.627625</v>
      </c>
    </row>
    <row r="946" customFormat="false" ht="15.75" hidden="false" customHeight="true" outlineLevel="0" collapsed="false">
      <c r="A946" s="34" t="s">
        <v>1225</v>
      </c>
      <c r="B946" s="34" t="n">
        <v>329.75</v>
      </c>
      <c r="C946" s="34" t="n">
        <v>-66.67</v>
      </c>
      <c r="D946" s="34" t="n">
        <v>-75.28</v>
      </c>
      <c r="E946" s="34" t="n">
        <v>30.78</v>
      </c>
      <c r="F946" s="34" t="n">
        <v>-67.34</v>
      </c>
      <c r="G946" s="34" t="n">
        <v>-125.79</v>
      </c>
      <c r="H946" s="34" t="n">
        <v>-86.55</v>
      </c>
      <c r="I946" s="34" t="n">
        <v>-50.37</v>
      </c>
      <c r="J946" s="34" t="n">
        <v>-33.38</v>
      </c>
      <c r="K946" s="34" t="n">
        <v>344.62</v>
      </c>
      <c r="L946" s="34" t="n">
        <f aca="false">AVERAGE(C946:E946)</f>
        <v>-37.0566666666667</v>
      </c>
      <c r="M946" s="34" t="n">
        <f aca="false">AVERAGE(C946:J946)</f>
        <v>-59.325</v>
      </c>
    </row>
    <row r="947" customFormat="false" ht="15.75" hidden="false" customHeight="true" outlineLevel="0" collapsed="false">
      <c r="A947" s="34" t="s">
        <v>1226</v>
      </c>
      <c r="B947" s="34" t="n">
        <v>329.55</v>
      </c>
      <c r="C947" s="34" t="n">
        <v>66.67</v>
      </c>
      <c r="D947" s="34" t="n">
        <v>69.62</v>
      </c>
      <c r="E947" s="34" t="n">
        <v>142.94</v>
      </c>
      <c r="F947" s="34" t="n">
        <v>0.619</v>
      </c>
      <c r="G947" s="34" t="n">
        <v>-31.68</v>
      </c>
      <c r="H947" s="34" t="n">
        <v>-48.31</v>
      </c>
      <c r="I947" s="34" t="n">
        <v>-57.43</v>
      </c>
      <c r="J947" s="34" t="n">
        <v>-67.45</v>
      </c>
      <c r="K947" s="34" t="n">
        <v>305.99</v>
      </c>
      <c r="L947" s="34" t="n">
        <f aca="false">AVERAGE(C947:E947)</f>
        <v>93.0766666666667</v>
      </c>
      <c r="M947" s="34" t="n">
        <f aca="false">AVERAGE(C947:J947)</f>
        <v>9.372375</v>
      </c>
    </row>
    <row r="948" customFormat="false" ht="15.75" hidden="false" customHeight="true" outlineLevel="0" collapsed="false">
      <c r="A948" s="34" t="s">
        <v>1227</v>
      </c>
      <c r="B948" s="34" t="n">
        <v>328.4</v>
      </c>
      <c r="C948" s="34" t="n">
        <v>-66.67</v>
      </c>
      <c r="D948" s="34" t="n">
        <v>-38.91</v>
      </c>
      <c r="E948" s="34" t="n">
        <v>-51.83</v>
      </c>
      <c r="F948" s="34" t="n">
        <v>-129.03</v>
      </c>
      <c r="G948" s="34" t="n">
        <v>-173.96</v>
      </c>
      <c r="H948" s="34" t="n">
        <v>-190.86</v>
      </c>
      <c r="I948" s="34" t="n">
        <v>-219.09</v>
      </c>
      <c r="J948" s="34" t="n">
        <v>-225.03</v>
      </c>
      <c r="K948" s="34" t="n">
        <v>309.11</v>
      </c>
      <c r="L948" s="34" t="n">
        <f aca="false">AVERAGE(C948:E948)</f>
        <v>-52.47</v>
      </c>
      <c r="M948" s="34" t="n">
        <f aca="false">AVERAGE(C948:J948)</f>
        <v>-136.9225</v>
      </c>
    </row>
    <row r="949" customFormat="false" ht="15.75" hidden="false" customHeight="true" outlineLevel="0" collapsed="false">
      <c r="A949" s="34" t="s">
        <v>1228</v>
      </c>
      <c r="B949" s="34" t="n">
        <v>328.1</v>
      </c>
      <c r="C949" s="34" t="n">
        <v>-66.67</v>
      </c>
      <c r="D949" s="34" t="n">
        <v>-41.75</v>
      </c>
      <c r="E949" s="34" t="n">
        <v>66.85</v>
      </c>
      <c r="F949" s="34" t="n">
        <v>-1.5</v>
      </c>
      <c r="G949" s="34" t="n">
        <v>-51.56</v>
      </c>
      <c r="H949" s="34" t="n">
        <v>-71.41</v>
      </c>
      <c r="I949" s="34" t="n">
        <v>-74.13</v>
      </c>
      <c r="J949" s="34" t="n">
        <v>-78.18</v>
      </c>
      <c r="K949" s="34" t="n">
        <v>336.68</v>
      </c>
      <c r="L949" s="34" t="n">
        <f aca="false">AVERAGE(C949:E949)</f>
        <v>-13.8566666666667</v>
      </c>
      <c r="M949" s="34" t="n">
        <f aca="false">AVERAGE(C949:J949)</f>
        <v>-39.79375</v>
      </c>
    </row>
    <row r="950" customFormat="false" ht="15.75" hidden="false" customHeight="true" outlineLevel="0" collapsed="false">
      <c r="A950" s="34" t="s">
        <v>1229</v>
      </c>
      <c r="B950" s="34" t="n">
        <v>327.45</v>
      </c>
      <c r="C950" s="34" t="n">
        <v>66.67</v>
      </c>
      <c r="D950" s="34" t="n">
        <v>34.71</v>
      </c>
      <c r="E950" s="34" t="n">
        <v>-42.35</v>
      </c>
      <c r="F950" s="34" t="n">
        <v>-120.11</v>
      </c>
      <c r="G950" s="34" t="n">
        <v>-0.654</v>
      </c>
      <c r="H950" s="34" t="n">
        <v>27.9</v>
      </c>
      <c r="I950" s="34" t="n">
        <v>62.79</v>
      </c>
      <c r="J950" s="34" t="n">
        <v>67.56</v>
      </c>
      <c r="K950" s="34" t="n">
        <v>348.39</v>
      </c>
      <c r="L950" s="34" t="n">
        <f aca="false">AVERAGE(C950:E950)</f>
        <v>19.6766666666667</v>
      </c>
      <c r="M950" s="34" t="n">
        <f aca="false">AVERAGE(C950:J950)</f>
        <v>12.0645</v>
      </c>
    </row>
    <row r="951" customFormat="false" ht="15.75" hidden="false" customHeight="true" outlineLevel="0" collapsed="false">
      <c r="A951" s="34" t="s">
        <v>1230</v>
      </c>
      <c r="B951" s="34" t="n">
        <v>327</v>
      </c>
      <c r="C951" s="34" t="n">
        <v>-66.67</v>
      </c>
      <c r="D951" s="34" t="n">
        <v>35.45</v>
      </c>
      <c r="E951" s="34" t="n">
        <v>95.38</v>
      </c>
      <c r="F951" s="34" t="n">
        <v>124.25</v>
      </c>
      <c r="G951" s="34" t="n">
        <v>130.77</v>
      </c>
      <c r="H951" s="34" t="n">
        <v>108.77</v>
      </c>
      <c r="I951" s="34" t="n">
        <v>121.15</v>
      </c>
      <c r="J951" s="34" t="n">
        <v>112.28</v>
      </c>
      <c r="K951" s="34" t="n">
        <v>302.86</v>
      </c>
      <c r="L951" s="34" t="n">
        <f aca="false">AVERAGE(C951:E951)</f>
        <v>21.3866666666667</v>
      </c>
      <c r="M951" s="34" t="n">
        <f aca="false">AVERAGE(C951:J951)</f>
        <v>82.6725</v>
      </c>
    </row>
    <row r="952" customFormat="false" ht="15.75" hidden="false" customHeight="true" outlineLevel="0" collapsed="false">
      <c r="A952" s="34" t="s">
        <v>1231</v>
      </c>
      <c r="B952" s="34" t="n">
        <v>326.4</v>
      </c>
      <c r="C952" s="34" t="n">
        <v>66.67</v>
      </c>
      <c r="D952" s="34" t="n">
        <v>47.74</v>
      </c>
      <c r="E952" s="34" t="n">
        <v>-10.01</v>
      </c>
      <c r="F952" s="34" t="n">
        <v>-59.75</v>
      </c>
      <c r="G952" s="34" t="n">
        <v>-63.05</v>
      </c>
      <c r="H952" s="34" t="n">
        <v>-23.69</v>
      </c>
      <c r="I952" s="34" t="n">
        <v>23</v>
      </c>
      <c r="J952" s="34" t="n">
        <v>10.7</v>
      </c>
      <c r="K952" s="34" t="n">
        <v>341.52</v>
      </c>
      <c r="L952" s="34" t="n">
        <f aca="false">AVERAGE(C952:E952)</f>
        <v>34.8</v>
      </c>
      <c r="M952" s="34" t="n">
        <f aca="false">AVERAGE(C952:J952)</f>
        <v>-1.04875</v>
      </c>
    </row>
    <row r="953" customFormat="false" ht="15.75" hidden="false" customHeight="true" outlineLevel="0" collapsed="false">
      <c r="A953" s="34" t="s">
        <v>1232</v>
      </c>
      <c r="B953" s="34" t="n">
        <v>326.35</v>
      </c>
      <c r="C953" s="34" t="n">
        <v>-66.67</v>
      </c>
      <c r="D953" s="34" t="n">
        <v>-81.43</v>
      </c>
      <c r="E953" s="34" t="n">
        <v>-105.32</v>
      </c>
      <c r="F953" s="34" t="n">
        <v>-166.23</v>
      </c>
      <c r="G953" s="34" t="n">
        <v>-255.7</v>
      </c>
      <c r="H953" s="34" t="n">
        <v>-261.54</v>
      </c>
      <c r="I953" s="34" t="n">
        <v>-95.06</v>
      </c>
      <c r="J953" s="34" t="n">
        <v>-86.63</v>
      </c>
      <c r="K953" s="34" t="n">
        <v>356.65</v>
      </c>
      <c r="L953" s="34" t="n">
        <f aca="false">AVERAGE(C953:E953)</f>
        <v>-84.4733333333333</v>
      </c>
      <c r="M953" s="34" t="n">
        <f aca="false">AVERAGE(C953:J953)</f>
        <v>-139.8225</v>
      </c>
    </row>
    <row r="954" customFormat="false" ht="15.75" hidden="false" customHeight="true" outlineLevel="0" collapsed="false">
      <c r="A954" s="34" t="s">
        <v>511</v>
      </c>
      <c r="B954" s="34" t="n">
        <v>326.25</v>
      </c>
      <c r="C954" s="34" t="n">
        <v>-66.67</v>
      </c>
      <c r="D954" s="34" t="n">
        <v>43.55</v>
      </c>
      <c r="E954" s="34" t="n">
        <v>97.86</v>
      </c>
      <c r="F954" s="34" t="n">
        <v>11.76</v>
      </c>
      <c r="G954" s="34" t="n">
        <v>14.86</v>
      </c>
      <c r="H954" s="34" t="n">
        <v>37.17</v>
      </c>
      <c r="I954" s="34" t="n">
        <v>57.39</v>
      </c>
      <c r="J954" s="34" t="n">
        <v>68.5</v>
      </c>
      <c r="K954" s="34" t="n">
        <v>330.91</v>
      </c>
      <c r="L954" s="34" t="n">
        <f aca="false">AVERAGE(C954:E954)</f>
        <v>24.9133333333333</v>
      </c>
      <c r="M954" s="34" t="n">
        <f aca="false">AVERAGE(C954:J954)</f>
        <v>33.0525</v>
      </c>
    </row>
    <row r="955" customFormat="false" ht="15.75" hidden="false" customHeight="true" outlineLevel="0" collapsed="false">
      <c r="A955" s="34" t="s">
        <v>1233</v>
      </c>
      <c r="B955" s="34" t="n">
        <v>325.65</v>
      </c>
      <c r="C955" s="34" t="n">
        <v>-66.67</v>
      </c>
      <c r="D955" s="34" t="n">
        <v>-107.56</v>
      </c>
      <c r="E955" s="34" t="n">
        <v>1.64</v>
      </c>
      <c r="F955" s="34" t="n">
        <v>-78.59</v>
      </c>
      <c r="G955" s="34" t="n">
        <v>-125.83</v>
      </c>
      <c r="H955" s="34" t="n">
        <v>-164.97</v>
      </c>
      <c r="I955" s="34" t="n">
        <v>-181</v>
      </c>
      <c r="J955" s="34" t="n">
        <v>-164.89</v>
      </c>
      <c r="K955" s="34" t="n">
        <v>343.89</v>
      </c>
      <c r="L955" s="34" t="n">
        <f aca="false">AVERAGE(C955:E955)</f>
        <v>-57.53</v>
      </c>
      <c r="M955" s="34" t="n">
        <f aca="false">AVERAGE(C955:J955)</f>
        <v>-110.98375</v>
      </c>
    </row>
    <row r="956" customFormat="false" ht="15.75" hidden="false" customHeight="true" outlineLevel="0" collapsed="false">
      <c r="A956" s="34" t="s">
        <v>1234</v>
      </c>
      <c r="B956" s="34" t="n">
        <v>325.05</v>
      </c>
      <c r="C956" s="34" t="n">
        <v>-66.67</v>
      </c>
      <c r="D956" s="34" t="n">
        <v>-94.89</v>
      </c>
      <c r="E956" s="34" t="n">
        <v>40.09</v>
      </c>
      <c r="F956" s="34" t="n">
        <v>77.49</v>
      </c>
      <c r="G956" s="34" t="n">
        <v>118.89</v>
      </c>
      <c r="H956" s="34" t="n">
        <v>146.47</v>
      </c>
      <c r="I956" s="34" t="n">
        <v>159.59</v>
      </c>
      <c r="J956" s="34" t="n">
        <v>177.96</v>
      </c>
      <c r="K956" s="34" t="n">
        <v>301.06</v>
      </c>
      <c r="L956" s="34" t="n">
        <f aca="false">AVERAGE(C956:E956)</f>
        <v>-40.49</v>
      </c>
      <c r="M956" s="34" t="n">
        <f aca="false">AVERAGE(C956:J956)</f>
        <v>69.86625</v>
      </c>
    </row>
    <row r="957" customFormat="false" ht="15.75" hidden="false" customHeight="true" outlineLevel="0" collapsed="false">
      <c r="A957" s="34" t="s">
        <v>446</v>
      </c>
      <c r="B957" s="34" t="n">
        <v>324.95</v>
      </c>
      <c r="C957" s="34" t="n">
        <v>-66.67</v>
      </c>
      <c r="D957" s="34" t="n">
        <v>-122.42</v>
      </c>
      <c r="E957" s="34" t="n">
        <v>26.69</v>
      </c>
      <c r="F957" s="34" t="n">
        <v>-60.09</v>
      </c>
      <c r="G957" s="34" t="n">
        <v>-108.58</v>
      </c>
      <c r="H957" s="34" t="n">
        <v>-66.6</v>
      </c>
      <c r="I957" s="34" t="n">
        <v>-7.55</v>
      </c>
      <c r="J957" s="34" t="n">
        <v>-1.02</v>
      </c>
      <c r="K957" s="34" t="n">
        <v>333.85</v>
      </c>
      <c r="L957" s="34" t="n">
        <f aca="false">AVERAGE(C957:E957)</f>
        <v>-54.1333333333333</v>
      </c>
      <c r="M957" s="34" t="n">
        <f aca="false">AVERAGE(C957:J957)</f>
        <v>-50.78</v>
      </c>
    </row>
    <row r="958" customFormat="false" ht="15.75" hidden="false" customHeight="true" outlineLevel="0" collapsed="false">
      <c r="A958" s="34" t="s">
        <v>1235</v>
      </c>
      <c r="B958" s="34" t="n">
        <v>324.85</v>
      </c>
      <c r="C958" s="34" t="n">
        <v>-66.67</v>
      </c>
      <c r="D958" s="34" t="n">
        <v>-114.5</v>
      </c>
      <c r="E958" s="34" t="n">
        <v>-56.51</v>
      </c>
      <c r="F958" s="34" t="n">
        <v>-95.16</v>
      </c>
      <c r="G958" s="34" t="n">
        <v>-164.78</v>
      </c>
      <c r="H958" s="34" t="n">
        <v>-179.71</v>
      </c>
      <c r="I958" s="34" t="n">
        <v>-73.82</v>
      </c>
      <c r="J958" s="34" t="n">
        <v>-93.15</v>
      </c>
      <c r="K958" s="34" t="n">
        <v>354.86</v>
      </c>
      <c r="L958" s="34" t="n">
        <f aca="false">AVERAGE(C958:E958)</f>
        <v>-79.2266666666667</v>
      </c>
      <c r="M958" s="34" t="n">
        <f aca="false">AVERAGE(C958:J958)</f>
        <v>-105.5375</v>
      </c>
    </row>
    <row r="959" customFormat="false" ht="15.75" hidden="false" customHeight="true" outlineLevel="0" collapsed="false">
      <c r="A959" s="34" t="s">
        <v>1236</v>
      </c>
      <c r="B959" s="34" t="n">
        <v>323.85</v>
      </c>
      <c r="C959" s="34" t="n">
        <v>-66.67</v>
      </c>
      <c r="D959" s="34" t="n">
        <v>9.86</v>
      </c>
      <c r="E959" s="34" t="n">
        <v>47.75</v>
      </c>
      <c r="F959" s="34" t="n">
        <v>-65.38</v>
      </c>
      <c r="G959" s="34" t="n">
        <v>-119.36</v>
      </c>
      <c r="H959" s="34" t="n">
        <v>-163.8</v>
      </c>
      <c r="I959" s="34" t="n">
        <v>-117.37</v>
      </c>
      <c r="J959" s="34" t="n">
        <v>-119.07</v>
      </c>
      <c r="K959" s="34" t="n">
        <v>339.55</v>
      </c>
      <c r="L959" s="34" t="n">
        <f aca="false">AVERAGE(C959:E959)</f>
        <v>-3.02</v>
      </c>
      <c r="M959" s="34" t="n">
        <f aca="false">AVERAGE(C959:J959)</f>
        <v>-74.255</v>
      </c>
    </row>
    <row r="960" customFormat="false" ht="15.75" hidden="false" customHeight="true" outlineLevel="0" collapsed="false">
      <c r="A960" s="34" t="s">
        <v>433</v>
      </c>
      <c r="B960" s="34" t="n">
        <v>323.75</v>
      </c>
      <c r="C960" s="34" t="n">
        <v>-66.67</v>
      </c>
      <c r="D960" s="34" t="n">
        <v>-83.17</v>
      </c>
      <c r="E960" s="34" t="n">
        <v>-76.45</v>
      </c>
      <c r="F960" s="34" t="n">
        <v>-106.23</v>
      </c>
      <c r="G960" s="34" t="n">
        <v>-141.73</v>
      </c>
      <c r="H960" s="34" t="n">
        <v>-140.86</v>
      </c>
      <c r="I960" s="34" t="n">
        <v>-116.92</v>
      </c>
      <c r="J960" s="34" t="n">
        <v>-124.41</v>
      </c>
      <c r="K960" s="34" t="n">
        <v>345.35</v>
      </c>
      <c r="L960" s="34" t="n">
        <f aca="false">AVERAGE(C960:E960)</f>
        <v>-75.43</v>
      </c>
      <c r="M960" s="34" t="n">
        <f aca="false">AVERAGE(C960:J960)</f>
        <v>-107.055</v>
      </c>
    </row>
    <row r="961" customFormat="false" ht="15.75" hidden="false" customHeight="true" outlineLevel="0" collapsed="false">
      <c r="A961" s="34" t="s">
        <v>1237</v>
      </c>
      <c r="B961" s="34" t="n">
        <v>322.45</v>
      </c>
      <c r="C961" s="34" t="n">
        <v>-66.67</v>
      </c>
      <c r="D961" s="34" t="n">
        <v>-84.37</v>
      </c>
      <c r="E961" s="34" t="n">
        <v>45.91</v>
      </c>
      <c r="F961" s="34" t="n">
        <v>43.29</v>
      </c>
      <c r="G961" s="34" t="n">
        <v>-25.51</v>
      </c>
      <c r="H961" s="34" t="n">
        <v>41.55</v>
      </c>
      <c r="I961" s="34" t="n">
        <v>60.54</v>
      </c>
      <c r="J961" s="34" t="n">
        <v>75.33</v>
      </c>
      <c r="K961" s="34" t="n">
        <v>300.96</v>
      </c>
      <c r="L961" s="34" t="n">
        <f aca="false">AVERAGE(C961:E961)</f>
        <v>-35.0433333333333</v>
      </c>
      <c r="M961" s="34" t="n">
        <f aca="false">AVERAGE(C961:J961)</f>
        <v>11.25875</v>
      </c>
    </row>
    <row r="962" customFormat="false" ht="15.75" hidden="false" customHeight="true" outlineLevel="0" collapsed="false">
      <c r="A962" s="34" t="s">
        <v>217</v>
      </c>
      <c r="B962" s="34" t="n">
        <v>320.6</v>
      </c>
      <c r="C962" s="34" t="n">
        <v>-66.67</v>
      </c>
      <c r="D962" s="34" t="n">
        <v>-98.91</v>
      </c>
      <c r="E962" s="34" t="n">
        <v>-122.85</v>
      </c>
      <c r="F962" s="34" t="n">
        <v>-10.19</v>
      </c>
      <c r="G962" s="34" t="n">
        <v>39.39</v>
      </c>
      <c r="H962" s="34" t="n">
        <v>67.14</v>
      </c>
      <c r="I962" s="34" t="n">
        <v>80.33</v>
      </c>
      <c r="J962" s="34" t="n">
        <v>95.03</v>
      </c>
      <c r="K962" s="34" t="n">
        <v>319.23</v>
      </c>
      <c r="L962" s="34" t="n">
        <f aca="false">AVERAGE(C962:E962)</f>
        <v>-96.1433333333333</v>
      </c>
      <c r="M962" s="34" t="n">
        <f aca="false">AVERAGE(C962:J962)</f>
        <v>-2.09125</v>
      </c>
    </row>
    <row r="963" customFormat="false" ht="15.75" hidden="false" customHeight="true" outlineLevel="0" collapsed="false">
      <c r="A963" s="34" t="s">
        <v>1238</v>
      </c>
      <c r="B963" s="34" t="n">
        <v>320</v>
      </c>
      <c r="C963" s="34" t="n">
        <v>-66.67</v>
      </c>
      <c r="D963" s="34" t="n">
        <v>-23.81</v>
      </c>
      <c r="E963" s="34" t="n">
        <v>74.25</v>
      </c>
      <c r="F963" s="34" t="n">
        <v>-56.76</v>
      </c>
      <c r="G963" s="34" t="n">
        <v>-103.52</v>
      </c>
      <c r="H963" s="34" t="n">
        <v>-54.52</v>
      </c>
      <c r="I963" s="34" t="n">
        <v>-43.99</v>
      </c>
      <c r="J963" s="34" t="n">
        <v>-60.89</v>
      </c>
      <c r="K963" s="34" t="n">
        <v>331.49</v>
      </c>
      <c r="L963" s="34" t="n">
        <f aca="false">AVERAGE(C963:E963)</f>
        <v>-5.41</v>
      </c>
      <c r="M963" s="34" t="n">
        <f aca="false">AVERAGE(C963:J963)</f>
        <v>-41.98875</v>
      </c>
    </row>
    <row r="964" customFormat="false" ht="15.75" hidden="false" customHeight="true" outlineLevel="0" collapsed="false">
      <c r="A964" s="34" t="s">
        <v>1239</v>
      </c>
      <c r="B964" s="34" t="n">
        <v>319.25</v>
      </c>
      <c r="C964" s="34" t="n">
        <v>-66.67</v>
      </c>
      <c r="D964" s="34" t="n">
        <v>-116.25</v>
      </c>
      <c r="E964" s="34" t="n">
        <v>-51.29</v>
      </c>
      <c r="F964" s="34" t="n">
        <v>-84.06</v>
      </c>
      <c r="G964" s="34" t="n">
        <v>-121.6</v>
      </c>
      <c r="H964" s="34" t="n">
        <v>-94.64</v>
      </c>
      <c r="I964" s="34" t="n">
        <v>-31.86</v>
      </c>
      <c r="J964" s="34" t="n">
        <v>-15.87</v>
      </c>
      <c r="K964" s="34" t="n">
        <v>345.03</v>
      </c>
      <c r="L964" s="34" t="n">
        <f aca="false">AVERAGE(C964:E964)</f>
        <v>-78.07</v>
      </c>
      <c r="M964" s="34" t="n">
        <f aca="false">AVERAGE(C964:J964)</f>
        <v>-72.78</v>
      </c>
    </row>
    <row r="965" customFormat="false" ht="15.75" hidden="false" customHeight="true" outlineLevel="0" collapsed="false">
      <c r="A965" s="34" t="s">
        <v>656</v>
      </c>
      <c r="B965" s="34" t="n">
        <v>319.1</v>
      </c>
      <c r="C965" s="34" t="n">
        <v>-66.67</v>
      </c>
      <c r="D965" s="34" t="n">
        <v>-39.17</v>
      </c>
      <c r="E965" s="34" t="n">
        <v>57.54</v>
      </c>
      <c r="F965" s="34" t="n">
        <v>92.36</v>
      </c>
      <c r="G965" s="34" t="n">
        <v>118.62</v>
      </c>
      <c r="H965" s="34" t="n">
        <v>158.3</v>
      </c>
      <c r="I965" s="34" t="n">
        <v>171.55</v>
      </c>
      <c r="J965" s="34" t="n">
        <v>196.29</v>
      </c>
      <c r="K965" s="34" t="n">
        <v>307.71</v>
      </c>
      <c r="L965" s="34" t="n">
        <f aca="false">AVERAGE(C965:E965)</f>
        <v>-16.1</v>
      </c>
      <c r="M965" s="34" t="n">
        <f aca="false">AVERAGE(C965:J965)</f>
        <v>86.1025</v>
      </c>
    </row>
    <row r="966" customFormat="false" ht="15.75" hidden="false" customHeight="true" outlineLevel="0" collapsed="false">
      <c r="A966" s="34" t="s">
        <v>1240</v>
      </c>
      <c r="B966" s="34" t="n">
        <v>318.7</v>
      </c>
      <c r="C966" s="34" t="n">
        <v>-66.67</v>
      </c>
      <c r="D966" s="34" t="n">
        <v>58.52</v>
      </c>
      <c r="E966" s="34" t="n">
        <v>131.18</v>
      </c>
      <c r="F966" s="34" t="n">
        <v>-61.77</v>
      </c>
      <c r="G966" s="34" t="n">
        <v>-122.67</v>
      </c>
      <c r="H966" s="34" t="n">
        <v>-146.78</v>
      </c>
      <c r="I966" s="34" t="n">
        <v>-142.27</v>
      </c>
      <c r="J966" s="34" t="n">
        <v>-133.28</v>
      </c>
      <c r="K966" s="34" t="n">
        <v>321.05</v>
      </c>
      <c r="L966" s="34" t="n">
        <f aca="false">AVERAGE(C966:E966)</f>
        <v>41.01</v>
      </c>
      <c r="M966" s="34" t="n">
        <f aca="false">AVERAGE(C966:J966)</f>
        <v>-60.4675</v>
      </c>
    </row>
    <row r="967" customFormat="false" ht="15.75" hidden="false" customHeight="true" outlineLevel="0" collapsed="false">
      <c r="A967" s="34" t="s">
        <v>1241</v>
      </c>
      <c r="B967" s="34" t="n">
        <v>318.6</v>
      </c>
      <c r="C967" s="34" t="n">
        <v>-66.67</v>
      </c>
      <c r="D967" s="34" t="n">
        <v>55.19</v>
      </c>
      <c r="E967" s="34" t="n">
        <v>122.94</v>
      </c>
      <c r="F967" s="34" t="n">
        <v>86.97</v>
      </c>
      <c r="G967" s="34" t="n">
        <v>-8.06</v>
      </c>
      <c r="H967" s="34" t="n">
        <v>14.16</v>
      </c>
      <c r="I967" s="34" t="n">
        <v>26.72</v>
      </c>
      <c r="J967" s="34" t="n">
        <v>-17.59</v>
      </c>
      <c r="K967" s="34" t="n">
        <v>305.89</v>
      </c>
      <c r="L967" s="34" t="n">
        <f aca="false">AVERAGE(C967:E967)</f>
        <v>37.1533333333333</v>
      </c>
      <c r="M967" s="34" t="n">
        <f aca="false">AVERAGE(C967:J967)</f>
        <v>26.7075</v>
      </c>
    </row>
    <row r="968" customFormat="false" ht="15.75" hidden="false" customHeight="true" outlineLevel="0" collapsed="false">
      <c r="A968" s="34" t="s">
        <v>1242</v>
      </c>
      <c r="B968" s="34" t="n">
        <v>318</v>
      </c>
      <c r="C968" s="34" t="n">
        <v>-66.67</v>
      </c>
      <c r="D968" s="34" t="n">
        <v>1.93</v>
      </c>
      <c r="E968" s="34" t="n">
        <v>-70.81</v>
      </c>
      <c r="F968" s="34" t="n">
        <v>51.47</v>
      </c>
      <c r="G968" s="34" t="n">
        <v>102.31</v>
      </c>
      <c r="H968" s="34" t="n">
        <v>126.97</v>
      </c>
      <c r="I968" s="34" t="n">
        <v>139.86</v>
      </c>
      <c r="J968" s="34" t="n">
        <v>150.66</v>
      </c>
      <c r="K968" s="34" t="n">
        <v>302.4</v>
      </c>
      <c r="L968" s="34" t="n">
        <f aca="false">AVERAGE(C968:E968)</f>
        <v>-45.1833333333333</v>
      </c>
      <c r="M968" s="34" t="n">
        <f aca="false">AVERAGE(C968:J968)</f>
        <v>54.465</v>
      </c>
    </row>
    <row r="969" customFormat="false" ht="15.75" hidden="false" customHeight="true" outlineLevel="0" collapsed="false">
      <c r="A969" s="34" t="s">
        <v>205</v>
      </c>
      <c r="B969" s="34" t="n">
        <v>316.7</v>
      </c>
      <c r="C969" s="34" t="n">
        <v>-66.67</v>
      </c>
      <c r="D969" s="34" t="n">
        <v>-113.45</v>
      </c>
      <c r="E969" s="34" t="n">
        <v>-45.57</v>
      </c>
      <c r="F969" s="34" t="n">
        <v>-79.36</v>
      </c>
      <c r="G969" s="34" t="n">
        <v>-119.26</v>
      </c>
      <c r="H969" s="34" t="n">
        <v>-130.04</v>
      </c>
      <c r="I969" s="34" t="n">
        <v>-134.19</v>
      </c>
      <c r="J969" s="34" t="n">
        <v>-140.24</v>
      </c>
      <c r="K969" s="34" t="n">
        <v>330.92</v>
      </c>
      <c r="L969" s="34" t="n">
        <f aca="false">AVERAGE(C969:E969)</f>
        <v>-75.23</v>
      </c>
      <c r="M969" s="34" t="n">
        <f aca="false">AVERAGE(C969:J969)</f>
        <v>-103.5975</v>
      </c>
    </row>
    <row r="970" customFormat="false" ht="15.75" hidden="false" customHeight="true" outlineLevel="0" collapsed="false">
      <c r="A970" s="34" t="s">
        <v>198</v>
      </c>
      <c r="B970" s="34" t="n">
        <v>316.45</v>
      </c>
      <c r="C970" s="34" t="n">
        <v>-66.67</v>
      </c>
      <c r="D970" s="34" t="n">
        <v>-106.83</v>
      </c>
      <c r="E970" s="34" t="n">
        <v>-80.29</v>
      </c>
      <c r="F970" s="34" t="n">
        <v>-75.1</v>
      </c>
      <c r="G970" s="34" t="n">
        <v>-59.7</v>
      </c>
      <c r="H970" s="34" t="n">
        <v>-29.7</v>
      </c>
      <c r="I970" s="34" t="n">
        <v>26.32</v>
      </c>
      <c r="J970" s="34" t="n">
        <v>43.6</v>
      </c>
      <c r="K970" s="34" t="n">
        <v>326.67</v>
      </c>
      <c r="L970" s="34" t="n">
        <f aca="false">AVERAGE(C970:E970)</f>
        <v>-84.5966666666667</v>
      </c>
      <c r="M970" s="34" t="n">
        <f aca="false">AVERAGE(C970:J970)</f>
        <v>-43.54625</v>
      </c>
    </row>
    <row r="971" customFormat="false" ht="15.75" hidden="false" customHeight="true" outlineLevel="0" collapsed="false">
      <c r="A971" s="34" t="s">
        <v>1243</v>
      </c>
      <c r="B971" s="34" t="n">
        <v>315.25</v>
      </c>
      <c r="C971" s="34" t="n">
        <v>66.67</v>
      </c>
      <c r="D971" s="34" t="n">
        <v>116.04</v>
      </c>
      <c r="E971" s="34"/>
      <c r="F971" s="34"/>
      <c r="G971" s="34"/>
      <c r="H971" s="34"/>
      <c r="I971" s="34"/>
      <c r="J971" s="34"/>
      <c r="K971" s="34"/>
      <c r="L971" s="34" t="n">
        <f aca="false">AVERAGE(C971:E971)</f>
        <v>91.355</v>
      </c>
      <c r="M971" s="34" t="n">
        <f aca="false">AVERAGE(C971:J971)</f>
        <v>91.355</v>
      </c>
    </row>
    <row r="972" customFormat="false" ht="15.75" hidden="false" customHeight="true" outlineLevel="0" collapsed="false">
      <c r="A972" s="34" t="s">
        <v>1244</v>
      </c>
      <c r="B972" s="34" t="n">
        <v>314.95</v>
      </c>
      <c r="C972" s="34" t="n">
        <v>-66.67</v>
      </c>
      <c r="D972" s="34" t="n">
        <v>-133.33</v>
      </c>
      <c r="E972" s="34" t="n">
        <v>18.04</v>
      </c>
      <c r="F972" s="34" t="n">
        <v>98.97</v>
      </c>
      <c r="G972" s="34" t="n">
        <v>117.5</v>
      </c>
      <c r="H972" s="34" t="n">
        <v>91.9</v>
      </c>
      <c r="I972" s="34" t="n">
        <v>90.33</v>
      </c>
      <c r="J972" s="34" t="n">
        <v>93.56</v>
      </c>
      <c r="K972" s="34" t="n">
        <v>293.91</v>
      </c>
      <c r="L972" s="34" t="n">
        <f aca="false">AVERAGE(C972:E972)</f>
        <v>-60.6533333333333</v>
      </c>
      <c r="M972" s="34" t="n">
        <f aca="false">AVERAGE(C972:J972)</f>
        <v>38.7875</v>
      </c>
    </row>
    <row r="973" customFormat="false" ht="15.75" hidden="false" customHeight="true" outlineLevel="0" collapsed="false">
      <c r="A973" s="34" t="s">
        <v>1245</v>
      </c>
      <c r="B973" s="34" t="n">
        <v>314.85</v>
      </c>
      <c r="C973" s="34" t="n">
        <v>-66.67</v>
      </c>
      <c r="D973" s="34" t="n">
        <v>-69.35</v>
      </c>
      <c r="E973" s="34" t="n">
        <v>27.5</v>
      </c>
      <c r="F973" s="34" t="n">
        <v>-76.13</v>
      </c>
      <c r="G973" s="34" t="n">
        <v>-125.6</v>
      </c>
      <c r="H973" s="34" t="n">
        <v>-156.47</v>
      </c>
      <c r="I973" s="34" t="n">
        <v>-90.07</v>
      </c>
      <c r="J973" s="34" t="n">
        <v>-102.92</v>
      </c>
      <c r="K973" s="34" t="n">
        <v>331.05</v>
      </c>
      <c r="L973" s="34" t="n">
        <f aca="false">AVERAGE(C973:E973)</f>
        <v>-36.1733333333333</v>
      </c>
      <c r="M973" s="34" t="n">
        <f aca="false">AVERAGE(C973:J973)</f>
        <v>-82.46375</v>
      </c>
    </row>
    <row r="974" customFormat="false" ht="15.75" hidden="false" customHeight="true" outlineLevel="0" collapsed="false">
      <c r="A974" s="34" t="s">
        <v>1246</v>
      </c>
      <c r="B974" s="34" t="n">
        <v>314.8</v>
      </c>
      <c r="C974" s="34" t="n">
        <v>-66.67</v>
      </c>
      <c r="D974" s="34" t="n">
        <v>-67.74</v>
      </c>
      <c r="E974" s="34" t="n">
        <v>-67.79</v>
      </c>
      <c r="F974" s="34" t="n">
        <v>-92.63</v>
      </c>
      <c r="G974" s="34" t="n">
        <v>-57.39</v>
      </c>
      <c r="H974" s="34" t="n">
        <v>-34.77</v>
      </c>
      <c r="I974" s="34" t="n">
        <v>-18.37</v>
      </c>
      <c r="J974" s="34" t="n">
        <v>-29.87</v>
      </c>
      <c r="K974" s="34" t="n">
        <v>304.89</v>
      </c>
      <c r="L974" s="34" t="n">
        <f aca="false">AVERAGE(C974:E974)</f>
        <v>-67.4</v>
      </c>
      <c r="M974" s="34" t="n">
        <f aca="false">AVERAGE(C974:J974)</f>
        <v>-54.40375</v>
      </c>
    </row>
    <row r="975" customFormat="false" ht="15.75" hidden="false" customHeight="true" outlineLevel="0" collapsed="false">
      <c r="A975" s="34" t="s">
        <v>1247</v>
      </c>
      <c r="B975" s="34" t="n">
        <v>314.6</v>
      </c>
      <c r="C975" s="34" t="n">
        <v>-66.67</v>
      </c>
      <c r="D975" s="34" t="n">
        <v>-8.87</v>
      </c>
      <c r="E975" s="34" t="n">
        <v>77.31</v>
      </c>
      <c r="F975" s="34" t="n">
        <v>6.72</v>
      </c>
      <c r="G975" s="34" t="n">
        <v>-19.93</v>
      </c>
      <c r="H975" s="34" t="n">
        <v>-43.85</v>
      </c>
      <c r="I975" s="34" t="n">
        <v>-25.02</v>
      </c>
      <c r="J975" s="34" t="n">
        <v>-45.19</v>
      </c>
      <c r="K975" s="34" t="n">
        <v>305.68</v>
      </c>
      <c r="L975" s="34" t="n">
        <f aca="false">AVERAGE(C975:E975)</f>
        <v>0.589999999999999</v>
      </c>
      <c r="M975" s="34" t="n">
        <f aca="false">AVERAGE(C975:J975)</f>
        <v>-15.6875</v>
      </c>
    </row>
    <row r="976" customFormat="false" ht="15.75" hidden="false" customHeight="true" outlineLevel="0" collapsed="false">
      <c r="A976" s="34" t="s">
        <v>1248</v>
      </c>
      <c r="B976" s="34" t="n">
        <v>314</v>
      </c>
      <c r="C976" s="34" t="n">
        <v>-66.67</v>
      </c>
      <c r="D976" s="34" t="n">
        <v>-98.85</v>
      </c>
      <c r="E976" s="34" t="n">
        <v>59.69</v>
      </c>
      <c r="F976" s="34" t="n">
        <v>58.54</v>
      </c>
      <c r="G976" s="34" t="n">
        <v>-19.4</v>
      </c>
      <c r="H976" s="34" t="n">
        <v>1.18</v>
      </c>
      <c r="I976" s="34" t="n">
        <v>37.67</v>
      </c>
      <c r="J976" s="34" t="n">
        <v>28.02</v>
      </c>
      <c r="K976" s="34" t="n">
        <v>298.79</v>
      </c>
      <c r="L976" s="34" t="n">
        <f aca="false">AVERAGE(C976:E976)</f>
        <v>-35.2766666666667</v>
      </c>
      <c r="M976" s="34" t="n">
        <f aca="false">AVERAGE(C976:J976)</f>
        <v>0.0224999999999991</v>
      </c>
    </row>
    <row r="977" customFormat="false" ht="15.75" hidden="false" customHeight="true" outlineLevel="0" collapsed="false">
      <c r="A977" s="34" t="s">
        <v>1249</v>
      </c>
      <c r="B977" s="34" t="n">
        <v>313.9</v>
      </c>
      <c r="C977" s="34" t="n">
        <v>-66.67</v>
      </c>
      <c r="D977" s="34" t="n">
        <v>-21.82</v>
      </c>
      <c r="E977" s="34" t="n">
        <v>75.67</v>
      </c>
      <c r="F977" s="34" t="n">
        <v>-15.78</v>
      </c>
      <c r="G977" s="34" t="n">
        <v>34.52</v>
      </c>
      <c r="H977" s="34" t="n">
        <v>66.03</v>
      </c>
      <c r="I977" s="34" t="n">
        <v>79.79</v>
      </c>
      <c r="J977" s="34" t="n">
        <v>92.62</v>
      </c>
      <c r="K977" s="34" t="n">
        <v>320.42</v>
      </c>
      <c r="L977" s="34" t="n">
        <f aca="false">AVERAGE(C977:E977)</f>
        <v>-4.27333333333333</v>
      </c>
      <c r="M977" s="34" t="n">
        <f aca="false">AVERAGE(C977:J977)</f>
        <v>30.545</v>
      </c>
    </row>
    <row r="978" customFormat="false" ht="15.75" hidden="false" customHeight="true" outlineLevel="0" collapsed="false">
      <c r="A978" s="34" t="s">
        <v>1250</v>
      </c>
      <c r="B978" s="34" t="n">
        <v>312</v>
      </c>
      <c r="C978" s="34" t="n">
        <v>66.67</v>
      </c>
      <c r="D978" s="34" t="n">
        <v>133.33</v>
      </c>
      <c r="E978" s="34" t="n">
        <v>0.937</v>
      </c>
      <c r="F978" s="34" t="n">
        <v>-56.17</v>
      </c>
      <c r="G978" s="34" t="n">
        <v>48.14</v>
      </c>
      <c r="H978" s="34" t="n">
        <v>77.83</v>
      </c>
      <c r="I978" s="34" t="n">
        <v>97.33</v>
      </c>
      <c r="J978" s="34" t="n">
        <v>115.95</v>
      </c>
      <c r="K978" s="34" t="n">
        <v>334.97</v>
      </c>
      <c r="L978" s="34" t="n">
        <f aca="false">AVERAGE(C978:E978)</f>
        <v>66.979</v>
      </c>
      <c r="M978" s="34" t="n">
        <f aca="false">AVERAGE(C978:J978)</f>
        <v>60.502125</v>
      </c>
    </row>
    <row r="979" customFormat="false" ht="15.75" hidden="false" customHeight="true" outlineLevel="0" collapsed="false">
      <c r="A979" s="34" t="s">
        <v>1251</v>
      </c>
      <c r="B979" s="34" t="n">
        <v>310.95</v>
      </c>
      <c r="C979" s="34" t="n">
        <v>66.67</v>
      </c>
      <c r="D979" s="34" t="n">
        <v>127.81</v>
      </c>
      <c r="E979" s="34" t="n">
        <v>-17.96</v>
      </c>
      <c r="F979" s="34" t="n">
        <v>-69.29</v>
      </c>
      <c r="G979" s="34" t="n">
        <v>-111.3</v>
      </c>
      <c r="H979" s="34" t="n">
        <v>-127.9</v>
      </c>
      <c r="I979" s="34" t="n">
        <v>-115.6</v>
      </c>
      <c r="J979" s="34" t="n">
        <v>-82.57</v>
      </c>
      <c r="K979" s="34" t="n">
        <v>329.6</v>
      </c>
      <c r="L979" s="34" t="n">
        <f aca="false">AVERAGE(C979:E979)</f>
        <v>58.84</v>
      </c>
      <c r="M979" s="34" t="n">
        <f aca="false">AVERAGE(C979:J979)</f>
        <v>-41.2675</v>
      </c>
    </row>
    <row r="980" customFormat="false" ht="15.75" hidden="false" customHeight="true" outlineLevel="0" collapsed="false">
      <c r="A980" s="34" t="s">
        <v>1252</v>
      </c>
      <c r="B980" s="34" t="n">
        <v>310.7</v>
      </c>
      <c r="C980" s="34" t="n">
        <v>66.67</v>
      </c>
      <c r="D980" s="34" t="n">
        <v>82.61</v>
      </c>
      <c r="E980" s="34" t="n">
        <v>50.82</v>
      </c>
      <c r="F980" s="34" t="n">
        <v>-62.83</v>
      </c>
      <c r="G980" s="34" t="n">
        <v>-88.38</v>
      </c>
      <c r="H980" s="34" t="n">
        <v>-0.337</v>
      </c>
      <c r="I980" s="34" t="n">
        <v>10.84</v>
      </c>
      <c r="J980" s="34" t="n">
        <v>2.83</v>
      </c>
      <c r="K980" s="34" t="n">
        <v>329.36</v>
      </c>
      <c r="L980" s="34" t="n">
        <f aca="false">AVERAGE(C980:E980)</f>
        <v>66.7</v>
      </c>
      <c r="M980" s="34" t="n">
        <f aca="false">AVERAGE(C980:J980)</f>
        <v>7.777875</v>
      </c>
    </row>
    <row r="981" customFormat="false" ht="15.75" hidden="false" customHeight="true" outlineLevel="0" collapsed="false">
      <c r="A981" s="34" t="s">
        <v>1253</v>
      </c>
      <c r="B981" s="34" t="n">
        <v>310.4</v>
      </c>
      <c r="C981" s="34" t="n">
        <v>66.67</v>
      </c>
      <c r="D981" s="34" t="n">
        <v>21.28</v>
      </c>
      <c r="E981" s="34" t="n">
        <v>26.42</v>
      </c>
      <c r="F981" s="34" t="n">
        <v>-23.4</v>
      </c>
      <c r="G981" s="34" t="n">
        <v>-77.4</v>
      </c>
      <c r="H981" s="34" t="n">
        <v>-64.63</v>
      </c>
      <c r="I981" s="34" t="n">
        <v>7.04</v>
      </c>
      <c r="J981" s="34" t="n">
        <v>24.58</v>
      </c>
      <c r="K981" s="34" t="n">
        <v>321.21</v>
      </c>
      <c r="L981" s="34" t="n">
        <f aca="false">AVERAGE(C981:E981)</f>
        <v>38.1233333333333</v>
      </c>
      <c r="M981" s="34" t="n">
        <f aca="false">AVERAGE(C981:J981)</f>
        <v>-2.43</v>
      </c>
    </row>
    <row r="982" customFormat="false" ht="15" hidden="false" customHeight="true" outlineLevel="0" collapsed="false">
      <c r="A982" s="34" t="s">
        <v>491</v>
      </c>
      <c r="B982" s="34" t="n">
        <v>309.1</v>
      </c>
      <c r="C982" s="34" t="n">
        <v>-66.67</v>
      </c>
      <c r="D982" s="34" t="n">
        <v>-133.33</v>
      </c>
      <c r="E982" s="34" t="n">
        <v>42.62</v>
      </c>
      <c r="F982" s="34" t="n">
        <v>2.71</v>
      </c>
      <c r="G982" s="34" t="n">
        <v>49.46</v>
      </c>
      <c r="H982" s="34" t="n">
        <v>65.76</v>
      </c>
      <c r="I982" s="34" t="n">
        <v>77.35</v>
      </c>
      <c r="J982" s="34" t="n">
        <v>76.92</v>
      </c>
      <c r="K982" s="34" t="n">
        <v>299.01</v>
      </c>
      <c r="L982" s="34" t="n">
        <f aca="false">AVERAGE(C982:E982)</f>
        <v>-52.46</v>
      </c>
      <c r="M982" s="34" t="n">
        <f aca="false">AVERAGE(C982:J982)</f>
        <v>14.3525</v>
      </c>
    </row>
    <row r="983" customFormat="false" ht="15" hidden="false" customHeight="true" outlineLevel="0" collapsed="false">
      <c r="A983" s="34" t="s">
        <v>1254</v>
      </c>
      <c r="B983" s="34" t="n">
        <v>309.05</v>
      </c>
      <c r="C983" s="34" t="n">
        <v>-66.67</v>
      </c>
      <c r="D983" s="34" t="n">
        <v>-88.69</v>
      </c>
      <c r="E983" s="34" t="n">
        <v>53.83</v>
      </c>
      <c r="F983" s="34" t="n">
        <v>153.37</v>
      </c>
      <c r="G983" s="34" t="n">
        <v>105.22</v>
      </c>
      <c r="H983" s="34" t="n">
        <v>125.56</v>
      </c>
      <c r="I983" s="34" t="n">
        <v>137.16</v>
      </c>
      <c r="J983" s="34" t="n">
        <v>145.32</v>
      </c>
      <c r="K983" s="34" t="n">
        <v>288.58</v>
      </c>
      <c r="L983" s="34" t="n">
        <f aca="false">AVERAGE(C983:E983)</f>
        <v>-33.8433333333333</v>
      </c>
      <c r="M983" s="34" t="n">
        <f aca="false">AVERAGE(C983:J983)</f>
        <v>70.6375</v>
      </c>
    </row>
    <row r="984" customFormat="false" ht="15" hidden="false" customHeight="true" outlineLevel="0" collapsed="false">
      <c r="A984" s="34" t="s">
        <v>1255</v>
      </c>
      <c r="B984" s="34" t="n">
        <v>308.15</v>
      </c>
      <c r="C984" s="34" t="n">
        <v>-66.67</v>
      </c>
      <c r="D984" s="34" t="n">
        <v>-133.33</v>
      </c>
      <c r="E984" s="34" t="n">
        <v>-75.26</v>
      </c>
      <c r="F984" s="34" t="n">
        <v>-98</v>
      </c>
      <c r="G984" s="34" t="n">
        <v>-149.02</v>
      </c>
      <c r="H984" s="34" t="n">
        <v>-121.61</v>
      </c>
      <c r="I984" s="34" t="n">
        <v>-80.38</v>
      </c>
      <c r="J984" s="34" t="n">
        <v>-70.06</v>
      </c>
      <c r="K984" s="34" t="n">
        <v>330.1</v>
      </c>
      <c r="L984" s="34" t="n">
        <f aca="false">AVERAGE(C984:E984)</f>
        <v>-91.7533333333333</v>
      </c>
      <c r="M984" s="34" t="n">
        <f aca="false">AVERAGE(C984:J984)</f>
        <v>-99.29125</v>
      </c>
    </row>
    <row r="985" customFormat="false" ht="15" hidden="false" customHeight="true" outlineLevel="0" collapsed="false">
      <c r="A985" s="34" t="s">
        <v>1256</v>
      </c>
      <c r="B985" s="34" t="n">
        <v>308.1</v>
      </c>
      <c r="C985" s="34" t="n">
        <v>-66.67</v>
      </c>
      <c r="D985" s="34" t="n">
        <v>-129.13</v>
      </c>
      <c r="E985" s="34" t="n">
        <v>-78.91</v>
      </c>
      <c r="F985" s="34" t="n">
        <v>-66.32</v>
      </c>
      <c r="G985" s="34" t="n">
        <v>-84.85</v>
      </c>
      <c r="H985" s="34" t="n">
        <v>-12.87</v>
      </c>
      <c r="I985" s="34" t="n">
        <v>22.33</v>
      </c>
      <c r="J985" s="34" t="n">
        <v>36.1</v>
      </c>
      <c r="K985" s="34" t="n">
        <v>325.22</v>
      </c>
      <c r="L985" s="34" t="n">
        <f aca="false">AVERAGE(C985:E985)</f>
        <v>-91.57</v>
      </c>
      <c r="M985" s="34" t="n">
        <f aca="false">AVERAGE(C985:J985)</f>
        <v>-47.54</v>
      </c>
    </row>
    <row r="986" customFormat="false" ht="15" hidden="false" customHeight="true" outlineLevel="0" collapsed="false">
      <c r="A986" s="34" t="s">
        <v>1257</v>
      </c>
      <c r="B986" s="34" t="n">
        <v>307.45</v>
      </c>
      <c r="C986" s="34" t="n">
        <v>-66.67</v>
      </c>
      <c r="D986" s="34" t="n">
        <v>27.55</v>
      </c>
      <c r="E986" s="34" t="n">
        <v>22.85</v>
      </c>
      <c r="F986" s="34" t="n">
        <v>-69.11</v>
      </c>
      <c r="G986" s="34" t="n">
        <v>-132.55</v>
      </c>
      <c r="H986" s="34" t="n">
        <v>-140.56</v>
      </c>
      <c r="I986" s="34" t="n">
        <v>-94.75</v>
      </c>
      <c r="J986" s="34" t="n">
        <v>-64.71</v>
      </c>
      <c r="K986" s="34" t="n">
        <v>323.74</v>
      </c>
      <c r="L986" s="34" t="n">
        <f aca="false">AVERAGE(C986:E986)</f>
        <v>-5.42333333333333</v>
      </c>
      <c r="M986" s="34" t="n">
        <f aca="false">AVERAGE(C986:J986)</f>
        <v>-64.74375</v>
      </c>
    </row>
    <row r="987" customFormat="false" ht="15" hidden="false" customHeight="true" outlineLevel="0" collapsed="false">
      <c r="A987" s="34" t="s">
        <v>1258</v>
      </c>
      <c r="B987" s="34" t="n">
        <v>307.2</v>
      </c>
      <c r="C987" s="34" t="n">
        <v>66.67</v>
      </c>
      <c r="D987" s="34" t="n">
        <v>81.25</v>
      </c>
      <c r="E987" s="34" t="n">
        <v>175.66</v>
      </c>
      <c r="F987" s="34" t="n">
        <v>225.26</v>
      </c>
      <c r="G987" s="34" t="n">
        <v>150.27</v>
      </c>
      <c r="H987" s="34" t="n">
        <v>127.76</v>
      </c>
      <c r="I987" s="34" t="n">
        <v>135.83</v>
      </c>
      <c r="J987" s="34" t="n">
        <v>158.27</v>
      </c>
      <c r="K987" s="34" t="n">
        <v>283.63</v>
      </c>
      <c r="L987" s="34" t="n">
        <f aca="false">AVERAGE(C987:E987)</f>
        <v>107.86</v>
      </c>
      <c r="M987" s="34" t="n">
        <f aca="false">AVERAGE(C987:J987)</f>
        <v>140.12125</v>
      </c>
    </row>
    <row r="988" customFormat="false" ht="15" hidden="false" customHeight="true" outlineLevel="0" collapsed="false">
      <c r="A988" s="34" t="s">
        <v>1259</v>
      </c>
      <c r="B988" s="34" t="n">
        <v>306.3</v>
      </c>
      <c r="C988" s="34" t="n">
        <v>-66.67</v>
      </c>
      <c r="D988" s="34" t="n">
        <v>-133.33</v>
      </c>
      <c r="E988" s="34" t="n">
        <v>5.69</v>
      </c>
      <c r="F988" s="34" t="n">
        <v>-82.42</v>
      </c>
      <c r="G988" s="34" t="n">
        <v>-94.63</v>
      </c>
      <c r="H988" s="34" t="n">
        <v>-18.57</v>
      </c>
      <c r="I988" s="34" t="n">
        <v>13.08</v>
      </c>
      <c r="J988" s="34" t="n">
        <v>1.36</v>
      </c>
      <c r="K988" s="34" t="n">
        <v>332.65</v>
      </c>
      <c r="L988" s="34" t="n">
        <f aca="false">AVERAGE(C988:E988)</f>
        <v>-64.77</v>
      </c>
      <c r="M988" s="34" t="n">
        <f aca="false">AVERAGE(C988:J988)</f>
        <v>-46.93625</v>
      </c>
    </row>
    <row r="989" customFormat="false" ht="15" hidden="false" customHeight="true" outlineLevel="0" collapsed="false">
      <c r="A989" s="34" t="s">
        <v>1260</v>
      </c>
      <c r="B989" s="34" t="n">
        <v>306</v>
      </c>
      <c r="C989" s="34" t="n">
        <v>-66.67</v>
      </c>
      <c r="D989" s="34" t="n">
        <v>58.84</v>
      </c>
      <c r="E989" s="34" t="n">
        <v>122.78</v>
      </c>
      <c r="F989" s="34" t="n">
        <v>57.03</v>
      </c>
      <c r="G989" s="34" t="n">
        <v>101.64</v>
      </c>
      <c r="H989" s="34" t="n">
        <v>102.4</v>
      </c>
      <c r="I989" s="34" t="n">
        <v>84.96</v>
      </c>
      <c r="J989" s="34" t="n">
        <v>91.45</v>
      </c>
      <c r="K989" s="34" t="n">
        <v>282.14</v>
      </c>
      <c r="L989" s="34" t="n">
        <f aca="false">AVERAGE(C989:E989)</f>
        <v>38.3166666666667</v>
      </c>
      <c r="M989" s="34" t="n">
        <f aca="false">AVERAGE(C989:J989)</f>
        <v>69.05375</v>
      </c>
    </row>
    <row r="990" customFormat="false" ht="15" hidden="false" customHeight="true" outlineLevel="0" collapsed="false">
      <c r="A990" s="34" t="s">
        <v>1261</v>
      </c>
      <c r="B990" s="34" t="n">
        <v>305.83</v>
      </c>
      <c r="C990" s="34" t="n">
        <v>66.67</v>
      </c>
      <c r="D990" s="34" t="n">
        <v>113.67</v>
      </c>
      <c r="E990" s="34" t="n">
        <v>110.4</v>
      </c>
      <c r="F990" s="34" t="n">
        <v>195.28</v>
      </c>
      <c r="G990" s="34" t="n">
        <v>306.66</v>
      </c>
      <c r="H990" s="34" t="n">
        <v>306.96</v>
      </c>
      <c r="I990" s="34" t="n">
        <v>130.35</v>
      </c>
      <c r="J990" s="34" t="n">
        <v>124.57</v>
      </c>
      <c r="K990" s="34" t="n">
        <v>275.13</v>
      </c>
      <c r="L990" s="34" t="n">
        <f aca="false">AVERAGE(C990:E990)</f>
        <v>96.9133333333333</v>
      </c>
      <c r="M990" s="34" t="n">
        <f aca="false">AVERAGE(C990:J990)</f>
        <v>169.32</v>
      </c>
    </row>
    <row r="991" customFormat="false" ht="15" hidden="false" customHeight="true" outlineLevel="0" collapsed="false">
      <c r="A991" s="34" t="s">
        <v>303</v>
      </c>
      <c r="B991" s="34" t="n">
        <v>305.7</v>
      </c>
      <c r="C991" s="34" t="n">
        <v>-66.67</v>
      </c>
      <c r="D991" s="34" t="n">
        <v>-0.364</v>
      </c>
      <c r="E991" s="34" t="n">
        <v>48.39</v>
      </c>
      <c r="F991" s="34" t="n">
        <v>-64.68</v>
      </c>
      <c r="G991" s="34" t="n">
        <v>-115.69</v>
      </c>
      <c r="H991" s="34" t="n">
        <v>-130</v>
      </c>
      <c r="I991" s="34" t="n">
        <v>-38.55</v>
      </c>
      <c r="J991" s="34" t="n">
        <v>-41.61</v>
      </c>
      <c r="K991" s="34" t="n">
        <v>317.44</v>
      </c>
      <c r="L991" s="34" t="n">
        <f aca="false">AVERAGE(C991:E991)</f>
        <v>-6.21466666666667</v>
      </c>
      <c r="M991" s="34" t="n">
        <f aca="false">AVERAGE(C991:J991)</f>
        <v>-51.14675</v>
      </c>
    </row>
    <row r="992" customFormat="false" ht="15" hidden="false" customHeight="true" outlineLevel="0" collapsed="false">
      <c r="A992" s="34" t="s">
        <v>387</v>
      </c>
      <c r="B992" s="34" t="n">
        <v>305.2</v>
      </c>
      <c r="C992" s="34" t="n">
        <v>-66.67</v>
      </c>
      <c r="D992" s="34" t="n">
        <v>-133.33</v>
      </c>
      <c r="E992" s="34" t="n">
        <v>29.84</v>
      </c>
      <c r="F992" s="34" t="n">
        <v>-26.5</v>
      </c>
      <c r="G992" s="34" t="n">
        <v>-9.27</v>
      </c>
      <c r="H992" s="34" t="n">
        <v>30.54</v>
      </c>
      <c r="I992" s="34" t="n">
        <v>40.98</v>
      </c>
      <c r="J992" s="34" t="n">
        <v>55.31</v>
      </c>
      <c r="K992" s="34" t="n">
        <v>299.78</v>
      </c>
      <c r="L992" s="34" t="n">
        <f aca="false">AVERAGE(C992:E992)</f>
        <v>-56.72</v>
      </c>
      <c r="M992" s="34" t="n">
        <f aca="false">AVERAGE(C992:J992)</f>
        <v>-9.8875</v>
      </c>
    </row>
    <row r="993" customFormat="false" ht="15" hidden="false" customHeight="true" outlineLevel="0" collapsed="false">
      <c r="A993" s="34" t="s">
        <v>1262</v>
      </c>
      <c r="B993" s="34" t="n">
        <v>304.95</v>
      </c>
      <c r="C993" s="34" t="n">
        <v>-66.67</v>
      </c>
      <c r="D993" s="34" t="n">
        <v>36.55</v>
      </c>
      <c r="E993" s="34" t="n">
        <v>104.56</v>
      </c>
      <c r="F993" s="34" t="n">
        <v>23.26</v>
      </c>
      <c r="G993" s="34" t="n">
        <v>-39.67</v>
      </c>
      <c r="H993" s="34" t="n">
        <v>-49.27</v>
      </c>
      <c r="I993" s="34" t="n">
        <v>-61.68</v>
      </c>
      <c r="J993" s="34" t="n">
        <v>-73.47</v>
      </c>
      <c r="K993" s="34" t="n">
        <v>281.82</v>
      </c>
      <c r="L993" s="34" t="n">
        <f aca="false">AVERAGE(C993:E993)</f>
        <v>24.8133333333333</v>
      </c>
      <c r="M993" s="34" t="n">
        <f aca="false">AVERAGE(C993:J993)</f>
        <v>-15.79875</v>
      </c>
    </row>
    <row r="994" customFormat="false" ht="15" hidden="false" customHeight="true" outlineLevel="0" collapsed="false">
      <c r="A994" s="34" t="s">
        <v>1263</v>
      </c>
      <c r="B994" s="34" t="n">
        <v>301.95</v>
      </c>
      <c r="C994" s="34" t="n">
        <v>66.67</v>
      </c>
      <c r="D994" s="34" t="n">
        <v>120.33</v>
      </c>
      <c r="E994" s="34" t="n">
        <v>107.87</v>
      </c>
      <c r="F994" s="34" t="n">
        <v>-0.012</v>
      </c>
      <c r="G994" s="34" t="n">
        <v>31.95</v>
      </c>
      <c r="H994" s="34" t="n">
        <v>54.32</v>
      </c>
      <c r="I994" s="34" t="n">
        <v>71.14</v>
      </c>
      <c r="J994" s="34" t="n">
        <v>65.69</v>
      </c>
      <c r="K994" s="34" t="n">
        <v>292.52</v>
      </c>
      <c r="L994" s="34" t="n">
        <f aca="false">AVERAGE(C994:E994)</f>
        <v>98.29</v>
      </c>
      <c r="M994" s="34" t="n">
        <f aca="false">AVERAGE(C994:J994)</f>
        <v>64.74475</v>
      </c>
    </row>
    <row r="995" customFormat="false" ht="15" hidden="false" customHeight="true" outlineLevel="0" collapsed="false">
      <c r="A995" s="34" t="s">
        <v>1264</v>
      </c>
      <c r="B995" s="34" t="n">
        <v>301.95</v>
      </c>
      <c r="C995" s="34" t="n">
        <v>-66.67</v>
      </c>
      <c r="D995" s="34" t="n">
        <v>31.44</v>
      </c>
      <c r="E995" s="34" t="n">
        <v>101.63</v>
      </c>
      <c r="F995" s="34" t="n">
        <v>-48.15</v>
      </c>
      <c r="G995" s="34" t="n">
        <v>-82.24</v>
      </c>
      <c r="H995" s="34" t="n">
        <v>-35.85</v>
      </c>
      <c r="I995" s="34" t="n">
        <v>-25.88</v>
      </c>
      <c r="J995" s="34" t="n">
        <v>-46.84</v>
      </c>
      <c r="K995" s="34" t="n">
        <v>310.74</v>
      </c>
      <c r="L995" s="34" t="n">
        <f aca="false">AVERAGE(C995:E995)</f>
        <v>22.1333333333333</v>
      </c>
      <c r="M995" s="34" t="n">
        <f aca="false">AVERAGE(C995:J995)</f>
        <v>-21.57</v>
      </c>
    </row>
    <row r="996" customFormat="false" ht="15" hidden="false" customHeight="true" outlineLevel="0" collapsed="false">
      <c r="A996" s="34" t="s">
        <v>1265</v>
      </c>
      <c r="B996" s="34" t="n">
        <v>301.35</v>
      </c>
      <c r="C996" s="34" t="n">
        <v>66.67</v>
      </c>
      <c r="D996" s="34" t="n">
        <v>98.83</v>
      </c>
      <c r="E996" s="34" t="n">
        <v>144.31</v>
      </c>
      <c r="F996" s="34" t="n">
        <v>202.3</v>
      </c>
      <c r="G996" s="34" t="n">
        <v>98.65</v>
      </c>
      <c r="H996" s="34" t="n">
        <v>99.26</v>
      </c>
      <c r="I996" s="34" t="n">
        <v>100.04</v>
      </c>
      <c r="J996" s="34" t="n">
        <v>108.23</v>
      </c>
      <c r="K996" s="34" t="n">
        <v>266.8</v>
      </c>
      <c r="L996" s="34" t="n">
        <f aca="false">AVERAGE(C996:E996)</f>
        <v>103.27</v>
      </c>
      <c r="M996" s="34" t="n">
        <f aca="false">AVERAGE(C996:J996)</f>
        <v>114.78625</v>
      </c>
    </row>
    <row r="997" customFormat="false" ht="15" hidden="false" customHeight="true" outlineLevel="0" collapsed="false">
      <c r="A997" s="34" t="s">
        <v>427</v>
      </c>
      <c r="B997" s="34" t="n">
        <v>300.05</v>
      </c>
      <c r="C997" s="34" t="n">
        <v>66.67</v>
      </c>
      <c r="D997" s="34" t="n">
        <v>85.36</v>
      </c>
      <c r="E997" s="34" t="n">
        <v>115.19</v>
      </c>
      <c r="F997" s="34" t="n">
        <v>127.71</v>
      </c>
      <c r="G997" s="34" t="n">
        <v>35.37</v>
      </c>
      <c r="H997" s="34" t="n">
        <v>54.56</v>
      </c>
      <c r="I997" s="34" t="n">
        <v>74.25</v>
      </c>
      <c r="J997" s="34" t="n">
        <v>89.44</v>
      </c>
      <c r="K997" s="34" t="n">
        <v>279.72</v>
      </c>
      <c r="L997" s="34" t="n">
        <f aca="false">AVERAGE(C997:E997)</f>
        <v>89.0733333333333</v>
      </c>
      <c r="M997" s="34" t="n">
        <f aca="false">AVERAGE(C997:J997)</f>
        <v>81.06875</v>
      </c>
    </row>
    <row r="998" customFormat="false" ht="15" hidden="false" customHeight="true" outlineLevel="0" collapsed="false">
      <c r="A998" s="34" t="s">
        <v>1266</v>
      </c>
      <c r="B998" s="34" t="n">
        <v>299.55</v>
      </c>
      <c r="C998" s="34" t="n">
        <v>66.67</v>
      </c>
      <c r="D998" s="34" t="n">
        <v>114.89</v>
      </c>
      <c r="E998" s="34" t="n">
        <v>100.71</v>
      </c>
      <c r="F998" s="34" t="n">
        <v>-35.48</v>
      </c>
      <c r="G998" s="34" t="n">
        <v>-90.78</v>
      </c>
      <c r="H998" s="34" t="n">
        <v>-111.41</v>
      </c>
      <c r="I998" s="34" t="n">
        <v>-123.18</v>
      </c>
      <c r="J998" s="34" t="n">
        <v>-133.78</v>
      </c>
      <c r="K998" s="34" t="n">
        <v>277.06</v>
      </c>
      <c r="L998" s="34" t="n">
        <f aca="false">AVERAGE(C998:E998)</f>
        <v>94.09</v>
      </c>
      <c r="M998" s="34" t="n">
        <f aca="false">AVERAGE(C998:J998)</f>
        <v>-26.545</v>
      </c>
    </row>
    <row r="999" customFormat="false" ht="15" hidden="false" customHeight="true" outlineLevel="0" collapsed="false">
      <c r="A999" s="34" t="s">
        <v>1267</v>
      </c>
      <c r="B999" s="34" t="n">
        <v>298.95</v>
      </c>
      <c r="C999" s="34" t="n">
        <v>-66.67</v>
      </c>
      <c r="D999" s="34" t="n">
        <v>-126.34</v>
      </c>
      <c r="E999" s="34" t="n">
        <v>-20.79</v>
      </c>
      <c r="F999" s="34" t="n">
        <v>-98.25</v>
      </c>
      <c r="G999" s="34" t="n">
        <v>-124.15</v>
      </c>
      <c r="H999" s="34" t="n">
        <v>-142.09</v>
      </c>
      <c r="I999" s="34" t="n">
        <v>-118.14</v>
      </c>
      <c r="J999" s="34" t="n">
        <v>-87.97</v>
      </c>
      <c r="K999" s="34" t="n">
        <v>320.51</v>
      </c>
      <c r="L999" s="34" t="n">
        <f aca="false">AVERAGE(C999:E999)</f>
        <v>-71.2666666666667</v>
      </c>
      <c r="M999" s="34" t="n">
        <f aca="false">AVERAGE(C999:J999)</f>
        <v>-98.05</v>
      </c>
    </row>
    <row r="1000" customFormat="false" ht="15" hidden="false" customHeight="true" outlineLevel="0" collapsed="false">
      <c r="A1000" s="34" t="s">
        <v>1268</v>
      </c>
      <c r="B1000" s="34" t="n">
        <v>298.15</v>
      </c>
      <c r="C1000" s="34" t="n">
        <v>66.67</v>
      </c>
      <c r="D1000" s="34" t="n">
        <v>65.29</v>
      </c>
      <c r="E1000" s="34" t="n">
        <v>122.28</v>
      </c>
      <c r="F1000" s="34" t="n">
        <v>80.72</v>
      </c>
      <c r="G1000" s="34" t="n">
        <v>101.62</v>
      </c>
      <c r="H1000" s="34" t="n">
        <v>95.97</v>
      </c>
      <c r="I1000" s="34" t="n">
        <v>93.41</v>
      </c>
      <c r="J1000" s="34" t="n">
        <v>107.88</v>
      </c>
      <c r="K1000" s="34" t="n">
        <v>280.79</v>
      </c>
      <c r="L1000" s="34" t="n">
        <f aca="false">AVERAGE(C1000:E1000)</f>
        <v>84.7466666666667</v>
      </c>
      <c r="M1000" s="34" t="n">
        <f aca="false">AVERAGE(C1000:J1000)</f>
        <v>91.73</v>
      </c>
    </row>
    <row r="1001" customFormat="false" ht="15" hidden="false" customHeight="true" outlineLevel="0" collapsed="false">
      <c r="A1001" s="34" t="s">
        <v>1269</v>
      </c>
      <c r="B1001" s="34" t="n">
        <v>297.2</v>
      </c>
      <c r="C1001" s="34" t="n">
        <v>-66.67</v>
      </c>
      <c r="D1001" s="34" t="n">
        <v>-133.33</v>
      </c>
      <c r="E1001" s="34" t="n">
        <v>24.04</v>
      </c>
      <c r="F1001" s="34" t="n">
        <v>106.79</v>
      </c>
      <c r="G1001" s="34" t="n">
        <v>107.6</v>
      </c>
      <c r="H1001" s="34" t="n">
        <v>87.02</v>
      </c>
      <c r="I1001" s="34" t="n">
        <v>96.42</v>
      </c>
      <c r="J1001" s="34" t="n">
        <v>113.4</v>
      </c>
      <c r="K1001" s="34" t="n">
        <v>284.93</v>
      </c>
      <c r="L1001" s="34" t="n">
        <f aca="false">AVERAGE(C1001:E1001)</f>
        <v>-58.6533333333333</v>
      </c>
      <c r="M1001" s="34" t="n">
        <f aca="false">AVERAGE(C1001:J1001)</f>
        <v>41.90875</v>
      </c>
    </row>
    <row r="1002" customFormat="false" ht="15" hidden="false" customHeight="true" outlineLevel="0" collapsed="false">
      <c r="A1002" s="34" t="s">
        <v>1270</v>
      </c>
      <c r="B1002" s="34" t="n">
        <v>296.55</v>
      </c>
      <c r="C1002" s="34" t="n">
        <v>-66.67</v>
      </c>
      <c r="D1002" s="34" t="n">
        <v>-91.17</v>
      </c>
      <c r="E1002" s="34" t="n">
        <v>-96.84</v>
      </c>
      <c r="F1002" s="34" t="n">
        <v>-136.67</v>
      </c>
      <c r="G1002" s="34" t="n">
        <v>-189.59</v>
      </c>
      <c r="H1002" s="34" t="n">
        <v>-223.97</v>
      </c>
      <c r="I1002" s="34" t="n">
        <v>-190.93</v>
      </c>
      <c r="J1002" s="34" t="n">
        <v>-138.99</v>
      </c>
      <c r="K1002" s="34" t="n">
        <v>322.8</v>
      </c>
      <c r="L1002" s="34" t="n">
        <f aca="false">AVERAGE(C1002:E1002)</f>
        <v>-84.8933333333333</v>
      </c>
      <c r="M1002" s="34" t="n">
        <f aca="false">AVERAGE(C1002:J1002)</f>
        <v>-141.85375</v>
      </c>
    </row>
    <row r="1003" customFormat="false" ht="15" hidden="false" customHeight="true" outlineLevel="0" collapsed="false">
      <c r="A1003" s="34" t="s">
        <v>1271</v>
      </c>
      <c r="B1003" s="34" t="n">
        <v>296.3</v>
      </c>
      <c r="C1003" s="34" t="n">
        <v>66.67</v>
      </c>
      <c r="D1003" s="34" t="n">
        <v>73.07</v>
      </c>
      <c r="E1003" s="34" t="n">
        <v>8.04</v>
      </c>
      <c r="F1003" s="34" t="n">
        <v>-90.63</v>
      </c>
      <c r="G1003" s="34" t="n">
        <v>-158.56</v>
      </c>
      <c r="H1003" s="34" t="n">
        <v>-38.86</v>
      </c>
      <c r="I1003" s="34" t="n">
        <v>3.64</v>
      </c>
      <c r="J1003" s="34" t="n">
        <v>18.78</v>
      </c>
      <c r="K1003" s="34" t="n">
        <v>299.19</v>
      </c>
      <c r="L1003" s="34" t="n">
        <f aca="false">AVERAGE(C1003:E1003)</f>
        <v>49.26</v>
      </c>
      <c r="M1003" s="34" t="n">
        <f aca="false">AVERAGE(C1003:J1003)</f>
        <v>-14.73125</v>
      </c>
    </row>
    <row r="1004" customFormat="false" ht="15" hidden="false" customHeight="true" outlineLevel="0" collapsed="false">
      <c r="A1004" s="34" t="s">
        <v>1272</v>
      </c>
      <c r="B1004" s="34" t="n">
        <v>296.1</v>
      </c>
      <c r="C1004" s="34" t="n">
        <v>66.67</v>
      </c>
      <c r="D1004" s="34" t="n">
        <v>76.4</v>
      </c>
      <c r="E1004" s="34" t="n">
        <v>149.2</v>
      </c>
      <c r="F1004" s="34" t="n">
        <v>-12.26</v>
      </c>
      <c r="G1004" s="34" t="n">
        <v>-24.83</v>
      </c>
      <c r="H1004" s="34" t="n">
        <v>-20.32</v>
      </c>
      <c r="I1004" s="34" t="n">
        <v>20.26</v>
      </c>
      <c r="J1004" s="34" t="n">
        <v>28.3</v>
      </c>
      <c r="K1004" s="34" t="n">
        <v>274.42</v>
      </c>
      <c r="L1004" s="34" t="n">
        <f aca="false">AVERAGE(C1004:E1004)</f>
        <v>97.4233333333333</v>
      </c>
      <c r="M1004" s="34" t="n">
        <f aca="false">AVERAGE(C1004:J1004)</f>
        <v>35.4275</v>
      </c>
    </row>
    <row r="1005" customFormat="false" ht="15" hidden="false" customHeight="true" outlineLevel="0" collapsed="false">
      <c r="A1005" s="34" t="s">
        <v>434</v>
      </c>
      <c r="B1005" s="34" t="n">
        <v>295.9</v>
      </c>
      <c r="C1005" s="34" t="n">
        <v>-66.67</v>
      </c>
      <c r="D1005" s="34" t="n">
        <v>21.56</v>
      </c>
      <c r="E1005" s="34" t="n">
        <v>-38.1</v>
      </c>
      <c r="F1005" s="34" t="n">
        <v>-51.73</v>
      </c>
      <c r="G1005" s="34" t="n">
        <v>-100.64</v>
      </c>
      <c r="H1005" s="34" t="n">
        <v>-11.95</v>
      </c>
      <c r="I1005" s="34" t="n">
        <v>19.34</v>
      </c>
      <c r="J1005" s="34" t="n">
        <v>7.73</v>
      </c>
      <c r="K1005" s="34" t="n">
        <v>316.17</v>
      </c>
      <c r="L1005" s="34" t="n">
        <f aca="false">AVERAGE(C1005:E1005)</f>
        <v>-27.7366666666667</v>
      </c>
      <c r="M1005" s="34" t="n">
        <f aca="false">AVERAGE(C1005:J1005)</f>
        <v>-27.5575</v>
      </c>
    </row>
    <row r="1006" customFormat="false" ht="15" hidden="false" customHeight="true" outlineLevel="0" collapsed="false">
      <c r="A1006" s="34" t="s">
        <v>1273</v>
      </c>
      <c r="B1006" s="34" t="n">
        <v>295.25</v>
      </c>
      <c r="C1006" s="34" t="n">
        <v>-66.67</v>
      </c>
      <c r="D1006" s="34" t="n">
        <v>-112.37</v>
      </c>
      <c r="E1006" s="34" t="n">
        <v>-13.4</v>
      </c>
      <c r="F1006" s="34" t="n">
        <v>-79.75</v>
      </c>
      <c r="G1006" s="34" t="n">
        <v>-85.63</v>
      </c>
      <c r="H1006" s="34" t="n">
        <v>-3.29</v>
      </c>
      <c r="I1006" s="34" t="n">
        <v>30.7</v>
      </c>
      <c r="J1006" s="34" t="n">
        <v>38.57</v>
      </c>
      <c r="K1006" s="34" t="n">
        <v>319.39</v>
      </c>
      <c r="L1006" s="34" t="n">
        <f aca="false">AVERAGE(C1006:E1006)</f>
        <v>-64.1466666666667</v>
      </c>
      <c r="M1006" s="34" t="n">
        <f aca="false">AVERAGE(C1006:J1006)</f>
        <v>-36.48</v>
      </c>
    </row>
    <row r="1007" customFormat="false" ht="15" hidden="false" customHeight="true" outlineLevel="0" collapsed="false">
      <c r="A1007" s="34" t="s">
        <v>1274</v>
      </c>
      <c r="B1007" s="34" t="n">
        <v>294.05</v>
      </c>
      <c r="C1007" s="34" t="n">
        <v>-66.67</v>
      </c>
      <c r="D1007" s="34" t="n">
        <v>-118.69</v>
      </c>
      <c r="E1007" s="34" t="n">
        <v>-10.3</v>
      </c>
      <c r="F1007" s="34" t="n">
        <v>-86.1</v>
      </c>
      <c r="G1007" s="34" t="n">
        <v>-146.91</v>
      </c>
      <c r="H1007" s="34" t="n">
        <v>-171.42</v>
      </c>
      <c r="I1007" s="34" t="n">
        <v>-157.22</v>
      </c>
      <c r="J1007" s="34" t="n">
        <v>-159.84</v>
      </c>
      <c r="K1007" s="34" t="n">
        <v>308.13</v>
      </c>
      <c r="L1007" s="34" t="n">
        <f aca="false">AVERAGE(C1007:E1007)</f>
        <v>-65.22</v>
      </c>
      <c r="M1007" s="34" t="n">
        <f aca="false">AVERAGE(C1007:J1007)</f>
        <v>-114.64375</v>
      </c>
    </row>
    <row r="1008" customFormat="false" ht="15" hidden="false" customHeight="true" outlineLevel="0" collapsed="false">
      <c r="A1008" s="34" t="s">
        <v>1275</v>
      </c>
      <c r="B1008" s="34" t="n">
        <v>294.05</v>
      </c>
      <c r="C1008" s="34" t="n">
        <v>66.67</v>
      </c>
      <c r="D1008" s="34" t="n">
        <v>-9.43</v>
      </c>
      <c r="E1008" s="34" t="n">
        <v>-66.33</v>
      </c>
      <c r="F1008" s="34" t="n">
        <v>-151.12</v>
      </c>
      <c r="G1008" s="34" t="n">
        <v>-192.22</v>
      </c>
      <c r="H1008" s="34" t="n">
        <v>-202.72</v>
      </c>
      <c r="I1008" s="34" t="n">
        <v>-224.57</v>
      </c>
      <c r="J1008" s="34" t="n">
        <v>-147.74</v>
      </c>
      <c r="K1008" s="34" t="n">
        <v>329.09</v>
      </c>
      <c r="L1008" s="34" t="n">
        <f aca="false">AVERAGE(C1008:E1008)</f>
        <v>-3.03</v>
      </c>
      <c r="M1008" s="34" t="n">
        <f aca="false">AVERAGE(C1008:J1008)</f>
        <v>-115.9325</v>
      </c>
    </row>
    <row r="1009" customFormat="false" ht="15" hidden="false" customHeight="true" outlineLevel="0" collapsed="false">
      <c r="A1009" s="34" t="s">
        <v>1276</v>
      </c>
      <c r="B1009" s="34" t="n">
        <v>293.95</v>
      </c>
      <c r="C1009" s="34" t="n">
        <v>-66.67</v>
      </c>
      <c r="D1009" s="34" t="n">
        <v>14.54</v>
      </c>
      <c r="E1009" s="34" t="n">
        <v>93.28</v>
      </c>
      <c r="F1009" s="34" t="n">
        <v>-36.35</v>
      </c>
      <c r="G1009" s="34" t="n">
        <v>-86.96</v>
      </c>
      <c r="H1009" s="34" t="n">
        <v>-120.48</v>
      </c>
      <c r="I1009" s="34" t="n">
        <v>-102.7</v>
      </c>
      <c r="J1009" s="34" t="n">
        <v>-107.17</v>
      </c>
      <c r="K1009" s="34" t="n">
        <v>301.81</v>
      </c>
      <c r="L1009" s="34" t="n">
        <f aca="false">AVERAGE(C1009:E1009)</f>
        <v>13.7166666666667</v>
      </c>
      <c r="M1009" s="34" t="n">
        <f aca="false">AVERAGE(C1009:J1009)</f>
        <v>-51.56375</v>
      </c>
    </row>
    <row r="1010" customFormat="false" ht="15" hidden="false" customHeight="true" outlineLevel="0" collapsed="false">
      <c r="A1010" s="34" t="s">
        <v>1277</v>
      </c>
      <c r="B1010" s="34" t="n">
        <v>293</v>
      </c>
      <c r="C1010" s="34" t="n">
        <v>-66.67</v>
      </c>
      <c r="D1010" s="34" t="n">
        <v>53.6</v>
      </c>
      <c r="E1010" s="34" t="n">
        <v>113.13</v>
      </c>
      <c r="F1010" s="34" t="n">
        <v>106.48</v>
      </c>
      <c r="G1010" s="34" t="n">
        <v>103.06</v>
      </c>
      <c r="H1010" s="34" t="n">
        <v>106.96</v>
      </c>
      <c r="I1010" s="34" t="n">
        <v>123.11</v>
      </c>
      <c r="J1010" s="34" t="n">
        <v>137.88</v>
      </c>
      <c r="K1010" s="34" t="n">
        <v>261.68</v>
      </c>
      <c r="L1010" s="34" t="n">
        <f aca="false">AVERAGE(C1010:E1010)</f>
        <v>33.3533333333333</v>
      </c>
      <c r="M1010" s="34" t="n">
        <f aca="false">AVERAGE(C1010:J1010)</f>
        <v>84.69375</v>
      </c>
    </row>
    <row r="1011" customFormat="false" ht="15" hidden="false" customHeight="true" outlineLevel="0" collapsed="false">
      <c r="A1011" s="34" t="s">
        <v>1278</v>
      </c>
      <c r="B1011" s="34" t="n">
        <v>291.85</v>
      </c>
      <c r="C1011" s="34" t="n">
        <v>-66.67</v>
      </c>
      <c r="D1011" s="34" t="n">
        <v>-121.95</v>
      </c>
      <c r="E1011" s="34" t="n">
        <v>-39.62</v>
      </c>
      <c r="F1011" s="34" t="n">
        <v>10.26</v>
      </c>
      <c r="G1011" s="34" t="n">
        <v>21.2</v>
      </c>
      <c r="H1011" s="34" t="n">
        <v>57.4</v>
      </c>
      <c r="I1011" s="34" t="n">
        <v>74.67</v>
      </c>
      <c r="J1011" s="34" t="n">
        <v>84.27</v>
      </c>
      <c r="K1011" s="34" t="n">
        <v>282.7</v>
      </c>
      <c r="L1011" s="34" t="n">
        <f aca="false">AVERAGE(C1011:E1011)</f>
        <v>-76.08</v>
      </c>
      <c r="M1011" s="34" t="n">
        <f aca="false">AVERAGE(C1011:J1011)</f>
        <v>2.445</v>
      </c>
    </row>
    <row r="1012" customFormat="false" ht="15" hidden="false" customHeight="true" outlineLevel="0" collapsed="false">
      <c r="A1012" s="34" t="s">
        <v>1279</v>
      </c>
      <c r="B1012" s="34" t="n">
        <v>291.55</v>
      </c>
      <c r="C1012" s="34" t="n">
        <v>-66.67</v>
      </c>
      <c r="D1012" s="34" t="n">
        <v>-30.84</v>
      </c>
      <c r="E1012" s="34" t="n">
        <v>31.31</v>
      </c>
      <c r="F1012" s="34" t="n">
        <v>-68.02</v>
      </c>
      <c r="G1012" s="34" t="n">
        <v>-56.4</v>
      </c>
      <c r="H1012" s="34" t="n">
        <v>29.78</v>
      </c>
      <c r="I1012" s="34" t="n">
        <v>48.97</v>
      </c>
      <c r="J1012" s="34" t="n">
        <v>59.86</v>
      </c>
      <c r="K1012" s="34" t="n">
        <v>308.03</v>
      </c>
      <c r="L1012" s="34" t="n">
        <f aca="false">AVERAGE(C1012:E1012)</f>
        <v>-22.0666666666667</v>
      </c>
      <c r="M1012" s="34" t="n">
        <f aca="false">AVERAGE(C1012:J1012)</f>
        <v>-6.50125</v>
      </c>
    </row>
    <row r="1013" customFormat="false" ht="15" hidden="false" customHeight="true" outlineLevel="0" collapsed="false">
      <c r="A1013" s="34" t="s">
        <v>1280</v>
      </c>
      <c r="B1013" s="34" t="n">
        <v>290.8</v>
      </c>
      <c r="C1013" s="34" t="n">
        <v>-66.67</v>
      </c>
      <c r="D1013" s="34" t="n">
        <v>38.82</v>
      </c>
      <c r="E1013" s="34" t="n">
        <v>94.66</v>
      </c>
      <c r="F1013" s="34" t="n">
        <v>89.85</v>
      </c>
      <c r="G1013" s="34" t="n">
        <v>96.39</v>
      </c>
      <c r="H1013" s="34" t="n">
        <v>117.56</v>
      </c>
      <c r="I1013" s="34" t="n">
        <v>116</v>
      </c>
      <c r="J1013" s="34" t="n">
        <v>128.09</v>
      </c>
      <c r="K1013" s="34" t="n">
        <v>292.96</v>
      </c>
      <c r="L1013" s="34" t="n">
        <f aca="false">AVERAGE(C1013:E1013)</f>
        <v>22.27</v>
      </c>
      <c r="M1013" s="34" t="n">
        <f aca="false">AVERAGE(C1013:J1013)</f>
        <v>76.8375</v>
      </c>
    </row>
    <row r="1014" customFormat="false" ht="15" hidden="false" customHeight="true" outlineLevel="0" collapsed="false">
      <c r="A1014" s="34" t="s">
        <v>1281</v>
      </c>
      <c r="B1014" s="34" t="n">
        <v>290.15</v>
      </c>
      <c r="C1014" s="34" t="n">
        <v>-66.67</v>
      </c>
      <c r="D1014" s="34" t="n">
        <v>44.43</v>
      </c>
      <c r="E1014" s="34" t="n">
        <v>110.68</v>
      </c>
      <c r="F1014" s="34" t="n">
        <v>-48.82</v>
      </c>
      <c r="G1014" s="34" t="n">
        <v>-99.58</v>
      </c>
      <c r="H1014" s="34" t="n">
        <v>-40.48</v>
      </c>
      <c r="I1014" s="34" t="n">
        <v>-11.7</v>
      </c>
      <c r="J1014" s="34" t="n">
        <v>-1.6</v>
      </c>
      <c r="K1014" s="34" t="n">
        <v>266.26</v>
      </c>
      <c r="L1014" s="34" t="n">
        <f aca="false">AVERAGE(C1014:E1014)</f>
        <v>29.48</v>
      </c>
      <c r="M1014" s="34" t="n">
        <f aca="false">AVERAGE(C1014:J1014)</f>
        <v>-14.2175</v>
      </c>
    </row>
    <row r="1015" customFormat="false" ht="15" hidden="false" customHeight="true" outlineLevel="0" collapsed="false">
      <c r="A1015" s="34" t="s">
        <v>1282</v>
      </c>
      <c r="B1015" s="34" t="n">
        <v>290.05</v>
      </c>
      <c r="C1015" s="34" t="n">
        <v>-66.67</v>
      </c>
      <c r="D1015" s="34" t="n">
        <v>46.87</v>
      </c>
      <c r="E1015" s="34" t="n">
        <v>-36.02</v>
      </c>
      <c r="F1015" s="34" t="n">
        <v>-98.91</v>
      </c>
      <c r="G1015" s="34" t="n">
        <v>-118.84</v>
      </c>
      <c r="H1015" s="34" t="n">
        <v>-21.19</v>
      </c>
      <c r="I1015" s="34" t="n">
        <v>27.59</v>
      </c>
      <c r="J1015" s="34" t="n">
        <v>24.27</v>
      </c>
      <c r="K1015" s="34" t="n">
        <v>304.61</v>
      </c>
      <c r="L1015" s="34" t="n">
        <f aca="false">AVERAGE(C1015:E1015)</f>
        <v>-18.6066666666667</v>
      </c>
      <c r="M1015" s="34" t="n">
        <f aca="false">AVERAGE(C1015:J1015)</f>
        <v>-30.3625</v>
      </c>
    </row>
    <row r="1016" customFormat="false" ht="15" hidden="false" customHeight="true" outlineLevel="0" collapsed="false">
      <c r="A1016" s="34" t="s">
        <v>1283</v>
      </c>
      <c r="B1016" s="34" t="n">
        <v>289.7</v>
      </c>
      <c r="C1016" s="34" t="n">
        <v>-66.67</v>
      </c>
      <c r="D1016" s="34" t="n">
        <v>-103.78</v>
      </c>
      <c r="E1016" s="34" t="n">
        <v>-197.37</v>
      </c>
      <c r="F1016" s="34" t="n">
        <v>-111.7</v>
      </c>
      <c r="G1016" s="34" t="n">
        <v>-149.29</v>
      </c>
      <c r="H1016" s="34" t="n">
        <v>-22.15</v>
      </c>
      <c r="I1016" s="34" t="n">
        <v>9.65</v>
      </c>
      <c r="J1016" s="34" t="n">
        <v>22.66</v>
      </c>
      <c r="K1016" s="34" t="n">
        <v>314.57</v>
      </c>
      <c r="L1016" s="34" t="n">
        <f aca="false">AVERAGE(C1016:E1016)</f>
        <v>-122.606666666667</v>
      </c>
      <c r="M1016" s="34" t="n">
        <f aca="false">AVERAGE(C1016:J1016)</f>
        <v>-77.33125</v>
      </c>
    </row>
    <row r="1017" customFormat="false" ht="15" hidden="false" customHeight="true" outlineLevel="0" collapsed="false">
      <c r="A1017" s="34" t="s">
        <v>1284</v>
      </c>
      <c r="B1017" s="34" t="n">
        <v>288.3</v>
      </c>
      <c r="C1017" s="34" t="n">
        <v>-66.67</v>
      </c>
      <c r="D1017" s="34" t="n">
        <v>-113.43</v>
      </c>
      <c r="E1017" s="34" t="n">
        <v>47.39</v>
      </c>
      <c r="F1017" s="34" t="n">
        <v>47.34</v>
      </c>
      <c r="G1017" s="34" t="n">
        <v>5.3</v>
      </c>
      <c r="H1017" s="34" t="n">
        <v>47.23</v>
      </c>
      <c r="I1017" s="34" t="n">
        <v>66.68</v>
      </c>
      <c r="J1017" s="34" t="n">
        <v>55.92</v>
      </c>
      <c r="K1017" s="34" t="n">
        <v>264.5</v>
      </c>
      <c r="L1017" s="34" t="n">
        <f aca="false">AVERAGE(C1017:E1017)</f>
        <v>-44.2366666666667</v>
      </c>
      <c r="M1017" s="34" t="n">
        <f aca="false">AVERAGE(C1017:J1017)</f>
        <v>11.22</v>
      </c>
    </row>
    <row r="1018" customFormat="false" ht="15" hidden="false" customHeight="true" outlineLevel="0" collapsed="false">
      <c r="A1018" s="34" t="s">
        <v>1285</v>
      </c>
      <c r="B1018" s="34" t="n">
        <v>287</v>
      </c>
      <c r="C1018" s="34" t="n">
        <v>-66.67</v>
      </c>
      <c r="D1018" s="34" t="n">
        <v>34.07</v>
      </c>
      <c r="E1018" s="34" t="n">
        <v>102.47</v>
      </c>
      <c r="F1018" s="34" t="n">
        <v>-10.78</v>
      </c>
      <c r="G1018" s="34" t="n">
        <v>47.39</v>
      </c>
      <c r="H1018" s="34" t="n">
        <v>70.41</v>
      </c>
      <c r="I1018" s="34" t="n">
        <v>92.63</v>
      </c>
      <c r="J1018" s="34" t="n">
        <v>46.45</v>
      </c>
      <c r="K1018" s="34" t="n">
        <v>297.91</v>
      </c>
      <c r="L1018" s="34" t="n">
        <f aca="false">AVERAGE(C1018:E1018)</f>
        <v>23.29</v>
      </c>
      <c r="M1018" s="34" t="n">
        <f aca="false">AVERAGE(C1018:J1018)</f>
        <v>39.49625</v>
      </c>
    </row>
    <row r="1019" customFormat="false" ht="15" hidden="false" customHeight="true" outlineLevel="0" collapsed="false">
      <c r="A1019" s="34" t="s">
        <v>1286</v>
      </c>
      <c r="B1019" s="34" t="n">
        <v>286.95</v>
      </c>
      <c r="C1019" s="34" t="n">
        <v>-66.67</v>
      </c>
      <c r="D1019" s="34" t="n">
        <v>34.4</v>
      </c>
      <c r="E1019" s="34" t="n">
        <v>-38.64</v>
      </c>
      <c r="F1019" s="34" t="n">
        <v>-106.11</v>
      </c>
      <c r="G1019" s="34" t="n">
        <v>-174.05</v>
      </c>
      <c r="H1019" s="34" t="n">
        <v>-41.99</v>
      </c>
      <c r="I1019" s="34" t="n">
        <v>-7.15</v>
      </c>
      <c r="J1019" s="34" t="n">
        <v>4.11</v>
      </c>
      <c r="K1019" s="34" t="n">
        <v>306.95</v>
      </c>
      <c r="L1019" s="34" t="n">
        <f aca="false">AVERAGE(C1019:E1019)</f>
        <v>-23.6366666666667</v>
      </c>
      <c r="M1019" s="34" t="n">
        <f aca="false">AVERAGE(C1019:J1019)</f>
        <v>-49.5125</v>
      </c>
    </row>
    <row r="1020" customFormat="false" ht="15" hidden="false" customHeight="true" outlineLevel="0" collapsed="false">
      <c r="A1020" s="34" t="s">
        <v>69</v>
      </c>
      <c r="B1020" s="34" t="n">
        <v>286.35</v>
      </c>
      <c r="C1020" s="34" t="n">
        <v>-66.67</v>
      </c>
      <c r="D1020" s="34" t="n">
        <v>46.02</v>
      </c>
      <c r="E1020" s="34" t="n">
        <v>85.65</v>
      </c>
      <c r="F1020" s="34" t="n">
        <v>161.74</v>
      </c>
      <c r="G1020" s="34" t="n">
        <v>117.64</v>
      </c>
      <c r="H1020" s="34" t="n">
        <v>105.33</v>
      </c>
      <c r="I1020" s="34" t="n">
        <v>111.74</v>
      </c>
      <c r="J1020" s="34" t="n">
        <v>124.36</v>
      </c>
      <c r="K1020" s="34" t="n">
        <v>271.46</v>
      </c>
      <c r="L1020" s="34" t="n">
        <f aca="false">AVERAGE(C1020:E1020)</f>
        <v>21.6666666666667</v>
      </c>
      <c r="M1020" s="34" t="n">
        <f aca="false">AVERAGE(C1020:J1020)</f>
        <v>85.72625</v>
      </c>
    </row>
    <row r="1021" customFormat="false" ht="15" hidden="false" customHeight="true" outlineLevel="0" collapsed="false">
      <c r="A1021" s="34" t="s">
        <v>1287</v>
      </c>
      <c r="B1021" s="34" t="n">
        <v>284.9</v>
      </c>
      <c r="C1021" s="34" t="n">
        <v>66.67</v>
      </c>
      <c r="D1021" s="34" t="n">
        <v>69.67</v>
      </c>
      <c r="E1021" s="34" t="n">
        <v>117.37</v>
      </c>
      <c r="F1021" s="34" t="n">
        <v>52.18</v>
      </c>
      <c r="G1021" s="34" t="n">
        <v>53.43</v>
      </c>
      <c r="H1021" s="34" t="n">
        <v>84.13</v>
      </c>
      <c r="I1021" s="34" t="n">
        <v>102.23</v>
      </c>
      <c r="J1021" s="34" t="n">
        <v>59.68</v>
      </c>
      <c r="K1021" s="34" t="n">
        <v>252.26</v>
      </c>
      <c r="L1021" s="34" t="n">
        <f aca="false">AVERAGE(C1021:E1021)</f>
        <v>84.57</v>
      </c>
      <c r="M1021" s="34" t="n">
        <f aca="false">AVERAGE(C1021:J1021)</f>
        <v>75.67</v>
      </c>
    </row>
    <row r="1022" customFormat="false" ht="15" hidden="false" customHeight="true" outlineLevel="0" collapsed="false">
      <c r="A1022" s="34" t="s">
        <v>1288</v>
      </c>
      <c r="B1022" s="34" t="n">
        <v>283.85</v>
      </c>
      <c r="C1022" s="34" t="n">
        <v>66.67</v>
      </c>
      <c r="D1022" s="34" t="n">
        <v>96.51</v>
      </c>
      <c r="E1022" s="34" t="n">
        <v>26.76</v>
      </c>
      <c r="F1022" s="34" t="n">
        <v>-22.62</v>
      </c>
      <c r="G1022" s="34" t="n">
        <v>55.31</v>
      </c>
      <c r="H1022" s="34" t="n">
        <v>82.44</v>
      </c>
      <c r="I1022" s="34" t="n">
        <v>105.56</v>
      </c>
      <c r="J1022" s="34" t="n">
        <v>112.53</v>
      </c>
      <c r="K1022" s="34" t="n">
        <v>246.47</v>
      </c>
      <c r="L1022" s="34" t="n">
        <f aca="false">AVERAGE(C1022:E1022)</f>
        <v>63.3133333333333</v>
      </c>
      <c r="M1022" s="34" t="n">
        <f aca="false">AVERAGE(C1022:J1022)</f>
        <v>65.395</v>
      </c>
    </row>
    <row r="1023" customFormat="false" ht="15" hidden="false" customHeight="true" outlineLevel="0" collapsed="false">
      <c r="A1023" s="34" t="s">
        <v>1289</v>
      </c>
      <c r="B1023" s="34" t="n">
        <v>283.48</v>
      </c>
      <c r="C1023" s="34" t="n">
        <v>66.67</v>
      </c>
      <c r="D1023" s="34" t="n">
        <v>47.09</v>
      </c>
      <c r="E1023" s="34" t="n">
        <v>81.3</v>
      </c>
      <c r="F1023" s="34" t="n">
        <v>182.87</v>
      </c>
      <c r="G1023" s="34" t="n">
        <v>180.85</v>
      </c>
      <c r="H1023" s="34" t="n">
        <v>238.36</v>
      </c>
      <c r="I1023" s="34" t="n">
        <v>218.62</v>
      </c>
      <c r="J1023" s="34" t="n">
        <v>68.75</v>
      </c>
      <c r="K1023" s="34" t="n">
        <v>247.47</v>
      </c>
      <c r="L1023" s="34" t="n">
        <f aca="false">AVERAGE(C1023:E1023)</f>
        <v>65.02</v>
      </c>
      <c r="M1023" s="34" t="n">
        <f aca="false">AVERAGE(C1023:J1023)</f>
        <v>135.56375</v>
      </c>
    </row>
    <row r="1024" customFormat="false" ht="15" hidden="false" customHeight="true" outlineLevel="0" collapsed="false">
      <c r="A1024" s="34" t="s">
        <v>80</v>
      </c>
      <c r="B1024" s="34" t="n">
        <v>283.35</v>
      </c>
      <c r="C1024" s="34" t="n">
        <v>-66.67</v>
      </c>
      <c r="D1024" s="34" t="n">
        <v>-111.51</v>
      </c>
      <c r="E1024" s="34" t="n">
        <v>-122.83</v>
      </c>
      <c r="F1024" s="34" t="n">
        <v>-118.09</v>
      </c>
      <c r="G1024" s="34" t="n">
        <v>-140.4</v>
      </c>
      <c r="H1024" s="34" t="n">
        <v>-136.84</v>
      </c>
      <c r="I1024" s="34" t="n">
        <v>-62.75</v>
      </c>
      <c r="J1024" s="34" t="n">
        <v>-38.15</v>
      </c>
      <c r="K1024" s="34" t="n">
        <v>291.33</v>
      </c>
      <c r="L1024" s="34" t="n">
        <f aca="false">AVERAGE(C1024:E1024)</f>
        <v>-100.336666666667</v>
      </c>
      <c r="M1024" s="34" t="n">
        <f aca="false">AVERAGE(C1024:J1024)</f>
        <v>-99.655</v>
      </c>
    </row>
    <row r="1025" customFormat="false" ht="15" hidden="false" customHeight="true" outlineLevel="0" collapsed="false">
      <c r="A1025" s="34" t="s">
        <v>1290</v>
      </c>
      <c r="B1025" s="34" t="n">
        <v>283</v>
      </c>
      <c r="C1025" s="34" t="n">
        <v>66.67</v>
      </c>
      <c r="D1025" s="34" t="n">
        <v>-28.77</v>
      </c>
      <c r="E1025" s="34" t="n">
        <v>-69.6</v>
      </c>
      <c r="F1025" s="34" t="n">
        <v>-117.12</v>
      </c>
      <c r="G1025" s="34" t="n">
        <v>-166.71</v>
      </c>
      <c r="H1025" s="34" t="n">
        <v>-160.45</v>
      </c>
      <c r="I1025" s="34" t="n">
        <v>-150.95</v>
      </c>
      <c r="J1025" s="34" t="n">
        <v>-121.68</v>
      </c>
      <c r="K1025" s="34" t="n">
        <v>297.38</v>
      </c>
      <c r="L1025" s="34" t="n">
        <f aca="false">AVERAGE(C1025:E1025)</f>
        <v>-10.5666666666667</v>
      </c>
      <c r="M1025" s="34" t="n">
        <f aca="false">AVERAGE(C1025:J1025)</f>
        <v>-93.57625</v>
      </c>
    </row>
    <row r="1026" customFormat="false" ht="15" hidden="false" customHeight="true" outlineLevel="0" collapsed="false">
      <c r="A1026" s="34" t="s">
        <v>1291</v>
      </c>
      <c r="B1026" s="34" t="n">
        <v>282.95</v>
      </c>
      <c r="C1026" s="34" t="n">
        <v>-66.67</v>
      </c>
      <c r="D1026" s="34" t="n">
        <v>-37.04</v>
      </c>
      <c r="E1026" s="34" t="n">
        <v>52.84</v>
      </c>
      <c r="F1026" s="34" t="n">
        <v>-68.82</v>
      </c>
      <c r="G1026" s="34" t="n">
        <v>-115.16</v>
      </c>
      <c r="H1026" s="34" t="n">
        <v>-98.48</v>
      </c>
      <c r="I1026" s="34" t="n">
        <v>-68.49</v>
      </c>
      <c r="J1026" s="34" t="n">
        <v>-73.85</v>
      </c>
      <c r="K1026" s="34" t="n">
        <v>300.19</v>
      </c>
      <c r="L1026" s="34" t="n">
        <f aca="false">AVERAGE(C1026:E1026)</f>
        <v>-16.9566666666667</v>
      </c>
      <c r="M1026" s="34" t="n">
        <f aca="false">AVERAGE(C1026:J1026)</f>
        <v>-59.45875</v>
      </c>
    </row>
    <row r="1027" customFormat="false" ht="15" hidden="false" customHeight="true" outlineLevel="0" collapsed="false">
      <c r="A1027" s="34" t="s">
        <v>1292</v>
      </c>
      <c r="B1027" s="34" t="n">
        <v>282.65</v>
      </c>
      <c r="C1027" s="34" t="n">
        <v>-66.67</v>
      </c>
      <c r="D1027" s="34" t="n">
        <v>-110.13</v>
      </c>
      <c r="E1027" s="34" t="n">
        <v>-104.09</v>
      </c>
      <c r="F1027" s="34" t="n">
        <v>-92.22</v>
      </c>
      <c r="G1027" s="34" t="n">
        <v>-47.35</v>
      </c>
      <c r="H1027" s="34" t="n">
        <v>23.77</v>
      </c>
      <c r="I1027" s="34" t="n">
        <v>47.64</v>
      </c>
      <c r="J1027" s="34" t="n">
        <v>51.15</v>
      </c>
      <c r="K1027" s="34" t="n">
        <v>299.9</v>
      </c>
      <c r="L1027" s="34" t="n">
        <f aca="false">AVERAGE(C1027:E1027)</f>
        <v>-93.63</v>
      </c>
      <c r="M1027" s="34" t="n">
        <f aca="false">AVERAGE(C1027:J1027)</f>
        <v>-37.2375</v>
      </c>
    </row>
    <row r="1028" customFormat="false" ht="15" hidden="false" customHeight="true" outlineLevel="0" collapsed="false">
      <c r="A1028" s="34" t="s">
        <v>1293</v>
      </c>
      <c r="B1028" s="34" t="n">
        <v>282.05</v>
      </c>
      <c r="C1028" s="34" t="n">
        <v>-66.67</v>
      </c>
      <c r="D1028" s="34" t="n">
        <v>-123.39</v>
      </c>
      <c r="E1028" s="34" t="n">
        <v>-134.67</v>
      </c>
      <c r="F1028" s="34" t="n">
        <v>-112.09</v>
      </c>
      <c r="G1028" s="34" t="n">
        <v>-167.69</v>
      </c>
      <c r="H1028" s="34" t="n">
        <v>-180.94</v>
      </c>
      <c r="I1028" s="34" t="n">
        <v>-136.97</v>
      </c>
      <c r="J1028" s="34" t="n">
        <v>-132.57</v>
      </c>
      <c r="K1028" s="34" t="n">
        <v>301.65</v>
      </c>
      <c r="L1028" s="34" t="n">
        <f aca="false">AVERAGE(C1028:E1028)</f>
        <v>-108.243333333333</v>
      </c>
      <c r="M1028" s="34" t="n">
        <f aca="false">AVERAGE(C1028:J1028)</f>
        <v>-131.87375</v>
      </c>
    </row>
    <row r="1029" customFormat="false" ht="15" hidden="false" customHeight="true" outlineLevel="0" collapsed="false">
      <c r="A1029" s="34" t="s">
        <v>1294</v>
      </c>
      <c r="B1029" s="34" t="n">
        <v>282</v>
      </c>
      <c r="C1029" s="34" t="n">
        <v>66.67</v>
      </c>
      <c r="D1029" s="34" t="n">
        <v>82.15</v>
      </c>
      <c r="E1029" s="34" t="n">
        <v>-2.05</v>
      </c>
      <c r="F1029" s="34" t="n">
        <v>-98.68</v>
      </c>
      <c r="G1029" s="34" t="n">
        <v>-67.24</v>
      </c>
      <c r="H1029" s="34" t="n">
        <v>-5.05</v>
      </c>
      <c r="I1029" s="34" t="n">
        <v>17.18</v>
      </c>
      <c r="J1029" s="34" t="n">
        <v>15.95</v>
      </c>
      <c r="K1029" s="34" t="n">
        <v>299.26</v>
      </c>
      <c r="L1029" s="34" t="n">
        <f aca="false">AVERAGE(C1029:E1029)</f>
        <v>48.9233333333333</v>
      </c>
      <c r="M1029" s="34" t="n">
        <f aca="false">AVERAGE(C1029:J1029)</f>
        <v>1.11625</v>
      </c>
    </row>
    <row r="1030" customFormat="false" ht="15" hidden="false" customHeight="true" outlineLevel="0" collapsed="false">
      <c r="A1030" s="34" t="s">
        <v>1295</v>
      </c>
      <c r="B1030" s="34" t="n">
        <v>281.8</v>
      </c>
      <c r="C1030" s="34" t="n">
        <v>-66.67</v>
      </c>
      <c r="D1030" s="34" t="n">
        <v>-5.67</v>
      </c>
      <c r="E1030" s="34" t="n">
        <v>25.46</v>
      </c>
      <c r="F1030" s="34" t="n">
        <v>-48.58</v>
      </c>
      <c r="G1030" s="34" t="n">
        <v>-37.75</v>
      </c>
      <c r="H1030" s="34" t="n">
        <v>3.37</v>
      </c>
      <c r="I1030" s="34" t="n">
        <v>26.68</v>
      </c>
      <c r="J1030" s="34" t="n">
        <v>-18.9</v>
      </c>
      <c r="K1030" s="34" t="n">
        <v>299.72</v>
      </c>
      <c r="L1030" s="34" t="n">
        <f aca="false">AVERAGE(C1030:E1030)</f>
        <v>-15.6266666666667</v>
      </c>
      <c r="M1030" s="34" t="n">
        <f aca="false">AVERAGE(C1030:J1030)</f>
        <v>-15.2575</v>
      </c>
    </row>
    <row r="1031" customFormat="false" ht="15" hidden="false" customHeight="true" outlineLevel="0" collapsed="false">
      <c r="A1031" s="34" t="s">
        <v>1296</v>
      </c>
      <c r="B1031" s="34" t="n">
        <v>280.1</v>
      </c>
      <c r="C1031" s="34" t="n">
        <v>66.67</v>
      </c>
      <c r="D1031" s="34" t="n">
        <v>71.46</v>
      </c>
      <c r="E1031" s="34" t="n">
        <v>113.06</v>
      </c>
      <c r="F1031" s="34" t="n">
        <v>-67.6</v>
      </c>
      <c r="G1031" s="34" t="n">
        <v>-91.63</v>
      </c>
      <c r="H1031" s="34" t="n">
        <v>-56.01</v>
      </c>
      <c r="I1031" s="34" t="n">
        <v>-27.18</v>
      </c>
      <c r="J1031" s="34" t="n">
        <v>-29.2</v>
      </c>
      <c r="K1031" s="34" t="n">
        <v>293.33</v>
      </c>
      <c r="L1031" s="34" t="n">
        <f aca="false">AVERAGE(C1031:E1031)</f>
        <v>83.73</v>
      </c>
      <c r="M1031" s="34" t="n">
        <f aca="false">AVERAGE(C1031:J1031)</f>
        <v>-2.55375</v>
      </c>
    </row>
    <row r="1032" customFormat="false" ht="15" hidden="false" customHeight="true" outlineLevel="0" collapsed="false">
      <c r="A1032" s="34" t="s">
        <v>1297</v>
      </c>
      <c r="B1032" s="34" t="n">
        <v>280</v>
      </c>
      <c r="C1032" s="34" t="n">
        <v>-66.67</v>
      </c>
      <c r="D1032" s="34" t="n">
        <v>-69.49</v>
      </c>
      <c r="E1032" s="34" t="n">
        <v>-125.97</v>
      </c>
      <c r="F1032" s="34" t="n">
        <v>-117.14</v>
      </c>
      <c r="G1032" s="34" t="n">
        <v>-74.34</v>
      </c>
      <c r="H1032" s="34" t="n">
        <v>-5.22</v>
      </c>
      <c r="I1032" s="34" t="n">
        <v>21.98</v>
      </c>
      <c r="J1032" s="34" t="n">
        <v>24.15</v>
      </c>
      <c r="K1032" s="34" t="n">
        <v>304.53</v>
      </c>
      <c r="L1032" s="34" t="n">
        <f aca="false">AVERAGE(C1032:E1032)</f>
        <v>-87.3766666666667</v>
      </c>
      <c r="M1032" s="34" t="n">
        <f aca="false">AVERAGE(C1032:J1032)</f>
        <v>-51.5875</v>
      </c>
    </row>
    <row r="1033" customFormat="false" ht="15" hidden="false" customHeight="true" outlineLevel="0" collapsed="false">
      <c r="A1033" s="34" t="s">
        <v>1298</v>
      </c>
      <c r="B1033" s="34" t="n">
        <v>279.35</v>
      </c>
      <c r="C1033" s="34" t="n">
        <v>-66.67</v>
      </c>
      <c r="D1033" s="34" t="n">
        <v>-133.33</v>
      </c>
      <c r="E1033" s="34" t="n">
        <v>-120.49</v>
      </c>
      <c r="F1033" s="34" t="n">
        <v>-124.39</v>
      </c>
      <c r="G1033" s="34" t="n">
        <v>-208.63</v>
      </c>
      <c r="H1033" s="34" t="n">
        <v>-162.97</v>
      </c>
      <c r="I1033" s="34" t="n">
        <v>-127.52</v>
      </c>
      <c r="J1033" s="34" t="n">
        <v>-132.19</v>
      </c>
      <c r="K1033" s="34" t="n">
        <v>298.27</v>
      </c>
      <c r="L1033" s="34" t="n">
        <f aca="false">AVERAGE(C1033:E1033)</f>
        <v>-106.83</v>
      </c>
      <c r="M1033" s="34" t="n">
        <f aca="false">AVERAGE(C1033:J1033)</f>
        <v>-134.52375</v>
      </c>
    </row>
    <row r="1034" customFormat="false" ht="15" hidden="false" customHeight="true" outlineLevel="0" collapsed="false">
      <c r="A1034" s="34" t="s">
        <v>1299</v>
      </c>
      <c r="B1034" s="34" t="n">
        <v>278.65</v>
      </c>
      <c r="C1034" s="34" t="n">
        <v>-66.67</v>
      </c>
      <c r="D1034" s="34" t="n">
        <v>-98.66</v>
      </c>
      <c r="E1034" s="34" t="n">
        <v>-62.66</v>
      </c>
      <c r="F1034" s="34" t="n">
        <v>-40.95</v>
      </c>
      <c r="G1034" s="34" t="n">
        <v>55.49</v>
      </c>
      <c r="H1034" s="34" t="n">
        <v>81.25</v>
      </c>
      <c r="I1034" s="34" t="n">
        <v>99.42</v>
      </c>
      <c r="J1034" s="34" t="n">
        <v>118.73</v>
      </c>
      <c r="K1034" s="34" t="n">
        <v>265.52</v>
      </c>
      <c r="L1034" s="34" t="n">
        <f aca="false">AVERAGE(C1034:E1034)</f>
        <v>-75.9966666666667</v>
      </c>
      <c r="M1034" s="34" t="n">
        <f aca="false">AVERAGE(C1034:J1034)</f>
        <v>10.74375</v>
      </c>
    </row>
    <row r="1035" customFormat="false" ht="15" hidden="false" customHeight="true" outlineLevel="0" collapsed="false">
      <c r="A1035" s="34" t="s">
        <v>519</v>
      </c>
      <c r="B1035" s="34" t="n">
        <v>278.65</v>
      </c>
      <c r="C1035" s="34" t="n">
        <v>-66.67</v>
      </c>
      <c r="D1035" s="34" t="n">
        <v>47.92</v>
      </c>
      <c r="E1035" s="34" t="n">
        <v>91.38</v>
      </c>
      <c r="F1035" s="34" t="n">
        <v>-40.23</v>
      </c>
      <c r="G1035" s="34" t="n">
        <v>-83.59</v>
      </c>
      <c r="H1035" s="34" t="n">
        <v>-58.72</v>
      </c>
      <c r="I1035" s="34" t="n">
        <v>-12.81</v>
      </c>
      <c r="J1035" s="34" t="n">
        <v>-27.52</v>
      </c>
      <c r="K1035" s="34" t="n">
        <v>282.59</v>
      </c>
      <c r="L1035" s="34" t="n">
        <f aca="false">AVERAGE(C1035:E1035)</f>
        <v>24.21</v>
      </c>
      <c r="M1035" s="34" t="n">
        <f aca="false">AVERAGE(C1035:J1035)</f>
        <v>-18.78</v>
      </c>
    </row>
    <row r="1036" customFormat="false" ht="15" hidden="false" customHeight="true" outlineLevel="0" collapsed="false">
      <c r="A1036" s="34" t="s">
        <v>1300</v>
      </c>
      <c r="B1036" s="34" t="n">
        <v>278.6</v>
      </c>
      <c r="C1036" s="34" t="n">
        <v>-66.67</v>
      </c>
      <c r="D1036" s="34" t="n">
        <v>-27.42</v>
      </c>
      <c r="E1036" s="34" t="n">
        <v>-68.43</v>
      </c>
      <c r="F1036" s="34" t="n">
        <v>-90.75</v>
      </c>
      <c r="G1036" s="34" t="n">
        <v>-75.6</v>
      </c>
      <c r="H1036" s="34" t="n">
        <v>-2.41</v>
      </c>
      <c r="I1036" s="34" t="n">
        <v>26.23</v>
      </c>
      <c r="J1036" s="34" t="n">
        <v>41.74</v>
      </c>
      <c r="K1036" s="34" t="n">
        <v>298.38</v>
      </c>
      <c r="L1036" s="34" t="n">
        <f aca="false">AVERAGE(C1036:E1036)</f>
        <v>-54.1733333333333</v>
      </c>
      <c r="M1036" s="34" t="n">
        <f aca="false">AVERAGE(C1036:J1036)</f>
        <v>-32.91375</v>
      </c>
    </row>
    <row r="1037" customFormat="false" ht="15" hidden="false" customHeight="true" outlineLevel="0" collapsed="false">
      <c r="A1037" s="34" t="s">
        <v>1301</v>
      </c>
      <c r="B1037" s="34" t="n">
        <v>278.51</v>
      </c>
      <c r="C1037" s="34" t="n">
        <v>-66.67</v>
      </c>
      <c r="D1037" s="34" t="n">
        <v>41.69</v>
      </c>
      <c r="E1037" s="34" t="n">
        <v>71.65</v>
      </c>
      <c r="F1037" s="34" t="n">
        <v>142.25</v>
      </c>
      <c r="G1037" s="34" t="n">
        <v>163.69</v>
      </c>
      <c r="H1037" s="34" t="n">
        <v>207.78</v>
      </c>
      <c r="I1037" s="34" t="n">
        <v>241.09</v>
      </c>
      <c r="J1037" s="34" t="n">
        <v>262.75</v>
      </c>
      <c r="K1037" s="34" t="n">
        <v>254.81</v>
      </c>
      <c r="L1037" s="34" t="n">
        <f aca="false">AVERAGE(C1037:E1037)</f>
        <v>15.5566666666667</v>
      </c>
      <c r="M1037" s="34" t="n">
        <f aca="false">AVERAGE(C1037:J1037)</f>
        <v>133.02875</v>
      </c>
    </row>
    <row r="1038" customFormat="false" ht="15" hidden="false" customHeight="true" outlineLevel="0" collapsed="false">
      <c r="A1038" s="34" t="s">
        <v>1302</v>
      </c>
      <c r="B1038" s="34" t="n">
        <v>278.1</v>
      </c>
      <c r="C1038" s="34" t="n">
        <v>-66.67</v>
      </c>
      <c r="D1038" s="34" t="n">
        <v>15.25</v>
      </c>
      <c r="E1038" s="34" t="n">
        <v>51.25</v>
      </c>
      <c r="F1038" s="34" t="n">
        <v>-43.54</v>
      </c>
      <c r="G1038" s="34" t="n">
        <v>9.94</v>
      </c>
      <c r="H1038" s="34" t="n">
        <v>45.09</v>
      </c>
      <c r="I1038" s="34" t="n">
        <v>67.79</v>
      </c>
      <c r="J1038" s="34" t="n">
        <v>69.4</v>
      </c>
      <c r="K1038" s="34" t="n">
        <v>286.07</v>
      </c>
      <c r="L1038" s="34" t="n">
        <f aca="false">AVERAGE(C1038:E1038)</f>
        <v>-0.0566666666666672</v>
      </c>
      <c r="M1038" s="34" t="n">
        <f aca="false">AVERAGE(C1038:J1038)</f>
        <v>18.56375</v>
      </c>
    </row>
    <row r="1039" customFormat="false" ht="15" hidden="false" customHeight="true" outlineLevel="0" collapsed="false">
      <c r="A1039" s="34" t="s">
        <v>1303</v>
      </c>
      <c r="B1039" s="34" t="n">
        <v>278</v>
      </c>
      <c r="C1039" s="34" t="n">
        <v>66.67</v>
      </c>
      <c r="D1039" s="34" t="n">
        <v>121.69</v>
      </c>
      <c r="E1039" s="34" t="n">
        <v>108.34</v>
      </c>
      <c r="F1039" s="34" t="n">
        <v>144.2</v>
      </c>
      <c r="G1039" s="34" t="n">
        <v>177</v>
      </c>
      <c r="H1039" s="34" t="n">
        <v>124.93</v>
      </c>
      <c r="I1039" s="34" t="n">
        <v>116.68</v>
      </c>
      <c r="J1039" s="34" t="n">
        <v>131.88</v>
      </c>
      <c r="K1039" s="34" t="n">
        <v>256.51</v>
      </c>
      <c r="L1039" s="34" t="n">
        <f aca="false">AVERAGE(C1039:E1039)</f>
        <v>98.9</v>
      </c>
      <c r="M1039" s="34" t="n">
        <f aca="false">AVERAGE(C1039:J1039)</f>
        <v>123.92375</v>
      </c>
    </row>
    <row r="1040" customFormat="false" ht="15" hidden="false" customHeight="true" outlineLevel="0" collapsed="false">
      <c r="A1040" s="34" t="s">
        <v>1304</v>
      </c>
      <c r="B1040" s="34" t="n">
        <v>276.95</v>
      </c>
      <c r="C1040" s="34" t="n">
        <v>-66.67</v>
      </c>
      <c r="D1040" s="34" t="n">
        <v>-20.26</v>
      </c>
      <c r="E1040" s="34" t="n">
        <v>36.32</v>
      </c>
      <c r="F1040" s="34" t="n">
        <v>-64.07</v>
      </c>
      <c r="G1040" s="34" t="n">
        <v>-107.91</v>
      </c>
      <c r="H1040" s="34" t="n">
        <v>-83.79</v>
      </c>
      <c r="I1040" s="34" t="n">
        <v>-44.8</v>
      </c>
      <c r="J1040" s="34" t="n">
        <v>-55.65</v>
      </c>
      <c r="K1040" s="34" t="n">
        <v>290.11</v>
      </c>
      <c r="L1040" s="34" t="n">
        <f aca="false">AVERAGE(C1040:E1040)</f>
        <v>-16.87</v>
      </c>
      <c r="M1040" s="34" t="n">
        <f aca="false">AVERAGE(C1040:J1040)</f>
        <v>-50.85375</v>
      </c>
    </row>
    <row r="1041" customFormat="false" ht="15" hidden="false" customHeight="true" outlineLevel="0" collapsed="false">
      <c r="A1041" s="34" t="s">
        <v>189</v>
      </c>
      <c r="B1041" s="34" t="n">
        <v>276.95</v>
      </c>
      <c r="C1041" s="34" t="n">
        <v>-66.67</v>
      </c>
      <c r="D1041" s="34" t="n">
        <v>-132.69</v>
      </c>
      <c r="E1041" s="34" t="n">
        <v>27.02</v>
      </c>
      <c r="F1041" s="34" t="n">
        <v>-64.87</v>
      </c>
      <c r="G1041" s="34" t="n">
        <v>-123.18</v>
      </c>
      <c r="H1041" s="34" t="n">
        <v>-160.42</v>
      </c>
      <c r="I1041" s="34" t="n">
        <v>-130.25</v>
      </c>
      <c r="J1041" s="34" t="n">
        <v>-140.87</v>
      </c>
      <c r="K1041" s="34" t="n">
        <v>285.39</v>
      </c>
      <c r="L1041" s="34" t="n">
        <f aca="false">AVERAGE(C1041:E1041)</f>
        <v>-57.4466666666667</v>
      </c>
      <c r="M1041" s="34" t="n">
        <f aca="false">AVERAGE(C1041:J1041)</f>
        <v>-98.99125</v>
      </c>
    </row>
    <row r="1042" customFormat="false" ht="15" hidden="false" customHeight="true" outlineLevel="0" collapsed="false">
      <c r="A1042" s="34" t="s">
        <v>575</v>
      </c>
      <c r="B1042" s="34" t="n">
        <v>276.71</v>
      </c>
      <c r="C1042" s="34" t="n">
        <v>-66.67</v>
      </c>
      <c r="D1042" s="34" t="n">
        <v>-114.62</v>
      </c>
      <c r="E1042" s="34" t="n">
        <v>2.85</v>
      </c>
      <c r="F1042" s="34" t="n">
        <v>89.52</v>
      </c>
      <c r="G1042" s="34" t="n">
        <v>156.16</v>
      </c>
      <c r="H1042" s="34" t="n">
        <v>222.16</v>
      </c>
      <c r="I1042" s="34" t="n">
        <v>274.81</v>
      </c>
      <c r="J1042" s="34" t="n">
        <v>321.98</v>
      </c>
      <c r="K1042" s="34" t="n">
        <v>271.53</v>
      </c>
      <c r="L1042" s="34" t="n">
        <f aca="false">AVERAGE(C1042:E1042)</f>
        <v>-59.48</v>
      </c>
      <c r="M1042" s="34" t="n">
        <f aca="false">AVERAGE(C1042:J1042)</f>
        <v>110.77375</v>
      </c>
    </row>
    <row r="1043" customFormat="false" ht="15" hidden="false" customHeight="true" outlineLevel="0" collapsed="false">
      <c r="A1043" s="34" t="s">
        <v>1305</v>
      </c>
      <c r="B1043" s="34" t="n">
        <v>276.15</v>
      </c>
      <c r="C1043" s="34" t="n">
        <v>-66.67</v>
      </c>
      <c r="D1043" s="34" t="n">
        <v>6.19</v>
      </c>
      <c r="E1043" s="34" t="n">
        <v>16.76</v>
      </c>
      <c r="F1043" s="34" t="n">
        <v>-70.43</v>
      </c>
      <c r="G1043" s="34" t="n">
        <v>-90.48</v>
      </c>
      <c r="H1043" s="34" t="n">
        <v>-98.14</v>
      </c>
      <c r="I1043" s="34" t="n">
        <v>-31.94</v>
      </c>
      <c r="J1043" s="34" t="n">
        <v>-50.07</v>
      </c>
      <c r="K1043" s="34" t="n">
        <v>282.41</v>
      </c>
      <c r="L1043" s="34" t="n">
        <f aca="false">AVERAGE(C1043:E1043)</f>
        <v>-14.5733333333333</v>
      </c>
      <c r="M1043" s="34" t="n">
        <f aca="false">AVERAGE(C1043:J1043)</f>
        <v>-48.0975</v>
      </c>
    </row>
    <row r="1044" customFormat="false" ht="15" hidden="false" customHeight="true" outlineLevel="0" collapsed="false">
      <c r="A1044" s="34" t="s">
        <v>1306</v>
      </c>
      <c r="B1044" s="34" t="n">
        <v>275.6</v>
      </c>
      <c r="C1044" s="34" t="n">
        <v>-66.67</v>
      </c>
      <c r="D1044" s="34" t="n">
        <v>64.1</v>
      </c>
      <c r="E1044" s="34" t="n">
        <v>102.55</v>
      </c>
      <c r="F1044" s="34" t="n">
        <v>22.19</v>
      </c>
      <c r="G1044" s="34" t="n">
        <v>79.43</v>
      </c>
      <c r="H1044" s="34" t="n">
        <v>90.55</v>
      </c>
      <c r="I1044" s="34" t="n">
        <v>106.23</v>
      </c>
      <c r="J1044" s="34" t="n">
        <v>82.45</v>
      </c>
      <c r="K1044" s="34" t="n">
        <v>278.62</v>
      </c>
      <c r="L1044" s="34" t="n">
        <f aca="false">AVERAGE(C1044:E1044)</f>
        <v>33.3266666666667</v>
      </c>
      <c r="M1044" s="34" t="n">
        <f aca="false">AVERAGE(C1044:J1044)</f>
        <v>60.10375</v>
      </c>
    </row>
    <row r="1045" customFormat="false" ht="15" hidden="false" customHeight="true" outlineLevel="0" collapsed="false">
      <c r="A1045" s="34" t="s">
        <v>1307</v>
      </c>
      <c r="B1045" s="34" t="n">
        <v>274.93</v>
      </c>
      <c r="C1045" s="34" t="n">
        <v>-66.67</v>
      </c>
      <c r="D1045" s="34" t="n">
        <v>-57.96</v>
      </c>
      <c r="E1045" s="34" t="n">
        <v>-12.38</v>
      </c>
      <c r="F1045" s="34" t="n">
        <v>-12.11</v>
      </c>
      <c r="G1045" s="34" t="n">
        <v>-20.17</v>
      </c>
      <c r="H1045" s="34" t="n">
        <v>27.22</v>
      </c>
      <c r="I1045" s="34" t="n">
        <v>52.02</v>
      </c>
      <c r="J1045" s="34" t="n">
        <v>64.54</v>
      </c>
      <c r="K1045" s="34" t="n">
        <v>277.59</v>
      </c>
      <c r="L1045" s="34" t="n">
        <f aca="false">AVERAGE(C1045:E1045)</f>
        <v>-45.67</v>
      </c>
      <c r="M1045" s="34" t="n">
        <f aca="false">AVERAGE(C1045:J1045)</f>
        <v>-3.18875</v>
      </c>
    </row>
    <row r="1046" customFormat="false" ht="15" hidden="false" customHeight="true" outlineLevel="0" collapsed="false">
      <c r="A1046" s="34" t="s">
        <v>1308</v>
      </c>
      <c r="B1046" s="34" t="n">
        <v>274.4</v>
      </c>
      <c r="C1046" s="34" t="n">
        <v>-66.67</v>
      </c>
      <c r="D1046" s="34" t="n">
        <v>-109.9</v>
      </c>
      <c r="E1046" s="34" t="n">
        <v>-34.56</v>
      </c>
      <c r="F1046" s="34" t="n">
        <v>-56.66</v>
      </c>
      <c r="G1046" s="34" t="n">
        <v>-31.06</v>
      </c>
      <c r="H1046" s="34" t="n">
        <v>8.61</v>
      </c>
      <c r="I1046" s="34" t="n">
        <v>17.99</v>
      </c>
      <c r="J1046" s="34" t="n">
        <v>-11.25</v>
      </c>
      <c r="K1046" s="34" t="n">
        <v>295.68</v>
      </c>
      <c r="L1046" s="34" t="n">
        <f aca="false">AVERAGE(C1046:E1046)</f>
        <v>-70.3766666666667</v>
      </c>
      <c r="M1046" s="34" t="n">
        <f aca="false">AVERAGE(C1046:J1046)</f>
        <v>-35.4375</v>
      </c>
    </row>
    <row r="1047" customFormat="false" ht="15" hidden="false" customHeight="true" outlineLevel="0" collapsed="false">
      <c r="A1047" s="34" t="s">
        <v>1309</v>
      </c>
      <c r="B1047" s="34" t="n">
        <v>272.8</v>
      </c>
      <c r="C1047" s="34" t="n">
        <v>-66.67</v>
      </c>
      <c r="D1047" s="34" t="n">
        <v>-132.52</v>
      </c>
      <c r="E1047" s="34" t="n">
        <v>-126.1</v>
      </c>
      <c r="F1047" s="34" t="n">
        <v>-96.25</v>
      </c>
      <c r="G1047" s="34" t="n">
        <v>-152.09</v>
      </c>
      <c r="H1047" s="34" t="n">
        <v>-139.11</v>
      </c>
      <c r="I1047" s="34" t="n">
        <v>-57.4</v>
      </c>
      <c r="J1047" s="34" t="n">
        <v>-52.67</v>
      </c>
      <c r="K1047" s="34" t="n">
        <v>289.97</v>
      </c>
      <c r="L1047" s="34" t="n">
        <f aca="false">AVERAGE(C1047:E1047)</f>
        <v>-108.43</v>
      </c>
      <c r="M1047" s="34" t="n">
        <f aca="false">AVERAGE(C1047:J1047)</f>
        <v>-102.85125</v>
      </c>
    </row>
    <row r="1048" customFormat="false" ht="15" hidden="false" customHeight="true" outlineLevel="0" collapsed="false">
      <c r="A1048" s="34" t="s">
        <v>1310</v>
      </c>
      <c r="B1048" s="34" t="n">
        <v>272.8</v>
      </c>
      <c r="C1048" s="34" t="n">
        <v>-66.67</v>
      </c>
      <c r="D1048" s="34" t="n">
        <v>-130.31</v>
      </c>
      <c r="E1048" s="34" t="n">
        <v>-102.45</v>
      </c>
      <c r="F1048" s="34" t="n">
        <v>-87.17</v>
      </c>
      <c r="G1048" s="34" t="n">
        <v>-112.63</v>
      </c>
      <c r="H1048" s="34" t="n">
        <v>-5.01</v>
      </c>
      <c r="I1048" s="34" t="n">
        <v>18.62</v>
      </c>
      <c r="J1048" s="34" t="n">
        <v>21.71</v>
      </c>
      <c r="K1048" s="34" t="n">
        <v>265.81</v>
      </c>
      <c r="L1048" s="34" t="n">
        <f aca="false">AVERAGE(C1048:E1048)</f>
        <v>-99.81</v>
      </c>
      <c r="M1048" s="34" t="n">
        <f aca="false">AVERAGE(C1048:J1048)</f>
        <v>-57.98875</v>
      </c>
    </row>
    <row r="1049" customFormat="false" ht="15" hidden="false" customHeight="true" outlineLevel="0" collapsed="false">
      <c r="A1049" s="34" t="s">
        <v>1311</v>
      </c>
      <c r="B1049" s="34" t="n">
        <v>272.7</v>
      </c>
      <c r="C1049" s="34" t="n">
        <v>66.67</v>
      </c>
      <c r="D1049" s="34" t="n">
        <v>-9.64</v>
      </c>
      <c r="E1049" s="34" t="n">
        <v>-48.94</v>
      </c>
      <c r="F1049" s="34" t="n">
        <v>-105.59</v>
      </c>
      <c r="G1049" s="34" t="n">
        <v>-137.1</v>
      </c>
      <c r="H1049" s="34" t="n">
        <v>-129.12</v>
      </c>
      <c r="I1049" s="34" t="n">
        <v>-45.27</v>
      </c>
      <c r="J1049" s="34" t="n">
        <v>-50.01</v>
      </c>
      <c r="K1049" s="34" t="n">
        <v>266.16</v>
      </c>
      <c r="L1049" s="34" t="n">
        <f aca="false">AVERAGE(C1049:E1049)</f>
        <v>2.69666666666667</v>
      </c>
      <c r="M1049" s="34" t="n">
        <f aca="false">AVERAGE(C1049:J1049)</f>
        <v>-57.375</v>
      </c>
    </row>
    <row r="1050" customFormat="false" ht="15" hidden="false" customHeight="true" outlineLevel="0" collapsed="false">
      <c r="A1050" s="34" t="s">
        <v>496</v>
      </c>
      <c r="B1050" s="34" t="n">
        <v>272.4</v>
      </c>
      <c r="C1050" s="34" t="n">
        <v>66.67</v>
      </c>
      <c r="D1050" s="34" t="n">
        <v>75.6</v>
      </c>
      <c r="E1050" s="34" t="n">
        <v>98.69</v>
      </c>
      <c r="F1050" s="34" t="n">
        <v>-75.66</v>
      </c>
      <c r="G1050" s="34" t="n">
        <v>-140.94</v>
      </c>
      <c r="H1050" s="34" t="n">
        <v>-141.27</v>
      </c>
      <c r="I1050" s="34" t="n">
        <v>-155.44</v>
      </c>
      <c r="J1050" s="34" t="n">
        <v>-165.55</v>
      </c>
      <c r="K1050" s="34" t="n">
        <v>286.05</v>
      </c>
      <c r="L1050" s="34" t="n">
        <f aca="false">AVERAGE(C1050:E1050)</f>
        <v>80.32</v>
      </c>
      <c r="M1050" s="34" t="n">
        <f aca="false">AVERAGE(C1050:J1050)</f>
        <v>-54.7375</v>
      </c>
    </row>
    <row r="1051" customFormat="false" ht="15" hidden="false" customHeight="true" outlineLevel="0" collapsed="false">
      <c r="A1051" s="34" t="s">
        <v>1312</v>
      </c>
      <c r="B1051" s="34" t="n">
        <v>272</v>
      </c>
      <c r="C1051" s="34" t="n">
        <v>-66.67</v>
      </c>
      <c r="D1051" s="34" t="n">
        <v>-123.4</v>
      </c>
      <c r="E1051" s="34" t="n">
        <v>-83.65</v>
      </c>
      <c r="F1051" s="34" t="n">
        <v>-109.31</v>
      </c>
      <c r="G1051" s="34" t="n">
        <v>-90.18</v>
      </c>
      <c r="H1051" s="34" t="n">
        <v>-26.72</v>
      </c>
      <c r="I1051" s="34" t="n">
        <v>13.89</v>
      </c>
      <c r="J1051" s="34" t="n">
        <v>9.43</v>
      </c>
      <c r="K1051" s="34" t="n">
        <v>293.21</v>
      </c>
      <c r="L1051" s="34" t="n">
        <f aca="false">AVERAGE(C1051:E1051)</f>
        <v>-91.24</v>
      </c>
      <c r="M1051" s="34" t="n">
        <f aca="false">AVERAGE(C1051:J1051)</f>
        <v>-59.57625</v>
      </c>
    </row>
    <row r="1052" customFormat="false" ht="15" hidden="false" customHeight="true" outlineLevel="0" collapsed="false">
      <c r="A1052" s="34" t="s">
        <v>1313</v>
      </c>
      <c r="B1052" s="34" t="n">
        <v>270.75</v>
      </c>
      <c r="C1052" s="34" t="n">
        <v>66.67</v>
      </c>
      <c r="D1052" s="34" t="n">
        <v>9.72</v>
      </c>
      <c r="E1052" s="34" t="n">
        <v>3.11</v>
      </c>
      <c r="F1052" s="34" t="n">
        <v>-80.79</v>
      </c>
      <c r="G1052" s="34" t="n">
        <v>-128.94</v>
      </c>
      <c r="H1052" s="34" t="n">
        <v>-64.84</v>
      </c>
      <c r="I1052" s="34" t="n">
        <v>-8.62</v>
      </c>
      <c r="J1052" s="34" t="n">
        <v>-30.29</v>
      </c>
      <c r="K1052" s="34" t="n">
        <v>290.13</v>
      </c>
      <c r="L1052" s="34" t="n">
        <f aca="false">AVERAGE(C1052:E1052)</f>
        <v>26.5</v>
      </c>
      <c r="M1052" s="34" t="n">
        <f aca="false">AVERAGE(C1052:J1052)</f>
        <v>-29.2475</v>
      </c>
    </row>
    <row r="1053" customFormat="false" ht="15" hidden="false" customHeight="true" outlineLevel="0" collapsed="false">
      <c r="A1053" s="34" t="s">
        <v>1314</v>
      </c>
      <c r="B1053" s="34" t="n">
        <v>270.7</v>
      </c>
      <c r="C1053" s="34" t="n">
        <v>-66.67</v>
      </c>
      <c r="D1053" s="34" t="n">
        <v>-30.1</v>
      </c>
      <c r="E1053" s="34" t="n">
        <v>-46.27</v>
      </c>
      <c r="F1053" s="34" t="n">
        <v>-89.72</v>
      </c>
      <c r="G1053" s="34" t="n">
        <v>-119.42</v>
      </c>
      <c r="H1053" s="34" t="n">
        <v>-132.76</v>
      </c>
      <c r="I1053" s="34" t="n">
        <v>-78.83</v>
      </c>
      <c r="J1053" s="34" t="n">
        <v>-45.77</v>
      </c>
      <c r="K1053" s="34" t="n">
        <v>294.57</v>
      </c>
      <c r="L1053" s="34" t="n">
        <f aca="false">AVERAGE(C1053:E1053)</f>
        <v>-47.68</v>
      </c>
      <c r="M1053" s="34" t="n">
        <f aca="false">AVERAGE(C1053:J1053)</f>
        <v>-76.1925</v>
      </c>
    </row>
    <row r="1054" customFormat="false" ht="15" hidden="false" customHeight="true" outlineLevel="0" collapsed="false">
      <c r="A1054" s="34" t="s">
        <v>1315</v>
      </c>
      <c r="B1054" s="34" t="n">
        <v>269.7</v>
      </c>
      <c r="C1054" s="34" t="n">
        <v>-66.67</v>
      </c>
      <c r="D1054" s="34" t="n">
        <v>-119.04</v>
      </c>
      <c r="E1054" s="34" t="n">
        <v>46.77</v>
      </c>
      <c r="F1054" s="34" t="n">
        <v>-59.61</v>
      </c>
      <c r="G1054" s="34" t="n">
        <v>-125.32</v>
      </c>
      <c r="H1054" s="34" t="n">
        <v>-52.71</v>
      </c>
      <c r="I1054" s="34" t="n">
        <v>1.81</v>
      </c>
      <c r="J1054" s="34" t="n">
        <v>2.17</v>
      </c>
      <c r="K1054" s="34" t="n">
        <v>253.64</v>
      </c>
      <c r="L1054" s="34" t="n">
        <f aca="false">AVERAGE(C1054:E1054)</f>
        <v>-46.3133333333333</v>
      </c>
      <c r="M1054" s="34" t="n">
        <f aca="false">AVERAGE(C1054:J1054)</f>
        <v>-46.575</v>
      </c>
    </row>
    <row r="1055" customFormat="false" ht="15" hidden="false" customHeight="true" outlineLevel="0" collapsed="false">
      <c r="A1055" s="34" t="s">
        <v>1316</v>
      </c>
      <c r="B1055" s="34" t="n">
        <v>268.25</v>
      </c>
      <c r="C1055" s="34" t="n">
        <v>66.67</v>
      </c>
      <c r="D1055" s="34" t="n">
        <v>133.33</v>
      </c>
      <c r="E1055" s="34" t="n">
        <v>153.82</v>
      </c>
      <c r="F1055" s="34" t="n">
        <v>25.13</v>
      </c>
      <c r="G1055" s="34" t="n">
        <v>83.33</v>
      </c>
      <c r="H1055" s="34" t="n">
        <v>103.8</v>
      </c>
      <c r="I1055" s="34" t="n">
        <v>124.7</v>
      </c>
      <c r="J1055" s="34" t="n">
        <v>106.3</v>
      </c>
      <c r="K1055" s="34" t="n">
        <v>271.13</v>
      </c>
      <c r="L1055" s="34" t="n">
        <f aca="false">AVERAGE(C1055:E1055)</f>
        <v>117.94</v>
      </c>
      <c r="M1055" s="34" t="n">
        <f aca="false">AVERAGE(C1055:J1055)</f>
        <v>99.635</v>
      </c>
    </row>
    <row r="1056" customFormat="false" ht="15" hidden="false" customHeight="true" outlineLevel="0" collapsed="false">
      <c r="A1056" s="34" t="s">
        <v>1317</v>
      </c>
      <c r="B1056" s="34" t="n">
        <v>267.3</v>
      </c>
      <c r="C1056" s="34" t="n">
        <v>66.67</v>
      </c>
      <c r="D1056" s="34" t="n">
        <v>88.4</v>
      </c>
      <c r="E1056" s="34" t="n">
        <v>118.84</v>
      </c>
      <c r="F1056" s="34" t="n">
        <v>-52.04</v>
      </c>
      <c r="G1056" s="34" t="n">
        <v>-117.01</v>
      </c>
      <c r="H1056" s="34" t="n">
        <v>-137.36</v>
      </c>
      <c r="I1056" s="34" t="n">
        <v>-85.49</v>
      </c>
      <c r="J1056" s="34" t="n">
        <v>-92.47</v>
      </c>
      <c r="K1056" s="34" t="n">
        <v>247.39</v>
      </c>
      <c r="L1056" s="34" t="n">
        <f aca="false">AVERAGE(C1056:E1056)</f>
        <v>91.3033333333333</v>
      </c>
      <c r="M1056" s="34" t="n">
        <f aca="false">AVERAGE(C1056:J1056)</f>
        <v>-26.3075</v>
      </c>
    </row>
    <row r="1057" customFormat="false" ht="15" hidden="false" customHeight="true" outlineLevel="0" collapsed="false">
      <c r="A1057" s="34" t="s">
        <v>1318</v>
      </c>
      <c r="B1057" s="34" t="n">
        <v>267.05</v>
      </c>
      <c r="C1057" s="34" t="n">
        <v>66.67</v>
      </c>
      <c r="D1057" s="34" t="n">
        <v>133.33</v>
      </c>
      <c r="E1057" s="34" t="n">
        <v>237.49</v>
      </c>
      <c r="F1057" s="34" t="n">
        <v>63.13</v>
      </c>
      <c r="G1057" s="34" t="n">
        <v>-29.91</v>
      </c>
      <c r="H1057" s="34" t="n">
        <v>-46.34</v>
      </c>
      <c r="I1057" s="34" t="n">
        <v>-3.28</v>
      </c>
      <c r="J1057" s="34" t="n">
        <v>-19.26</v>
      </c>
      <c r="K1057" s="34" t="n">
        <v>252.87</v>
      </c>
      <c r="L1057" s="34" t="n">
        <f aca="false">AVERAGE(C1057:E1057)</f>
        <v>145.83</v>
      </c>
      <c r="M1057" s="34" t="n">
        <f aca="false">AVERAGE(C1057:J1057)</f>
        <v>50.22875</v>
      </c>
    </row>
    <row r="1058" customFormat="false" ht="15" hidden="false" customHeight="true" outlineLevel="0" collapsed="false">
      <c r="A1058" s="34" t="s">
        <v>97</v>
      </c>
      <c r="B1058" s="34" t="n">
        <v>266.75</v>
      </c>
      <c r="C1058" s="34" t="n">
        <v>66.67</v>
      </c>
      <c r="D1058" s="34" t="n">
        <v>-25.95</v>
      </c>
      <c r="E1058" s="34" t="n">
        <v>56.01</v>
      </c>
      <c r="F1058" s="34" t="n">
        <v>37.52</v>
      </c>
      <c r="G1058" s="34" t="n">
        <v>21.68</v>
      </c>
      <c r="H1058" s="34" t="n">
        <v>54.45</v>
      </c>
      <c r="I1058" s="34" t="n">
        <v>73.32</v>
      </c>
      <c r="J1058" s="34" t="n">
        <v>90.6</v>
      </c>
      <c r="K1058" s="34" t="n">
        <v>252.54</v>
      </c>
      <c r="L1058" s="34" t="n">
        <f aca="false">AVERAGE(C1058:E1058)</f>
        <v>32.2433333333333</v>
      </c>
      <c r="M1058" s="34" t="n">
        <f aca="false">AVERAGE(C1058:J1058)</f>
        <v>46.7875</v>
      </c>
    </row>
    <row r="1059" customFormat="false" ht="15" hidden="false" customHeight="true" outlineLevel="0" collapsed="false">
      <c r="A1059" s="34" t="s">
        <v>1319</v>
      </c>
      <c r="B1059" s="34" t="n">
        <v>266</v>
      </c>
      <c r="C1059" s="34" t="n">
        <v>-66.67</v>
      </c>
      <c r="D1059" s="34" t="n">
        <v>-45.44</v>
      </c>
      <c r="E1059" s="34" t="n">
        <v>54.07</v>
      </c>
      <c r="F1059" s="34" t="n">
        <v>108.63</v>
      </c>
      <c r="G1059" s="34" t="n">
        <v>62.08</v>
      </c>
      <c r="H1059" s="34" t="n">
        <v>72.17</v>
      </c>
      <c r="I1059" s="34" t="n">
        <v>85.06</v>
      </c>
      <c r="J1059" s="34" t="n">
        <v>97.1</v>
      </c>
      <c r="K1059" s="34" t="n">
        <v>247.47</v>
      </c>
      <c r="L1059" s="34" t="n">
        <f aca="false">AVERAGE(C1059:E1059)</f>
        <v>-19.3466666666667</v>
      </c>
      <c r="M1059" s="34" t="n">
        <f aca="false">AVERAGE(C1059:J1059)</f>
        <v>45.875</v>
      </c>
    </row>
    <row r="1060" customFormat="false" ht="15" hidden="false" customHeight="true" outlineLevel="0" collapsed="false">
      <c r="A1060" s="34" t="s">
        <v>1320</v>
      </c>
      <c r="B1060" s="34" t="n">
        <v>265.5</v>
      </c>
      <c r="C1060" s="34" t="n">
        <v>-66.67</v>
      </c>
      <c r="D1060" s="34" t="n">
        <v>-133.33</v>
      </c>
      <c r="E1060" s="34" t="n">
        <v>-118.27</v>
      </c>
      <c r="F1060" s="34" t="n">
        <v>-103.99</v>
      </c>
      <c r="G1060" s="34" t="n">
        <v>-80.51</v>
      </c>
      <c r="H1060" s="34" t="n">
        <v>21.57</v>
      </c>
      <c r="I1060" s="34" t="n">
        <v>47.26</v>
      </c>
      <c r="J1060" s="34" t="n">
        <v>52.31</v>
      </c>
      <c r="K1060" s="34" t="n">
        <v>279.28</v>
      </c>
      <c r="L1060" s="34" t="n">
        <f aca="false">AVERAGE(C1060:E1060)</f>
        <v>-106.09</v>
      </c>
      <c r="M1060" s="34" t="n">
        <f aca="false">AVERAGE(C1060:J1060)</f>
        <v>-47.70375</v>
      </c>
    </row>
    <row r="1061" customFormat="false" ht="15" hidden="false" customHeight="true" outlineLevel="0" collapsed="false">
      <c r="A1061" s="34" t="s">
        <v>1321</v>
      </c>
      <c r="B1061" s="34" t="n">
        <v>265.05</v>
      </c>
      <c r="C1061" s="34" t="n">
        <v>66.67</v>
      </c>
      <c r="D1061" s="34" t="n">
        <v>66.64</v>
      </c>
      <c r="E1061" s="34" t="n">
        <v>97.32</v>
      </c>
      <c r="F1061" s="34" t="n">
        <v>57.3</v>
      </c>
      <c r="G1061" s="34" t="n">
        <v>58.92</v>
      </c>
      <c r="H1061" s="34" t="n">
        <v>70.79</v>
      </c>
      <c r="I1061" s="34" t="n">
        <v>79.28</v>
      </c>
      <c r="J1061" s="34" t="n">
        <v>93.65</v>
      </c>
      <c r="K1061" s="34" t="n">
        <v>238.25</v>
      </c>
      <c r="L1061" s="34" t="n">
        <f aca="false">AVERAGE(C1061:E1061)</f>
        <v>76.8766666666667</v>
      </c>
      <c r="M1061" s="34" t="n">
        <f aca="false">AVERAGE(C1061:J1061)</f>
        <v>73.82125</v>
      </c>
    </row>
    <row r="1062" customFormat="false" ht="15" hidden="false" customHeight="true" outlineLevel="0" collapsed="false">
      <c r="A1062" s="34" t="s">
        <v>1322</v>
      </c>
      <c r="B1062" s="34" t="n">
        <v>265.05</v>
      </c>
      <c r="C1062" s="34" t="n">
        <v>-66.67</v>
      </c>
      <c r="D1062" s="34" t="n">
        <v>-75.62</v>
      </c>
      <c r="E1062" s="34" t="n">
        <v>52.42</v>
      </c>
      <c r="F1062" s="34" t="n">
        <v>-57.68</v>
      </c>
      <c r="G1062" s="34" t="n">
        <v>-119.79</v>
      </c>
      <c r="H1062" s="34" t="n">
        <v>-140.86</v>
      </c>
      <c r="I1062" s="34" t="n">
        <v>-108.01</v>
      </c>
      <c r="J1062" s="34" t="n">
        <v>-118.01</v>
      </c>
      <c r="K1062" s="34" t="n">
        <v>275.02</v>
      </c>
      <c r="L1062" s="34" t="n">
        <f aca="false">AVERAGE(C1062:E1062)</f>
        <v>-29.9566666666667</v>
      </c>
      <c r="M1062" s="34" t="n">
        <f aca="false">AVERAGE(C1062:J1062)</f>
        <v>-79.2775</v>
      </c>
    </row>
    <row r="1063" customFormat="false" ht="15" hidden="false" customHeight="true" outlineLevel="0" collapsed="false">
      <c r="A1063" s="34" t="s">
        <v>1323</v>
      </c>
      <c r="B1063" s="34" t="n">
        <v>265</v>
      </c>
      <c r="C1063" s="34" t="n">
        <v>-66.67</v>
      </c>
      <c r="D1063" s="34" t="n">
        <v>47.37</v>
      </c>
      <c r="E1063" s="34" t="n">
        <v>133.15</v>
      </c>
      <c r="F1063" s="34" t="n">
        <v>-1.62</v>
      </c>
      <c r="G1063" s="34" t="n">
        <v>-24.2</v>
      </c>
      <c r="H1063" s="34" t="n">
        <v>10.88</v>
      </c>
      <c r="I1063" s="34" t="n">
        <v>42.58</v>
      </c>
      <c r="J1063" s="34" t="n">
        <v>26.83</v>
      </c>
      <c r="K1063" s="34" t="n">
        <v>245.07</v>
      </c>
      <c r="L1063" s="34" t="n">
        <f aca="false">AVERAGE(C1063:E1063)</f>
        <v>37.95</v>
      </c>
      <c r="M1063" s="34" t="n">
        <f aca="false">AVERAGE(C1063:J1063)</f>
        <v>21.04</v>
      </c>
    </row>
    <row r="1064" customFormat="false" ht="15" hidden="false" customHeight="true" outlineLevel="0" collapsed="false">
      <c r="A1064" s="34" t="s">
        <v>1324</v>
      </c>
      <c r="B1064" s="34" t="n">
        <v>264.4</v>
      </c>
      <c r="C1064" s="34" t="n">
        <v>-66.67</v>
      </c>
      <c r="D1064" s="34" t="n">
        <v>-109.11</v>
      </c>
      <c r="E1064" s="34" t="n">
        <v>-201.53</v>
      </c>
      <c r="F1064" s="34" t="n">
        <v>-96.99</v>
      </c>
      <c r="G1064" s="34" t="n">
        <v>-73.19</v>
      </c>
      <c r="H1064" s="34" t="n">
        <v>-7.67</v>
      </c>
      <c r="I1064" s="34" t="n">
        <v>16.85</v>
      </c>
      <c r="J1064" s="34" t="n">
        <v>-21.51</v>
      </c>
      <c r="K1064" s="34" t="n">
        <v>284.43</v>
      </c>
      <c r="L1064" s="34" t="n">
        <f aca="false">AVERAGE(C1064:E1064)</f>
        <v>-125.77</v>
      </c>
      <c r="M1064" s="34" t="n">
        <f aca="false">AVERAGE(C1064:J1064)</f>
        <v>-69.9775</v>
      </c>
    </row>
    <row r="1065" customFormat="false" ht="15" hidden="false" customHeight="true" outlineLevel="0" collapsed="false">
      <c r="A1065" s="34" t="s">
        <v>343</v>
      </c>
      <c r="B1065" s="34" t="n">
        <v>263.9</v>
      </c>
      <c r="C1065" s="34" t="n">
        <v>-66.67</v>
      </c>
      <c r="D1065" s="34" t="n">
        <v>-80.53</v>
      </c>
      <c r="E1065" s="34" t="n">
        <v>42.37</v>
      </c>
      <c r="F1065" s="34" t="n">
        <v>-55.22</v>
      </c>
      <c r="G1065" s="34" t="n">
        <v>-91.95</v>
      </c>
      <c r="H1065" s="34" t="n">
        <v>-23.45</v>
      </c>
      <c r="I1065" s="34" t="n">
        <v>4.14</v>
      </c>
      <c r="J1065" s="34" t="n">
        <v>-4.72</v>
      </c>
      <c r="K1065" s="34" t="n">
        <v>270.11</v>
      </c>
      <c r="L1065" s="34" t="n">
        <f aca="false">AVERAGE(C1065:E1065)</f>
        <v>-34.9433333333333</v>
      </c>
      <c r="M1065" s="34" t="n">
        <f aca="false">AVERAGE(C1065:J1065)</f>
        <v>-34.50375</v>
      </c>
    </row>
    <row r="1066" customFormat="false" ht="15" hidden="false" customHeight="true" outlineLevel="0" collapsed="false">
      <c r="A1066" s="34" t="s">
        <v>1325</v>
      </c>
      <c r="B1066" s="34" t="n">
        <v>263.3</v>
      </c>
      <c r="C1066" s="34" t="n">
        <v>-66.67</v>
      </c>
      <c r="D1066" s="34" t="n">
        <v>57.1</v>
      </c>
      <c r="E1066" s="34" t="n">
        <v>116.47</v>
      </c>
      <c r="F1066" s="34" t="n">
        <v>-5.33</v>
      </c>
      <c r="G1066" s="34" t="n">
        <v>-66.52</v>
      </c>
      <c r="H1066" s="34" t="n">
        <v>-92.5</v>
      </c>
      <c r="I1066" s="34" t="n">
        <v>-22.12</v>
      </c>
      <c r="J1066" s="34" t="n">
        <v>5.13</v>
      </c>
      <c r="K1066" s="34" t="n">
        <v>244.21</v>
      </c>
      <c r="L1066" s="34" t="n">
        <f aca="false">AVERAGE(C1066:E1066)</f>
        <v>35.6333333333333</v>
      </c>
      <c r="M1066" s="34" t="n">
        <f aca="false">AVERAGE(C1066:J1066)</f>
        <v>-9.305</v>
      </c>
    </row>
    <row r="1067" customFormat="false" ht="15" hidden="false" customHeight="true" outlineLevel="0" collapsed="false">
      <c r="A1067" s="34" t="s">
        <v>116</v>
      </c>
      <c r="B1067" s="34" t="n">
        <v>263</v>
      </c>
      <c r="C1067" s="34" t="n">
        <v>-66.67</v>
      </c>
      <c r="D1067" s="34" t="n">
        <v>-72.62</v>
      </c>
      <c r="E1067" s="34" t="n">
        <v>48.37</v>
      </c>
      <c r="F1067" s="34" t="n">
        <v>56.84</v>
      </c>
      <c r="G1067" s="34" t="n">
        <v>-13.62</v>
      </c>
      <c r="H1067" s="34" t="n">
        <v>-8.98</v>
      </c>
      <c r="I1067" s="34" t="n">
        <v>-31.79</v>
      </c>
      <c r="J1067" s="34" t="n">
        <v>-46.66</v>
      </c>
      <c r="K1067" s="34" t="n">
        <v>251.83</v>
      </c>
      <c r="L1067" s="34" t="n">
        <f aca="false">AVERAGE(C1067:E1067)</f>
        <v>-30.3066666666667</v>
      </c>
      <c r="M1067" s="34" t="n">
        <f aca="false">AVERAGE(C1067:J1067)</f>
        <v>-16.89125</v>
      </c>
    </row>
    <row r="1068" customFormat="false" ht="15" hidden="false" customHeight="true" outlineLevel="0" collapsed="false">
      <c r="A1068" s="34" t="s">
        <v>1326</v>
      </c>
      <c r="B1068" s="34" t="n">
        <v>262.95</v>
      </c>
      <c r="C1068" s="34" t="n">
        <v>-66.67</v>
      </c>
      <c r="D1068" s="34" t="n">
        <v>-39.99</v>
      </c>
      <c r="E1068" s="34" t="n">
        <v>-43.4</v>
      </c>
      <c r="F1068" s="34" t="n">
        <v>-74.8</v>
      </c>
      <c r="G1068" s="34" t="n">
        <v>-117.96</v>
      </c>
      <c r="H1068" s="34" t="n">
        <v>-104.22</v>
      </c>
      <c r="I1068" s="34" t="n">
        <v>-90.31</v>
      </c>
      <c r="J1068" s="34" t="n">
        <v>-105.41</v>
      </c>
      <c r="K1068" s="34" t="n">
        <v>281.02</v>
      </c>
      <c r="L1068" s="34" t="n">
        <f aca="false">AVERAGE(C1068:E1068)</f>
        <v>-50.02</v>
      </c>
      <c r="M1068" s="34" t="n">
        <f aca="false">AVERAGE(C1068:J1068)</f>
        <v>-80.345</v>
      </c>
    </row>
    <row r="1069" customFormat="false" ht="15" hidden="false" customHeight="true" outlineLevel="0" collapsed="false">
      <c r="A1069" s="34" t="s">
        <v>1327</v>
      </c>
      <c r="B1069" s="34" t="n">
        <v>261.2</v>
      </c>
      <c r="C1069" s="34" t="n">
        <v>-66.67</v>
      </c>
      <c r="D1069" s="34" t="n">
        <v>-50.22</v>
      </c>
      <c r="E1069" s="34" t="n">
        <v>-103.01</v>
      </c>
      <c r="F1069" s="34" t="n">
        <v>-97.2</v>
      </c>
      <c r="G1069" s="34" t="n">
        <v>-54.31</v>
      </c>
      <c r="H1069" s="34" t="n">
        <v>1.25</v>
      </c>
      <c r="I1069" s="34" t="n">
        <v>30.77</v>
      </c>
      <c r="J1069" s="34" t="n">
        <v>42.73</v>
      </c>
      <c r="K1069" s="34" t="n">
        <v>282.98</v>
      </c>
      <c r="L1069" s="34" t="n">
        <f aca="false">AVERAGE(C1069:E1069)</f>
        <v>-73.3</v>
      </c>
      <c r="M1069" s="34" t="n">
        <f aca="false">AVERAGE(C1069:J1069)</f>
        <v>-37.0825</v>
      </c>
    </row>
    <row r="1070" customFormat="false" ht="15" hidden="false" customHeight="true" outlineLevel="0" collapsed="false">
      <c r="A1070" s="34" t="s">
        <v>1328</v>
      </c>
      <c r="B1070" s="34" t="n">
        <v>260.5</v>
      </c>
      <c r="C1070" s="34" t="n">
        <v>66.67</v>
      </c>
      <c r="D1070" s="34" t="n">
        <v>-14.94</v>
      </c>
      <c r="E1070" s="34" t="n">
        <v>66.05</v>
      </c>
      <c r="F1070" s="34" t="n">
        <v>30.26</v>
      </c>
      <c r="G1070" s="34" t="n">
        <v>2.87</v>
      </c>
      <c r="H1070" s="34" t="n">
        <v>44.22</v>
      </c>
      <c r="I1070" s="34" t="n">
        <v>59.29</v>
      </c>
      <c r="J1070" s="34" t="n">
        <v>70.75</v>
      </c>
      <c r="K1070" s="34" t="n">
        <v>254.56</v>
      </c>
      <c r="L1070" s="34" t="n">
        <f aca="false">AVERAGE(C1070:E1070)</f>
        <v>39.26</v>
      </c>
      <c r="M1070" s="34" t="n">
        <f aca="false">AVERAGE(C1070:J1070)</f>
        <v>40.64625</v>
      </c>
    </row>
    <row r="1071" customFormat="false" ht="15" hidden="false" customHeight="true" outlineLevel="0" collapsed="false">
      <c r="A1071" s="34" t="s">
        <v>1329</v>
      </c>
      <c r="B1071" s="34" t="n">
        <v>259.95</v>
      </c>
      <c r="C1071" s="34" t="n">
        <v>-66.67</v>
      </c>
      <c r="D1071" s="34" t="n">
        <v>-99.43</v>
      </c>
      <c r="E1071" s="34" t="n">
        <v>33.56</v>
      </c>
      <c r="F1071" s="34" t="n">
        <v>-33.68</v>
      </c>
      <c r="G1071" s="34" t="n">
        <v>-61.92</v>
      </c>
      <c r="H1071" s="34" t="n">
        <v>-65.65</v>
      </c>
      <c r="I1071" s="34" t="n">
        <v>-48.62</v>
      </c>
      <c r="J1071" s="34" t="n">
        <v>-29.05</v>
      </c>
      <c r="K1071" s="34" t="n">
        <v>274.76</v>
      </c>
      <c r="L1071" s="34" t="n">
        <f aca="false">AVERAGE(C1071:E1071)</f>
        <v>-44.18</v>
      </c>
      <c r="M1071" s="34" t="n">
        <f aca="false">AVERAGE(C1071:J1071)</f>
        <v>-46.4325</v>
      </c>
    </row>
    <row r="1072" customFormat="false" ht="15" hidden="false" customHeight="true" outlineLevel="0" collapsed="false">
      <c r="A1072" s="34" t="s">
        <v>283</v>
      </c>
      <c r="B1072" s="34" t="n">
        <v>258.4</v>
      </c>
      <c r="C1072" s="34" t="n">
        <v>-66.67</v>
      </c>
      <c r="D1072" s="34" t="n">
        <v>-22.35</v>
      </c>
      <c r="E1072" s="34" t="n">
        <v>73.15</v>
      </c>
      <c r="F1072" s="34" t="n">
        <v>-36.67</v>
      </c>
      <c r="G1072" s="34" t="n">
        <v>-46.19</v>
      </c>
      <c r="H1072" s="34" t="n">
        <v>-61.3</v>
      </c>
      <c r="I1072" s="34" t="n">
        <v>-41.73</v>
      </c>
      <c r="J1072" s="34" t="n">
        <v>-34.98</v>
      </c>
      <c r="K1072" s="34" t="n">
        <v>262.75</v>
      </c>
      <c r="L1072" s="34" t="n">
        <f aca="false">AVERAGE(C1072:E1072)</f>
        <v>-5.29</v>
      </c>
      <c r="M1072" s="34" t="n">
        <f aca="false">AVERAGE(C1072:J1072)</f>
        <v>-29.5925</v>
      </c>
    </row>
    <row r="1073" customFormat="false" ht="15" hidden="false" customHeight="true" outlineLevel="0" collapsed="false">
      <c r="A1073" s="34" t="s">
        <v>315</v>
      </c>
      <c r="B1073" s="34" t="n">
        <v>258.2</v>
      </c>
      <c r="C1073" s="34" t="n">
        <v>66.67</v>
      </c>
      <c r="D1073" s="34" t="n">
        <v>-62.54</v>
      </c>
      <c r="E1073" s="34" t="n">
        <v>-53.98</v>
      </c>
      <c r="F1073" s="34" t="n">
        <v>-76.38</v>
      </c>
      <c r="G1073" s="34" t="n">
        <v>10.9</v>
      </c>
      <c r="H1073" s="34" t="n">
        <v>50.44</v>
      </c>
      <c r="I1073" s="34" t="n">
        <v>70.87</v>
      </c>
      <c r="J1073" s="34" t="n">
        <v>87.87</v>
      </c>
      <c r="K1073" s="34" t="n">
        <v>270.06</v>
      </c>
      <c r="L1073" s="34" t="n">
        <f aca="false">AVERAGE(C1073:E1073)</f>
        <v>-16.6166666666667</v>
      </c>
      <c r="M1073" s="34" t="n">
        <f aca="false">AVERAGE(C1073:J1073)</f>
        <v>11.73125</v>
      </c>
    </row>
    <row r="1074" customFormat="false" ht="15" hidden="false" customHeight="true" outlineLevel="0" collapsed="false">
      <c r="A1074" s="34" t="s">
        <v>1330</v>
      </c>
      <c r="B1074" s="34" t="n">
        <v>258</v>
      </c>
      <c r="C1074" s="34" t="n">
        <v>66.67</v>
      </c>
      <c r="D1074" s="34" t="n">
        <v>-62.02</v>
      </c>
      <c r="E1074" s="34" t="n">
        <v>-56.57</v>
      </c>
      <c r="F1074" s="34" t="n">
        <v>-6.03</v>
      </c>
      <c r="G1074" s="34" t="n">
        <v>63.34</v>
      </c>
      <c r="H1074" s="34" t="n">
        <v>95.39</v>
      </c>
      <c r="I1074" s="34" t="n">
        <v>120.4</v>
      </c>
      <c r="J1074" s="34" t="n">
        <v>142.96</v>
      </c>
      <c r="K1074" s="34" t="n">
        <v>292.93</v>
      </c>
      <c r="L1074" s="34" t="n">
        <f aca="false">AVERAGE(C1074:E1074)</f>
        <v>-17.3066666666667</v>
      </c>
      <c r="M1074" s="34" t="n">
        <f aca="false">AVERAGE(C1074:J1074)</f>
        <v>45.5175</v>
      </c>
    </row>
    <row r="1075" customFormat="false" ht="15" hidden="false" customHeight="true" outlineLevel="0" collapsed="false">
      <c r="A1075" s="34" t="s">
        <v>1331</v>
      </c>
      <c r="B1075" s="34" t="n">
        <v>258</v>
      </c>
      <c r="C1075" s="34" t="n">
        <v>-66.67</v>
      </c>
      <c r="D1075" s="34" t="n">
        <v>-96.15</v>
      </c>
      <c r="E1075" s="34" t="n">
        <v>-75.58</v>
      </c>
      <c r="F1075" s="34" t="n">
        <v>-123.18</v>
      </c>
      <c r="G1075" s="34" t="n">
        <v>-71.83</v>
      </c>
      <c r="H1075" s="34" t="n">
        <v>14.96</v>
      </c>
      <c r="I1075" s="34" t="n">
        <v>38.52</v>
      </c>
      <c r="J1075" s="34" t="n">
        <v>41.69</v>
      </c>
      <c r="K1075" s="34" t="n">
        <v>289.07</v>
      </c>
      <c r="L1075" s="34" t="n">
        <f aca="false">AVERAGE(C1075:E1075)</f>
        <v>-79.4666666666667</v>
      </c>
      <c r="M1075" s="34" t="n">
        <f aca="false">AVERAGE(C1075:J1075)</f>
        <v>-42.28</v>
      </c>
    </row>
    <row r="1076" customFormat="false" ht="15" hidden="false" customHeight="true" outlineLevel="0" collapsed="false">
      <c r="A1076" s="34" t="s">
        <v>1332</v>
      </c>
      <c r="B1076" s="34" t="n">
        <v>257.47</v>
      </c>
      <c r="C1076" s="34" t="n">
        <v>-66.67</v>
      </c>
      <c r="D1076" s="34" t="n">
        <v>-89.2</v>
      </c>
      <c r="E1076" s="34" t="n">
        <v>72.13</v>
      </c>
      <c r="F1076" s="34" t="n">
        <v>109.72</v>
      </c>
      <c r="G1076" s="34" t="n">
        <v>150.58</v>
      </c>
      <c r="H1076" s="34" t="n">
        <v>125.95</v>
      </c>
      <c r="I1076" s="34" t="n">
        <v>122</v>
      </c>
      <c r="J1076" s="34" t="n">
        <v>130.46</v>
      </c>
      <c r="K1076" s="34" t="n">
        <v>237.86</v>
      </c>
      <c r="L1076" s="34" t="n">
        <f aca="false">AVERAGE(C1076:E1076)</f>
        <v>-27.9133333333333</v>
      </c>
      <c r="M1076" s="34" t="n">
        <f aca="false">AVERAGE(C1076:J1076)</f>
        <v>69.37125</v>
      </c>
    </row>
    <row r="1077" customFormat="false" ht="15" hidden="false" customHeight="true" outlineLevel="0" collapsed="false">
      <c r="A1077" s="34" t="s">
        <v>1333</v>
      </c>
      <c r="B1077" s="34" t="n">
        <v>257.4</v>
      </c>
      <c r="C1077" s="34" t="n">
        <v>66.67</v>
      </c>
      <c r="D1077" s="34" t="n">
        <v>114.81</v>
      </c>
      <c r="E1077" s="34" t="n">
        <v>113.65</v>
      </c>
      <c r="F1077" s="34" t="n">
        <v>-49</v>
      </c>
      <c r="G1077" s="34" t="n">
        <v>-36.09</v>
      </c>
      <c r="H1077" s="34" t="n">
        <v>5.91</v>
      </c>
      <c r="I1077" s="34" t="n">
        <v>-2.23</v>
      </c>
      <c r="J1077" s="34" t="n">
        <v>-26.03</v>
      </c>
      <c r="K1077" s="34" t="n">
        <v>261.23</v>
      </c>
      <c r="L1077" s="34" t="n">
        <f aca="false">AVERAGE(C1077:E1077)</f>
        <v>98.3766666666667</v>
      </c>
      <c r="M1077" s="34" t="n">
        <f aca="false">AVERAGE(C1077:J1077)</f>
        <v>23.46125</v>
      </c>
    </row>
    <row r="1078" customFormat="false" ht="15" hidden="false" customHeight="true" outlineLevel="0" collapsed="false">
      <c r="A1078" s="34" t="s">
        <v>1334</v>
      </c>
      <c r="B1078" s="34" t="n">
        <v>256.75</v>
      </c>
      <c r="C1078" s="34" t="n">
        <v>-66.67</v>
      </c>
      <c r="D1078" s="34" t="n">
        <v>-61.18</v>
      </c>
      <c r="E1078" s="34" t="n">
        <v>-0.343</v>
      </c>
      <c r="F1078" s="34" t="n">
        <v>-75.48</v>
      </c>
      <c r="G1078" s="34" t="n">
        <v>-112.11</v>
      </c>
      <c r="H1078" s="34" t="n">
        <v>-117.77</v>
      </c>
      <c r="I1078" s="34" t="n">
        <v>-97.64</v>
      </c>
      <c r="J1078" s="34" t="n">
        <v>-88.91</v>
      </c>
      <c r="K1078" s="34" t="n">
        <v>269.49</v>
      </c>
      <c r="L1078" s="34" t="n">
        <f aca="false">AVERAGE(C1078:E1078)</f>
        <v>-42.731</v>
      </c>
      <c r="M1078" s="34" t="n">
        <f aca="false">AVERAGE(C1078:J1078)</f>
        <v>-77.512875</v>
      </c>
    </row>
    <row r="1079" customFormat="false" ht="15" hidden="false" customHeight="true" outlineLevel="0" collapsed="false">
      <c r="A1079" s="34" t="s">
        <v>1335</v>
      </c>
      <c r="B1079" s="34" t="n">
        <v>256.75</v>
      </c>
      <c r="C1079" s="34" t="n">
        <v>-66.67</v>
      </c>
      <c r="D1079" s="34" t="n">
        <v>-108.25</v>
      </c>
      <c r="E1079" s="34" t="n">
        <v>-118.17</v>
      </c>
      <c r="F1079" s="34" t="n">
        <v>-83.08</v>
      </c>
      <c r="G1079" s="34" t="n">
        <v>-27.61</v>
      </c>
      <c r="H1079" s="34" t="n">
        <v>26.1</v>
      </c>
      <c r="I1079" s="34"/>
      <c r="J1079" s="34"/>
      <c r="K1079" s="34" t="n">
        <v>281.41</v>
      </c>
      <c r="L1079" s="34" t="n">
        <f aca="false">AVERAGE(C1079:E1079)</f>
        <v>-97.6966666666667</v>
      </c>
      <c r="M1079" s="34" t="n">
        <f aca="false">AVERAGE(C1079:J1079)</f>
        <v>-62.9466666666667</v>
      </c>
    </row>
    <row r="1080" customFormat="false" ht="15" hidden="false" customHeight="true" outlineLevel="0" collapsed="false">
      <c r="A1080" s="34" t="s">
        <v>1336</v>
      </c>
      <c r="B1080" s="34" t="n">
        <v>256.65</v>
      </c>
      <c r="C1080" s="34" t="n">
        <v>66.67</v>
      </c>
      <c r="D1080" s="34" t="n">
        <v>97.51</v>
      </c>
      <c r="E1080" s="34" t="n">
        <v>30.8</v>
      </c>
      <c r="F1080" s="34" t="n">
        <v>-84.55</v>
      </c>
      <c r="G1080" s="34" t="n">
        <v>-158.91</v>
      </c>
      <c r="H1080" s="34" t="n">
        <v>-159.79</v>
      </c>
      <c r="I1080" s="34" t="n">
        <v>-179</v>
      </c>
      <c r="J1080" s="34" t="n">
        <v>-149.96</v>
      </c>
      <c r="K1080" s="34" t="n">
        <v>265.18</v>
      </c>
      <c r="L1080" s="34" t="n">
        <f aca="false">AVERAGE(C1080:E1080)</f>
        <v>64.9933333333333</v>
      </c>
      <c r="M1080" s="34" t="n">
        <f aca="false">AVERAGE(C1080:J1080)</f>
        <v>-67.15375</v>
      </c>
    </row>
    <row r="1081" customFormat="false" ht="15" hidden="false" customHeight="true" outlineLevel="0" collapsed="false">
      <c r="A1081" s="34" t="s">
        <v>499</v>
      </c>
      <c r="B1081" s="34" t="n">
        <v>256.05</v>
      </c>
      <c r="C1081" s="34" t="n">
        <v>-66.67</v>
      </c>
      <c r="D1081" s="34" t="n">
        <v>-46.38</v>
      </c>
      <c r="E1081" s="34" t="n">
        <v>73.02</v>
      </c>
      <c r="F1081" s="34" t="n">
        <v>-42.59</v>
      </c>
      <c r="G1081" s="34" t="n">
        <v>-94.73</v>
      </c>
      <c r="H1081" s="34" t="n">
        <v>-30.78</v>
      </c>
      <c r="I1081" s="34" t="n">
        <v>6.15</v>
      </c>
      <c r="J1081" s="34" t="n">
        <v>14.59</v>
      </c>
      <c r="K1081" s="34" t="n">
        <v>262.19</v>
      </c>
      <c r="L1081" s="34" t="n">
        <f aca="false">AVERAGE(C1081:E1081)</f>
        <v>-13.3433333333333</v>
      </c>
      <c r="M1081" s="34" t="n">
        <f aca="false">AVERAGE(C1081:J1081)</f>
        <v>-23.42375</v>
      </c>
    </row>
    <row r="1082" customFormat="false" ht="15" hidden="false" customHeight="true" outlineLevel="0" collapsed="false">
      <c r="A1082" s="34" t="s">
        <v>1337</v>
      </c>
      <c r="B1082" s="34" t="n">
        <v>255.05</v>
      </c>
      <c r="C1082" s="34" t="n">
        <v>-66.67</v>
      </c>
      <c r="D1082" s="34" t="n">
        <v>-30.59</v>
      </c>
      <c r="E1082" s="34" t="n">
        <v>80.91</v>
      </c>
      <c r="F1082" s="34" t="n">
        <v>-22.18</v>
      </c>
      <c r="G1082" s="34" t="n">
        <v>-50.07</v>
      </c>
      <c r="H1082" s="34" t="n">
        <v>-15.36</v>
      </c>
      <c r="I1082" s="34" t="n">
        <v>15.01</v>
      </c>
      <c r="J1082" s="34" t="n">
        <v>-19.33</v>
      </c>
      <c r="K1082" s="34" t="n">
        <v>236.74</v>
      </c>
      <c r="L1082" s="34" t="n">
        <f aca="false">AVERAGE(C1082:E1082)</f>
        <v>-5.45</v>
      </c>
      <c r="M1082" s="34" t="n">
        <f aca="false">AVERAGE(C1082:J1082)</f>
        <v>-13.535</v>
      </c>
    </row>
    <row r="1083" customFormat="false" ht="15" hidden="false" customHeight="true" outlineLevel="0" collapsed="false">
      <c r="A1083" s="34" t="s">
        <v>1338</v>
      </c>
      <c r="B1083" s="34" t="n">
        <v>254.9</v>
      </c>
      <c r="C1083" s="34" t="n">
        <v>-66.67</v>
      </c>
      <c r="D1083" s="34" t="n">
        <v>-75.14</v>
      </c>
      <c r="E1083" s="34" t="n">
        <v>-67.15</v>
      </c>
      <c r="F1083" s="34" t="n">
        <v>-117.01</v>
      </c>
      <c r="G1083" s="34" t="n">
        <v>-182.91</v>
      </c>
      <c r="H1083" s="34" t="n">
        <v>-197.28</v>
      </c>
      <c r="I1083" s="34" t="n">
        <v>-224.12</v>
      </c>
      <c r="J1083" s="34" t="n">
        <v>-247.98</v>
      </c>
      <c r="K1083" s="34" t="n">
        <v>279.05</v>
      </c>
      <c r="L1083" s="34" t="n">
        <f aca="false">AVERAGE(C1083:E1083)</f>
        <v>-69.6533333333334</v>
      </c>
      <c r="M1083" s="34" t="n">
        <f aca="false">AVERAGE(C1083:J1083)</f>
        <v>-147.2825</v>
      </c>
    </row>
    <row r="1084" customFormat="false" ht="15" hidden="false" customHeight="true" outlineLevel="0" collapsed="false">
      <c r="A1084" s="34" t="s">
        <v>1339</v>
      </c>
      <c r="B1084" s="34" t="n">
        <v>254.75</v>
      </c>
      <c r="C1084" s="34" t="n">
        <v>66.67</v>
      </c>
      <c r="D1084" s="34" t="n">
        <v>68.1</v>
      </c>
      <c r="E1084" s="34" t="n">
        <v>141.49</v>
      </c>
      <c r="F1084" s="34" t="n">
        <v>-2.1</v>
      </c>
      <c r="G1084" s="34" t="n">
        <v>-12.04</v>
      </c>
      <c r="H1084" s="34" t="n">
        <v>-14.84</v>
      </c>
      <c r="I1084" s="34" t="n">
        <v>19.43</v>
      </c>
      <c r="J1084" s="34" t="n">
        <v>-9.64</v>
      </c>
      <c r="K1084" s="34" t="n">
        <v>258.64</v>
      </c>
      <c r="L1084" s="34" t="n">
        <f aca="false">AVERAGE(C1084:E1084)</f>
        <v>92.0866666666667</v>
      </c>
      <c r="M1084" s="34" t="n">
        <f aca="false">AVERAGE(C1084:J1084)</f>
        <v>32.13375</v>
      </c>
    </row>
    <row r="1085" customFormat="false" ht="15" hidden="false" customHeight="true" outlineLevel="0" collapsed="false">
      <c r="A1085" s="34" t="s">
        <v>1340</v>
      </c>
      <c r="B1085" s="34" t="n">
        <v>254.5</v>
      </c>
      <c r="C1085" s="34" t="n">
        <v>-66.67</v>
      </c>
      <c r="D1085" s="34" t="n">
        <v>-108.33</v>
      </c>
      <c r="E1085" s="34" t="n">
        <v>-54.6</v>
      </c>
      <c r="F1085" s="34" t="n">
        <v>-90.72</v>
      </c>
      <c r="G1085" s="34" t="n">
        <v>-66.96</v>
      </c>
      <c r="H1085" s="34" t="n">
        <v>-10.63</v>
      </c>
      <c r="I1085" s="34" t="n">
        <v>34.95</v>
      </c>
      <c r="J1085" s="34" t="n">
        <v>47.07</v>
      </c>
      <c r="K1085" s="34" t="n">
        <v>273.26</v>
      </c>
      <c r="L1085" s="34" t="n">
        <f aca="false">AVERAGE(C1085:E1085)</f>
        <v>-76.5333333333334</v>
      </c>
      <c r="M1085" s="34" t="n">
        <f aca="false">AVERAGE(C1085:J1085)</f>
        <v>-39.48625</v>
      </c>
    </row>
    <row r="1086" customFormat="false" ht="15" hidden="false" customHeight="true" outlineLevel="0" collapsed="false">
      <c r="A1086" s="34" t="s">
        <v>112</v>
      </c>
      <c r="B1086" s="34" t="n">
        <v>253.15</v>
      </c>
      <c r="C1086" s="34" t="n">
        <v>-66.67</v>
      </c>
      <c r="D1086" s="34" t="n">
        <v>-78.81</v>
      </c>
      <c r="E1086" s="34" t="n">
        <v>-70.76</v>
      </c>
      <c r="F1086" s="34" t="n">
        <v>-102.33</v>
      </c>
      <c r="G1086" s="34" t="n">
        <v>34.28</v>
      </c>
      <c r="H1086" s="34" t="n">
        <v>63.74</v>
      </c>
      <c r="I1086" s="34" t="n">
        <v>83.92</v>
      </c>
      <c r="J1086" s="34" t="n">
        <v>97.1</v>
      </c>
      <c r="K1086" s="34" t="n">
        <v>250.97</v>
      </c>
      <c r="L1086" s="34" t="n">
        <f aca="false">AVERAGE(C1086:E1086)</f>
        <v>-72.08</v>
      </c>
      <c r="M1086" s="34" t="n">
        <f aca="false">AVERAGE(C1086:J1086)</f>
        <v>-4.94125</v>
      </c>
    </row>
    <row r="1087" customFormat="false" ht="15" hidden="false" customHeight="true" outlineLevel="0" collapsed="false">
      <c r="A1087" s="34" t="s">
        <v>1341</v>
      </c>
      <c r="B1087" s="34" t="n">
        <v>252.3</v>
      </c>
      <c r="C1087" s="34" t="n">
        <v>-66.67</v>
      </c>
      <c r="D1087" s="34" t="n">
        <v>-106.8</v>
      </c>
      <c r="E1087" s="34" t="n">
        <v>41.75</v>
      </c>
      <c r="F1087" s="34" t="n">
        <v>-75.77</v>
      </c>
      <c r="G1087" s="34" t="n">
        <v>-64.46</v>
      </c>
      <c r="H1087" s="34" t="n">
        <v>-6.09</v>
      </c>
      <c r="I1087" s="34" t="n">
        <v>33.03</v>
      </c>
      <c r="J1087" s="34" t="n">
        <v>15.91</v>
      </c>
      <c r="K1087" s="34" t="n">
        <v>234.68</v>
      </c>
      <c r="L1087" s="34" t="n">
        <f aca="false">AVERAGE(C1087:E1087)</f>
        <v>-43.9066666666667</v>
      </c>
      <c r="M1087" s="34" t="n">
        <f aca="false">AVERAGE(C1087:J1087)</f>
        <v>-28.6375</v>
      </c>
    </row>
    <row r="1088" customFormat="false" ht="15" hidden="false" customHeight="true" outlineLevel="0" collapsed="false">
      <c r="A1088" s="34" t="s">
        <v>1342</v>
      </c>
      <c r="B1088" s="34" t="n">
        <v>252.1</v>
      </c>
      <c r="C1088" s="34" t="n">
        <v>66.67</v>
      </c>
      <c r="D1088" s="34" t="n">
        <v>-15.79</v>
      </c>
      <c r="E1088" s="34" t="n">
        <v>80.25</v>
      </c>
      <c r="F1088" s="34" t="n">
        <v>27.61</v>
      </c>
      <c r="G1088" s="34" t="n">
        <v>60.32</v>
      </c>
      <c r="H1088" s="34" t="n">
        <v>89.06</v>
      </c>
      <c r="I1088" s="34" t="n">
        <v>97.85</v>
      </c>
      <c r="J1088" s="34" t="n">
        <v>111.44</v>
      </c>
      <c r="K1088" s="34" t="n">
        <v>232.77</v>
      </c>
      <c r="L1088" s="34" t="n">
        <f aca="false">AVERAGE(C1088:E1088)</f>
        <v>43.71</v>
      </c>
      <c r="M1088" s="34" t="n">
        <f aca="false">AVERAGE(C1088:J1088)</f>
        <v>64.67625</v>
      </c>
    </row>
    <row r="1089" customFormat="false" ht="15" hidden="false" customHeight="true" outlineLevel="0" collapsed="false">
      <c r="A1089" s="34" t="s">
        <v>1343</v>
      </c>
      <c r="B1089" s="34" t="n">
        <v>252.05</v>
      </c>
      <c r="C1089" s="34" t="n">
        <v>-66.67</v>
      </c>
      <c r="D1089" s="34" t="n">
        <v>13.85</v>
      </c>
      <c r="E1089" s="34" t="n">
        <v>88.89</v>
      </c>
      <c r="F1089" s="34" t="n">
        <v>-19.7</v>
      </c>
      <c r="G1089" s="34"/>
      <c r="H1089" s="34"/>
      <c r="I1089" s="34"/>
      <c r="J1089" s="34"/>
      <c r="K1089" s="34" t="n">
        <v>258.76</v>
      </c>
      <c r="L1089" s="34" t="n">
        <f aca="false">AVERAGE(C1089:E1089)</f>
        <v>12.0233333333333</v>
      </c>
      <c r="M1089" s="34" t="n">
        <f aca="false">AVERAGE(C1089:J1089)</f>
        <v>4.0925</v>
      </c>
    </row>
    <row r="1090" customFormat="false" ht="15" hidden="false" customHeight="true" outlineLevel="0" collapsed="false">
      <c r="A1090" s="34" t="s">
        <v>1344</v>
      </c>
      <c r="B1090" s="34" t="n">
        <v>252</v>
      </c>
      <c r="C1090" s="34" t="n">
        <v>-66.67</v>
      </c>
      <c r="D1090" s="34" t="n">
        <v>-68.19</v>
      </c>
      <c r="E1090" s="34" t="n">
        <v>26.1</v>
      </c>
      <c r="F1090" s="34" t="n">
        <v>-64.52</v>
      </c>
      <c r="G1090" s="34" t="n">
        <v>-39.27</v>
      </c>
      <c r="H1090" s="34" t="n">
        <v>-43.35</v>
      </c>
      <c r="I1090" s="34" t="n">
        <v>-42.82</v>
      </c>
      <c r="J1090" s="34" t="n">
        <v>-55.56</v>
      </c>
      <c r="K1090" s="34" t="n">
        <v>261.83</v>
      </c>
      <c r="L1090" s="34" t="n">
        <f aca="false">AVERAGE(C1090:E1090)</f>
        <v>-36.2533333333333</v>
      </c>
      <c r="M1090" s="34" t="n">
        <f aca="false">AVERAGE(C1090:J1090)</f>
        <v>-44.285</v>
      </c>
    </row>
    <row r="1091" customFormat="false" ht="15" hidden="false" customHeight="true" outlineLevel="0" collapsed="false">
      <c r="A1091" s="34" t="s">
        <v>1345</v>
      </c>
      <c r="B1091" s="34" t="n">
        <v>251</v>
      </c>
      <c r="C1091" s="34" t="n">
        <v>66.67</v>
      </c>
      <c r="D1091" s="34" t="n">
        <v>-25.37</v>
      </c>
      <c r="E1091" s="34" t="n">
        <v>-72.91</v>
      </c>
      <c r="F1091" s="34" t="n">
        <v>-92.44</v>
      </c>
      <c r="G1091" s="34" t="n">
        <v>20.39</v>
      </c>
      <c r="H1091" s="34" t="n">
        <v>52.65</v>
      </c>
      <c r="I1091" s="34" t="n">
        <v>66.52</v>
      </c>
      <c r="J1091" s="34" t="n">
        <v>59.24</v>
      </c>
      <c r="K1091" s="34" t="n">
        <v>272.56</v>
      </c>
      <c r="L1091" s="34" t="n">
        <f aca="false">AVERAGE(C1091:E1091)</f>
        <v>-10.5366666666667</v>
      </c>
      <c r="M1091" s="34" t="n">
        <f aca="false">AVERAGE(C1091:J1091)</f>
        <v>9.34375</v>
      </c>
    </row>
    <row r="1092" customFormat="false" ht="15" hidden="false" customHeight="true" outlineLevel="0" collapsed="false">
      <c r="A1092" s="34" t="s">
        <v>1346</v>
      </c>
      <c r="B1092" s="34" t="n">
        <v>250.98</v>
      </c>
      <c r="C1092" s="34" t="n">
        <v>66.67</v>
      </c>
      <c r="D1092" s="34" t="n">
        <v>121.15</v>
      </c>
      <c r="E1092" s="34" t="n">
        <v>216.84</v>
      </c>
      <c r="F1092" s="34" t="n">
        <v>196.13</v>
      </c>
      <c r="G1092" s="34" t="n">
        <v>79.19</v>
      </c>
      <c r="H1092" s="34" t="n">
        <v>36.25</v>
      </c>
      <c r="I1092" s="34" t="n">
        <v>58.02</v>
      </c>
      <c r="J1092" s="34" t="n">
        <v>27.66</v>
      </c>
      <c r="K1092" s="34" t="n">
        <v>216.79</v>
      </c>
      <c r="L1092" s="34" t="n">
        <f aca="false">AVERAGE(C1092:E1092)</f>
        <v>134.886666666667</v>
      </c>
      <c r="M1092" s="34" t="n">
        <f aca="false">AVERAGE(C1092:J1092)</f>
        <v>100.23875</v>
      </c>
    </row>
    <row r="1093" customFormat="false" ht="15" hidden="false" customHeight="true" outlineLevel="0" collapsed="false">
      <c r="A1093" s="34" t="s">
        <v>1347</v>
      </c>
      <c r="B1093" s="34" t="n">
        <v>250.05</v>
      </c>
      <c r="C1093" s="34" t="n">
        <v>-66.67</v>
      </c>
      <c r="D1093" s="34" t="n">
        <v>-86.45</v>
      </c>
      <c r="E1093" s="34" t="n">
        <v>-54.1</v>
      </c>
      <c r="F1093" s="34" t="n">
        <v>-108.99</v>
      </c>
      <c r="G1093" s="34" t="n">
        <v>-40.1</v>
      </c>
      <c r="H1093" s="34" t="n">
        <v>18.67</v>
      </c>
      <c r="I1093" s="34" t="n">
        <v>43.71</v>
      </c>
      <c r="J1093" s="34" t="n">
        <v>57.81</v>
      </c>
      <c r="K1093" s="34" t="n">
        <v>273.18</v>
      </c>
      <c r="L1093" s="34" t="n">
        <f aca="false">AVERAGE(C1093:E1093)</f>
        <v>-69.0733333333333</v>
      </c>
      <c r="M1093" s="34" t="n">
        <f aca="false">AVERAGE(C1093:J1093)</f>
        <v>-29.515</v>
      </c>
    </row>
    <row r="1094" customFormat="false" ht="15" hidden="false" customHeight="true" outlineLevel="0" collapsed="false">
      <c r="A1094" s="34" t="s">
        <v>1348</v>
      </c>
      <c r="B1094" s="34" t="n">
        <v>250</v>
      </c>
      <c r="C1094" s="34" t="n">
        <v>-66.67</v>
      </c>
      <c r="D1094" s="34" t="n">
        <v>-83.84</v>
      </c>
      <c r="E1094" s="34" t="n">
        <v>40.76</v>
      </c>
      <c r="F1094" s="34" t="n">
        <v>-64.96</v>
      </c>
      <c r="G1094" s="34" t="n">
        <v>-109.84</v>
      </c>
      <c r="H1094" s="34" t="n">
        <v>-129.61</v>
      </c>
      <c r="I1094" s="34" t="n">
        <v>-114.42</v>
      </c>
      <c r="J1094" s="34" t="n">
        <v>-128.09</v>
      </c>
      <c r="K1094" s="34" t="n">
        <v>256.63</v>
      </c>
      <c r="L1094" s="34" t="n">
        <f aca="false">AVERAGE(C1094:E1094)</f>
        <v>-36.5833333333333</v>
      </c>
      <c r="M1094" s="34" t="n">
        <f aca="false">AVERAGE(C1094:J1094)</f>
        <v>-82.08375</v>
      </c>
    </row>
    <row r="1095" customFormat="false" ht="15" hidden="false" customHeight="true" outlineLevel="0" collapsed="false">
      <c r="A1095" s="34" t="s">
        <v>1349</v>
      </c>
      <c r="B1095" s="34" t="n">
        <v>249.9</v>
      </c>
      <c r="C1095" s="34" t="n">
        <v>-66.67</v>
      </c>
      <c r="D1095" s="34" t="n">
        <v>-126.56</v>
      </c>
      <c r="E1095" s="34" t="n">
        <v>-74.52</v>
      </c>
      <c r="F1095" s="34" t="n">
        <v>-86.31</v>
      </c>
      <c r="G1095" s="34" t="n">
        <v>-132.67</v>
      </c>
      <c r="H1095" s="34" t="n">
        <v>-125.76</v>
      </c>
      <c r="I1095" s="34" t="n">
        <v>-118.72</v>
      </c>
      <c r="J1095" s="34" t="n">
        <v>-87.71</v>
      </c>
      <c r="K1095" s="34" t="n">
        <v>269.64</v>
      </c>
      <c r="L1095" s="34" t="n">
        <f aca="false">AVERAGE(C1095:E1095)</f>
        <v>-89.25</v>
      </c>
      <c r="M1095" s="34" t="n">
        <f aca="false">AVERAGE(C1095:J1095)</f>
        <v>-102.365</v>
      </c>
    </row>
    <row r="1096" customFormat="false" ht="15" hidden="false" customHeight="true" outlineLevel="0" collapsed="false">
      <c r="A1096" s="34" t="s">
        <v>1350</v>
      </c>
      <c r="B1096" s="34" t="n">
        <v>249.65</v>
      </c>
      <c r="C1096" s="34" t="n">
        <v>66.67</v>
      </c>
      <c r="D1096" s="34" t="n">
        <v>-50.49</v>
      </c>
      <c r="E1096" s="34" t="n">
        <v>-54.52</v>
      </c>
      <c r="F1096" s="34" t="n">
        <v>-122.71</v>
      </c>
      <c r="G1096" s="34" t="n">
        <v>-167.24</v>
      </c>
      <c r="H1096" s="34" t="n">
        <v>-145.92</v>
      </c>
      <c r="I1096" s="34" t="n">
        <v>-133.2</v>
      </c>
      <c r="J1096" s="34" t="n">
        <v>-125.69</v>
      </c>
      <c r="K1096" s="34" t="n">
        <v>265.32</v>
      </c>
      <c r="L1096" s="34" t="n">
        <f aca="false">AVERAGE(C1096:E1096)</f>
        <v>-12.78</v>
      </c>
      <c r="M1096" s="34" t="n">
        <f aca="false">AVERAGE(C1096:J1096)</f>
        <v>-91.6375</v>
      </c>
    </row>
    <row r="1097" customFormat="false" ht="15" hidden="false" customHeight="true" outlineLevel="0" collapsed="false">
      <c r="A1097" s="34" t="s">
        <v>1351</v>
      </c>
      <c r="B1097" s="34" t="n">
        <v>249.51</v>
      </c>
      <c r="C1097" s="34" t="n">
        <v>66.67</v>
      </c>
      <c r="D1097" s="34" t="n">
        <v>107.19</v>
      </c>
      <c r="E1097" s="34" t="n">
        <v>235.33</v>
      </c>
      <c r="F1097" s="34" t="n">
        <v>245.78</v>
      </c>
      <c r="G1097" s="34" t="n">
        <v>174.54</v>
      </c>
      <c r="H1097" s="34" t="n">
        <v>126.81</v>
      </c>
      <c r="I1097" s="34" t="n">
        <v>134.75</v>
      </c>
      <c r="J1097" s="34" t="n">
        <v>47.42</v>
      </c>
      <c r="K1097" s="34" t="n">
        <v>235.26</v>
      </c>
      <c r="L1097" s="34" t="n">
        <f aca="false">AVERAGE(C1097:E1097)</f>
        <v>136.396666666667</v>
      </c>
      <c r="M1097" s="34" t="n">
        <f aca="false">AVERAGE(C1097:J1097)</f>
        <v>142.31125</v>
      </c>
    </row>
    <row r="1098" customFormat="false" ht="15" hidden="false" customHeight="true" outlineLevel="0" collapsed="false">
      <c r="A1098" s="34" t="s">
        <v>48</v>
      </c>
      <c r="B1098" s="34" t="n">
        <v>248.64</v>
      </c>
      <c r="C1098" s="34" t="n">
        <v>-66.67</v>
      </c>
      <c r="D1098" s="34" t="n">
        <v>29.33</v>
      </c>
      <c r="E1098" s="34" t="n">
        <v>90.02</v>
      </c>
      <c r="F1098" s="34" t="n">
        <v>-15.06</v>
      </c>
      <c r="G1098" s="34" t="n">
        <v>-51.15</v>
      </c>
      <c r="H1098" s="34" t="n">
        <v>-23.88</v>
      </c>
      <c r="I1098" s="34" t="n">
        <v>-39.87</v>
      </c>
      <c r="J1098" s="34" t="n">
        <v>-58.16</v>
      </c>
      <c r="K1098" s="34" t="n">
        <v>251.39</v>
      </c>
      <c r="L1098" s="34" t="n">
        <f aca="false">AVERAGE(C1098:E1098)</f>
        <v>17.56</v>
      </c>
      <c r="M1098" s="34" t="n">
        <f aca="false">AVERAGE(C1098:J1098)</f>
        <v>-16.93</v>
      </c>
    </row>
    <row r="1099" customFormat="false" ht="15" hidden="false" customHeight="true" outlineLevel="0" collapsed="false">
      <c r="A1099" s="34" t="s">
        <v>1352</v>
      </c>
      <c r="B1099" s="34" t="n">
        <v>248.55</v>
      </c>
      <c r="C1099" s="34" t="n">
        <v>66.67</v>
      </c>
      <c r="D1099" s="34" t="n">
        <v>95.38</v>
      </c>
      <c r="E1099" s="34" t="n">
        <v>54.03</v>
      </c>
      <c r="F1099" s="34" t="n">
        <v>-70.02</v>
      </c>
      <c r="G1099" s="34" t="n">
        <v>-120.67</v>
      </c>
      <c r="H1099" s="34" t="n">
        <v>-140.08</v>
      </c>
      <c r="I1099" s="34" t="n">
        <v>-92.7</v>
      </c>
      <c r="J1099" s="34" t="n">
        <v>-99.13</v>
      </c>
      <c r="K1099" s="34" t="n">
        <v>260.71</v>
      </c>
      <c r="L1099" s="34" t="n">
        <f aca="false">AVERAGE(C1099:E1099)</f>
        <v>72.0266666666667</v>
      </c>
      <c r="M1099" s="34" t="n">
        <f aca="false">AVERAGE(C1099:J1099)</f>
        <v>-38.315</v>
      </c>
    </row>
    <row r="1100" customFormat="false" ht="15" hidden="false" customHeight="true" outlineLevel="0" collapsed="false">
      <c r="A1100" s="34" t="s">
        <v>1353</v>
      </c>
      <c r="B1100" s="34" t="n">
        <v>248.1</v>
      </c>
      <c r="C1100" s="34" t="n">
        <v>-66.67</v>
      </c>
      <c r="D1100" s="34" t="n">
        <v>18.45</v>
      </c>
      <c r="E1100" s="34" t="n">
        <v>-44.62</v>
      </c>
      <c r="F1100" s="34" t="n">
        <v>-103.71</v>
      </c>
      <c r="G1100" s="34" t="n">
        <v>-177.48</v>
      </c>
      <c r="H1100" s="34" t="n">
        <v>-213.39</v>
      </c>
      <c r="I1100" s="34" t="n">
        <v>-236.17</v>
      </c>
      <c r="J1100" s="34" t="n">
        <v>-246.41</v>
      </c>
      <c r="K1100" s="34" t="n">
        <v>265.43</v>
      </c>
      <c r="L1100" s="34" t="n">
        <f aca="false">AVERAGE(C1100:E1100)</f>
        <v>-30.9466666666667</v>
      </c>
      <c r="M1100" s="34" t="n">
        <f aca="false">AVERAGE(C1100:J1100)</f>
        <v>-133.75</v>
      </c>
    </row>
    <row r="1101" customFormat="false" ht="15" hidden="false" customHeight="true" outlineLevel="0" collapsed="false">
      <c r="A1101" s="34" t="s">
        <v>1354</v>
      </c>
      <c r="B1101" s="34" t="n">
        <v>247.9</v>
      </c>
      <c r="C1101" s="34" t="n">
        <v>66.67</v>
      </c>
      <c r="D1101" s="34" t="n">
        <v>34.64</v>
      </c>
      <c r="E1101" s="34" t="n">
        <v>43.01</v>
      </c>
      <c r="F1101" s="34" t="n">
        <v>21.73</v>
      </c>
      <c r="G1101" s="34" t="n">
        <v>48.8</v>
      </c>
      <c r="H1101" s="34" t="n">
        <v>54.07</v>
      </c>
      <c r="I1101" s="34" t="n">
        <v>67.13</v>
      </c>
      <c r="J1101" s="34" t="n">
        <v>70.46</v>
      </c>
      <c r="K1101" s="34" t="n">
        <v>265.95</v>
      </c>
      <c r="L1101" s="34" t="n">
        <f aca="false">AVERAGE(C1101:E1101)</f>
        <v>48.1066666666667</v>
      </c>
      <c r="M1101" s="34" t="n">
        <f aca="false">AVERAGE(C1101:J1101)</f>
        <v>50.81375</v>
      </c>
    </row>
    <row r="1102" customFormat="false" ht="15" hidden="false" customHeight="true" outlineLevel="0" collapsed="false">
      <c r="A1102" s="34" t="s">
        <v>1355</v>
      </c>
      <c r="B1102" s="34" t="n">
        <v>246.22</v>
      </c>
      <c r="C1102" s="34" t="n">
        <v>-66.67</v>
      </c>
      <c r="D1102" s="34" t="n">
        <v>-93.38</v>
      </c>
      <c r="E1102" s="34" t="n">
        <v>-5.46</v>
      </c>
      <c r="F1102" s="34"/>
      <c r="G1102" s="34"/>
      <c r="H1102" s="34"/>
      <c r="I1102" s="34"/>
      <c r="J1102" s="34"/>
      <c r="K1102" s="34" t="n">
        <v>272.68</v>
      </c>
      <c r="L1102" s="34" t="n">
        <f aca="false">AVERAGE(C1102:E1102)</f>
        <v>-55.17</v>
      </c>
      <c r="M1102" s="34" t="n">
        <f aca="false">AVERAGE(C1102:J1102)</f>
        <v>-55.17</v>
      </c>
    </row>
    <row r="1103" customFormat="false" ht="15" hidden="false" customHeight="true" outlineLevel="0" collapsed="false">
      <c r="A1103" s="34" t="s">
        <v>1356</v>
      </c>
      <c r="B1103" s="34" t="n">
        <v>245.9</v>
      </c>
      <c r="C1103" s="34" t="n">
        <v>-66.67</v>
      </c>
      <c r="D1103" s="34" t="n">
        <v>34.02</v>
      </c>
      <c r="E1103" s="34" t="n">
        <v>97.32</v>
      </c>
      <c r="F1103" s="34" t="n">
        <v>-30.18</v>
      </c>
      <c r="G1103" s="34" t="n">
        <v>-75.86</v>
      </c>
      <c r="H1103" s="34" t="n">
        <v>-54.31</v>
      </c>
      <c r="I1103" s="34" t="n">
        <v>-22.68</v>
      </c>
      <c r="J1103" s="34" t="n">
        <v>-43.74</v>
      </c>
      <c r="K1103" s="34" t="n">
        <v>252.82</v>
      </c>
      <c r="L1103" s="34" t="n">
        <f aca="false">AVERAGE(C1103:E1103)</f>
        <v>21.5566666666667</v>
      </c>
      <c r="M1103" s="34" t="n">
        <f aca="false">AVERAGE(C1103:J1103)</f>
        <v>-20.2625</v>
      </c>
    </row>
    <row r="1104" customFormat="false" ht="15" hidden="false" customHeight="true" outlineLevel="0" collapsed="false">
      <c r="A1104" s="34" t="s">
        <v>1357</v>
      </c>
      <c r="B1104" s="34" t="n">
        <v>244.8</v>
      </c>
      <c r="C1104" s="34" t="n">
        <v>-66.67</v>
      </c>
      <c r="D1104" s="34" t="n">
        <v>44.47</v>
      </c>
      <c r="E1104" s="34" t="n">
        <v>111.07</v>
      </c>
      <c r="F1104" s="34" t="n">
        <v>91.41</v>
      </c>
      <c r="G1104" s="34" t="n">
        <v>129.69</v>
      </c>
      <c r="H1104" s="34" t="n">
        <v>135.77</v>
      </c>
      <c r="I1104" s="34" t="n">
        <v>134.72</v>
      </c>
      <c r="J1104" s="34"/>
      <c r="K1104" s="34" t="n">
        <v>234.18</v>
      </c>
      <c r="L1104" s="34" t="n">
        <f aca="false">AVERAGE(C1104:E1104)</f>
        <v>29.6233333333333</v>
      </c>
      <c r="M1104" s="34" t="n">
        <f aca="false">AVERAGE(C1104:J1104)</f>
        <v>82.9228571428572</v>
      </c>
    </row>
    <row r="1105" customFormat="false" ht="15" hidden="false" customHeight="true" outlineLevel="0" collapsed="false">
      <c r="A1105" s="34" t="s">
        <v>1358</v>
      </c>
      <c r="B1105" s="34" t="n">
        <v>243.8</v>
      </c>
      <c r="C1105" s="34" t="n">
        <v>-66.67</v>
      </c>
      <c r="D1105" s="34" t="n">
        <v>11.83</v>
      </c>
      <c r="E1105" s="34" t="n">
        <v>10.27</v>
      </c>
      <c r="F1105" s="34" t="n">
        <v>-65.95</v>
      </c>
      <c r="G1105" s="34" t="n">
        <v>-112.63</v>
      </c>
      <c r="H1105" s="34" t="n">
        <v>-88.71</v>
      </c>
      <c r="I1105" s="34" t="n">
        <v>-63.22</v>
      </c>
      <c r="J1105" s="34" t="n">
        <v>-62.68</v>
      </c>
      <c r="K1105" s="34" t="n">
        <v>260.68</v>
      </c>
      <c r="L1105" s="34" t="n">
        <f aca="false">AVERAGE(C1105:E1105)</f>
        <v>-14.8566666666667</v>
      </c>
      <c r="M1105" s="34" t="n">
        <f aca="false">AVERAGE(C1105:J1105)</f>
        <v>-54.72</v>
      </c>
    </row>
    <row r="1106" customFormat="false" ht="15" hidden="false" customHeight="true" outlineLevel="0" collapsed="false">
      <c r="A1106" s="34" t="s">
        <v>345</v>
      </c>
      <c r="B1106" s="34" t="n">
        <v>243.3</v>
      </c>
      <c r="C1106" s="34" t="n">
        <v>-66.67</v>
      </c>
      <c r="D1106" s="34" t="n">
        <v>-125.04</v>
      </c>
      <c r="E1106" s="34" t="n">
        <v>36.24</v>
      </c>
      <c r="F1106" s="34" t="n">
        <v>-66.32</v>
      </c>
      <c r="G1106" s="34" t="n">
        <v>-113.8</v>
      </c>
      <c r="H1106" s="34" t="n">
        <v>-88.58</v>
      </c>
      <c r="I1106" s="34" t="n">
        <v>-52.94</v>
      </c>
      <c r="J1106" s="34" t="n">
        <v>-33.95</v>
      </c>
      <c r="K1106" s="34" t="n">
        <v>258.19</v>
      </c>
      <c r="L1106" s="34" t="n">
        <f aca="false">AVERAGE(C1106:E1106)</f>
        <v>-51.8233333333333</v>
      </c>
      <c r="M1106" s="34" t="n">
        <f aca="false">AVERAGE(C1106:J1106)</f>
        <v>-63.8825</v>
      </c>
    </row>
    <row r="1107" customFormat="false" ht="15" hidden="false" customHeight="true" outlineLevel="0" collapsed="false">
      <c r="A1107" s="34" t="s">
        <v>1359</v>
      </c>
      <c r="B1107" s="34" t="n">
        <v>243.01</v>
      </c>
      <c r="C1107" s="34" t="n">
        <v>-66.67</v>
      </c>
      <c r="D1107" s="34" t="n">
        <v>-133.33</v>
      </c>
      <c r="E1107" s="34" t="n">
        <v>-88.79</v>
      </c>
      <c r="F1107" s="34" t="n">
        <v>-73.29</v>
      </c>
      <c r="G1107" s="34" t="n">
        <v>-105.92</v>
      </c>
      <c r="H1107" s="34" t="n">
        <v>-59.73</v>
      </c>
      <c r="I1107" s="34" t="n">
        <v>-24.12</v>
      </c>
      <c r="J1107" s="34" t="n">
        <v>-46.69</v>
      </c>
      <c r="K1107" s="34" t="n">
        <v>251.75</v>
      </c>
      <c r="L1107" s="34" t="n">
        <f aca="false">AVERAGE(C1107:E1107)</f>
        <v>-96.2633333333333</v>
      </c>
      <c r="M1107" s="34" t="n">
        <f aca="false">AVERAGE(C1107:J1107)</f>
        <v>-74.8175</v>
      </c>
    </row>
    <row r="1108" customFormat="false" ht="15" hidden="false" customHeight="true" outlineLevel="0" collapsed="false">
      <c r="A1108" s="34" t="s">
        <v>1360</v>
      </c>
      <c r="B1108" s="34" t="n">
        <v>241.2</v>
      </c>
      <c r="C1108" s="34" t="n">
        <v>-66.67</v>
      </c>
      <c r="D1108" s="34" t="n">
        <v>-122.5</v>
      </c>
      <c r="E1108" s="34" t="n">
        <v>54.78</v>
      </c>
      <c r="F1108" s="34" t="n">
        <v>-16.29</v>
      </c>
      <c r="G1108" s="34" t="n">
        <v>17.63</v>
      </c>
      <c r="H1108" s="34" t="n">
        <v>44.94</v>
      </c>
      <c r="I1108" s="34" t="n">
        <v>65.49</v>
      </c>
      <c r="J1108" s="34" t="n">
        <v>78.4</v>
      </c>
      <c r="K1108" s="34" t="n">
        <v>228.28</v>
      </c>
      <c r="L1108" s="34" t="n">
        <f aca="false">AVERAGE(C1108:E1108)</f>
        <v>-44.7966666666667</v>
      </c>
      <c r="M1108" s="34" t="n">
        <f aca="false">AVERAGE(C1108:J1108)</f>
        <v>6.9725</v>
      </c>
    </row>
    <row r="1109" customFormat="false" ht="15" hidden="false" customHeight="true" outlineLevel="0" collapsed="false">
      <c r="A1109" s="34" t="s">
        <v>111</v>
      </c>
      <c r="B1109" s="34" t="n">
        <v>240.23</v>
      </c>
      <c r="C1109" s="34" t="n">
        <v>-66.67</v>
      </c>
      <c r="D1109" s="34" t="n">
        <v>-133.33</v>
      </c>
      <c r="E1109" s="34" t="n">
        <v>-83.84</v>
      </c>
      <c r="F1109" s="34" t="n">
        <v>-23.26</v>
      </c>
      <c r="G1109" s="34" t="n">
        <v>-19.99</v>
      </c>
      <c r="H1109" s="34" t="n">
        <v>-4.22</v>
      </c>
      <c r="I1109" s="34" t="n">
        <v>37.61</v>
      </c>
      <c r="J1109" s="34" t="n">
        <v>50.95</v>
      </c>
      <c r="K1109" s="34" t="n">
        <v>247.24</v>
      </c>
      <c r="L1109" s="34" t="n">
        <f aca="false">AVERAGE(C1109:E1109)</f>
        <v>-94.6133333333333</v>
      </c>
      <c r="M1109" s="34" t="n">
        <f aca="false">AVERAGE(C1109:J1109)</f>
        <v>-30.34375</v>
      </c>
    </row>
    <row r="1110" customFormat="false" ht="15" hidden="false" customHeight="true" outlineLevel="0" collapsed="false">
      <c r="A1110" s="34" t="s">
        <v>1361</v>
      </c>
      <c r="B1110" s="34" t="n">
        <v>239.8</v>
      </c>
      <c r="C1110" s="34" t="n">
        <v>66.67</v>
      </c>
      <c r="D1110" s="34" t="n">
        <v>57.95</v>
      </c>
      <c r="E1110" s="34" t="n">
        <v>74.73</v>
      </c>
      <c r="F1110" s="34" t="n">
        <v>-79.82</v>
      </c>
      <c r="G1110" s="34" t="n">
        <v>-94.32</v>
      </c>
      <c r="H1110" s="34" t="n">
        <v>-27.51</v>
      </c>
      <c r="I1110" s="34" t="n">
        <v>2.99</v>
      </c>
      <c r="J1110" s="34" t="n">
        <v>-1.6</v>
      </c>
      <c r="K1110" s="34" t="n">
        <v>257.14</v>
      </c>
      <c r="L1110" s="34" t="n">
        <f aca="false">AVERAGE(C1110:E1110)</f>
        <v>66.45</v>
      </c>
      <c r="M1110" s="34" t="n">
        <f aca="false">AVERAGE(C1110:J1110)</f>
        <v>-0.113749999999998</v>
      </c>
    </row>
    <row r="1111" customFormat="false" ht="15" hidden="false" customHeight="true" outlineLevel="0" collapsed="false">
      <c r="A1111" s="34" t="s">
        <v>1362</v>
      </c>
      <c r="B1111" s="34" t="n">
        <v>239.35</v>
      </c>
      <c r="C1111" s="34" t="n">
        <v>-66.67</v>
      </c>
      <c r="D1111" s="34" t="n">
        <v>-94.73</v>
      </c>
      <c r="E1111" s="34" t="n">
        <v>-113.41</v>
      </c>
      <c r="F1111" s="34" t="n">
        <v>-138.49</v>
      </c>
      <c r="G1111" s="34" t="n">
        <v>-160.54</v>
      </c>
      <c r="H1111" s="34" t="n">
        <v>-162.8</v>
      </c>
      <c r="I1111" s="34" t="n">
        <v>-175.02</v>
      </c>
      <c r="J1111" s="34" t="n">
        <v>-162.32</v>
      </c>
      <c r="K1111" s="34" t="n">
        <v>259.01</v>
      </c>
      <c r="L1111" s="34" t="n">
        <f aca="false">AVERAGE(C1111:E1111)</f>
        <v>-91.6033333333333</v>
      </c>
      <c r="M1111" s="34" t="n">
        <f aca="false">AVERAGE(C1111:J1111)</f>
        <v>-134.2475</v>
      </c>
    </row>
    <row r="1112" customFormat="false" ht="15" hidden="false" customHeight="true" outlineLevel="0" collapsed="false">
      <c r="A1112" s="34" t="s">
        <v>1363</v>
      </c>
      <c r="B1112" s="34" t="n">
        <v>239</v>
      </c>
      <c r="C1112" s="34" t="n">
        <v>-66.67</v>
      </c>
      <c r="D1112" s="34" t="n">
        <v>-130.99</v>
      </c>
      <c r="E1112" s="34" t="n">
        <v>-137.17</v>
      </c>
      <c r="F1112" s="34" t="n">
        <v>-78.08</v>
      </c>
      <c r="G1112" s="34" t="n">
        <v>-105.69</v>
      </c>
      <c r="H1112" s="34" t="n">
        <v>-103.15</v>
      </c>
      <c r="I1112" s="34" t="n">
        <v>-85.95</v>
      </c>
      <c r="J1112" s="34" t="n">
        <v>-87.08</v>
      </c>
      <c r="K1112" s="34" t="n">
        <v>233.23</v>
      </c>
      <c r="L1112" s="34" t="n">
        <f aca="false">AVERAGE(C1112:E1112)</f>
        <v>-111.61</v>
      </c>
      <c r="M1112" s="34" t="n">
        <f aca="false">AVERAGE(C1112:J1112)</f>
        <v>-99.3475</v>
      </c>
    </row>
    <row r="1113" customFormat="false" ht="15" hidden="false" customHeight="true" outlineLevel="0" collapsed="false">
      <c r="A1113" s="34" t="s">
        <v>409</v>
      </c>
      <c r="B1113" s="34" t="n">
        <v>238.61</v>
      </c>
      <c r="C1113" s="34" t="n">
        <v>66.67</v>
      </c>
      <c r="D1113" s="34" t="n">
        <v>132.97</v>
      </c>
      <c r="E1113" s="34" t="n">
        <v>154.97</v>
      </c>
      <c r="F1113" s="34" t="n">
        <v>310.26</v>
      </c>
      <c r="G1113" s="34" t="n">
        <v>432.75</v>
      </c>
      <c r="H1113" s="34" t="n">
        <v>402.21</v>
      </c>
      <c r="I1113" s="34" t="n">
        <v>359.37</v>
      </c>
      <c r="J1113" s="34" t="n">
        <v>370</v>
      </c>
      <c r="K1113" s="34" t="n">
        <v>215.04</v>
      </c>
      <c r="L1113" s="34" t="n">
        <f aca="false">AVERAGE(C1113:E1113)</f>
        <v>118.203333333333</v>
      </c>
      <c r="M1113" s="34" t="n">
        <f aca="false">AVERAGE(C1113:J1113)</f>
        <v>278.65</v>
      </c>
    </row>
    <row r="1114" customFormat="false" ht="15" hidden="false" customHeight="true" outlineLevel="0" collapsed="false">
      <c r="A1114" s="34" t="s">
        <v>1364</v>
      </c>
      <c r="B1114" s="34" t="n">
        <v>238</v>
      </c>
      <c r="C1114" s="34" t="n">
        <v>66.67</v>
      </c>
      <c r="D1114" s="34" t="n">
        <v>78.42</v>
      </c>
      <c r="E1114" s="34" t="n">
        <v>42.95</v>
      </c>
      <c r="F1114" s="34" t="n">
        <v>-25.14</v>
      </c>
      <c r="G1114" s="34" t="n">
        <v>15.46</v>
      </c>
      <c r="H1114" s="34" t="n">
        <v>47.73</v>
      </c>
      <c r="I1114" s="34" t="n">
        <v>72.29</v>
      </c>
      <c r="J1114" s="34" t="n">
        <v>83.34</v>
      </c>
      <c r="K1114" s="34" t="n">
        <v>255.19</v>
      </c>
      <c r="L1114" s="34" t="n">
        <f aca="false">AVERAGE(C1114:E1114)</f>
        <v>62.68</v>
      </c>
      <c r="M1114" s="34" t="n">
        <f aca="false">AVERAGE(C1114:J1114)</f>
        <v>47.715</v>
      </c>
    </row>
    <row r="1115" customFormat="false" ht="15" hidden="false" customHeight="true" outlineLevel="0" collapsed="false">
      <c r="A1115" s="34" t="s">
        <v>41</v>
      </c>
      <c r="B1115" s="34" t="n">
        <v>237.98</v>
      </c>
      <c r="C1115" s="34" t="n">
        <v>-66.67</v>
      </c>
      <c r="D1115" s="34" t="n">
        <v>-133.33</v>
      </c>
      <c r="E1115" s="34" t="n">
        <v>-84.28</v>
      </c>
      <c r="F1115" s="34" t="n">
        <v>-78.86</v>
      </c>
      <c r="G1115" s="34" t="n">
        <v>-113.53</v>
      </c>
      <c r="H1115" s="34" t="n">
        <v>-30.57</v>
      </c>
      <c r="I1115" s="34" t="n">
        <v>-1.17</v>
      </c>
      <c r="J1115" s="34" t="n">
        <v>3.81</v>
      </c>
      <c r="K1115" s="34" t="n">
        <v>251.44</v>
      </c>
      <c r="L1115" s="34" t="n">
        <f aca="false">AVERAGE(C1115:E1115)</f>
        <v>-94.76</v>
      </c>
      <c r="M1115" s="34" t="n">
        <f aca="false">AVERAGE(C1115:J1115)</f>
        <v>-63.075</v>
      </c>
    </row>
    <row r="1116" customFormat="false" ht="15" hidden="false" customHeight="true" outlineLevel="0" collapsed="false">
      <c r="A1116" s="34" t="s">
        <v>577</v>
      </c>
      <c r="B1116" s="34" t="n">
        <v>237.6</v>
      </c>
      <c r="C1116" s="34" t="n">
        <v>-66.67</v>
      </c>
      <c r="D1116" s="34" t="n">
        <v>-59.61</v>
      </c>
      <c r="E1116" s="34" t="n">
        <v>39.98</v>
      </c>
      <c r="F1116" s="34" t="n">
        <v>-33.48</v>
      </c>
      <c r="G1116" s="34" t="n">
        <v>-45.09</v>
      </c>
      <c r="H1116" s="34" t="n">
        <v>-65.22</v>
      </c>
      <c r="I1116" s="34" t="n">
        <v>-85.78</v>
      </c>
      <c r="J1116" s="34" t="n">
        <v>-106.46</v>
      </c>
      <c r="K1116" s="34" t="n">
        <v>250.11</v>
      </c>
      <c r="L1116" s="34" t="n">
        <f aca="false">AVERAGE(C1116:E1116)</f>
        <v>-28.7666666666667</v>
      </c>
      <c r="M1116" s="34" t="n">
        <f aca="false">AVERAGE(C1116:J1116)</f>
        <v>-52.79125</v>
      </c>
    </row>
    <row r="1117" customFormat="false" ht="15" hidden="false" customHeight="true" outlineLevel="0" collapsed="false">
      <c r="A1117" s="34" t="s">
        <v>1365</v>
      </c>
      <c r="B1117" s="34" t="n">
        <v>237.2</v>
      </c>
      <c r="C1117" s="34" t="n">
        <v>66.67</v>
      </c>
      <c r="D1117" s="34" t="n">
        <v>114.43</v>
      </c>
      <c r="E1117" s="34" t="n">
        <v>107.15</v>
      </c>
      <c r="F1117" s="34" t="n">
        <v>111.09</v>
      </c>
      <c r="G1117" s="34" t="n">
        <v>51.06</v>
      </c>
      <c r="H1117" s="34" t="n">
        <v>58.1</v>
      </c>
      <c r="I1117" s="34" t="n">
        <v>68.41</v>
      </c>
      <c r="J1117" s="34" t="n">
        <v>65.31</v>
      </c>
      <c r="K1117" s="34" t="n">
        <v>225.24</v>
      </c>
      <c r="L1117" s="34" t="n">
        <f aca="false">AVERAGE(C1117:E1117)</f>
        <v>96.0833333333333</v>
      </c>
      <c r="M1117" s="34" t="n">
        <f aca="false">AVERAGE(C1117:J1117)</f>
        <v>80.2775</v>
      </c>
    </row>
    <row r="1118" customFormat="false" ht="15" hidden="false" customHeight="true" outlineLevel="0" collapsed="false">
      <c r="A1118" s="34" t="s">
        <v>1366</v>
      </c>
      <c r="B1118" s="34" t="n">
        <v>237</v>
      </c>
      <c r="C1118" s="34" t="n">
        <v>-66.67</v>
      </c>
      <c r="D1118" s="34" t="n">
        <v>7.07</v>
      </c>
      <c r="E1118" s="34" t="n">
        <v>75.03</v>
      </c>
      <c r="F1118" s="34" t="n">
        <v>28.39</v>
      </c>
      <c r="G1118" s="34" t="n">
        <v>-19.73</v>
      </c>
      <c r="H1118" s="34" t="n">
        <v>-26.95</v>
      </c>
      <c r="I1118" s="34" t="n">
        <v>21.62</v>
      </c>
      <c r="J1118" s="34" t="n">
        <v>37.75</v>
      </c>
      <c r="K1118" s="34" t="n">
        <v>224.68</v>
      </c>
      <c r="L1118" s="34" t="n">
        <f aca="false">AVERAGE(C1118:E1118)</f>
        <v>5.14333333333333</v>
      </c>
      <c r="M1118" s="34" t="n">
        <f aca="false">AVERAGE(C1118:J1118)</f>
        <v>7.06375</v>
      </c>
    </row>
    <row r="1119" customFormat="false" ht="15" hidden="false" customHeight="true" outlineLevel="0" collapsed="false">
      <c r="A1119" s="34" t="s">
        <v>166</v>
      </c>
      <c r="B1119" s="34" t="n">
        <v>236.29</v>
      </c>
      <c r="C1119" s="34" t="n">
        <v>-66.67</v>
      </c>
      <c r="D1119" s="34" t="n">
        <v>-114.43</v>
      </c>
      <c r="E1119" s="34" t="n">
        <v>13.74</v>
      </c>
      <c r="F1119" s="34" t="n">
        <v>-50.4</v>
      </c>
      <c r="G1119" s="34" t="n">
        <v>-88.02</v>
      </c>
      <c r="H1119" s="34" t="n">
        <v>-99.91</v>
      </c>
      <c r="I1119" s="34" t="n">
        <v>-37.95</v>
      </c>
      <c r="J1119" s="34" t="n">
        <v>-50.32</v>
      </c>
      <c r="K1119" s="34" t="n">
        <v>239.74</v>
      </c>
      <c r="L1119" s="34" t="n">
        <f aca="false">AVERAGE(C1119:E1119)</f>
        <v>-55.7866666666667</v>
      </c>
      <c r="M1119" s="34" t="n">
        <f aca="false">AVERAGE(C1119:J1119)</f>
        <v>-61.745</v>
      </c>
    </row>
    <row r="1120" customFormat="false" ht="15" hidden="false" customHeight="true" outlineLevel="0" collapsed="false">
      <c r="A1120" s="34" t="s">
        <v>1367</v>
      </c>
      <c r="B1120" s="34" t="n">
        <v>236.02</v>
      </c>
      <c r="C1120" s="34" t="n">
        <v>-66.67</v>
      </c>
      <c r="D1120" s="34" t="n">
        <v>12.22</v>
      </c>
      <c r="E1120" s="34" t="n">
        <v>85.78</v>
      </c>
      <c r="F1120" s="34" t="n">
        <v>-6.51</v>
      </c>
      <c r="G1120" s="34" t="n">
        <v>47.9</v>
      </c>
      <c r="H1120" s="34" t="n">
        <v>78.85</v>
      </c>
      <c r="I1120" s="34" t="n">
        <v>83.57</v>
      </c>
      <c r="J1120" s="34" t="n">
        <v>94.53</v>
      </c>
      <c r="K1120" s="34" t="n">
        <v>222.47</v>
      </c>
      <c r="L1120" s="34" t="n">
        <f aca="false">AVERAGE(C1120:E1120)</f>
        <v>10.4433333333333</v>
      </c>
      <c r="M1120" s="34" t="n">
        <f aca="false">AVERAGE(C1120:J1120)</f>
        <v>41.20875</v>
      </c>
    </row>
    <row r="1121" customFormat="false" ht="15" hidden="false" customHeight="true" outlineLevel="0" collapsed="false">
      <c r="A1121" s="34" t="s">
        <v>1368</v>
      </c>
      <c r="B1121" s="34" t="n">
        <v>235.16</v>
      </c>
      <c r="C1121" s="34" t="n">
        <v>66.67</v>
      </c>
      <c r="D1121" s="34" t="n">
        <v>133.33</v>
      </c>
      <c r="E1121" s="34" t="n">
        <v>200.74</v>
      </c>
      <c r="F1121" s="34" t="n">
        <v>349.09</v>
      </c>
      <c r="G1121" s="34" t="n">
        <v>280.47</v>
      </c>
      <c r="H1121" s="34" t="n">
        <v>143.75</v>
      </c>
      <c r="I1121" s="34" t="n">
        <v>139.78</v>
      </c>
      <c r="J1121" s="34" t="n">
        <v>159.73</v>
      </c>
      <c r="K1121" s="34" t="n">
        <v>200.45</v>
      </c>
      <c r="L1121" s="34" t="n">
        <f aca="false">AVERAGE(C1121:E1121)</f>
        <v>133.58</v>
      </c>
      <c r="M1121" s="34" t="n">
        <f aca="false">AVERAGE(C1121:J1121)</f>
        <v>184.195</v>
      </c>
    </row>
    <row r="1122" customFormat="false" ht="15" hidden="false" customHeight="true" outlineLevel="0" collapsed="false">
      <c r="A1122" s="34" t="s">
        <v>1369</v>
      </c>
      <c r="B1122" s="34" t="n">
        <v>235.05</v>
      </c>
      <c r="C1122" s="34" t="n">
        <v>-66.67</v>
      </c>
      <c r="D1122" s="34" t="n">
        <v>-123.92</v>
      </c>
      <c r="E1122" s="34" t="n">
        <v>-191.86</v>
      </c>
      <c r="F1122" s="34" t="n">
        <v>-122.82</v>
      </c>
      <c r="G1122" s="34" t="n">
        <v>-28.85</v>
      </c>
      <c r="H1122" s="34" t="n">
        <v>-2.18</v>
      </c>
      <c r="I1122" s="34" t="n">
        <v>22.01</v>
      </c>
      <c r="J1122" s="34" t="n">
        <v>18.4</v>
      </c>
      <c r="K1122" s="34" t="n">
        <v>262.14</v>
      </c>
      <c r="L1122" s="34" t="n">
        <f aca="false">AVERAGE(C1122:E1122)</f>
        <v>-127.483333333333</v>
      </c>
      <c r="M1122" s="34" t="n">
        <f aca="false">AVERAGE(C1122:J1122)</f>
        <v>-61.98625</v>
      </c>
    </row>
    <row r="1123" customFormat="false" ht="15" hidden="false" customHeight="true" outlineLevel="0" collapsed="false">
      <c r="A1123" s="34" t="s">
        <v>1370</v>
      </c>
      <c r="B1123" s="34" t="n">
        <v>235</v>
      </c>
      <c r="C1123" s="34" t="n">
        <v>-66.67</v>
      </c>
      <c r="D1123" s="34" t="n">
        <v>-28.35</v>
      </c>
      <c r="E1123" s="34" t="n">
        <v>53.99</v>
      </c>
      <c r="F1123" s="34" t="n">
        <v>2.72</v>
      </c>
      <c r="G1123" s="34" t="n">
        <v>-6.64</v>
      </c>
      <c r="H1123" s="34" t="n">
        <v>45.75</v>
      </c>
      <c r="I1123" s="34" t="n">
        <v>63.24</v>
      </c>
      <c r="J1123" s="34" t="n">
        <v>77.63</v>
      </c>
      <c r="K1123" s="34" t="n">
        <v>224.31</v>
      </c>
      <c r="L1123" s="34" t="n">
        <f aca="false">AVERAGE(C1123:E1123)</f>
        <v>-13.6766666666667</v>
      </c>
      <c r="M1123" s="34" t="n">
        <f aca="false">AVERAGE(C1123:J1123)</f>
        <v>17.70875</v>
      </c>
    </row>
    <row r="1124" customFormat="false" ht="15" hidden="false" customHeight="true" outlineLevel="0" collapsed="false">
      <c r="A1124" s="34" t="s">
        <v>1371</v>
      </c>
      <c r="B1124" s="34" t="n">
        <v>235</v>
      </c>
      <c r="C1124" s="34" t="n">
        <v>-66.67</v>
      </c>
      <c r="D1124" s="34" t="n">
        <v>-58.56</v>
      </c>
      <c r="E1124" s="34" t="n">
        <v>41.92</v>
      </c>
      <c r="F1124" s="34"/>
      <c r="G1124" s="34"/>
      <c r="H1124" s="34"/>
      <c r="I1124" s="34"/>
      <c r="J1124" s="34"/>
      <c r="K1124" s="34" t="n">
        <v>270.4</v>
      </c>
      <c r="L1124" s="34" t="n">
        <f aca="false">AVERAGE(C1124:E1124)</f>
        <v>-27.77</v>
      </c>
      <c r="M1124" s="34" t="n">
        <f aca="false">AVERAGE(C1124:J1124)</f>
        <v>-27.77</v>
      </c>
    </row>
    <row r="1125" customFormat="false" ht="15" hidden="false" customHeight="true" outlineLevel="0" collapsed="false">
      <c r="A1125" s="34" t="s">
        <v>262</v>
      </c>
      <c r="B1125" s="34" t="n">
        <v>234.7</v>
      </c>
      <c r="C1125" s="34" t="n">
        <v>-66.67</v>
      </c>
      <c r="D1125" s="34" t="n">
        <v>-129.64</v>
      </c>
      <c r="E1125" s="34" t="n">
        <v>-55.87</v>
      </c>
      <c r="F1125" s="34" t="n">
        <v>-29.98</v>
      </c>
      <c r="G1125" s="34" t="n">
        <v>13.61</v>
      </c>
      <c r="H1125" s="34" t="n">
        <v>5.39</v>
      </c>
      <c r="I1125" s="34" t="n">
        <v>7.72</v>
      </c>
      <c r="J1125" s="34" t="n">
        <v>30.61</v>
      </c>
      <c r="K1125" s="34" t="n">
        <v>246.75</v>
      </c>
      <c r="L1125" s="34" t="n">
        <f aca="false">AVERAGE(C1125:E1125)</f>
        <v>-84.06</v>
      </c>
      <c r="M1125" s="34" t="n">
        <f aca="false">AVERAGE(C1125:J1125)</f>
        <v>-28.10375</v>
      </c>
    </row>
    <row r="1126" customFormat="false" ht="15" hidden="false" customHeight="true" outlineLevel="0" collapsed="false">
      <c r="A1126" s="34" t="s">
        <v>1372</v>
      </c>
      <c r="B1126" s="34" t="n">
        <v>234.36</v>
      </c>
      <c r="C1126" s="34" t="n">
        <v>66.67</v>
      </c>
      <c r="D1126" s="34" t="n">
        <v>-22.53</v>
      </c>
      <c r="E1126" s="34" t="n">
        <v>73.38</v>
      </c>
      <c r="F1126" s="34" t="n">
        <v>-35.81</v>
      </c>
      <c r="G1126" s="34" t="n">
        <v>4.49</v>
      </c>
      <c r="H1126" s="34" t="n">
        <v>30.57</v>
      </c>
      <c r="I1126" s="34" t="n">
        <v>58.42</v>
      </c>
      <c r="J1126" s="34" t="n">
        <v>66.34</v>
      </c>
      <c r="K1126" s="34" t="n">
        <v>247.25</v>
      </c>
      <c r="L1126" s="34" t="n">
        <f aca="false">AVERAGE(C1126:E1126)</f>
        <v>39.1733333333333</v>
      </c>
      <c r="M1126" s="34" t="n">
        <f aca="false">AVERAGE(C1126:J1126)</f>
        <v>30.19125</v>
      </c>
    </row>
    <row r="1127" customFormat="false" ht="15" hidden="false" customHeight="true" outlineLevel="0" collapsed="false">
      <c r="A1127" s="34" t="s">
        <v>1373</v>
      </c>
      <c r="B1127" s="34" t="n">
        <v>233.9</v>
      </c>
      <c r="C1127" s="34" t="n">
        <v>-66.67</v>
      </c>
      <c r="D1127" s="34" t="n">
        <v>8.63</v>
      </c>
      <c r="E1127" s="34" t="n">
        <v>-37.43</v>
      </c>
      <c r="F1127" s="34" t="n">
        <v>-60.95</v>
      </c>
      <c r="G1127" s="34" t="n">
        <v>-110.06</v>
      </c>
      <c r="H1127" s="34" t="n">
        <v>-134.94</v>
      </c>
      <c r="I1127" s="34" t="n">
        <v>-139.98</v>
      </c>
      <c r="J1127" s="34" t="n">
        <v>-145.95</v>
      </c>
      <c r="K1127" s="34" t="n">
        <v>213.89</v>
      </c>
      <c r="L1127" s="34" t="n">
        <f aca="false">AVERAGE(C1127:E1127)</f>
        <v>-31.8233333333333</v>
      </c>
      <c r="M1127" s="34" t="n">
        <f aca="false">AVERAGE(C1127:J1127)</f>
        <v>-85.91875</v>
      </c>
    </row>
    <row r="1128" customFormat="false" ht="15" hidden="false" customHeight="true" outlineLevel="0" collapsed="false">
      <c r="A1128" s="34" t="s">
        <v>1374</v>
      </c>
      <c r="B1128" s="34" t="n">
        <v>233.01</v>
      </c>
      <c r="C1128" s="34" t="n">
        <v>-66.67</v>
      </c>
      <c r="D1128" s="34" t="n">
        <v>-133.33</v>
      </c>
      <c r="E1128" s="34" t="n">
        <v>-104.15</v>
      </c>
      <c r="F1128" s="34" t="n">
        <v>-109.81</v>
      </c>
      <c r="G1128" s="34" t="n">
        <v>-148.62</v>
      </c>
      <c r="H1128" s="34" t="n">
        <v>-117.86</v>
      </c>
      <c r="I1128" s="34" t="n">
        <v>-54.83</v>
      </c>
      <c r="J1128" s="34" t="n">
        <v>-60.51</v>
      </c>
      <c r="K1128" s="34" t="n">
        <v>245.53</v>
      </c>
      <c r="L1128" s="34" t="n">
        <f aca="false">AVERAGE(C1128:E1128)</f>
        <v>-101.383333333333</v>
      </c>
      <c r="M1128" s="34" t="n">
        <f aca="false">AVERAGE(C1128:J1128)</f>
        <v>-99.4725</v>
      </c>
    </row>
    <row r="1129" customFormat="false" ht="15" hidden="false" customHeight="true" outlineLevel="0" collapsed="false">
      <c r="A1129" s="34" t="s">
        <v>466</v>
      </c>
      <c r="B1129" s="34" t="n">
        <v>232.62</v>
      </c>
      <c r="C1129" s="34" t="n">
        <v>-66.67</v>
      </c>
      <c r="D1129" s="34" t="n">
        <v>-133.33</v>
      </c>
      <c r="E1129" s="34" t="n">
        <v>-78.37</v>
      </c>
      <c r="F1129" s="34" t="n">
        <v>-120.1</v>
      </c>
      <c r="G1129" s="34" t="n">
        <v>-156.47</v>
      </c>
      <c r="H1129" s="34" t="n">
        <v>-148.98</v>
      </c>
      <c r="I1129" s="34" t="n">
        <v>-91.94</v>
      </c>
      <c r="J1129" s="34" t="n">
        <v>-83.84</v>
      </c>
      <c r="K1129" s="34" t="n">
        <v>232.59</v>
      </c>
      <c r="L1129" s="34" t="n">
        <f aca="false">AVERAGE(C1129:E1129)</f>
        <v>-92.79</v>
      </c>
      <c r="M1129" s="34" t="n">
        <f aca="false">AVERAGE(C1129:J1129)</f>
        <v>-109.9625</v>
      </c>
    </row>
    <row r="1130" customFormat="false" ht="15" hidden="false" customHeight="true" outlineLevel="0" collapsed="false">
      <c r="A1130" s="34" t="s">
        <v>1375</v>
      </c>
      <c r="B1130" s="34" t="n">
        <v>232.43</v>
      </c>
      <c r="C1130" s="34" t="n">
        <v>-66.67</v>
      </c>
      <c r="D1130" s="34" t="n">
        <v>38.39</v>
      </c>
      <c r="E1130" s="34" t="n">
        <v>7.86</v>
      </c>
      <c r="F1130" s="34" t="n">
        <v>-41.92</v>
      </c>
      <c r="G1130" s="34" t="n">
        <v>-88.32</v>
      </c>
      <c r="H1130" s="34" t="n">
        <v>-83.38</v>
      </c>
      <c r="I1130" s="34" t="n">
        <v>-12.14</v>
      </c>
      <c r="J1130" s="34" t="n">
        <v>-35.31</v>
      </c>
      <c r="K1130" s="34" t="n">
        <v>239.64</v>
      </c>
      <c r="L1130" s="34" t="n">
        <f aca="false">AVERAGE(C1130:E1130)</f>
        <v>-6.80666666666667</v>
      </c>
      <c r="M1130" s="34" t="n">
        <f aca="false">AVERAGE(C1130:J1130)</f>
        <v>-35.18625</v>
      </c>
    </row>
    <row r="1131" customFormat="false" ht="15" hidden="false" customHeight="true" outlineLevel="0" collapsed="false">
      <c r="A1131" s="34" t="s">
        <v>1376</v>
      </c>
      <c r="B1131" s="34" t="n">
        <v>231.5</v>
      </c>
      <c r="C1131" s="34" t="n">
        <v>66.67</v>
      </c>
      <c r="D1131" s="34" t="n">
        <v>-7.98</v>
      </c>
      <c r="E1131" s="34" t="n">
        <v>-66.46</v>
      </c>
      <c r="F1131" s="34" t="n">
        <v>-93.19</v>
      </c>
      <c r="G1131" s="34" t="n">
        <v>-21.54</v>
      </c>
      <c r="H1131" s="34" t="n">
        <v>31.28</v>
      </c>
      <c r="I1131" s="34" t="n">
        <v>53.49</v>
      </c>
      <c r="J1131" s="34" t="n">
        <v>62.43</v>
      </c>
      <c r="K1131" s="34" t="n">
        <v>227.67</v>
      </c>
      <c r="L1131" s="34" t="n">
        <f aca="false">AVERAGE(C1131:E1131)</f>
        <v>-2.59</v>
      </c>
      <c r="M1131" s="34" t="n">
        <f aca="false">AVERAGE(C1131:J1131)</f>
        <v>3.0875</v>
      </c>
    </row>
    <row r="1132" customFormat="false" ht="15" hidden="false" customHeight="true" outlineLevel="0" collapsed="false">
      <c r="A1132" s="34" t="s">
        <v>1377</v>
      </c>
      <c r="B1132" s="34" t="n">
        <v>231.15</v>
      </c>
      <c r="C1132" s="34" t="n">
        <v>66.67</v>
      </c>
      <c r="D1132" s="34" t="n">
        <v>66.87</v>
      </c>
      <c r="E1132" s="34" t="n">
        <v>-15.9</v>
      </c>
      <c r="F1132" s="34" t="n">
        <v>-74.8</v>
      </c>
      <c r="G1132" s="34" t="n">
        <v>-125.42</v>
      </c>
      <c r="H1132" s="34" t="n">
        <v>-99.35</v>
      </c>
      <c r="I1132" s="34" t="n">
        <v>-76.55</v>
      </c>
      <c r="J1132" s="34" t="n">
        <v>-89.17</v>
      </c>
      <c r="K1132" s="34" t="n">
        <v>252.91</v>
      </c>
      <c r="L1132" s="34" t="n">
        <f aca="false">AVERAGE(C1132:E1132)</f>
        <v>39.2133333333333</v>
      </c>
      <c r="M1132" s="34" t="n">
        <f aca="false">AVERAGE(C1132:J1132)</f>
        <v>-43.45625</v>
      </c>
    </row>
    <row r="1133" customFormat="false" ht="15" hidden="false" customHeight="true" outlineLevel="0" collapsed="false">
      <c r="A1133" s="34" t="s">
        <v>1378</v>
      </c>
      <c r="B1133" s="34" t="n">
        <v>231</v>
      </c>
      <c r="C1133" s="34" t="n">
        <v>66.67</v>
      </c>
      <c r="D1133" s="34" t="n">
        <v>74.51</v>
      </c>
      <c r="E1133" s="34" t="n">
        <v>130.51</v>
      </c>
      <c r="F1133" s="34" t="n">
        <v>-24.05</v>
      </c>
      <c r="G1133" s="34" t="n">
        <v>-62.53</v>
      </c>
      <c r="H1133" s="34" t="n">
        <v>-29.62</v>
      </c>
      <c r="I1133" s="34" t="n">
        <v>-32.61</v>
      </c>
      <c r="J1133" s="34" t="n">
        <v>-52.19</v>
      </c>
      <c r="K1133" s="34" t="n">
        <v>237.56</v>
      </c>
      <c r="L1133" s="34" t="n">
        <f aca="false">AVERAGE(C1133:E1133)</f>
        <v>90.5633333333333</v>
      </c>
      <c r="M1133" s="34" t="n">
        <f aca="false">AVERAGE(C1133:J1133)</f>
        <v>8.83625</v>
      </c>
    </row>
    <row r="1134" customFormat="false" ht="15" hidden="false" customHeight="true" outlineLevel="0" collapsed="false">
      <c r="A1134" s="34" t="s">
        <v>1379</v>
      </c>
      <c r="B1134" s="34" t="n">
        <v>230.75</v>
      </c>
      <c r="C1134" s="34" t="n">
        <v>-66.67</v>
      </c>
      <c r="D1134" s="34" t="n">
        <v>-119.93</v>
      </c>
      <c r="E1134" s="34" t="n">
        <v>-84.76</v>
      </c>
      <c r="F1134" s="34" t="n">
        <v>-115.31</v>
      </c>
      <c r="G1134" s="34" t="n">
        <v>-77</v>
      </c>
      <c r="H1134" s="34" t="n">
        <v>13.1</v>
      </c>
      <c r="I1134" s="34" t="n">
        <v>38.55</v>
      </c>
      <c r="J1134" s="34" t="n">
        <v>53.53</v>
      </c>
      <c r="K1134" s="34" t="n">
        <v>257.82</v>
      </c>
      <c r="L1134" s="34" t="n">
        <f aca="false">AVERAGE(C1134:E1134)</f>
        <v>-90.4533333333333</v>
      </c>
      <c r="M1134" s="34" t="n">
        <f aca="false">AVERAGE(C1134:J1134)</f>
        <v>-44.81125</v>
      </c>
    </row>
    <row r="1135" customFormat="false" ht="15" hidden="false" customHeight="true" outlineLevel="0" collapsed="false">
      <c r="A1135" s="34" t="s">
        <v>1380</v>
      </c>
      <c r="B1135" s="34" t="n">
        <v>230</v>
      </c>
      <c r="C1135" s="34" t="n">
        <v>-66.67</v>
      </c>
      <c r="D1135" s="34" t="n">
        <v>-24.73</v>
      </c>
      <c r="E1135" s="34" t="n">
        <v>10.4</v>
      </c>
      <c r="F1135" s="34" t="n">
        <v>-72.19</v>
      </c>
      <c r="G1135" s="34" t="n">
        <v>-126.24</v>
      </c>
      <c r="H1135" s="34" t="n">
        <v>-64.59</v>
      </c>
      <c r="I1135" s="34" t="n">
        <v>-60.96</v>
      </c>
      <c r="J1135" s="34" t="n">
        <v>-69.28</v>
      </c>
      <c r="K1135" s="34" t="n">
        <v>243.92</v>
      </c>
      <c r="L1135" s="34" t="n">
        <f aca="false">AVERAGE(C1135:E1135)</f>
        <v>-27</v>
      </c>
      <c r="M1135" s="34" t="n">
        <f aca="false">AVERAGE(C1135:J1135)</f>
        <v>-59.2825</v>
      </c>
    </row>
    <row r="1136" customFormat="false" ht="15" hidden="false" customHeight="true" outlineLevel="0" collapsed="false">
      <c r="A1136" s="34" t="s">
        <v>1381</v>
      </c>
      <c r="B1136" s="34" t="n">
        <v>228.98</v>
      </c>
      <c r="C1136" s="34" t="n">
        <v>-66.67</v>
      </c>
      <c r="D1136" s="34" t="n">
        <v>-13.87</v>
      </c>
      <c r="E1136" s="34" t="n">
        <v>-2.84</v>
      </c>
      <c r="F1136" s="34" t="n">
        <v>-79.43</v>
      </c>
      <c r="G1136" s="34" t="n">
        <v>-108.43</v>
      </c>
      <c r="H1136" s="34" t="n">
        <v>-122.58</v>
      </c>
      <c r="I1136" s="34" t="n">
        <v>-130.82</v>
      </c>
      <c r="J1136" s="34" t="n">
        <v>-92.18</v>
      </c>
      <c r="K1136" s="34" t="n">
        <v>242.84</v>
      </c>
      <c r="L1136" s="34" t="n">
        <f aca="false">AVERAGE(C1136:E1136)</f>
        <v>-27.7933333333333</v>
      </c>
      <c r="M1136" s="34" t="n">
        <f aca="false">AVERAGE(C1136:J1136)</f>
        <v>-77.1025</v>
      </c>
    </row>
    <row r="1137" customFormat="false" ht="15" hidden="false" customHeight="true" outlineLevel="0" collapsed="false">
      <c r="A1137" s="34" t="s">
        <v>1382</v>
      </c>
      <c r="B1137" s="34" t="n">
        <v>228.61</v>
      </c>
      <c r="C1137" s="34" t="n">
        <v>-66.67</v>
      </c>
      <c r="D1137" s="34" t="n">
        <v>53.5</v>
      </c>
      <c r="E1137" s="34" t="n">
        <v>118.46</v>
      </c>
      <c r="F1137" s="34" t="n">
        <v>192.12</v>
      </c>
      <c r="G1137" s="34" t="n">
        <v>160.41</v>
      </c>
      <c r="H1137" s="34" t="n">
        <v>103</v>
      </c>
      <c r="I1137" s="34" t="n">
        <v>62.39</v>
      </c>
      <c r="J1137" s="34" t="n">
        <v>67.11</v>
      </c>
      <c r="K1137" s="34" t="n">
        <v>217.94</v>
      </c>
      <c r="L1137" s="34" t="n">
        <f aca="false">AVERAGE(C1137:E1137)</f>
        <v>35.0966666666667</v>
      </c>
      <c r="M1137" s="34" t="n">
        <f aca="false">AVERAGE(C1137:J1137)</f>
        <v>86.29</v>
      </c>
    </row>
    <row r="1138" customFormat="false" ht="15" hidden="false" customHeight="true" outlineLevel="0" collapsed="false">
      <c r="A1138" s="34" t="s">
        <v>1383</v>
      </c>
      <c r="B1138" s="34" t="n">
        <v>227.23</v>
      </c>
      <c r="C1138" s="34" t="n">
        <v>66.67</v>
      </c>
      <c r="D1138" s="34" t="n">
        <v>71.33</v>
      </c>
      <c r="E1138" s="34" t="n">
        <v>145.12</v>
      </c>
      <c r="F1138" s="34"/>
      <c r="G1138" s="34"/>
      <c r="H1138" s="34"/>
      <c r="I1138" s="34"/>
      <c r="J1138" s="34"/>
      <c r="K1138" s="34" t="n">
        <v>239.51</v>
      </c>
      <c r="L1138" s="34" t="n">
        <f aca="false">AVERAGE(C1138:E1138)</f>
        <v>94.3733333333333</v>
      </c>
      <c r="M1138" s="34" t="n">
        <f aca="false">AVERAGE(C1138:J1138)</f>
        <v>94.3733333333333</v>
      </c>
    </row>
    <row r="1139" customFormat="false" ht="15" hidden="false" customHeight="true" outlineLevel="0" collapsed="false">
      <c r="A1139" s="34" t="s">
        <v>1384</v>
      </c>
      <c r="B1139" s="34" t="n">
        <v>226.88</v>
      </c>
      <c r="C1139" s="34" t="n">
        <v>-66.67</v>
      </c>
      <c r="D1139" s="34" t="n">
        <v>-118.75</v>
      </c>
      <c r="E1139" s="34" t="n">
        <v>-64.74</v>
      </c>
      <c r="F1139" s="34" t="n">
        <v>22.69</v>
      </c>
      <c r="G1139" s="34" t="n">
        <v>73.8</v>
      </c>
      <c r="H1139" s="34" t="n">
        <v>108.1</v>
      </c>
      <c r="I1139" s="34" t="n">
        <v>133.87</v>
      </c>
      <c r="J1139" s="34" t="n">
        <v>120.63</v>
      </c>
      <c r="K1139" s="34" t="n">
        <v>216.36</v>
      </c>
      <c r="L1139" s="34" t="n">
        <f aca="false">AVERAGE(C1139:E1139)</f>
        <v>-83.3866666666667</v>
      </c>
      <c r="M1139" s="34" t="n">
        <f aca="false">AVERAGE(C1139:J1139)</f>
        <v>26.11625</v>
      </c>
    </row>
    <row r="1140" customFormat="false" ht="15" hidden="false" customHeight="true" outlineLevel="0" collapsed="false">
      <c r="A1140" s="34" t="s">
        <v>1385</v>
      </c>
      <c r="B1140" s="34" t="n">
        <v>226.51</v>
      </c>
      <c r="C1140" s="34" t="n">
        <v>-66.67</v>
      </c>
      <c r="D1140" s="34" t="n">
        <v>-69.9</v>
      </c>
      <c r="E1140" s="34" t="n">
        <v>3.17</v>
      </c>
      <c r="F1140" s="34" t="n">
        <v>-43.09</v>
      </c>
      <c r="G1140" s="34" t="n">
        <v>43.68</v>
      </c>
      <c r="H1140" s="34" t="n">
        <v>69.29</v>
      </c>
      <c r="I1140" s="34" t="n">
        <v>92.94</v>
      </c>
      <c r="J1140" s="34" t="n">
        <v>115.74</v>
      </c>
      <c r="K1140" s="34" t="n">
        <v>236.22</v>
      </c>
      <c r="L1140" s="34" t="n">
        <f aca="false">AVERAGE(C1140:E1140)</f>
        <v>-44.4666666666667</v>
      </c>
      <c r="M1140" s="34" t="n">
        <f aca="false">AVERAGE(C1140:J1140)</f>
        <v>18.145</v>
      </c>
    </row>
    <row r="1141" customFormat="false" ht="15" hidden="false" customHeight="true" outlineLevel="0" collapsed="false">
      <c r="A1141" s="34" t="s">
        <v>1386</v>
      </c>
      <c r="B1141" s="34" t="n">
        <v>226.05</v>
      </c>
      <c r="C1141" s="34" t="n">
        <v>-66.67</v>
      </c>
      <c r="D1141" s="34" t="n">
        <v>-52.54</v>
      </c>
      <c r="E1141" s="34" t="n">
        <v>72.22</v>
      </c>
      <c r="F1141" s="34" t="n">
        <v>-14.53</v>
      </c>
      <c r="G1141" s="34" t="n">
        <v>-56.25</v>
      </c>
      <c r="H1141" s="34" t="n">
        <v>-14.05</v>
      </c>
      <c r="I1141" s="34" t="n">
        <v>2.57</v>
      </c>
      <c r="J1141" s="34" t="n">
        <v>-27.86</v>
      </c>
      <c r="K1141" s="34" t="n">
        <v>212.06</v>
      </c>
      <c r="L1141" s="34" t="n">
        <f aca="false">AVERAGE(C1141:E1141)</f>
        <v>-15.6633333333333</v>
      </c>
      <c r="M1141" s="34" t="n">
        <f aca="false">AVERAGE(C1141:J1141)</f>
        <v>-19.63875</v>
      </c>
    </row>
    <row r="1142" customFormat="false" ht="15" hidden="false" customHeight="true" outlineLevel="0" collapsed="false">
      <c r="A1142" s="34" t="s">
        <v>1387</v>
      </c>
      <c r="B1142" s="34" t="n">
        <v>226</v>
      </c>
      <c r="C1142" s="34" t="n">
        <v>-66.67</v>
      </c>
      <c r="D1142" s="34" t="n">
        <v>-90.36</v>
      </c>
      <c r="E1142" s="34" t="n">
        <v>-46.16</v>
      </c>
      <c r="F1142" s="34" t="n">
        <v>-79.31</v>
      </c>
      <c r="G1142" s="34" t="n">
        <v>-61.76</v>
      </c>
      <c r="H1142" s="34" t="n">
        <v>31.86</v>
      </c>
      <c r="I1142" s="34" t="n">
        <v>51.2</v>
      </c>
      <c r="J1142" s="34" t="n">
        <v>59.69</v>
      </c>
      <c r="K1142" s="34" t="n">
        <v>240.87</v>
      </c>
      <c r="L1142" s="34" t="n">
        <f aca="false">AVERAGE(C1142:E1142)</f>
        <v>-67.73</v>
      </c>
      <c r="M1142" s="34" t="n">
        <f aca="false">AVERAGE(C1142:J1142)</f>
        <v>-25.18875</v>
      </c>
    </row>
    <row r="1143" customFormat="false" ht="15" hidden="false" customHeight="true" outlineLevel="0" collapsed="false">
      <c r="A1143" s="34" t="s">
        <v>1388</v>
      </c>
      <c r="B1143" s="34" t="n">
        <v>225.78</v>
      </c>
      <c r="C1143" s="34" t="n">
        <v>-66.67</v>
      </c>
      <c r="D1143" s="34" t="n">
        <v>-110.26</v>
      </c>
      <c r="E1143" s="34" t="n">
        <v>-72.24</v>
      </c>
      <c r="F1143" s="34" t="n">
        <v>-111.49</v>
      </c>
      <c r="G1143" s="34" t="n">
        <v>-101.59</v>
      </c>
      <c r="H1143" s="34" t="n">
        <v>-24.15</v>
      </c>
      <c r="I1143" s="34" t="n">
        <v>-4.64</v>
      </c>
      <c r="J1143" s="34" t="n">
        <v>-8.94</v>
      </c>
      <c r="K1143" s="34" t="n">
        <v>247.58</v>
      </c>
      <c r="L1143" s="34" t="n">
        <f aca="false">AVERAGE(C1143:E1143)</f>
        <v>-83.0566666666667</v>
      </c>
      <c r="M1143" s="34" t="n">
        <f aca="false">AVERAGE(C1143:J1143)</f>
        <v>-62.4975</v>
      </c>
    </row>
    <row r="1144" customFormat="false" ht="15" hidden="false" customHeight="true" outlineLevel="0" collapsed="false">
      <c r="A1144" s="34" t="s">
        <v>1389</v>
      </c>
      <c r="B1144" s="34" t="n">
        <v>225.73</v>
      </c>
      <c r="C1144" s="34" t="n">
        <v>-66.67</v>
      </c>
      <c r="D1144" s="34" t="n">
        <v>26.55</v>
      </c>
      <c r="E1144" s="34" t="n">
        <v>93.89</v>
      </c>
      <c r="F1144" s="34" t="n">
        <v>186.94</v>
      </c>
      <c r="G1144" s="34" t="n">
        <v>154.84</v>
      </c>
      <c r="H1144" s="34" t="n">
        <v>180.65</v>
      </c>
      <c r="I1144" s="34" t="n">
        <v>204.26</v>
      </c>
      <c r="J1144" s="34" t="n">
        <v>167.14</v>
      </c>
      <c r="K1144" s="34" t="n">
        <v>214.62</v>
      </c>
      <c r="L1144" s="34" t="n">
        <f aca="false">AVERAGE(C1144:E1144)</f>
        <v>17.9233333333333</v>
      </c>
      <c r="M1144" s="34" t="n">
        <f aca="false">AVERAGE(C1144:J1144)</f>
        <v>118.45</v>
      </c>
    </row>
    <row r="1145" customFormat="false" ht="15" hidden="false" customHeight="true" outlineLevel="0" collapsed="false">
      <c r="A1145" s="34" t="s">
        <v>1390</v>
      </c>
      <c r="B1145" s="34" t="n">
        <v>225.69</v>
      </c>
      <c r="C1145" s="34" t="n">
        <v>-66.67</v>
      </c>
      <c r="D1145" s="34" t="n">
        <v>50.9</v>
      </c>
      <c r="E1145" s="34" t="n">
        <v>60.52</v>
      </c>
      <c r="F1145" s="34" t="n">
        <v>76.34</v>
      </c>
      <c r="G1145" s="34" t="n">
        <v>106.32</v>
      </c>
      <c r="H1145" s="34" t="n">
        <v>78</v>
      </c>
      <c r="I1145" s="34" t="n">
        <v>85.89</v>
      </c>
      <c r="J1145" s="34" t="n">
        <v>103.18</v>
      </c>
      <c r="K1145" s="34" t="n">
        <v>233.46</v>
      </c>
      <c r="L1145" s="34" t="n">
        <f aca="false">AVERAGE(C1145:E1145)</f>
        <v>14.9166666666667</v>
      </c>
      <c r="M1145" s="34" t="n">
        <f aca="false">AVERAGE(C1145:J1145)</f>
        <v>61.81</v>
      </c>
    </row>
    <row r="1146" customFormat="false" ht="15" hidden="false" customHeight="true" outlineLevel="0" collapsed="false">
      <c r="A1146" s="34" t="s">
        <v>243</v>
      </c>
      <c r="B1146" s="34" t="n">
        <v>224.94</v>
      </c>
      <c r="C1146" s="34" t="n">
        <v>66.67</v>
      </c>
      <c r="D1146" s="34" t="n">
        <v>39.54</v>
      </c>
      <c r="E1146" s="34" t="n">
        <v>82.2</v>
      </c>
      <c r="F1146" s="34" t="n">
        <v>156.07</v>
      </c>
      <c r="G1146" s="34" t="n">
        <v>156.24</v>
      </c>
      <c r="H1146" s="34" t="n">
        <v>182.86</v>
      </c>
      <c r="I1146" s="34" t="n">
        <v>149.13</v>
      </c>
      <c r="J1146" s="34" t="n">
        <v>144.74</v>
      </c>
      <c r="K1146" s="34" t="n">
        <v>213.76</v>
      </c>
      <c r="L1146" s="34" t="n">
        <f aca="false">AVERAGE(C1146:E1146)</f>
        <v>62.8033333333333</v>
      </c>
      <c r="M1146" s="34" t="n">
        <f aca="false">AVERAGE(C1146:J1146)</f>
        <v>122.18125</v>
      </c>
    </row>
    <row r="1147" customFormat="false" ht="15" hidden="false" customHeight="true" outlineLevel="0" collapsed="false">
      <c r="A1147" s="34" t="s">
        <v>1391</v>
      </c>
      <c r="B1147" s="34" t="n">
        <v>224.39</v>
      </c>
      <c r="C1147" s="34" t="n">
        <v>-66.67</v>
      </c>
      <c r="D1147" s="34" t="n">
        <v>59.62</v>
      </c>
      <c r="E1147" s="34" t="n">
        <v>-48.03</v>
      </c>
      <c r="F1147" s="34" t="n">
        <v>-108.26</v>
      </c>
      <c r="G1147" s="34" t="n">
        <v>-123.81</v>
      </c>
      <c r="H1147" s="34" t="n">
        <v>-138.04</v>
      </c>
      <c r="I1147" s="34" t="n">
        <v>-155.39</v>
      </c>
      <c r="J1147" s="34" t="n">
        <v>-116.65</v>
      </c>
      <c r="K1147" s="34" t="n">
        <v>244.27</v>
      </c>
      <c r="L1147" s="34" t="n">
        <f aca="false">AVERAGE(C1147:E1147)</f>
        <v>-18.36</v>
      </c>
      <c r="M1147" s="34" t="n">
        <f aca="false">AVERAGE(C1147:J1147)</f>
        <v>-87.15375</v>
      </c>
    </row>
    <row r="1148" customFormat="false" ht="15" hidden="false" customHeight="true" outlineLevel="0" collapsed="false">
      <c r="A1148" s="34" t="s">
        <v>1392</v>
      </c>
      <c r="B1148" s="34" t="n">
        <v>224.2</v>
      </c>
      <c r="C1148" s="34" t="n">
        <v>-66.67</v>
      </c>
      <c r="D1148" s="34" t="n">
        <v>52.6</v>
      </c>
      <c r="E1148" s="34" t="n">
        <v>-2.89</v>
      </c>
      <c r="F1148" s="34" t="n">
        <v>-83.25</v>
      </c>
      <c r="G1148" s="34" t="n">
        <v>-115.97</v>
      </c>
      <c r="H1148" s="34" t="n">
        <v>-24.53</v>
      </c>
      <c r="I1148" s="34" t="n">
        <v>19.24</v>
      </c>
      <c r="J1148" s="34" t="n">
        <v>30.08</v>
      </c>
      <c r="K1148" s="34" t="n">
        <v>233.64</v>
      </c>
      <c r="L1148" s="34" t="n">
        <f aca="false">AVERAGE(C1148:E1148)</f>
        <v>-5.65333333333333</v>
      </c>
      <c r="M1148" s="34" t="n">
        <f aca="false">AVERAGE(C1148:J1148)</f>
        <v>-23.92375</v>
      </c>
    </row>
    <row r="1149" customFormat="false" ht="15" hidden="false" customHeight="true" outlineLevel="0" collapsed="false">
      <c r="A1149" s="34" t="s">
        <v>1393</v>
      </c>
      <c r="B1149" s="34" t="n">
        <v>224.11</v>
      </c>
      <c r="C1149" s="34" t="n">
        <v>-66.67</v>
      </c>
      <c r="D1149" s="34" t="n">
        <v>59.33</v>
      </c>
      <c r="E1149" s="34" t="n">
        <v>128.79</v>
      </c>
      <c r="F1149" s="34" t="n">
        <v>163.85</v>
      </c>
      <c r="G1149" s="34" t="n">
        <v>211.89</v>
      </c>
      <c r="H1149" s="34" t="n">
        <v>161.33</v>
      </c>
      <c r="I1149" s="34" t="n">
        <v>105.72</v>
      </c>
      <c r="J1149" s="34" t="n">
        <v>111.14</v>
      </c>
      <c r="K1149" s="34" t="n">
        <v>215.55</v>
      </c>
      <c r="L1149" s="34" t="n">
        <f aca="false">AVERAGE(C1149:E1149)</f>
        <v>40.4833333333333</v>
      </c>
      <c r="M1149" s="34" t="n">
        <f aca="false">AVERAGE(C1149:J1149)</f>
        <v>109.4225</v>
      </c>
    </row>
    <row r="1150" customFormat="false" ht="15" hidden="false" customHeight="true" outlineLevel="0" collapsed="false">
      <c r="A1150" s="34" t="s">
        <v>1394</v>
      </c>
      <c r="B1150" s="34" t="n">
        <v>224.08</v>
      </c>
      <c r="C1150" s="34" t="n">
        <v>-66.67</v>
      </c>
      <c r="D1150" s="34" t="n">
        <v>24.52</v>
      </c>
      <c r="E1150" s="34" t="n">
        <v>90.32</v>
      </c>
      <c r="F1150" s="34" t="n">
        <v>-25.55</v>
      </c>
      <c r="G1150" s="34" t="n">
        <v>-81.03</v>
      </c>
      <c r="H1150" s="34" t="n">
        <v>-51.15</v>
      </c>
      <c r="I1150" s="34" t="n">
        <v>-36.67</v>
      </c>
      <c r="J1150" s="34" t="n">
        <v>-53.42</v>
      </c>
      <c r="K1150" s="34" t="n">
        <v>229.24</v>
      </c>
      <c r="L1150" s="34" t="n">
        <f aca="false">AVERAGE(C1150:E1150)</f>
        <v>16.0566666666667</v>
      </c>
      <c r="M1150" s="34" t="n">
        <f aca="false">AVERAGE(C1150:J1150)</f>
        <v>-24.95625</v>
      </c>
    </row>
    <row r="1151" customFormat="false" ht="15" hidden="false" customHeight="true" outlineLevel="0" collapsed="false">
      <c r="A1151" s="34" t="s">
        <v>1395</v>
      </c>
      <c r="B1151" s="34" t="n">
        <v>223.66</v>
      </c>
      <c r="C1151" s="34" t="n">
        <v>66.67</v>
      </c>
      <c r="D1151" s="34" t="n">
        <v>133.33</v>
      </c>
      <c r="E1151" s="34" t="n">
        <v>188.96</v>
      </c>
      <c r="F1151" s="34" t="n">
        <v>77.11</v>
      </c>
      <c r="G1151" s="34" t="n">
        <v>71.03</v>
      </c>
      <c r="H1151" s="34" t="n">
        <v>96.32</v>
      </c>
      <c r="I1151" s="34" t="n">
        <v>116.92</v>
      </c>
      <c r="J1151" s="34" t="n">
        <v>38.05</v>
      </c>
      <c r="K1151" s="34" t="n">
        <v>191.48</v>
      </c>
      <c r="L1151" s="34" t="n">
        <f aca="false">AVERAGE(C1151:E1151)</f>
        <v>129.653333333333</v>
      </c>
      <c r="M1151" s="34" t="n">
        <f aca="false">AVERAGE(C1151:J1151)</f>
        <v>98.54875</v>
      </c>
    </row>
    <row r="1152" customFormat="false" ht="15" hidden="false" customHeight="true" outlineLevel="0" collapsed="false">
      <c r="A1152" s="34" t="s">
        <v>1396</v>
      </c>
      <c r="B1152" s="34" t="n">
        <v>222.7</v>
      </c>
      <c r="C1152" s="34" t="n">
        <v>-66.67</v>
      </c>
      <c r="D1152" s="34" t="n">
        <v>-86.45</v>
      </c>
      <c r="E1152" s="34" t="n">
        <v>-22.99</v>
      </c>
      <c r="F1152" s="34" t="n">
        <v>-32.59</v>
      </c>
      <c r="G1152" s="34" t="n">
        <v>4.39</v>
      </c>
      <c r="H1152" s="34" t="n">
        <v>34.5</v>
      </c>
      <c r="I1152" s="34" t="n">
        <v>34.46</v>
      </c>
      <c r="J1152" s="34" t="n">
        <v>-7.44</v>
      </c>
      <c r="K1152" s="34" t="n">
        <v>251.08</v>
      </c>
      <c r="L1152" s="34" t="n">
        <f aca="false">AVERAGE(C1152:E1152)</f>
        <v>-58.7033333333333</v>
      </c>
      <c r="M1152" s="34" t="n">
        <f aca="false">AVERAGE(C1152:J1152)</f>
        <v>-17.84875</v>
      </c>
    </row>
    <row r="1153" customFormat="false" ht="15" hidden="false" customHeight="true" outlineLevel="0" collapsed="false">
      <c r="A1153" s="34" t="s">
        <v>118</v>
      </c>
      <c r="B1153" s="34" t="n">
        <v>222.7</v>
      </c>
      <c r="C1153" s="34" t="n">
        <v>66.67</v>
      </c>
      <c r="D1153" s="34" t="n">
        <v>96.08</v>
      </c>
      <c r="E1153" s="34" t="n">
        <v>115.4</v>
      </c>
      <c r="F1153" s="34" t="n">
        <v>242.04</v>
      </c>
      <c r="G1153" s="34" t="n">
        <v>183.32</v>
      </c>
      <c r="H1153" s="34" t="n">
        <v>146.34</v>
      </c>
      <c r="I1153" s="34" t="n">
        <v>139.16</v>
      </c>
      <c r="J1153" s="34" t="n">
        <v>148.48</v>
      </c>
      <c r="K1153" s="34" t="n">
        <v>212</v>
      </c>
      <c r="L1153" s="34" t="n">
        <f aca="false">AVERAGE(C1153:E1153)</f>
        <v>92.7166666666667</v>
      </c>
      <c r="M1153" s="34" t="n">
        <f aca="false">AVERAGE(C1153:J1153)</f>
        <v>142.18625</v>
      </c>
    </row>
    <row r="1154" customFormat="false" ht="15" hidden="false" customHeight="true" outlineLevel="0" collapsed="false">
      <c r="A1154" s="34" t="s">
        <v>1397</v>
      </c>
      <c r="B1154" s="34" t="n">
        <v>221.47</v>
      </c>
      <c r="C1154" s="34" t="n">
        <v>-66.67</v>
      </c>
      <c r="D1154" s="34" t="n">
        <v>-89.47</v>
      </c>
      <c r="E1154" s="34" t="n">
        <v>-106.25</v>
      </c>
      <c r="F1154" s="34" t="n">
        <v>-78.02</v>
      </c>
      <c r="G1154" s="34" t="n">
        <v>12.51</v>
      </c>
      <c r="H1154" s="34" t="n">
        <v>27.22</v>
      </c>
      <c r="I1154" s="34" t="n">
        <v>35.17</v>
      </c>
      <c r="J1154" s="34" t="n">
        <v>16.06</v>
      </c>
      <c r="K1154" s="34" t="n">
        <v>248.3</v>
      </c>
      <c r="L1154" s="34" t="n">
        <f aca="false">AVERAGE(C1154:E1154)</f>
        <v>-87.4633333333333</v>
      </c>
      <c r="M1154" s="34" t="n">
        <f aca="false">AVERAGE(C1154:J1154)</f>
        <v>-31.18125</v>
      </c>
    </row>
    <row r="1155" customFormat="false" ht="15" hidden="false" customHeight="true" outlineLevel="0" collapsed="false">
      <c r="A1155" s="34" t="s">
        <v>1398</v>
      </c>
      <c r="B1155" s="34" t="n">
        <v>221.21</v>
      </c>
      <c r="C1155" s="34" t="n">
        <v>66.67</v>
      </c>
      <c r="D1155" s="34" t="n">
        <v>-19.9</v>
      </c>
      <c r="E1155" s="34" t="n">
        <v>16.98</v>
      </c>
      <c r="F1155" s="34" t="n">
        <v>33.78</v>
      </c>
      <c r="G1155" s="34" t="n">
        <v>34.09</v>
      </c>
      <c r="H1155" s="34" t="n">
        <v>-4.39</v>
      </c>
      <c r="I1155" s="34" t="n">
        <v>8.84</v>
      </c>
      <c r="J1155" s="34" t="n">
        <v>-1.96</v>
      </c>
      <c r="K1155" s="34" t="n">
        <v>213.24</v>
      </c>
      <c r="L1155" s="34" t="n">
        <f aca="false">AVERAGE(C1155:E1155)</f>
        <v>21.25</v>
      </c>
      <c r="M1155" s="34" t="n">
        <f aca="false">AVERAGE(C1155:J1155)</f>
        <v>16.76375</v>
      </c>
    </row>
    <row r="1156" customFormat="false" ht="15" hidden="false" customHeight="true" outlineLevel="0" collapsed="false">
      <c r="A1156" s="34" t="s">
        <v>1399</v>
      </c>
      <c r="B1156" s="34" t="n">
        <v>220.5</v>
      </c>
      <c r="C1156" s="34" t="n">
        <v>-66.67</v>
      </c>
      <c r="D1156" s="34" t="n">
        <v>-54.84</v>
      </c>
      <c r="E1156" s="34" t="n">
        <v>-19.49</v>
      </c>
      <c r="F1156" s="34" t="n">
        <v>-32.55</v>
      </c>
      <c r="G1156" s="34" t="n">
        <v>-53.31</v>
      </c>
      <c r="H1156" s="34" t="n">
        <v>3.01</v>
      </c>
      <c r="I1156" s="34" t="n">
        <v>31.31</v>
      </c>
      <c r="J1156" s="34" t="n">
        <v>36.18</v>
      </c>
      <c r="K1156" s="34" t="n">
        <v>233.22</v>
      </c>
      <c r="L1156" s="34" t="n">
        <f aca="false">AVERAGE(C1156:E1156)</f>
        <v>-47</v>
      </c>
      <c r="M1156" s="34" t="n">
        <f aca="false">AVERAGE(C1156:J1156)</f>
        <v>-19.545</v>
      </c>
    </row>
    <row r="1157" customFormat="false" ht="15" hidden="false" customHeight="true" outlineLevel="0" collapsed="false">
      <c r="A1157" s="34" t="s">
        <v>1400</v>
      </c>
      <c r="B1157" s="34" t="n">
        <v>220.12</v>
      </c>
      <c r="C1157" s="34" t="n">
        <v>66.67</v>
      </c>
      <c r="D1157" s="34" t="n">
        <v>86.47</v>
      </c>
      <c r="E1157" s="34" t="n">
        <v>59.97</v>
      </c>
      <c r="F1157" s="34" t="n">
        <v>69.43</v>
      </c>
      <c r="G1157" s="34" t="n">
        <v>115.29</v>
      </c>
      <c r="H1157" s="34" t="n">
        <v>153.78</v>
      </c>
      <c r="I1157" s="34" t="n">
        <v>143.06</v>
      </c>
      <c r="J1157" s="34" t="n">
        <v>149.8</v>
      </c>
      <c r="K1157" s="34" t="n">
        <v>224.92</v>
      </c>
      <c r="L1157" s="34" t="n">
        <f aca="false">AVERAGE(C1157:E1157)</f>
        <v>71.0366666666667</v>
      </c>
      <c r="M1157" s="34" t="n">
        <f aca="false">AVERAGE(C1157:J1157)</f>
        <v>105.55875</v>
      </c>
    </row>
    <row r="1158" customFormat="false" ht="15" hidden="false" customHeight="true" outlineLevel="0" collapsed="false">
      <c r="A1158" s="34" t="s">
        <v>1401</v>
      </c>
      <c r="B1158" s="34" t="n">
        <v>219.5</v>
      </c>
      <c r="C1158" s="34" t="n">
        <v>66.67</v>
      </c>
      <c r="D1158" s="34" t="n">
        <v>88.58</v>
      </c>
      <c r="E1158" s="34" t="n">
        <v>175.67</v>
      </c>
      <c r="F1158" s="34" t="n">
        <v>76.94</v>
      </c>
      <c r="G1158" s="34" t="n">
        <v>107.64</v>
      </c>
      <c r="H1158" s="34" t="n">
        <v>106.5</v>
      </c>
      <c r="I1158" s="34" t="n">
        <v>135.72</v>
      </c>
      <c r="J1158" s="34" t="n">
        <v>47.14</v>
      </c>
      <c r="K1158" s="34" t="n">
        <v>224.05</v>
      </c>
      <c r="L1158" s="34" t="n">
        <f aca="false">AVERAGE(C1158:E1158)</f>
        <v>110.306666666667</v>
      </c>
      <c r="M1158" s="34" t="n">
        <f aca="false">AVERAGE(C1158:J1158)</f>
        <v>100.6075</v>
      </c>
    </row>
    <row r="1159" customFormat="false" ht="15" hidden="false" customHeight="true" outlineLevel="0" collapsed="false">
      <c r="A1159" s="34" t="s">
        <v>107</v>
      </c>
      <c r="B1159" s="34" t="n">
        <v>218.59</v>
      </c>
      <c r="C1159" s="34" t="n">
        <v>-66.67</v>
      </c>
      <c r="D1159" s="34" t="n">
        <v>-73.83</v>
      </c>
      <c r="E1159" s="34" t="n">
        <v>-97.06</v>
      </c>
      <c r="F1159" s="34" t="n">
        <v>-107.22</v>
      </c>
      <c r="G1159" s="34" t="n">
        <v>-165.56</v>
      </c>
      <c r="H1159" s="34" t="n">
        <v>-126.8</v>
      </c>
      <c r="I1159" s="34" t="n">
        <v>-53.07</v>
      </c>
      <c r="J1159" s="34" t="n">
        <v>-27.88</v>
      </c>
      <c r="K1159" s="34" t="n">
        <v>230.21</v>
      </c>
      <c r="L1159" s="34" t="n">
        <f aca="false">AVERAGE(C1159:E1159)</f>
        <v>-79.1866666666667</v>
      </c>
      <c r="M1159" s="34" t="n">
        <f aca="false">AVERAGE(C1159:J1159)</f>
        <v>-89.76125</v>
      </c>
    </row>
    <row r="1160" customFormat="false" ht="15" hidden="false" customHeight="true" outlineLevel="0" collapsed="false">
      <c r="A1160" s="34" t="s">
        <v>1402</v>
      </c>
      <c r="B1160" s="34" t="n">
        <v>218.42</v>
      </c>
      <c r="C1160" s="34" t="n">
        <v>66.67</v>
      </c>
      <c r="D1160" s="34" t="n">
        <v>83.61</v>
      </c>
      <c r="E1160" s="34" t="n">
        <v>104.16</v>
      </c>
      <c r="F1160" s="34" t="n">
        <v>-2.67</v>
      </c>
      <c r="G1160" s="34" t="n">
        <v>31.72</v>
      </c>
      <c r="H1160" s="34" t="n">
        <v>66.85</v>
      </c>
      <c r="I1160" s="34" t="n">
        <v>79.22</v>
      </c>
      <c r="J1160" s="34" t="n">
        <v>87.87</v>
      </c>
      <c r="K1160" s="34" t="n">
        <v>220.64</v>
      </c>
      <c r="L1160" s="34" t="n">
        <f aca="false">AVERAGE(C1160:E1160)</f>
        <v>84.8133333333333</v>
      </c>
      <c r="M1160" s="34" t="n">
        <f aca="false">AVERAGE(C1160:J1160)</f>
        <v>64.67875</v>
      </c>
    </row>
    <row r="1161" customFormat="false" ht="15" hidden="false" customHeight="true" outlineLevel="0" collapsed="false">
      <c r="A1161" s="34" t="s">
        <v>1403</v>
      </c>
      <c r="B1161" s="34" t="n">
        <v>217.24</v>
      </c>
      <c r="C1161" s="34" t="n">
        <v>-66.67</v>
      </c>
      <c r="D1161" s="34" t="n">
        <v>-47.68</v>
      </c>
      <c r="E1161" s="34" t="n">
        <v>-69.22</v>
      </c>
      <c r="F1161" s="34" t="n">
        <v>31.36</v>
      </c>
      <c r="G1161" s="34" t="n">
        <v>18.54</v>
      </c>
      <c r="H1161" s="34" t="n">
        <v>51.98</v>
      </c>
      <c r="I1161" s="34" t="n">
        <v>69.78</v>
      </c>
      <c r="J1161" s="34" t="n">
        <v>11.58</v>
      </c>
      <c r="K1161" s="34" t="n">
        <v>208.3</v>
      </c>
      <c r="L1161" s="34" t="n">
        <f aca="false">AVERAGE(C1161:E1161)</f>
        <v>-61.19</v>
      </c>
      <c r="M1161" s="34" t="n">
        <f aca="false">AVERAGE(C1161:J1161)</f>
        <v>-0.0412499999999998</v>
      </c>
    </row>
    <row r="1162" customFormat="false" ht="15" hidden="false" customHeight="true" outlineLevel="0" collapsed="false">
      <c r="A1162" s="34" t="s">
        <v>1404</v>
      </c>
      <c r="B1162" s="34" t="n">
        <v>217.18</v>
      </c>
      <c r="C1162" s="34" t="n">
        <v>66.67</v>
      </c>
      <c r="D1162" s="34" t="n">
        <v>133.33</v>
      </c>
      <c r="E1162" s="34" t="n">
        <v>263</v>
      </c>
      <c r="F1162" s="34"/>
      <c r="G1162" s="34"/>
      <c r="H1162" s="34"/>
      <c r="I1162" s="34"/>
      <c r="J1162" s="34"/>
      <c r="K1162" s="34" t="n">
        <v>170.98</v>
      </c>
      <c r="L1162" s="34" t="n">
        <f aca="false">AVERAGE(C1162:E1162)</f>
        <v>154.333333333333</v>
      </c>
      <c r="M1162" s="34" t="n">
        <f aca="false">AVERAGE(C1162:J1162)</f>
        <v>154.333333333333</v>
      </c>
    </row>
    <row r="1163" customFormat="false" ht="15" hidden="false" customHeight="true" outlineLevel="0" collapsed="false">
      <c r="A1163" s="34" t="s">
        <v>1405</v>
      </c>
      <c r="B1163" s="34" t="n">
        <v>217</v>
      </c>
      <c r="C1163" s="34" t="n">
        <v>-66.67</v>
      </c>
      <c r="D1163" s="34" t="n">
        <v>-123.92</v>
      </c>
      <c r="E1163" s="34" t="n">
        <v>-63.67</v>
      </c>
      <c r="F1163" s="34" t="n">
        <v>-90</v>
      </c>
      <c r="G1163" s="34" t="n">
        <v>-140.86</v>
      </c>
      <c r="H1163" s="34" t="n">
        <v>-123.98</v>
      </c>
      <c r="I1163" s="34" t="n">
        <v>-92.52</v>
      </c>
      <c r="J1163" s="34" t="n">
        <v>-96.48</v>
      </c>
      <c r="K1163" s="34" t="n">
        <v>229.64</v>
      </c>
      <c r="L1163" s="34" t="n">
        <f aca="false">AVERAGE(C1163:E1163)</f>
        <v>-84.7533333333333</v>
      </c>
      <c r="M1163" s="34" t="n">
        <f aca="false">AVERAGE(C1163:J1163)</f>
        <v>-99.7625</v>
      </c>
    </row>
    <row r="1164" customFormat="false" ht="15" hidden="false" customHeight="true" outlineLevel="0" collapsed="false">
      <c r="A1164" s="34" t="s">
        <v>223</v>
      </c>
      <c r="B1164" s="34" t="n">
        <v>216.96</v>
      </c>
      <c r="C1164" s="34" t="n">
        <v>-66.67</v>
      </c>
      <c r="D1164" s="34" t="n">
        <v>-125.86</v>
      </c>
      <c r="E1164" s="34" t="n">
        <v>-146.95</v>
      </c>
      <c r="F1164" s="34" t="n">
        <v>-70.36</v>
      </c>
      <c r="G1164" s="34" t="n">
        <v>-101.97</v>
      </c>
      <c r="H1164" s="34" t="n">
        <v>-74.58</v>
      </c>
      <c r="I1164" s="34" t="n">
        <v>0.742</v>
      </c>
      <c r="J1164" s="34" t="n">
        <v>-1.27</v>
      </c>
      <c r="K1164" s="34" t="n">
        <v>210.58</v>
      </c>
      <c r="L1164" s="34" t="n">
        <f aca="false">AVERAGE(C1164:E1164)</f>
        <v>-113.16</v>
      </c>
      <c r="M1164" s="34" t="n">
        <f aca="false">AVERAGE(C1164:J1164)</f>
        <v>-73.36475</v>
      </c>
    </row>
    <row r="1165" customFormat="false" ht="15" hidden="false" customHeight="true" outlineLevel="0" collapsed="false">
      <c r="A1165" s="34" t="s">
        <v>1406</v>
      </c>
      <c r="B1165" s="34" t="n">
        <v>216.9</v>
      </c>
      <c r="C1165" s="34" t="n">
        <v>-66.67</v>
      </c>
      <c r="D1165" s="34" t="n">
        <v>-95.59</v>
      </c>
      <c r="E1165" s="34" t="n">
        <v>-152.39</v>
      </c>
      <c r="F1165" s="34" t="n">
        <v>-101.11</v>
      </c>
      <c r="G1165" s="34" t="n">
        <v>-104.58</v>
      </c>
      <c r="H1165" s="34"/>
      <c r="I1165" s="34"/>
      <c r="J1165" s="34"/>
      <c r="K1165" s="34" t="n">
        <v>227.15</v>
      </c>
      <c r="L1165" s="34" t="n">
        <f aca="false">AVERAGE(C1165:E1165)</f>
        <v>-104.883333333333</v>
      </c>
      <c r="M1165" s="34" t="n">
        <f aca="false">AVERAGE(C1165:J1165)</f>
        <v>-104.068</v>
      </c>
    </row>
    <row r="1166" customFormat="false" ht="15" hidden="false" customHeight="true" outlineLevel="0" collapsed="false">
      <c r="A1166" s="34" t="s">
        <v>1407</v>
      </c>
      <c r="B1166" s="34" t="n">
        <v>216.45</v>
      </c>
      <c r="C1166" s="34" t="n">
        <v>-66.67</v>
      </c>
      <c r="D1166" s="34" t="n">
        <v>-133.33</v>
      </c>
      <c r="E1166" s="34" t="n">
        <v>-16.7</v>
      </c>
      <c r="F1166" s="34" t="n">
        <v>-51.96</v>
      </c>
      <c r="G1166" s="34" t="n">
        <v>-48.15</v>
      </c>
      <c r="H1166" s="34" t="n">
        <v>-23.8</v>
      </c>
      <c r="I1166" s="34" t="n">
        <v>28.42</v>
      </c>
      <c r="J1166" s="34" t="n">
        <v>39.82</v>
      </c>
      <c r="K1166" s="34" t="n">
        <v>222.76</v>
      </c>
      <c r="L1166" s="34" t="n">
        <f aca="false">AVERAGE(C1166:E1166)</f>
        <v>-72.2333333333333</v>
      </c>
      <c r="M1166" s="34" t="n">
        <f aca="false">AVERAGE(C1166:J1166)</f>
        <v>-34.04625</v>
      </c>
    </row>
    <row r="1167" customFormat="false" ht="15" hidden="false" customHeight="true" outlineLevel="0" collapsed="false">
      <c r="A1167" s="34" t="s">
        <v>514</v>
      </c>
      <c r="B1167" s="34" t="n">
        <v>216.41</v>
      </c>
      <c r="C1167" s="34" t="n">
        <v>66.67</v>
      </c>
      <c r="D1167" s="34" t="n">
        <v>81.06</v>
      </c>
      <c r="E1167" s="34" t="n">
        <v>102.78</v>
      </c>
      <c r="F1167" s="34" t="n">
        <v>29.72</v>
      </c>
      <c r="G1167" s="34" t="n">
        <v>-2.14</v>
      </c>
      <c r="H1167" s="34" t="n">
        <v>48.56</v>
      </c>
      <c r="I1167" s="34" t="n">
        <v>63.99</v>
      </c>
      <c r="J1167" s="34" t="n">
        <v>75.22</v>
      </c>
      <c r="K1167" s="34" t="n">
        <v>204.72</v>
      </c>
      <c r="L1167" s="34" t="n">
        <f aca="false">AVERAGE(C1167:E1167)</f>
        <v>83.5033333333333</v>
      </c>
      <c r="M1167" s="34" t="n">
        <f aca="false">AVERAGE(C1167:J1167)</f>
        <v>58.2325</v>
      </c>
    </row>
    <row r="1168" customFormat="false" ht="15" hidden="false" customHeight="true" outlineLevel="0" collapsed="false">
      <c r="A1168" s="34" t="s">
        <v>1408</v>
      </c>
      <c r="B1168" s="34" t="n">
        <v>216.25</v>
      </c>
      <c r="C1168" s="34" t="n">
        <v>-66.67</v>
      </c>
      <c r="D1168" s="34" t="n">
        <v>-88.37</v>
      </c>
      <c r="E1168" s="34" t="n">
        <v>65.53</v>
      </c>
      <c r="F1168" s="34" t="n">
        <v>-65.97</v>
      </c>
      <c r="G1168" s="34" t="n">
        <v>-131.19</v>
      </c>
      <c r="H1168" s="34" t="n">
        <v>-111.94</v>
      </c>
      <c r="I1168" s="34" t="n">
        <v>-67.57</v>
      </c>
      <c r="J1168" s="34" t="n">
        <v>-60.17</v>
      </c>
      <c r="K1168" s="34" t="n">
        <v>222.31</v>
      </c>
      <c r="L1168" s="34" t="n">
        <f aca="false">AVERAGE(C1168:E1168)</f>
        <v>-29.8366666666667</v>
      </c>
      <c r="M1168" s="34" t="n">
        <f aca="false">AVERAGE(C1168:J1168)</f>
        <v>-65.79375</v>
      </c>
    </row>
    <row r="1169" customFormat="false" ht="15" hidden="false" customHeight="true" outlineLevel="0" collapsed="false">
      <c r="A1169" s="34" t="s">
        <v>1409</v>
      </c>
      <c r="B1169" s="34" t="n">
        <v>215</v>
      </c>
      <c r="C1169" s="34" t="n">
        <v>-66.67</v>
      </c>
      <c r="D1169" s="34" t="n">
        <v>-54.9</v>
      </c>
      <c r="E1169" s="34" t="n">
        <v>47.13</v>
      </c>
      <c r="F1169" s="34" t="n">
        <v>-40.79</v>
      </c>
      <c r="G1169" s="34" t="n">
        <v>-7.28</v>
      </c>
      <c r="H1169" s="34" t="n">
        <v>37.35</v>
      </c>
      <c r="I1169" s="34" t="n">
        <v>59.89</v>
      </c>
      <c r="J1169" s="34" t="n">
        <v>37.78</v>
      </c>
      <c r="K1169" s="34" t="n">
        <v>223.64</v>
      </c>
      <c r="L1169" s="34" t="n">
        <f aca="false">AVERAGE(C1169:E1169)</f>
        <v>-24.8133333333333</v>
      </c>
      <c r="M1169" s="34" t="n">
        <f aca="false">AVERAGE(C1169:J1169)</f>
        <v>1.56375</v>
      </c>
    </row>
    <row r="1170" customFormat="false" ht="15" hidden="false" customHeight="true" outlineLevel="0" collapsed="false">
      <c r="A1170" s="34" t="s">
        <v>1410</v>
      </c>
      <c r="B1170" s="34" t="n">
        <v>215</v>
      </c>
      <c r="C1170" s="34" t="n">
        <v>-66.67</v>
      </c>
      <c r="D1170" s="34" t="n">
        <v>-72.49</v>
      </c>
      <c r="E1170" s="34" t="n">
        <v>-12.75</v>
      </c>
      <c r="F1170" s="34" t="n">
        <v>-90.92</v>
      </c>
      <c r="G1170" s="34" t="n">
        <v>-114.49</v>
      </c>
      <c r="H1170" s="34" t="n">
        <v>-42.18</v>
      </c>
      <c r="I1170" s="34" t="n">
        <v>-12.55</v>
      </c>
      <c r="J1170" s="34" t="n">
        <v>-29.25</v>
      </c>
      <c r="K1170" s="34" t="n">
        <v>229.53</v>
      </c>
      <c r="L1170" s="34" t="n">
        <f aca="false">AVERAGE(C1170:E1170)</f>
        <v>-50.6366666666667</v>
      </c>
      <c r="M1170" s="34" t="n">
        <f aca="false">AVERAGE(C1170:J1170)</f>
        <v>-55.1625</v>
      </c>
    </row>
    <row r="1171" customFormat="false" ht="15" hidden="false" customHeight="true" outlineLevel="0" collapsed="false">
      <c r="A1171" s="34" t="s">
        <v>1411</v>
      </c>
      <c r="B1171" s="34" t="n">
        <v>214.5</v>
      </c>
      <c r="C1171" s="34" t="n">
        <v>66.67</v>
      </c>
      <c r="D1171" s="34" t="n">
        <v>133.33</v>
      </c>
      <c r="E1171" s="34" t="n">
        <v>124.04</v>
      </c>
      <c r="F1171" s="34" t="n">
        <v>-19.69</v>
      </c>
      <c r="G1171" s="34" t="n">
        <v>-71.32</v>
      </c>
      <c r="H1171" s="34" t="n">
        <v>-90.15</v>
      </c>
      <c r="I1171" s="34" t="n">
        <v>-52.44</v>
      </c>
      <c r="J1171" s="34" t="n">
        <v>-58.92</v>
      </c>
      <c r="K1171" s="34" t="n">
        <v>201.76</v>
      </c>
      <c r="L1171" s="34" t="n">
        <f aca="false">AVERAGE(C1171:E1171)</f>
        <v>108.013333333333</v>
      </c>
      <c r="M1171" s="34" t="n">
        <f aca="false">AVERAGE(C1171:J1171)</f>
        <v>3.94000000000001</v>
      </c>
    </row>
    <row r="1172" customFormat="false" ht="15" hidden="false" customHeight="true" outlineLevel="0" collapsed="false">
      <c r="A1172" s="34" t="s">
        <v>1412</v>
      </c>
      <c r="B1172" s="34" t="n">
        <v>214.25</v>
      </c>
      <c r="C1172" s="34" t="n">
        <v>66.67</v>
      </c>
      <c r="D1172" s="34" t="n">
        <v>71.29</v>
      </c>
      <c r="E1172" s="34" t="n">
        <v>-23.22</v>
      </c>
      <c r="F1172" s="34" t="n">
        <v>-101.09</v>
      </c>
      <c r="G1172" s="34" t="n">
        <v>-142.61</v>
      </c>
      <c r="H1172" s="34" t="n">
        <v>-45.99</v>
      </c>
      <c r="I1172" s="34" t="n">
        <v>-15.79</v>
      </c>
      <c r="J1172" s="34" t="n">
        <v>5.62</v>
      </c>
      <c r="K1172" s="34" t="n">
        <v>231.06</v>
      </c>
      <c r="L1172" s="34" t="n">
        <f aca="false">AVERAGE(C1172:E1172)</f>
        <v>38.2466666666667</v>
      </c>
      <c r="M1172" s="34" t="n">
        <f aca="false">AVERAGE(C1172:J1172)</f>
        <v>-23.14</v>
      </c>
    </row>
    <row r="1173" customFormat="false" ht="15" hidden="false" customHeight="true" outlineLevel="0" collapsed="false">
      <c r="A1173" s="34" t="s">
        <v>1413</v>
      </c>
      <c r="B1173" s="34" t="n">
        <v>214.19</v>
      </c>
      <c r="C1173" s="34" t="n">
        <v>-66.67</v>
      </c>
      <c r="D1173" s="34" t="n">
        <v>-76.91</v>
      </c>
      <c r="E1173" s="34" t="n">
        <v>-12.15</v>
      </c>
      <c r="F1173" s="34" t="n">
        <v>23.44</v>
      </c>
      <c r="G1173" s="34" t="n">
        <v>60.98</v>
      </c>
      <c r="H1173" s="34" t="n">
        <v>86.23</v>
      </c>
      <c r="I1173" s="34" t="n">
        <v>110.81</v>
      </c>
      <c r="J1173" s="34" t="n">
        <v>83.95</v>
      </c>
      <c r="K1173" s="34" t="n">
        <v>210.67</v>
      </c>
      <c r="L1173" s="34" t="n">
        <f aca="false">AVERAGE(C1173:E1173)</f>
        <v>-51.91</v>
      </c>
      <c r="M1173" s="34" t="n">
        <f aca="false">AVERAGE(C1173:J1173)</f>
        <v>26.21</v>
      </c>
    </row>
    <row r="1174" customFormat="false" ht="15" hidden="false" customHeight="true" outlineLevel="0" collapsed="false">
      <c r="A1174" s="34" t="s">
        <v>1414</v>
      </c>
      <c r="B1174" s="34" t="n">
        <v>213</v>
      </c>
      <c r="C1174" s="34" t="n">
        <v>-66.67</v>
      </c>
      <c r="D1174" s="34" t="n">
        <v>-133.33</v>
      </c>
      <c r="E1174" s="34" t="n">
        <v>-64.82</v>
      </c>
      <c r="F1174" s="34" t="n">
        <v>-99.08</v>
      </c>
      <c r="G1174" s="34" t="n">
        <v>-107.11</v>
      </c>
      <c r="H1174" s="34" t="n">
        <v>-95.26</v>
      </c>
      <c r="I1174" s="34" t="n">
        <v>-115.22</v>
      </c>
      <c r="J1174" s="34" t="n">
        <v>-111.16</v>
      </c>
      <c r="K1174" s="34" t="n">
        <v>233.52</v>
      </c>
      <c r="L1174" s="34" t="n">
        <f aca="false">AVERAGE(C1174:E1174)</f>
        <v>-88.2733333333333</v>
      </c>
      <c r="M1174" s="34" t="n">
        <f aca="false">AVERAGE(C1174:J1174)</f>
        <v>-99.08125</v>
      </c>
    </row>
    <row r="1175" customFormat="false" ht="15" hidden="false" customHeight="true" outlineLevel="0" collapsed="false">
      <c r="A1175" s="34" t="s">
        <v>1415</v>
      </c>
      <c r="B1175" s="34" t="n">
        <v>213</v>
      </c>
      <c r="C1175" s="34" t="n">
        <v>-66.67</v>
      </c>
      <c r="D1175" s="34" t="n">
        <v>-82.99</v>
      </c>
      <c r="E1175" s="34" t="n">
        <v>53.28</v>
      </c>
      <c r="F1175" s="34" t="n">
        <v>120.04</v>
      </c>
      <c r="G1175" s="34" t="n">
        <v>148.29</v>
      </c>
      <c r="H1175" s="34" t="n">
        <v>148.78</v>
      </c>
      <c r="I1175" s="34" t="n">
        <v>147.52</v>
      </c>
      <c r="J1175" s="34" t="n">
        <v>103.9</v>
      </c>
      <c r="K1175" s="34" t="n">
        <v>209.86</v>
      </c>
      <c r="L1175" s="34" t="n">
        <f aca="false">AVERAGE(C1175:E1175)</f>
        <v>-32.1266666666667</v>
      </c>
      <c r="M1175" s="34" t="n">
        <f aca="false">AVERAGE(C1175:J1175)</f>
        <v>71.51875</v>
      </c>
    </row>
    <row r="1176" customFormat="false" ht="15" hidden="false" customHeight="true" outlineLevel="0" collapsed="false">
      <c r="A1176" s="34" t="s">
        <v>212</v>
      </c>
      <c r="B1176" s="34" t="n">
        <v>211.84</v>
      </c>
      <c r="C1176" s="34" t="n">
        <v>-66.67</v>
      </c>
      <c r="D1176" s="34" t="n">
        <v>-99.42</v>
      </c>
      <c r="E1176" s="34" t="n">
        <v>64.69</v>
      </c>
      <c r="F1176" s="34" t="n">
        <v>-51.89</v>
      </c>
      <c r="G1176" s="34" t="n">
        <v>-95.79</v>
      </c>
      <c r="H1176" s="34" t="n">
        <v>-109.72</v>
      </c>
      <c r="I1176" s="34" t="n">
        <v>-23.99</v>
      </c>
      <c r="J1176" s="34" t="n">
        <v>-11.9</v>
      </c>
      <c r="K1176" s="34" t="n">
        <v>219.5</v>
      </c>
      <c r="L1176" s="34" t="n">
        <f aca="false">AVERAGE(C1176:E1176)</f>
        <v>-33.8</v>
      </c>
      <c r="M1176" s="34" t="n">
        <f aca="false">AVERAGE(C1176:J1176)</f>
        <v>-49.33625</v>
      </c>
    </row>
    <row r="1177" customFormat="false" ht="15" hidden="false" customHeight="true" outlineLevel="0" collapsed="false">
      <c r="A1177" s="34" t="s">
        <v>397</v>
      </c>
      <c r="B1177" s="34" t="n">
        <v>211.72</v>
      </c>
      <c r="C1177" s="34" t="n">
        <v>66.67</v>
      </c>
      <c r="D1177" s="34" t="n">
        <v>105.31</v>
      </c>
      <c r="E1177" s="34" t="n">
        <v>117.61</v>
      </c>
      <c r="F1177" s="34" t="n">
        <v>72</v>
      </c>
      <c r="G1177" s="34" t="n">
        <v>3.94</v>
      </c>
      <c r="H1177" s="34" t="n">
        <v>37.99</v>
      </c>
      <c r="I1177" s="34" t="n">
        <v>58.37</v>
      </c>
      <c r="J1177" s="34" t="n">
        <v>61.34</v>
      </c>
      <c r="K1177" s="34" t="n">
        <v>195.13</v>
      </c>
      <c r="L1177" s="34" t="n">
        <f aca="false">AVERAGE(C1177:E1177)</f>
        <v>96.53</v>
      </c>
      <c r="M1177" s="34" t="n">
        <f aca="false">AVERAGE(C1177:J1177)</f>
        <v>65.40375</v>
      </c>
    </row>
    <row r="1178" customFormat="false" ht="15" hidden="false" customHeight="true" outlineLevel="0" collapsed="false">
      <c r="A1178" s="34" t="s">
        <v>102</v>
      </c>
      <c r="B1178" s="34" t="n">
        <v>211.66</v>
      </c>
      <c r="C1178" s="34" t="n">
        <v>-66.67</v>
      </c>
      <c r="D1178" s="34" t="n">
        <v>-18.91</v>
      </c>
      <c r="E1178" s="34" t="n">
        <v>56.95</v>
      </c>
      <c r="F1178" s="34" t="n">
        <v>32.52</v>
      </c>
      <c r="G1178" s="34" t="n">
        <v>48.48</v>
      </c>
      <c r="H1178" s="34" t="n">
        <v>73.79</v>
      </c>
      <c r="I1178" s="34" t="n">
        <v>82.44</v>
      </c>
      <c r="J1178" s="34" t="n">
        <v>95.7</v>
      </c>
      <c r="K1178" s="34" t="n">
        <v>204.09</v>
      </c>
      <c r="L1178" s="34" t="n">
        <f aca="false">AVERAGE(C1178:E1178)</f>
        <v>-9.54333333333333</v>
      </c>
      <c r="M1178" s="34" t="n">
        <f aca="false">AVERAGE(C1178:J1178)</f>
        <v>38.0375</v>
      </c>
    </row>
    <row r="1179" customFormat="false" ht="15" hidden="false" customHeight="true" outlineLevel="0" collapsed="false">
      <c r="A1179" s="34" t="s">
        <v>1416</v>
      </c>
      <c r="B1179" s="34" t="n">
        <v>211.31</v>
      </c>
      <c r="C1179" s="34" t="n">
        <v>-66.67</v>
      </c>
      <c r="D1179" s="34" t="n">
        <v>-88.61</v>
      </c>
      <c r="E1179" s="34" t="n">
        <v>-42.62</v>
      </c>
      <c r="F1179" s="34" t="n">
        <v>25.44</v>
      </c>
      <c r="G1179" s="34" t="n">
        <v>0.485</v>
      </c>
      <c r="H1179" s="34" t="n">
        <v>39.96</v>
      </c>
      <c r="I1179" s="34" t="n">
        <v>55.26</v>
      </c>
      <c r="J1179" s="34" t="n">
        <v>69.32</v>
      </c>
      <c r="K1179" s="34" t="n">
        <v>201.04</v>
      </c>
      <c r="L1179" s="34" t="n">
        <f aca="false">AVERAGE(C1179:E1179)</f>
        <v>-65.9666666666667</v>
      </c>
      <c r="M1179" s="34" t="n">
        <f aca="false">AVERAGE(C1179:J1179)</f>
        <v>-0.929375</v>
      </c>
    </row>
    <row r="1180" customFormat="false" ht="15" hidden="false" customHeight="true" outlineLevel="0" collapsed="false">
      <c r="A1180" s="34" t="s">
        <v>1417</v>
      </c>
      <c r="B1180" s="34" t="n">
        <v>211</v>
      </c>
      <c r="C1180" s="34" t="n">
        <v>-66.67</v>
      </c>
      <c r="D1180" s="34" t="n">
        <v>26.01</v>
      </c>
      <c r="E1180" s="34" t="n">
        <v>-23.82</v>
      </c>
      <c r="F1180" s="34" t="n">
        <v>-80.74</v>
      </c>
      <c r="G1180" s="34" t="n">
        <v>-135.91</v>
      </c>
      <c r="H1180" s="34" t="n">
        <v>-91.14</v>
      </c>
      <c r="I1180" s="34" t="n">
        <v>-25.16</v>
      </c>
      <c r="J1180" s="34" t="n">
        <v>-6.19</v>
      </c>
      <c r="K1180" s="34" t="n">
        <v>223.96</v>
      </c>
      <c r="L1180" s="34" t="n">
        <f aca="false">AVERAGE(C1180:E1180)</f>
        <v>-21.4933333333333</v>
      </c>
      <c r="M1180" s="34" t="n">
        <f aca="false">AVERAGE(C1180:J1180)</f>
        <v>-50.4525</v>
      </c>
    </row>
    <row r="1181" customFormat="false" ht="15" hidden="false" customHeight="true" outlineLevel="0" collapsed="false">
      <c r="A1181" s="34" t="s">
        <v>1418</v>
      </c>
      <c r="B1181" s="34" t="n">
        <v>210.53</v>
      </c>
      <c r="C1181" s="34" t="n">
        <v>-66.67</v>
      </c>
      <c r="D1181" s="34" t="n">
        <v>-4.8</v>
      </c>
      <c r="E1181" s="34" t="n">
        <v>-42.32</v>
      </c>
      <c r="F1181" s="34" t="n">
        <v>-97.72</v>
      </c>
      <c r="G1181" s="34" t="n">
        <v>-143.54</v>
      </c>
      <c r="H1181" s="34" t="n">
        <v>-174.82</v>
      </c>
      <c r="I1181" s="34" t="n">
        <v>-47.97</v>
      </c>
      <c r="J1181" s="34" t="n">
        <v>-39.25</v>
      </c>
      <c r="K1181" s="34" t="n">
        <v>224.29</v>
      </c>
      <c r="L1181" s="34" t="n">
        <f aca="false">AVERAGE(C1181:E1181)</f>
        <v>-37.93</v>
      </c>
      <c r="M1181" s="34" t="n">
        <f aca="false">AVERAGE(C1181:J1181)</f>
        <v>-77.13625</v>
      </c>
    </row>
    <row r="1182" customFormat="false" ht="15" hidden="false" customHeight="true" outlineLevel="0" collapsed="false">
      <c r="A1182" s="34" t="s">
        <v>420</v>
      </c>
      <c r="B1182" s="34" t="n">
        <v>210.18</v>
      </c>
      <c r="C1182" s="34" t="n">
        <v>-66.67</v>
      </c>
      <c r="D1182" s="34" t="n">
        <v>-27.67</v>
      </c>
      <c r="E1182" s="34" t="n">
        <v>55.82</v>
      </c>
      <c r="F1182" s="34" t="n">
        <v>145.98</v>
      </c>
      <c r="G1182" s="34" t="n">
        <v>116.41</v>
      </c>
      <c r="H1182" s="34" t="n">
        <v>115.42</v>
      </c>
      <c r="I1182" s="34" t="n">
        <v>94.26</v>
      </c>
      <c r="J1182" s="34" t="n">
        <v>95.81</v>
      </c>
      <c r="K1182" s="34" t="n">
        <v>201</v>
      </c>
      <c r="L1182" s="34" t="n">
        <f aca="false">AVERAGE(C1182:E1182)</f>
        <v>-12.84</v>
      </c>
      <c r="M1182" s="34" t="n">
        <f aca="false">AVERAGE(C1182:J1182)</f>
        <v>66.17</v>
      </c>
    </row>
    <row r="1183" customFormat="false" ht="15" hidden="false" customHeight="true" outlineLevel="0" collapsed="false">
      <c r="A1183" s="34" t="s">
        <v>1419</v>
      </c>
      <c r="B1183" s="34" t="n">
        <v>208.57</v>
      </c>
      <c r="C1183" s="34" t="n">
        <v>-66.67</v>
      </c>
      <c r="D1183" s="34" t="n">
        <v>-107.18</v>
      </c>
      <c r="E1183" s="34" t="n">
        <v>-27.58</v>
      </c>
      <c r="F1183" s="34" t="n">
        <v>16.01</v>
      </c>
      <c r="G1183" s="34" t="n">
        <v>59.31</v>
      </c>
      <c r="H1183" s="34" t="n">
        <v>67.99</v>
      </c>
      <c r="I1183" s="34" t="n">
        <v>22.61</v>
      </c>
      <c r="J1183" s="34" t="n">
        <v>-26.98</v>
      </c>
      <c r="K1183" s="34" t="n">
        <v>224.09</v>
      </c>
      <c r="L1183" s="34" t="n">
        <f aca="false">AVERAGE(C1183:E1183)</f>
        <v>-67.1433333333333</v>
      </c>
      <c r="M1183" s="34" t="n">
        <f aca="false">AVERAGE(C1183:J1183)</f>
        <v>-7.81125</v>
      </c>
    </row>
    <row r="1184" customFormat="false" ht="15" hidden="false" customHeight="true" outlineLevel="0" collapsed="false">
      <c r="A1184" s="34" t="s">
        <v>1420</v>
      </c>
      <c r="B1184" s="34" t="n">
        <v>208.21</v>
      </c>
      <c r="C1184" s="34" t="n">
        <v>-66.67</v>
      </c>
      <c r="D1184" s="34" t="n">
        <v>50.78</v>
      </c>
      <c r="E1184" s="34" t="n">
        <v>104.58</v>
      </c>
      <c r="F1184" s="34" t="n">
        <v>-2.12</v>
      </c>
      <c r="G1184" s="34" t="n">
        <v>-47.81</v>
      </c>
      <c r="H1184" s="34" t="n">
        <v>-14.03</v>
      </c>
      <c r="I1184" s="34" t="n">
        <v>18.22</v>
      </c>
      <c r="J1184" s="34" t="n">
        <v>6.87</v>
      </c>
      <c r="K1184" s="34" t="n">
        <v>209.49</v>
      </c>
      <c r="L1184" s="34" t="n">
        <f aca="false">AVERAGE(C1184:E1184)</f>
        <v>29.5633333333333</v>
      </c>
      <c r="M1184" s="34" t="n">
        <f aca="false">AVERAGE(C1184:J1184)</f>
        <v>6.2275</v>
      </c>
    </row>
    <row r="1185" customFormat="false" ht="15" hidden="false" customHeight="true" outlineLevel="0" collapsed="false">
      <c r="A1185" s="34" t="s">
        <v>1421</v>
      </c>
      <c r="B1185" s="34" t="n">
        <v>208.13</v>
      </c>
      <c r="C1185" s="34" t="n">
        <v>-66.67</v>
      </c>
      <c r="D1185" s="34" t="n">
        <v>36.78</v>
      </c>
      <c r="E1185" s="34" t="n">
        <v>-38.69</v>
      </c>
      <c r="F1185" s="34" t="n">
        <v>-100.76</v>
      </c>
      <c r="G1185" s="34" t="n">
        <v>-94.78</v>
      </c>
      <c r="H1185" s="34" t="n">
        <v>2.23</v>
      </c>
      <c r="I1185" s="34" t="n">
        <v>37.3</v>
      </c>
      <c r="J1185" s="34" t="n">
        <v>50.63</v>
      </c>
      <c r="K1185" s="34" t="n">
        <v>223.66</v>
      </c>
      <c r="L1185" s="34" t="n">
        <f aca="false">AVERAGE(C1185:E1185)</f>
        <v>-22.86</v>
      </c>
      <c r="M1185" s="34" t="n">
        <f aca="false">AVERAGE(C1185:J1185)</f>
        <v>-21.745</v>
      </c>
    </row>
    <row r="1186" customFormat="false" ht="15" hidden="false" customHeight="true" outlineLevel="0" collapsed="false">
      <c r="A1186" s="34" t="s">
        <v>151</v>
      </c>
      <c r="B1186" s="34" t="n">
        <v>207.21</v>
      </c>
      <c r="C1186" s="34" t="n">
        <v>66.67</v>
      </c>
      <c r="D1186" s="34" t="n">
        <v>80.54</v>
      </c>
      <c r="E1186" s="34" t="n">
        <v>111.4</v>
      </c>
      <c r="F1186" s="34" t="n">
        <v>-19.77</v>
      </c>
      <c r="G1186" s="34" t="n">
        <v>-39.04</v>
      </c>
      <c r="H1186" s="34" t="n">
        <v>7.18</v>
      </c>
      <c r="I1186" s="34" t="n">
        <v>32.79</v>
      </c>
      <c r="J1186" s="34" t="n">
        <v>43.99</v>
      </c>
      <c r="K1186" s="34" t="n">
        <v>212.92</v>
      </c>
      <c r="L1186" s="34" t="n">
        <f aca="false">AVERAGE(C1186:E1186)</f>
        <v>86.2033333333333</v>
      </c>
      <c r="M1186" s="34" t="n">
        <f aca="false">AVERAGE(C1186:J1186)</f>
        <v>35.47</v>
      </c>
    </row>
    <row r="1187" customFormat="false" ht="15" hidden="false" customHeight="true" outlineLevel="0" collapsed="false">
      <c r="A1187" s="34" t="s">
        <v>1422</v>
      </c>
      <c r="B1187" s="34" t="n">
        <v>206.73</v>
      </c>
      <c r="C1187" s="34" t="n">
        <v>-66.67</v>
      </c>
      <c r="D1187" s="34" t="n">
        <v>-133.33</v>
      </c>
      <c r="E1187" s="34" t="n">
        <v>14.38</v>
      </c>
      <c r="F1187" s="34" t="n">
        <v>-68.21</v>
      </c>
      <c r="G1187" s="34"/>
      <c r="H1187" s="34"/>
      <c r="I1187" s="34"/>
      <c r="J1187" s="34"/>
      <c r="K1187" s="34" t="n">
        <v>223.85</v>
      </c>
      <c r="L1187" s="34" t="n">
        <f aca="false">AVERAGE(C1187:E1187)</f>
        <v>-61.8733333333333</v>
      </c>
      <c r="M1187" s="34" t="n">
        <f aca="false">AVERAGE(C1187:J1187)</f>
        <v>-63.4575</v>
      </c>
    </row>
    <row r="1188" customFormat="false" ht="15" hidden="false" customHeight="true" outlineLevel="0" collapsed="false">
      <c r="A1188" s="34" t="s">
        <v>1423</v>
      </c>
      <c r="B1188" s="34" t="n">
        <v>206.42</v>
      </c>
      <c r="C1188" s="34" t="n">
        <v>-66.67</v>
      </c>
      <c r="D1188" s="34" t="n">
        <v>-133.33</v>
      </c>
      <c r="E1188" s="34" t="n">
        <v>-93.81</v>
      </c>
      <c r="F1188" s="34" t="n">
        <v>-135.47</v>
      </c>
      <c r="G1188" s="34" t="n">
        <v>-108.96</v>
      </c>
      <c r="H1188" s="34" t="n">
        <v>-23.52</v>
      </c>
      <c r="I1188" s="34" t="n">
        <v>12.47</v>
      </c>
      <c r="J1188" s="34" t="n">
        <v>6.85</v>
      </c>
      <c r="K1188" s="34" t="n">
        <v>228.2</v>
      </c>
      <c r="L1188" s="34" t="n">
        <f aca="false">AVERAGE(C1188:E1188)</f>
        <v>-97.9366666666667</v>
      </c>
      <c r="M1188" s="34" t="n">
        <f aca="false">AVERAGE(C1188:J1188)</f>
        <v>-67.805</v>
      </c>
    </row>
    <row r="1189" customFormat="false" ht="15" hidden="false" customHeight="true" outlineLevel="0" collapsed="false">
      <c r="A1189" s="34" t="s">
        <v>1424</v>
      </c>
      <c r="B1189" s="34" t="n">
        <v>206.4</v>
      </c>
      <c r="C1189" s="34" t="n">
        <v>-66.67</v>
      </c>
      <c r="D1189" s="34" t="n">
        <v>-77.72</v>
      </c>
      <c r="E1189" s="34" t="n">
        <v>-6.2</v>
      </c>
      <c r="F1189" s="34" t="n">
        <v>-51.54</v>
      </c>
      <c r="G1189" s="34" t="n">
        <v>-99.2</v>
      </c>
      <c r="H1189" s="34" t="n">
        <v>-13.37</v>
      </c>
      <c r="I1189" s="34" t="n">
        <v>28.03</v>
      </c>
      <c r="J1189" s="34" t="n">
        <v>30.24</v>
      </c>
      <c r="K1189" s="34" t="n">
        <v>218.75</v>
      </c>
      <c r="L1189" s="34" t="n">
        <f aca="false">AVERAGE(C1189:E1189)</f>
        <v>-50.1966666666667</v>
      </c>
      <c r="M1189" s="34" t="n">
        <f aca="false">AVERAGE(C1189:J1189)</f>
        <v>-32.05375</v>
      </c>
    </row>
    <row r="1190" customFormat="false" ht="15" hidden="false" customHeight="true" outlineLevel="0" collapsed="false">
      <c r="A1190" s="34" t="s">
        <v>293</v>
      </c>
      <c r="B1190" s="34" t="n">
        <v>206.24</v>
      </c>
      <c r="C1190" s="34" t="n">
        <v>-66.67</v>
      </c>
      <c r="D1190" s="34" t="n">
        <v>-48.69</v>
      </c>
      <c r="E1190" s="34" t="n">
        <v>-64.49</v>
      </c>
      <c r="F1190" s="34" t="n">
        <v>-113.51</v>
      </c>
      <c r="G1190" s="34" t="n">
        <v>-125.3</v>
      </c>
      <c r="H1190" s="34" t="n">
        <v>-60.58</v>
      </c>
      <c r="I1190" s="34" t="n">
        <v>-56.9</v>
      </c>
      <c r="J1190" s="34" t="n">
        <v>-18.98</v>
      </c>
      <c r="K1190" s="34" t="n">
        <v>215.27</v>
      </c>
      <c r="L1190" s="34" t="n">
        <f aca="false">AVERAGE(C1190:E1190)</f>
        <v>-59.95</v>
      </c>
      <c r="M1190" s="34" t="n">
        <f aca="false">AVERAGE(C1190:J1190)</f>
        <v>-69.39</v>
      </c>
    </row>
    <row r="1191" customFormat="false" ht="15" hidden="false" customHeight="true" outlineLevel="0" collapsed="false">
      <c r="A1191" s="34" t="s">
        <v>1425</v>
      </c>
      <c r="B1191" s="34" t="n">
        <v>205.77</v>
      </c>
      <c r="C1191" s="34" t="n">
        <v>66.67</v>
      </c>
      <c r="D1191" s="34" t="n">
        <v>-7.49</v>
      </c>
      <c r="E1191" s="34" t="n">
        <v>10.2</v>
      </c>
      <c r="F1191" s="34" t="n">
        <v>-61.98</v>
      </c>
      <c r="G1191" s="34" t="n">
        <v>-48.26</v>
      </c>
      <c r="H1191" s="34" t="n">
        <v>-34.9</v>
      </c>
      <c r="I1191" s="34" t="n">
        <v>-48.65</v>
      </c>
      <c r="J1191" s="34" t="n">
        <v>-66.85</v>
      </c>
      <c r="K1191" s="34" t="n">
        <v>217.2</v>
      </c>
      <c r="L1191" s="34" t="n">
        <f aca="false">AVERAGE(C1191:E1191)</f>
        <v>23.1266666666667</v>
      </c>
      <c r="M1191" s="34" t="n">
        <f aca="false">AVERAGE(C1191:J1191)</f>
        <v>-23.9075</v>
      </c>
    </row>
    <row r="1192" customFormat="false" ht="15" hidden="false" customHeight="true" outlineLevel="0" collapsed="false">
      <c r="A1192" s="34" t="s">
        <v>1426</v>
      </c>
      <c r="B1192" s="34" t="n">
        <v>204.61</v>
      </c>
      <c r="C1192" s="34" t="n">
        <v>-66.67</v>
      </c>
      <c r="D1192" s="34" t="n">
        <v>-42.12</v>
      </c>
      <c r="E1192" s="34" t="n">
        <v>-21.13</v>
      </c>
      <c r="F1192" s="34" t="n">
        <v>-80.92</v>
      </c>
      <c r="G1192" s="34" t="n">
        <v>-97.29</v>
      </c>
      <c r="H1192" s="34" t="n">
        <v>-106.19</v>
      </c>
      <c r="I1192" s="34" t="n">
        <v>-81.03</v>
      </c>
      <c r="J1192" s="34" t="n">
        <v>-85.48</v>
      </c>
      <c r="K1192" s="34" t="n">
        <v>220.04</v>
      </c>
      <c r="L1192" s="34" t="n">
        <f aca="false">AVERAGE(C1192:E1192)</f>
        <v>-43.3066666666667</v>
      </c>
      <c r="M1192" s="34" t="n">
        <f aca="false">AVERAGE(C1192:J1192)</f>
        <v>-72.60375</v>
      </c>
    </row>
    <row r="1193" customFormat="false" ht="15" hidden="false" customHeight="true" outlineLevel="0" collapsed="false">
      <c r="A1193" s="34" t="s">
        <v>580</v>
      </c>
      <c r="B1193" s="34" t="n">
        <v>204.51</v>
      </c>
      <c r="C1193" s="34" t="n">
        <v>-66.67</v>
      </c>
      <c r="D1193" s="34" t="n">
        <v>-133.33</v>
      </c>
      <c r="E1193" s="34" t="n">
        <v>7.47</v>
      </c>
      <c r="F1193" s="34" t="n">
        <v>-21.11</v>
      </c>
      <c r="G1193" s="34" t="n">
        <v>-2.39</v>
      </c>
      <c r="H1193" s="34" t="n">
        <v>-20.35</v>
      </c>
      <c r="I1193" s="34" t="n">
        <v>13.57</v>
      </c>
      <c r="J1193" s="34" t="n">
        <v>12.64</v>
      </c>
      <c r="K1193" s="34" t="n">
        <v>214.99</v>
      </c>
      <c r="L1193" s="34" t="n">
        <f aca="false">AVERAGE(C1193:E1193)</f>
        <v>-64.1766666666667</v>
      </c>
      <c r="M1193" s="34" t="n">
        <f aca="false">AVERAGE(C1193:J1193)</f>
        <v>-26.27125</v>
      </c>
    </row>
    <row r="1194" customFormat="false" ht="15" hidden="false" customHeight="true" outlineLevel="0" collapsed="false">
      <c r="A1194" s="34" t="s">
        <v>1427</v>
      </c>
      <c r="B1194" s="34" t="n">
        <v>203.98</v>
      </c>
      <c r="C1194" s="34" t="n">
        <v>-66.67</v>
      </c>
      <c r="D1194" s="34" t="n">
        <v>28.62</v>
      </c>
      <c r="E1194" s="34" t="n">
        <v>73.01</v>
      </c>
      <c r="F1194" s="34" t="n">
        <v>59.4</v>
      </c>
      <c r="G1194" s="34" t="n">
        <v>81.48</v>
      </c>
      <c r="H1194" s="34" t="n">
        <v>112.55</v>
      </c>
      <c r="I1194" s="34" t="n">
        <v>112.26</v>
      </c>
      <c r="J1194" s="34" t="n">
        <v>63.69</v>
      </c>
      <c r="K1194" s="34" t="n">
        <v>184.77</v>
      </c>
      <c r="L1194" s="34" t="n">
        <f aca="false">AVERAGE(C1194:E1194)</f>
        <v>11.6533333333333</v>
      </c>
      <c r="M1194" s="34" t="n">
        <f aca="false">AVERAGE(C1194:J1194)</f>
        <v>58.0425</v>
      </c>
    </row>
    <row r="1195" customFormat="false" ht="15" hidden="false" customHeight="true" outlineLevel="0" collapsed="false">
      <c r="A1195" s="34" t="s">
        <v>1428</v>
      </c>
      <c r="B1195" s="34" t="n">
        <v>203.8</v>
      </c>
      <c r="C1195" s="34" t="n">
        <v>-66.67</v>
      </c>
      <c r="D1195" s="34" t="n">
        <v>52.81</v>
      </c>
      <c r="E1195" s="34" t="n">
        <v>53.04</v>
      </c>
      <c r="F1195" s="34" t="n">
        <v>59.3</v>
      </c>
      <c r="G1195" s="34" t="n">
        <v>100.81</v>
      </c>
      <c r="H1195" s="34" t="n">
        <v>140.79</v>
      </c>
      <c r="I1195" s="34" t="n">
        <v>170.37</v>
      </c>
      <c r="J1195" s="34" t="n">
        <v>127.23</v>
      </c>
      <c r="K1195" s="34" t="n">
        <v>181.42</v>
      </c>
      <c r="L1195" s="34" t="n">
        <f aca="false">AVERAGE(C1195:E1195)</f>
        <v>13.06</v>
      </c>
      <c r="M1195" s="34" t="n">
        <f aca="false">AVERAGE(C1195:J1195)</f>
        <v>79.71</v>
      </c>
    </row>
    <row r="1196" customFormat="false" ht="15" hidden="false" customHeight="true" outlineLevel="0" collapsed="false">
      <c r="A1196" s="34" t="s">
        <v>1429</v>
      </c>
      <c r="B1196" s="34" t="n">
        <v>203.26</v>
      </c>
      <c r="C1196" s="34" t="n">
        <v>-66.67</v>
      </c>
      <c r="D1196" s="34" t="n">
        <v>23.19</v>
      </c>
      <c r="E1196" s="34" t="n">
        <v>18.55</v>
      </c>
      <c r="F1196" s="34" t="n">
        <v>-50.16</v>
      </c>
      <c r="G1196" s="34"/>
      <c r="H1196" s="34"/>
      <c r="I1196" s="34"/>
      <c r="J1196" s="34"/>
      <c r="K1196" s="34" t="n">
        <v>219.98</v>
      </c>
      <c r="L1196" s="34" t="n">
        <f aca="false">AVERAGE(C1196:E1196)</f>
        <v>-8.31</v>
      </c>
      <c r="M1196" s="34" t="n">
        <f aca="false">AVERAGE(C1196:J1196)</f>
        <v>-18.7725</v>
      </c>
    </row>
    <row r="1197" customFormat="false" ht="15" hidden="false" customHeight="true" outlineLevel="0" collapsed="false">
      <c r="A1197" s="34" t="s">
        <v>451</v>
      </c>
      <c r="B1197" s="34" t="n">
        <v>203.15</v>
      </c>
      <c r="C1197" s="34" t="n">
        <v>-66.67</v>
      </c>
      <c r="D1197" s="34" t="n">
        <v>-91.82</v>
      </c>
      <c r="E1197" s="34" t="n">
        <v>17.4</v>
      </c>
      <c r="F1197" s="34" t="n">
        <v>-71.85</v>
      </c>
      <c r="G1197" s="34" t="n">
        <v>-106.51</v>
      </c>
      <c r="H1197" s="34" t="n">
        <v>-103.61</v>
      </c>
      <c r="I1197" s="34" t="n">
        <v>-110.34</v>
      </c>
      <c r="J1197" s="34" t="n">
        <v>-126.66</v>
      </c>
      <c r="K1197" s="34" t="n">
        <v>213.05</v>
      </c>
      <c r="L1197" s="34" t="n">
        <f aca="false">AVERAGE(C1197:E1197)</f>
        <v>-47.03</v>
      </c>
      <c r="M1197" s="34" t="n">
        <f aca="false">AVERAGE(C1197:J1197)</f>
        <v>-82.5075</v>
      </c>
    </row>
    <row r="1198" customFormat="false" ht="15" hidden="false" customHeight="true" outlineLevel="0" collapsed="false">
      <c r="A1198" s="34" t="s">
        <v>1430</v>
      </c>
      <c r="B1198" s="34" t="n">
        <v>203</v>
      </c>
      <c r="C1198" s="34" t="n">
        <v>-66.67</v>
      </c>
      <c r="D1198" s="34" t="n">
        <v>9.65</v>
      </c>
      <c r="E1198" s="34" t="n">
        <v>25.65</v>
      </c>
      <c r="F1198" s="34" t="n">
        <v>-61.64</v>
      </c>
      <c r="G1198" s="34" t="n">
        <v>27.65</v>
      </c>
      <c r="H1198" s="34" t="n">
        <v>56.89</v>
      </c>
      <c r="I1198" s="34" t="n">
        <v>81.01</v>
      </c>
      <c r="J1198" s="34" t="n">
        <v>71.19</v>
      </c>
      <c r="K1198" s="34" t="n">
        <v>213.26</v>
      </c>
      <c r="L1198" s="34" t="n">
        <f aca="false">AVERAGE(C1198:E1198)</f>
        <v>-10.4566666666667</v>
      </c>
      <c r="M1198" s="34" t="n">
        <f aca="false">AVERAGE(C1198:J1198)</f>
        <v>17.96625</v>
      </c>
    </row>
    <row r="1199" customFormat="false" ht="15" hidden="false" customHeight="true" outlineLevel="0" collapsed="false">
      <c r="A1199" s="34" t="s">
        <v>1431</v>
      </c>
      <c r="B1199" s="34" t="n">
        <v>201.88</v>
      </c>
      <c r="C1199" s="34" t="n">
        <v>-66.67</v>
      </c>
      <c r="D1199" s="34" t="n">
        <v>-133.33</v>
      </c>
      <c r="E1199" s="34" t="n">
        <v>18.99</v>
      </c>
      <c r="F1199" s="34" t="n">
        <v>-73.82</v>
      </c>
      <c r="G1199" s="34" t="n">
        <v>-69.28</v>
      </c>
      <c r="H1199" s="34" t="n">
        <v>-21.71</v>
      </c>
      <c r="I1199" s="34" t="n">
        <v>-7.68</v>
      </c>
      <c r="J1199" s="34" t="n">
        <v>-27.06</v>
      </c>
      <c r="K1199" s="34" t="n">
        <v>212.99</v>
      </c>
      <c r="L1199" s="34" t="n">
        <f aca="false">AVERAGE(C1199:E1199)</f>
        <v>-60.3366666666667</v>
      </c>
      <c r="M1199" s="34" t="n">
        <f aca="false">AVERAGE(C1199:J1199)</f>
        <v>-47.57</v>
      </c>
    </row>
    <row r="1200" customFormat="false" ht="15" hidden="false" customHeight="true" outlineLevel="0" collapsed="false">
      <c r="A1200" s="34" t="s">
        <v>1432</v>
      </c>
      <c r="B1200" s="34" t="n">
        <v>200.44</v>
      </c>
      <c r="C1200" s="34" t="n">
        <v>66.67</v>
      </c>
      <c r="D1200" s="34" t="n">
        <v>133.33</v>
      </c>
      <c r="E1200" s="34" t="n">
        <v>62.43</v>
      </c>
      <c r="F1200" s="34" t="n">
        <v>85.97</v>
      </c>
      <c r="G1200" s="34" t="n">
        <v>53.66</v>
      </c>
      <c r="H1200" s="34" t="n">
        <v>68.1</v>
      </c>
      <c r="I1200" s="34" t="n">
        <v>84.38</v>
      </c>
      <c r="J1200" s="34" t="n">
        <v>25.15</v>
      </c>
      <c r="K1200" s="34" t="n">
        <v>190.29</v>
      </c>
      <c r="L1200" s="34" t="n">
        <f aca="false">AVERAGE(C1200:E1200)</f>
        <v>87.4766666666667</v>
      </c>
      <c r="M1200" s="34" t="n">
        <f aca="false">AVERAGE(C1200:J1200)</f>
        <v>72.46125</v>
      </c>
    </row>
    <row r="1201" customFormat="false" ht="15" hidden="false" customHeight="true" outlineLevel="0" collapsed="false">
      <c r="A1201" s="34" t="s">
        <v>461</v>
      </c>
      <c r="B1201" s="34" t="n">
        <v>199.61</v>
      </c>
      <c r="C1201" s="34" t="n">
        <v>-66.67</v>
      </c>
      <c r="D1201" s="34" t="n">
        <v>-107.35</v>
      </c>
      <c r="E1201" s="34" t="n">
        <v>-65.26</v>
      </c>
      <c r="F1201" s="34" t="n">
        <v>-114.77</v>
      </c>
      <c r="G1201" s="34" t="n">
        <v>-146.65</v>
      </c>
      <c r="H1201" s="34" t="n">
        <v>-153.1</v>
      </c>
      <c r="I1201" s="34" t="n">
        <v>-159.41</v>
      </c>
      <c r="J1201" s="34" t="n">
        <v>-104.78</v>
      </c>
      <c r="K1201" s="34" t="n">
        <v>210.51</v>
      </c>
      <c r="L1201" s="34" t="n">
        <f aca="false">AVERAGE(C1201:E1201)</f>
        <v>-79.76</v>
      </c>
      <c r="M1201" s="34" t="n">
        <f aca="false">AVERAGE(C1201:J1201)</f>
        <v>-114.74875</v>
      </c>
    </row>
    <row r="1202" customFormat="false" ht="15" hidden="false" customHeight="true" outlineLevel="0" collapsed="false">
      <c r="A1202" s="34" t="s">
        <v>1433</v>
      </c>
      <c r="B1202" s="34" t="n">
        <v>198.98</v>
      </c>
      <c r="C1202" s="34" t="n">
        <v>-66.67</v>
      </c>
      <c r="D1202" s="34" t="n">
        <v>-122.31</v>
      </c>
      <c r="E1202" s="34" t="n">
        <v>30.37</v>
      </c>
      <c r="F1202" s="34" t="n">
        <v>-38.61</v>
      </c>
      <c r="G1202" s="34" t="n">
        <v>-88.41</v>
      </c>
      <c r="H1202" s="34" t="n">
        <v>-82.84</v>
      </c>
      <c r="I1202" s="34" t="n">
        <v>-27.07</v>
      </c>
      <c r="J1202" s="34" t="n">
        <v>-38.22</v>
      </c>
      <c r="K1202" s="34" t="n">
        <v>189.4</v>
      </c>
      <c r="L1202" s="34" t="n">
        <f aca="false">AVERAGE(C1202:E1202)</f>
        <v>-52.87</v>
      </c>
      <c r="M1202" s="34" t="n">
        <f aca="false">AVERAGE(C1202:J1202)</f>
        <v>-54.22</v>
      </c>
    </row>
    <row r="1203" customFormat="false" ht="15" hidden="false" customHeight="true" outlineLevel="0" collapsed="false">
      <c r="A1203" s="34" t="s">
        <v>1434</v>
      </c>
      <c r="B1203" s="34" t="n">
        <v>198.86</v>
      </c>
      <c r="C1203" s="34" t="n">
        <v>-66.67</v>
      </c>
      <c r="D1203" s="34" t="n">
        <v>-69.95</v>
      </c>
      <c r="E1203" s="34" t="n">
        <v>-18.96</v>
      </c>
      <c r="F1203" s="34" t="n">
        <v>-93.81</v>
      </c>
      <c r="G1203" s="34" t="n">
        <v>-146.35</v>
      </c>
      <c r="H1203" s="34" t="n">
        <v>-73.55</v>
      </c>
      <c r="I1203" s="34" t="n">
        <v>-22.98</v>
      </c>
      <c r="J1203" s="34" t="n">
        <v>-41.81</v>
      </c>
      <c r="K1203" s="34" t="n">
        <v>211.18</v>
      </c>
      <c r="L1203" s="34" t="n">
        <f aca="false">AVERAGE(C1203:E1203)</f>
        <v>-51.86</v>
      </c>
      <c r="M1203" s="34" t="n">
        <f aca="false">AVERAGE(C1203:J1203)</f>
        <v>-66.76</v>
      </c>
    </row>
    <row r="1204" customFormat="false" ht="15" hidden="false" customHeight="true" outlineLevel="0" collapsed="false">
      <c r="A1204" s="34" t="s">
        <v>1435</v>
      </c>
      <c r="B1204" s="34" t="n">
        <v>197.78</v>
      </c>
      <c r="C1204" s="34" t="n">
        <v>-66.67</v>
      </c>
      <c r="D1204" s="34" t="n">
        <v>59.62</v>
      </c>
      <c r="E1204" s="34" t="n">
        <v>118</v>
      </c>
      <c r="F1204" s="34" t="n">
        <v>-38.9</v>
      </c>
      <c r="G1204" s="34" t="n">
        <v>-95.23</v>
      </c>
      <c r="H1204" s="34" t="n">
        <v>-123.22</v>
      </c>
      <c r="I1204" s="34" t="n">
        <v>-50.62</v>
      </c>
      <c r="J1204" s="34" t="n">
        <v>-42.45</v>
      </c>
      <c r="K1204" s="34" t="n">
        <v>184.31</v>
      </c>
      <c r="L1204" s="34" t="n">
        <f aca="false">AVERAGE(C1204:E1204)</f>
        <v>36.9833333333333</v>
      </c>
      <c r="M1204" s="34" t="n">
        <f aca="false">AVERAGE(C1204:J1204)</f>
        <v>-29.93375</v>
      </c>
    </row>
    <row r="1205" customFormat="false" ht="15" hidden="false" customHeight="true" outlineLevel="0" collapsed="false">
      <c r="A1205" s="34" t="s">
        <v>1436</v>
      </c>
      <c r="B1205" s="34" t="n">
        <v>197.6</v>
      </c>
      <c r="C1205" s="34" t="n">
        <v>66.67</v>
      </c>
      <c r="D1205" s="34" t="n">
        <v>-59.58</v>
      </c>
      <c r="E1205" s="34" t="n">
        <v>-120.91</v>
      </c>
      <c r="F1205" s="34" t="n">
        <v>-49.4</v>
      </c>
      <c r="G1205" s="34" t="n">
        <v>32.58</v>
      </c>
      <c r="H1205" s="34" t="n">
        <v>35.52</v>
      </c>
      <c r="I1205" s="34" t="n">
        <v>26.03</v>
      </c>
      <c r="J1205" s="34" t="n">
        <v>-5.59</v>
      </c>
      <c r="K1205" s="34" t="n">
        <v>209.26</v>
      </c>
      <c r="L1205" s="34" t="n">
        <f aca="false">AVERAGE(C1205:E1205)</f>
        <v>-37.94</v>
      </c>
      <c r="M1205" s="34" t="n">
        <f aca="false">AVERAGE(C1205:J1205)</f>
        <v>-9.335</v>
      </c>
    </row>
    <row r="1206" customFormat="false" ht="15" hidden="false" customHeight="true" outlineLevel="0" collapsed="false">
      <c r="A1206" s="34" t="s">
        <v>1437</v>
      </c>
      <c r="B1206" s="34" t="n">
        <v>197.27</v>
      </c>
      <c r="C1206" s="34" t="n">
        <v>66.67</v>
      </c>
      <c r="D1206" s="34" t="n">
        <v>-33.37</v>
      </c>
      <c r="E1206" s="34" t="n">
        <v>-84.61</v>
      </c>
      <c r="F1206" s="34" t="n">
        <v>-184.36</v>
      </c>
      <c r="G1206" s="34" t="n">
        <v>-194.8</v>
      </c>
      <c r="H1206" s="34" t="n">
        <v>-119.75</v>
      </c>
      <c r="I1206" s="34" t="n">
        <v>-71.71</v>
      </c>
      <c r="J1206" s="34"/>
      <c r="K1206" s="34" t="n">
        <v>218.16</v>
      </c>
      <c r="L1206" s="34" t="n">
        <f aca="false">AVERAGE(C1206:E1206)</f>
        <v>-17.1033333333333</v>
      </c>
      <c r="M1206" s="34" t="n">
        <f aca="false">AVERAGE(C1206:J1206)</f>
        <v>-88.8471428571429</v>
      </c>
    </row>
    <row r="1207" customFormat="false" ht="15" hidden="false" customHeight="true" outlineLevel="0" collapsed="false">
      <c r="A1207" s="34" t="s">
        <v>1438</v>
      </c>
      <c r="B1207" s="34" t="n">
        <v>197</v>
      </c>
      <c r="C1207" s="34" t="n">
        <v>66.67</v>
      </c>
      <c r="D1207" s="34" t="n">
        <v>-17.46</v>
      </c>
      <c r="E1207" s="34" t="n">
        <v>50.14</v>
      </c>
      <c r="F1207" s="34" t="n">
        <v>-79.9</v>
      </c>
      <c r="G1207" s="34" t="n">
        <v>-19.19</v>
      </c>
      <c r="H1207" s="34" t="n">
        <v>15.99</v>
      </c>
      <c r="I1207" s="34" t="n">
        <v>43.13</v>
      </c>
      <c r="J1207" s="34" t="n">
        <v>38.9</v>
      </c>
      <c r="K1207" s="34" t="n">
        <v>209.42</v>
      </c>
      <c r="L1207" s="34" t="n">
        <f aca="false">AVERAGE(C1207:E1207)</f>
        <v>33.1166666666667</v>
      </c>
      <c r="M1207" s="34" t="n">
        <f aca="false">AVERAGE(C1207:J1207)</f>
        <v>12.285</v>
      </c>
    </row>
    <row r="1208" customFormat="false" ht="15" hidden="false" customHeight="true" outlineLevel="0" collapsed="false">
      <c r="A1208" s="34" t="s">
        <v>1439</v>
      </c>
      <c r="B1208" s="34" t="n">
        <v>196.7</v>
      </c>
      <c r="C1208" s="34" t="n">
        <v>-66.67</v>
      </c>
      <c r="D1208" s="34" t="n">
        <v>-36.21</v>
      </c>
      <c r="E1208" s="34" t="n">
        <v>34.15</v>
      </c>
      <c r="F1208" s="34" t="n">
        <v>-88.35</v>
      </c>
      <c r="G1208" s="34" t="n">
        <v>-138.22</v>
      </c>
      <c r="H1208" s="34" t="n">
        <v>-121.01</v>
      </c>
      <c r="I1208" s="34" t="n">
        <v>-34</v>
      </c>
      <c r="J1208" s="34" t="n">
        <v>-22.67</v>
      </c>
      <c r="K1208" s="34" t="n">
        <v>205.17</v>
      </c>
      <c r="L1208" s="34" t="n">
        <f aca="false">AVERAGE(C1208:E1208)</f>
        <v>-22.91</v>
      </c>
      <c r="M1208" s="34" t="n">
        <f aca="false">AVERAGE(C1208:J1208)</f>
        <v>-59.1225</v>
      </c>
    </row>
    <row r="1209" customFormat="false" ht="15" hidden="false" customHeight="true" outlineLevel="0" collapsed="false">
      <c r="A1209" s="34" t="s">
        <v>155</v>
      </c>
      <c r="B1209" s="34" t="n">
        <v>196.34</v>
      </c>
      <c r="C1209" s="34" t="n">
        <v>-66.67</v>
      </c>
      <c r="D1209" s="34" t="n">
        <v>-112.9</v>
      </c>
      <c r="E1209" s="34" t="n">
        <v>-10.82</v>
      </c>
      <c r="F1209" s="34" t="n">
        <v>-63.64</v>
      </c>
      <c r="G1209" s="34" t="n">
        <v>-113.6</v>
      </c>
      <c r="H1209" s="34" t="n">
        <v>-67.22</v>
      </c>
      <c r="I1209" s="34" t="n">
        <v>-15.52</v>
      </c>
      <c r="J1209" s="34" t="n">
        <v>5.48</v>
      </c>
      <c r="K1209" s="34" t="n">
        <v>200.92</v>
      </c>
      <c r="L1209" s="34" t="n">
        <f aca="false">AVERAGE(C1209:E1209)</f>
        <v>-63.4633333333333</v>
      </c>
      <c r="M1209" s="34" t="n">
        <f aca="false">AVERAGE(C1209:J1209)</f>
        <v>-55.61125</v>
      </c>
    </row>
    <row r="1210" customFormat="false" ht="15" hidden="false" customHeight="true" outlineLevel="0" collapsed="false">
      <c r="A1210" s="34" t="s">
        <v>460</v>
      </c>
      <c r="B1210" s="34" t="n">
        <v>196.13</v>
      </c>
      <c r="C1210" s="34" t="n">
        <v>-66.67</v>
      </c>
      <c r="D1210" s="34" t="n">
        <v>6.99</v>
      </c>
      <c r="E1210" s="34" t="n">
        <v>73.98</v>
      </c>
      <c r="F1210" s="34" t="n">
        <v>94.81</v>
      </c>
      <c r="G1210" s="34" t="n">
        <v>130.75</v>
      </c>
      <c r="H1210" s="34" t="n">
        <v>123.98</v>
      </c>
      <c r="I1210" s="34" t="n">
        <v>103.63</v>
      </c>
      <c r="J1210" s="34" t="n">
        <v>109.75</v>
      </c>
      <c r="K1210" s="34" t="n">
        <v>201.93</v>
      </c>
      <c r="L1210" s="34" t="n">
        <f aca="false">AVERAGE(C1210:E1210)</f>
        <v>4.76666666666667</v>
      </c>
      <c r="M1210" s="34" t="n">
        <f aca="false">AVERAGE(C1210:J1210)</f>
        <v>72.1525</v>
      </c>
    </row>
    <row r="1211" customFormat="false" ht="15" hidden="false" customHeight="true" outlineLevel="0" collapsed="false">
      <c r="A1211" s="34" t="s">
        <v>1440</v>
      </c>
      <c r="B1211" s="34" t="n">
        <v>196</v>
      </c>
      <c r="C1211" s="34" t="n">
        <v>-66.67</v>
      </c>
      <c r="D1211" s="34" t="n">
        <v>-9.67</v>
      </c>
      <c r="E1211" s="34" t="n">
        <v>0.814</v>
      </c>
      <c r="F1211" s="34" t="n">
        <v>-7.27</v>
      </c>
      <c r="G1211" s="34" t="n">
        <v>57.46</v>
      </c>
      <c r="H1211" s="34" t="n">
        <v>94.41</v>
      </c>
      <c r="I1211" s="34" t="n">
        <v>120.69</v>
      </c>
      <c r="J1211" s="34" t="n">
        <v>121.97</v>
      </c>
      <c r="K1211" s="34" t="n">
        <v>218.55</v>
      </c>
      <c r="L1211" s="34" t="n">
        <f aca="false">AVERAGE(C1211:E1211)</f>
        <v>-25.1753333333333</v>
      </c>
      <c r="M1211" s="34" t="n">
        <f aca="false">AVERAGE(C1211:J1211)</f>
        <v>38.96675</v>
      </c>
    </row>
    <row r="1212" customFormat="false" ht="15" hidden="false" customHeight="true" outlineLevel="0" collapsed="false">
      <c r="A1212" s="34" t="s">
        <v>1441</v>
      </c>
      <c r="B1212" s="34" t="n">
        <v>195.89</v>
      </c>
      <c r="C1212" s="34" t="n">
        <v>-66.67</v>
      </c>
      <c r="D1212" s="34" t="n">
        <v>-87.1</v>
      </c>
      <c r="E1212" s="34" t="n">
        <v>-84.96</v>
      </c>
      <c r="F1212" s="34" t="n">
        <v>-68.92</v>
      </c>
      <c r="G1212" s="34" t="n">
        <v>-107.94</v>
      </c>
      <c r="H1212" s="34" t="n">
        <v>-74.08</v>
      </c>
      <c r="I1212" s="34" t="n">
        <v>-81.93</v>
      </c>
      <c r="J1212" s="34" t="n">
        <v>-85.58</v>
      </c>
      <c r="K1212" s="34" t="n">
        <v>209.64</v>
      </c>
      <c r="L1212" s="34" t="n">
        <f aca="false">AVERAGE(C1212:E1212)</f>
        <v>-79.5766666666667</v>
      </c>
      <c r="M1212" s="34" t="n">
        <f aca="false">AVERAGE(C1212:J1212)</f>
        <v>-82.1475</v>
      </c>
    </row>
    <row r="1213" customFormat="false" ht="15" hidden="false" customHeight="true" outlineLevel="0" collapsed="false">
      <c r="A1213" s="34" t="s">
        <v>1442</v>
      </c>
      <c r="B1213" s="34" t="n">
        <v>193.95</v>
      </c>
      <c r="C1213" s="34" t="n">
        <v>66.67</v>
      </c>
      <c r="D1213" s="34" t="n">
        <v>99.23</v>
      </c>
      <c r="E1213" s="34" t="n">
        <v>117.54</v>
      </c>
      <c r="F1213" s="34" t="n">
        <v>127.5</v>
      </c>
      <c r="G1213" s="34" t="n">
        <v>120.83</v>
      </c>
      <c r="H1213" s="34" t="n">
        <v>110.05</v>
      </c>
      <c r="I1213" s="34" t="n">
        <v>117.25</v>
      </c>
      <c r="J1213" s="34" t="n">
        <v>131.62</v>
      </c>
      <c r="K1213" s="34" t="n">
        <v>179.82</v>
      </c>
      <c r="L1213" s="34" t="n">
        <f aca="false">AVERAGE(C1213:E1213)</f>
        <v>94.48</v>
      </c>
      <c r="M1213" s="34" t="n">
        <f aca="false">AVERAGE(C1213:J1213)</f>
        <v>111.33625</v>
      </c>
    </row>
    <row r="1214" customFormat="false" ht="15" hidden="false" customHeight="true" outlineLevel="0" collapsed="false">
      <c r="A1214" s="34" t="s">
        <v>447</v>
      </c>
      <c r="B1214" s="34" t="n">
        <v>193.02</v>
      </c>
      <c r="C1214" s="34" t="n">
        <v>66.67</v>
      </c>
      <c r="D1214" s="34" t="n">
        <v>111.81</v>
      </c>
      <c r="E1214" s="34" t="n">
        <v>86.03</v>
      </c>
      <c r="F1214" s="34" t="n">
        <v>167.37</v>
      </c>
      <c r="G1214" s="34" t="n">
        <v>178.3</v>
      </c>
      <c r="H1214" s="34" t="n">
        <v>141.05</v>
      </c>
      <c r="I1214" s="34" t="n">
        <v>143.58</v>
      </c>
      <c r="J1214" s="34" t="n">
        <v>166.6</v>
      </c>
      <c r="K1214" s="34" t="n">
        <v>175.52</v>
      </c>
      <c r="L1214" s="34" t="n">
        <f aca="false">AVERAGE(C1214:E1214)</f>
        <v>88.17</v>
      </c>
      <c r="M1214" s="34" t="n">
        <f aca="false">AVERAGE(C1214:J1214)</f>
        <v>132.67625</v>
      </c>
    </row>
    <row r="1215" customFormat="false" ht="15" hidden="false" customHeight="true" outlineLevel="0" collapsed="false">
      <c r="A1215" s="34" t="s">
        <v>1443</v>
      </c>
      <c r="B1215" s="34" t="n">
        <v>193</v>
      </c>
      <c r="C1215" s="34" t="n">
        <v>-66.67</v>
      </c>
      <c r="D1215" s="34" t="n">
        <v>-71.06</v>
      </c>
      <c r="E1215" s="34" t="n">
        <v>-65.29</v>
      </c>
      <c r="F1215" s="34" t="n">
        <v>-94.23</v>
      </c>
      <c r="G1215" s="34" t="n">
        <v>-135.2</v>
      </c>
      <c r="H1215" s="34" t="n">
        <v>-115.55</v>
      </c>
      <c r="I1215" s="34" t="n">
        <v>-91.44</v>
      </c>
      <c r="J1215" s="34" t="n">
        <v>-102.52</v>
      </c>
      <c r="K1215" s="34" t="n">
        <v>210.59</v>
      </c>
      <c r="L1215" s="34" t="n">
        <f aca="false">AVERAGE(C1215:E1215)</f>
        <v>-67.6733333333334</v>
      </c>
      <c r="M1215" s="34" t="n">
        <f aca="false">AVERAGE(C1215:J1215)</f>
        <v>-92.745</v>
      </c>
    </row>
    <row r="1216" customFormat="false" ht="15" hidden="false" customHeight="true" outlineLevel="0" collapsed="false">
      <c r="A1216" s="34" t="s">
        <v>1444</v>
      </c>
      <c r="B1216" s="34" t="n">
        <v>192.97</v>
      </c>
      <c r="C1216" s="34" t="n">
        <v>66.67</v>
      </c>
      <c r="D1216" s="34" t="n">
        <v>133.33</v>
      </c>
      <c r="E1216" s="34" t="n">
        <v>40.26</v>
      </c>
      <c r="F1216" s="34" t="n">
        <v>-70.46</v>
      </c>
      <c r="G1216" s="34" t="n">
        <v>-123.92</v>
      </c>
      <c r="H1216" s="34" t="n">
        <v>-56.82</v>
      </c>
      <c r="I1216" s="34" t="n">
        <v>-12.39</v>
      </c>
      <c r="J1216" s="34" t="n">
        <v>-16.61</v>
      </c>
      <c r="K1216" s="34" t="n">
        <v>200.06</v>
      </c>
      <c r="L1216" s="34" t="n">
        <f aca="false">AVERAGE(C1216:E1216)</f>
        <v>80.0866666666667</v>
      </c>
      <c r="M1216" s="34" t="n">
        <f aca="false">AVERAGE(C1216:J1216)</f>
        <v>-4.9925</v>
      </c>
    </row>
    <row r="1217" customFormat="false" ht="15" hidden="false" customHeight="true" outlineLevel="0" collapsed="false">
      <c r="A1217" s="34" t="s">
        <v>1445</v>
      </c>
      <c r="B1217" s="34" t="n">
        <v>192.79</v>
      </c>
      <c r="C1217" s="34" t="n">
        <v>66.67</v>
      </c>
      <c r="D1217" s="34" t="n">
        <v>92.46</v>
      </c>
      <c r="E1217" s="34" t="n">
        <v>196.09</v>
      </c>
      <c r="F1217" s="34" t="n">
        <v>-15.15</v>
      </c>
      <c r="G1217" s="34" t="n">
        <v>-72.63</v>
      </c>
      <c r="H1217" s="34" t="n">
        <v>-89.13</v>
      </c>
      <c r="I1217" s="34" t="n">
        <v>-96.91</v>
      </c>
      <c r="J1217" s="34" t="n">
        <v>-109.02</v>
      </c>
      <c r="K1217" s="34" t="n">
        <v>171.08</v>
      </c>
      <c r="L1217" s="34" t="n">
        <f aca="false">AVERAGE(C1217:E1217)</f>
        <v>118.406666666667</v>
      </c>
      <c r="M1217" s="34" t="n">
        <f aca="false">AVERAGE(C1217:J1217)</f>
        <v>-3.4525</v>
      </c>
    </row>
    <row r="1218" customFormat="false" ht="15" hidden="false" customHeight="true" outlineLevel="0" collapsed="false">
      <c r="A1218" s="34" t="s">
        <v>337</v>
      </c>
      <c r="B1218" s="34" t="n">
        <v>192.75</v>
      </c>
      <c r="C1218" s="34" t="n">
        <v>66.67</v>
      </c>
      <c r="D1218" s="34" t="n">
        <v>24.03</v>
      </c>
      <c r="E1218" s="34" t="n">
        <v>83.19</v>
      </c>
      <c r="F1218" s="34" t="n">
        <v>-52.86</v>
      </c>
      <c r="G1218" s="34" t="n">
        <v>-85.22</v>
      </c>
      <c r="H1218" s="34" t="n">
        <v>-110.08</v>
      </c>
      <c r="I1218" s="34" t="n">
        <v>-107.19</v>
      </c>
      <c r="J1218" s="34" t="n">
        <v>-101.42</v>
      </c>
      <c r="K1218" s="34" t="n">
        <v>201.71</v>
      </c>
      <c r="L1218" s="34" t="n">
        <f aca="false">AVERAGE(C1218:E1218)</f>
        <v>57.9633333333333</v>
      </c>
      <c r="M1218" s="34" t="n">
        <f aca="false">AVERAGE(C1218:J1218)</f>
        <v>-35.36</v>
      </c>
    </row>
    <row r="1219" customFormat="false" ht="15" hidden="false" customHeight="true" outlineLevel="0" collapsed="false">
      <c r="A1219" s="34" t="s">
        <v>1446</v>
      </c>
      <c r="B1219" s="34" t="n">
        <v>192.25</v>
      </c>
      <c r="C1219" s="34" t="n">
        <v>-66.67</v>
      </c>
      <c r="D1219" s="34" t="n">
        <v>-87.89</v>
      </c>
      <c r="E1219" s="34" t="n">
        <v>57.62</v>
      </c>
      <c r="F1219" s="34" t="n">
        <v>95.14</v>
      </c>
      <c r="G1219" s="34" t="n">
        <v>107.68</v>
      </c>
      <c r="H1219" s="34" t="n">
        <v>143.11</v>
      </c>
      <c r="I1219" s="34" t="n">
        <v>181.5</v>
      </c>
      <c r="J1219" s="34" t="n">
        <v>213.68</v>
      </c>
      <c r="K1219" s="34" t="n">
        <v>177.48</v>
      </c>
      <c r="L1219" s="34" t="n">
        <f aca="false">AVERAGE(C1219:E1219)</f>
        <v>-32.3133333333333</v>
      </c>
      <c r="M1219" s="34" t="n">
        <f aca="false">AVERAGE(C1219:J1219)</f>
        <v>80.52125</v>
      </c>
    </row>
    <row r="1220" customFormat="false" ht="15" hidden="false" customHeight="true" outlineLevel="0" collapsed="false">
      <c r="A1220" s="34" t="s">
        <v>1447</v>
      </c>
      <c r="B1220" s="34" t="n">
        <v>191.81</v>
      </c>
      <c r="C1220" s="34" t="n">
        <v>66.67</v>
      </c>
      <c r="D1220" s="34" t="n">
        <v>75.34</v>
      </c>
      <c r="E1220" s="34" t="n">
        <v>-17.97</v>
      </c>
      <c r="F1220" s="34"/>
      <c r="G1220" s="34"/>
      <c r="H1220" s="34"/>
      <c r="I1220" s="34"/>
      <c r="J1220" s="34"/>
      <c r="K1220" s="34" t="n">
        <v>214.94</v>
      </c>
      <c r="L1220" s="34" t="n">
        <f aca="false">AVERAGE(C1220:E1220)</f>
        <v>41.3466666666667</v>
      </c>
      <c r="M1220" s="34" t="n">
        <f aca="false">AVERAGE(C1220:J1220)</f>
        <v>41.3466666666667</v>
      </c>
    </row>
    <row r="1221" customFormat="false" ht="15" hidden="false" customHeight="true" outlineLevel="0" collapsed="false">
      <c r="A1221" s="34" t="s">
        <v>1448</v>
      </c>
      <c r="B1221" s="34" t="n">
        <v>191.8</v>
      </c>
      <c r="C1221" s="34" t="n">
        <v>-66.67</v>
      </c>
      <c r="D1221" s="34" t="n">
        <v>-20.58</v>
      </c>
      <c r="E1221" s="34" t="n">
        <v>71.7</v>
      </c>
      <c r="F1221" s="34" t="n">
        <v>12.99</v>
      </c>
      <c r="G1221" s="34" t="n">
        <v>-34.53</v>
      </c>
      <c r="H1221" s="34" t="n">
        <v>15.75</v>
      </c>
      <c r="I1221" s="34" t="n">
        <v>46.15</v>
      </c>
      <c r="J1221" s="34" t="n">
        <v>58.91</v>
      </c>
      <c r="K1221" s="34" t="n">
        <v>188.37</v>
      </c>
      <c r="L1221" s="34" t="n">
        <f aca="false">AVERAGE(C1221:E1221)</f>
        <v>-5.18333333333333</v>
      </c>
      <c r="M1221" s="34" t="n">
        <f aca="false">AVERAGE(C1221:J1221)</f>
        <v>10.465</v>
      </c>
    </row>
    <row r="1222" customFormat="false" ht="15" hidden="false" customHeight="true" outlineLevel="0" collapsed="false">
      <c r="A1222" s="34" t="s">
        <v>393</v>
      </c>
      <c r="B1222" s="34" t="n">
        <v>191.51</v>
      </c>
      <c r="C1222" s="34" t="n">
        <v>-66.67</v>
      </c>
      <c r="D1222" s="34" t="n">
        <v>-133.33</v>
      </c>
      <c r="E1222" s="34" t="n">
        <v>-78.65</v>
      </c>
      <c r="F1222" s="34" t="n">
        <v>-94.6</v>
      </c>
      <c r="G1222" s="34" t="n">
        <v>-151.94</v>
      </c>
      <c r="H1222" s="34" t="n">
        <v>-63.21</v>
      </c>
      <c r="I1222" s="34" t="n">
        <v>-16.64</v>
      </c>
      <c r="J1222" s="34" t="n">
        <v>-0.846</v>
      </c>
      <c r="K1222" s="34" t="n">
        <v>205.36</v>
      </c>
      <c r="L1222" s="34" t="n">
        <f aca="false">AVERAGE(C1222:E1222)</f>
        <v>-92.8833333333333</v>
      </c>
      <c r="M1222" s="34" t="n">
        <f aca="false">AVERAGE(C1222:J1222)</f>
        <v>-75.73575</v>
      </c>
    </row>
    <row r="1223" customFormat="false" ht="15" hidden="false" customHeight="true" outlineLevel="0" collapsed="false">
      <c r="A1223" s="34" t="s">
        <v>1449</v>
      </c>
      <c r="B1223" s="34" t="n">
        <v>190.95</v>
      </c>
      <c r="C1223" s="34" t="n">
        <v>66.67</v>
      </c>
      <c r="D1223" s="34" t="n">
        <v>-49.61</v>
      </c>
      <c r="E1223" s="34" t="n">
        <v>31.74</v>
      </c>
      <c r="F1223" s="34" t="n">
        <v>-36.56</v>
      </c>
      <c r="G1223" s="34" t="n">
        <v>-84.35</v>
      </c>
      <c r="H1223" s="34" t="n">
        <v>-50.27</v>
      </c>
      <c r="I1223" s="34" t="n">
        <v>-30.54</v>
      </c>
      <c r="J1223" s="34" t="n">
        <v>-49.19</v>
      </c>
      <c r="K1223" s="34" t="n">
        <v>201.26</v>
      </c>
      <c r="L1223" s="34" t="n">
        <f aca="false">AVERAGE(C1223:E1223)</f>
        <v>16.2666666666667</v>
      </c>
      <c r="M1223" s="34" t="n">
        <f aca="false">AVERAGE(C1223:J1223)</f>
        <v>-25.26375</v>
      </c>
    </row>
    <row r="1224" customFormat="false" ht="15" hidden="false" customHeight="true" outlineLevel="0" collapsed="false">
      <c r="A1224" s="34" t="s">
        <v>1450</v>
      </c>
      <c r="B1224" s="34" t="n">
        <v>190.56</v>
      </c>
      <c r="C1224" s="34" t="n">
        <v>-66.67</v>
      </c>
      <c r="D1224" s="34" t="n">
        <v>-107.22</v>
      </c>
      <c r="E1224" s="34" t="n">
        <v>-28.99</v>
      </c>
      <c r="F1224" s="34" t="n">
        <v>-47.36</v>
      </c>
      <c r="G1224" s="34" t="n">
        <v>-23.89</v>
      </c>
      <c r="H1224" s="34" t="n">
        <v>-49.32</v>
      </c>
      <c r="I1224" s="34" t="n">
        <v>-2.05</v>
      </c>
      <c r="J1224" s="34" t="n">
        <v>3.66</v>
      </c>
      <c r="K1224" s="34" t="n">
        <v>206.17</v>
      </c>
      <c r="L1224" s="34" t="n">
        <f aca="false">AVERAGE(C1224:E1224)</f>
        <v>-67.6266666666667</v>
      </c>
      <c r="M1224" s="34" t="n">
        <f aca="false">AVERAGE(C1224:J1224)</f>
        <v>-40.23</v>
      </c>
    </row>
    <row r="1225" customFormat="false" ht="15" hidden="false" customHeight="true" outlineLevel="0" collapsed="false">
      <c r="A1225" s="34" t="s">
        <v>1451</v>
      </c>
      <c r="B1225" s="34" t="n">
        <v>190</v>
      </c>
      <c r="C1225" s="34" t="n">
        <v>-66.67</v>
      </c>
      <c r="D1225" s="34" t="n">
        <v>60.66</v>
      </c>
      <c r="E1225" s="34" t="n">
        <v>-9.81</v>
      </c>
      <c r="F1225" s="34" t="n">
        <v>-77.03</v>
      </c>
      <c r="G1225" s="34" t="n">
        <v>-109.69</v>
      </c>
      <c r="H1225" s="34" t="n">
        <v>-114.9</v>
      </c>
      <c r="I1225" s="34" t="n">
        <v>-83.97</v>
      </c>
      <c r="J1225" s="34" t="n">
        <v>-82.47</v>
      </c>
      <c r="K1225" s="34" t="n">
        <v>201.98</v>
      </c>
      <c r="L1225" s="34" t="n">
        <f aca="false">AVERAGE(C1225:E1225)</f>
        <v>-5.27333333333334</v>
      </c>
      <c r="M1225" s="34" t="n">
        <f aca="false">AVERAGE(C1225:J1225)</f>
        <v>-60.485</v>
      </c>
    </row>
    <row r="1226" customFormat="false" ht="15" hidden="false" customHeight="true" outlineLevel="0" collapsed="false">
      <c r="A1226" s="34" t="s">
        <v>1452</v>
      </c>
      <c r="B1226" s="34" t="n">
        <v>189.11</v>
      </c>
      <c r="C1226" s="34" t="n">
        <v>66.67</v>
      </c>
      <c r="D1226" s="34" t="n">
        <v>133.33</v>
      </c>
      <c r="E1226" s="34" t="n">
        <v>203.3</v>
      </c>
      <c r="F1226" s="34" t="n">
        <v>47.2</v>
      </c>
      <c r="G1226" s="34" t="n">
        <v>4.67</v>
      </c>
      <c r="H1226" s="34" t="n">
        <v>37.17</v>
      </c>
      <c r="I1226" s="34" t="n">
        <v>47.68</v>
      </c>
      <c r="J1226" s="34" t="n">
        <v>43.12</v>
      </c>
      <c r="K1226" s="34" t="n">
        <v>167.96</v>
      </c>
      <c r="L1226" s="34" t="n">
        <f aca="false">AVERAGE(C1226:E1226)</f>
        <v>134.433333333333</v>
      </c>
      <c r="M1226" s="34" t="n">
        <f aca="false">AVERAGE(C1226:J1226)</f>
        <v>72.8925</v>
      </c>
    </row>
    <row r="1227" customFormat="false" ht="15" hidden="false" customHeight="true" outlineLevel="0" collapsed="false">
      <c r="A1227" s="34" t="s">
        <v>39</v>
      </c>
      <c r="B1227" s="34" t="n">
        <v>188.87</v>
      </c>
      <c r="C1227" s="34" t="n">
        <v>-66.67</v>
      </c>
      <c r="D1227" s="34" t="n">
        <v>-85.22</v>
      </c>
      <c r="E1227" s="34" t="n">
        <v>26.66</v>
      </c>
      <c r="F1227" s="34" t="n">
        <v>1.02</v>
      </c>
      <c r="G1227" s="34" t="n">
        <v>25.97</v>
      </c>
      <c r="H1227" s="34" t="n">
        <v>55.76</v>
      </c>
      <c r="I1227" s="34" t="n">
        <v>59.28</v>
      </c>
      <c r="J1227" s="34" t="n">
        <v>42.73</v>
      </c>
      <c r="K1227" s="34" t="n">
        <v>184.17</v>
      </c>
      <c r="L1227" s="34" t="n">
        <f aca="false">AVERAGE(C1227:E1227)</f>
        <v>-41.7433333333333</v>
      </c>
      <c r="M1227" s="34" t="n">
        <f aca="false">AVERAGE(C1227:J1227)</f>
        <v>7.44125</v>
      </c>
    </row>
    <row r="1228" customFormat="false" ht="15" hidden="false" customHeight="true" outlineLevel="0" collapsed="false">
      <c r="A1228" s="34" t="s">
        <v>1453</v>
      </c>
      <c r="B1228" s="34" t="n">
        <v>188</v>
      </c>
      <c r="C1228" s="34" t="n">
        <v>-66.67</v>
      </c>
      <c r="D1228" s="34" t="n">
        <v>10.54</v>
      </c>
      <c r="E1228" s="34" t="n">
        <v>89.28</v>
      </c>
      <c r="F1228" s="34" t="n">
        <v>138.51</v>
      </c>
      <c r="G1228" s="34" t="n">
        <v>161.16</v>
      </c>
      <c r="H1228" s="34" t="n">
        <v>190.62</v>
      </c>
      <c r="I1228" s="34" t="n">
        <v>232.99</v>
      </c>
      <c r="J1228" s="34" t="n">
        <v>255.09</v>
      </c>
      <c r="K1228" s="34" t="n">
        <v>176.73</v>
      </c>
      <c r="L1228" s="34" t="n">
        <f aca="false">AVERAGE(C1228:E1228)</f>
        <v>11.05</v>
      </c>
      <c r="M1228" s="34" t="n">
        <f aca="false">AVERAGE(C1228:J1228)</f>
        <v>126.44</v>
      </c>
    </row>
    <row r="1229" customFormat="false" ht="15" hidden="false" customHeight="true" outlineLevel="0" collapsed="false">
      <c r="A1229" s="34" t="s">
        <v>352</v>
      </c>
      <c r="B1229" s="34" t="n">
        <v>187.96</v>
      </c>
      <c r="C1229" s="34" t="n">
        <v>-66.67</v>
      </c>
      <c r="D1229" s="34" t="n">
        <v>-65.44</v>
      </c>
      <c r="E1229" s="34" t="n">
        <v>41.55</v>
      </c>
      <c r="F1229" s="34" t="n">
        <v>93.82</v>
      </c>
      <c r="G1229" s="34" t="n">
        <v>99.8</v>
      </c>
      <c r="H1229" s="34" t="n">
        <v>124.93</v>
      </c>
      <c r="I1229" s="34" t="n">
        <v>143.43</v>
      </c>
      <c r="J1229" s="34" t="n">
        <v>135.82</v>
      </c>
      <c r="K1229" s="34" t="n">
        <v>178.61</v>
      </c>
      <c r="L1229" s="34" t="n">
        <f aca="false">AVERAGE(C1229:E1229)</f>
        <v>-30.1866666666667</v>
      </c>
      <c r="M1229" s="34" t="n">
        <f aca="false">AVERAGE(C1229:J1229)</f>
        <v>63.405</v>
      </c>
    </row>
    <row r="1230" customFormat="false" ht="15" hidden="false" customHeight="true" outlineLevel="0" collapsed="false">
      <c r="A1230" s="34" t="s">
        <v>1454</v>
      </c>
      <c r="B1230" s="34" t="n">
        <v>187.9</v>
      </c>
      <c r="C1230" s="34" t="n">
        <v>-66.67</v>
      </c>
      <c r="D1230" s="34" t="n">
        <v>-101.31</v>
      </c>
      <c r="E1230" s="34" t="n">
        <v>49.18</v>
      </c>
      <c r="F1230" s="34" t="n">
        <v>21.33</v>
      </c>
      <c r="G1230" s="34" t="n">
        <v>73.97</v>
      </c>
      <c r="H1230" s="34" t="n">
        <v>90.2</v>
      </c>
      <c r="I1230" s="34" t="n">
        <v>90.06</v>
      </c>
      <c r="J1230" s="34" t="n">
        <v>85.82</v>
      </c>
      <c r="K1230" s="34" t="n">
        <v>180.48</v>
      </c>
      <c r="L1230" s="34" t="n">
        <f aca="false">AVERAGE(C1230:E1230)</f>
        <v>-39.6</v>
      </c>
      <c r="M1230" s="34" t="n">
        <f aca="false">AVERAGE(C1230:J1230)</f>
        <v>30.3225</v>
      </c>
    </row>
    <row r="1231" customFormat="false" ht="15" hidden="false" customHeight="true" outlineLevel="0" collapsed="false">
      <c r="A1231" s="34" t="s">
        <v>1455</v>
      </c>
      <c r="B1231" s="34" t="n">
        <v>187.66</v>
      </c>
      <c r="C1231" s="34" t="n">
        <v>-66.67</v>
      </c>
      <c r="D1231" s="34" t="n">
        <v>-59.36</v>
      </c>
      <c r="E1231" s="34" t="n">
        <v>-32.14</v>
      </c>
      <c r="F1231" s="34" t="n">
        <v>-88.15</v>
      </c>
      <c r="G1231" s="34" t="n">
        <v>-104.25</v>
      </c>
      <c r="H1231" s="34" t="n">
        <v>-72.26</v>
      </c>
      <c r="I1231" s="34" t="n">
        <v>-14.66</v>
      </c>
      <c r="J1231" s="34" t="n">
        <v>-8.36</v>
      </c>
      <c r="K1231" s="34" t="n">
        <v>197.76</v>
      </c>
      <c r="L1231" s="34" t="n">
        <f aca="false">AVERAGE(C1231:E1231)</f>
        <v>-52.7233333333333</v>
      </c>
      <c r="M1231" s="34" t="n">
        <f aca="false">AVERAGE(C1231:J1231)</f>
        <v>-55.73125</v>
      </c>
    </row>
    <row r="1232" customFormat="false" ht="15" hidden="false" customHeight="true" outlineLevel="0" collapsed="false">
      <c r="A1232" s="34" t="s">
        <v>1456</v>
      </c>
      <c r="B1232" s="34" t="n">
        <v>186.57</v>
      </c>
      <c r="C1232" s="34" t="n">
        <v>-66.67</v>
      </c>
      <c r="D1232" s="34" t="n">
        <v>48.02</v>
      </c>
      <c r="E1232" s="34" t="n">
        <v>98.74</v>
      </c>
      <c r="F1232" s="34" t="n">
        <v>-29.66</v>
      </c>
      <c r="G1232" s="34" t="n">
        <v>-69.14</v>
      </c>
      <c r="H1232" s="34" t="n">
        <v>-39.15</v>
      </c>
      <c r="I1232" s="34" t="n">
        <v>-14.04</v>
      </c>
      <c r="J1232" s="34" t="n">
        <v>-0.615</v>
      </c>
      <c r="K1232" s="34" t="n">
        <v>170.21</v>
      </c>
      <c r="L1232" s="34" t="n">
        <f aca="false">AVERAGE(C1232:E1232)</f>
        <v>26.6966666666667</v>
      </c>
      <c r="M1232" s="34" t="n">
        <f aca="false">AVERAGE(C1232:J1232)</f>
        <v>-9.064375</v>
      </c>
    </row>
    <row r="1233" customFormat="false" ht="15" hidden="false" customHeight="true" outlineLevel="0" collapsed="false">
      <c r="A1233" s="34" t="s">
        <v>1457</v>
      </c>
      <c r="B1233" s="34" t="n">
        <v>186.25</v>
      </c>
      <c r="C1233" s="34" t="n">
        <v>66.67</v>
      </c>
      <c r="D1233" s="34" t="n">
        <v>66.05</v>
      </c>
      <c r="E1233" s="34" t="n">
        <v>130.93</v>
      </c>
      <c r="F1233" s="34" t="n">
        <v>112.85</v>
      </c>
      <c r="G1233" s="34" t="n">
        <v>120.54</v>
      </c>
      <c r="H1233" s="34" t="n">
        <v>132.97</v>
      </c>
      <c r="I1233" s="34" t="n">
        <v>168.72</v>
      </c>
      <c r="J1233" s="34" t="n">
        <v>141.27</v>
      </c>
      <c r="K1233" s="34" t="n">
        <v>167.58</v>
      </c>
      <c r="L1233" s="34" t="n">
        <f aca="false">AVERAGE(C1233:E1233)</f>
        <v>87.8833333333333</v>
      </c>
      <c r="M1233" s="34" t="n">
        <f aca="false">AVERAGE(C1233:J1233)</f>
        <v>117.5</v>
      </c>
    </row>
    <row r="1234" customFormat="false" ht="15" hidden="false" customHeight="true" outlineLevel="0" collapsed="false">
      <c r="A1234" s="34" t="s">
        <v>502</v>
      </c>
      <c r="B1234" s="34" t="n">
        <v>185.94</v>
      </c>
      <c r="C1234" s="34" t="n">
        <v>-66.67</v>
      </c>
      <c r="D1234" s="34" t="n">
        <v>47.43</v>
      </c>
      <c r="E1234" s="34" t="n">
        <v>117.18</v>
      </c>
      <c r="F1234" s="34" t="n">
        <v>-25.55</v>
      </c>
      <c r="G1234" s="34" t="n">
        <v>-60.56</v>
      </c>
      <c r="H1234" s="34" t="n">
        <v>-63.71</v>
      </c>
      <c r="I1234" s="34" t="n">
        <v>-15.17</v>
      </c>
      <c r="J1234" s="34" t="n">
        <v>-8.55</v>
      </c>
      <c r="K1234" s="34" t="n">
        <v>177.47</v>
      </c>
      <c r="L1234" s="34" t="n">
        <f aca="false">AVERAGE(C1234:E1234)</f>
        <v>32.6466666666667</v>
      </c>
      <c r="M1234" s="34" t="n">
        <f aca="false">AVERAGE(C1234:J1234)</f>
        <v>-9.45</v>
      </c>
    </row>
    <row r="1235" customFormat="false" ht="15" hidden="false" customHeight="true" outlineLevel="0" collapsed="false">
      <c r="A1235" s="34" t="s">
        <v>1458</v>
      </c>
      <c r="B1235" s="34" t="n">
        <v>185.19</v>
      </c>
      <c r="C1235" s="34" t="n">
        <v>-66.67</v>
      </c>
      <c r="D1235" s="34" t="n">
        <v>22.41</v>
      </c>
      <c r="E1235" s="34" t="n">
        <v>47.24</v>
      </c>
      <c r="F1235" s="34" t="n">
        <v>-70.25</v>
      </c>
      <c r="G1235" s="34" t="n">
        <v>-108.16</v>
      </c>
      <c r="H1235" s="34" t="n">
        <v>-94.13</v>
      </c>
      <c r="I1235" s="34" t="n">
        <v>-35.32</v>
      </c>
      <c r="J1235" s="34" t="n">
        <v>-46.59</v>
      </c>
      <c r="K1235" s="34" t="n">
        <v>195.01</v>
      </c>
      <c r="L1235" s="34" t="n">
        <f aca="false">AVERAGE(C1235:E1235)</f>
        <v>0.993333333333335</v>
      </c>
      <c r="M1235" s="34" t="n">
        <f aca="false">AVERAGE(C1235:J1235)</f>
        <v>-43.93375</v>
      </c>
    </row>
    <row r="1236" customFormat="false" ht="15" hidden="false" customHeight="true" outlineLevel="0" collapsed="false">
      <c r="A1236" s="34" t="s">
        <v>1459</v>
      </c>
      <c r="B1236" s="34" t="n">
        <v>183.97</v>
      </c>
      <c r="C1236" s="34" t="n">
        <v>-66.67</v>
      </c>
      <c r="D1236" s="34" t="n">
        <v>44.25</v>
      </c>
      <c r="E1236" s="34" t="n">
        <v>103.36</v>
      </c>
      <c r="F1236" s="34" t="n">
        <v>-2.17</v>
      </c>
      <c r="G1236" s="34" t="n">
        <v>-45.67</v>
      </c>
      <c r="H1236" s="34" t="n">
        <v>-37.05</v>
      </c>
      <c r="I1236" s="34" t="n">
        <v>-15.8</v>
      </c>
      <c r="J1236" s="34" t="n">
        <v>-43.71</v>
      </c>
      <c r="K1236" s="34" t="n">
        <v>174.59</v>
      </c>
      <c r="L1236" s="34" t="n">
        <f aca="false">AVERAGE(C1236:E1236)</f>
        <v>26.98</v>
      </c>
      <c r="M1236" s="34" t="n">
        <f aca="false">AVERAGE(C1236:J1236)</f>
        <v>-7.9325</v>
      </c>
    </row>
    <row r="1237" customFormat="false" ht="15" hidden="false" customHeight="true" outlineLevel="0" collapsed="false">
      <c r="A1237" s="34" t="s">
        <v>1460</v>
      </c>
      <c r="B1237" s="34" t="n">
        <v>183.05</v>
      </c>
      <c r="C1237" s="34" t="n">
        <v>-66.67</v>
      </c>
      <c r="D1237" s="34" t="n">
        <v>-102.03</v>
      </c>
      <c r="E1237" s="34" t="n">
        <v>-116.52</v>
      </c>
      <c r="F1237" s="34" t="n">
        <v>-85.26</v>
      </c>
      <c r="G1237" s="34" t="n">
        <v>-109.77</v>
      </c>
      <c r="H1237" s="34" t="n">
        <v>-4.26</v>
      </c>
      <c r="I1237" s="34" t="n">
        <v>29.12</v>
      </c>
      <c r="J1237" s="34" t="n">
        <v>45.22</v>
      </c>
      <c r="K1237" s="34" t="n">
        <v>193.47</v>
      </c>
      <c r="L1237" s="34" t="n">
        <f aca="false">AVERAGE(C1237:E1237)</f>
        <v>-95.0733333333333</v>
      </c>
      <c r="M1237" s="34" t="n">
        <f aca="false">AVERAGE(C1237:J1237)</f>
        <v>-51.27125</v>
      </c>
    </row>
    <row r="1238" customFormat="false" ht="15" hidden="false" customHeight="true" outlineLevel="0" collapsed="false">
      <c r="A1238" s="34" t="s">
        <v>1461</v>
      </c>
      <c r="B1238" s="34" t="n">
        <v>182.75</v>
      </c>
      <c r="C1238" s="34" t="n">
        <v>-66.67</v>
      </c>
      <c r="D1238" s="34" t="n">
        <v>40.25</v>
      </c>
      <c r="E1238" s="34" t="n">
        <v>103.78</v>
      </c>
      <c r="F1238" s="34" t="n">
        <v>52.86</v>
      </c>
      <c r="G1238" s="34" t="n">
        <v>57.8</v>
      </c>
      <c r="H1238" s="34" t="n">
        <v>75.47</v>
      </c>
      <c r="I1238" s="34" t="n">
        <v>84.08</v>
      </c>
      <c r="J1238" s="34" t="n">
        <v>87.96</v>
      </c>
      <c r="K1238" s="34" t="n">
        <v>169.4</v>
      </c>
      <c r="L1238" s="34" t="n">
        <f aca="false">AVERAGE(C1238:E1238)</f>
        <v>25.7866666666667</v>
      </c>
      <c r="M1238" s="34" t="n">
        <f aca="false">AVERAGE(C1238:J1238)</f>
        <v>54.44125</v>
      </c>
    </row>
    <row r="1239" customFormat="false" ht="15" hidden="false" customHeight="true" outlineLevel="0" collapsed="false">
      <c r="A1239" s="34" t="s">
        <v>1462</v>
      </c>
      <c r="B1239" s="34" t="n">
        <v>182.35</v>
      </c>
      <c r="C1239" s="34" t="n">
        <v>-66.67</v>
      </c>
      <c r="D1239" s="34" t="n">
        <v>-4.43</v>
      </c>
      <c r="E1239" s="34" t="n">
        <v>79.27</v>
      </c>
      <c r="F1239" s="34" t="n">
        <v>-50.13</v>
      </c>
      <c r="G1239" s="34" t="n">
        <v>-105.1</v>
      </c>
      <c r="H1239" s="34" t="n">
        <v>-48.34</v>
      </c>
      <c r="I1239" s="34" t="n">
        <v>-8.7</v>
      </c>
      <c r="J1239" s="34" t="n">
        <v>2.99</v>
      </c>
      <c r="K1239" s="34" t="n">
        <v>191.81</v>
      </c>
      <c r="L1239" s="34" t="n">
        <f aca="false">AVERAGE(C1239:E1239)</f>
        <v>2.72333333333333</v>
      </c>
      <c r="M1239" s="34" t="n">
        <f aca="false">AVERAGE(C1239:J1239)</f>
        <v>-25.13875</v>
      </c>
    </row>
    <row r="1240" customFormat="false" ht="15" hidden="false" customHeight="true" outlineLevel="0" collapsed="false">
      <c r="A1240" s="34" t="s">
        <v>1463</v>
      </c>
      <c r="B1240" s="34" t="n">
        <v>182.23</v>
      </c>
      <c r="C1240" s="34" t="n">
        <v>66.67</v>
      </c>
      <c r="D1240" s="34" t="n">
        <v>82.76</v>
      </c>
      <c r="E1240" s="34" t="n">
        <v>89.12</v>
      </c>
      <c r="F1240" s="34" t="n">
        <v>-57.75</v>
      </c>
      <c r="G1240" s="34" t="n">
        <v>-118.77</v>
      </c>
      <c r="H1240" s="34" t="n">
        <v>-126.66</v>
      </c>
      <c r="I1240" s="34" t="n">
        <v>-94.64</v>
      </c>
      <c r="J1240" s="34" t="n">
        <v>-102.47</v>
      </c>
      <c r="K1240" s="34" t="n">
        <v>191.74</v>
      </c>
      <c r="L1240" s="34" t="n">
        <f aca="false">AVERAGE(C1240:E1240)</f>
        <v>79.5166666666667</v>
      </c>
      <c r="M1240" s="34" t="n">
        <f aca="false">AVERAGE(C1240:J1240)</f>
        <v>-32.7175</v>
      </c>
    </row>
    <row r="1241" customFormat="false" ht="15" hidden="false" customHeight="true" outlineLevel="0" collapsed="false">
      <c r="A1241" s="34" t="s">
        <v>1464</v>
      </c>
      <c r="B1241" s="34" t="n">
        <v>182.22</v>
      </c>
      <c r="C1241" s="34" t="n">
        <v>-66.67</v>
      </c>
      <c r="D1241" s="34" t="n">
        <v>27.15</v>
      </c>
      <c r="E1241" s="34" t="n">
        <v>16.57</v>
      </c>
      <c r="F1241" s="34" t="n">
        <v>-92.38</v>
      </c>
      <c r="G1241" s="34" t="n">
        <v>-150.76</v>
      </c>
      <c r="H1241" s="34" t="n">
        <v>-117.85</v>
      </c>
      <c r="I1241" s="34" t="n">
        <v>-81.81</v>
      </c>
      <c r="J1241" s="34" t="n">
        <v>-83.12</v>
      </c>
      <c r="K1241" s="34" t="n">
        <v>189.72</v>
      </c>
      <c r="L1241" s="34" t="n">
        <f aca="false">AVERAGE(C1241:E1241)</f>
        <v>-7.65</v>
      </c>
      <c r="M1241" s="34" t="n">
        <f aca="false">AVERAGE(C1241:J1241)</f>
        <v>-68.60875</v>
      </c>
    </row>
    <row r="1242" customFormat="false" ht="15" hidden="false" customHeight="true" outlineLevel="0" collapsed="false">
      <c r="A1242" s="34" t="s">
        <v>1465</v>
      </c>
      <c r="B1242" s="34" t="n">
        <v>181.43</v>
      </c>
      <c r="C1242" s="34" t="n">
        <v>-66.67</v>
      </c>
      <c r="D1242" s="34" t="n">
        <v>-107.49</v>
      </c>
      <c r="E1242" s="34" t="n">
        <v>39.58</v>
      </c>
      <c r="F1242" s="34" t="n">
        <v>-44.53</v>
      </c>
      <c r="G1242" s="34" t="n">
        <v>-93.65</v>
      </c>
      <c r="H1242" s="34" t="n">
        <v>-35.29</v>
      </c>
      <c r="I1242" s="34" t="n">
        <v>-17.36</v>
      </c>
      <c r="J1242" s="34" t="n">
        <v>-45.71</v>
      </c>
      <c r="K1242" s="34" t="n">
        <v>167.91</v>
      </c>
      <c r="L1242" s="34" t="n">
        <f aca="false">AVERAGE(C1242:E1242)</f>
        <v>-44.86</v>
      </c>
      <c r="M1242" s="34" t="n">
        <f aca="false">AVERAGE(C1242:J1242)</f>
        <v>-46.39</v>
      </c>
    </row>
    <row r="1243" customFormat="false" ht="15" hidden="false" customHeight="true" outlineLevel="0" collapsed="false">
      <c r="A1243" s="34" t="s">
        <v>1466</v>
      </c>
      <c r="B1243" s="34" t="n">
        <v>181.01</v>
      </c>
      <c r="C1243" s="34" t="n">
        <v>-66.67</v>
      </c>
      <c r="D1243" s="34" t="n">
        <v>-126.4</v>
      </c>
      <c r="E1243" s="34" t="n">
        <v>-31.09</v>
      </c>
      <c r="F1243" s="34" t="n">
        <v>-72.27</v>
      </c>
      <c r="G1243" s="34" t="n">
        <v>-41.63</v>
      </c>
      <c r="H1243" s="34" t="n">
        <v>-8.58</v>
      </c>
      <c r="I1243" s="34" t="n">
        <v>5.77</v>
      </c>
      <c r="J1243" s="34" t="n">
        <v>-25.63</v>
      </c>
      <c r="K1243" s="34" t="n">
        <v>195.24</v>
      </c>
      <c r="L1243" s="34" t="n">
        <f aca="false">AVERAGE(C1243:E1243)</f>
        <v>-74.72</v>
      </c>
      <c r="M1243" s="34" t="n">
        <f aca="false">AVERAGE(C1243:J1243)</f>
        <v>-45.8125</v>
      </c>
    </row>
    <row r="1244" customFormat="false" ht="15" hidden="false" customHeight="true" outlineLevel="0" collapsed="false">
      <c r="A1244" s="34" t="s">
        <v>1467</v>
      </c>
      <c r="B1244" s="34" t="n">
        <v>180.5</v>
      </c>
      <c r="C1244" s="34" t="n">
        <v>66.67</v>
      </c>
      <c r="D1244" s="34" t="n">
        <v>-65.08</v>
      </c>
      <c r="E1244" s="34" t="n">
        <v>36.27</v>
      </c>
      <c r="F1244" s="34" t="n">
        <v>2.33</v>
      </c>
      <c r="G1244" s="34" t="n">
        <v>37.85</v>
      </c>
      <c r="H1244" s="34" t="n">
        <v>55.22</v>
      </c>
      <c r="I1244" s="34" t="n">
        <v>64.35</v>
      </c>
      <c r="J1244" s="34" t="n">
        <v>72.77</v>
      </c>
      <c r="K1244" s="34" t="n">
        <v>184.5</v>
      </c>
      <c r="L1244" s="34" t="n">
        <f aca="false">AVERAGE(C1244:E1244)</f>
        <v>12.62</v>
      </c>
      <c r="M1244" s="34" t="n">
        <f aca="false">AVERAGE(C1244:J1244)</f>
        <v>33.7975</v>
      </c>
    </row>
    <row r="1245" customFormat="false" ht="15" hidden="false" customHeight="true" outlineLevel="0" collapsed="false">
      <c r="A1245" s="34" t="s">
        <v>1468</v>
      </c>
      <c r="B1245" s="34" t="n">
        <v>180.5</v>
      </c>
      <c r="C1245" s="34" t="n">
        <v>-66.67</v>
      </c>
      <c r="D1245" s="34" t="n">
        <v>-20.95</v>
      </c>
      <c r="E1245" s="34" t="n">
        <v>-51.75</v>
      </c>
      <c r="F1245" s="34" t="n">
        <v>-94.26</v>
      </c>
      <c r="G1245" s="34" t="n">
        <v>-94.3</v>
      </c>
      <c r="H1245" s="34" t="n">
        <v>-23.63</v>
      </c>
      <c r="I1245" s="34" t="n">
        <v>6.87</v>
      </c>
      <c r="J1245" s="34" t="n">
        <v>5.85</v>
      </c>
      <c r="K1245" s="34" t="n">
        <v>192.93</v>
      </c>
      <c r="L1245" s="34" t="n">
        <f aca="false">AVERAGE(C1245:E1245)</f>
        <v>-46.4566666666667</v>
      </c>
      <c r="M1245" s="34" t="n">
        <f aca="false">AVERAGE(C1245:J1245)</f>
        <v>-42.355</v>
      </c>
    </row>
    <row r="1246" customFormat="false" ht="15" hidden="false" customHeight="true" outlineLevel="0" collapsed="false">
      <c r="A1246" s="34" t="s">
        <v>1469</v>
      </c>
      <c r="B1246" s="34" t="n">
        <v>180.15</v>
      </c>
      <c r="C1246" s="34" t="n">
        <v>66.67</v>
      </c>
      <c r="D1246" s="34" t="n">
        <v>-2.63</v>
      </c>
      <c r="E1246" s="34" t="n">
        <v>80.15</v>
      </c>
      <c r="F1246" s="34" t="n">
        <v>-54.43</v>
      </c>
      <c r="G1246" s="34" t="n">
        <v>-95.27</v>
      </c>
      <c r="H1246" s="34" t="n">
        <v>0.76</v>
      </c>
      <c r="I1246" s="34" t="n">
        <v>24.59</v>
      </c>
      <c r="J1246" s="34" t="n">
        <v>38.56</v>
      </c>
      <c r="K1246" s="34" t="n">
        <v>194.32</v>
      </c>
      <c r="L1246" s="34" t="n">
        <f aca="false">AVERAGE(C1246:E1246)</f>
        <v>48.0633333333333</v>
      </c>
      <c r="M1246" s="34" t="n">
        <f aca="false">AVERAGE(C1246:J1246)</f>
        <v>7.3</v>
      </c>
    </row>
    <row r="1247" customFormat="false" ht="15" hidden="false" customHeight="true" outlineLevel="0" collapsed="false">
      <c r="A1247" s="34" t="s">
        <v>1470</v>
      </c>
      <c r="B1247" s="34" t="n">
        <v>180</v>
      </c>
      <c r="C1247" s="34" t="n">
        <v>66.67</v>
      </c>
      <c r="D1247" s="34" t="n">
        <v>35.9</v>
      </c>
      <c r="E1247" s="34" t="n">
        <v>-32.55</v>
      </c>
      <c r="F1247" s="34" t="n">
        <v>-82.78</v>
      </c>
      <c r="G1247" s="34" t="n">
        <v>-116.24</v>
      </c>
      <c r="H1247" s="34" t="n">
        <v>-98.45</v>
      </c>
      <c r="I1247" s="34" t="n">
        <v>-95.51</v>
      </c>
      <c r="J1247" s="34" t="n">
        <v>-89.55</v>
      </c>
      <c r="K1247" s="34" t="n">
        <v>188.61</v>
      </c>
      <c r="L1247" s="34" t="n">
        <f aca="false">AVERAGE(C1247:E1247)</f>
        <v>23.34</v>
      </c>
      <c r="M1247" s="34" t="n">
        <f aca="false">AVERAGE(C1247:J1247)</f>
        <v>-51.56375</v>
      </c>
    </row>
    <row r="1248" customFormat="false" ht="15" hidden="false" customHeight="true" outlineLevel="0" collapsed="false">
      <c r="A1248" s="34" t="s">
        <v>1471</v>
      </c>
      <c r="B1248" s="34" t="n">
        <v>179.96</v>
      </c>
      <c r="C1248" s="34" t="n">
        <v>-66.67</v>
      </c>
      <c r="D1248" s="34" t="n">
        <v>-117.52</v>
      </c>
      <c r="E1248" s="34" t="n">
        <v>-63.38</v>
      </c>
      <c r="F1248" s="34" t="n">
        <v>-122.48</v>
      </c>
      <c r="G1248" s="34" t="n">
        <v>-186.27</v>
      </c>
      <c r="H1248" s="34" t="n">
        <v>-194.86</v>
      </c>
      <c r="I1248" s="34" t="n">
        <v>-161.7</v>
      </c>
      <c r="J1248" s="34" t="n">
        <v>-178.22</v>
      </c>
      <c r="K1248" s="34" t="n">
        <v>196.59</v>
      </c>
      <c r="L1248" s="34" t="n">
        <f aca="false">AVERAGE(C1248:E1248)</f>
        <v>-82.5233333333333</v>
      </c>
      <c r="M1248" s="34" t="n">
        <f aca="false">AVERAGE(C1248:J1248)</f>
        <v>-136.3875</v>
      </c>
    </row>
    <row r="1249" customFormat="false" ht="15" hidden="false" customHeight="true" outlineLevel="0" collapsed="false">
      <c r="A1249" s="34" t="s">
        <v>1472</v>
      </c>
      <c r="B1249" s="34" t="n">
        <v>178.65</v>
      </c>
      <c r="C1249" s="34" t="n">
        <v>66.67</v>
      </c>
      <c r="D1249" s="34" t="n">
        <v>97.62</v>
      </c>
      <c r="E1249" s="34" t="n">
        <v>142.95</v>
      </c>
      <c r="F1249" s="34" t="n">
        <v>-62.16</v>
      </c>
      <c r="G1249" s="34" t="n">
        <v>-90.54</v>
      </c>
      <c r="H1249" s="34" t="n">
        <v>-26.73</v>
      </c>
      <c r="I1249" s="34" t="n">
        <v>7.23</v>
      </c>
      <c r="J1249" s="34" t="n">
        <v>4.94</v>
      </c>
      <c r="K1249" s="34" t="n">
        <v>187.16</v>
      </c>
      <c r="L1249" s="34" t="n">
        <f aca="false">AVERAGE(C1249:E1249)</f>
        <v>102.413333333333</v>
      </c>
      <c r="M1249" s="34" t="n">
        <f aca="false">AVERAGE(C1249:J1249)</f>
        <v>17.4975</v>
      </c>
    </row>
    <row r="1250" customFormat="false" ht="15" hidden="false" customHeight="true" outlineLevel="0" collapsed="false">
      <c r="A1250" s="34" t="s">
        <v>1473</v>
      </c>
      <c r="B1250" s="34" t="n">
        <v>178.18</v>
      </c>
      <c r="C1250" s="34" t="n">
        <v>66.67</v>
      </c>
      <c r="D1250" s="34" t="n">
        <v>115.92</v>
      </c>
      <c r="E1250" s="34" t="n">
        <v>198.74</v>
      </c>
      <c r="F1250" s="34" t="n">
        <v>101.35</v>
      </c>
      <c r="G1250" s="34" t="n">
        <v>123.96</v>
      </c>
      <c r="H1250" s="34" t="n">
        <v>121.35</v>
      </c>
      <c r="I1250" s="34" t="n">
        <v>128.7</v>
      </c>
      <c r="J1250" s="34" t="n">
        <v>133.62</v>
      </c>
      <c r="K1250" s="34" t="n">
        <v>163.76</v>
      </c>
      <c r="L1250" s="34" t="n">
        <f aca="false">AVERAGE(C1250:E1250)</f>
        <v>127.11</v>
      </c>
      <c r="M1250" s="34" t="n">
        <f aca="false">AVERAGE(C1250:J1250)</f>
        <v>123.78875</v>
      </c>
    </row>
    <row r="1251" customFormat="false" ht="15" hidden="false" customHeight="true" outlineLevel="0" collapsed="false">
      <c r="A1251" s="34" t="s">
        <v>1474</v>
      </c>
      <c r="B1251" s="34" t="n">
        <v>177.8</v>
      </c>
      <c r="C1251" s="34" t="n">
        <v>66.67</v>
      </c>
      <c r="D1251" s="34" t="n">
        <v>29.82</v>
      </c>
      <c r="E1251" s="34" t="n">
        <v>-34.16</v>
      </c>
      <c r="F1251" s="34" t="n">
        <v>-96.24</v>
      </c>
      <c r="G1251" s="34" t="n">
        <v>-148.16</v>
      </c>
      <c r="H1251" s="34" t="n">
        <v>-91.47</v>
      </c>
      <c r="I1251" s="34" t="n">
        <v>-45.39</v>
      </c>
      <c r="J1251" s="34" t="n">
        <v>-53.66</v>
      </c>
      <c r="K1251" s="34" t="n">
        <v>191</v>
      </c>
      <c r="L1251" s="34" t="n">
        <f aca="false">AVERAGE(C1251:E1251)</f>
        <v>20.7766666666667</v>
      </c>
      <c r="M1251" s="34" t="n">
        <f aca="false">AVERAGE(C1251:J1251)</f>
        <v>-46.57375</v>
      </c>
    </row>
    <row r="1252" customFormat="false" ht="15" hidden="false" customHeight="true" outlineLevel="0" collapsed="false">
      <c r="A1252" s="34" t="s">
        <v>1475</v>
      </c>
      <c r="B1252" s="34" t="n">
        <v>177.15</v>
      </c>
      <c r="C1252" s="34" t="n">
        <v>-66.67</v>
      </c>
      <c r="D1252" s="34" t="n">
        <v>28.87</v>
      </c>
      <c r="E1252" s="34" t="n">
        <v>106.4</v>
      </c>
      <c r="F1252" s="34" t="n">
        <v>-24.56</v>
      </c>
      <c r="G1252" s="34" t="n">
        <v>-51.88</v>
      </c>
      <c r="H1252" s="34" t="n">
        <v>24.84</v>
      </c>
      <c r="I1252" s="34" t="n">
        <v>45.51</v>
      </c>
      <c r="J1252" s="34" t="n">
        <v>58.03</v>
      </c>
      <c r="K1252" s="34" t="n">
        <v>170.31</v>
      </c>
      <c r="L1252" s="34" t="n">
        <f aca="false">AVERAGE(C1252:E1252)</f>
        <v>22.8666666666667</v>
      </c>
      <c r="M1252" s="34" t="n">
        <f aca="false">AVERAGE(C1252:J1252)</f>
        <v>15.0675</v>
      </c>
    </row>
    <row r="1253" customFormat="false" ht="15" hidden="false" customHeight="true" outlineLevel="0" collapsed="false">
      <c r="A1253" s="34" t="s">
        <v>180</v>
      </c>
      <c r="B1253" s="34" t="n">
        <v>176.81</v>
      </c>
      <c r="C1253" s="34" t="n">
        <v>-66.67</v>
      </c>
      <c r="D1253" s="34" t="n">
        <v>9.43</v>
      </c>
      <c r="E1253" s="34" t="n">
        <v>88.22</v>
      </c>
      <c r="F1253" s="34" t="n">
        <v>-22.93</v>
      </c>
      <c r="G1253" s="34" t="n">
        <v>-80.7</v>
      </c>
      <c r="H1253" s="34" t="n">
        <v>-110.65</v>
      </c>
      <c r="I1253" s="34" t="n">
        <v>-34.56</v>
      </c>
      <c r="J1253" s="34" t="n">
        <v>-16.88</v>
      </c>
      <c r="K1253" s="34" t="n">
        <v>171.86</v>
      </c>
      <c r="L1253" s="34" t="n">
        <f aca="false">AVERAGE(C1253:E1253)</f>
        <v>10.3266666666667</v>
      </c>
      <c r="M1253" s="34" t="n">
        <f aca="false">AVERAGE(C1253:J1253)</f>
        <v>-29.3425</v>
      </c>
    </row>
    <row r="1254" customFormat="false" ht="15" hidden="false" customHeight="true" outlineLevel="0" collapsed="false">
      <c r="A1254" s="34" t="s">
        <v>1476</v>
      </c>
      <c r="B1254" s="34" t="n">
        <v>176.57</v>
      </c>
      <c r="C1254" s="34" t="n">
        <v>-66.67</v>
      </c>
      <c r="D1254" s="34" t="n">
        <v>-42.33</v>
      </c>
      <c r="E1254" s="34" t="n">
        <v>-24.19</v>
      </c>
      <c r="F1254" s="34" t="n">
        <v>-94.41</v>
      </c>
      <c r="G1254" s="34" t="n">
        <v>-143.3</v>
      </c>
      <c r="H1254" s="34" t="n">
        <v>-106.02</v>
      </c>
      <c r="I1254" s="34" t="n">
        <v>-37.53</v>
      </c>
      <c r="J1254" s="34" t="n">
        <v>-40.86</v>
      </c>
      <c r="K1254" s="34" t="n">
        <v>183.57</v>
      </c>
      <c r="L1254" s="34" t="n">
        <f aca="false">AVERAGE(C1254:E1254)</f>
        <v>-44.3966666666667</v>
      </c>
      <c r="M1254" s="34" t="n">
        <f aca="false">AVERAGE(C1254:J1254)</f>
        <v>-69.41375</v>
      </c>
    </row>
    <row r="1255" customFormat="false" ht="15" hidden="false" customHeight="true" outlineLevel="0" collapsed="false">
      <c r="A1255" s="34" t="s">
        <v>540</v>
      </c>
      <c r="B1255" s="34" t="n">
        <v>176.21</v>
      </c>
      <c r="C1255" s="34" t="n">
        <v>-66.67</v>
      </c>
      <c r="D1255" s="34" t="n">
        <v>-79.29</v>
      </c>
      <c r="E1255" s="34" t="n">
        <v>-82.76</v>
      </c>
      <c r="F1255" s="34" t="n">
        <v>-64.1</v>
      </c>
      <c r="G1255" s="34" t="n">
        <v>-97.5</v>
      </c>
      <c r="H1255" s="34" t="n">
        <v>-74.77</v>
      </c>
      <c r="I1255" s="34" t="n">
        <v>-21.75</v>
      </c>
      <c r="J1255" s="34" t="n">
        <v>-3.55</v>
      </c>
      <c r="K1255" s="34" t="n">
        <v>192.52</v>
      </c>
      <c r="L1255" s="34" t="n">
        <f aca="false">AVERAGE(C1255:E1255)</f>
        <v>-76.24</v>
      </c>
      <c r="M1255" s="34" t="n">
        <f aca="false">AVERAGE(C1255:J1255)</f>
        <v>-61.29875</v>
      </c>
    </row>
    <row r="1256" customFormat="false" ht="15" hidden="false" customHeight="true" outlineLevel="0" collapsed="false">
      <c r="A1256" s="34" t="s">
        <v>1477</v>
      </c>
      <c r="B1256" s="34" t="n">
        <v>175.85</v>
      </c>
      <c r="C1256" s="34" t="n">
        <v>-66.67</v>
      </c>
      <c r="D1256" s="34" t="n">
        <v>-110.63</v>
      </c>
      <c r="E1256" s="34" t="n">
        <v>27.71</v>
      </c>
      <c r="F1256" s="34" t="n">
        <v>-41.29</v>
      </c>
      <c r="G1256" s="34" t="n">
        <v>-92.09</v>
      </c>
      <c r="H1256" s="34" t="n">
        <v>-10.7</v>
      </c>
      <c r="I1256" s="34" t="n">
        <v>25.69</v>
      </c>
      <c r="J1256" s="34" t="n">
        <v>32.99</v>
      </c>
      <c r="K1256" s="34" t="n">
        <v>182.29</v>
      </c>
      <c r="L1256" s="34" t="n">
        <f aca="false">AVERAGE(C1256:E1256)</f>
        <v>-49.8633333333333</v>
      </c>
      <c r="M1256" s="34" t="n">
        <f aca="false">AVERAGE(C1256:J1256)</f>
        <v>-29.37375</v>
      </c>
    </row>
    <row r="1257" customFormat="false" ht="15" hidden="false" customHeight="true" outlineLevel="0" collapsed="false">
      <c r="A1257" s="34" t="s">
        <v>1478</v>
      </c>
      <c r="B1257" s="34" t="n">
        <v>175.6</v>
      </c>
      <c r="C1257" s="34" t="n">
        <v>-66.67</v>
      </c>
      <c r="D1257" s="34" t="n">
        <v>-20.52</v>
      </c>
      <c r="E1257" s="34" t="n">
        <v>57.55</v>
      </c>
      <c r="F1257" s="34" t="n">
        <v>-58.49</v>
      </c>
      <c r="G1257" s="34" t="n">
        <v>-94.82</v>
      </c>
      <c r="H1257" s="34" t="n">
        <v>-50.48</v>
      </c>
      <c r="I1257" s="34" t="n">
        <v>-8.98</v>
      </c>
      <c r="J1257" s="34" t="n">
        <v>-1.65</v>
      </c>
      <c r="K1257" s="34" t="n">
        <v>186.13</v>
      </c>
      <c r="L1257" s="34" t="n">
        <f aca="false">AVERAGE(C1257:E1257)</f>
        <v>-9.88</v>
      </c>
      <c r="M1257" s="34" t="n">
        <f aca="false">AVERAGE(C1257:J1257)</f>
        <v>-30.5075</v>
      </c>
    </row>
    <row r="1258" customFormat="false" ht="15" hidden="false" customHeight="true" outlineLevel="0" collapsed="false">
      <c r="A1258" s="34" t="s">
        <v>1479</v>
      </c>
      <c r="B1258" s="34" t="n">
        <v>174.79</v>
      </c>
      <c r="C1258" s="34" t="n">
        <v>66.67</v>
      </c>
      <c r="D1258" s="34" t="n">
        <v>57.98</v>
      </c>
      <c r="E1258" s="34" t="n">
        <v>120.23</v>
      </c>
      <c r="F1258" s="34" t="n">
        <v>270.48</v>
      </c>
      <c r="G1258" s="34" t="n">
        <v>408.84</v>
      </c>
      <c r="H1258" s="34" t="n">
        <v>491.39</v>
      </c>
      <c r="I1258" s="34" t="n">
        <v>253.82</v>
      </c>
      <c r="J1258" s="34" t="n">
        <v>269.11</v>
      </c>
      <c r="K1258" s="34" t="n">
        <v>159.03</v>
      </c>
      <c r="L1258" s="34" t="n">
        <f aca="false">AVERAGE(C1258:E1258)</f>
        <v>81.6266666666667</v>
      </c>
      <c r="M1258" s="34" t="n">
        <f aca="false">AVERAGE(C1258:J1258)</f>
        <v>242.315</v>
      </c>
    </row>
    <row r="1259" customFormat="false" ht="15" hidden="false" customHeight="true" outlineLevel="0" collapsed="false">
      <c r="A1259" s="34" t="s">
        <v>1480</v>
      </c>
      <c r="B1259" s="34" t="n">
        <v>174.63</v>
      </c>
      <c r="C1259" s="34" t="n">
        <v>66.67</v>
      </c>
      <c r="D1259" s="34" t="n">
        <v>-60.83</v>
      </c>
      <c r="E1259" s="34" t="n">
        <v>33.9</v>
      </c>
      <c r="F1259" s="34" t="n">
        <v>-26.86</v>
      </c>
      <c r="G1259" s="34" t="n">
        <v>-39.37</v>
      </c>
      <c r="H1259" s="34" t="n">
        <v>0.077</v>
      </c>
      <c r="I1259" s="34" t="n">
        <v>34.45</v>
      </c>
      <c r="J1259" s="34" t="n">
        <v>6.08</v>
      </c>
      <c r="K1259" s="34" t="n">
        <v>177.57</v>
      </c>
      <c r="L1259" s="34" t="n">
        <f aca="false">AVERAGE(C1259:E1259)</f>
        <v>13.2466666666667</v>
      </c>
      <c r="M1259" s="34" t="n">
        <f aca="false">AVERAGE(C1259:J1259)</f>
        <v>1.764625</v>
      </c>
    </row>
    <row r="1260" customFormat="false" ht="15" hidden="false" customHeight="true" outlineLevel="0" collapsed="false">
      <c r="A1260" s="34" t="s">
        <v>1481</v>
      </c>
      <c r="B1260" s="34" t="n">
        <v>174.24</v>
      </c>
      <c r="C1260" s="34" t="n">
        <v>66.67</v>
      </c>
      <c r="D1260" s="34" t="n">
        <v>100.4</v>
      </c>
      <c r="E1260" s="34" t="n">
        <v>167.58</v>
      </c>
      <c r="F1260" s="34" t="n">
        <v>211.17</v>
      </c>
      <c r="G1260" s="34" t="n">
        <v>145.51</v>
      </c>
      <c r="H1260" s="34" t="n">
        <v>141.06</v>
      </c>
      <c r="I1260" s="34" t="n">
        <v>97.17</v>
      </c>
      <c r="J1260" s="34" t="n">
        <v>33.12</v>
      </c>
      <c r="K1260" s="34" t="n">
        <v>164.74</v>
      </c>
      <c r="L1260" s="34" t="n">
        <f aca="false">AVERAGE(C1260:E1260)</f>
        <v>111.55</v>
      </c>
      <c r="M1260" s="34" t="n">
        <f aca="false">AVERAGE(C1260:J1260)</f>
        <v>120.335</v>
      </c>
    </row>
    <row r="1261" customFormat="false" ht="15" hidden="false" customHeight="true" outlineLevel="0" collapsed="false">
      <c r="A1261" s="34" t="s">
        <v>1482</v>
      </c>
      <c r="B1261" s="34" t="n">
        <v>173.94</v>
      </c>
      <c r="C1261" s="34" t="n">
        <v>66.67</v>
      </c>
      <c r="D1261" s="34" t="n">
        <v>55.4</v>
      </c>
      <c r="E1261" s="34" t="n">
        <v>65.79</v>
      </c>
      <c r="F1261" s="34" t="n">
        <v>56.8</v>
      </c>
      <c r="G1261" s="34" t="n">
        <v>-26.83</v>
      </c>
      <c r="H1261" s="34" t="n">
        <v>-3.91</v>
      </c>
      <c r="I1261" s="34" t="n">
        <v>29.19</v>
      </c>
      <c r="J1261" s="34"/>
      <c r="K1261" s="34" t="n">
        <v>162.34</v>
      </c>
      <c r="L1261" s="34" t="n">
        <f aca="false">AVERAGE(C1261:E1261)</f>
        <v>62.62</v>
      </c>
      <c r="M1261" s="34" t="n">
        <f aca="false">AVERAGE(C1261:J1261)</f>
        <v>34.73</v>
      </c>
    </row>
    <row r="1262" customFormat="false" ht="15" hidden="false" customHeight="true" outlineLevel="0" collapsed="false">
      <c r="A1262" s="34" t="s">
        <v>67</v>
      </c>
      <c r="B1262" s="34" t="n">
        <v>173.23</v>
      </c>
      <c r="C1262" s="34" t="n">
        <v>-66.67</v>
      </c>
      <c r="D1262" s="34" t="n">
        <v>17.19</v>
      </c>
      <c r="E1262" s="34" t="n">
        <v>89.22</v>
      </c>
      <c r="F1262" s="34" t="n">
        <v>10.17</v>
      </c>
      <c r="G1262" s="34" t="n">
        <v>-20.72</v>
      </c>
      <c r="H1262" s="34" t="n">
        <v>17.33</v>
      </c>
      <c r="I1262" s="34" t="n">
        <v>51.21</v>
      </c>
      <c r="J1262" s="34" t="n">
        <v>63.45</v>
      </c>
      <c r="K1262" s="34" t="n">
        <v>166.71</v>
      </c>
      <c r="L1262" s="34" t="n">
        <f aca="false">AVERAGE(C1262:E1262)</f>
        <v>13.2466666666667</v>
      </c>
      <c r="M1262" s="34" t="n">
        <f aca="false">AVERAGE(C1262:J1262)</f>
        <v>20.1475</v>
      </c>
    </row>
    <row r="1263" customFormat="false" ht="15" hidden="false" customHeight="true" outlineLevel="0" collapsed="false">
      <c r="A1263" s="34" t="s">
        <v>1483</v>
      </c>
      <c r="B1263" s="34" t="n">
        <v>172.7</v>
      </c>
      <c r="C1263" s="34" t="n">
        <v>66.67</v>
      </c>
      <c r="D1263" s="34" t="n">
        <v>85.3</v>
      </c>
      <c r="E1263" s="34" t="n">
        <v>155.15</v>
      </c>
      <c r="F1263" s="34" t="n">
        <v>261.39</v>
      </c>
      <c r="G1263" s="34" t="n">
        <v>417.65</v>
      </c>
      <c r="H1263" s="34" t="n">
        <v>423.21</v>
      </c>
      <c r="I1263" s="34" t="n">
        <v>372.68</v>
      </c>
      <c r="J1263" s="34" t="n">
        <v>286.69</v>
      </c>
      <c r="K1263" s="34" t="n">
        <v>151.91</v>
      </c>
      <c r="L1263" s="34" t="n">
        <f aca="false">AVERAGE(C1263:E1263)</f>
        <v>102.373333333333</v>
      </c>
      <c r="M1263" s="34" t="n">
        <f aca="false">AVERAGE(C1263:J1263)</f>
        <v>258.5925</v>
      </c>
    </row>
    <row r="1264" customFormat="false" ht="15" hidden="false" customHeight="true" outlineLevel="0" collapsed="false">
      <c r="A1264" s="34" t="s">
        <v>1484</v>
      </c>
      <c r="B1264" s="34" t="n">
        <v>172.46</v>
      </c>
      <c r="C1264" s="34" t="n">
        <v>66.67</v>
      </c>
      <c r="D1264" s="34" t="n">
        <v>54.1</v>
      </c>
      <c r="E1264" s="34" t="n">
        <v>56.92</v>
      </c>
      <c r="F1264" s="34" t="n">
        <v>-78.12</v>
      </c>
      <c r="G1264" s="34" t="n">
        <v>-125.95</v>
      </c>
      <c r="H1264" s="34" t="n">
        <v>-167.72</v>
      </c>
      <c r="I1264" s="34" t="n">
        <v>-108.23</v>
      </c>
      <c r="J1264" s="34" t="n">
        <v>-102.07</v>
      </c>
      <c r="K1264" s="34" t="n">
        <v>176.51</v>
      </c>
      <c r="L1264" s="34" t="n">
        <f aca="false">AVERAGE(C1264:E1264)</f>
        <v>59.23</v>
      </c>
      <c r="M1264" s="34" t="n">
        <f aca="false">AVERAGE(C1264:J1264)</f>
        <v>-50.55</v>
      </c>
    </row>
    <row r="1265" customFormat="false" ht="15" hidden="false" customHeight="true" outlineLevel="0" collapsed="false">
      <c r="A1265" s="34" t="s">
        <v>1485</v>
      </c>
      <c r="B1265" s="34" t="n">
        <v>172.33</v>
      </c>
      <c r="C1265" s="34" t="n">
        <v>-66.67</v>
      </c>
      <c r="D1265" s="34" t="n">
        <v>-58.89</v>
      </c>
      <c r="E1265" s="34" t="n">
        <v>22.95</v>
      </c>
      <c r="F1265" s="34" t="n">
        <v>-65.37</v>
      </c>
      <c r="G1265" s="34" t="n">
        <v>-83.09</v>
      </c>
      <c r="H1265" s="34" t="n">
        <v>-91.28</v>
      </c>
      <c r="I1265" s="34" t="n">
        <v>-115.8</v>
      </c>
      <c r="J1265" s="34" t="n">
        <v>-113.36</v>
      </c>
      <c r="K1265" s="34" t="n">
        <v>180.47</v>
      </c>
      <c r="L1265" s="34" t="n">
        <f aca="false">AVERAGE(C1265:E1265)</f>
        <v>-34.2033333333333</v>
      </c>
      <c r="M1265" s="34" t="n">
        <f aca="false">AVERAGE(C1265:J1265)</f>
        <v>-71.43875</v>
      </c>
    </row>
    <row r="1266" customFormat="false" ht="15" hidden="false" customHeight="true" outlineLevel="0" collapsed="false">
      <c r="A1266" s="34" t="s">
        <v>1486</v>
      </c>
      <c r="B1266" s="34" t="n">
        <v>172.13</v>
      </c>
      <c r="C1266" s="34" t="n">
        <v>-66.67</v>
      </c>
      <c r="D1266" s="34" t="n">
        <v>58.65</v>
      </c>
      <c r="E1266" s="34" t="n">
        <v>108.67</v>
      </c>
      <c r="F1266" s="34" t="n">
        <v>52.83</v>
      </c>
      <c r="G1266" s="34" t="n">
        <v>72.46</v>
      </c>
      <c r="H1266" s="34" t="n">
        <v>86.52</v>
      </c>
      <c r="I1266" s="34" t="n">
        <v>92.64</v>
      </c>
      <c r="J1266" s="34" t="n">
        <v>100.02</v>
      </c>
      <c r="K1266" s="34" t="n">
        <v>160</v>
      </c>
      <c r="L1266" s="34" t="n">
        <f aca="false">AVERAGE(C1266:E1266)</f>
        <v>33.55</v>
      </c>
      <c r="M1266" s="34" t="n">
        <f aca="false">AVERAGE(C1266:J1266)</f>
        <v>63.14</v>
      </c>
    </row>
    <row r="1267" customFormat="false" ht="15" hidden="false" customHeight="true" outlineLevel="0" collapsed="false">
      <c r="A1267" s="34" t="s">
        <v>1487</v>
      </c>
      <c r="B1267" s="34" t="n">
        <v>171.94</v>
      </c>
      <c r="C1267" s="34" t="n">
        <v>66.67</v>
      </c>
      <c r="D1267" s="34" t="n">
        <v>64.3</v>
      </c>
      <c r="E1267" s="34" t="n">
        <v>103.74</v>
      </c>
      <c r="F1267" s="34" t="n">
        <v>90.68</v>
      </c>
      <c r="G1267" s="34" t="n">
        <v>109.31</v>
      </c>
      <c r="H1267" s="34" t="n">
        <v>143.5</v>
      </c>
      <c r="I1267" s="34" t="n">
        <v>163.43</v>
      </c>
      <c r="J1267" s="34" t="n">
        <v>185.06</v>
      </c>
      <c r="K1267" s="34" t="n">
        <v>158.86</v>
      </c>
      <c r="L1267" s="34" t="n">
        <f aca="false">AVERAGE(C1267:E1267)</f>
        <v>78.2366666666667</v>
      </c>
      <c r="M1267" s="34" t="n">
        <f aca="false">AVERAGE(C1267:J1267)</f>
        <v>115.83625</v>
      </c>
    </row>
    <row r="1268" customFormat="false" ht="15" hidden="false" customHeight="true" outlineLevel="0" collapsed="false">
      <c r="A1268" s="34" t="s">
        <v>1488</v>
      </c>
      <c r="B1268" s="34" t="n">
        <v>171.72</v>
      </c>
      <c r="C1268" s="34" t="n">
        <v>-66.67</v>
      </c>
      <c r="D1268" s="34" t="n">
        <v>-132.51</v>
      </c>
      <c r="E1268" s="34" t="n">
        <v>-5.91</v>
      </c>
      <c r="F1268" s="34" t="n">
        <v>-75.95</v>
      </c>
      <c r="G1268" s="34" t="n">
        <v>-111.65</v>
      </c>
      <c r="H1268" s="34" t="n">
        <v>-131.89</v>
      </c>
      <c r="I1268" s="34" t="n">
        <v>-67.85</v>
      </c>
      <c r="J1268" s="34" t="n">
        <v>-70.96</v>
      </c>
      <c r="K1268" s="34" t="n">
        <v>182.5</v>
      </c>
      <c r="L1268" s="34" t="n">
        <f aca="false">AVERAGE(C1268:E1268)</f>
        <v>-68.3633333333333</v>
      </c>
      <c r="M1268" s="34" t="n">
        <f aca="false">AVERAGE(C1268:J1268)</f>
        <v>-82.92375</v>
      </c>
    </row>
    <row r="1269" customFormat="false" ht="15" hidden="false" customHeight="true" outlineLevel="0" collapsed="false">
      <c r="A1269" s="34" t="s">
        <v>1489</v>
      </c>
      <c r="B1269" s="34" t="n">
        <v>171.38</v>
      </c>
      <c r="C1269" s="34" t="n">
        <v>-66.67</v>
      </c>
      <c r="D1269" s="34" t="n">
        <v>5.85</v>
      </c>
      <c r="E1269" s="34" t="n">
        <v>74.37</v>
      </c>
      <c r="F1269" s="34" t="n">
        <v>-38.76</v>
      </c>
      <c r="G1269" s="34" t="n">
        <v>-52.46</v>
      </c>
      <c r="H1269" s="34" t="n">
        <v>21.31</v>
      </c>
      <c r="I1269" s="34" t="n">
        <v>47.43</v>
      </c>
      <c r="J1269" s="34" t="n">
        <v>58.68</v>
      </c>
      <c r="K1269" s="34" t="n">
        <v>173.95</v>
      </c>
      <c r="L1269" s="34" t="n">
        <f aca="false">AVERAGE(C1269:E1269)</f>
        <v>4.51666666666667</v>
      </c>
      <c r="M1269" s="34" t="n">
        <f aca="false">AVERAGE(C1269:J1269)</f>
        <v>6.21875</v>
      </c>
    </row>
    <row r="1270" customFormat="false" ht="15" hidden="false" customHeight="true" outlineLevel="0" collapsed="false">
      <c r="A1270" s="34" t="s">
        <v>432</v>
      </c>
      <c r="B1270" s="34" t="n">
        <v>171.19</v>
      </c>
      <c r="C1270" s="34" t="n">
        <v>-66.67</v>
      </c>
      <c r="D1270" s="34" t="n">
        <v>50.2</v>
      </c>
      <c r="E1270" s="34" t="n">
        <v>90.56</v>
      </c>
      <c r="F1270" s="34" t="n">
        <v>-57.62</v>
      </c>
      <c r="G1270" s="34" t="n">
        <v>-103.73</v>
      </c>
      <c r="H1270" s="34" t="n">
        <v>-52.66</v>
      </c>
      <c r="I1270" s="34" t="n">
        <v>-15.2</v>
      </c>
      <c r="J1270" s="34" t="n">
        <v>-22.85</v>
      </c>
      <c r="K1270" s="34" t="n">
        <v>177.22</v>
      </c>
      <c r="L1270" s="34" t="n">
        <f aca="false">AVERAGE(C1270:E1270)</f>
        <v>24.6966666666667</v>
      </c>
      <c r="M1270" s="34" t="n">
        <f aca="false">AVERAGE(C1270:J1270)</f>
        <v>-22.24625</v>
      </c>
    </row>
    <row r="1271" customFormat="false" ht="15" hidden="false" customHeight="true" outlineLevel="0" collapsed="false">
      <c r="A1271" s="34" t="s">
        <v>1490</v>
      </c>
      <c r="B1271" s="34" t="n">
        <v>171.11</v>
      </c>
      <c r="C1271" s="34" t="n">
        <v>-66.67</v>
      </c>
      <c r="D1271" s="34" t="n">
        <v>-72.98</v>
      </c>
      <c r="E1271" s="34" t="n">
        <v>-83.55</v>
      </c>
      <c r="F1271" s="34" t="n">
        <v>-120.48</v>
      </c>
      <c r="G1271" s="34"/>
      <c r="H1271" s="34"/>
      <c r="I1271" s="34"/>
      <c r="J1271" s="34"/>
      <c r="K1271" s="34" t="n">
        <v>186.69</v>
      </c>
      <c r="L1271" s="34" t="n">
        <f aca="false">AVERAGE(C1271:E1271)</f>
        <v>-74.4</v>
      </c>
      <c r="M1271" s="34" t="n">
        <f aca="false">AVERAGE(C1271:J1271)</f>
        <v>-85.92</v>
      </c>
    </row>
    <row r="1272" customFormat="false" ht="15" hidden="false" customHeight="true" outlineLevel="0" collapsed="false">
      <c r="A1272" s="34" t="s">
        <v>1491</v>
      </c>
      <c r="B1272" s="34" t="n">
        <v>171</v>
      </c>
      <c r="C1272" s="34" t="n">
        <v>-66.67</v>
      </c>
      <c r="D1272" s="34" t="n">
        <v>-104.16</v>
      </c>
      <c r="E1272" s="34" t="n">
        <v>39.02</v>
      </c>
      <c r="F1272" s="34" t="n">
        <v>73.18</v>
      </c>
      <c r="G1272" s="34" t="n">
        <v>24.89</v>
      </c>
      <c r="H1272" s="34" t="n">
        <v>-34.62</v>
      </c>
      <c r="I1272" s="34" t="n">
        <v>-50.71</v>
      </c>
      <c r="J1272" s="34" t="n">
        <v>-58.7</v>
      </c>
      <c r="K1272" s="34" t="n">
        <v>160.68</v>
      </c>
      <c r="L1272" s="34" t="n">
        <f aca="false">AVERAGE(C1272:E1272)</f>
        <v>-43.9366666666667</v>
      </c>
      <c r="M1272" s="34" t="n">
        <f aca="false">AVERAGE(C1272:J1272)</f>
        <v>-22.22125</v>
      </c>
    </row>
    <row r="1273" customFormat="false" ht="15" hidden="false" customHeight="true" outlineLevel="0" collapsed="false">
      <c r="A1273" s="34" t="s">
        <v>1492</v>
      </c>
      <c r="B1273" s="34" t="n">
        <v>170.85</v>
      </c>
      <c r="C1273" s="34" t="n">
        <v>-66.67</v>
      </c>
      <c r="D1273" s="34" t="n">
        <v>-16.97</v>
      </c>
      <c r="E1273" s="34" t="n">
        <v>-35.59</v>
      </c>
      <c r="F1273" s="34" t="n">
        <v>-104.72</v>
      </c>
      <c r="G1273" s="34" t="n">
        <v>-119.15</v>
      </c>
      <c r="H1273" s="34" t="n">
        <v>-110.94</v>
      </c>
      <c r="I1273" s="34" t="n">
        <v>-27.49</v>
      </c>
      <c r="J1273" s="34" t="n">
        <v>-36.49</v>
      </c>
      <c r="K1273" s="34" t="n">
        <v>188.86</v>
      </c>
      <c r="L1273" s="34" t="n">
        <f aca="false">AVERAGE(C1273:E1273)</f>
        <v>-39.7433333333333</v>
      </c>
      <c r="M1273" s="34" t="n">
        <f aca="false">AVERAGE(C1273:J1273)</f>
        <v>-64.7525</v>
      </c>
    </row>
    <row r="1274" customFormat="false" ht="15" hidden="false" customHeight="true" outlineLevel="0" collapsed="false">
      <c r="A1274" s="34" t="s">
        <v>384</v>
      </c>
      <c r="B1274" s="34" t="n">
        <v>170.2</v>
      </c>
      <c r="C1274" s="34" t="n">
        <v>-66.67</v>
      </c>
      <c r="D1274" s="34" t="n">
        <v>45.78</v>
      </c>
      <c r="E1274" s="34" t="n">
        <v>105.27</v>
      </c>
      <c r="F1274" s="34" t="n">
        <v>52.22</v>
      </c>
      <c r="G1274" s="34" t="n">
        <v>55.76</v>
      </c>
      <c r="H1274" s="34" t="n">
        <v>11.8</v>
      </c>
      <c r="I1274" s="34" t="n">
        <v>39.83</v>
      </c>
      <c r="J1274" s="34" t="n">
        <v>28.63</v>
      </c>
      <c r="K1274" s="34" t="n">
        <v>161.53</v>
      </c>
      <c r="L1274" s="34" t="n">
        <f aca="false">AVERAGE(C1274:E1274)</f>
        <v>28.1266666666667</v>
      </c>
      <c r="M1274" s="34" t="n">
        <f aca="false">AVERAGE(C1274:J1274)</f>
        <v>34.0775</v>
      </c>
    </row>
    <row r="1275" customFormat="false" ht="15" hidden="false" customHeight="true" outlineLevel="0" collapsed="false">
      <c r="A1275" s="34" t="s">
        <v>1493</v>
      </c>
      <c r="B1275" s="34" t="n">
        <v>170.15</v>
      </c>
      <c r="C1275" s="34" t="n">
        <v>-66.67</v>
      </c>
      <c r="D1275" s="34" t="n">
        <v>-27.45</v>
      </c>
      <c r="E1275" s="34" t="n">
        <v>57.41</v>
      </c>
      <c r="F1275" s="34" t="n">
        <v>-30.46</v>
      </c>
      <c r="G1275" s="34" t="n">
        <v>-72.98</v>
      </c>
      <c r="H1275" s="34" t="n">
        <v>-3.44</v>
      </c>
      <c r="I1275" s="34" t="n">
        <v>18.38</v>
      </c>
      <c r="J1275" s="34" t="n">
        <v>7.4</v>
      </c>
      <c r="K1275" s="34" t="n">
        <v>167.12</v>
      </c>
      <c r="L1275" s="34" t="n">
        <f aca="false">AVERAGE(C1275:E1275)</f>
        <v>-12.2366666666667</v>
      </c>
      <c r="M1275" s="34" t="n">
        <f aca="false">AVERAGE(C1275:J1275)</f>
        <v>-14.72625</v>
      </c>
    </row>
    <row r="1276" customFormat="false" ht="15" hidden="false" customHeight="true" outlineLevel="0" collapsed="false">
      <c r="A1276" s="34" t="s">
        <v>1494</v>
      </c>
      <c r="B1276" s="34" t="n">
        <v>169.89</v>
      </c>
      <c r="C1276" s="34" t="n">
        <v>-66.67</v>
      </c>
      <c r="D1276" s="34" t="n">
        <v>-106.15</v>
      </c>
      <c r="E1276" s="34" t="n">
        <v>-94.18</v>
      </c>
      <c r="F1276" s="34" t="n">
        <v>-85.16</v>
      </c>
      <c r="G1276" s="34" t="n">
        <v>-118.9</v>
      </c>
      <c r="H1276" s="34" t="n">
        <v>-72.98</v>
      </c>
      <c r="I1276" s="34" t="n">
        <v>-14.81</v>
      </c>
      <c r="J1276" s="34" t="n">
        <v>-22.4</v>
      </c>
      <c r="K1276" s="34" t="n">
        <v>185.17</v>
      </c>
      <c r="L1276" s="34" t="n">
        <f aca="false">AVERAGE(C1276:E1276)</f>
        <v>-89</v>
      </c>
      <c r="M1276" s="34" t="n">
        <f aca="false">AVERAGE(C1276:J1276)</f>
        <v>-72.65625</v>
      </c>
    </row>
    <row r="1277" customFormat="false" ht="15" hidden="false" customHeight="true" outlineLevel="0" collapsed="false">
      <c r="A1277" s="34" t="s">
        <v>1495</v>
      </c>
      <c r="B1277" s="34" t="n">
        <v>169.59</v>
      </c>
      <c r="C1277" s="34" t="n">
        <v>66.67</v>
      </c>
      <c r="D1277" s="34" t="n">
        <v>67.93</v>
      </c>
      <c r="E1277" s="34" t="n">
        <v>105.8</v>
      </c>
      <c r="F1277" s="34" t="n">
        <v>-55.06</v>
      </c>
      <c r="G1277" s="34" t="n">
        <v>-54.77</v>
      </c>
      <c r="H1277" s="34" t="n">
        <v>7.39</v>
      </c>
      <c r="I1277" s="34" t="n">
        <v>27.66</v>
      </c>
      <c r="J1277" s="34" t="n">
        <v>18.97</v>
      </c>
      <c r="K1277" s="34" t="n">
        <v>173.82</v>
      </c>
      <c r="L1277" s="34" t="n">
        <f aca="false">AVERAGE(C1277:E1277)</f>
        <v>80.1333333333333</v>
      </c>
      <c r="M1277" s="34" t="n">
        <f aca="false">AVERAGE(C1277:J1277)</f>
        <v>23.07375</v>
      </c>
    </row>
    <row r="1278" customFormat="false" ht="15" hidden="false" customHeight="true" outlineLevel="0" collapsed="false">
      <c r="A1278" s="34" t="s">
        <v>476</v>
      </c>
      <c r="B1278" s="34" t="n">
        <v>169.45</v>
      </c>
      <c r="C1278" s="34" t="n">
        <v>66.67</v>
      </c>
      <c r="D1278" s="34" t="n">
        <v>94.4</v>
      </c>
      <c r="E1278" s="34" t="n">
        <v>182.74</v>
      </c>
      <c r="F1278" s="34" t="n">
        <v>261.83</v>
      </c>
      <c r="G1278" s="34" t="n">
        <v>245.93</v>
      </c>
      <c r="H1278" s="34" t="n">
        <v>296.12</v>
      </c>
      <c r="I1278" s="34" t="n">
        <v>307.55</v>
      </c>
      <c r="J1278" s="34" t="n">
        <v>324.6</v>
      </c>
      <c r="K1278" s="34" t="n">
        <v>157.23</v>
      </c>
      <c r="L1278" s="34" t="n">
        <f aca="false">AVERAGE(C1278:E1278)</f>
        <v>114.603333333333</v>
      </c>
      <c r="M1278" s="34" t="n">
        <f aca="false">AVERAGE(C1278:J1278)</f>
        <v>222.48</v>
      </c>
    </row>
    <row r="1279" customFormat="false" ht="15" hidden="false" customHeight="true" outlineLevel="0" collapsed="false">
      <c r="A1279" s="34" t="s">
        <v>1496</v>
      </c>
      <c r="B1279" s="34" t="n">
        <v>169.18</v>
      </c>
      <c r="C1279" s="34" t="n">
        <v>-66.67</v>
      </c>
      <c r="D1279" s="34" t="n">
        <v>-48.29</v>
      </c>
      <c r="E1279" s="34" t="n">
        <v>68.38</v>
      </c>
      <c r="F1279" s="34" t="n">
        <v>8.8</v>
      </c>
      <c r="G1279" s="34" t="n">
        <v>-36.58</v>
      </c>
      <c r="H1279" s="34" t="n">
        <v>-6.91</v>
      </c>
      <c r="I1279" s="34" t="n">
        <v>25.34</v>
      </c>
      <c r="J1279" s="34" t="n">
        <v>22.61</v>
      </c>
      <c r="K1279" s="34" t="n">
        <v>158.06</v>
      </c>
      <c r="L1279" s="34" t="n">
        <f aca="false">AVERAGE(C1279:E1279)</f>
        <v>-15.5266666666667</v>
      </c>
      <c r="M1279" s="34" t="n">
        <f aca="false">AVERAGE(C1279:J1279)</f>
        <v>-4.165</v>
      </c>
    </row>
    <row r="1280" customFormat="false" ht="15" hidden="false" customHeight="true" outlineLevel="0" collapsed="false">
      <c r="A1280" s="34" t="s">
        <v>1497</v>
      </c>
      <c r="B1280" s="34" t="n">
        <v>168.93</v>
      </c>
      <c r="C1280" s="34" t="n">
        <v>-66.67</v>
      </c>
      <c r="D1280" s="34" t="n">
        <v>35.43</v>
      </c>
      <c r="E1280" s="34" t="n">
        <v>99.79</v>
      </c>
      <c r="F1280" s="34" t="n">
        <v>68.67</v>
      </c>
      <c r="G1280" s="34" t="n">
        <v>15.07</v>
      </c>
      <c r="H1280" s="34" t="n">
        <v>-39.78</v>
      </c>
      <c r="I1280" s="34" t="n">
        <v>-42.02</v>
      </c>
      <c r="J1280" s="34" t="n">
        <v>-56.87</v>
      </c>
      <c r="K1280" s="34" t="n">
        <v>162.11</v>
      </c>
      <c r="L1280" s="34" t="n">
        <f aca="false">AVERAGE(C1280:E1280)</f>
        <v>22.85</v>
      </c>
      <c r="M1280" s="34" t="n">
        <f aca="false">AVERAGE(C1280:J1280)</f>
        <v>1.7025</v>
      </c>
    </row>
    <row r="1281" customFormat="false" ht="15" hidden="false" customHeight="true" outlineLevel="0" collapsed="false">
      <c r="A1281" s="34" t="s">
        <v>1498</v>
      </c>
      <c r="B1281" s="34" t="n">
        <v>168.49</v>
      </c>
      <c r="C1281" s="34" t="n">
        <v>-66.67</v>
      </c>
      <c r="D1281" s="34" t="n">
        <v>14.62</v>
      </c>
      <c r="E1281" s="34" t="n">
        <v>65.43</v>
      </c>
      <c r="F1281" s="34" t="n">
        <v>116.39</v>
      </c>
      <c r="G1281" s="34" t="n">
        <v>73.47</v>
      </c>
      <c r="H1281" s="34" t="n">
        <v>96.21</v>
      </c>
      <c r="I1281" s="34" t="n">
        <v>95.26</v>
      </c>
      <c r="J1281" s="34" t="n">
        <v>74.27</v>
      </c>
      <c r="K1281" s="34" t="n">
        <v>171.77</v>
      </c>
      <c r="L1281" s="34" t="n">
        <f aca="false">AVERAGE(C1281:E1281)</f>
        <v>4.46</v>
      </c>
      <c r="M1281" s="34" t="n">
        <f aca="false">AVERAGE(C1281:J1281)</f>
        <v>58.6225</v>
      </c>
    </row>
    <row r="1282" customFormat="false" ht="15" hidden="false" customHeight="true" outlineLevel="0" collapsed="false">
      <c r="A1282" s="34" t="s">
        <v>1499</v>
      </c>
      <c r="B1282" s="34" t="n">
        <v>168.41</v>
      </c>
      <c r="C1282" s="34" t="n">
        <v>-66.67</v>
      </c>
      <c r="D1282" s="34" t="n">
        <v>51.77</v>
      </c>
      <c r="E1282" s="34" t="n">
        <v>43.96</v>
      </c>
      <c r="F1282" s="34" t="n">
        <v>-57.33</v>
      </c>
      <c r="G1282" s="34" t="n">
        <v>-88.44</v>
      </c>
      <c r="H1282" s="34" t="n">
        <v>-96.81</v>
      </c>
      <c r="I1282" s="34" t="n">
        <v>-59.72</v>
      </c>
      <c r="J1282" s="34" t="n">
        <v>-60.26</v>
      </c>
      <c r="K1282" s="34" t="n">
        <v>177.67</v>
      </c>
      <c r="L1282" s="34" t="n">
        <f aca="false">AVERAGE(C1282:E1282)</f>
        <v>9.68666666666667</v>
      </c>
      <c r="M1282" s="34" t="n">
        <f aca="false">AVERAGE(C1282:J1282)</f>
        <v>-41.6875</v>
      </c>
    </row>
    <row r="1283" customFormat="false" ht="15" hidden="false" customHeight="true" outlineLevel="0" collapsed="false">
      <c r="A1283" s="34" t="s">
        <v>1500</v>
      </c>
      <c r="B1283" s="34" t="n">
        <v>168.05</v>
      </c>
      <c r="C1283" s="34" t="n">
        <v>-66.67</v>
      </c>
      <c r="D1283" s="34" t="n">
        <v>-131.25</v>
      </c>
      <c r="E1283" s="34" t="n">
        <v>-22.83</v>
      </c>
      <c r="F1283" s="34" t="n">
        <v>-81.69</v>
      </c>
      <c r="G1283" s="34" t="n">
        <v>-134.46</v>
      </c>
      <c r="H1283" s="34" t="n">
        <v>-81.54</v>
      </c>
      <c r="I1283" s="34" t="n">
        <v>-35.31</v>
      </c>
      <c r="J1283" s="34" t="n">
        <v>-46.68</v>
      </c>
      <c r="K1283" s="34" t="n">
        <v>181.42</v>
      </c>
      <c r="L1283" s="34" t="n">
        <f aca="false">AVERAGE(C1283:E1283)</f>
        <v>-73.5833333333333</v>
      </c>
      <c r="M1283" s="34" t="n">
        <f aca="false">AVERAGE(C1283:J1283)</f>
        <v>-75.05375</v>
      </c>
    </row>
    <row r="1284" customFormat="false" ht="15" hidden="false" customHeight="true" outlineLevel="0" collapsed="false">
      <c r="A1284" s="34" t="s">
        <v>1501</v>
      </c>
      <c r="B1284" s="34" t="n">
        <v>167.83</v>
      </c>
      <c r="C1284" s="34" t="n">
        <v>66.67</v>
      </c>
      <c r="D1284" s="34" t="n">
        <v>31.62</v>
      </c>
      <c r="E1284" s="34" t="n">
        <v>85.45</v>
      </c>
      <c r="F1284" s="34" t="n">
        <v>26.33</v>
      </c>
      <c r="G1284" s="34" t="n">
        <v>0.597</v>
      </c>
      <c r="H1284" s="34" t="n">
        <v>46.17</v>
      </c>
      <c r="I1284" s="34" t="n">
        <v>62.68</v>
      </c>
      <c r="J1284" s="34" t="n">
        <v>75.77</v>
      </c>
      <c r="K1284" s="34" t="n">
        <v>167.87</v>
      </c>
      <c r="L1284" s="34" t="n">
        <f aca="false">AVERAGE(C1284:E1284)</f>
        <v>61.2466666666667</v>
      </c>
      <c r="M1284" s="34" t="n">
        <f aca="false">AVERAGE(C1284:J1284)</f>
        <v>49.410875</v>
      </c>
    </row>
    <row r="1285" customFormat="false" ht="15" hidden="false" customHeight="true" outlineLevel="0" collapsed="false">
      <c r="A1285" s="34" t="s">
        <v>1502</v>
      </c>
      <c r="B1285" s="34" t="n">
        <v>167.19</v>
      </c>
      <c r="C1285" s="34" t="n">
        <v>66.67</v>
      </c>
      <c r="D1285" s="34" t="n">
        <v>111.61</v>
      </c>
      <c r="E1285" s="34" t="n">
        <v>153.96</v>
      </c>
      <c r="F1285" s="34" t="n">
        <v>-11.19</v>
      </c>
      <c r="G1285" s="34" t="n">
        <v>-55.24</v>
      </c>
      <c r="H1285" s="34" t="n">
        <v>-43.99</v>
      </c>
      <c r="I1285" s="34" t="n">
        <v>-7.57</v>
      </c>
      <c r="J1285" s="34" t="n">
        <v>-12.43</v>
      </c>
      <c r="K1285" s="34" t="n">
        <v>151.33</v>
      </c>
      <c r="L1285" s="34" t="n">
        <f aca="false">AVERAGE(C1285:E1285)</f>
        <v>110.746666666667</v>
      </c>
      <c r="M1285" s="34" t="n">
        <f aca="false">AVERAGE(C1285:J1285)</f>
        <v>25.2275</v>
      </c>
    </row>
    <row r="1286" customFormat="false" ht="15" hidden="false" customHeight="true" outlineLevel="0" collapsed="false">
      <c r="A1286" s="34" t="s">
        <v>244</v>
      </c>
      <c r="B1286" s="34" t="n">
        <v>166.81</v>
      </c>
      <c r="C1286" s="34" t="n">
        <v>66.67</v>
      </c>
      <c r="D1286" s="34" t="n">
        <v>132.35</v>
      </c>
      <c r="E1286" s="34" t="n">
        <v>159.28</v>
      </c>
      <c r="F1286" s="34" t="n">
        <v>-51.49</v>
      </c>
      <c r="G1286" s="34" t="n">
        <v>-52.01</v>
      </c>
      <c r="H1286" s="34" t="n">
        <v>-27.19</v>
      </c>
      <c r="I1286" s="34" t="n">
        <v>23.43</v>
      </c>
      <c r="J1286" s="34" t="n">
        <v>43.08</v>
      </c>
      <c r="K1286" s="34" t="n">
        <v>171.46</v>
      </c>
      <c r="L1286" s="34" t="n">
        <f aca="false">AVERAGE(C1286:E1286)</f>
        <v>119.433333333333</v>
      </c>
      <c r="M1286" s="34" t="n">
        <f aca="false">AVERAGE(C1286:J1286)</f>
        <v>36.765</v>
      </c>
    </row>
    <row r="1287" customFormat="false" ht="15" hidden="false" customHeight="true" outlineLevel="0" collapsed="false">
      <c r="A1287" s="34" t="s">
        <v>1503</v>
      </c>
      <c r="B1287" s="34" t="n">
        <v>166.31</v>
      </c>
      <c r="C1287" s="34" t="n">
        <v>-66.67</v>
      </c>
      <c r="D1287" s="34" t="n">
        <v>-75.4</v>
      </c>
      <c r="E1287" s="34" t="n">
        <v>-42.7</v>
      </c>
      <c r="F1287" s="34" t="n">
        <v>-56.39</v>
      </c>
      <c r="G1287" s="34" t="n">
        <v>-82.88</v>
      </c>
      <c r="H1287" s="34" t="n">
        <v>-92.17</v>
      </c>
      <c r="I1287" s="34" t="n">
        <v>-79.95</v>
      </c>
      <c r="J1287" s="34" t="n">
        <v>-83.15</v>
      </c>
      <c r="K1287" s="34" t="n">
        <v>175.64</v>
      </c>
      <c r="L1287" s="34" t="n">
        <f aca="false">AVERAGE(C1287:E1287)</f>
        <v>-61.59</v>
      </c>
      <c r="M1287" s="34" t="n">
        <f aca="false">AVERAGE(C1287:J1287)</f>
        <v>-72.41375</v>
      </c>
    </row>
    <row r="1288" customFormat="false" ht="15" hidden="false" customHeight="true" outlineLevel="0" collapsed="false">
      <c r="A1288" s="34" t="s">
        <v>1504</v>
      </c>
      <c r="B1288" s="34" t="n">
        <v>166</v>
      </c>
      <c r="C1288" s="34" t="n">
        <v>-66.67</v>
      </c>
      <c r="D1288" s="34" t="n">
        <v>-124.43</v>
      </c>
      <c r="E1288" s="34" t="n">
        <v>-93.93</v>
      </c>
      <c r="F1288" s="34" t="n">
        <v>-117.3</v>
      </c>
      <c r="G1288" s="34" t="n">
        <v>-149.39</v>
      </c>
      <c r="H1288" s="34" t="n">
        <v>-155.28</v>
      </c>
      <c r="I1288" s="34" t="n">
        <v>-162.85</v>
      </c>
      <c r="J1288" s="34" t="n">
        <v>-159.34</v>
      </c>
      <c r="K1288" s="34" t="n">
        <v>184.05</v>
      </c>
      <c r="L1288" s="34" t="n">
        <f aca="false">AVERAGE(C1288:E1288)</f>
        <v>-95.01</v>
      </c>
      <c r="M1288" s="34" t="n">
        <f aca="false">AVERAGE(C1288:J1288)</f>
        <v>-128.64875</v>
      </c>
    </row>
    <row r="1289" customFormat="false" ht="15" hidden="false" customHeight="true" outlineLevel="0" collapsed="false">
      <c r="A1289" s="34" t="s">
        <v>1505</v>
      </c>
      <c r="B1289" s="34" t="n">
        <v>165.65</v>
      </c>
      <c r="C1289" s="34" t="n">
        <v>-66.67</v>
      </c>
      <c r="D1289" s="34" t="n">
        <v>58.36</v>
      </c>
      <c r="E1289" s="34" t="n">
        <v>70.41</v>
      </c>
      <c r="F1289" s="34" t="n">
        <v>-58.68</v>
      </c>
      <c r="G1289" s="34" t="n">
        <v>-50.05</v>
      </c>
      <c r="H1289" s="34" t="n">
        <v>-18.12</v>
      </c>
      <c r="I1289" s="34" t="n">
        <v>17.11</v>
      </c>
      <c r="J1289" s="34" t="n">
        <v>-15.26</v>
      </c>
      <c r="K1289" s="34" t="n">
        <v>156.33</v>
      </c>
      <c r="L1289" s="34" t="n">
        <f aca="false">AVERAGE(C1289:E1289)</f>
        <v>20.7</v>
      </c>
      <c r="M1289" s="34" t="n">
        <f aca="false">AVERAGE(C1289:J1289)</f>
        <v>-7.8625</v>
      </c>
    </row>
    <row r="1290" customFormat="false" ht="15" hidden="false" customHeight="true" outlineLevel="0" collapsed="false">
      <c r="A1290" s="34" t="s">
        <v>1506</v>
      </c>
      <c r="B1290" s="34" t="n">
        <v>165</v>
      </c>
      <c r="C1290" s="34" t="n">
        <v>66.67</v>
      </c>
      <c r="D1290" s="34" t="n">
        <v>26.28</v>
      </c>
      <c r="E1290" s="34" t="n">
        <v>54.13</v>
      </c>
      <c r="F1290" s="34" t="n">
        <v>33.63</v>
      </c>
      <c r="G1290" s="34" t="n">
        <v>-19.83</v>
      </c>
      <c r="H1290" s="34" t="n">
        <v>-50.97</v>
      </c>
      <c r="I1290" s="34" t="n">
        <v>-53.33</v>
      </c>
      <c r="J1290" s="34" t="n">
        <v>-61.82</v>
      </c>
      <c r="K1290" s="34" t="n">
        <v>170.68</v>
      </c>
      <c r="L1290" s="34" t="n">
        <f aca="false">AVERAGE(C1290:E1290)</f>
        <v>49.0266666666667</v>
      </c>
      <c r="M1290" s="34" t="n">
        <f aca="false">AVERAGE(C1290:J1290)</f>
        <v>-0.654999999999999</v>
      </c>
    </row>
    <row r="1291" customFormat="false" ht="15" hidden="false" customHeight="true" outlineLevel="0" collapsed="false">
      <c r="A1291" s="34" t="s">
        <v>1507</v>
      </c>
      <c r="B1291" s="34" t="n">
        <v>163.87</v>
      </c>
      <c r="C1291" s="34" t="n">
        <v>-66.67</v>
      </c>
      <c r="D1291" s="34" t="n">
        <v>-62.05</v>
      </c>
      <c r="E1291" s="34" t="n">
        <v>-58.81</v>
      </c>
      <c r="F1291" s="34" t="n">
        <v>28.36</v>
      </c>
      <c r="G1291" s="34" t="n">
        <v>77.41</v>
      </c>
      <c r="H1291" s="34" t="n">
        <v>93.11</v>
      </c>
      <c r="I1291" s="34" t="n">
        <v>96.98</v>
      </c>
      <c r="J1291" s="34" t="n">
        <v>115.92</v>
      </c>
      <c r="K1291" s="34" t="n">
        <v>156.41</v>
      </c>
      <c r="L1291" s="34" t="n">
        <f aca="false">AVERAGE(C1291:E1291)</f>
        <v>-62.51</v>
      </c>
      <c r="M1291" s="34" t="n">
        <f aca="false">AVERAGE(C1291:J1291)</f>
        <v>28.03125</v>
      </c>
    </row>
    <row r="1292" customFormat="false" ht="15" hidden="false" customHeight="true" outlineLevel="0" collapsed="false">
      <c r="A1292" s="34" t="s">
        <v>1508</v>
      </c>
      <c r="B1292" s="34" t="n">
        <v>163.86</v>
      </c>
      <c r="C1292" s="34" t="n">
        <v>-66.67</v>
      </c>
      <c r="D1292" s="34" t="n">
        <v>-1.89</v>
      </c>
      <c r="E1292" s="34" t="n">
        <v>58.79</v>
      </c>
      <c r="F1292" s="34" t="n">
        <v>-48.35</v>
      </c>
      <c r="G1292" s="34" t="n">
        <v>-90.92</v>
      </c>
      <c r="H1292" s="34" t="n">
        <v>-91.3</v>
      </c>
      <c r="I1292" s="34" t="n">
        <v>-91.11</v>
      </c>
      <c r="J1292" s="34" t="n">
        <v>-68.42</v>
      </c>
      <c r="K1292" s="34" t="n">
        <v>171.7</v>
      </c>
      <c r="L1292" s="34" t="n">
        <f aca="false">AVERAGE(C1292:E1292)</f>
        <v>-3.25666666666667</v>
      </c>
      <c r="M1292" s="34" t="n">
        <f aca="false">AVERAGE(C1292:J1292)</f>
        <v>-49.98375</v>
      </c>
    </row>
    <row r="1293" customFormat="false" ht="15" hidden="false" customHeight="true" outlineLevel="0" collapsed="false">
      <c r="A1293" s="34" t="s">
        <v>1509</v>
      </c>
      <c r="B1293" s="34" t="n">
        <v>163</v>
      </c>
      <c r="C1293" s="34" t="n">
        <v>66.67</v>
      </c>
      <c r="D1293" s="34" t="n">
        <v>107.95</v>
      </c>
      <c r="E1293" s="34" t="n">
        <v>9.47</v>
      </c>
      <c r="F1293" s="34" t="n">
        <v>-75.67</v>
      </c>
      <c r="G1293" s="34" t="n">
        <v>-108.41</v>
      </c>
      <c r="H1293" s="34" t="n">
        <v>-60.16</v>
      </c>
      <c r="I1293" s="34" t="n">
        <v>-34.03</v>
      </c>
      <c r="J1293" s="34" t="n">
        <v>-44.68</v>
      </c>
      <c r="K1293" s="34" t="n">
        <v>172.98</v>
      </c>
      <c r="L1293" s="34" t="n">
        <f aca="false">AVERAGE(C1293:E1293)</f>
        <v>61.3633333333333</v>
      </c>
      <c r="M1293" s="34" t="n">
        <f aca="false">AVERAGE(C1293:J1293)</f>
        <v>-17.3575</v>
      </c>
    </row>
    <row r="1294" customFormat="false" ht="15" hidden="false" customHeight="true" outlineLevel="0" collapsed="false">
      <c r="A1294" s="34" t="s">
        <v>1510</v>
      </c>
      <c r="B1294" s="34" t="n">
        <v>162.98</v>
      </c>
      <c r="C1294" s="34" t="n">
        <v>66.67</v>
      </c>
      <c r="D1294" s="34" t="n">
        <v>94.36</v>
      </c>
      <c r="E1294" s="34" t="n">
        <v>36.87</v>
      </c>
      <c r="F1294" s="34" t="n">
        <v>-72.17</v>
      </c>
      <c r="G1294" s="34" t="n">
        <v>-122.03</v>
      </c>
      <c r="H1294" s="34" t="n">
        <v>-53.08</v>
      </c>
      <c r="I1294" s="34" t="n">
        <v>-9.24</v>
      </c>
      <c r="J1294" s="34" t="n">
        <v>-20.44</v>
      </c>
      <c r="K1294" s="34" t="n">
        <v>165.47</v>
      </c>
      <c r="L1294" s="34" t="n">
        <f aca="false">AVERAGE(C1294:E1294)</f>
        <v>65.9666666666667</v>
      </c>
      <c r="M1294" s="34" t="n">
        <f aca="false">AVERAGE(C1294:J1294)</f>
        <v>-9.8825</v>
      </c>
    </row>
    <row r="1295" customFormat="false" ht="15" hidden="false" customHeight="true" outlineLevel="0" collapsed="false">
      <c r="A1295" s="34" t="s">
        <v>1511</v>
      </c>
      <c r="B1295" s="34" t="n">
        <v>162.11</v>
      </c>
      <c r="C1295" s="34" t="n">
        <v>66.67</v>
      </c>
      <c r="D1295" s="34" t="n">
        <v>-45.74</v>
      </c>
      <c r="E1295" s="34" t="n">
        <v>11.93</v>
      </c>
      <c r="F1295" s="34" t="n">
        <v>-69.94</v>
      </c>
      <c r="G1295" s="34" t="n">
        <v>-62.31</v>
      </c>
      <c r="H1295" s="34" t="n">
        <v>24.8</v>
      </c>
      <c r="I1295" s="34" t="n">
        <v>44.57</v>
      </c>
      <c r="J1295" s="34" t="n">
        <v>45.72</v>
      </c>
      <c r="K1295" s="34" t="n">
        <v>173.64</v>
      </c>
      <c r="L1295" s="34" t="n">
        <f aca="false">AVERAGE(C1295:E1295)</f>
        <v>10.9533333333333</v>
      </c>
      <c r="M1295" s="34" t="n">
        <f aca="false">AVERAGE(C1295:J1295)</f>
        <v>1.9625</v>
      </c>
    </row>
    <row r="1296" customFormat="false" ht="15" hidden="false" customHeight="true" outlineLevel="0" collapsed="false">
      <c r="A1296" s="34" t="s">
        <v>1512</v>
      </c>
      <c r="B1296" s="34" t="n">
        <v>162.07</v>
      </c>
      <c r="C1296" s="34" t="n">
        <v>-66.67</v>
      </c>
      <c r="D1296" s="34" t="n">
        <v>-130.11</v>
      </c>
      <c r="E1296" s="34" t="n">
        <v>-54.08</v>
      </c>
      <c r="F1296" s="34" t="n">
        <v>-73.12</v>
      </c>
      <c r="G1296" s="34" t="n">
        <v>-45.86</v>
      </c>
      <c r="H1296" s="34" t="n">
        <v>-63.24</v>
      </c>
      <c r="I1296" s="34" t="n">
        <v>-26.83</v>
      </c>
      <c r="J1296" s="34" t="n">
        <v>-9.43</v>
      </c>
      <c r="K1296" s="34" t="n">
        <v>176.35</v>
      </c>
      <c r="L1296" s="34" t="n">
        <f aca="false">AVERAGE(C1296:E1296)</f>
        <v>-83.62</v>
      </c>
      <c r="M1296" s="34" t="n">
        <f aca="false">AVERAGE(C1296:J1296)</f>
        <v>-58.6675</v>
      </c>
    </row>
    <row r="1297" customFormat="false" ht="15" hidden="false" customHeight="true" outlineLevel="0" collapsed="false">
      <c r="A1297" s="34" t="s">
        <v>1513</v>
      </c>
      <c r="B1297" s="34" t="n">
        <v>162</v>
      </c>
      <c r="C1297" s="34" t="n">
        <v>66.67</v>
      </c>
      <c r="D1297" s="34" t="n">
        <v>133.33</v>
      </c>
      <c r="E1297" s="34" t="n">
        <v>67.35</v>
      </c>
      <c r="F1297" s="34" t="n">
        <v>0.199</v>
      </c>
      <c r="G1297" s="34" t="n">
        <v>-19.29</v>
      </c>
      <c r="H1297" s="34" t="n">
        <v>15.31</v>
      </c>
      <c r="I1297" s="34" t="n">
        <v>31.96</v>
      </c>
      <c r="J1297" s="34" t="n">
        <v>-20.29</v>
      </c>
      <c r="K1297" s="34" t="n">
        <v>146.34</v>
      </c>
      <c r="L1297" s="34" t="n">
        <f aca="false">AVERAGE(C1297:E1297)</f>
        <v>89.1166666666667</v>
      </c>
      <c r="M1297" s="34" t="n">
        <f aca="false">AVERAGE(C1297:J1297)</f>
        <v>34.404875</v>
      </c>
    </row>
    <row r="1298" customFormat="false" ht="15" hidden="false" customHeight="true" outlineLevel="0" collapsed="false">
      <c r="A1298" s="34" t="s">
        <v>1514</v>
      </c>
      <c r="B1298" s="34" t="n">
        <v>161.5</v>
      </c>
      <c r="C1298" s="34" t="n">
        <v>-66.67</v>
      </c>
      <c r="D1298" s="34" t="n">
        <v>-133.33</v>
      </c>
      <c r="E1298" s="34" t="n">
        <v>-108.4</v>
      </c>
      <c r="F1298" s="34" t="n">
        <v>-147.64</v>
      </c>
      <c r="G1298" s="34" t="n">
        <v>-116.22</v>
      </c>
      <c r="H1298" s="34" t="n">
        <v>-112.24</v>
      </c>
      <c r="I1298" s="34" t="n">
        <v>-68.68</v>
      </c>
      <c r="J1298" s="34" t="n">
        <v>-62.03</v>
      </c>
      <c r="K1298" s="34" t="n">
        <v>174.29</v>
      </c>
      <c r="L1298" s="34" t="n">
        <f aca="false">AVERAGE(C1298:E1298)</f>
        <v>-102.8</v>
      </c>
      <c r="M1298" s="34" t="n">
        <f aca="false">AVERAGE(C1298:J1298)</f>
        <v>-101.90125</v>
      </c>
    </row>
    <row r="1299" customFormat="false" ht="15" hidden="false" customHeight="true" outlineLevel="0" collapsed="false">
      <c r="A1299" s="34" t="s">
        <v>1515</v>
      </c>
      <c r="B1299" s="34" t="n">
        <v>161.3</v>
      </c>
      <c r="C1299" s="34" t="n">
        <v>-66.67</v>
      </c>
      <c r="D1299" s="34" t="n">
        <v>-84.15</v>
      </c>
      <c r="E1299" s="34" t="n">
        <v>-174.78</v>
      </c>
      <c r="F1299" s="34" t="n">
        <v>-33.2</v>
      </c>
      <c r="G1299" s="34" t="n">
        <v>32.94</v>
      </c>
      <c r="H1299" s="34" t="n">
        <v>63.58</v>
      </c>
      <c r="I1299" s="34" t="n">
        <v>83.93</v>
      </c>
      <c r="J1299" s="34" t="n">
        <v>82.59</v>
      </c>
      <c r="K1299" s="34" t="n">
        <v>179.87</v>
      </c>
      <c r="L1299" s="34" t="n">
        <f aca="false">AVERAGE(C1299:E1299)</f>
        <v>-108.533333333333</v>
      </c>
      <c r="M1299" s="34" t="n">
        <f aca="false">AVERAGE(C1299:J1299)</f>
        <v>-11.97</v>
      </c>
    </row>
    <row r="1300" customFormat="false" ht="15" hidden="false" customHeight="true" outlineLevel="0" collapsed="false">
      <c r="A1300" s="34" t="s">
        <v>1516</v>
      </c>
      <c r="B1300" s="34" t="n">
        <v>161.3</v>
      </c>
      <c r="C1300" s="34" t="n">
        <v>-66.67</v>
      </c>
      <c r="D1300" s="34" t="n">
        <v>8.96</v>
      </c>
      <c r="E1300" s="34" t="n">
        <v>-29.62</v>
      </c>
      <c r="F1300" s="34" t="n">
        <v>-49.77</v>
      </c>
      <c r="G1300" s="34" t="n">
        <v>-51.64</v>
      </c>
      <c r="H1300" s="34" t="n">
        <v>3.02</v>
      </c>
      <c r="I1300" s="34" t="n">
        <v>37.63</v>
      </c>
      <c r="J1300" s="34" t="n">
        <v>-4.65</v>
      </c>
      <c r="K1300" s="34" t="n">
        <v>168.57</v>
      </c>
      <c r="L1300" s="34" t="n">
        <f aca="false">AVERAGE(C1300:E1300)</f>
        <v>-29.11</v>
      </c>
      <c r="M1300" s="34" t="n">
        <f aca="false">AVERAGE(C1300:J1300)</f>
        <v>-19.0925</v>
      </c>
    </row>
    <row r="1301" customFormat="false" ht="15" hidden="false" customHeight="true" outlineLevel="0" collapsed="false">
      <c r="A1301" s="34" t="s">
        <v>1517</v>
      </c>
      <c r="B1301" s="34" t="n">
        <v>160.8</v>
      </c>
      <c r="C1301" s="34" t="n">
        <v>-66.67</v>
      </c>
      <c r="D1301" s="34" t="n">
        <v>42.45</v>
      </c>
      <c r="E1301" s="34" t="n">
        <v>51.3</v>
      </c>
      <c r="F1301" s="34" t="n">
        <v>-26.09</v>
      </c>
      <c r="G1301" s="34" t="n">
        <v>-18.59</v>
      </c>
      <c r="H1301" s="34" t="n">
        <v>-41.05</v>
      </c>
      <c r="I1301" s="34" t="n">
        <v>-52.21</v>
      </c>
      <c r="J1301" s="34" t="n">
        <v>-65.38</v>
      </c>
      <c r="K1301" s="34" t="n">
        <v>143.73</v>
      </c>
      <c r="L1301" s="34" t="n">
        <f aca="false">AVERAGE(C1301:E1301)</f>
        <v>9.02666666666667</v>
      </c>
      <c r="M1301" s="34" t="n">
        <f aca="false">AVERAGE(C1301:J1301)</f>
        <v>-22.03</v>
      </c>
    </row>
    <row r="1302" customFormat="false" ht="15" hidden="false" customHeight="true" outlineLevel="0" collapsed="false">
      <c r="A1302" s="34" t="s">
        <v>1518</v>
      </c>
      <c r="B1302" s="34" t="n">
        <v>160.5</v>
      </c>
      <c r="C1302" s="34" t="n">
        <v>66.67</v>
      </c>
      <c r="D1302" s="34" t="n">
        <v>74.09</v>
      </c>
      <c r="E1302" s="34" t="n">
        <v>51.52</v>
      </c>
      <c r="F1302" s="34" t="n">
        <v>-50.51</v>
      </c>
      <c r="G1302" s="34" t="n">
        <v>-101.48</v>
      </c>
      <c r="H1302" s="34" t="n">
        <v>-69.56</v>
      </c>
      <c r="I1302" s="34" t="n">
        <v>-25.26</v>
      </c>
      <c r="J1302" s="34" t="n">
        <v>-38.44</v>
      </c>
      <c r="K1302" s="34" t="n">
        <v>170.43</v>
      </c>
      <c r="L1302" s="34" t="n">
        <f aca="false">AVERAGE(C1302:E1302)</f>
        <v>64.0933333333334</v>
      </c>
      <c r="M1302" s="34" t="n">
        <f aca="false">AVERAGE(C1302:J1302)</f>
        <v>-11.62125</v>
      </c>
    </row>
    <row r="1303" customFormat="false" ht="15" hidden="false" customHeight="true" outlineLevel="0" collapsed="false">
      <c r="A1303" s="34" t="s">
        <v>1519</v>
      </c>
      <c r="B1303" s="34" t="n">
        <v>160.1</v>
      </c>
      <c r="C1303" s="34" t="n">
        <v>-66.67</v>
      </c>
      <c r="D1303" s="34" t="n">
        <v>-47.02</v>
      </c>
      <c r="E1303" s="34" t="n">
        <v>-87.44</v>
      </c>
      <c r="F1303" s="34" t="n">
        <v>-102.22</v>
      </c>
      <c r="G1303" s="34" t="n">
        <v>-96.78</v>
      </c>
      <c r="H1303" s="34" t="n">
        <v>-30.23</v>
      </c>
      <c r="I1303" s="34" t="n">
        <v>1.02</v>
      </c>
      <c r="J1303" s="34" t="n">
        <v>12.68</v>
      </c>
      <c r="K1303" s="34" t="n">
        <v>175.34</v>
      </c>
      <c r="L1303" s="34" t="n">
        <f aca="false">AVERAGE(C1303:E1303)</f>
        <v>-67.0433333333333</v>
      </c>
      <c r="M1303" s="34" t="n">
        <f aca="false">AVERAGE(C1303:J1303)</f>
        <v>-52.0825</v>
      </c>
    </row>
    <row r="1304" customFormat="false" ht="15" hidden="false" customHeight="true" outlineLevel="0" collapsed="false">
      <c r="A1304" s="34" t="s">
        <v>1520</v>
      </c>
      <c r="B1304" s="34" t="n">
        <v>160</v>
      </c>
      <c r="C1304" s="34" t="n">
        <v>66.67</v>
      </c>
      <c r="D1304" s="34" t="n">
        <v>78.05</v>
      </c>
      <c r="E1304" s="34" t="n">
        <v>74.73</v>
      </c>
      <c r="F1304" s="34" t="n">
        <v>82.26</v>
      </c>
      <c r="G1304" s="34" t="n">
        <v>57.13</v>
      </c>
      <c r="H1304" s="34" t="n">
        <v>77.49</v>
      </c>
      <c r="I1304" s="34" t="n">
        <v>82.35</v>
      </c>
      <c r="J1304" s="34" t="n">
        <v>50.23</v>
      </c>
      <c r="K1304" s="34" t="n">
        <v>146.93</v>
      </c>
      <c r="L1304" s="34" t="n">
        <f aca="false">AVERAGE(C1304:E1304)</f>
        <v>73.15</v>
      </c>
      <c r="M1304" s="34" t="n">
        <f aca="false">AVERAGE(C1304:J1304)</f>
        <v>71.11375</v>
      </c>
    </row>
    <row r="1305" customFormat="false" ht="15" hidden="false" customHeight="true" outlineLevel="0" collapsed="false">
      <c r="A1305" s="34" t="s">
        <v>1521</v>
      </c>
      <c r="B1305" s="34" t="n">
        <v>159.5</v>
      </c>
      <c r="C1305" s="34" t="n">
        <v>66.67</v>
      </c>
      <c r="D1305" s="34" t="n">
        <v>73.41</v>
      </c>
      <c r="E1305" s="34" t="n">
        <v>77.66</v>
      </c>
      <c r="F1305" s="34" t="n">
        <v>-25.93</v>
      </c>
      <c r="G1305" s="34" t="n">
        <v>49.2</v>
      </c>
      <c r="H1305" s="34" t="n">
        <v>65.11</v>
      </c>
      <c r="I1305" s="34" t="n">
        <v>85.9</v>
      </c>
      <c r="J1305" s="34" t="n">
        <v>68.42</v>
      </c>
      <c r="K1305" s="34" t="n">
        <v>161.76</v>
      </c>
      <c r="L1305" s="34" t="n">
        <f aca="false">AVERAGE(C1305:E1305)</f>
        <v>72.58</v>
      </c>
      <c r="M1305" s="34" t="n">
        <f aca="false">AVERAGE(C1305:J1305)</f>
        <v>57.555</v>
      </c>
    </row>
    <row r="1306" customFormat="false" ht="15" hidden="false" customHeight="true" outlineLevel="0" collapsed="false">
      <c r="A1306" s="34" t="s">
        <v>1522</v>
      </c>
      <c r="B1306" s="34" t="n">
        <v>159.39</v>
      </c>
      <c r="C1306" s="34" t="n">
        <v>-66.67</v>
      </c>
      <c r="D1306" s="34" t="n">
        <v>-133.33</v>
      </c>
      <c r="E1306" s="34" t="n">
        <v>-84.53</v>
      </c>
      <c r="F1306" s="34" t="n">
        <v>-140.13</v>
      </c>
      <c r="G1306" s="34" t="n">
        <v>-155.89</v>
      </c>
      <c r="H1306" s="34" t="n">
        <v>-132.01</v>
      </c>
      <c r="I1306" s="34" t="n">
        <v>-140.66</v>
      </c>
      <c r="J1306" s="34" t="n">
        <v>-111.65</v>
      </c>
      <c r="K1306" s="34" t="n">
        <v>173.95</v>
      </c>
      <c r="L1306" s="34" t="n">
        <f aca="false">AVERAGE(C1306:E1306)</f>
        <v>-94.8433333333334</v>
      </c>
      <c r="M1306" s="34" t="n">
        <f aca="false">AVERAGE(C1306:J1306)</f>
        <v>-120.60875</v>
      </c>
    </row>
    <row r="1307" customFormat="false" ht="15" hidden="false" customHeight="true" outlineLevel="0" collapsed="false">
      <c r="A1307" s="34" t="s">
        <v>1523</v>
      </c>
      <c r="B1307" s="34" t="n">
        <v>159.01</v>
      </c>
      <c r="C1307" s="34" t="n">
        <v>-66.67</v>
      </c>
      <c r="D1307" s="34" t="n">
        <v>9.43</v>
      </c>
      <c r="E1307" s="34" t="n">
        <v>87.07</v>
      </c>
      <c r="F1307" s="34" t="n">
        <v>-48.06</v>
      </c>
      <c r="G1307" s="34" t="n">
        <v>-96.44</v>
      </c>
      <c r="H1307" s="34" t="n">
        <v>-116.11</v>
      </c>
      <c r="I1307" s="34" t="n">
        <v>-129.2</v>
      </c>
      <c r="J1307" s="34" t="n">
        <v>-132.22</v>
      </c>
      <c r="K1307" s="34" t="n">
        <v>164.72</v>
      </c>
      <c r="L1307" s="34" t="n">
        <f aca="false">AVERAGE(C1307:E1307)</f>
        <v>9.94333333333333</v>
      </c>
      <c r="M1307" s="34" t="n">
        <f aca="false">AVERAGE(C1307:J1307)</f>
        <v>-61.525</v>
      </c>
    </row>
    <row r="1308" customFormat="false" ht="15" hidden="false" customHeight="true" outlineLevel="0" collapsed="false">
      <c r="A1308" s="34" t="s">
        <v>1524</v>
      </c>
      <c r="B1308" s="34" t="n">
        <v>159</v>
      </c>
      <c r="C1308" s="34" t="n">
        <v>-66.67</v>
      </c>
      <c r="D1308" s="34" t="n">
        <v>-110.2</v>
      </c>
      <c r="E1308" s="34" t="n">
        <v>21.67</v>
      </c>
      <c r="F1308" s="34" t="n">
        <v>-62.75</v>
      </c>
      <c r="G1308" s="34" t="n">
        <v>-115.01</v>
      </c>
      <c r="H1308" s="34" t="n">
        <v>-147.93</v>
      </c>
      <c r="I1308" s="34" t="n">
        <v>-138.87</v>
      </c>
      <c r="J1308" s="34" t="n">
        <v>-148.25</v>
      </c>
      <c r="K1308" s="34" t="n">
        <v>167.17</v>
      </c>
      <c r="L1308" s="34" t="n">
        <f aca="false">AVERAGE(C1308:E1308)</f>
        <v>-51.7333333333333</v>
      </c>
      <c r="M1308" s="34" t="n">
        <f aca="false">AVERAGE(C1308:J1308)</f>
        <v>-96.00125</v>
      </c>
    </row>
    <row r="1309" customFormat="false" ht="15" hidden="false" customHeight="true" outlineLevel="0" collapsed="false">
      <c r="A1309" s="34" t="s">
        <v>1525</v>
      </c>
      <c r="B1309" s="34" t="n">
        <v>158.95</v>
      </c>
      <c r="C1309" s="34" t="n">
        <v>66.67</v>
      </c>
      <c r="D1309" s="34" t="n">
        <v>1.65</v>
      </c>
      <c r="E1309" s="34" t="n">
        <v>26.29</v>
      </c>
      <c r="F1309" s="34" t="n">
        <v>4.85</v>
      </c>
      <c r="G1309" s="34" t="n">
        <v>-4.03</v>
      </c>
      <c r="H1309" s="34" t="n">
        <v>47.86</v>
      </c>
      <c r="I1309" s="34" t="n">
        <v>64.89</v>
      </c>
      <c r="J1309" s="34" t="n">
        <v>80.77</v>
      </c>
      <c r="K1309" s="34" t="n">
        <v>150.57</v>
      </c>
      <c r="L1309" s="34" t="n">
        <f aca="false">AVERAGE(C1309:E1309)</f>
        <v>31.5366666666667</v>
      </c>
      <c r="M1309" s="34" t="n">
        <f aca="false">AVERAGE(C1309:J1309)</f>
        <v>36.11875</v>
      </c>
    </row>
    <row r="1310" customFormat="false" ht="15" hidden="false" customHeight="true" outlineLevel="0" collapsed="false">
      <c r="A1310" s="34" t="s">
        <v>503</v>
      </c>
      <c r="B1310" s="34" t="n">
        <v>158.9</v>
      </c>
      <c r="C1310" s="34" t="n">
        <v>66.67</v>
      </c>
      <c r="D1310" s="34" t="n">
        <v>74.3</v>
      </c>
      <c r="E1310" s="34" t="n">
        <v>132.99</v>
      </c>
      <c r="F1310" s="34" t="n">
        <v>129.67</v>
      </c>
      <c r="G1310" s="34" t="n">
        <v>71.25</v>
      </c>
      <c r="H1310" s="34" t="n">
        <v>83.67</v>
      </c>
      <c r="I1310" s="34" t="n">
        <v>80.48</v>
      </c>
      <c r="J1310" s="34" t="n">
        <v>71.08</v>
      </c>
      <c r="K1310" s="34" t="n">
        <v>148.73</v>
      </c>
      <c r="L1310" s="34" t="n">
        <f aca="false">AVERAGE(C1310:E1310)</f>
        <v>91.32</v>
      </c>
      <c r="M1310" s="34" t="n">
        <f aca="false">AVERAGE(C1310:J1310)</f>
        <v>88.76375</v>
      </c>
    </row>
    <row r="1311" customFormat="false" ht="15" hidden="false" customHeight="true" outlineLevel="0" collapsed="false">
      <c r="A1311" s="34" t="s">
        <v>1526</v>
      </c>
      <c r="B1311" s="34" t="n">
        <v>158.63</v>
      </c>
      <c r="C1311" s="34" t="n">
        <v>-66.67</v>
      </c>
      <c r="D1311" s="34" t="n">
        <v>-133.33</v>
      </c>
      <c r="E1311" s="34" t="n">
        <v>-129</v>
      </c>
      <c r="F1311" s="34" t="n">
        <v>-107.28</v>
      </c>
      <c r="G1311" s="34" t="n">
        <v>-153.54</v>
      </c>
      <c r="H1311" s="34" t="n">
        <v>-59.11</v>
      </c>
      <c r="I1311" s="34" t="n">
        <v>-3.02</v>
      </c>
      <c r="J1311" s="34" t="n">
        <v>14.21</v>
      </c>
      <c r="K1311" s="34" t="n">
        <v>175.83</v>
      </c>
      <c r="L1311" s="34" t="n">
        <f aca="false">AVERAGE(C1311:E1311)</f>
        <v>-109.666666666667</v>
      </c>
      <c r="M1311" s="34" t="n">
        <f aca="false">AVERAGE(C1311:J1311)</f>
        <v>-79.7175</v>
      </c>
    </row>
    <row r="1312" customFormat="false" ht="15" hidden="false" customHeight="true" outlineLevel="0" collapsed="false">
      <c r="A1312" s="34" t="s">
        <v>61</v>
      </c>
      <c r="B1312" s="34" t="n">
        <v>158.55</v>
      </c>
      <c r="C1312" s="34" t="n">
        <v>-66.67</v>
      </c>
      <c r="D1312" s="34" t="n">
        <v>-43.97</v>
      </c>
      <c r="E1312" s="34" t="n">
        <v>1.56</v>
      </c>
      <c r="F1312" s="34" t="n">
        <v>-24.15</v>
      </c>
      <c r="G1312" s="34" t="n">
        <v>12.04</v>
      </c>
      <c r="H1312" s="34" t="n">
        <v>40.37</v>
      </c>
      <c r="I1312" s="34" t="n">
        <v>53.1</v>
      </c>
      <c r="J1312" s="34" t="n">
        <v>63.17</v>
      </c>
      <c r="K1312" s="34" t="n">
        <v>155.23</v>
      </c>
      <c r="L1312" s="34" t="n">
        <f aca="false">AVERAGE(C1312:E1312)</f>
        <v>-36.36</v>
      </c>
      <c r="M1312" s="34" t="n">
        <f aca="false">AVERAGE(C1312:J1312)</f>
        <v>4.43125</v>
      </c>
    </row>
    <row r="1313" customFormat="false" ht="15" hidden="false" customHeight="true" outlineLevel="0" collapsed="false">
      <c r="A1313" s="34" t="s">
        <v>1527</v>
      </c>
      <c r="B1313" s="34" t="n">
        <v>158</v>
      </c>
      <c r="C1313" s="34" t="n">
        <v>-66.67</v>
      </c>
      <c r="D1313" s="34" t="n">
        <v>9.35</v>
      </c>
      <c r="E1313" s="34" t="n">
        <v>-6.1</v>
      </c>
      <c r="F1313" s="34" t="n">
        <v>-76.93</v>
      </c>
      <c r="G1313" s="34" t="n">
        <v>-128</v>
      </c>
      <c r="H1313" s="34" t="n">
        <v>-83.4</v>
      </c>
      <c r="I1313" s="34" t="n">
        <v>-73.25</v>
      </c>
      <c r="J1313" s="34" t="n">
        <v>-81.92</v>
      </c>
      <c r="K1313" s="34" t="n">
        <v>166.32</v>
      </c>
      <c r="L1313" s="34" t="n">
        <f aca="false">AVERAGE(C1313:E1313)</f>
        <v>-21.14</v>
      </c>
      <c r="M1313" s="34" t="n">
        <f aca="false">AVERAGE(C1313:J1313)</f>
        <v>-63.365</v>
      </c>
    </row>
    <row r="1314" customFormat="false" ht="15" hidden="false" customHeight="true" outlineLevel="0" collapsed="false">
      <c r="A1314" s="34" t="s">
        <v>1528</v>
      </c>
      <c r="B1314" s="34" t="n">
        <v>157.5</v>
      </c>
      <c r="C1314" s="34" t="n">
        <v>66.67</v>
      </c>
      <c r="D1314" s="34" t="n">
        <v>32.17</v>
      </c>
      <c r="E1314" s="34" t="n">
        <v>29.48</v>
      </c>
      <c r="F1314" s="34" t="n">
        <v>51.68</v>
      </c>
      <c r="G1314" s="34" t="n">
        <v>-40.4</v>
      </c>
      <c r="H1314" s="34" t="n">
        <v>-35.47</v>
      </c>
      <c r="I1314" s="34" t="n">
        <v>-23.01</v>
      </c>
      <c r="J1314" s="34" t="n">
        <v>-46.2</v>
      </c>
      <c r="K1314" s="34" t="n">
        <v>145.63</v>
      </c>
      <c r="L1314" s="34" t="n">
        <f aca="false">AVERAGE(C1314:E1314)</f>
        <v>42.7733333333333</v>
      </c>
      <c r="M1314" s="34" t="n">
        <f aca="false">AVERAGE(C1314:J1314)</f>
        <v>4.365</v>
      </c>
    </row>
    <row r="1315" customFormat="false" ht="15" hidden="false" customHeight="true" outlineLevel="0" collapsed="false">
      <c r="A1315" s="34" t="s">
        <v>1529</v>
      </c>
      <c r="B1315" s="34" t="n">
        <v>157.45</v>
      </c>
      <c r="C1315" s="34" t="n">
        <v>-66.67</v>
      </c>
      <c r="D1315" s="34" t="n">
        <v>-127.16</v>
      </c>
      <c r="E1315" s="34" t="n">
        <v>-87.38</v>
      </c>
      <c r="F1315" s="34" t="n">
        <v>-94.95</v>
      </c>
      <c r="G1315" s="34" t="n">
        <v>-6.65</v>
      </c>
      <c r="H1315" s="34" t="n">
        <v>-4.04</v>
      </c>
      <c r="I1315" s="34" t="n">
        <v>19.74</v>
      </c>
      <c r="J1315" s="34" t="n">
        <v>11.72</v>
      </c>
      <c r="K1315" s="34" t="n">
        <v>172.04</v>
      </c>
      <c r="L1315" s="34" t="n">
        <f aca="false">AVERAGE(C1315:E1315)</f>
        <v>-93.7366666666667</v>
      </c>
      <c r="M1315" s="34" t="n">
        <f aca="false">AVERAGE(C1315:J1315)</f>
        <v>-44.42375</v>
      </c>
    </row>
    <row r="1316" customFormat="false" ht="15" hidden="false" customHeight="true" outlineLevel="0" collapsed="false">
      <c r="A1316" s="34" t="s">
        <v>1530</v>
      </c>
      <c r="B1316" s="34" t="n">
        <v>157.35</v>
      </c>
      <c r="C1316" s="34" t="n">
        <v>-66.67</v>
      </c>
      <c r="D1316" s="34" t="n">
        <v>-104.47</v>
      </c>
      <c r="E1316" s="34" t="n">
        <v>-164.25</v>
      </c>
      <c r="F1316" s="34" t="n">
        <v>54.24</v>
      </c>
      <c r="G1316" s="34" t="n">
        <v>110.94</v>
      </c>
      <c r="H1316" s="34" t="n">
        <v>137.99</v>
      </c>
      <c r="I1316" s="34" t="n">
        <v>130.79</v>
      </c>
      <c r="J1316" s="34" t="n">
        <v>109.5</v>
      </c>
      <c r="K1316" s="34" t="n">
        <v>151.14</v>
      </c>
      <c r="L1316" s="34" t="n">
        <f aca="false">AVERAGE(C1316:E1316)</f>
        <v>-111.796666666667</v>
      </c>
      <c r="M1316" s="34" t="n">
        <f aca="false">AVERAGE(C1316:J1316)</f>
        <v>26.00875</v>
      </c>
    </row>
    <row r="1317" customFormat="false" ht="15" hidden="false" customHeight="true" outlineLevel="0" collapsed="false">
      <c r="A1317" s="34" t="s">
        <v>1531</v>
      </c>
      <c r="B1317" s="34" t="n">
        <v>157.1</v>
      </c>
      <c r="C1317" s="34" t="n">
        <v>66.67</v>
      </c>
      <c r="D1317" s="34" t="n">
        <v>88.24</v>
      </c>
      <c r="E1317" s="34" t="n">
        <v>200.06</v>
      </c>
      <c r="F1317" s="34" t="n">
        <v>169.97</v>
      </c>
      <c r="G1317" s="34" t="n">
        <v>226.48</v>
      </c>
      <c r="H1317" s="34" t="n">
        <v>263.37</v>
      </c>
      <c r="I1317" s="34" t="n">
        <v>258.84</v>
      </c>
      <c r="J1317" s="34" t="n">
        <v>258.08</v>
      </c>
      <c r="K1317" s="34" t="n">
        <v>143.42</v>
      </c>
      <c r="L1317" s="34" t="n">
        <f aca="false">AVERAGE(C1317:E1317)</f>
        <v>118.323333333333</v>
      </c>
      <c r="M1317" s="34" t="n">
        <f aca="false">AVERAGE(C1317:J1317)</f>
        <v>191.46375</v>
      </c>
    </row>
    <row r="1318" customFormat="false" ht="15" hidden="false" customHeight="true" outlineLevel="0" collapsed="false">
      <c r="A1318" s="34" t="s">
        <v>1532</v>
      </c>
      <c r="B1318" s="34" t="n">
        <v>157.1</v>
      </c>
      <c r="C1318" s="34" t="n">
        <v>-66.67</v>
      </c>
      <c r="D1318" s="34" t="n">
        <v>-83.47</v>
      </c>
      <c r="E1318" s="34" t="n">
        <v>24.15</v>
      </c>
      <c r="F1318" s="34" t="n">
        <v>-43.85</v>
      </c>
      <c r="G1318" s="34" t="n">
        <v>-84.8</v>
      </c>
      <c r="H1318" s="34" t="n">
        <v>-77.52</v>
      </c>
      <c r="I1318" s="34" t="n">
        <v>-83.44</v>
      </c>
      <c r="J1318" s="34" t="n">
        <v>-90.61</v>
      </c>
      <c r="K1318" s="34" t="n">
        <v>165.99</v>
      </c>
      <c r="L1318" s="34" t="n">
        <f aca="false">AVERAGE(C1318:E1318)</f>
        <v>-41.9966666666667</v>
      </c>
      <c r="M1318" s="34" t="n">
        <f aca="false">AVERAGE(C1318:J1318)</f>
        <v>-63.27625</v>
      </c>
    </row>
    <row r="1319" customFormat="false" ht="15" hidden="false" customHeight="true" outlineLevel="0" collapsed="false">
      <c r="A1319" s="34" t="s">
        <v>1533</v>
      </c>
      <c r="B1319" s="34" t="n">
        <v>157.04</v>
      </c>
      <c r="C1319" s="34" t="n">
        <v>-66.67</v>
      </c>
      <c r="D1319" s="34" t="n">
        <v>-89.67</v>
      </c>
      <c r="E1319" s="34" t="n">
        <v>-120.76</v>
      </c>
      <c r="F1319" s="34" t="n">
        <v>-92.93</v>
      </c>
      <c r="G1319" s="34" t="n">
        <v>-140.76</v>
      </c>
      <c r="H1319" s="34" t="n">
        <v>-159.27</v>
      </c>
      <c r="I1319" s="34" t="n">
        <v>-177.26</v>
      </c>
      <c r="J1319" s="34" t="n">
        <v>-133.23</v>
      </c>
      <c r="K1319" s="34" t="n">
        <v>168.89</v>
      </c>
      <c r="L1319" s="34" t="n">
        <f aca="false">AVERAGE(C1319:E1319)</f>
        <v>-92.3666666666667</v>
      </c>
      <c r="M1319" s="34" t="n">
        <f aca="false">AVERAGE(C1319:J1319)</f>
        <v>-122.56875</v>
      </c>
    </row>
    <row r="1320" customFormat="false" ht="15" hidden="false" customHeight="true" outlineLevel="0" collapsed="false">
      <c r="A1320" s="34" t="s">
        <v>1534</v>
      </c>
      <c r="B1320" s="34" t="n">
        <v>157</v>
      </c>
      <c r="C1320" s="34" t="n">
        <v>-66.67</v>
      </c>
      <c r="D1320" s="34" t="n">
        <v>-104.48</v>
      </c>
      <c r="E1320" s="34" t="n">
        <v>24.45</v>
      </c>
      <c r="F1320" s="34" t="n">
        <v>-15.61</v>
      </c>
      <c r="G1320" s="34" t="n">
        <v>40.74</v>
      </c>
      <c r="H1320" s="34" t="n">
        <v>72.17</v>
      </c>
      <c r="I1320" s="34" t="n">
        <v>94.52</v>
      </c>
      <c r="J1320" s="34" t="n">
        <v>109.82</v>
      </c>
      <c r="K1320" s="34" t="n">
        <v>159.81</v>
      </c>
      <c r="L1320" s="34" t="n">
        <f aca="false">AVERAGE(C1320:E1320)</f>
        <v>-48.9</v>
      </c>
      <c r="M1320" s="34" t="n">
        <f aca="false">AVERAGE(C1320:J1320)</f>
        <v>19.3675</v>
      </c>
    </row>
    <row r="1321" customFormat="false" ht="15" hidden="false" customHeight="true" outlineLevel="0" collapsed="false">
      <c r="A1321" s="34" t="s">
        <v>1535</v>
      </c>
      <c r="B1321" s="34" t="n">
        <v>156.9</v>
      </c>
      <c r="C1321" s="34" t="n">
        <v>66.67</v>
      </c>
      <c r="D1321" s="34" t="n">
        <v>57.26</v>
      </c>
      <c r="E1321" s="34" t="n">
        <v>88.96</v>
      </c>
      <c r="F1321" s="34" t="n">
        <v>90.75</v>
      </c>
      <c r="G1321" s="34" t="n">
        <v>134.23</v>
      </c>
      <c r="H1321" s="34" t="n">
        <v>180.17</v>
      </c>
      <c r="I1321" s="34" t="n">
        <v>227.8</v>
      </c>
      <c r="J1321" s="34" t="n">
        <v>258.12</v>
      </c>
      <c r="K1321" s="34" t="n">
        <v>141.56</v>
      </c>
      <c r="L1321" s="34" t="n">
        <f aca="false">AVERAGE(C1321:E1321)</f>
        <v>70.9633333333333</v>
      </c>
      <c r="M1321" s="34" t="n">
        <f aca="false">AVERAGE(C1321:J1321)</f>
        <v>137.995</v>
      </c>
    </row>
    <row r="1322" customFormat="false" ht="15" hidden="false" customHeight="true" outlineLevel="0" collapsed="false">
      <c r="A1322" s="34" t="s">
        <v>1536</v>
      </c>
      <c r="B1322" s="34" t="n">
        <v>156.85</v>
      </c>
      <c r="C1322" s="34" t="n">
        <v>-66.67</v>
      </c>
      <c r="D1322" s="34" t="n">
        <v>5.33</v>
      </c>
      <c r="E1322" s="34" t="n">
        <v>82.09</v>
      </c>
      <c r="F1322" s="34" t="n">
        <v>-25.99</v>
      </c>
      <c r="G1322" s="34" t="n">
        <v>-81.25</v>
      </c>
      <c r="H1322" s="34" t="n">
        <v>-48.41</v>
      </c>
      <c r="I1322" s="34" t="n">
        <v>-1.03</v>
      </c>
      <c r="J1322" s="34" t="n">
        <v>-2.64</v>
      </c>
      <c r="K1322" s="34" t="n">
        <v>161</v>
      </c>
      <c r="L1322" s="34" t="n">
        <f aca="false">AVERAGE(C1322:E1322)</f>
        <v>6.91666666666667</v>
      </c>
      <c r="M1322" s="34" t="n">
        <f aca="false">AVERAGE(C1322:J1322)</f>
        <v>-17.32125</v>
      </c>
    </row>
    <row r="1323" customFormat="false" ht="15" hidden="false" customHeight="true" outlineLevel="0" collapsed="false">
      <c r="A1323" s="34" t="s">
        <v>1537</v>
      </c>
      <c r="B1323" s="34" t="n">
        <v>156.5</v>
      </c>
      <c r="C1323" s="34" t="n">
        <v>-66.67</v>
      </c>
      <c r="D1323" s="34" t="n">
        <v>-120.81</v>
      </c>
      <c r="E1323" s="34" t="n">
        <v>69.21</v>
      </c>
      <c r="F1323" s="34" t="n">
        <v>49.28</v>
      </c>
      <c r="G1323" s="34" t="n">
        <v>22.49</v>
      </c>
      <c r="H1323" s="34" t="n">
        <v>58.57</v>
      </c>
      <c r="I1323" s="34" t="n">
        <v>76.06</v>
      </c>
      <c r="J1323" s="34" t="n">
        <v>82.11</v>
      </c>
      <c r="K1323" s="34" t="n">
        <v>145.05</v>
      </c>
      <c r="L1323" s="34" t="n">
        <f aca="false">AVERAGE(C1323:E1323)</f>
        <v>-39.4233333333333</v>
      </c>
      <c r="M1323" s="34" t="n">
        <f aca="false">AVERAGE(C1323:J1323)</f>
        <v>21.28</v>
      </c>
    </row>
    <row r="1324" customFormat="false" ht="15" hidden="false" customHeight="true" outlineLevel="0" collapsed="false">
      <c r="A1324" s="34" t="s">
        <v>1538</v>
      </c>
      <c r="B1324" s="34" t="n">
        <v>156.4</v>
      </c>
      <c r="C1324" s="34" t="n">
        <v>66.67</v>
      </c>
      <c r="D1324" s="34" t="n">
        <v>133.33</v>
      </c>
      <c r="E1324" s="34" t="n">
        <v>167.77</v>
      </c>
      <c r="F1324" s="34" t="n">
        <v>8</v>
      </c>
      <c r="G1324" s="34" t="n">
        <v>4.63</v>
      </c>
      <c r="H1324" s="34" t="n">
        <v>27.01</v>
      </c>
      <c r="I1324" s="34" t="n">
        <v>-30.05</v>
      </c>
      <c r="J1324" s="34" t="n">
        <v>-47.68</v>
      </c>
      <c r="K1324" s="34" t="n">
        <v>148.45</v>
      </c>
      <c r="L1324" s="34" t="n">
        <f aca="false">AVERAGE(C1324:E1324)</f>
        <v>122.59</v>
      </c>
      <c r="M1324" s="34" t="n">
        <f aca="false">AVERAGE(C1324:J1324)</f>
        <v>41.21</v>
      </c>
    </row>
    <row r="1325" customFormat="false" ht="15" hidden="false" customHeight="true" outlineLevel="0" collapsed="false">
      <c r="A1325" s="34" t="s">
        <v>419</v>
      </c>
      <c r="B1325" s="34" t="n">
        <v>156.06</v>
      </c>
      <c r="C1325" s="34" t="n">
        <v>-66.67</v>
      </c>
      <c r="D1325" s="34" t="n">
        <v>59.41</v>
      </c>
      <c r="E1325" s="34" t="n">
        <v>52.05</v>
      </c>
      <c r="F1325" s="34" t="n">
        <v>-53.01</v>
      </c>
      <c r="G1325" s="34" t="n">
        <v>-68.96</v>
      </c>
      <c r="H1325" s="34" t="n">
        <v>29.67</v>
      </c>
      <c r="I1325" s="34" t="n">
        <v>51.29</v>
      </c>
      <c r="J1325" s="34" t="n">
        <v>54.37</v>
      </c>
      <c r="K1325" s="34" t="n">
        <v>162.5</v>
      </c>
      <c r="L1325" s="34" t="n">
        <f aca="false">AVERAGE(C1325:E1325)</f>
        <v>14.93</v>
      </c>
      <c r="M1325" s="34" t="n">
        <f aca="false">AVERAGE(C1325:J1325)</f>
        <v>7.26875</v>
      </c>
    </row>
    <row r="1326" customFormat="false" ht="15" hidden="false" customHeight="true" outlineLevel="0" collapsed="false">
      <c r="A1326" s="34" t="s">
        <v>1539</v>
      </c>
      <c r="B1326" s="34" t="n">
        <v>154.89</v>
      </c>
      <c r="C1326" s="34" t="n">
        <v>-66.67</v>
      </c>
      <c r="D1326" s="34" t="n">
        <v>-89.08</v>
      </c>
      <c r="E1326" s="34" t="n">
        <v>-125.13</v>
      </c>
      <c r="F1326" s="34" t="n">
        <v>8.97</v>
      </c>
      <c r="G1326" s="34" t="n">
        <v>62.99</v>
      </c>
      <c r="H1326" s="34" t="n">
        <v>87.71</v>
      </c>
      <c r="I1326" s="34" t="n">
        <v>106.58</v>
      </c>
      <c r="J1326" s="34" t="n">
        <v>118.18</v>
      </c>
      <c r="K1326" s="34" t="n">
        <v>158.78</v>
      </c>
      <c r="L1326" s="34" t="n">
        <f aca="false">AVERAGE(C1326:E1326)</f>
        <v>-93.6266666666667</v>
      </c>
      <c r="M1326" s="34" t="n">
        <f aca="false">AVERAGE(C1326:J1326)</f>
        <v>12.94375</v>
      </c>
    </row>
    <row r="1327" customFormat="false" ht="15" hidden="false" customHeight="true" outlineLevel="0" collapsed="false">
      <c r="A1327" s="34" t="s">
        <v>1540</v>
      </c>
      <c r="B1327" s="34" t="n">
        <v>154.25</v>
      </c>
      <c r="C1327" s="34" t="n">
        <v>66.67</v>
      </c>
      <c r="D1327" s="34" t="n">
        <v>-38.87</v>
      </c>
      <c r="E1327" s="34" t="n">
        <v>-20.59</v>
      </c>
      <c r="F1327" s="34" t="n">
        <v>-59.31</v>
      </c>
      <c r="G1327" s="34" t="n">
        <v>-32.04</v>
      </c>
      <c r="H1327" s="34" t="n">
        <v>-47.74</v>
      </c>
      <c r="I1327" s="34" t="n">
        <v>-2.17</v>
      </c>
      <c r="J1327" s="34" t="n">
        <v>0.546</v>
      </c>
      <c r="K1327" s="34" t="n">
        <v>162.73</v>
      </c>
      <c r="L1327" s="34" t="n">
        <f aca="false">AVERAGE(C1327:E1327)</f>
        <v>2.40333333333334</v>
      </c>
      <c r="M1327" s="34" t="n">
        <f aca="false">AVERAGE(C1327:J1327)</f>
        <v>-16.688</v>
      </c>
    </row>
    <row r="1328" customFormat="false" ht="15" hidden="false" customHeight="true" outlineLevel="0" collapsed="false">
      <c r="A1328" s="34" t="s">
        <v>1541</v>
      </c>
      <c r="B1328" s="34" t="n">
        <v>154.13</v>
      </c>
      <c r="C1328" s="34" t="n">
        <v>66.67</v>
      </c>
      <c r="D1328" s="34" t="n">
        <v>70.93</v>
      </c>
      <c r="E1328" s="34" t="n">
        <v>85.92</v>
      </c>
      <c r="F1328" s="34" t="n">
        <v>64.12</v>
      </c>
      <c r="G1328" s="34" t="n">
        <v>-52.53</v>
      </c>
      <c r="H1328" s="34" t="n">
        <v>-81.27</v>
      </c>
      <c r="I1328" s="34" t="n">
        <v>-108.67</v>
      </c>
      <c r="J1328" s="34" t="n">
        <v>-120.64</v>
      </c>
      <c r="K1328" s="34" t="n">
        <v>135.99</v>
      </c>
      <c r="L1328" s="34" t="n">
        <f aca="false">AVERAGE(C1328:E1328)</f>
        <v>74.5066666666667</v>
      </c>
      <c r="M1328" s="34" t="n">
        <f aca="false">AVERAGE(C1328:J1328)</f>
        <v>-9.43375</v>
      </c>
    </row>
    <row r="1329" customFormat="false" ht="15" hidden="false" customHeight="true" outlineLevel="0" collapsed="false">
      <c r="A1329" s="34" t="s">
        <v>1542</v>
      </c>
      <c r="B1329" s="34" t="n">
        <v>154.1</v>
      </c>
      <c r="C1329" s="34" t="n">
        <v>-66.67</v>
      </c>
      <c r="D1329" s="34" t="n">
        <v>-104</v>
      </c>
      <c r="E1329" s="34" t="n">
        <v>-40.51</v>
      </c>
      <c r="F1329" s="34" t="n">
        <v>-75.01</v>
      </c>
      <c r="G1329" s="34" t="n">
        <v>-48.47</v>
      </c>
      <c r="H1329" s="34" t="n">
        <v>-33.3</v>
      </c>
      <c r="I1329" s="34" t="n">
        <v>-15.05</v>
      </c>
      <c r="J1329" s="34" t="n">
        <v>-35.72</v>
      </c>
      <c r="K1329" s="34" t="n">
        <v>165.69</v>
      </c>
      <c r="L1329" s="34" t="n">
        <f aca="false">AVERAGE(C1329:E1329)</f>
        <v>-70.3933333333333</v>
      </c>
      <c r="M1329" s="34" t="n">
        <f aca="false">AVERAGE(C1329:J1329)</f>
        <v>-52.34125</v>
      </c>
    </row>
    <row r="1330" customFormat="false" ht="15" hidden="false" customHeight="true" outlineLevel="0" collapsed="false">
      <c r="A1330" s="34" t="s">
        <v>1543</v>
      </c>
      <c r="B1330" s="34" t="n">
        <v>154</v>
      </c>
      <c r="C1330" s="34" t="n">
        <v>66.67</v>
      </c>
      <c r="D1330" s="34" t="n">
        <v>121.88</v>
      </c>
      <c r="E1330" s="34" t="n">
        <v>-14.98</v>
      </c>
      <c r="F1330" s="34" t="n">
        <v>-41.09</v>
      </c>
      <c r="G1330" s="34" t="n">
        <v>15.21</v>
      </c>
      <c r="H1330" s="34" t="n">
        <v>40.72</v>
      </c>
      <c r="I1330" s="34" t="n">
        <v>65.24</v>
      </c>
      <c r="J1330" s="34" t="n">
        <v>32.08</v>
      </c>
      <c r="K1330" s="34" t="n">
        <v>169.66</v>
      </c>
      <c r="L1330" s="34" t="n">
        <f aca="false">AVERAGE(C1330:E1330)</f>
        <v>57.8566666666667</v>
      </c>
      <c r="M1330" s="34" t="n">
        <f aca="false">AVERAGE(C1330:J1330)</f>
        <v>35.71625</v>
      </c>
    </row>
    <row r="1331" customFormat="false" ht="15" hidden="false" customHeight="true" outlineLevel="0" collapsed="false">
      <c r="A1331" s="34" t="s">
        <v>1544</v>
      </c>
      <c r="B1331" s="34" t="n">
        <v>153.55</v>
      </c>
      <c r="C1331" s="34" t="n">
        <v>-66.67</v>
      </c>
      <c r="D1331" s="34" t="n">
        <v>-133.33</v>
      </c>
      <c r="E1331" s="34" t="n">
        <v>-104.04</v>
      </c>
      <c r="F1331" s="34" t="n">
        <v>-85.12</v>
      </c>
      <c r="G1331" s="34" t="n">
        <v>-106.58</v>
      </c>
      <c r="H1331" s="34" t="n">
        <v>-21.55</v>
      </c>
      <c r="I1331" s="34" t="n">
        <v>15.08</v>
      </c>
      <c r="J1331" s="34" t="n">
        <v>7.74</v>
      </c>
      <c r="K1331" s="34" t="n">
        <v>162.37</v>
      </c>
      <c r="L1331" s="34" t="n">
        <f aca="false">AVERAGE(C1331:E1331)</f>
        <v>-101.346666666667</v>
      </c>
      <c r="M1331" s="34" t="n">
        <f aca="false">AVERAGE(C1331:J1331)</f>
        <v>-61.80875</v>
      </c>
    </row>
    <row r="1332" customFormat="false" ht="15" hidden="false" customHeight="true" outlineLevel="0" collapsed="false">
      <c r="A1332" s="34" t="s">
        <v>1545</v>
      </c>
      <c r="B1332" s="34" t="n">
        <v>153.5</v>
      </c>
      <c r="C1332" s="34" t="n">
        <v>-66.67</v>
      </c>
      <c r="D1332" s="34" t="n">
        <v>58.68</v>
      </c>
      <c r="E1332" s="34" t="n">
        <v>138.05</v>
      </c>
      <c r="F1332" s="34" t="n">
        <v>128.58</v>
      </c>
      <c r="G1332" s="34" t="n">
        <v>105.94</v>
      </c>
      <c r="H1332" s="34" t="n">
        <v>115.15</v>
      </c>
      <c r="I1332" s="34" t="n">
        <v>128.63</v>
      </c>
      <c r="J1332" s="34" t="n">
        <v>152.76</v>
      </c>
      <c r="K1332" s="34" t="n">
        <v>144.51</v>
      </c>
      <c r="L1332" s="34" t="n">
        <f aca="false">AVERAGE(C1332:E1332)</f>
        <v>43.3533333333333</v>
      </c>
      <c r="M1332" s="34" t="n">
        <f aca="false">AVERAGE(C1332:J1332)</f>
        <v>95.14</v>
      </c>
    </row>
    <row r="1333" customFormat="false" ht="15" hidden="false" customHeight="true" outlineLevel="0" collapsed="false">
      <c r="A1333" s="34" t="s">
        <v>1546</v>
      </c>
      <c r="B1333" s="34" t="n">
        <v>153.3</v>
      </c>
      <c r="C1333" s="34" t="n">
        <v>-66.67</v>
      </c>
      <c r="D1333" s="34" t="n">
        <v>41.71</v>
      </c>
      <c r="E1333" s="34" t="n">
        <v>53.39</v>
      </c>
      <c r="F1333" s="34" t="n">
        <v>-41.73</v>
      </c>
      <c r="G1333" s="34" t="n">
        <v>-74.51</v>
      </c>
      <c r="H1333" s="34" t="n">
        <v>-46.13</v>
      </c>
      <c r="I1333" s="34" t="n">
        <v>-11.07</v>
      </c>
      <c r="J1333" s="34" t="n">
        <v>-40.06</v>
      </c>
      <c r="K1333" s="34" t="n">
        <v>159.65</v>
      </c>
      <c r="L1333" s="34" t="n">
        <f aca="false">AVERAGE(C1333:E1333)</f>
        <v>9.47666666666667</v>
      </c>
      <c r="M1333" s="34" t="n">
        <f aca="false">AVERAGE(C1333:J1333)</f>
        <v>-23.13375</v>
      </c>
    </row>
    <row r="1334" customFormat="false" ht="15" hidden="false" customHeight="true" outlineLevel="0" collapsed="false">
      <c r="A1334" s="34" t="s">
        <v>1547</v>
      </c>
      <c r="B1334" s="34" t="n">
        <v>153.12</v>
      </c>
      <c r="C1334" s="34" t="n">
        <v>66.67</v>
      </c>
      <c r="D1334" s="34" t="n">
        <v>-45.48</v>
      </c>
      <c r="E1334" s="34"/>
      <c r="F1334" s="34"/>
      <c r="G1334" s="34"/>
      <c r="H1334" s="34"/>
      <c r="I1334" s="34"/>
      <c r="J1334" s="34"/>
      <c r="K1334" s="34"/>
      <c r="L1334" s="34" t="n">
        <f aca="false">AVERAGE(C1334:E1334)</f>
        <v>10.595</v>
      </c>
      <c r="M1334" s="34" t="n">
        <f aca="false">AVERAGE(C1334:J1334)</f>
        <v>10.595</v>
      </c>
    </row>
    <row r="1335" customFormat="false" ht="15" hidden="false" customHeight="true" outlineLevel="0" collapsed="false">
      <c r="A1335" s="34" t="s">
        <v>1548</v>
      </c>
      <c r="B1335" s="34" t="n">
        <v>153</v>
      </c>
      <c r="C1335" s="34" t="n">
        <v>-66.67</v>
      </c>
      <c r="D1335" s="34" t="n">
        <v>-133.33</v>
      </c>
      <c r="E1335" s="34" t="n">
        <v>-201.86</v>
      </c>
      <c r="F1335" s="34" t="n">
        <v>-91.41</v>
      </c>
      <c r="G1335" s="34" t="n">
        <v>-74.76</v>
      </c>
      <c r="H1335" s="34" t="n">
        <v>-34.19</v>
      </c>
      <c r="I1335" s="34" t="n">
        <v>13.69</v>
      </c>
      <c r="J1335" s="34" t="n">
        <v>16.41</v>
      </c>
      <c r="K1335" s="34" t="n">
        <v>163.9</v>
      </c>
      <c r="L1335" s="34" t="n">
        <f aca="false">AVERAGE(C1335:E1335)</f>
        <v>-133.953333333333</v>
      </c>
      <c r="M1335" s="34" t="n">
        <f aca="false">AVERAGE(C1335:J1335)</f>
        <v>-71.515</v>
      </c>
    </row>
    <row r="1336" customFormat="false" ht="15" hidden="false" customHeight="true" outlineLevel="0" collapsed="false">
      <c r="A1336" s="34" t="s">
        <v>1549</v>
      </c>
      <c r="B1336" s="34" t="n">
        <v>152.95</v>
      </c>
      <c r="C1336" s="34" t="n">
        <v>-66.67</v>
      </c>
      <c r="D1336" s="34" t="n">
        <v>-125.12</v>
      </c>
      <c r="E1336" s="34" t="n">
        <v>-27.26</v>
      </c>
      <c r="F1336" s="34" t="n">
        <v>-69.48</v>
      </c>
      <c r="G1336" s="34" t="n">
        <v>-79.91</v>
      </c>
      <c r="H1336" s="34" t="n">
        <v>-42.85</v>
      </c>
      <c r="I1336" s="34" t="n">
        <v>4.18</v>
      </c>
      <c r="J1336" s="34" t="n">
        <v>-16.54</v>
      </c>
      <c r="K1336" s="34" t="n">
        <v>162.42</v>
      </c>
      <c r="L1336" s="34" t="n">
        <f aca="false">AVERAGE(C1336:E1336)</f>
        <v>-73.0166666666667</v>
      </c>
      <c r="M1336" s="34" t="n">
        <f aca="false">AVERAGE(C1336:J1336)</f>
        <v>-52.95625</v>
      </c>
    </row>
    <row r="1337" customFormat="false" ht="15" hidden="false" customHeight="true" outlineLevel="0" collapsed="false">
      <c r="A1337" s="34" t="s">
        <v>1550</v>
      </c>
      <c r="B1337" s="34" t="n">
        <v>152.25</v>
      </c>
      <c r="C1337" s="34" t="n">
        <v>-66.67</v>
      </c>
      <c r="D1337" s="34" t="n">
        <v>-133.33</v>
      </c>
      <c r="E1337" s="34" t="n">
        <v>-158.46</v>
      </c>
      <c r="F1337" s="34" t="n">
        <v>-182.38</v>
      </c>
      <c r="G1337" s="34" t="n">
        <v>-257.92</v>
      </c>
      <c r="H1337" s="34" t="n">
        <v>-133.52</v>
      </c>
      <c r="I1337" s="34" t="n">
        <v>-132.63</v>
      </c>
      <c r="J1337" s="34" t="n">
        <v>-96.99</v>
      </c>
      <c r="K1337" s="34" t="n">
        <v>165.79</v>
      </c>
      <c r="L1337" s="34" t="n">
        <f aca="false">AVERAGE(C1337:E1337)</f>
        <v>-119.486666666667</v>
      </c>
      <c r="M1337" s="34" t="n">
        <f aca="false">AVERAGE(C1337:J1337)</f>
        <v>-145.2375</v>
      </c>
    </row>
    <row r="1338" customFormat="false" ht="15" hidden="false" customHeight="true" outlineLevel="0" collapsed="false">
      <c r="A1338" s="34" t="s">
        <v>1551</v>
      </c>
      <c r="B1338" s="34" t="n">
        <v>152.24</v>
      </c>
      <c r="C1338" s="34" t="n">
        <v>-66.67</v>
      </c>
      <c r="D1338" s="34" t="n">
        <v>12.42</v>
      </c>
      <c r="E1338" s="34" t="n">
        <v>62.61</v>
      </c>
      <c r="F1338" s="34" t="n">
        <v>141.29</v>
      </c>
      <c r="G1338" s="34" t="n">
        <v>266.08</v>
      </c>
      <c r="H1338" s="34" t="n">
        <v>339.74</v>
      </c>
      <c r="I1338" s="34" t="n">
        <v>360.4</v>
      </c>
      <c r="J1338" s="34" t="n">
        <v>378.4</v>
      </c>
      <c r="K1338" s="34" t="n">
        <v>138.52</v>
      </c>
      <c r="L1338" s="34" t="n">
        <f aca="false">AVERAGE(C1338:E1338)</f>
        <v>2.78666666666667</v>
      </c>
      <c r="M1338" s="34" t="n">
        <f aca="false">AVERAGE(C1338:J1338)</f>
        <v>186.78375</v>
      </c>
    </row>
    <row r="1339" customFormat="false" ht="15" hidden="false" customHeight="true" outlineLevel="0" collapsed="false">
      <c r="A1339" s="34" t="s">
        <v>1552</v>
      </c>
      <c r="B1339" s="34" t="n">
        <v>152.19</v>
      </c>
      <c r="C1339" s="34" t="n">
        <v>66.67</v>
      </c>
      <c r="D1339" s="34" t="n">
        <v>66.9</v>
      </c>
      <c r="E1339" s="34" t="n">
        <v>130.47</v>
      </c>
      <c r="F1339" s="34" t="n">
        <v>38.12</v>
      </c>
      <c r="G1339" s="34" t="n">
        <v>87.73</v>
      </c>
      <c r="H1339" s="34" t="n">
        <v>93.85</v>
      </c>
      <c r="I1339" s="34" t="n">
        <v>105.59</v>
      </c>
      <c r="J1339" s="34" t="n">
        <v>128.04</v>
      </c>
      <c r="K1339" s="34" t="n">
        <v>160.16</v>
      </c>
      <c r="L1339" s="34" t="n">
        <f aca="false">AVERAGE(C1339:E1339)</f>
        <v>88.0133333333333</v>
      </c>
      <c r="M1339" s="34" t="n">
        <f aca="false">AVERAGE(C1339:J1339)</f>
        <v>89.67125</v>
      </c>
    </row>
    <row r="1340" customFormat="false" ht="15" hidden="false" customHeight="true" outlineLevel="0" collapsed="false">
      <c r="A1340" s="34" t="s">
        <v>1553</v>
      </c>
      <c r="B1340" s="34" t="n">
        <v>152.04</v>
      </c>
      <c r="C1340" s="34" t="n">
        <v>-66.67</v>
      </c>
      <c r="D1340" s="34" t="n">
        <v>-93</v>
      </c>
      <c r="E1340" s="34" t="n">
        <v>-122.46</v>
      </c>
      <c r="F1340" s="34" t="n">
        <v>-169.81</v>
      </c>
      <c r="G1340" s="34" t="n">
        <v>-219.86</v>
      </c>
      <c r="H1340" s="34" t="n">
        <v>-151.59</v>
      </c>
      <c r="I1340" s="34" t="n">
        <v>-74.47</v>
      </c>
      <c r="J1340" s="34" t="n">
        <v>-88.6</v>
      </c>
      <c r="K1340" s="34" t="n">
        <v>169.68</v>
      </c>
      <c r="L1340" s="34" t="n">
        <f aca="false">AVERAGE(C1340:E1340)</f>
        <v>-94.0433333333333</v>
      </c>
      <c r="M1340" s="34" t="n">
        <f aca="false">AVERAGE(C1340:J1340)</f>
        <v>-123.3075</v>
      </c>
    </row>
    <row r="1341" customFormat="false" ht="15" hidden="false" customHeight="true" outlineLevel="0" collapsed="false">
      <c r="A1341" s="34" t="s">
        <v>1554</v>
      </c>
      <c r="B1341" s="34" t="n">
        <v>151.97</v>
      </c>
      <c r="C1341" s="34" t="n">
        <v>-66.67</v>
      </c>
      <c r="D1341" s="34" t="n">
        <v>-101.24</v>
      </c>
      <c r="E1341" s="34" t="n">
        <v>-28.94</v>
      </c>
      <c r="F1341" s="34" t="n">
        <v>-29.25</v>
      </c>
      <c r="G1341" s="34" t="n">
        <v>38.67</v>
      </c>
      <c r="H1341" s="34" t="n">
        <v>68.09</v>
      </c>
      <c r="I1341" s="34" t="n">
        <v>91.28</v>
      </c>
      <c r="J1341" s="34" t="n">
        <v>111.47</v>
      </c>
      <c r="K1341" s="34" t="n">
        <v>167.44</v>
      </c>
      <c r="L1341" s="34" t="n">
        <f aca="false">AVERAGE(C1341:E1341)</f>
        <v>-65.6166666666667</v>
      </c>
      <c r="M1341" s="34" t="n">
        <f aca="false">AVERAGE(C1341:J1341)</f>
        <v>10.42625</v>
      </c>
    </row>
    <row r="1342" customFormat="false" ht="15" hidden="false" customHeight="true" outlineLevel="0" collapsed="false">
      <c r="A1342" s="34" t="s">
        <v>1555</v>
      </c>
      <c r="B1342" s="34" t="n">
        <v>151.4</v>
      </c>
      <c r="C1342" s="34" t="n">
        <v>-66.67</v>
      </c>
      <c r="D1342" s="34" t="n">
        <v>-95.9</v>
      </c>
      <c r="E1342" s="34" t="n">
        <v>-15.79</v>
      </c>
      <c r="F1342" s="34" t="n">
        <v>-8.02</v>
      </c>
      <c r="G1342" s="34" t="n">
        <v>19.15</v>
      </c>
      <c r="H1342" s="34" t="n">
        <v>29.43</v>
      </c>
      <c r="I1342" s="34" t="n">
        <v>26.57</v>
      </c>
      <c r="J1342" s="34" t="n">
        <v>-9.62</v>
      </c>
      <c r="K1342" s="34" t="n">
        <v>165.95</v>
      </c>
      <c r="L1342" s="34" t="n">
        <f aca="false">AVERAGE(C1342:E1342)</f>
        <v>-59.4533333333333</v>
      </c>
      <c r="M1342" s="34" t="n">
        <f aca="false">AVERAGE(C1342:J1342)</f>
        <v>-15.10625</v>
      </c>
    </row>
    <row r="1343" customFormat="false" ht="15" hidden="false" customHeight="true" outlineLevel="0" collapsed="false">
      <c r="A1343" s="34" t="s">
        <v>1556</v>
      </c>
      <c r="B1343" s="34" t="n">
        <v>151.33</v>
      </c>
      <c r="C1343" s="34" t="n">
        <v>-66.67</v>
      </c>
      <c r="D1343" s="34" t="n">
        <v>-96.03</v>
      </c>
      <c r="E1343" s="34" t="n">
        <v>-197</v>
      </c>
      <c r="F1343" s="34" t="n">
        <v>-20.48</v>
      </c>
      <c r="G1343" s="34" t="n">
        <v>-9.9</v>
      </c>
      <c r="H1343" s="34" t="n">
        <v>-4.97</v>
      </c>
      <c r="I1343" s="34" t="n">
        <v>31.67</v>
      </c>
      <c r="J1343" s="34" t="n">
        <v>44.27</v>
      </c>
      <c r="K1343" s="34" t="n">
        <v>150.64</v>
      </c>
      <c r="L1343" s="34" t="n">
        <f aca="false">AVERAGE(C1343:E1343)</f>
        <v>-119.9</v>
      </c>
      <c r="M1343" s="34" t="n">
        <f aca="false">AVERAGE(C1343:J1343)</f>
        <v>-39.88875</v>
      </c>
    </row>
    <row r="1344" customFormat="false" ht="15" hidden="false" customHeight="true" outlineLevel="0" collapsed="false">
      <c r="A1344" s="34" t="s">
        <v>1557</v>
      </c>
      <c r="B1344" s="34" t="n">
        <v>151.15</v>
      </c>
      <c r="C1344" s="34" t="n">
        <v>66.67</v>
      </c>
      <c r="D1344" s="34" t="n">
        <v>72.1</v>
      </c>
      <c r="E1344" s="34" t="n">
        <v>76.2</v>
      </c>
      <c r="F1344" s="34" t="n">
        <v>51.36</v>
      </c>
      <c r="G1344" s="34" t="n">
        <v>80.29</v>
      </c>
      <c r="H1344" s="34" t="n">
        <v>102.63</v>
      </c>
      <c r="I1344" s="34" t="n">
        <v>111.67</v>
      </c>
      <c r="J1344" s="34" t="n">
        <v>125.19</v>
      </c>
      <c r="K1344" s="34" t="n">
        <v>151.23</v>
      </c>
      <c r="L1344" s="34" t="n">
        <f aca="false">AVERAGE(C1344:E1344)</f>
        <v>71.6566666666667</v>
      </c>
      <c r="M1344" s="34" t="n">
        <f aca="false">AVERAGE(C1344:J1344)</f>
        <v>85.76375</v>
      </c>
    </row>
    <row r="1345" customFormat="false" ht="15" hidden="false" customHeight="true" outlineLevel="0" collapsed="false">
      <c r="A1345" s="34" t="s">
        <v>1558</v>
      </c>
      <c r="B1345" s="34" t="n">
        <v>150.79</v>
      </c>
      <c r="C1345" s="34" t="n">
        <v>66.67</v>
      </c>
      <c r="D1345" s="34" t="n">
        <v>-53.59</v>
      </c>
      <c r="E1345" s="34" t="n">
        <v>-89.82</v>
      </c>
      <c r="F1345" s="34" t="n">
        <v>-115.17</v>
      </c>
      <c r="G1345" s="34" t="n">
        <v>-83.29</v>
      </c>
      <c r="H1345" s="34" t="n">
        <v>-64.99</v>
      </c>
      <c r="I1345" s="34" t="n">
        <v>-71.2</v>
      </c>
      <c r="J1345" s="34" t="n">
        <v>-70.16</v>
      </c>
      <c r="K1345" s="34" t="n">
        <v>169.47</v>
      </c>
      <c r="L1345" s="34" t="n">
        <f aca="false">AVERAGE(C1345:E1345)</f>
        <v>-25.58</v>
      </c>
      <c r="M1345" s="34" t="n">
        <f aca="false">AVERAGE(C1345:J1345)</f>
        <v>-60.19375</v>
      </c>
    </row>
    <row r="1346" customFormat="false" ht="15" hidden="false" customHeight="true" outlineLevel="0" collapsed="false">
      <c r="A1346" s="34" t="s">
        <v>1559</v>
      </c>
      <c r="B1346" s="34" t="n">
        <v>150.67</v>
      </c>
      <c r="C1346" s="34" t="n">
        <v>66.67</v>
      </c>
      <c r="D1346" s="34" t="n">
        <v>46.76</v>
      </c>
      <c r="E1346" s="34" t="n">
        <v>74.2</v>
      </c>
      <c r="F1346" s="34" t="n">
        <v>141.46</v>
      </c>
      <c r="G1346" s="34" t="n">
        <v>153.15</v>
      </c>
      <c r="H1346" s="34" t="n">
        <v>160.52</v>
      </c>
      <c r="I1346" s="34" t="n">
        <v>141.79</v>
      </c>
      <c r="J1346" s="34" t="n">
        <v>150.65</v>
      </c>
      <c r="K1346" s="34" t="n">
        <v>139.84</v>
      </c>
      <c r="L1346" s="34" t="n">
        <f aca="false">AVERAGE(C1346:E1346)</f>
        <v>62.5433333333333</v>
      </c>
      <c r="M1346" s="34" t="n">
        <f aca="false">AVERAGE(C1346:J1346)</f>
        <v>116.9</v>
      </c>
    </row>
    <row r="1347" customFormat="false" ht="15" hidden="false" customHeight="true" outlineLevel="0" collapsed="false">
      <c r="A1347" s="34" t="s">
        <v>1560</v>
      </c>
      <c r="B1347" s="34" t="n">
        <v>150.25</v>
      </c>
      <c r="C1347" s="34" t="n">
        <v>-66.67</v>
      </c>
      <c r="D1347" s="34" t="n">
        <v>-31.75</v>
      </c>
      <c r="E1347" s="34" t="n">
        <v>-21.2</v>
      </c>
      <c r="F1347" s="34" t="n">
        <v>-102.12</v>
      </c>
      <c r="G1347" s="34" t="n">
        <v>-163.59</v>
      </c>
      <c r="H1347" s="34" t="n">
        <v>-87.73</v>
      </c>
      <c r="I1347" s="34" t="n">
        <v>-36.41</v>
      </c>
      <c r="J1347" s="34" t="n">
        <v>-47.31</v>
      </c>
      <c r="K1347" s="34" t="n">
        <v>160.77</v>
      </c>
      <c r="L1347" s="34" t="n">
        <f aca="false">AVERAGE(C1347:E1347)</f>
        <v>-39.8733333333333</v>
      </c>
      <c r="M1347" s="34" t="n">
        <f aca="false">AVERAGE(C1347:J1347)</f>
        <v>-69.5975</v>
      </c>
    </row>
    <row r="1348" customFormat="false" ht="15" hidden="false" customHeight="true" outlineLevel="0" collapsed="false">
      <c r="A1348" s="34" t="s">
        <v>1561</v>
      </c>
      <c r="B1348" s="34" t="n">
        <v>149.9</v>
      </c>
      <c r="C1348" s="34" t="n">
        <v>-66.67</v>
      </c>
      <c r="D1348" s="34" t="n">
        <v>47.42</v>
      </c>
      <c r="E1348" s="34" t="n">
        <v>112.84</v>
      </c>
      <c r="F1348" s="34" t="n">
        <v>62.63</v>
      </c>
      <c r="G1348" s="34" t="n">
        <v>-10.09</v>
      </c>
      <c r="H1348" s="34" t="n">
        <v>19.13</v>
      </c>
      <c r="I1348" s="34" t="n">
        <v>43.38</v>
      </c>
      <c r="J1348" s="34" t="n">
        <v>44.58</v>
      </c>
      <c r="K1348" s="34" t="n">
        <v>139.76</v>
      </c>
      <c r="L1348" s="34" t="n">
        <f aca="false">AVERAGE(C1348:E1348)</f>
        <v>31.1966666666667</v>
      </c>
      <c r="M1348" s="34" t="n">
        <f aca="false">AVERAGE(C1348:J1348)</f>
        <v>31.6525</v>
      </c>
    </row>
    <row r="1349" customFormat="false" ht="15" hidden="false" customHeight="true" outlineLevel="0" collapsed="false">
      <c r="A1349" s="34" t="s">
        <v>1562</v>
      </c>
      <c r="B1349" s="34" t="n">
        <v>149.83</v>
      </c>
      <c r="C1349" s="34" t="n">
        <v>66.67</v>
      </c>
      <c r="D1349" s="34" t="n">
        <v>133.33</v>
      </c>
      <c r="E1349" s="34" t="n">
        <v>-2.98</v>
      </c>
      <c r="F1349" s="34" t="n">
        <v>-56.74</v>
      </c>
      <c r="G1349" s="34" t="n">
        <v>-55.81</v>
      </c>
      <c r="H1349" s="34" t="n">
        <v>11.45</v>
      </c>
      <c r="I1349" s="34" t="n">
        <v>38.75</v>
      </c>
      <c r="J1349" s="34" t="n">
        <v>22.61</v>
      </c>
      <c r="K1349" s="34" t="n">
        <v>155.44</v>
      </c>
      <c r="L1349" s="34" t="n">
        <f aca="false">AVERAGE(C1349:E1349)</f>
        <v>65.6733333333334</v>
      </c>
      <c r="M1349" s="34" t="n">
        <f aca="false">AVERAGE(C1349:J1349)</f>
        <v>19.66</v>
      </c>
    </row>
    <row r="1350" customFormat="false" ht="15" hidden="false" customHeight="true" outlineLevel="0" collapsed="false">
      <c r="A1350" s="34" t="s">
        <v>1563</v>
      </c>
      <c r="B1350" s="34" t="n">
        <v>149.52</v>
      </c>
      <c r="C1350" s="34" t="n">
        <v>-66.67</v>
      </c>
      <c r="D1350" s="34" t="n">
        <v>53.49</v>
      </c>
      <c r="E1350" s="34" t="n">
        <v>66.22</v>
      </c>
      <c r="F1350" s="34" t="n">
        <v>24.97</v>
      </c>
      <c r="G1350" s="34" t="n">
        <v>65.87</v>
      </c>
      <c r="H1350" s="34" t="n">
        <v>91.65</v>
      </c>
      <c r="I1350" s="34" t="n">
        <v>103.1</v>
      </c>
      <c r="J1350" s="34" t="n">
        <v>117.31</v>
      </c>
      <c r="K1350" s="34" t="n">
        <v>150.54</v>
      </c>
      <c r="L1350" s="34" t="n">
        <f aca="false">AVERAGE(C1350:E1350)</f>
        <v>17.68</v>
      </c>
      <c r="M1350" s="34" t="n">
        <f aca="false">AVERAGE(C1350:J1350)</f>
        <v>56.9925</v>
      </c>
    </row>
    <row r="1351" customFormat="false" ht="15" hidden="false" customHeight="true" outlineLevel="0" collapsed="false">
      <c r="A1351" s="34" t="s">
        <v>1564</v>
      </c>
      <c r="B1351" s="34" t="n">
        <v>149.4</v>
      </c>
      <c r="C1351" s="34" t="n">
        <v>66.67</v>
      </c>
      <c r="D1351" s="34" t="n">
        <v>81.7</v>
      </c>
      <c r="E1351" s="34" t="n">
        <v>96.3</v>
      </c>
      <c r="F1351" s="34" t="n">
        <v>-39.84</v>
      </c>
      <c r="G1351" s="34" t="n">
        <v>-27.66</v>
      </c>
      <c r="H1351" s="34" t="n">
        <v>26.16</v>
      </c>
      <c r="I1351" s="34" t="n">
        <v>49.87</v>
      </c>
      <c r="J1351" s="34" t="n">
        <v>60.48</v>
      </c>
      <c r="K1351" s="34" t="n">
        <v>152.94</v>
      </c>
      <c r="L1351" s="34" t="n">
        <f aca="false">AVERAGE(C1351:E1351)</f>
        <v>81.5566666666667</v>
      </c>
      <c r="M1351" s="34" t="n">
        <f aca="false">AVERAGE(C1351:J1351)</f>
        <v>39.21</v>
      </c>
    </row>
    <row r="1352" customFormat="false" ht="15" hidden="false" customHeight="true" outlineLevel="0" collapsed="false">
      <c r="A1352" s="34" t="s">
        <v>1565</v>
      </c>
      <c r="B1352" s="34" t="n">
        <v>148.99</v>
      </c>
      <c r="C1352" s="34" t="n">
        <v>66.67</v>
      </c>
      <c r="D1352" s="34" t="n">
        <v>94.61</v>
      </c>
      <c r="E1352" s="34" t="n">
        <v>171.69</v>
      </c>
      <c r="F1352" s="34" t="n">
        <v>51.89</v>
      </c>
      <c r="G1352" s="34" t="n">
        <v>-18.82</v>
      </c>
      <c r="H1352" s="34" t="n">
        <v>21.91</v>
      </c>
      <c r="I1352" s="34" t="n">
        <v>47.1</v>
      </c>
      <c r="J1352" s="34" t="n">
        <v>58.7</v>
      </c>
      <c r="K1352" s="34" t="n">
        <v>132.47</v>
      </c>
      <c r="L1352" s="34" t="n">
        <f aca="false">AVERAGE(C1352:E1352)</f>
        <v>110.99</v>
      </c>
      <c r="M1352" s="34" t="n">
        <f aca="false">AVERAGE(C1352:J1352)</f>
        <v>61.71875</v>
      </c>
    </row>
    <row r="1353" customFormat="false" ht="15" hidden="false" customHeight="true" outlineLevel="0" collapsed="false">
      <c r="A1353" s="34" t="s">
        <v>1566</v>
      </c>
      <c r="B1353" s="34" t="n">
        <v>148.94</v>
      </c>
      <c r="C1353" s="34" t="n">
        <v>66.67</v>
      </c>
      <c r="D1353" s="34" t="n">
        <v>96.95</v>
      </c>
      <c r="E1353" s="34" t="n">
        <v>86.18</v>
      </c>
      <c r="F1353" s="34" t="n">
        <v>55.33</v>
      </c>
      <c r="G1353" s="34" t="n">
        <v>86.38</v>
      </c>
      <c r="H1353" s="34" t="n">
        <v>109.38</v>
      </c>
      <c r="I1353" s="34" t="n">
        <v>116.07</v>
      </c>
      <c r="J1353" s="34" t="n">
        <v>131.02</v>
      </c>
      <c r="K1353" s="34" t="n">
        <v>145.62</v>
      </c>
      <c r="L1353" s="34" t="n">
        <f aca="false">AVERAGE(C1353:E1353)</f>
        <v>83.2666666666667</v>
      </c>
      <c r="M1353" s="34" t="n">
        <f aca="false">AVERAGE(C1353:J1353)</f>
        <v>93.4975</v>
      </c>
    </row>
    <row r="1354" customFormat="false" ht="15" hidden="false" customHeight="true" outlineLevel="0" collapsed="false">
      <c r="A1354" s="34" t="s">
        <v>1567</v>
      </c>
      <c r="B1354" s="34" t="n">
        <v>148.88</v>
      </c>
      <c r="C1354" s="34" t="n">
        <v>-66.67</v>
      </c>
      <c r="D1354" s="34" t="n">
        <v>-63.16</v>
      </c>
      <c r="E1354" s="34" t="n">
        <v>-80.16</v>
      </c>
      <c r="F1354" s="34" t="n">
        <v>-103.29</v>
      </c>
      <c r="G1354" s="34" t="n">
        <v>-161.4</v>
      </c>
      <c r="H1354" s="34" t="n">
        <v>-159.77</v>
      </c>
      <c r="I1354" s="34" t="n">
        <v>-160.7</v>
      </c>
      <c r="J1354" s="34" t="n">
        <v>-104.8</v>
      </c>
      <c r="K1354" s="34" t="n">
        <v>161.38</v>
      </c>
      <c r="L1354" s="34" t="n">
        <f aca="false">AVERAGE(C1354:E1354)</f>
        <v>-69.9966666666667</v>
      </c>
      <c r="M1354" s="34" t="n">
        <f aca="false">AVERAGE(C1354:J1354)</f>
        <v>-112.49375</v>
      </c>
    </row>
    <row r="1355" customFormat="false" ht="15" hidden="false" customHeight="true" outlineLevel="0" collapsed="false">
      <c r="A1355" s="34" t="s">
        <v>1568</v>
      </c>
      <c r="B1355" s="34" t="n">
        <v>148.7</v>
      </c>
      <c r="C1355" s="34" t="n">
        <v>-66.67</v>
      </c>
      <c r="D1355" s="34" t="n">
        <v>-98.55</v>
      </c>
      <c r="E1355" s="34" t="n">
        <v>-167.84</v>
      </c>
      <c r="F1355" s="34" t="n">
        <v>-95.33</v>
      </c>
      <c r="G1355" s="34" t="n">
        <v>-12.07</v>
      </c>
      <c r="H1355" s="34" t="n">
        <v>20.51</v>
      </c>
      <c r="I1355" s="34" t="n">
        <v>52.54</v>
      </c>
      <c r="J1355" s="34" t="n">
        <v>55.53</v>
      </c>
      <c r="K1355" s="34" t="n">
        <v>160.25</v>
      </c>
      <c r="L1355" s="34" t="n">
        <f aca="false">AVERAGE(C1355:E1355)</f>
        <v>-111.02</v>
      </c>
      <c r="M1355" s="34" t="n">
        <f aca="false">AVERAGE(C1355:J1355)</f>
        <v>-38.985</v>
      </c>
    </row>
    <row r="1356" customFormat="false" ht="15" hidden="false" customHeight="true" outlineLevel="0" collapsed="false">
      <c r="A1356" s="34" t="s">
        <v>1569</v>
      </c>
      <c r="B1356" s="34" t="n">
        <v>147.78</v>
      </c>
      <c r="C1356" s="34" t="n">
        <v>-66.67</v>
      </c>
      <c r="D1356" s="34" t="n">
        <v>-38.81</v>
      </c>
      <c r="E1356" s="34" t="n">
        <v>76.2</v>
      </c>
      <c r="F1356" s="34" t="n">
        <v>34.85</v>
      </c>
      <c r="G1356" s="34" t="n">
        <v>-31.76</v>
      </c>
      <c r="H1356" s="34" t="n">
        <v>-0.45</v>
      </c>
      <c r="I1356" s="34" t="n">
        <v>20.18</v>
      </c>
      <c r="J1356" s="34" t="n">
        <v>0.278</v>
      </c>
      <c r="K1356" s="34" t="n">
        <v>138.58</v>
      </c>
      <c r="L1356" s="34" t="n">
        <f aca="false">AVERAGE(C1356:E1356)</f>
        <v>-9.76</v>
      </c>
      <c r="M1356" s="34" t="n">
        <f aca="false">AVERAGE(C1356:J1356)</f>
        <v>-0.77275</v>
      </c>
    </row>
    <row r="1357" customFormat="false" ht="15" hidden="false" customHeight="true" outlineLevel="0" collapsed="false">
      <c r="A1357" s="34" t="s">
        <v>1570</v>
      </c>
      <c r="B1357" s="34" t="n">
        <v>147.67</v>
      </c>
      <c r="C1357" s="34" t="n">
        <v>-66.67</v>
      </c>
      <c r="D1357" s="34" t="n">
        <v>-111.84</v>
      </c>
      <c r="E1357" s="34" t="n">
        <v>23.88</v>
      </c>
      <c r="F1357" s="34" t="n">
        <v>-2.03</v>
      </c>
      <c r="G1357" s="34" t="n">
        <v>-65.57</v>
      </c>
      <c r="H1357" s="34" t="n">
        <v>-64.66</v>
      </c>
      <c r="I1357" s="34" t="n">
        <v>-2.88</v>
      </c>
      <c r="J1357" s="34" t="n">
        <v>-29.63</v>
      </c>
      <c r="K1357" s="34" t="n">
        <v>152.72</v>
      </c>
      <c r="L1357" s="34" t="n">
        <f aca="false">AVERAGE(C1357:E1357)</f>
        <v>-51.5433333333333</v>
      </c>
      <c r="M1357" s="34" t="n">
        <f aca="false">AVERAGE(C1357:J1357)</f>
        <v>-39.925</v>
      </c>
    </row>
    <row r="1358" customFormat="false" ht="15" hidden="false" customHeight="true" outlineLevel="0" collapsed="false">
      <c r="A1358" s="34" t="s">
        <v>1571</v>
      </c>
      <c r="B1358" s="34" t="n">
        <v>147.51</v>
      </c>
      <c r="C1358" s="34" t="n">
        <v>66.67</v>
      </c>
      <c r="D1358" s="34" t="n">
        <v>-61.06</v>
      </c>
      <c r="E1358" s="34" t="n">
        <v>58.93</v>
      </c>
      <c r="F1358" s="34" t="n">
        <v>117.83</v>
      </c>
      <c r="G1358" s="34" t="n">
        <v>138.51</v>
      </c>
      <c r="H1358" s="34" t="n">
        <v>176.92</v>
      </c>
      <c r="I1358" s="34" t="n">
        <v>217.86</v>
      </c>
      <c r="J1358" s="34"/>
      <c r="K1358" s="34" t="n">
        <v>130.26</v>
      </c>
      <c r="L1358" s="34" t="n">
        <f aca="false">AVERAGE(C1358:E1358)</f>
        <v>21.5133333333333</v>
      </c>
      <c r="M1358" s="34" t="n">
        <f aca="false">AVERAGE(C1358:J1358)</f>
        <v>102.237142857143</v>
      </c>
    </row>
    <row r="1359" customFormat="false" ht="15" hidden="false" customHeight="true" outlineLevel="0" collapsed="false">
      <c r="A1359" s="34" t="s">
        <v>382</v>
      </c>
      <c r="B1359" s="34" t="n">
        <v>147.48</v>
      </c>
      <c r="C1359" s="34" t="n">
        <v>-66.67</v>
      </c>
      <c r="D1359" s="34" t="n">
        <v>-109.05</v>
      </c>
      <c r="E1359" s="34" t="n">
        <v>57.85</v>
      </c>
      <c r="F1359" s="34" t="n">
        <v>-39.79</v>
      </c>
      <c r="G1359" s="34" t="n">
        <v>-87.92</v>
      </c>
      <c r="H1359" s="34" t="n">
        <v>-118.7</v>
      </c>
      <c r="I1359" s="34" t="n">
        <v>-94.77</v>
      </c>
      <c r="J1359" s="34" t="n">
        <v>-104.87</v>
      </c>
      <c r="K1359" s="34" t="n">
        <v>150.08</v>
      </c>
      <c r="L1359" s="34" t="n">
        <f aca="false">AVERAGE(C1359:E1359)</f>
        <v>-39.29</v>
      </c>
      <c r="M1359" s="34" t="n">
        <f aca="false">AVERAGE(C1359:J1359)</f>
        <v>-70.49</v>
      </c>
    </row>
    <row r="1360" customFormat="false" ht="15" hidden="false" customHeight="true" outlineLevel="0" collapsed="false">
      <c r="A1360" s="34" t="s">
        <v>1572</v>
      </c>
      <c r="B1360" s="34" t="n">
        <v>147.34</v>
      </c>
      <c r="C1360" s="34" t="n">
        <v>-66.67</v>
      </c>
      <c r="D1360" s="34" t="n">
        <v>36.53</v>
      </c>
      <c r="E1360" s="34" t="n">
        <v>88.29</v>
      </c>
      <c r="F1360" s="34" t="n">
        <v>114.28</v>
      </c>
      <c r="G1360" s="34" t="n">
        <v>114.64</v>
      </c>
      <c r="H1360" s="34" t="n">
        <v>105.45</v>
      </c>
      <c r="I1360" s="34" t="n">
        <v>88.89</v>
      </c>
      <c r="J1360" s="34" t="n">
        <v>102.2</v>
      </c>
      <c r="K1360" s="34" t="n">
        <v>151.58</v>
      </c>
      <c r="L1360" s="34" t="n">
        <f aca="false">AVERAGE(C1360:E1360)</f>
        <v>19.3833333333333</v>
      </c>
      <c r="M1360" s="34" t="n">
        <f aca="false">AVERAGE(C1360:J1360)</f>
        <v>72.95125</v>
      </c>
    </row>
    <row r="1361" customFormat="false" ht="15" hidden="false" customHeight="true" outlineLevel="0" collapsed="false">
      <c r="A1361" s="34" t="s">
        <v>1573</v>
      </c>
      <c r="B1361" s="34" t="n">
        <v>147.2</v>
      </c>
      <c r="C1361" s="34" t="n">
        <v>-66.67</v>
      </c>
      <c r="D1361" s="34" t="n">
        <v>-44.77</v>
      </c>
      <c r="E1361" s="34" t="n">
        <v>53.32</v>
      </c>
      <c r="F1361" s="34" t="n">
        <v>9.62</v>
      </c>
      <c r="G1361" s="34" t="n">
        <v>-49.4</v>
      </c>
      <c r="H1361" s="34" t="n">
        <v>-31.36</v>
      </c>
      <c r="I1361" s="34" t="n">
        <v>15.07</v>
      </c>
      <c r="J1361" s="34" t="n">
        <v>-2.54</v>
      </c>
      <c r="K1361" s="34" t="n">
        <v>144.79</v>
      </c>
      <c r="L1361" s="34" t="n">
        <f aca="false">AVERAGE(C1361:E1361)</f>
        <v>-19.3733333333333</v>
      </c>
      <c r="M1361" s="34" t="n">
        <f aca="false">AVERAGE(C1361:J1361)</f>
        <v>-14.59125</v>
      </c>
    </row>
    <row r="1362" customFormat="false" ht="15" hidden="false" customHeight="true" outlineLevel="0" collapsed="false">
      <c r="A1362" s="34" t="s">
        <v>1574</v>
      </c>
      <c r="B1362" s="34" t="n">
        <v>146.8</v>
      </c>
      <c r="C1362" s="34" t="n">
        <v>-66.67</v>
      </c>
      <c r="D1362" s="34" t="n">
        <v>-31.63</v>
      </c>
      <c r="E1362" s="34" t="n">
        <v>51.62</v>
      </c>
      <c r="F1362" s="34" t="n">
        <v>-58.56</v>
      </c>
      <c r="G1362" s="34" t="n">
        <v>-111.7</v>
      </c>
      <c r="H1362" s="34" t="n">
        <v>-164.09</v>
      </c>
      <c r="I1362" s="34" t="n">
        <v>-148.11</v>
      </c>
      <c r="J1362" s="34" t="n">
        <v>-149.45</v>
      </c>
      <c r="K1362" s="34" t="n">
        <v>153.02</v>
      </c>
      <c r="L1362" s="34" t="n">
        <f aca="false">AVERAGE(C1362:E1362)</f>
        <v>-15.56</v>
      </c>
      <c r="M1362" s="34" t="n">
        <f aca="false">AVERAGE(C1362:J1362)</f>
        <v>-84.82375</v>
      </c>
    </row>
    <row r="1363" customFormat="false" ht="15" hidden="false" customHeight="true" outlineLevel="0" collapsed="false">
      <c r="A1363" s="34" t="s">
        <v>1575</v>
      </c>
      <c r="B1363" s="34" t="n">
        <v>146.7</v>
      </c>
      <c r="C1363" s="34" t="n">
        <v>-66.67</v>
      </c>
      <c r="D1363" s="34" t="n">
        <v>-2.03</v>
      </c>
      <c r="E1363" s="34" t="n">
        <v>66.92</v>
      </c>
      <c r="F1363" s="34" t="n">
        <v>28.34</v>
      </c>
      <c r="G1363" s="34" t="n">
        <v>-33.25</v>
      </c>
      <c r="H1363" s="34" t="n">
        <v>-15.81</v>
      </c>
      <c r="I1363" s="34" t="n">
        <v>23.8</v>
      </c>
      <c r="J1363" s="34" t="n">
        <v>9.5</v>
      </c>
      <c r="K1363" s="34" t="n">
        <v>144.55</v>
      </c>
      <c r="L1363" s="34" t="n">
        <f aca="false">AVERAGE(C1363:E1363)</f>
        <v>-0.593333333333334</v>
      </c>
      <c r="M1363" s="34" t="n">
        <f aca="false">AVERAGE(C1363:J1363)</f>
        <v>1.35</v>
      </c>
    </row>
    <row r="1364" customFormat="false" ht="15" hidden="false" customHeight="true" outlineLevel="0" collapsed="false">
      <c r="A1364" s="34" t="s">
        <v>1576</v>
      </c>
      <c r="B1364" s="34" t="n">
        <v>146.58</v>
      </c>
      <c r="C1364" s="34" t="n">
        <v>66.67</v>
      </c>
      <c r="D1364" s="34" t="n">
        <v>-63.88</v>
      </c>
      <c r="E1364" s="34" t="n">
        <v>61.22</v>
      </c>
      <c r="F1364" s="34" t="n">
        <v>120.67</v>
      </c>
      <c r="G1364" s="34" t="n">
        <v>124.49</v>
      </c>
      <c r="H1364" s="34"/>
      <c r="I1364" s="34"/>
      <c r="J1364" s="34"/>
      <c r="K1364" s="34" t="n">
        <v>137.66</v>
      </c>
      <c r="L1364" s="34" t="n">
        <f aca="false">AVERAGE(C1364:E1364)</f>
        <v>21.3366666666667</v>
      </c>
      <c r="M1364" s="34" t="n">
        <f aca="false">AVERAGE(C1364:J1364)</f>
        <v>61.834</v>
      </c>
    </row>
    <row r="1365" customFormat="false" ht="15" hidden="false" customHeight="true" outlineLevel="0" collapsed="false">
      <c r="A1365" s="34" t="s">
        <v>1577</v>
      </c>
      <c r="B1365" s="34" t="n">
        <v>146.49</v>
      </c>
      <c r="C1365" s="34" t="n">
        <v>-66.67</v>
      </c>
      <c r="D1365" s="34" t="n">
        <v>-93.92</v>
      </c>
      <c r="E1365" s="34" t="n">
        <v>-89.67</v>
      </c>
      <c r="F1365" s="34" t="n">
        <v>-123.63</v>
      </c>
      <c r="G1365" s="34" t="n">
        <v>20.81</v>
      </c>
      <c r="H1365" s="34" t="n">
        <v>51.55</v>
      </c>
      <c r="I1365" s="34" t="n">
        <v>75.17</v>
      </c>
      <c r="J1365" s="34" t="n">
        <v>91.11</v>
      </c>
      <c r="K1365" s="34" t="n">
        <v>161.03</v>
      </c>
      <c r="L1365" s="34" t="n">
        <f aca="false">AVERAGE(C1365:E1365)</f>
        <v>-83.42</v>
      </c>
      <c r="M1365" s="34" t="n">
        <f aca="false">AVERAGE(C1365:J1365)</f>
        <v>-16.90625</v>
      </c>
    </row>
    <row r="1366" customFormat="false" ht="15" hidden="false" customHeight="true" outlineLevel="0" collapsed="false">
      <c r="A1366" s="34" t="s">
        <v>521</v>
      </c>
      <c r="B1366" s="34" t="n">
        <v>146.1</v>
      </c>
      <c r="C1366" s="34" t="n">
        <v>-66.67</v>
      </c>
      <c r="D1366" s="34" t="n">
        <v>-120.42</v>
      </c>
      <c r="E1366" s="34" t="n">
        <v>57.74</v>
      </c>
      <c r="F1366" s="34" t="n">
        <v>-57.74</v>
      </c>
      <c r="G1366" s="34" t="n">
        <v>-102.27</v>
      </c>
      <c r="H1366" s="34" t="n">
        <v>-91.59</v>
      </c>
      <c r="I1366" s="34" t="n">
        <v>-37.66</v>
      </c>
      <c r="J1366" s="34" t="n">
        <v>-39.4</v>
      </c>
      <c r="K1366" s="34" t="n">
        <v>150.31</v>
      </c>
      <c r="L1366" s="34" t="n">
        <f aca="false">AVERAGE(C1366:E1366)</f>
        <v>-43.1166666666667</v>
      </c>
      <c r="M1366" s="34" t="n">
        <f aca="false">AVERAGE(C1366:J1366)</f>
        <v>-57.25125</v>
      </c>
    </row>
    <row r="1367" customFormat="false" ht="15" hidden="false" customHeight="true" outlineLevel="0" collapsed="false">
      <c r="A1367" s="34" t="s">
        <v>1578</v>
      </c>
      <c r="B1367" s="34" t="n">
        <v>145.87</v>
      </c>
      <c r="C1367" s="34" t="n">
        <v>-66.67</v>
      </c>
      <c r="D1367" s="34" t="n">
        <v>-133.33</v>
      </c>
      <c r="E1367" s="34" t="n">
        <v>-110.7</v>
      </c>
      <c r="F1367" s="34" t="n">
        <v>-111.9</v>
      </c>
      <c r="G1367" s="34" t="n">
        <v>-121.97</v>
      </c>
      <c r="H1367" s="34" t="n">
        <v>-84.2</v>
      </c>
      <c r="I1367" s="34" t="n">
        <v>-86.94</v>
      </c>
      <c r="J1367" s="34" t="n">
        <v>-87.32</v>
      </c>
      <c r="K1367" s="34" t="n">
        <v>155.54</v>
      </c>
      <c r="L1367" s="34" t="n">
        <f aca="false">AVERAGE(C1367:E1367)</f>
        <v>-103.566666666667</v>
      </c>
      <c r="M1367" s="34" t="n">
        <f aca="false">AVERAGE(C1367:J1367)</f>
        <v>-100.37875</v>
      </c>
    </row>
    <row r="1368" customFormat="false" ht="15" hidden="false" customHeight="true" outlineLevel="0" collapsed="false">
      <c r="A1368" s="34" t="s">
        <v>1579</v>
      </c>
      <c r="B1368" s="34" t="n">
        <v>145.05</v>
      </c>
      <c r="C1368" s="34" t="n">
        <v>-66.67</v>
      </c>
      <c r="D1368" s="34" t="n">
        <v>3.33</v>
      </c>
      <c r="E1368" s="34" t="n">
        <v>79.17</v>
      </c>
      <c r="F1368" s="34" t="n">
        <v>114.74</v>
      </c>
      <c r="G1368" s="34" t="n">
        <v>107.11</v>
      </c>
      <c r="H1368" s="34"/>
      <c r="I1368" s="34"/>
      <c r="J1368" s="34"/>
      <c r="K1368" s="34" t="n">
        <v>142.05</v>
      </c>
      <c r="L1368" s="34" t="n">
        <f aca="false">AVERAGE(C1368:E1368)</f>
        <v>5.27666666666667</v>
      </c>
      <c r="M1368" s="34" t="n">
        <f aca="false">AVERAGE(C1368:J1368)</f>
        <v>47.536</v>
      </c>
    </row>
    <row r="1369" customFormat="false" ht="15" hidden="false" customHeight="true" outlineLevel="0" collapsed="false">
      <c r="A1369" s="34" t="s">
        <v>1580</v>
      </c>
      <c r="B1369" s="34" t="n">
        <v>144.4</v>
      </c>
      <c r="C1369" s="34" t="n">
        <v>66.67</v>
      </c>
      <c r="D1369" s="34" t="n">
        <v>108.25</v>
      </c>
      <c r="E1369" s="34" t="n">
        <v>105.5</v>
      </c>
      <c r="F1369" s="34" t="n">
        <v>72.13</v>
      </c>
      <c r="G1369" s="34" t="n">
        <v>37.49</v>
      </c>
      <c r="H1369" s="34" t="n">
        <v>68.31</v>
      </c>
      <c r="I1369" s="34" t="n">
        <v>83.95</v>
      </c>
      <c r="J1369" s="34" t="n">
        <v>97.46</v>
      </c>
      <c r="K1369" s="34" t="n">
        <v>130.33</v>
      </c>
      <c r="L1369" s="34" t="n">
        <f aca="false">AVERAGE(C1369:E1369)</f>
        <v>93.4733333333333</v>
      </c>
      <c r="M1369" s="34" t="n">
        <f aca="false">AVERAGE(C1369:J1369)</f>
        <v>79.97</v>
      </c>
    </row>
    <row r="1370" customFormat="false" ht="15" hidden="false" customHeight="true" outlineLevel="0" collapsed="false">
      <c r="A1370" s="34" t="s">
        <v>1581</v>
      </c>
      <c r="B1370" s="34" t="n">
        <v>144.39</v>
      </c>
      <c r="C1370" s="34" t="n">
        <v>66.67</v>
      </c>
      <c r="D1370" s="34" t="n">
        <v>21.11</v>
      </c>
      <c r="E1370" s="34" t="n">
        <v>45.22</v>
      </c>
      <c r="F1370" s="34" t="n">
        <v>115.22</v>
      </c>
      <c r="G1370" s="34" t="n">
        <v>140.16</v>
      </c>
      <c r="H1370" s="34" t="n">
        <v>152.01</v>
      </c>
      <c r="I1370" s="34" t="n">
        <v>154.94</v>
      </c>
      <c r="J1370" s="34" t="n">
        <v>81.31</v>
      </c>
      <c r="K1370" s="34" t="n">
        <v>135.02</v>
      </c>
      <c r="L1370" s="34" t="n">
        <f aca="false">AVERAGE(C1370:E1370)</f>
        <v>44.3333333333333</v>
      </c>
      <c r="M1370" s="34" t="n">
        <f aca="false">AVERAGE(C1370:J1370)</f>
        <v>97.08</v>
      </c>
    </row>
    <row r="1371" customFormat="false" ht="15" hidden="false" customHeight="true" outlineLevel="0" collapsed="false">
      <c r="A1371" s="34" t="s">
        <v>1582</v>
      </c>
      <c r="B1371" s="34" t="n">
        <v>144.25</v>
      </c>
      <c r="C1371" s="34" t="n">
        <v>-66.67</v>
      </c>
      <c r="D1371" s="34" t="n">
        <v>-133.33</v>
      </c>
      <c r="E1371" s="34" t="n">
        <v>-187.03</v>
      </c>
      <c r="F1371" s="34" t="n">
        <v>-201.68</v>
      </c>
      <c r="G1371" s="34" t="n">
        <v>-170.49</v>
      </c>
      <c r="H1371" s="34" t="n">
        <v>-166.08</v>
      </c>
      <c r="I1371" s="34" t="n">
        <v>-177.57</v>
      </c>
      <c r="J1371" s="34" t="n">
        <v>-183.8</v>
      </c>
      <c r="K1371" s="34" t="n">
        <v>165.4</v>
      </c>
      <c r="L1371" s="34" t="n">
        <f aca="false">AVERAGE(C1371:E1371)</f>
        <v>-129.01</v>
      </c>
      <c r="M1371" s="34" t="n">
        <f aca="false">AVERAGE(C1371:J1371)</f>
        <v>-160.83125</v>
      </c>
    </row>
    <row r="1372" customFormat="false" ht="15" hidden="false" customHeight="true" outlineLevel="0" collapsed="false">
      <c r="A1372" s="34" t="s">
        <v>439</v>
      </c>
      <c r="B1372" s="34" t="n">
        <v>144.05</v>
      </c>
      <c r="C1372" s="34" t="n">
        <v>66.67</v>
      </c>
      <c r="D1372" s="34" t="n">
        <v>133.33</v>
      </c>
      <c r="E1372" s="34" t="n">
        <v>94.17</v>
      </c>
      <c r="F1372" s="34" t="n">
        <v>-66.24</v>
      </c>
      <c r="G1372" s="34" t="n">
        <v>-114.5</v>
      </c>
      <c r="H1372" s="34" t="n">
        <v>-148.28</v>
      </c>
      <c r="I1372" s="34" t="n">
        <v>-133.08</v>
      </c>
      <c r="J1372" s="34" t="n">
        <v>-141.6</v>
      </c>
      <c r="K1372" s="34" t="n">
        <v>146.3</v>
      </c>
      <c r="L1372" s="34" t="n">
        <f aca="false">AVERAGE(C1372:E1372)</f>
        <v>98.0566666666667</v>
      </c>
      <c r="M1372" s="34" t="n">
        <f aca="false">AVERAGE(C1372:J1372)</f>
        <v>-38.69125</v>
      </c>
    </row>
    <row r="1373" customFormat="false" ht="15" hidden="false" customHeight="true" outlineLevel="0" collapsed="false">
      <c r="A1373" s="34" t="s">
        <v>1583</v>
      </c>
      <c r="B1373" s="34" t="n">
        <v>144.03</v>
      </c>
      <c r="C1373" s="34" t="n">
        <v>-66.67</v>
      </c>
      <c r="D1373" s="34" t="n">
        <v>-2.96</v>
      </c>
      <c r="E1373" s="34" t="n">
        <v>63.74</v>
      </c>
      <c r="F1373" s="34" t="n">
        <v>-64.86</v>
      </c>
      <c r="G1373" s="34" t="n">
        <v>-118.91</v>
      </c>
      <c r="H1373" s="34" t="n">
        <v>-128.11</v>
      </c>
      <c r="I1373" s="34" t="n">
        <v>-95.11</v>
      </c>
      <c r="J1373" s="34" t="n">
        <v>-97.6</v>
      </c>
      <c r="K1373" s="34" t="n">
        <v>152.2</v>
      </c>
      <c r="L1373" s="34" t="n">
        <f aca="false">AVERAGE(C1373:E1373)</f>
        <v>-1.96333333333333</v>
      </c>
      <c r="M1373" s="34" t="n">
        <f aca="false">AVERAGE(C1373:J1373)</f>
        <v>-63.81</v>
      </c>
    </row>
    <row r="1374" customFormat="false" ht="15" hidden="false" customHeight="true" outlineLevel="0" collapsed="false">
      <c r="A1374" s="34" t="s">
        <v>1584</v>
      </c>
      <c r="B1374" s="34" t="n">
        <v>144.01</v>
      </c>
      <c r="C1374" s="34" t="n">
        <v>-66.67</v>
      </c>
      <c r="D1374" s="34" t="n">
        <v>-106.24</v>
      </c>
      <c r="E1374" s="34" t="n">
        <v>-171.37</v>
      </c>
      <c r="F1374" s="34" t="n">
        <v>-183.78</v>
      </c>
      <c r="G1374" s="34" t="n">
        <v>-10.82</v>
      </c>
      <c r="H1374" s="34" t="n">
        <v>17.02</v>
      </c>
      <c r="I1374" s="34" t="n">
        <v>48.86</v>
      </c>
      <c r="J1374" s="34" t="n">
        <v>33.37</v>
      </c>
      <c r="K1374" s="34" t="n">
        <v>157.77</v>
      </c>
      <c r="L1374" s="34" t="n">
        <f aca="false">AVERAGE(C1374:E1374)</f>
        <v>-114.76</v>
      </c>
      <c r="M1374" s="34" t="n">
        <f aca="false">AVERAGE(C1374:J1374)</f>
        <v>-54.95375</v>
      </c>
    </row>
    <row r="1375" customFormat="false" ht="15" hidden="false" customHeight="true" outlineLevel="0" collapsed="false">
      <c r="A1375" s="34" t="s">
        <v>1585</v>
      </c>
      <c r="B1375" s="34" t="n">
        <v>144</v>
      </c>
      <c r="C1375" s="34" t="n">
        <v>-66.67</v>
      </c>
      <c r="D1375" s="34" t="n">
        <v>-19.99</v>
      </c>
      <c r="E1375" s="34" t="n">
        <v>54.3</v>
      </c>
      <c r="F1375" s="34" t="n">
        <v>-43.16</v>
      </c>
      <c r="G1375" s="34" t="n">
        <v>-86.52</v>
      </c>
      <c r="H1375" s="34" t="n">
        <v>-103.86</v>
      </c>
      <c r="I1375" s="34" t="n">
        <v>-56.3</v>
      </c>
      <c r="J1375" s="34" t="n">
        <v>-72.31</v>
      </c>
      <c r="K1375" s="34" t="n">
        <v>149.33</v>
      </c>
      <c r="L1375" s="34" t="n">
        <f aca="false">AVERAGE(C1375:E1375)</f>
        <v>-10.7866666666667</v>
      </c>
      <c r="M1375" s="34" t="n">
        <f aca="false">AVERAGE(C1375:J1375)</f>
        <v>-49.31375</v>
      </c>
    </row>
    <row r="1376" customFormat="false" ht="15" hidden="false" customHeight="true" outlineLevel="0" collapsed="false">
      <c r="A1376" s="34" t="s">
        <v>76</v>
      </c>
      <c r="B1376" s="34" t="n">
        <v>143.92</v>
      </c>
      <c r="C1376" s="34" t="n">
        <v>-66.67</v>
      </c>
      <c r="D1376" s="34" t="n">
        <v>65.87</v>
      </c>
      <c r="E1376" s="34" t="n">
        <v>128.06</v>
      </c>
      <c r="F1376" s="34" t="n">
        <v>-32.45</v>
      </c>
      <c r="G1376" s="34" t="n">
        <v>-79.86</v>
      </c>
      <c r="H1376" s="34" t="n">
        <v>-122.6</v>
      </c>
      <c r="I1376" s="34" t="n">
        <v>-117.38</v>
      </c>
      <c r="J1376" s="34" t="n">
        <v>-126.23</v>
      </c>
      <c r="K1376" s="34" t="n">
        <v>147.33</v>
      </c>
      <c r="L1376" s="34" t="n">
        <f aca="false">AVERAGE(C1376:E1376)</f>
        <v>42.42</v>
      </c>
      <c r="M1376" s="34" t="n">
        <f aca="false">AVERAGE(C1376:J1376)</f>
        <v>-43.9075</v>
      </c>
    </row>
    <row r="1377" customFormat="false" ht="15" hidden="false" customHeight="true" outlineLevel="0" collapsed="false">
      <c r="A1377" s="34" t="s">
        <v>1586</v>
      </c>
      <c r="B1377" s="34" t="n">
        <v>143.91</v>
      </c>
      <c r="C1377" s="34" t="n">
        <v>66.67</v>
      </c>
      <c r="D1377" s="34" t="n">
        <v>78.19</v>
      </c>
      <c r="E1377" s="34" t="n">
        <v>-32.02</v>
      </c>
      <c r="F1377" s="34" t="n">
        <v>-61.93</v>
      </c>
      <c r="G1377" s="34"/>
      <c r="H1377" s="34"/>
      <c r="I1377" s="34"/>
      <c r="J1377" s="34"/>
      <c r="K1377" s="34" t="n">
        <v>138.86</v>
      </c>
      <c r="L1377" s="34" t="n">
        <f aca="false">AVERAGE(C1377:E1377)</f>
        <v>37.6133333333333</v>
      </c>
      <c r="M1377" s="34" t="n">
        <f aca="false">AVERAGE(C1377:J1377)</f>
        <v>12.7275</v>
      </c>
    </row>
    <row r="1378" customFormat="false" ht="15" hidden="false" customHeight="true" outlineLevel="0" collapsed="false">
      <c r="A1378" s="34" t="s">
        <v>579</v>
      </c>
      <c r="B1378" s="34" t="n">
        <v>143.82</v>
      </c>
      <c r="C1378" s="34" t="n">
        <v>66.67</v>
      </c>
      <c r="D1378" s="34" t="n">
        <v>102.03</v>
      </c>
      <c r="E1378" s="34" t="n">
        <v>173.03</v>
      </c>
      <c r="F1378" s="34" t="n">
        <v>-29.9</v>
      </c>
      <c r="G1378" s="34" t="n">
        <v>-87.14</v>
      </c>
      <c r="H1378" s="34" t="n">
        <v>-59.28</v>
      </c>
      <c r="I1378" s="34" t="n">
        <v>-26.79</v>
      </c>
      <c r="J1378" s="34" t="n">
        <v>-38.63</v>
      </c>
      <c r="K1378" s="34" t="n">
        <v>136.45</v>
      </c>
      <c r="L1378" s="34" t="n">
        <f aca="false">AVERAGE(C1378:E1378)</f>
        <v>113.91</v>
      </c>
      <c r="M1378" s="34" t="n">
        <f aca="false">AVERAGE(C1378:J1378)</f>
        <v>12.49875</v>
      </c>
    </row>
    <row r="1379" customFormat="false" ht="15" hidden="false" customHeight="true" outlineLevel="0" collapsed="false">
      <c r="A1379" s="34" t="s">
        <v>1587</v>
      </c>
      <c r="B1379" s="34" t="n">
        <v>143</v>
      </c>
      <c r="C1379" s="34" t="n">
        <v>-66.67</v>
      </c>
      <c r="D1379" s="34" t="n">
        <v>-89</v>
      </c>
      <c r="E1379" s="34" t="n">
        <v>-144.06</v>
      </c>
      <c r="F1379" s="34" t="n">
        <v>-170.25</v>
      </c>
      <c r="G1379" s="34" t="n">
        <v>-97.74</v>
      </c>
      <c r="H1379" s="34" t="n">
        <v>1.52</v>
      </c>
      <c r="I1379" s="34" t="n">
        <v>28.78</v>
      </c>
      <c r="J1379" s="34" t="n">
        <v>35.64</v>
      </c>
      <c r="K1379" s="34" t="n">
        <v>156.78</v>
      </c>
      <c r="L1379" s="34" t="n">
        <f aca="false">AVERAGE(C1379:E1379)</f>
        <v>-99.91</v>
      </c>
      <c r="M1379" s="34" t="n">
        <f aca="false">AVERAGE(C1379:J1379)</f>
        <v>-62.7225</v>
      </c>
    </row>
    <row r="1380" customFormat="false" ht="15" hidden="false" customHeight="true" outlineLevel="0" collapsed="false">
      <c r="A1380" s="34" t="s">
        <v>1588</v>
      </c>
      <c r="B1380" s="34" t="n">
        <v>142.81</v>
      </c>
      <c r="C1380" s="34" t="n">
        <v>66.67</v>
      </c>
      <c r="D1380" s="34" t="n">
        <v>78.5</v>
      </c>
      <c r="E1380" s="34" t="n">
        <v>105.86</v>
      </c>
      <c r="F1380" s="34" t="n">
        <v>-18.59</v>
      </c>
      <c r="G1380" s="34"/>
      <c r="H1380" s="34"/>
      <c r="I1380" s="34"/>
      <c r="J1380" s="34"/>
      <c r="K1380" s="34" t="n">
        <v>131.94</v>
      </c>
      <c r="L1380" s="34" t="n">
        <f aca="false">AVERAGE(C1380:E1380)</f>
        <v>83.6766666666667</v>
      </c>
      <c r="M1380" s="34" t="n">
        <f aca="false">AVERAGE(C1380:J1380)</f>
        <v>58.11</v>
      </c>
    </row>
    <row r="1381" customFormat="false" ht="15" hidden="false" customHeight="true" outlineLevel="0" collapsed="false">
      <c r="A1381" s="34" t="s">
        <v>1589</v>
      </c>
      <c r="B1381" s="34" t="n">
        <v>142.4</v>
      </c>
      <c r="C1381" s="34" t="n">
        <v>-66.67</v>
      </c>
      <c r="D1381" s="34" t="n">
        <v>-102.57</v>
      </c>
      <c r="E1381" s="34" t="n">
        <v>-142.94</v>
      </c>
      <c r="F1381" s="34" t="n">
        <v>-201.85</v>
      </c>
      <c r="G1381" s="34" t="n">
        <v>-69.71</v>
      </c>
      <c r="H1381" s="34" t="n">
        <v>-1.03</v>
      </c>
      <c r="I1381" s="34" t="n">
        <v>38.07</v>
      </c>
      <c r="J1381" s="34" t="n">
        <v>20.6</v>
      </c>
      <c r="K1381" s="34" t="n">
        <v>138.03</v>
      </c>
      <c r="L1381" s="34" t="n">
        <f aca="false">AVERAGE(C1381:E1381)</f>
        <v>-104.06</v>
      </c>
      <c r="M1381" s="34" t="n">
        <f aca="false">AVERAGE(C1381:J1381)</f>
        <v>-65.7625</v>
      </c>
    </row>
    <row r="1382" customFormat="false" ht="15" hidden="false" customHeight="true" outlineLevel="0" collapsed="false">
      <c r="A1382" s="34" t="s">
        <v>1590</v>
      </c>
      <c r="B1382" s="34" t="n">
        <v>142.03</v>
      </c>
      <c r="C1382" s="34" t="n">
        <v>66.67</v>
      </c>
      <c r="D1382" s="34" t="n">
        <v>133.33</v>
      </c>
      <c r="E1382" s="34" t="n">
        <v>130.11</v>
      </c>
      <c r="F1382" s="34" t="n">
        <v>182.55</v>
      </c>
      <c r="G1382" s="34" t="n">
        <v>168.32</v>
      </c>
      <c r="H1382" s="34" t="n">
        <v>136.83</v>
      </c>
      <c r="I1382" s="34" t="n">
        <v>148.37</v>
      </c>
      <c r="J1382" s="34" t="n">
        <v>175.34</v>
      </c>
      <c r="K1382" s="34" t="n">
        <v>128.62</v>
      </c>
      <c r="L1382" s="34" t="n">
        <f aca="false">AVERAGE(C1382:E1382)</f>
        <v>110.036666666667</v>
      </c>
      <c r="M1382" s="34" t="n">
        <f aca="false">AVERAGE(C1382:J1382)</f>
        <v>142.69</v>
      </c>
    </row>
    <row r="1383" customFormat="false" ht="15" hidden="false" customHeight="true" outlineLevel="0" collapsed="false">
      <c r="A1383" s="34" t="s">
        <v>1591</v>
      </c>
      <c r="B1383" s="34" t="n">
        <v>141.83</v>
      </c>
      <c r="C1383" s="34" t="n">
        <v>-66.67</v>
      </c>
      <c r="D1383" s="34" t="n">
        <v>-29.68</v>
      </c>
      <c r="E1383" s="34" t="n">
        <v>-67.57</v>
      </c>
      <c r="F1383" s="34" t="n">
        <v>-148.92</v>
      </c>
      <c r="G1383" s="34" t="n">
        <v>-215.47</v>
      </c>
      <c r="H1383" s="34" t="n">
        <v>-101.21</v>
      </c>
      <c r="I1383" s="34" t="n">
        <v>-107.03</v>
      </c>
      <c r="J1383" s="34" t="n">
        <v>-126.29</v>
      </c>
      <c r="K1383" s="34" t="n">
        <v>162.74</v>
      </c>
      <c r="L1383" s="34" t="n">
        <f aca="false">AVERAGE(C1383:E1383)</f>
        <v>-54.64</v>
      </c>
      <c r="M1383" s="34" t="n">
        <f aca="false">AVERAGE(C1383:J1383)</f>
        <v>-107.855</v>
      </c>
    </row>
    <row r="1384" customFormat="false" ht="15" hidden="false" customHeight="true" outlineLevel="0" collapsed="false">
      <c r="A1384" s="34" t="s">
        <v>1592</v>
      </c>
      <c r="B1384" s="34" t="n">
        <v>141.13</v>
      </c>
      <c r="C1384" s="34" t="n">
        <v>-66.67</v>
      </c>
      <c r="D1384" s="34" t="n">
        <v>-21.87</v>
      </c>
      <c r="E1384" s="34" t="n">
        <v>-43.39</v>
      </c>
      <c r="F1384" s="34"/>
      <c r="G1384" s="34"/>
      <c r="H1384" s="34"/>
      <c r="I1384" s="34"/>
      <c r="J1384" s="34"/>
      <c r="K1384" s="34" t="n">
        <v>168.48</v>
      </c>
      <c r="L1384" s="34" t="n">
        <f aca="false">AVERAGE(C1384:E1384)</f>
        <v>-43.9766666666667</v>
      </c>
      <c r="M1384" s="34" t="n">
        <f aca="false">AVERAGE(C1384:J1384)</f>
        <v>-43.9766666666667</v>
      </c>
    </row>
    <row r="1385" customFormat="false" ht="15" hidden="false" customHeight="true" outlineLevel="0" collapsed="false">
      <c r="A1385" s="34" t="s">
        <v>1593</v>
      </c>
      <c r="B1385" s="34" t="n">
        <v>140.84</v>
      </c>
      <c r="C1385" s="34" t="n">
        <v>-66.67</v>
      </c>
      <c r="D1385" s="34" t="n">
        <v>-12.96</v>
      </c>
      <c r="E1385" s="34" t="n">
        <v>79.52</v>
      </c>
      <c r="F1385" s="34" t="n">
        <v>168.21</v>
      </c>
      <c r="G1385" s="34" t="n">
        <v>148.63</v>
      </c>
      <c r="H1385" s="34" t="n">
        <v>136.2</v>
      </c>
      <c r="I1385" s="34" t="n">
        <v>146.4</v>
      </c>
      <c r="J1385" s="34" t="n">
        <v>93.14</v>
      </c>
      <c r="K1385" s="34" t="n">
        <v>133.78</v>
      </c>
      <c r="L1385" s="34" t="n">
        <f aca="false">AVERAGE(C1385:E1385)</f>
        <v>-0.0366666666666665</v>
      </c>
      <c r="M1385" s="34" t="n">
        <f aca="false">AVERAGE(C1385:J1385)</f>
        <v>86.55875</v>
      </c>
    </row>
    <row r="1386" customFormat="false" ht="15" hidden="false" customHeight="true" outlineLevel="0" collapsed="false">
      <c r="A1386" s="34" t="s">
        <v>1594</v>
      </c>
      <c r="B1386" s="34" t="n">
        <v>140.5</v>
      </c>
      <c r="C1386" s="34" t="n">
        <v>66.67</v>
      </c>
      <c r="D1386" s="34" t="n">
        <v>21.51</v>
      </c>
      <c r="E1386" s="34" t="n">
        <v>-30.65</v>
      </c>
      <c r="F1386" s="34" t="n">
        <v>-72.56</v>
      </c>
      <c r="G1386" s="34" t="n">
        <v>-117.38</v>
      </c>
      <c r="H1386" s="34" t="n">
        <v>-156.43</v>
      </c>
      <c r="I1386" s="34" t="n">
        <v>-103.28</v>
      </c>
      <c r="J1386" s="34" t="n">
        <v>-90.17</v>
      </c>
      <c r="K1386" s="34" t="n">
        <v>147.04</v>
      </c>
      <c r="L1386" s="34" t="n">
        <f aca="false">AVERAGE(C1386:E1386)</f>
        <v>19.1766666666667</v>
      </c>
      <c r="M1386" s="34" t="n">
        <f aca="false">AVERAGE(C1386:J1386)</f>
        <v>-60.28625</v>
      </c>
    </row>
    <row r="1387" customFormat="false" ht="15" hidden="false" customHeight="true" outlineLevel="0" collapsed="false">
      <c r="A1387" s="34" t="s">
        <v>1595</v>
      </c>
      <c r="B1387" s="34" t="n">
        <v>140.35</v>
      </c>
      <c r="C1387" s="34" t="n">
        <v>-66.67</v>
      </c>
      <c r="D1387" s="34" t="n">
        <v>-65.01</v>
      </c>
      <c r="E1387" s="34" t="n">
        <v>60.22</v>
      </c>
      <c r="F1387" s="34" t="n">
        <v>90.61</v>
      </c>
      <c r="G1387" s="34" t="n">
        <v>59.32</v>
      </c>
      <c r="H1387" s="34" t="n">
        <v>67.44</v>
      </c>
      <c r="I1387" s="34" t="n">
        <v>77.62</v>
      </c>
      <c r="J1387" s="34" t="n">
        <v>92.82</v>
      </c>
      <c r="K1387" s="34" t="n">
        <v>135.86</v>
      </c>
      <c r="L1387" s="34" t="n">
        <f aca="false">AVERAGE(C1387:E1387)</f>
        <v>-23.82</v>
      </c>
      <c r="M1387" s="34" t="n">
        <f aca="false">AVERAGE(C1387:J1387)</f>
        <v>39.54375</v>
      </c>
    </row>
    <row r="1388" customFormat="false" ht="15" hidden="false" customHeight="true" outlineLevel="0" collapsed="false">
      <c r="A1388" s="34" t="s">
        <v>1596</v>
      </c>
      <c r="B1388" s="34" t="n">
        <v>140.06</v>
      </c>
      <c r="C1388" s="34" t="n">
        <v>-66.67</v>
      </c>
      <c r="D1388" s="34" t="n">
        <v>-107.07</v>
      </c>
      <c r="E1388" s="34" t="n">
        <v>-58.55</v>
      </c>
      <c r="F1388" s="34" t="n">
        <v>-122.42</v>
      </c>
      <c r="G1388" s="34" t="n">
        <v>-140.69</v>
      </c>
      <c r="H1388" s="34" t="n">
        <v>-61.48</v>
      </c>
      <c r="I1388" s="34" t="n">
        <v>-10.03</v>
      </c>
      <c r="J1388" s="34" t="n">
        <v>19.12</v>
      </c>
      <c r="K1388" s="34" t="n">
        <v>151.92</v>
      </c>
      <c r="L1388" s="34" t="n">
        <f aca="false">AVERAGE(C1388:E1388)</f>
        <v>-77.43</v>
      </c>
      <c r="M1388" s="34" t="n">
        <f aca="false">AVERAGE(C1388:J1388)</f>
        <v>-68.47375</v>
      </c>
    </row>
    <row r="1389" customFormat="false" ht="15" hidden="false" customHeight="true" outlineLevel="0" collapsed="false">
      <c r="A1389" s="34" t="s">
        <v>1597</v>
      </c>
      <c r="B1389" s="34" t="n">
        <v>140</v>
      </c>
      <c r="C1389" s="34" t="n">
        <v>-66.67</v>
      </c>
      <c r="D1389" s="34" t="n">
        <v>21.05</v>
      </c>
      <c r="E1389" s="34" t="n">
        <v>90.85</v>
      </c>
      <c r="F1389" s="34" t="n">
        <v>-27.8</v>
      </c>
      <c r="G1389" s="34" t="n">
        <v>-3.58</v>
      </c>
      <c r="H1389" s="34" t="n">
        <v>37.57</v>
      </c>
      <c r="I1389" s="34" t="n">
        <v>58.4</v>
      </c>
      <c r="J1389" s="34" t="n">
        <v>54.99</v>
      </c>
      <c r="K1389" s="34" t="n">
        <v>131.4</v>
      </c>
      <c r="L1389" s="34" t="n">
        <f aca="false">AVERAGE(C1389:E1389)</f>
        <v>15.0766666666667</v>
      </c>
      <c r="M1389" s="34" t="n">
        <f aca="false">AVERAGE(C1389:J1389)</f>
        <v>20.60125</v>
      </c>
    </row>
    <row r="1390" customFormat="false" ht="15" hidden="false" customHeight="true" outlineLevel="0" collapsed="false">
      <c r="A1390" s="34" t="s">
        <v>182</v>
      </c>
      <c r="B1390" s="34" t="n">
        <v>139.95</v>
      </c>
      <c r="C1390" s="34" t="n">
        <v>-66.67</v>
      </c>
      <c r="D1390" s="34" t="n">
        <v>-100.63</v>
      </c>
      <c r="E1390" s="34" t="n">
        <v>-96.41</v>
      </c>
      <c r="F1390" s="34" t="n">
        <v>-84.32</v>
      </c>
      <c r="G1390" s="34" t="n">
        <v>-76.55</v>
      </c>
      <c r="H1390" s="34" t="n">
        <v>-60.81</v>
      </c>
      <c r="I1390" s="34" t="n">
        <v>8.85</v>
      </c>
      <c r="J1390" s="34" t="n">
        <v>29.75</v>
      </c>
      <c r="K1390" s="34" t="n">
        <v>146.08</v>
      </c>
      <c r="L1390" s="34" t="n">
        <f aca="false">AVERAGE(C1390:E1390)</f>
        <v>-87.9033333333333</v>
      </c>
      <c r="M1390" s="34" t="n">
        <f aca="false">AVERAGE(C1390:J1390)</f>
        <v>-55.84875</v>
      </c>
    </row>
    <row r="1391" customFormat="false" ht="15" hidden="false" customHeight="true" outlineLevel="0" collapsed="false">
      <c r="A1391" s="34" t="s">
        <v>1598</v>
      </c>
      <c r="B1391" s="34" t="n">
        <v>139.74</v>
      </c>
      <c r="C1391" s="34" t="n">
        <v>-66.67</v>
      </c>
      <c r="D1391" s="34" t="n">
        <v>-119.14</v>
      </c>
      <c r="E1391" s="34" t="n">
        <v>-92.07</v>
      </c>
      <c r="F1391" s="34" t="n">
        <v>-128.8</v>
      </c>
      <c r="G1391" s="34" t="n">
        <v>-91.61</v>
      </c>
      <c r="H1391" s="34" t="n">
        <v>-43.64</v>
      </c>
      <c r="I1391" s="34" t="n">
        <v>-10.76</v>
      </c>
      <c r="J1391" s="34" t="n">
        <v>-20.98</v>
      </c>
      <c r="K1391" s="34" t="n">
        <v>154.23</v>
      </c>
      <c r="L1391" s="34" t="n">
        <f aca="false">AVERAGE(C1391:E1391)</f>
        <v>-92.6266666666667</v>
      </c>
      <c r="M1391" s="34" t="n">
        <f aca="false">AVERAGE(C1391:J1391)</f>
        <v>-71.70875</v>
      </c>
    </row>
    <row r="1392" customFormat="false" ht="15" hidden="false" customHeight="true" outlineLevel="0" collapsed="false">
      <c r="A1392" s="34" t="s">
        <v>1599</v>
      </c>
      <c r="B1392" s="34" t="n">
        <v>139.69</v>
      </c>
      <c r="C1392" s="34" t="n">
        <v>66.67</v>
      </c>
      <c r="D1392" s="34" t="n">
        <v>80.45</v>
      </c>
      <c r="E1392" s="34" t="n">
        <v>84.5</v>
      </c>
      <c r="F1392" s="34" t="n">
        <v>-62.74</v>
      </c>
      <c r="G1392" s="34" t="n">
        <v>-100.18</v>
      </c>
      <c r="H1392" s="34" t="n">
        <v>-90.83</v>
      </c>
      <c r="I1392" s="34" t="n">
        <v>-82.89</v>
      </c>
      <c r="J1392" s="34" t="n">
        <v>-76.46</v>
      </c>
      <c r="K1392" s="34" t="n">
        <v>146.1</v>
      </c>
      <c r="L1392" s="34" t="n">
        <f aca="false">AVERAGE(C1392:E1392)</f>
        <v>77.2066666666667</v>
      </c>
      <c r="M1392" s="34" t="n">
        <f aca="false">AVERAGE(C1392:J1392)</f>
        <v>-22.685</v>
      </c>
    </row>
    <row r="1393" customFormat="false" ht="15" hidden="false" customHeight="true" outlineLevel="0" collapsed="false">
      <c r="A1393" s="34" t="s">
        <v>1600</v>
      </c>
      <c r="B1393" s="34" t="n">
        <v>139.51</v>
      </c>
      <c r="C1393" s="34" t="n">
        <v>66.67</v>
      </c>
      <c r="D1393" s="34" t="n">
        <v>14.02</v>
      </c>
      <c r="E1393" s="34" t="n">
        <v>3.09</v>
      </c>
      <c r="F1393" s="34" t="n">
        <v>-74.47</v>
      </c>
      <c r="G1393" s="34" t="n">
        <v>-110.56</v>
      </c>
      <c r="H1393" s="34" t="n">
        <v>-121.3</v>
      </c>
      <c r="I1393" s="34" t="n">
        <v>-138.46</v>
      </c>
      <c r="J1393" s="34" t="n">
        <v>-126.78</v>
      </c>
      <c r="K1393" s="34" t="n">
        <v>148.35</v>
      </c>
      <c r="L1393" s="34" t="n">
        <f aca="false">AVERAGE(C1393:E1393)</f>
        <v>27.9266666666667</v>
      </c>
      <c r="M1393" s="34" t="n">
        <f aca="false">AVERAGE(C1393:J1393)</f>
        <v>-60.97375</v>
      </c>
    </row>
    <row r="1394" customFormat="false" ht="15" hidden="false" customHeight="true" outlineLevel="0" collapsed="false">
      <c r="A1394" s="34" t="s">
        <v>1601</v>
      </c>
      <c r="B1394" s="34" t="n">
        <v>138.35</v>
      </c>
      <c r="C1394" s="34" t="n">
        <v>-66.67</v>
      </c>
      <c r="D1394" s="34" t="n">
        <v>-48.84</v>
      </c>
      <c r="E1394" s="34" t="n">
        <v>-24.99</v>
      </c>
      <c r="F1394" s="34" t="n">
        <v>-19.58</v>
      </c>
      <c r="G1394" s="34" t="n">
        <v>-55.13</v>
      </c>
      <c r="H1394" s="34" t="n">
        <v>-4.96</v>
      </c>
      <c r="I1394" s="34" t="n">
        <v>13.02</v>
      </c>
      <c r="J1394" s="34" t="n">
        <v>-16.51</v>
      </c>
      <c r="K1394" s="34" t="n">
        <v>133.41</v>
      </c>
      <c r="L1394" s="34" t="n">
        <f aca="false">AVERAGE(C1394:E1394)</f>
        <v>-46.8333333333333</v>
      </c>
      <c r="M1394" s="34" t="n">
        <f aca="false">AVERAGE(C1394:J1394)</f>
        <v>-27.9575</v>
      </c>
    </row>
    <row r="1395" customFormat="false" ht="15" hidden="false" customHeight="true" outlineLevel="0" collapsed="false">
      <c r="A1395" s="34" t="s">
        <v>1602</v>
      </c>
      <c r="B1395" s="34" t="n">
        <v>137.75</v>
      </c>
      <c r="C1395" s="34" t="n">
        <v>-66.67</v>
      </c>
      <c r="D1395" s="34" t="n">
        <v>-12.46</v>
      </c>
      <c r="E1395" s="34" t="n">
        <v>20.08</v>
      </c>
      <c r="F1395" s="34" t="n">
        <v>103.23</v>
      </c>
      <c r="G1395" s="34" t="n">
        <v>127.78</v>
      </c>
      <c r="H1395" s="34" t="n">
        <v>82.88</v>
      </c>
      <c r="I1395" s="34" t="n">
        <v>89.67</v>
      </c>
      <c r="J1395" s="34" t="n">
        <v>101.54</v>
      </c>
      <c r="K1395" s="34" t="n">
        <v>128.79</v>
      </c>
      <c r="L1395" s="34" t="n">
        <f aca="false">AVERAGE(C1395:E1395)</f>
        <v>-19.6833333333333</v>
      </c>
      <c r="M1395" s="34" t="n">
        <f aca="false">AVERAGE(C1395:J1395)</f>
        <v>55.75625</v>
      </c>
    </row>
    <row r="1396" customFormat="false" ht="15" hidden="false" customHeight="true" outlineLevel="0" collapsed="false">
      <c r="A1396" s="34" t="s">
        <v>1603</v>
      </c>
      <c r="B1396" s="34" t="n">
        <v>137.68</v>
      </c>
      <c r="C1396" s="34" t="n">
        <v>-66.67</v>
      </c>
      <c r="D1396" s="34" t="n">
        <v>-71.16</v>
      </c>
      <c r="E1396" s="34" t="n">
        <v>56.76</v>
      </c>
      <c r="F1396" s="34" t="n">
        <v>-39.87</v>
      </c>
      <c r="G1396" s="34" t="n">
        <v>50.46</v>
      </c>
      <c r="H1396" s="34" t="n">
        <v>71.49</v>
      </c>
      <c r="I1396" s="34" t="n">
        <v>88.56</v>
      </c>
      <c r="J1396" s="34" t="n">
        <v>108.38</v>
      </c>
      <c r="K1396" s="34" t="n">
        <v>148.07</v>
      </c>
      <c r="L1396" s="34" t="n">
        <f aca="false">AVERAGE(C1396:E1396)</f>
        <v>-27.0233333333333</v>
      </c>
      <c r="M1396" s="34" t="n">
        <f aca="false">AVERAGE(C1396:J1396)</f>
        <v>24.74375</v>
      </c>
    </row>
    <row r="1397" customFormat="false" ht="15" hidden="false" customHeight="true" outlineLevel="0" collapsed="false">
      <c r="A1397" s="34" t="s">
        <v>1604</v>
      </c>
      <c r="B1397" s="34" t="n">
        <v>137.47</v>
      </c>
      <c r="C1397" s="34" t="n">
        <v>66.67</v>
      </c>
      <c r="D1397" s="34" t="n">
        <v>44.57</v>
      </c>
      <c r="E1397" s="34" t="n">
        <v>91.33</v>
      </c>
      <c r="F1397" s="34" t="n">
        <v>187.57</v>
      </c>
      <c r="G1397" s="34" t="n">
        <v>291.03</v>
      </c>
      <c r="H1397" s="34" t="n">
        <v>256.51</v>
      </c>
      <c r="I1397" s="34"/>
      <c r="J1397" s="34"/>
      <c r="K1397" s="34" t="n">
        <v>124.88</v>
      </c>
      <c r="L1397" s="34" t="n">
        <f aca="false">AVERAGE(C1397:E1397)</f>
        <v>67.5233333333333</v>
      </c>
      <c r="M1397" s="34" t="n">
        <f aca="false">AVERAGE(C1397:J1397)</f>
        <v>156.28</v>
      </c>
    </row>
    <row r="1398" customFormat="false" ht="15" hidden="false" customHeight="true" outlineLevel="0" collapsed="false">
      <c r="A1398" s="34" t="s">
        <v>1605</v>
      </c>
      <c r="B1398" s="34" t="n">
        <v>137</v>
      </c>
      <c r="C1398" s="34" t="n">
        <v>-66.67</v>
      </c>
      <c r="D1398" s="34" t="n">
        <v>-103.53</v>
      </c>
      <c r="E1398" s="34" t="n">
        <v>29.77</v>
      </c>
      <c r="F1398" s="34" t="n">
        <v>73.2</v>
      </c>
      <c r="G1398" s="34" t="n">
        <v>22.23</v>
      </c>
      <c r="H1398" s="34" t="n">
        <v>29.61</v>
      </c>
      <c r="I1398" s="34" t="n">
        <v>53.62</v>
      </c>
      <c r="J1398" s="34" t="n">
        <v>20.86</v>
      </c>
      <c r="K1398" s="34" t="n">
        <v>131.45</v>
      </c>
      <c r="L1398" s="34" t="n">
        <f aca="false">AVERAGE(C1398:E1398)</f>
        <v>-46.81</v>
      </c>
      <c r="M1398" s="34" t="n">
        <f aca="false">AVERAGE(C1398:J1398)</f>
        <v>7.38625</v>
      </c>
    </row>
    <row r="1399" customFormat="false" ht="15" hidden="false" customHeight="true" outlineLevel="0" collapsed="false">
      <c r="A1399" s="34" t="s">
        <v>1606</v>
      </c>
      <c r="B1399" s="34" t="n">
        <v>136.6</v>
      </c>
      <c r="C1399" s="34" t="n">
        <v>-66.67</v>
      </c>
      <c r="D1399" s="34" t="n">
        <v>-133.33</v>
      </c>
      <c r="E1399" s="34" t="n">
        <v>-182.55</v>
      </c>
      <c r="F1399" s="34" t="n">
        <v>-91.26</v>
      </c>
      <c r="G1399" s="34" t="n">
        <v>-46.07</v>
      </c>
      <c r="H1399" s="34" t="n">
        <v>17.03</v>
      </c>
      <c r="I1399" s="34" t="n">
        <v>38.24</v>
      </c>
      <c r="J1399" s="34" t="n">
        <v>49.78</v>
      </c>
      <c r="K1399" s="34" t="n">
        <v>145.43</v>
      </c>
      <c r="L1399" s="34" t="n">
        <f aca="false">AVERAGE(C1399:E1399)</f>
        <v>-127.516666666667</v>
      </c>
      <c r="M1399" s="34" t="n">
        <f aca="false">AVERAGE(C1399:J1399)</f>
        <v>-51.85375</v>
      </c>
    </row>
    <row r="1400" customFormat="false" ht="15" hidden="false" customHeight="true" outlineLevel="0" collapsed="false">
      <c r="A1400" s="34" t="s">
        <v>1607</v>
      </c>
      <c r="B1400" s="34" t="n">
        <v>136.45</v>
      </c>
      <c r="C1400" s="34" t="n">
        <v>-66.67</v>
      </c>
      <c r="D1400" s="34" t="n">
        <v>-115.24</v>
      </c>
      <c r="E1400" s="34" t="n">
        <v>-116.71</v>
      </c>
      <c r="F1400" s="34" t="n">
        <v>-117.88</v>
      </c>
      <c r="G1400" s="34" t="n">
        <v>-159.6</v>
      </c>
      <c r="H1400" s="34" t="n">
        <v>-141.94</v>
      </c>
      <c r="I1400" s="34" t="n">
        <v>-73.71</v>
      </c>
      <c r="J1400" s="34" t="n">
        <v>-86.1</v>
      </c>
      <c r="K1400" s="34" t="n">
        <v>147.06</v>
      </c>
      <c r="L1400" s="34" t="n">
        <f aca="false">AVERAGE(C1400:E1400)</f>
        <v>-99.54</v>
      </c>
      <c r="M1400" s="34" t="n">
        <f aca="false">AVERAGE(C1400:J1400)</f>
        <v>-109.73125</v>
      </c>
    </row>
    <row r="1401" customFormat="false" ht="15" hidden="false" customHeight="true" outlineLevel="0" collapsed="false">
      <c r="A1401" s="34" t="s">
        <v>1608</v>
      </c>
      <c r="B1401" s="34" t="n">
        <v>136.07</v>
      </c>
      <c r="C1401" s="34" t="n">
        <v>-66.67</v>
      </c>
      <c r="D1401" s="34" t="n">
        <v>-133.33</v>
      </c>
      <c r="E1401" s="34" t="n">
        <v>-5.33</v>
      </c>
      <c r="F1401" s="34" t="n">
        <v>-45.76</v>
      </c>
      <c r="G1401" s="34" t="n">
        <v>16.35</v>
      </c>
      <c r="H1401" s="34" t="n">
        <v>51.62</v>
      </c>
      <c r="I1401" s="34" t="n">
        <v>73.97</v>
      </c>
      <c r="J1401" s="34" t="n">
        <v>90.29</v>
      </c>
      <c r="K1401" s="34" t="n">
        <v>141.47</v>
      </c>
      <c r="L1401" s="34" t="n">
        <f aca="false">AVERAGE(C1401:E1401)</f>
        <v>-68.4433333333333</v>
      </c>
      <c r="M1401" s="34" t="n">
        <f aca="false">AVERAGE(C1401:J1401)</f>
        <v>-2.3575</v>
      </c>
    </row>
    <row r="1402" customFormat="false" ht="15" hidden="false" customHeight="true" outlineLevel="0" collapsed="false">
      <c r="A1402" s="34" t="s">
        <v>1609</v>
      </c>
      <c r="B1402" s="34" t="n">
        <v>136.04</v>
      </c>
      <c r="C1402" s="34" t="n">
        <v>66.67</v>
      </c>
      <c r="D1402" s="34" t="n">
        <v>113.65</v>
      </c>
      <c r="E1402" s="34" t="n">
        <v>198.58</v>
      </c>
      <c r="F1402" s="34" t="n">
        <v>48.26</v>
      </c>
      <c r="G1402" s="34" t="n">
        <v>-3.04</v>
      </c>
      <c r="H1402" s="34" t="n">
        <v>5.2</v>
      </c>
      <c r="I1402" s="34" t="n">
        <v>32.46</v>
      </c>
      <c r="J1402" s="34" t="n">
        <v>-3.38</v>
      </c>
      <c r="K1402" s="34" t="n">
        <v>138.53</v>
      </c>
      <c r="L1402" s="34" t="n">
        <f aca="false">AVERAGE(C1402:E1402)</f>
        <v>126.3</v>
      </c>
      <c r="M1402" s="34" t="n">
        <f aca="false">AVERAGE(C1402:J1402)</f>
        <v>57.3</v>
      </c>
    </row>
    <row r="1403" customFormat="false" ht="15" hidden="false" customHeight="true" outlineLevel="0" collapsed="false">
      <c r="A1403" s="34" t="s">
        <v>1610</v>
      </c>
      <c r="B1403" s="34" t="n">
        <v>135.69</v>
      </c>
      <c r="C1403" s="34" t="n">
        <v>-66.67</v>
      </c>
      <c r="D1403" s="34" t="n">
        <v>-2.75</v>
      </c>
      <c r="E1403" s="34" t="n">
        <v>77.33</v>
      </c>
      <c r="F1403" s="34" t="n">
        <v>211.42</v>
      </c>
      <c r="G1403" s="34" t="n">
        <v>231.55</v>
      </c>
      <c r="H1403" s="34" t="n">
        <v>210.34</v>
      </c>
      <c r="I1403" s="34" t="n">
        <v>145.5</v>
      </c>
      <c r="J1403" s="34" t="n">
        <v>153.16</v>
      </c>
      <c r="K1403" s="34" t="n">
        <v>133.12</v>
      </c>
      <c r="L1403" s="34" t="n">
        <f aca="false">AVERAGE(C1403:E1403)</f>
        <v>2.63666666666667</v>
      </c>
      <c r="M1403" s="34" t="n">
        <f aca="false">AVERAGE(C1403:J1403)</f>
        <v>119.985</v>
      </c>
    </row>
    <row r="1404" customFormat="false" ht="15" hidden="false" customHeight="true" outlineLevel="0" collapsed="false">
      <c r="A1404" s="34" t="s">
        <v>1611</v>
      </c>
      <c r="B1404" s="34" t="n">
        <v>135.5</v>
      </c>
      <c r="C1404" s="34" t="n">
        <v>-66.67</v>
      </c>
      <c r="D1404" s="34" t="n">
        <v>-133.33</v>
      </c>
      <c r="E1404" s="34" t="n">
        <v>-25.09</v>
      </c>
      <c r="F1404" s="34" t="n">
        <v>-33.75</v>
      </c>
      <c r="G1404" s="34" t="n">
        <v>-81.99</v>
      </c>
      <c r="H1404" s="34" t="n">
        <v>-72.16</v>
      </c>
      <c r="I1404" s="34" t="n">
        <v>-70.13</v>
      </c>
      <c r="J1404" s="34" t="n">
        <v>-63.24</v>
      </c>
      <c r="K1404" s="34" t="n">
        <v>128.76</v>
      </c>
      <c r="L1404" s="34" t="n">
        <f aca="false">AVERAGE(C1404:E1404)</f>
        <v>-75.03</v>
      </c>
      <c r="M1404" s="34" t="n">
        <f aca="false">AVERAGE(C1404:J1404)</f>
        <v>-68.295</v>
      </c>
    </row>
    <row r="1405" customFormat="false" ht="15" hidden="false" customHeight="true" outlineLevel="0" collapsed="false">
      <c r="A1405" s="34" t="s">
        <v>213</v>
      </c>
      <c r="B1405" s="34" t="n">
        <v>134.76</v>
      </c>
      <c r="C1405" s="34" t="n">
        <v>-66.67</v>
      </c>
      <c r="D1405" s="34" t="n">
        <v>-95.95</v>
      </c>
      <c r="E1405" s="34" t="n">
        <v>22.78</v>
      </c>
      <c r="F1405" s="34" t="n">
        <v>-19.41</v>
      </c>
      <c r="G1405" s="34" t="n">
        <v>-74.17</v>
      </c>
      <c r="H1405" s="34" t="n">
        <v>-25.89</v>
      </c>
      <c r="I1405" s="34" t="n">
        <v>11.16</v>
      </c>
      <c r="J1405" s="34" t="n">
        <v>33.19</v>
      </c>
      <c r="K1405" s="34" t="n">
        <v>131.38</v>
      </c>
      <c r="L1405" s="34" t="n">
        <f aca="false">AVERAGE(C1405:E1405)</f>
        <v>-46.6133333333333</v>
      </c>
      <c r="M1405" s="34" t="n">
        <f aca="false">AVERAGE(C1405:J1405)</f>
        <v>-26.87</v>
      </c>
    </row>
    <row r="1406" customFormat="false" ht="15" hidden="false" customHeight="true" outlineLevel="0" collapsed="false">
      <c r="A1406" s="34" t="s">
        <v>1612</v>
      </c>
      <c r="B1406" s="34" t="n">
        <v>134.69</v>
      </c>
      <c r="C1406" s="34" t="n">
        <v>66.67</v>
      </c>
      <c r="D1406" s="34" t="n">
        <v>63.74</v>
      </c>
      <c r="E1406" s="34" t="n">
        <v>-28.71</v>
      </c>
      <c r="F1406" s="34" t="n">
        <v>-84.26</v>
      </c>
      <c r="G1406" s="34" t="n">
        <v>-144.79</v>
      </c>
      <c r="H1406" s="34" t="n">
        <v>-36.14</v>
      </c>
      <c r="I1406" s="34" t="n">
        <v>12.13</v>
      </c>
      <c r="J1406" s="34" t="n">
        <v>16.22</v>
      </c>
      <c r="K1406" s="34" t="n">
        <v>144.01</v>
      </c>
      <c r="L1406" s="34" t="n">
        <f aca="false">AVERAGE(C1406:E1406)</f>
        <v>33.9</v>
      </c>
      <c r="M1406" s="34" t="n">
        <f aca="false">AVERAGE(C1406:J1406)</f>
        <v>-16.8925</v>
      </c>
    </row>
    <row r="1407" customFormat="false" ht="15" hidden="false" customHeight="true" outlineLevel="0" collapsed="false">
      <c r="A1407" s="34" t="s">
        <v>1613</v>
      </c>
      <c r="B1407" s="34" t="n">
        <v>134</v>
      </c>
      <c r="C1407" s="34" t="n">
        <v>66.67</v>
      </c>
      <c r="D1407" s="34" t="n">
        <v>67.27</v>
      </c>
      <c r="E1407" s="34" t="n">
        <v>113.7</v>
      </c>
      <c r="F1407" s="34" t="n">
        <v>-64.95</v>
      </c>
      <c r="G1407" s="34" t="n">
        <v>-47.4</v>
      </c>
      <c r="H1407" s="34" t="n">
        <v>-10.14</v>
      </c>
      <c r="I1407" s="34" t="n">
        <v>4.69</v>
      </c>
      <c r="J1407" s="34" t="n">
        <v>-5.2</v>
      </c>
      <c r="K1407" s="34" t="n">
        <v>144.3</v>
      </c>
      <c r="L1407" s="34" t="n">
        <f aca="false">AVERAGE(C1407:E1407)</f>
        <v>82.5466666666667</v>
      </c>
      <c r="M1407" s="34" t="n">
        <f aca="false">AVERAGE(C1407:J1407)</f>
        <v>15.58</v>
      </c>
    </row>
    <row r="1408" customFormat="false" ht="15" hidden="false" customHeight="true" outlineLevel="0" collapsed="false">
      <c r="A1408" s="34" t="s">
        <v>1614</v>
      </c>
      <c r="B1408" s="34" t="n">
        <v>133.5</v>
      </c>
      <c r="C1408" s="34" t="n">
        <v>66.67</v>
      </c>
      <c r="D1408" s="34" t="n">
        <v>85.97</v>
      </c>
      <c r="E1408" s="34" t="n">
        <v>156.6</v>
      </c>
      <c r="F1408" s="34" t="n">
        <v>-27.25</v>
      </c>
      <c r="G1408" s="34" t="n">
        <v>-72.87</v>
      </c>
      <c r="H1408" s="34" t="n">
        <v>-13.37</v>
      </c>
      <c r="I1408" s="34" t="n">
        <v>20.47</v>
      </c>
      <c r="J1408" s="34" t="n">
        <v>19.99</v>
      </c>
      <c r="K1408" s="34" t="n">
        <v>119.13</v>
      </c>
      <c r="L1408" s="34" t="n">
        <f aca="false">AVERAGE(C1408:E1408)</f>
        <v>103.08</v>
      </c>
      <c r="M1408" s="34" t="n">
        <f aca="false">AVERAGE(C1408:J1408)</f>
        <v>29.52625</v>
      </c>
    </row>
    <row r="1409" customFormat="false" ht="15" hidden="false" customHeight="true" outlineLevel="0" collapsed="false">
      <c r="A1409" s="34" t="s">
        <v>1615</v>
      </c>
      <c r="B1409" s="34" t="n">
        <v>132.73</v>
      </c>
      <c r="C1409" s="34" t="n">
        <v>66.67</v>
      </c>
      <c r="D1409" s="34" t="n">
        <v>95.85</v>
      </c>
      <c r="E1409" s="34" t="n">
        <v>186.51</v>
      </c>
      <c r="F1409" s="34" t="n">
        <v>177.93</v>
      </c>
      <c r="G1409" s="34" t="n">
        <v>190.13</v>
      </c>
      <c r="H1409" s="34" t="n">
        <v>149.89</v>
      </c>
      <c r="I1409" s="34" t="n">
        <v>148.14</v>
      </c>
      <c r="J1409" s="34" t="n">
        <v>173.23</v>
      </c>
      <c r="K1409" s="34" t="n">
        <v>117.17</v>
      </c>
      <c r="L1409" s="34" t="n">
        <f aca="false">AVERAGE(C1409:E1409)</f>
        <v>116.343333333333</v>
      </c>
      <c r="M1409" s="34" t="n">
        <f aca="false">AVERAGE(C1409:J1409)</f>
        <v>148.54375</v>
      </c>
    </row>
    <row r="1410" customFormat="false" ht="15" hidden="false" customHeight="true" outlineLevel="0" collapsed="false">
      <c r="A1410" s="34" t="s">
        <v>1616</v>
      </c>
      <c r="B1410" s="34" t="n">
        <v>132.55</v>
      </c>
      <c r="C1410" s="34" t="n">
        <v>66.67</v>
      </c>
      <c r="D1410" s="34" t="n">
        <v>23.7</v>
      </c>
      <c r="E1410" s="34" t="n">
        <v>84.16</v>
      </c>
      <c r="F1410" s="34" t="n">
        <v>149.5</v>
      </c>
      <c r="G1410" s="34" t="n">
        <v>135.23</v>
      </c>
      <c r="H1410" s="34" t="n">
        <v>147.87</v>
      </c>
      <c r="I1410" s="34" t="n">
        <v>154.27</v>
      </c>
      <c r="J1410" s="34" t="n">
        <v>102.21</v>
      </c>
      <c r="K1410" s="34" t="n">
        <v>122.28</v>
      </c>
      <c r="L1410" s="34" t="n">
        <f aca="false">AVERAGE(C1410:E1410)</f>
        <v>58.1766666666667</v>
      </c>
      <c r="M1410" s="34" t="n">
        <f aca="false">AVERAGE(C1410:J1410)</f>
        <v>107.95125</v>
      </c>
    </row>
    <row r="1411" customFormat="false" ht="15" hidden="false" customHeight="true" outlineLevel="0" collapsed="false">
      <c r="A1411" s="34" t="s">
        <v>1617</v>
      </c>
      <c r="B1411" s="34" t="n">
        <v>132.5</v>
      </c>
      <c r="C1411" s="34" t="n">
        <v>66.67</v>
      </c>
      <c r="D1411" s="34" t="n">
        <v>-5.39</v>
      </c>
      <c r="E1411" s="34" t="n">
        <v>49.96</v>
      </c>
      <c r="F1411" s="34" t="n">
        <v>76.88</v>
      </c>
      <c r="G1411" s="34" t="n">
        <v>112.1</v>
      </c>
      <c r="H1411" s="34" t="n">
        <v>106.55</v>
      </c>
      <c r="I1411" s="34" t="n">
        <v>96.8</v>
      </c>
      <c r="J1411" s="34" t="n">
        <v>101.69</v>
      </c>
      <c r="K1411" s="34" t="n">
        <v>131.05</v>
      </c>
      <c r="L1411" s="34" t="n">
        <f aca="false">AVERAGE(C1411:E1411)</f>
        <v>37.08</v>
      </c>
      <c r="M1411" s="34" t="n">
        <f aca="false">AVERAGE(C1411:J1411)</f>
        <v>75.6575</v>
      </c>
    </row>
    <row r="1412" customFormat="false" ht="15" hidden="false" customHeight="true" outlineLevel="0" collapsed="false">
      <c r="A1412" s="34" t="s">
        <v>1618</v>
      </c>
      <c r="B1412" s="34" t="n">
        <v>132.34</v>
      </c>
      <c r="C1412" s="34" t="n">
        <v>-66.67</v>
      </c>
      <c r="D1412" s="34" t="n">
        <v>-41.75</v>
      </c>
      <c r="E1412" s="34" t="n">
        <v>64.11</v>
      </c>
      <c r="F1412" s="34" t="n">
        <v>15.71</v>
      </c>
      <c r="G1412" s="34" t="n">
        <v>-45.22</v>
      </c>
      <c r="H1412" s="34" t="n">
        <v>-24.93</v>
      </c>
      <c r="I1412" s="34" t="n">
        <v>17.89</v>
      </c>
      <c r="J1412" s="34" t="n">
        <v>1.7</v>
      </c>
      <c r="K1412" s="34" t="n">
        <v>132.99</v>
      </c>
      <c r="L1412" s="34" t="n">
        <f aca="false">AVERAGE(C1412:E1412)</f>
        <v>-14.77</v>
      </c>
      <c r="M1412" s="34" t="n">
        <f aca="false">AVERAGE(C1412:J1412)</f>
        <v>-9.895</v>
      </c>
    </row>
    <row r="1413" customFormat="false" ht="15" hidden="false" customHeight="true" outlineLevel="0" collapsed="false">
      <c r="A1413" s="34" t="s">
        <v>1619</v>
      </c>
      <c r="B1413" s="34" t="n">
        <v>131.93</v>
      </c>
      <c r="C1413" s="34" t="n">
        <v>-66.67</v>
      </c>
      <c r="D1413" s="34" t="n">
        <v>-37.73</v>
      </c>
      <c r="E1413" s="34" t="n">
        <v>-14.9</v>
      </c>
      <c r="F1413" s="34" t="n">
        <v>-94.69</v>
      </c>
      <c r="G1413" s="34" t="n">
        <v>-122.26</v>
      </c>
      <c r="H1413" s="34" t="n">
        <v>-128.79</v>
      </c>
      <c r="I1413" s="34" t="n">
        <v>-137.8</v>
      </c>
      <c r="J1413" s="34" t="n">
        <v>-105.05</v>
      </c>
      <c r="K1413" s="34" t="n">
        <v>138.41</v>
      </c>
      <c r="L1413" s="34" t="n">
        <f aca="false">AVERAGE(C1413:E1413)</f>
        <v>-39.7666666666667</v>
      </c>
      <c r="M1413" s="34" t="n">
        <f aca="false">AVERAGE(C1413:J1413)</f>
        <v>-88.48625</v>
      </c>
    </row>
    <row r="1414" customFormat="false" ht="15" hidden="false" customHeight="true" outlineLevel="0" collapsed="false">
      <c r="A1414" s="34" t="s">
        <v>1620</v>
      </c>
      <c r="B1414" s="34" t="n">
        <v>131.91</v>
      </c>
      <c r="C1414" s="34" t="n">
        <v>66.67</v>
      </c>
      <c r="D1414" s="34" t="n">
        <v>106.85</v>
      </c>
      <c r="E1414" s="34" t="n">
        <v>121.45</v>
      </c>
      <c r="F1414" s="34" t="n">
        <v>-13.69</v>
      </c>
      <c r="G1414" s="34" t="n">
        <v>-59.42</v>
      </c>
      <c r="H1414" s="34" t="n">
        <v>-85.73</v>
      </c>
      <c r="I1414" s="34" t="n">
        <v>-24.81</v>
      </c>
      <c r="J1414" s="34" t="n">
        <v>-40.38</v>
      </c>
      <c r="K1414" s="34" t="n">
        <v>122.05</v>
      </c>
      <c r="L1414" s="34" t="n">
        <f aca="false">AVERAGE(C1414:E1414)</f>
        <v>98.3233333333333</v>
      </c>
      <c r="M1414" s="34" t="n">
        <f aca="false">AVERAGE(C1414:J1414)</f>
        <v>8.8675</v>
      </c>
    </row>
    <row r="1415" customFormat="false" ht="15" hidden="false" customHeight="true" outlineLevel="0" collapsed="false">
      <c r="A1415" s="34" t="s">
        <v>526</v>
      </c>
      <c r="B1415" s="34" t="n">
        <v>131.88</v>
      </c>
      <c r="C1415" s="34" t="n">
        <v>-66.67</v>
      </c>
      <c r="D1415" s="34" t="n">
        <v>-133.33</v>
      </c>
      <c r="E1415" s="34" t="n">
        <v>-6.46</v>
      </c>
      <c r="F1415" s="34" t="n">
        <v>25.58</v>
      </c>
      <c r="G1415" s="34" t="n">
        <v>-10.36</v>
      </c>
      <c r="H1415" s="34" t="n">
        <v>34.72</v>
      </c>
      <c r="I1415" s="34" t="n">
        <v>27.95</v>
      </c>
      <c r="J1415" s="34" t="n">
        <v>-4.65</v>
      </c>
      <c r="K1415" s="34" t="n">
        <v>126</v>
      </c>
      <c r="L1415" s="34" t="n">
        <f aca="false">AVERAGE(C1415:E1415)</f>
        <v>-68.82</v>
      </c>
      <c r="M1415" s="34" t="n">
        <f aca="false">AVERAGE(C1415:J1415)</f>
        <v>-16.6525</v>
      </c>
    </row>
    <row r="1416" customFormat="false" ht="15" hidden="false" customHeight="true" outlineLevel="0" collapsed="false">
      <c r="A1416" s="34" t="s">
        <v>1621</v>
      </c>
      <c r="B1416" s="34" t="n">
        <v>131.41</v>
      </c>
      <c r="C1416" s="34" t="n">
        <v>66.67</v>
      </c>
      <c r="D1416" s="34" t="n">
        <v>72.59</v>
      </c>
      <c r="E1416" s="34" t="n">
        <v>99.73</v>
      </c>
      <c r="F1416" s="34" t="n">
        <v>10.45</v>
      </c>
      <c r="G1416" s="34" t="n">
        <v>-24.92</v>
      </c>
      <c r="H1416" s="34" t="n">
        <v>-21.82</v>
      </c>
      <c r="I1416" s="34" t="n">
        <v>2.11</v>
      </c>
      <c r="J1416" s="34" t="n">
        <v>-17.66</v>
      </c>
      <c r="K1416" s="34" t="n">
        <v>120.81</v>
      </c>
      <c r="L1416" s="34" t="n">
        <f aca="false">AVERAGE(C1416:E1416)</f>
        <v>79.6633333333333</v>
      </c>
      <c r="M1416" s="34" t="n">
        <f aca="false">AVERAGE(C1416:J1416)</f>
        <v>23.39375</v>
      </c>
    </row>
    <row r="1417" customFormat="false" ht="15" hidden="false" customHeight="true" outlineLevel="0" collapsed="false">
      <c r="A1417" s="34" t="s">
        <v>175</v>
      </c>
      <c r="B1417" s="34" t="n">
        <v>131.2</v>
      </c>
      <c r="C1417" s="34" t="n">
        <v>-66.67</v>
      </c>
      <c r="D1417" s="34" t="n">
        <v>-82.78</v>
      </c>
      <c r="E1417" s="34" t="n">
        <v>61.45</v>
      </c>
      <c r="F1417" s="34" t="n">
        <v>160.26</v>
      </c>
      <c r="G1417" s="34" t="n">
        <v>177.67</v>
      </c>
      <c r="H1417" s="34" t="n">
        <v>177.56</v>
      </c>
      <c r="I1417" s="34" t="n">
        <v>138.17</v>
      </c>
      <c r="J1417" s="34" t="n">
        <v>146.2</v>
      </c>
      <c r="K1417" s="34" t="n">
        <v>125.58</v>
      </c>
      <c r="L1417" s="34" t="n">
        <f aca="false">AVERAGE(C1417:E1417)</f>
        <v>-29.3333333333333</v>
      </c>
      <c r="M1417" s="34" t="n">
        <f aca="false">AVERAGE(C1417:J1417)</f>
        <v>88.9825</v>
      </c>
    </row>
    <row r="1418" customFormat="false" ht="15" hidden="false" customHeight="true" outlineLevel="0" collapsed="false">
      <c r="A1418" s="34" t="s">
        <v>1622</v>
      </c>
      <c r="B1418" s="34" t="n">
        <v>130.7</v>
      </c>
      <c r="C1418" s="34" t="n">
        <v>66.67</v>
      </c>
      <c r="D1418" s="34" t="n">
        <v>94.53</v>
      </c>
      <c r="E1418" s="34" t="n">
        <v>113.82</v>
      </c>
      <c r="F1418" s="34" t="n">
        <v>-15.74</v>
      </c>
      <c r="G1418" s="34" t="n">
        <v>-71.21</v>
      </c>
      <c r="H1418" s="34" t="n">
        <v>-39.24</v>
      </c>
      <c r="I1418" s="34" t="n">
        <v>15.84</v>
      </c>
      <c r="J1418" s="34" t="n">
        <v>22.94</v>
      </c>
      <c r="K1418" s="34" t="n">
        <v>121.77</v>
      </c>
      <c r="L1418" s="34" t="n">
        <f aca="false">AVERAGE(C1418:E1418)</f>
        <v>91.6733333333333</v>
      </c>
      <c r="M1418" s="34" t="n">
        <f aca="false">AVERAGE(C1418:J1418)</f>
        <v>23.45125</v>
      </c>
    </row>
    <row r="1419" customFormat="false" ht="15" hidden="false" customHeight="true" outlineLevel="0" collapsed="false">
      <c r="A1419" s="34" t="s">
        <v>1623</v>
      </c>
      <c r="B1419" s="34" t="n">
        <v>130.68</v>
      </c>
      <c r="C1419" s="34" t="n">
        <v>-66.67</v>
      </c>
      <c r="D1419" s="34" t="n">
        <v>65.56</v>
      </c>
      <c r="E1419" s="34" t="n">
        <v>135.18</v>
      </c>
      <c r="F1419" s="34" t="n">
        <v>253.55</v>
      </c>
      <c r="G1419" s="34" t="n">
        <v>273.44</v>
      </c>
      <c r="H1419" s="34" t="n">
        <v>139.07</v>
      </c>
      <c r="I1419" s="34" t="n">
        <v>142.26</v>
      </c>
      <c r="J1419" s="34" t="n">
        <v>156</v>
      </c>
      <c r="K1419" s="34" t="n">
        <v>120.67</v>
      </c>
      <c r="L1419" s="34" t="n">
        <f aca="false">AVERAGE(C1419:E1419)</f>
        <v>44.69</v>
      </c>
      <c r="M1419" s="34" t="n">
        <f aca="false">AVERAGE(C1419:J1419)</f>
        <v>137.29875</v>
      </c>
    </row>
    <row r="1420" customFormat="false" ht="15" hidden="false" customHeight="true" outlineLevel="0" collapsed="false">
      <c r="A1420" s="34" t="s">
        <v>1624</v>
      </c>
      <c r="B1420" s="34" t="n">
        <v>130.49</v>
      </c>
      <c r="C1420" s="34" t="n">
        <v>-66.67</v>
      </c>
      <c r="D1420" s="34" t="n">
        <v>-54.77</v>
      </c>
      <c r="E1420" s="34" t="n">
        <v>-7.68</v>
      </c>
      <c r="F1420" s="34" t="n">
        <v>79.7</v>
      </c>
      <c r="G1420" s="34" t="n">
        <v>99.68</v>
      </c>
      <c r="H1420" s="34" t="n">
        <v>103.31</v>
      </c>
      <c r="I1420" s="34" t="n">
        <v>129.94</v>
      </c>
      <c r="J1420" s="34" t="n">
        <v>136.43</v>
      </c>
      <c r="K1420" s="34" t="n">
        <v>126.35</v>
      </c>
      <c r="L1420" s="34" t="n">
        <f aca="false">AVERAGE(C1420:E1420)</f>
        <v>-43.04</v>
      </c>
      <c r="M1420" s="34" t="n">
        <f aca="false">AVERAGE(C1420:J1420)</f>
        <v>52.4925</v>
      </c>
    </row>
    <row r="1421" customFormat="false" ht="15" hidden="false" customHeight="true" outlineLevel="0" collapsed="false">
      <c r="A1421" s="34" t="s">
        <v>1625</v>
      </c>
      <c r="B1421" s="34" t="n">
        <v>130.3</v>
      </c>
      <c r="C1421" s="34" t="n">
        <v>-66.67</v>
      </c>
      <c r="D1421" s="34" t="n">
        <v>-69.6</v>
      </c>
      <c r="E1421" s="34" t="n">
        <v>-44.92</v>
      </c>
      <c r="F1421" s="34" t="n">
        <v>-94.73</v>
      </c>
      <c r="G1421" s="34" t="n">
        <v>-146.95</v>
      </c>
      <c r="H1421" s="34" t="n">
        <v>-87.74</v>
      </c>
      <c r="I1421" s="34" t="n">
        <v>-37.83</v>
      </c>
      <c r="J1421" s="34" t="n">
        <v>-47.27</v>
      </c>
      <c r="K1421" s="34" t="n">
        <v>136.99</v>
      </c>
      <c r="L1421" s="34" t="n">
        <f aca="false">AVERAGE(C1421:E1421)</f>
        <v>-60.3966666666667</v>
      </c>
      <c r="M1421" s="34" t="n">
        <f aca="false">AVERAGE(C1421:J1421)</f>
        <v>-74.46375</v>
      </c>
    </row>
    <row r="1422" customFormat="false" ht="15" hidden="false" customHeight="true" outlineLevel="0" collapsed="false">
      <c r="A1422" s="34" t="s">
        <v>1626</v>
      </c>
      <c r="B1422" s="34" t="n">
        <v>130.13</v>
      </c>
      <c r="C1422" s="34" t="n">
        <v>-66.67</v>
      </c>
      <c r="D1422" s="34" t="n">
        <v>-86.73</v>
      </c>
      <c r="E1422" s="34" t="n">
        <v>-65.26</v>
      </c>
      <c r="F1422" s="34" t="n">
        <v>-116.25</v>
      </c>
      <c r="G1422" s="34" t="n">
        <v>-159.95</v>
      </c>
      <c r="H1422" s="34" t="n">
        <v>-124.3</v>
      </c>
      <c r="I1422" s="34" t="n">
        <v>-68.45</v>
      </c>
      <c r="J1422" s="34" t="n">
        <v>-68.16</v>
      </c>
      <c r="K1422" s="34" t="n">
        <v>141.38</v>
      </c>
      <c r="L1422" s="34" t="n">
        <f aca="false">AVERAGE(C1422:E1422)</f>
        <v>-72.8866666666667</v>
      </c>
      <c r="M1422" s="34" t="n">
        <f aca="false">AVERAGE(C1422:J1422)</f>
        <v>-94.47125</v>
      </c>
    </row>
    <row r="1423" customFormat="false" ht="15" hidden="false" customHeight="true" outlineLevel="0" collapsed="false">
      <c r="A1423" s="34" t="s">
        <v>1627</v>
      </c>
      <c r="B1423" s="34" t="n">
        <v>130</v>
      </c>
      <c r="C1423" s="34" t="n">
        <v>-66.67</v>
      </c>
      <c r="D1423" s="34" t="n">
        <v>41.68</v>
      </c>
      <c r="E1423" s="34" t="n">
        <v>-14.27</v>
      </c>
      <c r="F1423" s="34" t="n">
        <v>-87.46</v>
      </c>
      <c r="G1423" s="34" t="n">
        <v>-116.38</v>
      </c>
      <c r="H1423" s="34" t="n">
        <v>-48.75</v>
      </c>
      <c r="I1423" s="34" t="n">
        <v>13.77</v>
      </c>
      <c r="J1423" s="34" t="n">
        <v>27.89</v>
      </c>
      <c r="K1423" s="34" t="n">
        <v>141.2</v>
      </c>
      <c r="L1423" s="34" t="n">
        <f aca="false">AVERAGE(C1423:E1423)</f>
        <v>-13.0866666666667</v>
      </c>
      <c r="M1423" s="34" t="n">
        <f aca="false">AVERAGE(C1423:J1423)</f>
        <v>-31.27375</v>
      </c>
    </row>
    <row r="1424" customFormat="false" ht="15" hidden="false" customHeight="true" outlineLevel="0" collapsed="false">
      <c r="A1424" s="34" t="s">
        <v>1628</v>
      </c>
      <c r="B1424" s="34" t="n">
        <v>129.56</v>
      </c>
      <c r="C1424" s="34" t="n">
        <v>66.67</v>
      </c>
      <c r="D1424" s="34" t="n">
        <v>129.28</v>
      </c>
      <c r="E1424" s="34" t="n">
        <v>208.61</v>
      </c>
      <c r="F1424" s="34" t="n">
        <v>12.83</v>
      </c>
      <c r="G1424" s="34"/>
      <c r="H1424" s="34"/>
      <c r="I1424" s="34"/>
      <c r="J1424" s="34"/>
      <c r="K1424" s="34" t="n">
        <v>132.08</v>
      </c>
      <c r="L1424" s="34" t="n">
        <f aca="false">AVERAGE(C1424:E1424)</f>
        <v>134.853333333333</v>
      </c>
      <c r="M1424" s="34" t="n">
        <f aca="false">AVERAGE(C1424:J1424)</f>
        <v>104.3475</v>
      </c>
    </row>
    <row r="1425" customFormat="false" ht="15" hidden="false" customHeight="true" outlineLevel="0" collapsed="false">
      <c r="A1425" s="34" t="s">
        <v>1629</v>
      </c>
      <c r="B1425" s="34" t="n">
        <v>129.5</v>
      </c>
      <c r="C1425" s="34" t="n">
        <v>-66.67</v>
      </c>
      <c r="D1425" s="34" t="n">
        <v>-17.46</v>
      </c>
      <c r="E1425" s="34" t="n">
        <v>62.63</v>
      </c>
      <c r="F1425" s="34" t="n">
        <v>61.13</v>
      </c>
      <c r="G1425" s="34" t="n">
        <v>-26.57</v>
      </c>
      <c r="H1425" s="34" t="n">
        <v>-25.57</v>
      </c>
      <c r="I1425" s="34" t="n">
        <v>3.36</v>
      </c>
      <c r="J1425" s="34" t="n">
        <v>26.78</v>
      </c>
      <c r="K1425" s="34" t="n">
        <v>122.05</v>
      </c>
      <c r="L1425" s="34" t="n">
        <f aca="false">AVERAGE(C1425:E1425)</f>
        <v>-7.16666666666667</v>
      </c>
      <c r="M1425" s="34" t="n">
        <f aca="false">AVERAGE(C1425:J1425)</f>
        <v>2.20375</v>
      </c>
    </row>
    <row r="1426" customFormat="false" ht="15" hidden="false" customHeight="true" outlineLevel="0" collapsed="false">
      <c r="A1426" s="34" t="s">
        <v>1630</v>
      </c>
      <c r="B1426" s="34" t="n">
        <v>129.4</v>
      </c>
      <c r="C1426" s="34" t="n">
        <v>-66.67</v>
      </c>
      <c r="D1426" s="34" t="n">
        <v>57.92</v>
      </c>
      <c r="E1426" s="34" t="n">
        <v>109.57</v>
      </c>
      <c r="F1426" s="34" t="n">
        <v>274.16</v>
      </c>
      <c r="G1426" s="34" t="n">
        <v>304.8</v>
      </c>
      <c r="H1426" s="34" t="n">
        <v>200.07</v>
      </c>
      <c r="I1426" s="34" t="n">
        <v>186.09</v>
      </c>
      <c r="J1426" s="34" t="n">
        <v>119.17</v>
      </c>
      <c r="K1426" s="34" t="n">
        <v>117.46</v>
      </c>
      <c r="L1426" s="34" t="n">
        <f aca="false">AVERAGE(C1426:E1426)</f>
        <v>33.6066666666667</v>
      </c>
      <c r="M1426" s="34" t="n">
        <f aca="false">AVERAGE(C1426:J1426)</f>
        <v>148.13875</v>
      </c>
    </row>
    <row r="1427" customFormat="false" ht="15" hidden="false" customHeight="true" outlineLevel="0" collapsed="false">
      <c r="A1427" s="34" t="s">
        <v>1631</v>
      </c>
      <c r="B1427" s="34" t="n">
        <v>129</v>
      </c>
      <c r="C1427" s="34" t="n">
        <v>-66.67</v>
      </c>
      <c r="D1427" s="34" t="n">
        <v>-74.52</v>
      </c>
      <c r="E1427" s="34" t="n">
        <v>9.35</v>
      </c>
      <c r="F1427" s="34" t="n">
        <v>-57.06</v>
      </c>
      <c r="G1427" s="34" t="n">
        <v>-92.98</v>
      </c>
      <c r="H1427" s="34" t="n">
        <v>-105.86</v>
      </c>
      <c r="I1427" s="34" t="n">
        <v>-52.22</v>
      </c>
      <c r="J1427" s="34" t="n">
        <v>-57.71</v>
      </c>
      <c r="K1427" s="34" t="n">
        <v>137.56</v>
      </c>
      <c r="L1427" s="34" t="n">
        <f aca="false">AVERAGE(C1427:E1427)</f>
        <v>-43.9466666666667</v>
      </c>
      <c r="M1427" s="34" t="n">
        <f aca="false">AVERAGE(C1427:J1427)</f>
        <v>-62.20875</v>
      </c>
    </row>
    <row r="1428" customFormat="false" ht="15" hidden="false" customHeight="true" outlineLevel="0" collapsed="false">
      <c r="A1428" s="34" t="s">
        <v>1632</v>
      </c>
      <c r="B1428" s="34" t="n">
        <v>127.8</v>
      </c>
      <c r="C1428" s="34" t="n">
        <v>-66.67</v>
      </c>
      <c r="D1428" s="34" t="n">
        <v>-47.09</v>
      </c>
      <c r="E1428" s="34" t="n">
        <v>61.02</v>
      </c>
      <c r="F1428" s="34" t="n">
        <v>-37.78</v>
      </c>
      <c r="G1428" s="34" t="n">
        <v>-89.76</v>
      </c>
      <c r="H1428" s="34" t="n">
        <v>-115.04</v>
      </c>
      <c r="I1428" s="34" t="n">
        <v>-45.76</v>
      </c>
      <c r="J1428" s="34" t="n">
        <v>-55.02</v>
      </c>
      <c r="K1428" s="34" t="n">
        <v>132.17</v>
      </c>
      <c r="L1428" s="34" t="n">
        <f aca="false">AVERAGE(C1428:E1428)</f>
        <v>-17.58</v>
      </c>
      <c r="M1428" s="34" t="n">
        <f aca="false">AVERAGE(C1428:J1428)</f>
        <v>-49.5125</v>
      </c>
    </row>
    <row r="1429" customFormat="false" ht="15" hidden="false" customHeight="true" outlineLevel="0" collapsed="false">
      <c r="A1429" s="34" t="s">
        <v>1633</v>
      </c>
      <c r="B1429" s="34" t="n">
        <v>127.24</v>
      </c>
      <c r="C1429" s="34" t="n">
        <v>-66.67</v>
      </c>
      <c r="D1429" s="34" t="n">
        <v>-113.04</v>
      </c>
      <c r="E1429" s="34" t="n">
        <v>32.24</v>
      </c>
      <c r="F1429" s="34" t="n">
        <v>-66.85</v>
      </c>
      <c r="G1429" s="34" t="n">
        <v>-120.63</v>
      </c>
      <c r="H1429" s="34" t="n">
        <v>-154.46</v>
      </c>
      <c r="I1429" s="34" t="n">
        <v>-129.71</v>
      </c>
      <c r="J1429" s="34" t="n">
        <v>-122.76</v>
      </c>
      <c r="K1429" s="34" t="n">
        <v>132.75</v>
      </c>
      <c r="L1429" s="34" t="n">
        <f aca="false">AVERAGE(C1429:E1429)</f>
        <v>-49.1566666666667</v>
      </c>
      <c r="M1429" s="34" t="n">
        <f aca="false">AVERAGE(C1429:J1429)</f>
        <v>-92.735</v>
      </c>
    </row>
    <row r="1430" customFormat="false" ht="15" hidden="false" customHeight="true" outlineLevel="0" collapsed="false">
      <c r="A1430" s="34" t="s">
        <v>1634</v>
      </c>
      <c r="B1430" s="34" t="n">
        <v>126.56</v>
      </c>
      <c r="C1430" s="34" t="n">
        <v>-66.67</v>
      </c>
      <c r="D1430" s="34" t="n">
        <v>-133.33</v>
      </c>
      <c r="E1430" s="34" t="n">
        <v>-159.23</v>
      </c>
      <c r="F1430" s="34" t="n">
        <v>-56.34</v>
      </c>
      <c r="G1430" s="34" t="n">
        <v>15.07</v>
      </c>
      <c r="H1430" s="34" t="n">
        <v>56.61</v>
      </c>
      <c r="I1430" s="34" t="n">
        <v>67.27</v>
      </c>
      <c r="J1430" s="34" t="n">
        <v>78.89</v>
      </c>
      <c r="K1430" s="34" t="n">
        <v>138.55</v>
      </c>
      <c r="L1430" s="34" t="n">
        <f aca="false">AVERAGE(C1430:E1430)</f>
        <v>-119.743333333333</v>
      </c>
      <c r="M1430" s="34" t="n">
        <f aca="false">AVERAGE(C1430:J1430)</f>
        <v>-24.71625</v>
      </c>
    </row>
    <row r="1431" customFormat="false" ht="15" hidden="false" customHeight="true" outlineLevel="0" collapsed="false">
      <c r="A1431" s="34" t="s">
        <v>1635</v>
      </c>
      <c r="B1431" s="34" t="n">
        <v>126.28</v>
      </c>
      <c r="C1431" s="34" t="n">
        <v>-66.67</v>
      </c>
      <c r="D1431" s="34" t="n">
        <v>0.962</v>
      </c>
      <c r="E1431" s="34" t="n">
        <v>76.04</v>
      </c>
      <c r="F1431" s="34" t="n">
        <v>209.36</v>
      </c>
      <c r="G1431" s="34" t="n">
        <v>237.07</v>
      </c>
      <c r="H1431" s="34" t="n">
        <v>209.02</v>
      </c>
      <c r="I1431" s="34" t="n">
        <v>146.02</v>
      </c>
      <c r="J1431" s="34" t="n">
        <v>154.8</v>
      </c>
      <c r="K1431" s="34" t="n">
        <v>124.24</v>
      </c>
      <c r="L1431" s="34" t="n">
        <f aca="false">AVERAGE(C1431:E1431)</f>
        <v>3.444</v>
      </c>
      <c r="M1431" s="34" t="n">
        <f aca="false">AVERAGE(C1431:J1431)</f>
        <v>120.82525</v>
      </c>
    </row>
    <row r="1432" customFormat="false" ht="15" hidden="false" customHeight="true" outlineLevel="0" collapsed="false">
      <c r="A1432" s="34" t="s">
        <v>1636</v>
      </c>
      <c r="B1432" s="34" t="n">
        <v>125.57</v>
      </c>
      <c r="C1432" s="34" t="n">
        <v>-66.67</v>
      </c>
      <c r="D1432" s="34" t="n">
        <v>-15.51</v>
      </c>
      <c r="E1432" s="34" t="n">
        <v>74.96</v>
      </c>
      <c r="F1432" s="34" t="n">
        <v>203.25</v>
      </c>
      <c r="G1432" s="34" t="n">
        <v>229.86</v>
      </c>
      <c r="H1432" s="34" t="n">
        <v>210.13</v>
      </c>
      <c r="I1432" s="34" t="n">
        <v>143.64</v>
      </c>
      <c r="J1432" s="34" t="n">
        <v>150.5</v>
      </c>
      <c r="K1432" s="34" t="n">
        <v>122.89</v>
      </c>
      <c r="L1432" s="34" t="n">
        <f aca="false">AVERAGE(C1432:E1432)</f>
        <v>-2.40666666666667</v>
      </c>
      <c r="M1432" s="34" t="n">
        <f aca="false">AVERAGE(C1432:J1432)</f>
        <v>116.27</v>
      </c>
    </row>
    <row r="1433" customFormat="false" ht="15" hidden="false" customHeight="true" outlineLevel="0" collapsed="false">
      <c r="A1433" s="34" t="s">
        <v>1637</v>
      </c>
      <c r="B1433" s="34" t="n">
        <v>125.49</v>
      </c>
      <c r="C1433" s="34" t="n">
        <v>-66.67</v>
      </c>
      <c r="D1433" s="34" t="n">
        <v>-48.46</v>
      </c>
      <c r="E1433" s="34" t="n">
        <v>18.67</v>
      </c>
      <c r="F1433" s="34" t="n">
        <v>-83.06</v>
      </c>
      <c r="G1433" s="34" t="n">
        <v>-118.17</v>
      </c>
      <c r="H1433" s="34" t="n">
        <v>-66.1</v>
      </c>
      <c r="I1433" s="34" t="n">
        <v>-42.84</v>
      </c>
      <c r="J1433" s="34" t="n">
        <v>-48.2</v>
      </c>
      <c r="K1433" s="34" t="n">
        <v>130.54</v>
      </c>
      <c r="L1433" s="34" t="n">
        <f aca="false">AVERAGE(C1433:E1433)</f>
        <v>-32.1533333333333</v>
      </c>
      <c r="M1433" s="34" t="n">
        <f aca="false">AVERAGE(C1433:J1433)</f>
        <v>-56.85375</v>
      </c>
    </row>
    <row r="1434" customFormat="false" ht="15" hidden="false" customHeight="true" outlineLevel="0" collapsed="false">
      <c r="A1434" s="34" t="s">
        <v>1638</v>
      </c>
      <c r="B1434" s="34" t="n">
        <v>125.42</v>
      </c>
      <c r="C1434" s="34" t="n">
        <v>-66.67</v>
      </c>
      <c r="D1434" s="34" t="n">
        <v>-6.06</v>
      </c>
      <c r="E1434" s="34" t="n">
        <v>80.8</v>
      </c>
      <c r="F1434" s="34" t="n">
        <v>203.99</v>
      </c>
      <c r="G1434" s="34" t="n">
        <v>234.48</v>
      </c>
      <c r="H1434" s="34" t="n">
        <v>214.4</v>
      </c>
      <c r="I1434" s="34" t="n">
        <v>144.82</v>
      </c>
      <c r="J1434" s="34" t="n">
        <v>152.52</v>
      </c>
      <c r="K1434" s="34" t="n">
        <v>122.19</v>
      </c>
      <c r="L1434" s="34" t="n">
        <f aca="false">AVERAGE(C1434:E1434)</f>
        <v>2.69</v>
      </c>
      <c r="M1434" s="34" t="n">
        <f aca="false">AVERAGE(C1434:J1434)</f>
        <v>119.785</v>
      </c>
    </row>
    <row r="1435" customFormat="false" ht="15" hidden="false" customHeight="true" outlineLevel="0" collapsed="false">
      <c r="A1435" s="34" t="s">
        <v>1639</v>
      </c>
      <c r="B1435" s="34" t="n">
        <v>125.29</v>
      </c>
      <c r="C1435" s="34" t="n">
        <v>-66.67</v>
      </c>
      <c r="D1435" s="34" t="n">
        <v>-121.79</v>
      </c>
      <c r="E1435" s="34" t="n">
        <v>-73.34</v>
      </c>
      <c r="F1435" s="34" t="n">
        <v>-73.92</v>
      </c>
      <c r="G1435" s="34" t="n">
        <v>-102.11</v>
      </c>
      <c r="H1435" s="34" t="n">
        <v>-70.64</v>
      </c>
      <c r="I1435" s="34" t="n">
        <v>-10.96</v>
      </c>
      <c r="J1435" s="34" t="n">
        <v>-7.34</v>
      </c>
      <c r="K1435" s="34" t="n">
        <v>134.06</v>
      </c>
      <c r="L1435" s="34" t="n">
        <f aca="false">AVERAGE(C1435:E1435)</f>
        <v>-87.2666666666667</v>
      </c>
      <c r="M1435" s="34" t="n">
        <f aca="false">AVERAGE(C1435:J1435)</f>
        <v>-65.84625</v>
      </c>
    </row>
    <row r="1436" customFormat="false" ht="15" hidden="false" customHeight="true" outlineLevel="0" collapsed="false">
      <c r="A1436" s="34" t="s">
        <v>230</v>
      </c>
      <c r="B1436" s="34" t="n">
        <v>124.98</v>
      </c>
      <c r="C1436" s="34" t="n">
        <v>-66.67</v>
      </c>
      <c r="D1436" s="34" t="n">
        <v>-109.83</v>
      </c>
      <c r="E1436" s="34" t="n">
        <v>-85.49</v>
      </c>
      <c r="F1436" s="34" t="n">
        <v>-86.83</v>
      </c>
      <c r="G1436" s="34" t="n">
        <v>-125.04</v>
      </c>
      <c r="H1436" s="34" t="n">
        <v>-96.18</v>
      </c>
      <c r="I1436" s="34" t="n">
        <v>-56.35</v>
      </c>
      <c r="J1436" s="34" t="n">
        <v>-59.86</v>
      </c>
      <c r="K1436" s="34" t="n">
        <v>130.82</v>
      </c>
      <c r="L1436" s="34" t="n">
        <f aca="false">AVERAGE(C1436:E1436)</f>
        <v>-87.33</v>
      </c>
      <c r="M1436" s="34" t="n">
        <f aca="false">AVERAGE(C1436:J1436)</f>
        <v>-85.78125</v>
      </c>
    </row>
    <row r="1437" customFormat="false" ht="15" hidden="false" customHeight="true" outlineLevel="0" collapsed="false">
      <c r="A1437" s="34" t="s">
        <v>405</v>
      </c>
      <c r="B1437" s="34" t="n">
        <v>124.89</v>
      </c>
      <c r="C1437" s="34" t="n">
        <v>-66.67</v>
      </c>
      <c r="D1437" s="34" t="n">
        <v>-45.51</v>
      </c>
      <c r="E1437" s="34" t="n">
        <v>-10.43</v>
      </c>
      <c r="F1437" s="34" t="n">
        <v>-61.99</v>
      </c>
      <c r="G1437" s="34" t="n">
        <v>-112.45</v>
      </c>
      <c r="H1437" s="34" t="n">
        <v>-126</v>
      </c>
      <c r="I1437" s="34" t="n">
        <v>-67.44</v>
      </c>
      <c r="J1437" s="34" t="n">
        <v>-48.93</v>
      </c>
      <c r="K1437" s="34" t="n">
        <v>132.85</v>
      </c>
      <c r="L1437" s="34" t="n">
        <f aca="false">AVERAGE(C1437:E1437)</f>
        <v>-40.87</v>
      </c>
      <c r="M1437" s="34" t="n">
        <f aca="false">AVERAGE(C1437:J1437)</f>
        <v>-67.4275</v>
      </c>
    </row>
    <row r="1438" customFormat="false" ht="15" hidden="false" customHeight="true" outlineLevel="0" collapsed="false">
      <c r="A1438" s="34" t="s">
        <v>1640</v>
      </c>
      <c r="B1438" s="34" t="n">
        <v>124.56</v>
      </c>
      <c r="C1438" s="34" t="n">
        <v>-66.67</v>
      </c>
      <c r="D1438" s="34" t="n">
        <v>-7.14</v>
      </c>
      <c r="E1438" s="34" t="n">
        <v>73.71</v>
      </c>
      <c r="F1438" s="34" t="n">
        <v>204.32</v>
      </c>
      <c r="G1438" s="34" t="n">
        <v>233.17</v>
      </c>
      <c r="H1438" s="34" t="n">
        <v>213.4</v>
      </c>
      <c r="I1438" s="34" t="n">
        <v>145.19</v>
      </c>
      <c r="J1438" s="34" t="n">
        <v>153.24</v>
      </c>
      <c r="K1438" s="34" t="n">
        <v>122.17</v>
      </c>
      <c r="L1438" s="34" t="n">
        <f aca="false">AVERAGE(C1438:E1438)</f>
        <v>-0.0333333333333362</v>
      </c>
      <c r="M1438" s="34" t="n">
        <f aca="false">AVERAGE(C1438:J1438)</f>
        <v>118.6525</v>
      </c>
    </row>
    <row r="1439" customFormat="false" ht="15" hidden="false" customHeight="true" outlineLevel="0" collapsed="false">
      <c r="A1439" s="34" t="s">
        <v>1641</v>
      </c>
      <c r="B1439" s="34" t="n">
        <v>124.42</v>
      </c>
      <c r="C1439" s="34" t="n">
        <v>-66.67</v>
      </c>
      <c r="D1439" s="34" t="n">
        <v>-19.38</v>
      </c>
      <c r="E1439" s="34" t="n">
        <v>-29.88</v>
      </c>
      <c r="F1439" s="34" t="n">
        <v>-92.61</v>
      </c>
      <c r="G1439" s="34" t="n">
        <v>-98.04</v>
      </c>
      <c r="H1439" s="34" t="n">
        <v>-103.16</v>
      </c>
      <c r="I1439" s="34" t="n">
        <v>-100.87</v>
      </c>
      <c r="J1439" s="34" t="n">
        <v>-109.43</v>
      </c>
      <c r="K1439" s="34" t="n">
        <v>130.86</v>
      </c>
      <c r="L1439" s="34" t="n">
        <f aca="false">AVERAGE(C1439:E1439)</f>
        <v>-38.6433333333333</v>
      </c>
      <c r="M1439" s="34" t="n">
        <f aca="false">AVERAGE(C1439:J1439)</f>
        <v>-77.505</v>
      </c>
    </row>
    <row r="1440" customFormat="false" ht="15" hidden="false" customHeight="true" outlineLevel="0" collapsed="false">
      <c r="A1440" s="34" t="s">
        <v>1642</v>
      </c>
      <c r="B1440" s="34" t="n">
        <v>124.41</v>
      </c>
      <c r="C1440" s="34" t="n">
        <v>66.67</v>
      </c>
      <c r="D1440" s="34" t="n">
        <v>70.9</v>
      </c>
      <c r="E1440" s="34" t="n">
        <v>115.95</v>
      </c>
      <c r="F1440" s="34" t="n">
        <v>-53.18</v>
      </c>
      <c r="G1440" s="34" t="n">
        <v>-84.52</v>
      </c>
      <c r="H1440" s="34" t="n">
        <v>-101.97</v>
      </c>
      <c r="I1440" s="34" t="n">
        <v>-105.66</v>
      </c>
      <c r="J1440" s="34" t="n">
        <v>-91.99</v>
      </c>
      <c r="K1440" s="34" t="n">
        <v>130.04</v>
      </c>
      <c r="L1440" s="34" t="n">
        <f aca="false">AVERAGE(C1440:E1440)</f>
        <v>84.5066666666667</v>
      </c>
      <c r="M1440" s="34" t="n">
        <f aca="false">AVERAGE(C1440:J1440)</f>
        <v>-22.975</v>
      </c>
    </row>
    <row r="1441" customFormat="false" ht="15" hidden="false" customHeight="true" outlineLevel="0" collapsed="false">
      <c r="A1441" s="34" t="s">
        <v>179</v>
      </c>
      <c r="B1441" s="34" t="n">
        <v>123.58</v>
      </c>
      <c r="C1441" s="34" t="n">
        <v>66.67</v>
      </c>
      <c r="D1441" s="34" t="n">
        <v>133.33</v>
      </c>
      <c r="E1441" s="34" t="n">
        <v>180.05</v>
      </c>
      <c r="F1441" s="34" t="n">
        <v>-20.15</v>
      </c>
      <c r="G1441" s="34" t="n">
        <v>-63.89</v>
      </c>
      <c r="H1441" s="34" t="n">
        <v>-33.31</v>
      </c>
      <c r="I1441" s="34" t="n">
        <v>5.71</v>
      </c>
      <c r="J1441" s="34" t="n">
        <v>19.49</v>
      </c>
      <c r="K1441" s="34" t="n">
        <v>112.98</v>
      </c>
      <c r="L1441" s="34" t="n">
        <f aca="false">AVERAGE(C1441:E1441)</f>
        <v>126.683333333333</v>
      </c>
      <c r="M1441" s="34" t="n">
        <f aca="false">AVERAGE(C1441:J1441)</f>
        <v>35.9875</v>
      </c>
    </row>
    <row r="1442" customFormat="false" ht="15" hidden="false" customHeight="true" outlineLevel="0" collapsed="false">
      <c r="A1442" s="34" t="s">
        <v>1643</v>
      </c>
      <c r="B1442" s="34" t="n">
        <v>123.11</v>
      </c>
      <c r="C1442" s="34" t="n">
        <v>-66.67</v>
      </c>
      <c r="D1442" s="34" t="n">
        <v>-58.59</v>
      </c>
      <c r="E1442" s="34" t="n">
        <v>-76.13</v>
      </c>
      <c r="F1442" s="34" t="n">
        <v>-108.04</v>
      </c>
      <c r="G1442" s="34" t="n">
        <v>-133.46</v>
      </c>
      <c r="H1442" s="34" t="n">
        <v>-106.5</v>
      </c>
      <c r="I1442" s="34" t="n">
        <v>-92.09</v>
      </c>
      <c r="J1442" s="34" t="n">
        <v>-84.74</v>
      </c>
      <c r="K1442" s="34" t="n">
        <v>133.9</v>
      </c>
      <c r="L1442" s="34" t="n">
        <f aca="false">AVERAGE(C1442:E1442)</f>
        <v>-67.13</v>
      </c>
      <c r="M1442" s="34" t="n">
        <f aca="false">AVERAGE(C1442:J1442)</f>
        <v>-90.7775</v>
      </c>
    </row>
    <row r="1443" customFormat="false" ht="15" hidden="false" customHeight="true" outlineLevel="0" collapsed="false">
      <c r="A1443" s="34" t="s">
        <v>1644</v>
      </c>
      <c r="B1443" s="34" t="n">
        <v>123.1</v>
      </c>
      <c r="C1443" s="34" t="n">
        <v>-66.67</v>
      </c>
      <c r="D1443" s="34" t="n">
        <v>-133.33</v>
      </c>
      <c r="E1443" s="34" t="n">
        <v>-24.68</v>
      </c>
      <c r="F1443" s="34" t="n">
        <v>-65.54</v>
      </c>
      <c r="G1443" s="34" t="n">
        <v>-101.27</v>
      </c>
      <c r="H1443" s="34" t="n">
        <v>-57.96</v>
      </c>
      <c r="I1443" s="34" t="n">
        <v>-36.95</v>
      </c>
      <c r="J1443" s="34" t="n">
        <v>-28.66</v>
      </c>
      <c r="K1443" s="34" t="n">
        <v>116.86</v>
      </c>
      <c r="L1443" s="34" t="n">
        <f aca="false">AVERAGE(C1443:E1443)</f>
        <v>-74.8933333333333</v>
      </c>
      <c r="M1443" s="34" t="n">
        <f aca="false">AVERAGE(C1443:J1443)</f>
        <v>-64.3825</v>
      </c>
    </row>
    <row r="1444" customFormat="false" ht="15" hidden="false" customHeight="true" outlineLevel="0" collapsed="false">
      <c r="A1444" s="34" t="s">
        <v>1645</v>
      </c>
      <c r="B1444" s="34" t="n">
        <v>123</v>
      </c>
      <c r="C1444" s="34" t="n">
        <v>-66.67</v>
      </c>
      <c r="D1444" s="34" t="n">
        <v>-21.32</v>
      </c>
      <c r="E1444" s="34" t="n">
        <v>72.29</v>
      </c>
      <c r="F1444" s="34" t="n">
        <v>-44.9</v>
      </c>
      <c r="G1444" s="34" t="n">
        <v>-92.07</v>
      </c>
      <c r="H1444" s="34" t="n">
        <v>-73.29</v>
      </c>
      <c r="I1444" s="34" t="n">
        <v>-40.28</v>
      </c>
      <c r="J1444" s="34" t="n">
        <v>-47.45</v>
      </c>
      <c r="K1444" s="34" t="n">
        <v>127.64</v>
      </c>
      <c r="L1444" s="34" t="n">
        <f aca="false">AVERAGE(C1444:E1444)</f>
        <v>-5.23333333333333</v>
      </c>
      <c r="M1444" s="34" t="n">
        <f aca="false">AVERAGE(C1444:J1444)</f>
        <v>-39.21125</v>
      </c>
    </row>
    <row r="1445" customFormat="false" ht="15" hidden="false" customHeight="true" outlineLevel="0" collapsed="false">
      <c r="A1445" s="34" t="s">
        <v>1646</v>
      </c>
      <c r="B1445" s="34" t="n">
        <v>122.18</v>
      </c>
      <c r="C1445" s="34" t="n">
        <v>66.67</v>
      </c>
      <c r="D1445" s="34" t="n">
        <v>71.86</v>
      </c>
      <c r="E1445" s="34" t="n">
        <v>100.09</v>
      </c>
      <c r="F1445" s="34" t="n">
        <v>165.35</v>
      </c>
      <c r="G1445" s="34" t="n">
        <v>190.7</v>
      </c>
      <c r="H1445" s="34" t="n">
        <v>170.5</v>
      </c>
      <c r="I1445" s="34" t="n">
        <v>127.34</v>
      </c>
      <c r="J1445" s="34" t="n">
        <v>113.45</v>
      </c>
      <c r="K1445" s="34" t="n">
        <v>118.4</v>
      </c>
      <c r="L1445" s="34" t="n">
        <f aca="false">AVERAGE(C1445:E1445)</f>
        <v>79.54</v>
      </c>
      <c r="M1445" s="34" t="n">
        <f aca="false">AVERAGE(C1445:J1445)</f>
        <v>125.745</v>
      </c>
    </row>
    <row r="1446" customFormat="false" ht="15" hidden="false" customHeight="true" outlineLevel="0" collapsed="false">
      <c r="A1446" s="34" t="s">
        <v>1647</v>
      </c>
      <c r="B1446" s="34" t="n">
        <v>122.17</v>
      </c>
      <c r="C1446" s="34" t="n">
        <v>-66.67</v>
      </c>
      <c r="D1446" s="34" t="n">
        <v>-111.56</v>
      </c>
      <c r="E1446" s="34" t="n">
        <v>-61.65</v>
      </c>
      <c r="F1446" s="34" t="n">
        <v>-98.05</v>
      </c>
      <c r="G1446" s="34" t="n">
        <v>-163.94</v>
      </c>
      <c r="H1446" s="34" t="n">
        <v>-163.08</v>
      </c>
      <c r="I1446" s="34" t="n">
        <v>-49.03</v>
      </c>
      <c r="J1446" s="34" t="n">
        <v>-29.44</v>
      </c>
      <c r="K1446" s="34" t="n">
        <v>129.21</v>
      </c>
      <c r="L1446" s="34" t="n">
        <f aca="false">AVERAGE(C1446:E1446)</f>
        <v>-79.96</v>
      </c>
      <c r="M1446" s="34" t="n">
        <f aca="false">AVERAGE(C1446:J1446)</f>
        <v>-92.9275</v>
      </c>
    </row>
    <row r="1447" customFormat="false" ht="15" hidden="false" customHeight="true" outlineLevel="0" collapsed="false">
      <c r="A1447" s="34" t="s">
        <v>88</v>
      </c>
      <c r="B1447" s="34" t="n">
        <v>121.93</v>
      </c>
      <c r="C1447" s="34" t="n">
        <v>-66.67</v>
      </c>
      <c r="D1447" s="34" t="n">
        <v>-104.19</v>
      </c>
      <c r="E1447" s="34" t="n">
        <v>-35.91</v>
      </c>
      <c r="F1447" s="34" t="n">
        <v>-66.32</v>
      </c>
      <c r="G1447" s="34" t="n">
        <v>-108.86</v>
      </c>
      <c r="H1447" s="34" t="n">
        <v>-40.96</v>
      </c>
      <c r="I1447" s="34" t="n">
        <v>0.598</v>
      </c>
      <c r="J1447" s="34" t="n">
        <v>22.4</v>
      </c>
      <c r="K1447" s="34" t="n">
        <v>127.53</v>
      </c>
      <c r="L1447" s="34" t="n">
        <f aca="false">AVERAGE(C1447:E1447)</f>
        <v>-68.9233333333333</v>
      </c>
      <c r="M1447" s="34" t="n">
        <f aca="false">AVERAGE(C1447:J1447)</f>
        <v>-49.989</v>
      </c>
    </row>
    <row r="1448" customFormat="false" ht="15" hidden="false" customHeight="true" outlineLevel="0" collapsed="false">
      <c r="A1448" s="34" t="s">
        <v>509</v>
      </c>
      <c r="B1448" s="34" t="n">
        <v>121.83</v>
      </c>
      <c r="C1448" s="34" t="n">
        <v>-66.67</v>
      </c>
      <c r="D1448" s="34" t="n">
        <v>-28.19</v>
      </c>
      <c r="E1448" s="34" t="n">
        <v>65.56</v>
      </c>
      <c r="F1448" s="34" t="n">
        <v>-56.56</v>
      </c>
      <c r="G1448" s="34" t="n">
        <v>-69.95</v>
      </c>
      <c r="H1448" s="34" t="n">
        <v>-51.29</v>
      </c>
      <c r="I1448" s="34" t="n">
        <v>2.24</v>
      </c>
      <c r="J1448" s="34" t="n">
        <v>-24.53</v>
      </c>
      <c r="K1448" s="34" t="n">
        <v>127.36</v>
      </c>
      <c r="L1448" s="34" t="n">
        <f aca="false">AVERAGE(C1448:E1448)</f>
        <v>-9.76666666666667</v>
      </c>
      <c r="M1448" s="34" t="n">
        <f aca="false">AVERAGE(C1448:J1448)</f>
        <v>-28.67375</v>
      </c>
    </row>
    <row r="1449" customFormat="false" ht="15" hidden="false" customHeight="true" outlineLevel="0" collapsed="false">
      <c r="A1449" s="34" t="s">
        <v>1648</v>
      </c>
      <c r="B1449" s="34" t="n">
        <v>121.18</v>
      </c>
      <c r="C1449" s="34" t="n">
        <v>-66.67</v>
      </c>
      <c r="D1449" s="34" t="n">
        <v>33.96</v>
      </c>
      <c r="E1449" s="34" t="n">
        <v>84.35</v>
      </c>
      <c r="F1449" s="34" t="n">
        <v>-54.27</v>
      </c>
      <c r="G1449" s="34" t="n">
        <v>-90.22</v>
      </c>
      <c r="H1449" s="34" t="n">
        <v>-98.66</v>
      </c>
      <c r="I1449" s="34" t="n">
        <v>-93.11</v>
      </c>
      <c r="J1449" s="34" t="n">
        <v>-86.81</v>
      </c>
      <c r="K1449" s="34" t="n">
        <v>125.57</v>
      </c>
      <c r="L1449" s="34" t="n">
        <f aca="false">AVERAGE(C1449:E1449)</f>
        <v>17.2133333333333</v>
      </c>
      <c r="M1449" s="34" t="n">
        <f aca="false">AVERAGE(C1449:J1449)</f>
        <v>-46.42875</v>
      </c>
    </row>
    <row r="1450" customFormat="false" ht="15" hidden="false" customHeight="true" outlineLevel="0" collapsed="false">
      <c r="A1450" s="34" t="s">
        <v>1649</v>
      </c>
      <c r="B1450" s="34" t="n">
        <v>121</v>
      </c>
      <c r="C1450" s="34" t="n">
        <v>66.67</v>
      </c>
      <c r="D1450" s="34" t="n">
        <v>133.33</v>
      </c>
      <c r="E1450" s="34" t="n">
        <v>74.52</v>
      </c>
      <c r="F1450" s="34" t="n">
        <v>181.28</v>
      </c>
      <c r="G1450" s="34" t="n">
        <v>189.79</v>
      </c>
      <c r="H1450" s="34" t="n">
        <v>196.8</v>
      </c>
      <c r="I1450" s="34" t="n">
        <v>200.15</v>
      </c>
      <c r="J1450" s="34" t="n">
        <v>109.63</v>
      </c>
      <c r="K1450" s="34" t="n">
        <v>128.7</v>
      </c>
      <c r="L1450" s="34" t="n">
        <f aca="false">AVERAGE(C1450:E1450)</f>
        <v>91.5066666666667</v>
      </c>
      <c r="M1450" s="34" t="n">
        <f aca="false">AVERAGE(C1450:J1450)</f>
        <v>144.02125</v>
      </c>
    </row>
    <row r="1451" customFormat="false" ht="15" hidden="false" customHeight="true" outlineLevel="0" collapsed="false">
      <c r="A1451" s="34" t="s">
        <v>1650</v>
      </c>
      <c r="B1451" s="34" t="n">
        <v>120.98</v>
      </c>
      <c r="C1451" s="34" t="n">
        <v>-66.67</v>
      </c>
      <c r="D1451" s="34" t="n">
        <v>-58.69</v>
      </c>
      <c r="E1451" s="34" t="n">
        <v>45.98</v>
      </c>
      <c r="F1451" s="34" t="n">
        <v>-72.05</v>
      </c>
      <c r="G1451" s="34" t="n">
        <v>-140.19</v>
      </c>
      <c r="H1451" s="34" t="n">
        <v>-104.61</v>
      </c>
      <c r="I1451" s="34" t="n">
        <v>-83.06</v>
      </c>
      <c r="J1451" s="34" t="n">
        <v>-89.51</v>
      </c>
      <c r="K1451" s="34" t="n">
        <v>128.04</v>
      </c>
      <c r="L1451" s="34" t="n">
        <f aca="false">AVERAGE(C1451:E1451)</f>
        <v>-26.46</v>
      </c>
      <c r="M1451" s="34" t="n">
        <f aca="false">AVERAGE(C1451:J1451)</f>
        <v>-71.1</v>
      </c>
    </row>
    <row r="1452" customFormat="false" ht="15" hidden="false" customHeight="true" outlineLevel="0" collapsed="false">
      <c r="A1452" s="34" t="s">
        <v>1651</v>
      </c>
      <c r="B1452" s="34" t="n">
        <v>120.91</v>
      </c>
      <c r="C1452" s="34" t="n">
        <v>-66.67</v>
      </c>
      <c r="D1452" s="34" t="n">
        <v>-133.33</v>
      </c>
      <c r="E1452" s="34" t="n">
        <v>-0.074</v>
      </c>
      <c r="F1452" s="34" t="n">
        <v>-26.68</v>
      </c>
      <c r="G1452" s="34" t="n">
        <v>40.13</v>
      </c>
      <c r="H1452" s="34" t="n">
        <v>75.17</v>
      </c>
      <c r="I1452" s="34" t="n">
        <v>95.83</v>
      </c>
      <c r="J1452" s="34" t="n">
        <v>58.24</v>
      </c>
      <c r="K1452" s="34" t="n">
        <v>132.88</v>
      </c>
      <c r="L1452" s="34" t="n">
        <f aca="false">AVERAGE(C1452:E1452)</f>
        <v>-66.6913333333333</v>
      </c>
      <c r="M1452" s="34" t="n">
        <f aca="false">AVERAGE(C1452:J1452)</f>
        <v>5.327</v>
      </c>
    </row>
    <row r="1453" customFormat="false" ht="15" hidden="false" customHeight="true" outlineLevel="0" collapsed="false">
      <c r="A1453" s="34" t="s">
        <v>1652</v>
      </c>
      <c r="B1453" s="34" t="n">
        <v>120.6</v>
      </c>
      <c r="C1453" s="34" t="n">
        <v>-66.67</v>
      </c>
      <c r="D1453" s="34" t="n">
        <v>34.25</v>
      </c>
      <c r="E1453" s="34" t="n">
        <v>95.52</v>
      </c>
      <c r="F1453" s="34" t="n">
        <v>59.26</v>
      </c>
      <c r="G1453" s="34" t="n">
        <v>94.34</v>
      </c>
      <c r="H1453" s="34" t="n">
        <v>61.19</v>
      </c>
      <c r="I1453" s="34" t="n">
        <v>53.84</v>
      </c>
      <c r="J1453" s="34" t="n">
        <v>42.09</v>
      </c>
      <c r="K1453" s="34" t="n">
        <v>109.31</v>
      </c>
      <c r="L1453" s="34" t="n">
        <f aca="false">AVERAGE(C1453:E1453)</f>
        <v>21.0333333333333</v>
      </c>
      <c r="M1453" s="34" t="n">
        <f aca="false">AVERAGE(C1453:J1453)</f>
        <v>46.7275</v>
      </c>
    </row>
    <row r="1454" customFormat="false" ht="15" hidden="false" customHeight="true" outlineLevel="0" collapsed="false">
      <c r="A1454" s="34" t="s">
        <v>1653</v>
      </c>
      <c r="B1454" s="34" t="n">
        <v>120.41</v>
      </c>
      <c r="C1454" s="34" t="n">
        <v>-66.67</v>
      </c>
      <c r="D1454" s="34" t="n">
        <v>-44.99</v>
      </c>
      <c r="E1454" s="34" t="n">
        <v>-21.42</v>
      </c>
      <c r="F1454" s="34" t="n">
        <v>-97.13</v>
      </c>
      <c r="G1454" s="34" t="n">
        <v>-128.49</v>
      </c>
      <c r="H1454" s="34" t="n">
        <v>-37.92</v>
      </c>
      <c r="I1454" s="34" t="n">
        <v>7.23</v>
      </c>
      <c r="J1454" s="34" t="n">
        <v>16.84</v>
      </c>
      <c r="K1454" s="34" t="n">
        <v>135.17</v>
      </c>
      <c r="L1454" s="34" t="n">
        <f aca="false">AVERAGE(C1454:E1454)</f>
        <v>-44.36</v>
      </c>
      <c r="M1454" s="34" t="n">
        <f aca="false">AVERAGE(C1454:J1454)</f>
        <v>-46.56875</v>
      </c>
    </row>
    <row r="1455" customFormat="false" ht="15" hidden="false" customHeight="true" outlineLevel="0" collapsed="false">
      <c r="A1455" s="34" t="s">
        <v>1654</v>
      </c>
      <c r="B1455" s="34" t="n">
        <v>119.58</v>
      </c>
      <c r="C1455" s="34" t="n">
        <v>66.67</v>
      </c>
      <c r="D1455" s="34" t="n">
        <v>133.33</v>
      </c>
      <c r="E1455" s="34" t="n">
        <v>118.49</v>
      </c>
      <c r="F1455" s="34" t="n">
        <v>64.04</v>
      </c>
      <c r="G1455" s="34" t="n">
        <v>110.36</v>
      </c>
      <c r="H1455" s="34" t="n">
        <v>158.74</v>
      </c>
      <c r="I1455" s="34" t="n">
        <v>194.37</v>
      </c>
      <c r="J1455" s="34" t="n">
        <v>192.65</v>
      </c>
      <c r="K1455" s="34" t="n">
        <v>109.89</v>
      </c>
      <c r="L1455" s="34" t="n">
        <f aca="false">AVERAGE(C1455:E1455)</f>
        <v>106.163333333333</v>
      </c>
      <c r="M1455" s="34" t="n">
        <f aca="false">AVERAGE(C1455:J1455)</f>
        <v>129.83125</v>
      </c>
    </row>
    <row r="1456" customFormat="false" ht="15" hidden="false" customHeight="true" outlineLevel="0" collapsed="false">
      <c r="A1456" s="34" t="s">
        <v>1655</v>
      </c>
      <c r="B1456" s="34" t="n">
        <v>118.99</v>
      </c>
      <c r="C1456" s="34" t="n">
        <v>66.67</v>
      </c>
      <c r="D1456" s="34" t="n">
        <v>5.14</v>
      </c>
      <c r="E1456" s="34" t="n">
        <v>75.24</v>
      </c>
      <c r="F1456" s="34" t="n">
        <v>85.61</v>
      </c>
      <c r="G1456" s="34" t="n">
        <v>96.99</v>
      </c>
      <c r="H1456" s="34" t="n">
        <v>38.58</v>
      </c>
      <c r="I1456" s="34" t="n">
        <v>55.94</v>
      </c>
      <c r="J1456" s="34" t="n">
        <v>63.58</v>
      </c>
      <c r="K1456" s="34" t="n">
        <v>111.75</v>
      </c>
      <c r="L1456" s="34" t="n">
        <f aca="false">AVERAGE(C1456:E1456)</f>
        <v>49.0166666666667</v>
      </c>
      <c r="M1456" s="34" t="n">
        <f aca="false">AVERAGE(C1456:J1456)</f>
        <v>60.96875</v>
      </c>
    </row>
    <row r="1457" customFormat="false" ht="15" hidden="false" customHeight="true" outlineLevel="0" collapsed="false">
      <c r="A1457" s="34" t="s">
        <v>547</v>
      </c>
      <c r="B1457" s="34" t="n">
        <v>118.68</v>
      </c>
      <c r="C1457" s="34" t="n">
        <v>-66.67</v>
      </c>
      <c r="D1457" s="34" t="n">
        <v>-92.11</v>
      </c>
      <c r="E1457" s="34" t="n">
        <v>41.84</v>
      </c>
      <c r="F1457" s="34" t="n">
        <v>-63.31</v>
      </c>
      <c r="G1457" s="34" t="n">
        <v>-118.3</v>
      </c>
      <c r="H1457" s="34" t="n">
        <v>-130.48</v>
      </c>
      <c r="I1457" s="34" t="n">
        <v>-102.69</v>
      </c>
      <c r="J1457" s="34" t="n">
        <v>-99.45</v>
      </c>
      <c r="K1457" s="34" t="n">
        <v>123.9</v>
      </c>
      <c r="L1457" s="34" t="n">
        <f aca="false">AVERAGE(C1457:E1457)</f>
        <v>-38.98</v>
      </c>
      <c r="M1457" s="34" t="n">
        <f aca="false">AVERAGE(C1457:J1457)</f>
        <v>-78.89625</v>
      </c>
    </row>
    <row r="1458" customFormat="false" ht="15" hidden="false" customHeight="true" outlineLevel="0" collapsed="false">
      <c r="A1458" s="34" t="s">
        <v>1656</v>
      </c>
      <c r="B1458" s="34" t="n">
        <v>118.05</v>
      </c>
      <c r="C1458" s="34" t="n">
        <v>-66.67</v>
      </c>
      <c r="D1458" s="34" t="n">
        <v>-110.83</v>
      </c>
      <c r="E1458" s="34" t="n">
        <v>-55.3</v>
      </c>
      <c r="F1458" s="34" t="n">
        <v>-88.9</v>
      </c>
      <c r="G1458" s="34" t="n">
        <v>-126.68</v>
      </c>
      <c r="H1458" s="34" t="n">
        <v>-126.75</v>
      </c>
      <c r="I1458" s="34" t="n">
        <v>-113.24</v>
      </c>
      <c r="J1458" s="34" t="n">
        <v>-95.13</v>
      </c>
      <c r="K1458" s="34" t="n">
        <v>128.21</v>
      </c>
      <c r="L1458" s="34" t="n">
        <f aca="false">AVERAGE(C1458:E1458)</f>
        <v>-77.6</v>
      </c>
      <c r="M1458" s="34" t="n">
        <f aca="false">AVERAGE(C1458:J1458)</f>
        <v>-97.9375</v>
      </c>
    </row>
    <row r="1459" customFormat="false" ht="15" hidden="false" customHeight="true" outlineLevel="0" collapsed="false">
      <c r="A1459" s="34" t="s">
        <v>1657</v>
      </c>
      <c r="B1459" s="34" t="n">
        <v>118</v>
      </c>
      <c r="C1459" s="34" t="n">
        <v>66.67</v>
      </c>
      <c r="D1459" s="34" t="n">
        <v>74.72</v>
      </c>
      <c r="E1459" s="34" t="n">
        <v>137.67</v>
      </c>
      <c r="F1459" s="34" t="n">
        <v>272.53</v>
      </c>
      <c r="G1459" s="34" t="n">
        <v>234.25</v>
      </c>
      <c r="H1459" s="34" t="n">
        <v>121.48</v>
      </c>
      <c r="I1459" s="34" t="n">
        <v>95.27</v>
      </c>
      <c r="J1459" s="34" t="n">
        <v>82.06</v>
      </c>
      <c r="K1459" s="34" t="n">
        <v>108.48</v>
      </c>
      <c r="L1459" s="34" t="n">
        <f aca="false">AVERAGE(C1459:E1459)</f>
        <v>93.02</v>
      </c>
      <c r="M1459" s="34" t="n">
        <f aca="false">AVERAGE(C1459:J1459)</f>
        <v>135.58125</v>
      </c>
    </row>
    <row r="1460" customFormat="false" ht="15" hidden="false" customHeight="true" outlineLevel="0" collapsed="false">
      <c r="A1460" s="34" t="s">
        <v>1658</v>
      </c>
      <c r="B1460" s="34" t="n">
        <v>117.14</v>
      </c>
      <c r="C1460" s="34" t="n">
        <v>-66.67</v>
      </c>
      <c r="D1460" s="34" t="n">
        <v>-128.14</v>
      </c>
      <c r="E1460" s="34" t="n">
        <v>-58.34</v>
      </c>
      <c r="F1460" s="34" t="n">
        <v>-118.56</v>
      </c>
      <c r="G1460" s="34" t="n">
        <v>-140.25</v>
      </c>
      <c r="H1460" s="34" t="n">
        <v>-132.55</v>
      </c>
      <c r="I1460" s="34" t="n">
        <v>-47.74</v>
      </c>
      <c r="J1460" s="34" t="n">
        <v>-29.49</v>
      </c>
      <c r="K1460" s="34" t="n">
        <v>125.78</v>
      </c>
      <c r="L1460" s="34" t="n">
        <f aca="false">AVERAGE(C1460:E1460)</f>
        <v>-84.3833333333333</v>
      </c>
      <c r="M1460" s="34" t="n">
        <f aca="false">AVERAGE(C1460:J1460)</f>
        <v>-90.2175</v>
      </c>
    </row>
    <row r="1461" customFormat="false" ht="15" hidden="false" customHeight="true" outlineLevel="0" collapsed="false">
      <c r="A1461" s="34" t="s">
        <v>1659</v>
      </c>
      <c r="B1461" s="34" t="n">
        <v>117</v>
      </c>
      <c r="C1461" s="34" t="n">
        <v>66.67</v>
      </c>
      <c r="D1461" s="34" t="n">
        <v>133.33</v>
      </c>
      <c r="E1461" s="34" t="n">
        <v>46.71</v>
      </c>
      <c r="F1461" s="34" t="n">
        <v>-60.86</v>
      </c>
      <c r="G1461" s="34" t="n">
        <v>-85.49</v>
      </c>
      <c r="H1461" s="34" t="n">
        <v>-78.27</v>
      </c>
      <c r="I1461" s="34" t="n">
        <v>-13.84</v>
      </c>
      <c r="J1461" s="34" t="n">
        <v>-1.18</v>
      </c>
      <c r="K1461" s="34" t="n">
        <v>123.99</v>
      </c>
      <c r="L1461" s="34" t="n">
        <f aca="false">AVERAGE(C1461:E1461)</f>
        <v>82.2366666666667</v>
      </c>
      <c r="M1461" s="34" t="n">
        <f aca="false">AVERAGE(C1461:J1461)</f>
        <v>0.883750000000005</v>
      </c>
    </row>
    <row r="1462" customFormat="false" ht="15" hidden="false" customHeight="true" outlineLevel="0" collapsed="false">
      <c r="A1462" s="34" t="s">
        <v>1660</v>
      </c>
      <c r="B1462" s="34" t="n">
        <v>116.78</v>
      </c>
      <c r="C1462" s="34" t="n">
        <v>-66.67</v>
      </c>
      <c r="D1462" s="34" t="n">
        <v>-102.99</v>
      </c>
      <c r="E1462" s="34" t="n">
        <v>-43.57</v>
      </c>
      <c r="F1462" s="34" t="n">
        <v>-80.03</v>
      </c>
      <c r="G1462" s="34" t="n">
        <v>-101.21</v>
      </c>
      <c r="H1462" s="34" t="n">
        <v>-14.96</v>
      </c>
      <c r="I1462" s="34" t="n">
        <v>16.47</v>
      </c>
      <c r="J1462" s="34" t="n">
        <v>-11.58</v>
      </c>
      <c r="K1462" s="34" t="n">
        <v>125.45</v>
      </c>
      <c r="L1462" s="34" t="n">
        <f aca="false">AVERAGE(C1462:E1462)</f>
        <v>-71.0766666666667</v>
      </c>
      <c r="M1462" s="34" t="n">
        <f aca="false">AVERAGE(C1462:J1462)</f>
        <v>-50.5675</v>
      </c>
    </row>
    <row r="1463" customFormat="false" ht="15" hidden="false" customHeight="true" outlineLevel="0" collapsed="false">
      <c r="A1463" s="34" t="s">
        <v>1661</v>
      </c>
      <c r="B1463" s="34" t="n">
        <v>116.5</v>
      </c>
      <c r="C1463" s="34" t="n">
        <v>-66.67</v>
      </c>
      <c r="D1463" s="34" t="n">
        <v>-133.33</v>
      </c>
      <c r="E1463" s="34" t="n">
        <v>-42.12</v>
      </c>
      <c r="F1463" s="34" t="n">
        <v>-62.76</v>
      </c>
      <c r="G1463" s="34" t="n">
        <v>-25.96</v>
      </c>
      <c r="H1463" s="34" t="n">
        <v>31.35</v>
      </c>
      <c r="I1463" s="34" t="n">
        <v>50.4</v>
      </c>
      <c r="J1463" s="34" t="n">
        <v>46.35</v>
      </c>
      <c r="K1463" s="34" t="n">
        <v>113.82</v>
      </c>
      <c r="L1463" s="34" t="n">
        <f aca="false">AVERAGE(C1463:E1463)</f>
        <v>-80.7066666666667</v>
      </c>
      <c r="M1463" s="34" t="n">
        <f aca="false">AVERAGE(C1463:J1463)</f>
        <v>-25.3425</v>
      </c>
    </row>
    <row r="1464" customFormat="false" ht="15" hidden="false" customHeight="true" outlineLevel="0" collapsed="false">
      <c r="A1464" s="34" t="s">
        <v>1662</v>
      </c>
      <c r="B1464" s="34" t="n">
        <v>116.5</v>
      </c>
      <c r="C1464" s="34" t="n">
        <v>66.67</v>
      </c>
      <c r="D1464" s="34" t="n">
        <v>122.4</v>
      </c>
      <c r="E1464" s="34" t="n">
        <v>123.64</v>
      </c>
      <c r="F1464" s="34" t="n">
        <v>204.27</v>
      </c>
      <c r="G1464" s="34" t="n">
        <v>314</v>
      </c>
      <c r="H1464" s="34" t="n">
        <v>341.92</v>
      </c>
      <c r="I1464" s="34" t="n">
        <v>269.85</v>
      </c>
      <c r="J1464" s="34" t="n">
        <v>161.39</v>
      </c>
      <c r="K1464" s="34" t="n">
        <v>101.91</v>
      </c>
      <c r="L1464" s="34" t="n">
        <f aca="false">AVERAGE(C1464:E1464)</f>
        <v>104.236666666667</v>
      </c>
      <c r="M1464" s="34" t="n">
        <f aca="false">AVERAGE(C1464:J1464)</f>
        <v>200.5175</v>
      </c>
    </row>
    <row r="1465" customFormat="false" ht="15" hidden="false" customHeight="true" outlineLevel="0" collapsed="false">
      <c r="A1465" s="34" t="s">
        <v>1663</v>
      </c>
      <c r="B1465" s="34" t="n">
        <v>116.49</v>
      </c>
      <c r="C1465" s="34" t="n">
        <v>66.67</v>
      </c>
      <c r="D1465" s="34" t="n">
        <v>133.33</v>
      </c>
      <c r="E1465" s="34" t="n">
        <v>197.72</v>
      </c>
      <c r="F1465" s="34" t="n">
        <v>44.29</v>
      </c>
      <c r="G1465" s="34" t="n">
        <v>-25.12</v>
      </c>
      <c r="H1465" s="34" t="n">
        <v>7.32</v>
      </c>
      <c r="I1465" s="34" t="n">
        <v>35.73</v>
      </c>
      <c r="J1465" s="34" t="n">
        <v>33.79</v>
      </c>
      <c r="K1465" s="34" t="n">
        <v>117.75</v>
      </c>
      <c r="L1465" s="34" t="n">
        <f aca="false">AVERAGE(C1465:E1465)</f>
        <v>132.573333333333</v>
      </c>
      <c r="M1465" s="34" t="n">
        <f aca="false">AVERAGE(C1465:J1465)</f>
        <v>61.71625</v>
      </c>
    </row>
    <row r="1466" customFormat="false" ht="15" hidden="false" customHeight="true" outlineLevel="0" collapsed="false">
      <c r="A1466" s="34" t="s">
        <v>227</v>
      </c>
      <c r="B1466" s="34" t="n">
        <v>115.46</v>
      </c>
      <c r="C1466" s="34" t="n">
        <v>-66.67</v>
      </c>
      <c r="D1466" s="34" t="n">
        <v>-68.33</v>
      </c>
      <c r="E1466" s="34" t="n">
        <v>67.33</v>
      </c>
      <c r="F1466" s="34" t="n">
        <v>83.89</v>
      </c>
      <c r="G1466" s="34" t="n">
        <v>-19.69</v>
      </c>
      <c r="H1466" s="34" t="n">
        <v>-13.42</v>
      </c>
      <c r="I1466" s="34" t="n">
        <v>32.9</v>
      </c>
      <c r="J1466" s="34" t="n">
        <v>47.73</v>
      </c>
      <c r="K1466" s="34" t="n">
        <v>112.2</v>
      </c>
      <c r="L1466" s="34" t="n">
        <f aca="false">AVERAGE(C1466:E1466)</f>
        <v>-22.5566666666667</v>
      </c>
      <c r="M1466" s="34" t="n">
        <f aca="false">AVERAGE(C1466:J1466)</f>
        <v>7.9675</v>
      </c>
    </row>
    <row r="1467" customFormat="false" ht="15" hidden="false" customHeight="true" outlineLevel="0" collapsed="false">
      <c r="A1467" s="34" t="s">
        <v>1664</v>
      </c>
      <c r="B1467" s="34" t="n">
        <v>115.03</v>
      </c>
      <c r="C1467" s="34" t="n">
        <v>66.67</v>
      </c>
      <c r="D1467" s="34" t="n">
        <v>133.26</v>
      </c>
      <c r="E1467" s="34" t="n">
        <v>153.41</v>
      </c>
      <c r="F1467" s="34" t="n">
        <v>94.03</v>
      </c>
      <c r="G1467" s="34"/>
      <c r="H1467" s="34"/>
      <c r="I1467" s="34"/>
      <c r="J1467" s="34"/>
      <c r="K1467" s="34" t="n">
        <v>102.93</v>
      </c>
      <c r="L1467" s="34" t="n">
        <f aca="false">AVERAGE(C1467:E1467)</f>
        <v>117.78</v>
      </c>
      <c r="M1467" s="34" t="n">
        <f aca="false">AVERAGE(C1467:J1467)</f>
        <v>111.8425</v>
      </c>
    </row>
    <row r="1468" customFormat="false" ht="15" hidden="false" customHeight="true" outlineLevel="0" collapsed="false">
      <c r="A1468" s="34" t="s">
        <v>1665</v>
      </c>
      <c r="B1468" s="34" t="n">
        <v>115</v>
      </c>
      <c r="C1468" s="34" t="n">
        <v>66.67</v>
      </c>
      <c r="D1468" s="34" t="n">
        <v>93.04</v>
      </c>
      <c r="E1468" s="34" t="n">
        <v>5.35</v>
      </c>
      <c r="F1468" s="34" t="n">
        <v>38.16</v>
      </c>
      <c r="G1468" s="34" t="n">
        <v>80</v>
      </c>
      <c r="H1468" s="34" t="n">
        <v>91.76</v>
      </c>
      <c r="I1468" s="34" t="n">
        <v>107.79</v>
      </c>
      <c r="J1468" s="34" t="n">
        <v>125.49</v>
      </c>
      <c r="K1468" s="34" t="n">
        <v>111.89</v>
      </c>
      <c r="L1468" s="34" t="n">
        <f aca="false">AVERAGE(C1468:E1468)</f>
        <v>55.02</v>
      </c>
      <c r="M1468" s="34" t="n">
        <f aca="false">AVERAGE(C1468:J1468)</f>
        <v>76.0325</v>
      </c>
    </row>
    <row r="1469" customFormat="false" ht="15" hidden="false" customHeight="true" outlineLevel="0" collapsed="false">
      <c r="A1469" s="34" t="s">
        <v>1666</v>
      </c>
      <c r="B1469" s="34" t="n">
        <v>114.6</v>
      </c>
      <c r="C1469" s="34" t="n">
        <v>-66.67</v>
      </c>
      <c r="D1469" s="34" t="n">
        <v>-73.28</v>
      </c>
      <c r="E1469" s="34" t="n">
        <v>-12.37</v>
      </c>
      <c r="F1469" s="34" t="n">
        <v>-64.84</v>
      </c>
      <c r="G1469" s="34" t="n">
        <v>26.65</v>
      </c>
      <c r="H1469" s="34" t="n">
        <v>53.11</v>
      </c>
      <c r="I1469" s="34" t="n">
        <v>68.25</v>
      </c>
      <c r="J1469" s="34" t="n">
        <v>65.37</v>
      </c>
      <c r="K1469" s="34" t="n">
        <v>123.25</v>
      </c>
      <c r="L1469" s="34" t="n">
        <f aca="false">AVERAGE(C1469:E1469)</f>
        <v>-50.7733333333333</v>
      </c>
      <c r="M1469" s="34" t="n">
        <f aca="false">AVERAGE(C1469:J1469)</f>
        <v>-0.472499999999998</v>
      </c>
    </row>
    <row r="1470" customFormat="false" ht="15" hidden="false" customHeight="true" outlineLevel="0" collapsed="false">
      <c r="A1470" s="34" t="s">
        <v>1667</v>
      </c>
      <c r="B1470" s="34" t="n">
        <v>114.55</v>
      </c>
      <c r="C1470" s="34" t="n">
        <v>66.67</v>
      </c>
      <c r="D1470" s="34" t="n">
        <v>93.19</v>
      </c>
      <c r="E1470" s="34" t="n">
        <v>-18.42</v>
      </c>
      <c r="F1470" s="34" t="n">
        <v>28.8</v>
      </c>
      <c r="G1470" s="34" t="n">
        <v>77</v>
      </c>
      <c r="H1470" s="34" t="n">
        <v>89.21</v>
      </c>
      <c r="I1470" s="34" t="n">
        <v>105.62</v>
      </c>
      <c r="J1470" s="34" t="n">
        <v>123.31</v>
      </c>
      <c r="K1470" s="34" t="n">
        <v>116.89</v>
      </c>
      <c r="L1470" s="34" t="n">
        <f aca="false">AVERAGE(C1470:E1470)</f>
        <v>47.1466666666667</v>
      </c>
      <c r="M1470" s="34" t="n">
        <f aca="false">AVERAGE(C1470:J1470)</f>
        <v>70.6725</v>
      </c>
    </row>
    <row r="1471" customFormat="false" ht="15" hidden="false" customHeight="true" outlineLevel="0" collapsed="false">
      <c r="A1471" s="34" t="s">
        <v>1668</v>
      </c>
      <c r="B1471" s="34" t="n">
        <v>114.43</v>
      </c>
      <c r="C1471" s="34" t="n">
        <v>66.67</v>
      </c>
      <c r="D1471" s="34" t="n">
        <v>79.68</v>
      </c>
      <c r="E1471" s="34" t="n">
        <v>10.03</v>
      </c>
      <c r="F1471" s="34" t="n">
        <v>41.18</v>
      </c>
      <c r="G1471" s="34" t="n">
        <v>81.74</v>
      </c>
      <c r="H1471" s="34" t="n">
        <v>89.29</v>
      </c>
      <c r="I1471" s="34" t="n">
        <v>105.53</v>
      </c>
      <c r="J1471" s="34" t="n">
        <v>123.09</v>
      </c>
      <c r="K1471" s="34" t="n">
        <v>115.25</v>
      </c>
      <c r="L1471" s="34" t="n">
        <f aca="false">AVERAGE(C1471:E1471)</f>
        <v>52.1266666666667</v>
      </c>
      <c r="M1471" s="34" t="n">
        <f aca="false">AVERAGE(C1471:J1471)</f>
        <v>74.65125</v>
      </c>
    </row>
    <row r="1472" customFormat="false" ht="15" hidden="false" customHeight="true" outlineLevel="0" collapsed="false">
      <c r="A1472" s="34" t="s">
        <v>1669</v>
      </c>
      <c r="B1472" s="34" t="n">
        <v>114.42</v>
      </c>
      <c r="C1472" s="34" t="n">
        <v>66.67</v>
      </c>
      <c r="D1472" s="34" t="n">
        <v>73.81</v>
      </c>
      <c r="E1472" s="34" t="n">
        <v>-26.59</v>
      </c>
      <c r="F1472" s="34" t="n">
        <v>-106.01</v>
      </c>
      <c r="G1472" s="34" t="n">
        <v>-153.73</v>
      </c>
      <c r="H1472" s="34" t="n">
        <v>-131.35</v>
      </c>
      <c r="I1472" s="34" t="n">
        <v>-145.78</v>
      </c>
      <c r="J1472" s="34" t="n">
        <v>-140.12</v>
      </c>
      <c r="K1472" s="34" t="n">
        <v>122.66</v>
      </c>
      <c r="L1472" s="34" t="n">
        <f aca="false">AVERAGE(C1472:E1472)</f>
        <v>37.9633333333333</v>
      </c>
      <c r="M1472" s="34" t="n">
        <f aca="false">AVERAGE(C1472:J1472)</f>
        <v>-70.3875</v>
      </c>
    </row>
    <row r="1473" customFormat="false" ht="15" hidden="false" customHeight="true" outlineLevel="0" collapsed="false">
      <c r="A1473" s="34" t="s">
        <v>1670</v>
      </c>
      <c r="B1473" s="34" t="n">
        <v>114.35</v>
      </c>
      <c r="C1473" s="34" t="n">
        <v>-66.67</v>
      </c>
      <c r="D1473" s="34" t="n">
        <v>-79.52</v>
      </c>
      <c r="E1473" s="34" t="n">
        <v>-111.13</v>
      </c>
      <c r="F1473" s="34" t="n">
        <v>-53.96</v>
      </c>
      <c r="G1473" s="34" t="n">
        <v>-71.35</v>
      </c>
      <c r="H1473" s="34" t="n">
        <v>-60.62</v>
      </c>
      <c r="I1473" s="34" t="n">
        <v>-34.84</v>
      </c>
      <c r="J1473" s="34" t="n">
        <v>-45.47</v>
      </c>
      <c r="K1473" s="34" t="n">
        <v>111.87</v>
      </c>
      <c r="L1473" s="34" t="n">
        <f aca="false">AVERAGE(C1473:E1473)</f>
        <v>-85.7733333333333</v>
      </c>
      <c r="M1473" s="34" t="n">
        <f aca="false">AVERAGE(C1473:J1473)</f>
        <v>-65.445</v>
      </c>
    </row>
    <row r="1474" customFormat="false" ht="15" hidden="false" customHeight="true" outlineLevel="0" collapsed="false">
      <c r="A1474" s="34" t="s">
        <v>1671</v>
      </c>
      <c r="B1474" s="34" t="n">
        <v>114.26</v>
      </c>
      <c r="C1474" s="34" t="n">
        <v>-66.67</v>
      </c>
      <c r="D1474" s="34" t="n">
        <v>64.76</v>
      </c>
      <c r="E1474" s="34" t="n">
        <v>151.43</v>
      </c>
      <c r="F1474" s="34" t="n">
        <v>46.93</v>
      </c>
      <c r="G1474" s="34" t="n">
        <v>-27.23</v>
      </c>
      <c r="H1474" s="34" t="n">
        <v>-35.28</v>
      </c>
      <c r="I1474" s="34" t="n">
        <v>-44.79</v>
      </c>
      <c r="J1474" s="34" t="n">
        <v>-59.45</v>
      </c>
      <c r="K1474" s="34" t="n">
        <v>118.08</v>
      </c>
      <c r="L1474" s="34" t="n">
        <f aca="false">AVERAGE(C1474:E1474)</f>
        <v>49.84</v>
      </c>
      <c r="M1474" s="34" t="n">
        <f aca="false">AVERAGE(C1474:J1474)</f>
        <v>3.7125</v>
      </c>
    </row>
    <row r="1475" customFormat="false" ht="15" hidden="false" customHeight="true" outlineLevel="0" collapsed="false">
      <c r="A1475" s="34" t="s">
        <v>1672</v>
      </c>
      <c r="B1475" s="34" t="n">
        <v>114.17</v>
      </c>
      <c r="C1475" s="34" t="n">
        <v>66.67</v>
      </c>
      <c r="D1475" s="34" t="n">
        <v>126.42</v>
      </c>
      <c r="E1475" s="34" t="n">
        <v>36.18</v>
      </c>
      <c r="F1475" s="34" t="n">
        <v>61.58</v>
      </c>
      <c r="G1475" s="34" t="n">
        <v>87.2</v>
      </c>
      <c r="H1475" s="34" t="n">
        <v>95.06</v>
      </c>
      <c r="I1475" s="34" t="n">
        <v>111.1</v>
      </c>
      <c r="J1475" s="34" t="n">
        <v>128.72</v>
      </c>
      <c r="K1475" s="34" t="n">
        <v>110.84</v>
      </c>
      <c r="L1475" s="34" t="n">
        <f aca="false">AVERAGE(C1475:E1475)</f>
        <v>76.4233333333333</v>
      </c>
      <c r="M1475" s="34" t="n">
        <f aca="false">AVERAGE(C1475:J1475)</f>
        <v>89.11625</v>
      </c>
    </row>
    <row r="1476" customFormat="false" ht="15" hidden="false" customHeight="true" outlineLevel="0" collapsed="false">
      <c r="A1476" s="34" t="s">
        <v>1673</v>
      </c>
      <c r="B1476" s="34" t="n">
        <v>114.04</v>
      </c>
      <c r="C1476" s="34" t="n">
        <v>-66.67</v>
      </c>
      <c r="D1476" s="34" t="n">
        <v>-59.37</v>
      </c>
      <c r="E1476" s="34" t="n">
        <v>-57.06</v>
      </c>
      <c r="F1476" s="34" t="n">
        <v>-165.89</v>
      </c>
      <c r="G1476" s="34" t="n">
        <v>-219.32</v>
      </c>
      <c r="H1476" s="34" t="n">
        <v>-42.67</v>
      </c>
      <c r="I1476" s="34" t="n">
        <v>-8.36</v>
      </c>
      <c r="J1476" s="34" t="n">
        <v>-10.78</v>
      </c>
      <c r="K1476" s="34" t="n">
        <v>122.02</v>
      </c>
      <c r="L1476" s="34" t="n">
        <f aca="false">AVERAGE(C1476:E1476)</f>
        <v>-61.0333333333333</v>
      </c>
      <c r="M1476" s="34" t="n">
        <f aca="false">AVERAGE(C1476:J1476)</f>
        <v>-78.765</v>
      </c>
    </row>
    <row r="1477" customFormat="false" ht="15" hidden="false" customHeight="true" outlineLevel="0" collapsed="false">
      <c r="A1477" s="34" t="s">
        <v>1674</v>
      </c>
      <c r="B1477" s="34" t="n">
        <v>114</v>
      </c>
      <c r="C1477" s="34" t="n">
        <v>-66.67</v>
      </c>
      <c r="D1477" s="34" t="n">
        <v>-133.33</v>
      </c>
      <c r="E1477" s="34" t="n">
        <v>-204.06</v>
      </c>
      <c r="F1477" s="34" t="n">
        <v>-75.69</v>
      </c>
      <c r="G1477" s="34" t="n">
        <v>-48.67</v>
      </c>
      <c r="H1477" s="34" t="n">
        <v>-13.8</v>
      </c>
      <c r="I1477" s="34" t="n">
        <v>8.28</v>
      </c>
      <c r="J1477" s="34" t="n">
        <v>-17.88</v>
      </c>
      <c r="K1477" s="34" t="n">
        <v>125.56</v>
      </c>
      <c r="L1477" s="34" t="n">
        <f aca="false">AVERAGE(C1477:E1477)</f>
        <v>-134.686666666667</v>
      </c>
      <c r="M1477" s="34" t="n">
        <f aca="false">AVERAGE(C1477:J1477)</f>
        <v>-68.9775</v>
      </c>
    </row>
    <row r="1478" customFormat="false" ht="15" hidden="false" customHeight="true" outlineLevel="0" collapsed="false">
      <c r="A1478" s="34" t="s">
        <v>1675</v>
      </c>
      <c r="B1478" s="34" t="n">
        <v>113.79</v>
      </c>
      <c r="C1478" s="34" t="n">
        <v>66.67</v>
      </c>
      <c r="D1478" s="34" t="n">
        <v>101.5</v>
      </c>
      <c r="E1478" s="34" t="n">
        <v>12.35</v>
      </c>
      <c r="F1478" s="34" t="n">
        <v>48.07</v>
      </c>
      <c r="G1478" s="34" t="n">
        <v>83.01</v>
      </c>
      <c r="H1478" s="34" t="n">
        <v>97.08</v>
      </c>
      <c r="I1478" s="34"/>
      <c r="J1478" s="34"/>
      <c r="K1478" s="34" t="n">
        <v>109.63</v>
      </c>
      <c r="L1478" s="34" t="n">
        <f aca="false">AVERAGE(C1478:E1478)</f>
        <v>60.1733333333333</v>
      </c>
      <c r="M1478" s="34" t="n">
        <f aca="false">AVERAGE(C1478:J1478)</f>
        <v>68.1133333333333</v>
      </c>
    </row>
    <row r="1479" customFormat="false" ht="15" hidden="false" customHeight="true" outlineLevel="0" collapsed="false">
      <c r="A1479" s="34" t="s">
        <v>508</v>
      </c>
      <c r="B1479" s="34" t="n">
        <v>113.43</v>
      </c>
      <c r="C1479" s="34" t="n">
        <v>66.67</v>
      </c>
      <c r="D1479" s="34" t="n">
        <v>83.99</v>
      </c>
      <c r="E1479" s="34" t="n">
        <v>103.76</v>
      </c>
      <c r="F1479" s="34" t="n">
        <v>47.04</v>
      </c>
      <c r="G1479" s="34" t="n">
        <v>60.77</v>
      </c>
      <c r="H1479" s="34" t="n">
        <v>87.8</v>
      </c>
      <c r="I1479" s="34" t="n">
        <v>88</v>
      </c>
      <c r="J1479" s="34" t="n">
        <v>92.91</v>
      </c>
      <c r="K1479" s="34" t="n">
        <v>107.62</v>
      </c>
      <c r="L1479" s="34" t="n">
        <f aca="false">AVERAGE(C1479:E1479)</f>
        <v>84.8066666666667</v>
      </c>
      <c r="M1479" s="34" t="n">
        <f aca="false">AVERAGE(C1479:J1479)</f>
        <v>78.8675</v>
      </c>
    </row>
    <row r="1480" customFormat="false" ht="15" hidden="false" customHeight="true" outlineLevel="0" collapsed="false">
      <c r="A1480" s="34" t="s">
        <v>1676</v>
      </c>
      <c r="B1480" s="34" t="n">
        <v>113.39</v>
      </c>
      <c r="C1480" s="34" t="n">
        <v>66.67</v>
      </c>
      <c r="D1480" s="34" t="n">
        <v>92.38</v>
      </c>
      <c r="E1480" s="34" t="n">
        <v>22.78</v>
      </c>
      <c r="F1480" s="34" t="n">
        <v>49.13</v>
      </c>
      <c r="G1480" s="34" t="n">
        <v>82.33</v>
      </c>
      <c r="H1480" s="34"/>
      <c r="I1480" s="34"/>
      <c r="J1480" s="34"/>
      <c r="K1480" s="34" t="n">
        <v>109.73</v>
      </c>
      <c r="L1480" s="34" t="n">
        <f aca="false">AVERAGE(C1480:E1480)</f>
        <v>60.61</v>
      </c>
      <c r="M1480" s="34" t="n">
        <f aca="false">AVERAGE(C1480:J1480)</f>
        <v>62.658</v>
      </c>
    </row>
    <row r="1481" customFormat="false" ht="15" hidden="false" customHeight="true" outlineLevel="0" collapsed="false">
      <c r="A1481" s="34" t="s">
        <v>1677</v>
      </c>
      <c r="B1481" s="34" t="n">
        <v>113.14</v>
      </c>
      <c r="C1481" s="34" t="n">
        <v>-66.67</v>
      </c>
      <c r="D1481" s="34" t="n">
        <v>-112.37</v>
      </c>
      <c r="E1481" s="34" t="n">
        <v>-113.33</v>
      </c>
      <c r="F1481" s="34" t="n">
        <v>-128.55</v>
      </c>
      <c r="G1481" s="34" t="n">
        <v>-73.75</v>
      </c>
      <c r="H1481" s="34" t="n">
        <v>-26.49</v>
      </c>
      <c r="I1481" s="34" t="n">
        <v>1.55</v>
      </c>
      <c r="J1481" s="34" t="n">
        <v>-3.06</v>
      </c>
      <c r="K1481" s="34" t="n">
        <v>123.59</v>
      </c>
      <c r="L1481" s="34" t="n">
        <f aca="false">AVERAGE(C1481:E1481)</f>
        <v>-97.4566666666667</v>
      </c>
      <c r="M1481" s="34" t="n">
        <f aca="false">AVERAGE(C1481:J1481)</f>
        <v>-65.33375</v>
      </c>
    </row>
    <row r="1482" customFormat="false" ht="15" hidden="false" customHeight="true" outlineLevel="0" collapsed="false">
      <c r="A1482" s="34" t="s">
        <v>1678</v>
      </c>
      <c r="B1482" s="34" t="n">
        <v>112.93</v>
      </c>
      <c r="C1482" s="34" t="n">
        <v>-66.67</v>
      </c>
      <c r="D1482" s="34" t="n">
        <v>-112.42</v>
      </c>
      <c r="E1482" s="34" t="n">
        <v>-2.41</v>
      </c>
      <c r="F1482" s="34" t="n">
        <v>-65.13</v>
      </c>
      <c r="G1482" s="34" t="n">
        <v>-114.39</v>
      </c>
      <c r="H1482" s="34" t="n">
        <v>-148.55</v>
      </c>
      <c r="I1482" s="34" t="n">
        <v>-122.23</v>
      </c>
      <c r="J1482" s="34" t="n">
        <v>-84.76</v>
      </c>
      <c r="K1482" s="34" t="n">
        <v>114.99</v>
      </c>
      <c r="L1482" s="34" t="n">
        <f aca="false">AVERAGE(C1482:E1482)</f>
        <v>-60.5</v>
      </c>
      <c r="M1482" s="34" t="n">
        <f aca="false">AVERAGE(C1482:J1482)</f>
        <v>-89.57</v>
      </c>
    </row>
    <row r="1483" customFormat="false" ht="15" hidden="false" customHeight="true" outlineLevel="0" collapsed="false">
      <c r="A1483" s="34" t="s">
        <v>1679</v>
      </c>
      <c r="B1483" s="34" t="n">
        <v>112.45</v>
      </c>
      <c r="C1483" s="34" t="n">
        <v>66.67</v>
      </c>
      <c r="D1483" s="34" t="n">
        <v>101.13</v>
      </c>
      <c r="E1483" s="34" t="n">
        <v>36.64</v>
      </c>
      <c r="F1483" s="34" t="n">
        <v>50.54</v>
      </c>
      <c r="G1483" s="34" t="n">
        <v>85.62</v>
      </c>
      <c r="H1483" s="34" t="n">
        <v>93.75</v>
      </c>
      <c r="I1483" s="34" t="n">
        <v>109.82</v>
      </c>
      <c r="J1483" s="34" t="n">
        <v>127.34</v>
      </c>
      <c r="K1483" s="34" t="n">
        <v>114.4</v>
      </c>
      <c r="L1483" s="34" t="n">
        <f aca="false">AVERAGE(C1483:E1483)</f>
        <v>68.1466666666667</v>
      </c>
      <c r="M1483" s="34" t="n">
        <f aca="false">AVERAGE(C1483:J1483)</f>
        <v>83.93875</v>
      </c>
    </row>
    <row r="1484" customFormat="false" ht="15" hidden="false" customHeight="true" outlineLevel="0" collapsed="false">
      <c r="A1484" s="34" t="s">
        <v>1680</v>
      </c>
      <c r="B1484" s="34" t="n">
        <v>112.44</v>
      </c>
      <c r="C1484" s="34" t="n">
        <v>-66.67</v>
      </c>
      <c r="D1484" s="34" t="n">
        <v>4.99</v>
      </c>
      <c r="E1484" s="34" t="n">
        <v>5.88</v>
      </c>
      <c r="F1484" s="34" t="n">
        <v>-80.85</v>
      </c>
      <c r="G1484" s="34" t="n">
        <v>-117.57</v>
      </c>
      <c r="H1484" s="34" t="n">
        <v>-147.7</v>
      </c>
      <c r="I1484" s="34" t="n">
        <v>-114.79</v>
      </c>
      <c r="J1484" s="34" t="n">
        <v>-113.55</v>
      </c>
      <c r="K1484" s="34" t="n">
        <v>118.28</v>
      </c>
      <c r="L1484" s="34" t="n">
        <f aca="false">AVERAGE(C1484:E1484)</f>
        <v>-18.6</v>
      </c>
      <c r="M1484" s="34" t="n">
        <f aca="false">AVERAGE(C1484:J1484)</f>
        <v>-78.7825</v>
      </c>
    </row>
    <row r="1485" customFormat="false" ht="15" hidden="false" customHeight="true" outlineLevel="0" collapsed="false">
      <c r="A1485" s="34" t="s">
        <v>1681</v>
      </c>
      <c r="B1485" s="34" t="n">
        <v>112.29</v>
      </c>
      <c r="C1485" s="34" t="n">
        <v>66.67</v>
      </c>
      <c r="D1485" s="34" t="n">
        <v>133.33</v>
      </c>
      <c r="E1485" s="34" t="n">
        <v>297.83</v>
      </c>
      <c r="F1485" s="34" t="n">
        <v>51</v>
      </c>
      <c r="G1485" s="34" t="n">
        <v>47.42</v>
      </c>
      <c r="H1485" s="34" t="n">
        <v>68.16</v>
      </c>
      <c r="I1485" s="34" t="n">
        <v>87.31</v>
      </c>
      <c r="J1485" s="34" t="n">
        <v>59.17</v>
      </c>
      <c r="K1485" s="34" t="n">
        <v>116.18</v>
      </c>
      <c r="L1485" s="34" t="n">
        <f aca="false">AVERAGE(C1485:E1485)</f>
        <v>165.943333333333</v>
      </c>
      <c r="M1485" s="34" t="n">
        <f aca="false">AVERAGE(C1485:J1485)</f>
        <v>101.36125</v>
      </c>
    </row>
    <row r="1486" customFormat="false" ht="15" hidden="false" customHeight="true" outlineLevel="0" collapsed="false">
      <c r="A1486" s="34" t="s">
        <v>1682</v>
      </c>
      <c r="B1486" s="34" t="n">
        <v>112.04</v>
      </c>
      <c r="C1486" s="34" t="n">
        <v>66.67</v>
      </c>
      <c r="D1486" s="34" t="n">
        <v>82.49</v>
      </c>
      <c r="E1486" s="34" t="n">
        <v>140.95</v>
      </c>
      <c r="F1486" s="34" t="n">
        <v>174.9</v>
      </c>
      <c r="G1486" s="34" t="n">
        <v>152.41</v>
      </c>
      <c r="H1486" s="34" t="n">
        <v>162.42</v>
      </c>
      <c r="I1486" s="34" t="n">
        <v>191.56</v>
      </c>
      <c r="J1486" s="34" t="n">
        <v>187.82</v>
      </c>
      <c r="K1486" s="34" t="n">
        <v>98.26</v>
      </c>
      <c r="L1486" s="34" t="n">
        <f aca="false">AVERAGE(C1486:E1486)</f>
        <v>96.7033333333333</v>
      </c>
      <c r="M1486" s="34" t="n">
        <f aca="false">AVERAGE(C1486:J1486)</f>
        <v>144.9025</v>
      </c>
    </row>
    <row r="1487" customFormat="false" ht="15" hidden="false" customHeight="true" outlineLevel="0" collapsed="false">
      <c r="A1487" s="34" t="s">
        <v>1683</v>
      </c>
      <c r="B1487" s="34" t="n">
        <v>111.95</v>
      </c>
      <c r="C1487" s="34" t="n">
        <v>66.67</v>
      </c>
      <c r="D1487" s="34" t="n">
        <v>119.85</v>
      </c>
      <c r="E1487" s="34" t="n">
        <v>189.92</v>
      </c>
      <c r="F1487" s="34" t="n">
        <v>276.47</v>
      </c>
      <c r="G1487" s="34" t="n">
        <v>71.17</v>
      </c>
      <c r="H1487" s="34" t="n">
        <v>96.06</v>
      </c>
      <c r="I1487" s="34" t="n">
        <v>114.39</v>
      </c>
      <c r="J1487" s="34" t="n">
        <v>70.09</v>
      </c>
      <c r="K1487" s="34" t="n">
        <v>99.14</v>
      </c>
      <c r="L1487" s="34" t="n">
        <f aca="false">AVERAGE(C1487:E1487)</f>
        <v>125.48</v>
      </c>
      <c r="M1487" s="34" t="n">
        <f aca="false">AVERAGE(C1487:J1487)</f>
        <v>125.5775</v>
      </c>
    </row>
    <row r="1488" customFormat="false" ht="15" hidden="false" customHeight="true" outlineLevel="0" collapsed="false">
      <c r="A1488" s="34" t="s">
        <v>1684</v>
      </c>
      <c r="B1488" s="34" t="n">
        <v>111.85</v>
      </c>
      <c r="C1488" s="34" t="n">
        <v>66.67</v>
      </c>
      <c r="D1488" s="34" t="n">
        <v>92.9</v>
      </c>
      <c r="E1488" s="34" t="n">
        <v>-5.23</v>
      </c>
      <c r="F1488" s="34" t="n">
        <v>30.26</v>
      </c>
      <c r="G1488" s="34" t="n">
        <v>77.33</v>
      </c>
      <c r="H1488" s="34" t="n">
        <v>90.06</v>
      </c>
      <c r="I1488" s="34" t="n">
        <v>106.27</v>
      </c>
      <c r="J1488" s="34" t="n">
        <v>123.89</v>
      </c>
      <c r="K1488" s="34" t="n">
        <v>108.76</v>
      </c>
      <c r="L1488" s="34" t="n">
        <f aca="false">AVERAGE(C1488:E1488)</f>
        <v>51.4466666666667</v>
      </c>
      <c r="M1488" s="34" t="n">
        <f aca="false">AVERAGE(C1488:J1488)</f>
        <v>72.76875</v>
      </c>
    </row>
    <row r="1489" customFormat="false" ht="15" hidden="false" customHeight="true" outlineLevel="0" collapsed="false">
      <c r="A1489" s="34" t="s">
        <v>1685</v>
      </c>
      <c r="B1489" s="34" t="n">
        <v>111.4</v>
      </c>
      <c r="C1489" s="34" t="n">
        <v>-66.67</v>
      </c>
      <c r="D1489" s="34" t="n">
        <v>-133.33</v>
      </c>
      <c r="E1489" s="34" t="n">
        <v>-50.64</v>
      </c>
      <c r="F1489" s="34" t="n">
        <v>-95.86</v>
      </c>
      <c r="G1489" s="34" t="n">
        <v>-147.52</v>
      </c>
      <c r="H1489" s="34" t="n">
        <v>-69.22</v>
      </c>
      <c r="I1489" s="34" t="n">
        <v>-21.89</v>
      </c>
      <c r="J1489" s="34" t="n">
        <v>-25.59</v>
      </c>
      <c r="K1489" s="34" t="n">
        <v>118.51</v>
      </c>
      <c r="L1489" s="34" t="n">
        <f aca="false">AVERAGE(C1489:E1489)</f>
        <v>-83.5466666666667</v>
      </c>
      <c r="M1489" s="34" t="n">
        <f aca="false">AVERAGE(C1489:J1489)</f>
        <v>-76.34</v>
      </c>
    </row>
    <row r="1490" customFormat="false" ht="15" hidden="false" customHeight="true" outlineLevel="0" collapsed="false">
      <c r="A1490" s="34" t="s">
        <v>1686</v>
      </c>
      <c r="B1490" s="34" t="n">
        <v>111.4</v>
      </c>
      <c r="C1490" s="34" t="n">
        <v>-66.67</v>
      </c>
      <c r="D1490" s="34" t="n">
        <v>51.51</v>
      </c>
      <c r="E1490" s="34" t="n">
        <v>122.85</v>
      </c>
      <c r="F1490" s="34" t="n">
        <v>-12.47</v>
      </c>
      <c r="G1490" s="34" t="n">
        <v>-41.25</v>
      </c>
      <c r="H1490" s="34" t="n">
        <v>17.59</v>
      </c>
      <c r="I1490" s="34" t="n">
        <v>48.66</v>
      </c>
      <c r="J1490" s="34" t="n">
        <v>61.76</v>
      </c>
      <c r="K1490" s="34" t="n">
        <v>114.2</v>
      </c>
      <c r="L1490" s="34" t="n">
        <f aca="false">AVERAGE(C1490:E1490)</f>
        <v>35.8966666666667</v>
      </c>
      <c r="M1490" s="34" t="n">
        <f aca="false">AVERAGE(C1490:J1490)</f>
        <v>22.7475</v>
      </c>
    </row>
    <row r="1491" customFormat="false" ht="15" hidden="false" customHeight="true" outlineLevel="0" collapsed="false">
      <c r="A1491" s="34" t="s">
        <v>1687</v>
      </c>
      <c r="B1491" s="34" t="n">
        <v>111.3</v>
      </c>
      <c r="C1491" s="34" t="n">
        <v>66.67</v>
      </c>
      <c r="D1491" s="34" t="n">
        <v>64.79</v>
      </c>
      <c r="E1491" s="34" t="n">
        <v>5.71</v>
      </c>
      <c r="F1491" s="34" t="n">
        <v>33.24</v>
      </c>
      <c r="G1491" s="34" t="n">
        <v>77.38</v>
      </c>
      <c r="H1491" s="34" t="n">
        <v>90.65</v>
      </c>
      <c r="I1491" s="34" t="n">
        <v>106.9</v>
      </c>
      <c r="J1491" s="34" t="n">
        <v>124.67</v>
      </c>
      <c r="K1491" s="34" t="n">
        <v>113.28</v>
      </c>
      <c r="L1491" s="34" t="n">
        <f aca="false">AVERAGE(C1491:E1491)</f>
        <v>45.7233333333333</v>
      </c>
      <c r="M1491" s="34" t="n">
        <f aca="false">AVERAGE(C1491:J1491)</f>
        <v>71.25125</v>
      </c>
    </row>
    <row r="1492" customFormat="false" ht="15" hidden="false" customHeight="true" outlineLevel="0" collapsed="false">
      <c r="A1492" s="34" t="s">
        <v>1688</v>
      </c>
      <c r="B1492" s="34" t="n">
        <v>111.25</v>
      </c>
      <c r="C1492" s="34" t="n">
        <v>66.67</v>
      </c>
      <c r="D1492" s="34" t="n">
        <v>54.19</v>
      </c>
      <c r="E1492" s="34" t="n">
        <v>-3.65</v>
      </c>
      <c r="F1492" s="34" t="n">
        <v>30.14</v>
      </c>
      <c r="G1492" s="34" t="n">
        <v>77.68</v>
      </c>
      <c r="H1492" s="34" t="n">
        <v>89.8</v>
      </c>
      <c r="I1492" s="34" t="n">
        <v>106.04</v>
      </c>
      <c r="J1492" s="34" t="n">
        <v>123.89</v>
      </c>
      <c r="K1492" s="34" t="n">
        <v>112.51</v>
      </c>
      <c r="L1492" s="34" t="n">
        <f aca="false">AVERAGE(C1492:E1492)</f>
        <v>39.07</v>
      </c>
      <c r="M1492" s="34" t="n">
        <f aca="false">AVERAGE(C1492:J1492)</f>
        <v>68.095</v>
      </c>
    </row>
    <row r="1493" customFormat="false" ht="15" hidden="false" customHeight="true" outlineLevel="0" collapsed="false">
      <c r="A1493" s="34" t="s">
        <v>1689</v>
      </c>
      <c r="B1493" s="34" t="n">
        <v>110.74</v>
      </c>
      <c r="C1493" s="34" t="n">
        <v>-66.67</v>
      </c>
      <c r="D1493" s="34" t="n">
        <v>-92.05</v>
      </c>
      <c r="E1493" s="34" t="n">
        <v>17.25</v>
      </c>
      <c r="F1493" s="34" t="n">
        <v>-61.11</v>
      </c>
      <c r="G1493" s="34" t="n">
        <v>-50.28</v>
      </c>
      <c r="H1493" s="34" t="n">
        <v>-16.12</v>
      </c>
      <c r="I1493" s="34" t="n">
        <v>28.82</v>
      </c>
      <c r="J1493" s="34" t="n">
        <v>42.06</v>
      </c>
      <c r="K1493" s="34" t="n">
        <v>119.87</v>
      </c>
      <c r="L1493" s="34" t="n">
        <f aca="false">AVERAGE(C1493:E1493)</f>
        <v>-47.1566666666667</v>
      </c>
      <c r="M1493" s="34" t="n">
        <f aca="false">AVERAGE(C1493:J1493)</f>
        <v>-24.7625</v>
      </c>
    </row>
    <row r="1494" customFormat="false" ht="15" hidden="false" customHeight="true" outlineLevel="0" collapsed="false">
      <c r="A1494" s="34" t="s">
        <v>1690</v>
      </c>
      <c r="B1494" s="34" t="n">
        <v>110.54</v>
      </c>
      <c r="C1494" s="34" t="n">
        <v>66.67</v>
      </c>
      <c r="D1494" s="34" t="n">
        <v>71.59</v>
      </c>
      <c r="E1494" s="34" t="n">
        <v>19</v>
      </c>
      <c r="F1494" s="34" t="n">
        <v>38.74</v>
      </c>
      <c r="G1494" s="34" t="n">
        <v>78.22</v>
      </c>
      <c r="H1494" s="34" t="n">
        <v>89.93</v>
      </c>
      <c r="I1494" s="34" t="n">
        <v>106.1</v>
      </c>
      <c r="J1494" s="34" t="n">
        <v>123.69</v>
      </c>
      <c r="K1494" s="34" t="n">
        <v>111.3</v>
      </c>
      <c r="L1494" s="34" t="n">
        <f aca="false">AVERAGE(C1494:E1494)</f>
        <v>52.42</v>
      </c>
      <c r="M1494" s="34" t="n">
        <f aca="false">AVERAGE(C1494:J1494)</f>
        <v>74.2425</v>
      </c>
    </row>
    <row r="1495" customFormat="false" ht="15" hidden="false" customHeight="true" outlineLevel="0" collapsed="false">
      <c r="A1495" s="34" t="s">
        <v>1691</v>
      </c>
      <c r="B1495" s="34" t="n">
        <v>110.52</v>
      </c>
      <c r="C1495" s="34" t="n">
        <v>-66.67</v>
      </c>
      <c r="D1495" s="34" t="n">
        <v>62.71</v>
      </c>
      <c r="E1495" s="34" t="n">
        <v>113.95</v>
      </c>
      <c r="F1495" s="34" t="n">
        <v>132.36</v>
      </c>
      <c r="G1495" s="34" t="n">
        <v>143.8</v>
      </c>
      <c r="H1495" s="34" t="n">
        <v>126.64</v>
      </c>
      <c r="I1495" s="34" t="n">
        <v>129.05</v>
      </c>
      <c r="J1495" s="34" t="n">
        <v>150.33</v>
      </c>
      <c r="K1495" s="34" t="n">
        <v>101.37</v>
      </c>
      <c r="L1495" s="34" t="n">
        <f aca="false">AVERAGE(C1495:E1495)</f>
        <v>36.6633333333333</v>
      </c>
      <c r="M1495" s="34" t="n">
        <f aca="false">AVERAGE(C1495:J1495)</f>
        <v>99.02125</v>
      </c>
    </row>
    <row r="1496" customFormat="false" ht="15" hidden="false" customHeight="true" outlineLevel="0" collapsed="false">
      <c r="A1496" s="34" t="s">
        <v>1692</v>
      </c>
      <c r="B1496" s="34" t="n">
        <v>110.38</v>
      </c>
      <c r="C1496" s="34" t="n">
        <v>-66.67</v>
      </c>
      <c r="D1496" s="34" t="n">
        <v>17.87</v>
      </c>
      <c r="E1496" s="34" t="n">
        <v>87.58</v>
      </c>
      <c r="F1496" s="34" t="n">
        <v>158.49</v>
      </c>
      <c r="G1496" s="34" t="n">
        <v>256.93</v>
      </c>
      <c r="H1496" s="34" t="n">
        <v>328.06</v>
      </c>
      <c r="I1496" s="34" t="n">
        <v>349.68</v>
      </c>
      <c r="J1496" s="34" t="n">
        <v>339.95</v>
      </c>
      <c r="K1496" s="34" t="n">
        <v>101.28</v>
      </c>
      <c r="L1496" s="34" t="n">
        <f aca="false">AVERAGE(C1496:E1496)</f>
        <v>12.9266666666667</v>
      </c>
      <c r="M1496" s="34" t="n">
        <f aca="false">AVERAGE(C1496:J1496)</f>
        <v>183.98625</v>
      </c>
    </row>
    <row r="1497" customFormat="false" ht="15" hidden="false" customHeight="true" outlineLevel="0" collapsed="false">
      <c r="A1497" s="34" t="s">
        <v>1693</v>
      </c>
      <c r="B1497" s="34" t="n">
        <v>110.28</v>
      </c>
      <c r="C1497" s="34" t="n">
        <v>66.67</v>
      </c>
      <c r="D1497" s="34" t="n">
        <v>81.74</v>
      </c>
      <c r="E1497" s="34" t="n">
        <v>8.72</v>
      </c>
      <c r="F1497" s="34" t="n">
        <v>35.8</v>
      </c>
      <c r="G1497" s="34" t="n">
        <v>78.44</v>
      </c>
      <c r="H1497" s="34" t="n">
        <v>90.02</v>
      </c>
      <c r="I1497" s="34" t="n">
        <v>106.29</v>
      </c>
      <c r="J1497" s="34" t="n">
        <v>123.93</v>
      </c>
      <c r="K1497" s="34" t="n">
        <v>110.96</v>
      </c>
      <c r="L1497" s="34" t="n">
        <f aca="false">AVERAGE(C1497:E1497)</f>
        <v>52.3766666666667</v>
      </c>
      <c r="M1497" s="34" t="n">
        <f aca="false">AVERAGE(C1497:J1497)</f>
        <v>73.95125</v>
      </c>
    </row>
    <row r="1498" customFormat="false" ht="15" hidden="false" customHeight="true" outlineLevel="0" collapsed="false">
      <c r="A1498" s="34" t="s">
        <v>1694</v>
      </c>
      <c r="B1498" s="34" t="n">
        <v>110.2</v>
      </c>
      <c r="C1498" s="34" t="n">
        <v>-66.67</v>
      </c>
      <c r="D1498" s="34" t="n">
        <v>-79.67</v>
      </c>
      <c r="E1498" s="34" t="n">
        <v>-37.02</v>
      </c>
      <c r="F1498" s="34" t="n">
        <v>-93.97</v>
      </c>
      <c r="G1498" s="34" t="n">
        <v>-149.22</v>
      </c>
      <c r="H1498" s="34" t="n">
        <v>-25.77</v>
      </c>
      <c r="I1498" s="34" t="n">
        <v>12.96</v>
      </c>
      <c r="J1498" s="34" t="n">
        <v>23.63</v>
      </c>
      <c r="K1498" s="34" t="n">
        <v>119.72</v>
      </c>
      <c r="L1498" s="34" t="n">
        <f aca="false">AVERAGE(C1498:E1498)</f>
        <v>-61.12</v>
      </c>
      <c r="M1498" s="34" t="n">
        <f aca="false">AVERAGE(C1498:J1498)</f>
        <v>-51.96625</v>
      </c>
    </row>
    <row r="1499" customFormat="false" ht="15" hidden="false" customHeight="true" outlineLevel="0" collapsed="false">
      <c r="A1499" s="34" t="s">
        <v>1695</v>
      </c>
      <c r="B1499" s="34" t="n">
        <v>110.1</v>
      </c>
      <c r="C1499" s="34" t="n">
        <v>-66.67</v>
      </c>
      <c r="D1499" s="34" t="n">
        <v>-39.26</v>
      </c>
      <c r="E1499" s="34" t="n">
        <v>18.06</v>
      </c>
      <c r="F1499" s="34" t="n">
        <v>21.43</v>
      </c>
      <c r="G1499" s="34" t="n">
        <v>61.53</v>
      </c>
      <c r="H1499" s="34" t="n">
        <v>84.6</v>
      </c>
      <c r="I1499" s="34" t="n">
        <v>101.11</v>
      </c>
      <c r="J1499" s="34" t="n">
        <v>105.64</v>
      </c>
      <c r="K1499" s="34" t="n">
        <v>108.15</v>
      </c>
      <c r="L1499" s="34" t="n">
        <f aca="false">AVERAGE(C1499:E1499)</f>
        <v>-29.29</v>
      </c>
      <c r="M1499" s="34" t="n">
        <f aca="false">AVERAGE(C1499:J1499)</f>
        <v>35.805</v>
      </c>
    </row>
    <row r="1500" customFormat="false" ht="15" hidden="false" customHeight="true" outlineLevel="0" collapsed="false">
      <c r="A1500" s="34" t="s">
        <v>1696</v>
      </c>
      <c r="B1500" s="34" t="n">
        <v>110</v>
      </c>
      <c r="C1500" s="34" t="n">
        <v>66.67</v>
      </c>
      <c r="D1500" s="34" t="n">
        <v>97.34</v>
      </c>
      <c r="E1500" s="34" t="n">
        <v>77.94</v>
      </c>
      <c r="F1500" s="34" t="n">
        <v>-54.52</v>
      </c>
      <c r="G1500" s="34" t="n">
        <v>-109.8</v>
      </c>
      <c r="H1500" s="34" t="n">
        <v>-130.43</v>
      </c>
      <c r="I1500" s="34" t="n">
        <v>-136.92</v>
      </c>
      <c r="J1500" s="34" t="n">
        <v>-128.59</v>
      </c>
      <c r="K1500" s="34" t="n">
        <v>112.28</v>
      </c>
      <c r="L1500" s="34" t="n">
        <f aca="false">AVERAGE(C1500:E1500)</f>
        <v>80.65</v>
      </c>
      <c r="M1500" s="34" t="n">
        <f aca="false">AVERAGE(C1500:J1500)</f>
        <v>-39.78875</v>
      </c>
    </row>
    <row r="1501" customFormat="false" ht="15" hidden="false" customHeight="true" outlineLevel="0" collapsed="false">
      <c r="A1501" s="34" t="s">
        <v>1697</v>
      </c>
      <c r="B1501" s="34" t="n">
        <v>109.93</v>
      </c>
      <c r="C1501" s="34" t="n">
        <v>66.67</v>
      </c>
      <c r="D1501" s="34" t="n">
        <v>83.52</v>
      </c>
      <c r="E1501" s="34" t="n">
        <v>18.77</v>
      </c>
      <c r="F1501" s="34" t="n">
        <v>46.14</v>
      </c>
      <c r="G1501" s="34" t="n">
        <v>81.62</v>
      </c>
      <c r="H1501" s="34" t="n">
        <v>91.8</v>
      </c>
      <c r="I1501" s="34" t="n">
        <v>107.87</v>
      </c>
      <c r="J1501" s="34" t="n">
        <v>125.66</v>
      </c>
      <c r="K1501" s="34" t="n">
        <v>110.18</v>
      </c>
      <c r="L1501" s="34" t="n">
        <f aca="false">AVERAGE(C1501:E1501)</f>
        <v>56.32</v>
      </c>
      <c r="M1501" s="34" t="n">
        <f aca="false">AVERAGE(C1501:J1501)</f>
        <v>77.75625</v>
      </c>
    </row>
    <row r="1502" customFormat="false" ht="15" hidden="false" customHeight="true" outlineLevel="0" collapsed="false">
      <c r="A1502" s="34" t="s">
        <v>104</v>
      </c>
      <c r="B1502" s="34" t="n">
        <v>109.93</v>
      </c>
      <c r="C1502" s="34" t="n">
        <v>-66.67</v>
      </c>
      <c r="D1502" s="34" t="n">
        <v>-86.11</v>
      </c>
      <c r="E1502" s="34" t="n">
        <v>31.34</v>
      </c>
      <c r="F1502" s="34" t="n">
        <v>-1.65</v>
      </c>
      <c r="G1502" s="34" t="n">
        <v>-31.83</v>
      </c>
      <c r="H1502" s="34" t="n">
        <v>27.91</v>
      </c>
      <c r="I1502" s="34" t="n">
        <v>51.12</v>
      </c>
      <c r="J1502" s="34" t="n">
        <v>64.87</v>
      </c>
      <c r="K1502" s="34" t="n">
        <v>107.9</v>
      </c>
      <c r="L1502" s="34" t="n">
        <f aca="false">AVERAGE(C1502:E1502)</f>
        <v>-40.48</v>
      </c>
      <c r="M1502" s="34" t="n">
        <f aca="false">AVERAGE(C1502:J1502)</f>
        <v>-1.3775</v>
      </c>
    </row>
    <row r="1503" customFormat="false" ht="15" hidden="false" customHeight="true" outlineLevel="0" collapsed="false">
      <c r="A1503" s="34" t="s">
        <v>1698</v>
      </c>
      <c r="B1503" s="34" t="n">
        <v>109.5</v>
      </c>
      <c r="C1503" s="34" t="n">
        <v>-66.67</v>
      </c>
      <c r="D1503" s="34" t="n">
        <v>-45.58</v>
      </c>
      <c r="E1503" s="34" t="n">
        <v>-66.64</v>
      </c>
      <c r="F1503" s="34" t="n">
        <v>-148.74</v>
      </c>
      <c r="G1503" s="34" t="n">
        <v>-138.96</v>
      </c>
      <c r="H1503" s="34" t="n">
        <v>-83.58</v>
      </c>
      <c r="I1503" s="34" t="n">
        <v>14.51</v>
      </c>
      <c r="J1503" s="34" t="n">
        <v>36.04</v>
      </c>
      <c r="K1503" s="34" t="n">
        <v>110.69</v>
      </c>
      <c r="L1503" s="34" t="n">
        <f aca="false">AVERAGE(C1503:E1503)</f>
        <v>-59.63</v>
      </c>
      <c r="M1503" s="34" t="n">
        <f aca="false">AVERAGE(C1503:J1503)</f>
        <v>-62.4525</v>
      </c>
    </row>
    <row r="1504" customFormat="false" ht="15" hidden="false" customHeight="true" outlineLevel="0" collapsed="false">
      <c r="A1504" s="34" t="s">
        <v>1699</v>
      </c>
      <c r="B1504" s="34" t="n">
        <v>109</v>
      </c>
      <c r="C1504" s="34" t="n">
        <v>66.67</v>
      </c>
      <c r="D1504" s="34" t="n">
        <v>47.79</v>
      </c>
      <c r="E1504" s="34" t="n">
        <v>8.79</v>
      </c>
      <c r="F1504" s="34" t="n">
        <v>-88.96</v>
      </c>
      <c r="G1504" s="34" t="n">
        <v>-148.23</v>
      </c>
      <c r="H1504" s="34" t="n">
        <v>-117.32</v>
      </c>
      <c r="I1504" s="34" t="n">
        <v>-68.14</v>
      </c>
      <c r="J1504" s="34" t="n">
        <v>-83.87</v>
      </c>
      <c r="K1504" s="34" t="n">
        <v>115.86</v>
      </c>
      <c r="L1504" s="34" t="n">
        <f aca="false">AVERAGE(C1504:E1504)</f>
        <v>41.0833333333333</v>
      </c>
      <c r="M1504" s="34" t="n">
        <f aca="false">AVERAGE(C1504:J1504)</f>
        <v>-47.90875</v>
      </c>
    </row>
    <row r="1505" customFormat="false" ht="15" hidden="false" customHeight="true" outlineLevel="0" collapsed="false">
      <c r="A1505" s="34" t="s">
        <v>1700</v>
      </c>
      <c r="B1505" s="34" t="n">
        <v>109</v>
      </c>
      <c r="C1505" s="34" t="n">
        <v>66.67</v>
      </c>
      <c r="D1505" s="34" t="n">
        <v>7.28</v>
      </c>
      <c r="E1505" s="34" t="n">
        <v>-60.86</v>
      </c>
      <c r="F1505" s="34" t="n">
        <v>-135.58</v>
      </c>
      <c r="G1505" s="34" t="n">
        <v>-154.16</v>
      </c>
      <c r="H1505" s="34" t="n">
        <v>6.23</v>
      </c>
      <c r="I1505" s="34" t="n">
        <v>41.04</v>
      </c>
      <c r="J1505" s="34" t="n">
        <v>55.83</v>
      </c>
      <c r="K1505" s="34" t="n">
        <v>109.29</v>
      </c>
      <c r="L1505" s="34" t="n">
        <f aca="false">AVERAGE(C1505:E1505)</f>
        <v>4.36333333333333</v>
      </c>
      <c r="M1505" s="34" t="n">
        <f aca="false">AVERAGE(C1505:J1505)</f>
        <v>-21.69375</v>
      </c>
    </row>
    <row r="1506" customFormat="false" ht="15" hidden="false" customHeight="true" outlineLevel="0" collapsed="false">
      <c r="A1506" s="34" t="s">
        <v>1701</v>
      </c>
      <c r="B1506" s="34" t="n">
        <v>108.12</v>
      </c>
      <c r="C1506" s="34" t="n">
        <v>-66.67</v>
      </c>
      <c r="D1506" s="34" t="n">
        <v>-111.59</v>
      </c>
      <c r="E1506" s="34" t="n">
        <v>-111.88</v>
      </c>
      <c r="F1506" s="34" t="n">
        <v>-110.23</v>
      </c>
      <c r="G1506" s="34" t="n">
        <v>-158.29</v>
      </c>
      <c r="H1506" s="34" t="n">
        <v>-161.37</v>
      </c>
      <c r="I1506" s="34" t="n">
        <v>-131.5</v>
      </c>
      <c r="J1506" s="34" t="n">
        <v>-116.89</v>
      </c>
      <c r="K1506" s="34" t="n">
        <v>117.46</v>
      </c>
      <c r="L1506" s="34" t="n">
        <f aca="false">AVERAGE(C1506:E1506)</f>
        <v>-96.7133333333333</v>
      </c>
      <c r="M1506" s="34" t="n">
        <f aca="false">AVERAGE(C1506:J1506)</f>
        <v>-121.0525</v>
      </c>
    </row>
    <row r="1507" customFormat="false" ht="15" hidden="false" customHeight="true" outlineLevel="0" collapsed="false">
      <c r="A1507" s="34" t="s">
        <v>1702</v>
      </c>
      <c r="B1507" s="34" t="n">
        <v>108</v>
      </c>
      <c r="C1507" s="34" t="n">
        <v>-66.67</v>
      </c>
      <c r="D1507" s="34" t="n">
        <v>-42.71</v>
      </c>
      <c r="E1507" s="34" t="n">
        <v>-33.75</v>
      </c>
      <c r="F1507" s="34" t="n">
        <v>-5.25</v>
      </c>
      <c r="G1507" s="34" t="n">
        <v>61.86</v>
      </c>
      <c r="H1507" s="34" t="n">
        <v>84.51</v>
      </c>
      <c r="I1507" s="34" t="n">
        <v>95.88</v>
      </c>
      <c r="J1507" s="34" t="n">
        <v>115.79</v>
      </c>
      <c r="K1507" s="34" t="n">
        <v>102.29</v>
      </c>
      <c r="L1507" s="34" t="n">
        <f aca="false">AVERAGE(C1507:E1507)</f>
        <v>-47.71</v>
      </c>
      <c r="M1507" s="34" t="n">
        <f aca="false">AVERAGE(C1507:J1507)</f>
        <v>26.2075</v>
      </c>
    </row>
    <row r="1508" customFormat="false" ht="15" hidden="false" customHeight="true" outlineLevel="0" collapsed="false">
      <c r="A1508" s="34" t="s">
        <v>1703</v>
      </c>
      <c r="B1508" s="34" t="n">
        <v>107.96</v>
      </c>
      <c r="C1508" s="34" t="n">
        <v>-66.67</v>
      </c>
      <c r="D1508" s="34" t="n">
        <v>1.19</v>
      </c>
      <c r="E1508" s="34" t="n">
        <v>46.07</v>
      </c>
      <c r="F1508" s="34" t="n">
        <v>-74.49</v>
      </c>
      <c r="G1508" s="34" t="n">
        <v>-144.02</v>
      </c>
      <c r="H1508" s="34" t="n">
        <v>-179.17</v>
      </c>
      <c r="I1508" s="34" t="n">
        <v>-189.54</v>
      </c>
      <c r="J1508" s="34" t="n">
        <v>-177.97</v>
      </c>
      <c r="K1508" s="34" t="n">
        <v>112.96</v>
      </c>
      <c r="L1508" s="34" t="n">
        <f aca="false">AVERAGE(C1508:E1508)</f>
        <v>-6.47</v>
      </c>
      <c r="M1508" s="34" t="n">
        <f aca="false">AVERAGE(C1508:J1508)</f>
        <v>-98.075</v>
      </c>
    </row>
    <row r="1509" customFormat="false" ht="15" hidden="false" customHeight="true" outlineLevel="0" collapsed="false">
      <c r="A1509" s="34" t="s">
        <v>1704</v>
      </c>
      <c r="B1509" s="34" t="n">
        <v>107.77</v>
      </c>
      <c r="C1509" s="34" t="n">
        <v>-66.67</v>
      </c>
      <c r="D1509" s="34" t="n">
        <v>-133.33</v>
      </c>
      <c r="E1509" s="34" t="n">
        <v>-134.07</v>
      </c>
      <c r="F1509" s="34" t="n">
        <v>9.96</v>
      </c>
      <c r="G1509" s="34" t="n">
        <v>-35.43</v>
      </c>
      <c r="H1509" s="34" t="n">
        <v>29.54</v>
      </c>
      <c r="I1509" s="34" t="n">
        <v>49.38</v>
      </c>
      <c r="J1509" s="34" t="n">
        <v>58.63</v>
      </c>
      <c r="K1509" s="34" t="n">
        <v>101.83</v>
      </c>
      <c r="L1509" s="34" t="n">
        <f aca="false">AVERAGE(C1509:E1509)</f>
        <v>-111.356666666667</v>
      </c>
      <c r="M1509" s="34" t="n">
        <f aca="false">AVERAGE(C1509:J1509)</f>
        <v>-27.74875</v>
      </c>
    </row>
    <row r="1510" customFormat="false" ht="15" hidden="false" customHeight="true" outlineLevel="0" collapsed="false">
      <c r="A1510" s="34" t="s">
        <v>1705</v>
      </c>
      <c r="B1510" s="34" t="n">
        <v>107.2</v>
      </c>
      <c r="C1510" s="34" t="n">
        <v>-66.67</v>
      </c>
      <c r="D1510" s="34" t="n">
        <v>-81.28</v>
      </c>
      <c r="E1510" s="34" t="n">
        <v>-3.19</v>
      </c>
      <c r="F1510" s="34" t="n">
        <v>-96.05</v>
      </c>
      <c r="G1510" s="34" t="n">
        <v>-168.52</v>
      </c>
      <c r="H1510" s="34" t="n">
        <v>-206.98</v>
      </c>
      <c r="I1510" s="34" t="n">
        <v>-187.75</v>
      </c>
      <c r="J1510" s="34" t="n">
        <v>-121.59</v>
      </c>
      <c r="K1510" s="34" t="n">
        <v>114.85</v>
      </c>
      <c r="L1510" s="34" t="n">
        <f aca="false">AVERAGE(C1510:E1510)</f>
        <v>-50.38</v>
      </c>
      <c r="M1510" s="34" t="n">
        <f aca="false">AVERAGE(C1510:J1510)</f>
        <v>-116.50375</v>
      </c>
    </row>
    <row r="1511" customFormat="false" ht="15" hidden="false" customHeight="true" outlineLevel="0" collapsed="false">
      <c r="A1511" s="34" t="s">
        <v>1706</v>
      </c>
      <c r="B1511" s="34" t="n">
        <v>107.16</v>
      </c>
      <c r="C1511" s="34" t="n">
        <v>-66.67</v>
      </c>
      <c r="D1511" s="34" t="n">
        <v>-79.31</v>
      </c>
      <c r="E1511" s="34" t="n">
        <v>-66.52</v>
      </c>
      <c r="F1511" s="34" t="n">
        <v>-110.4</v>
      </c>
      <c r="G1511" s="34" t="n">
        <v>-145.58</v>
      </c>
      <c r="H1511" s="34" t="n">
        <v>-120.98</v>
      </c>
      <c r="I1511" s="34" t="n">
        <v>-63.22</v>
      </c>
      <c r="J1511" s="34" t="n">
        <v>-66.31</v>
      </c>
      <c r="K1511" s="34" t="n">
        <v>114.74</v>
      </c>
      <c r="L1511" s="34" t="n">
        <f aca="false">AVERAGE(C1511:E1511)</f>
        <v>-70.8333333333333</v>
      </c>
      <c r="M1511" s="34" t="n">
        <f aca="false">AVERAGE(C1511:J1511)</f>
        <v>-89.87375</v>
      </c>
    </row>
    <row r="1512" customFormat="false" ht="15" hidden="false" customHeight="true" outlineLevel="0" collapsed="false">
      <c r="A1512" s="34" t="s">
        <v>1707</v>
      </c>
      <c r="B1512" s="34" t="n">
        <v>106.58</v>
      </c>
      <c r="C1512" s="34" t="n">
        <v>-66.67</v>
      </c>
      <c r="D1512" s="34" t="n">
        <v>-105.56</v>
      </c>
      <c r="E1512" s="34" t="n">
        <v>-143.59</v>
      </c>
      <c r="F1512" s="34" t="n">
        <v>-101.48</v>
      </c>
      <c r="G1512" s="34" t="n">
        <v>-145.81</v>
      </c>
      <c r="H1512" s="34" t="n">
        <v>-81.85</v>
      </c>
      <c r="I1512" s="34" t="n">
        <v>3.21</v>
      </c>
      <c r="J1512" s="34" t="n">
        <v>23.07</v>
      </c>
      <c r="K1512" s="34" t="n">
        <v>111.1</v>
      </c>
      <c r="L1512" s="34" t="n">
        <f aca="false">AVERAGE(C1512:E1512)</f>
        <v>-105.273333333333</v>
      </c>
      <c r="M1512" s="34" t="n">
        <f aca="false">AVERAGE(C1512:J1512)</f>
        <v>-77.335</v>
      </c>
    </row>
    <row r="1513" customFormat="false" ht="15" hidden="false" customHeight="true" outlineLevel="0" collapsed="false">
      <c r="A1513" s="34" t="s">
        <v>1708</v>
      </c>
      <c r="B1513" s="34" t="n">
        <v>106.02</v>
      </c>
      <c r="C1513" s="34" t="n">
        <v>-66.67</v>
      </c>
      <c r="D1513" s="34" t="n">
        <v>11.28</v>
      </c>
      <c r="E1513" s="34" t="n">
        <v>86.85</v>
      </c>
      <c r="F1513" s="34" t="n">
        <v>-50.32</v>
      </c>
      <c r="G1513" s="34" t="n">
        <v>-78.69</v>
      </c>
      <c r="H1513" s="34"/>
      <c r="I1513" s="34"/>
      <c r="J1513" s="34"/>
      <c r="K1513" s="34" t="n">
        <v>110.32</v>
      </c>
      <c r="L1513" s="34" t="n">
        <f aca="false">AVERAGE(C1513:E1513)</f>
        <v>10.4866666666667</v>
      </c>
      <c r="M1513" s="34" t="n">
        <f aca="false">AVERAGE(C1513:J1513)</f>
        <v>-19.51</v>
      </c>
    </row>
    <row r="1514" customFormat="false" ht="15" hidden="false" customHeight="true" outlineLevel="0" collapsed="false">
      <c r="A1514" s="34" t="s">
        <v>1709</v>
      </c>
      <c r="B1514" s="34" t="n">
        <v>105.7</v>
      </c>
      <c r="C1514" s="34" t="n">
        <v>-66.67</v>
      </c>
      <c r="D1514" s="34" t="n">
        <v>-133.33</v>
      </c>
      <c r="E1514" s="34" t="n">
        <v>-92.08</v>
      </c>
      <c r="F1514" s="34" t="n">
        <v>-171.94</v>
      </c>
      <c r="G1514" s="34" t="n">
        <v>-235.95</v>
      </c>
      <c r="H1514" s="34" t="n">
        <v>-29.54</v>
      </c>
      <c r="I1514" s="34" t="n">
        <v>1.85</v>
      </c>
      <c r="J1514" s="34" t="n">
        <v>-1.27</v>
      </c>
      <c r="K1514" s="34" t="n">
        <v>116.12</v>
      </c>
      <c r="L1514" s="34" t="n">
        <f aca="false">AVERAGE(C1514:E1514)</f>
        <v>-97.36</v>
      </c>
      <c r="M1514" s="34" t="n">
        <f aca="false">AVERAGE(C1514:J1514)</f>
        <v>-91.11625</v>
      </c>
    </row>
    <row r="1515" customFormat="false" ht="15" hidden="false" customHeight="true" outlineLevel="0" collapsed="false">
      <c r="A1515" s="34" t="s">
        <v>1710</v>
      </c>
      <c r="B1515" s="34" t="n">
        <v>105.52</v>
      </c>
      <c r="C1515" s="34" t="n">
        <v>-66.67</v>
      </c>
      <c r="D1515" s="34" t="n">
        <v>-130.32</v>
      </c>
      <c r="E1515" s="34" t="n">
        <v>-97.77</v>
      </c>
      <c r="F1515" s="34" t="n">
        <v>-101.36</v>
      </c>
      <c r="G1515" s="34" t="n">
        <v>-136.17</v>
      </c>
      <c r="H1515" s="34" t="n">
        <v>-69.67</v>
      </c>
      <c r="I1515" s="34" t="n">
        <v>-16.1</v>
      </c>
      <c r="J1515" s="34" t="n">
        <v>-21.95</v>
      </c>
      <c r="K1515" s="34" t="n">
        <v>112.1</v>
      </c>
      <c r="L1515" s="34" t="n">
        <f aca="false">AVERAGE(C1515:E1515)</f>
        <v>-98.2533333333333</v>
      </c>
      <c r="M1515" s="34" t="n">
        <f aca="false">AVERAGE(C1515:J1515)</f>
        <v>-80.00125</v>
      </c>
    </row>
    <row r="1516" customFormat="false" ht="15" hidden="false" customHeight="true" outlineLevel="0" collapsed="false">
      <c r="A1516" s="34" t="s">
        <v>1711</v>
      </c>
      <c r="B1516" s="34" t="n">
        <v>105.44</v>
      </c>
      <c r="C1516" s="34" t="n">
        <v>66.67</v>
      </c>
      <c r="D1516" s="34" t="n">
        <v>133.33</v>
      </c>
      <c r="E1516" s="34" t="n">
        <v>137.26</v>
      </c>
      <c r="F1516" s="34" t="n">
        <v>122.75</v>
      </c>
      <c r="G1516" s="34" t="n">
        <v>137</v>
      </c>
      <c r="H1516" s="34" t="n">
        <v>137.93</v>
      </c>
      <c r="I1516" s="34" t="n">
        <v>128.03</v>
      </c>
      <c r="J1516" s="34" t="n">
        <v>124.81</v>
      </c>
      <c r="K1516" s="34" t="n">
        <v>104.81</v>
      </c>
      <c r="L1516" s="34" t="n">
        <f aca="false">AVERAGE(C1516:E1516)</f>
        <v>112.42</v>
      </c>
      <c r="M1516" s="34" t="n">
        <f aca="false">AVERAGE(C1516:J1516)</f>
        <v>123.4725</v>
      </c>
    </row>
    <row r="1517" customFormat="false" ht="15" hidden="false" customHeight="true" outlineLevel="0" collapsed="false">
      <c r="A1517" s="34" t="s">
        <v>113</v>
      </c>
      <c r="B1517" s="34" t="n">
        <v>105.29</v>
      </c>
      <c r="C1517" s="34" t="n">
        <v>-66.67</v>
      </c>
      <c r="D1517" s="34" t="n">
        <v>-133.33</v>
      </c>
      <c r="E1517" s="34" t="n">
        <v>-41.53</v>
      </c>
      <c r="F1517" s="34" t="n">
        <v>-52.08</v>
      </c>
      <c r="G1517" s="34" t="n">
        <v>-56.94</v>
      </c>
      <c r="H1517" s="34" t="n">
        <v>10</v>
      </c>
      <c r="I1517" s="34" t="n">
        <v>41.6</v>
      </c>
      <c r="J1517" s="34" t="n">
        <v>55.35</v>
      </c>
      <c r="K1517" s="34" t="n">
        <v>108.94</v>
      </c>
      <c r="L1517" s="34" t="n">
        <f aca="false">AVERAGE(C1517:E1517)</f>
        <v>-80.51</v>
      </c>
      <c r="M1517" s="34" t="n">
        <f aca="false">AVERAGE(C1517:J1517)</f>
        <v>-30.45</v>
      </c>
    </row>
    <row r="1518" customFormat="false" ht="15" hidden="false" customHeight="true" outlineLevel="0" collapsed="false">
      <c r="A1518" s="34" t="s">
        <v>1712</v>
      </c>
      <c r="B1518" s="34" t="n">
        <v>105</v>
      </c>
      <c r="C1518" s="34" t="n">
        <v>-66.67</v>
      </c>
      <c r="D1518" s="34" t="n">
        <v>-128.47</v>
      </c>
      <c r="E1518" s="34" t="n">
        <v>-3.8</v>
      </c>
      <c r="F1518" s="34" t="n">
        <v>-71.09</v>
      </c>
      <c r="G1518" s="34" t="n">
        <v>-41.71</v>
      </c>
      <c r="H1518" s="34" t="n">
        <v>16.36</v>
      </c>
      <c r="I1518" s="34" t="n">
        <v>41.24</v>
      </c>
      <c r="J1518" s="34" t="n">
        <v>53.32</v>
      </c>
      <c r="K1518" s="34" t="n">
        <v>112.13</v>
      </c>
      <c r="L1518" s="34" t="n">
        <f aca="false">AVERAGE(C1518:E1518)</f>
        <v>-66.3133333333333</v>
      </c>
      <c r="M1518" s="34" t="n">
        <f aca="false">AVERAGE(C1518:J1518)</f>
        <v>-25.1025</v>
      </c>
    </row>
    <row r="1519" customFormat="false" ht="15" hidden="false" customHeight="true" outlineLevel="0" collapsed="false">
      <c r="A1519" s="34" t="s">
        <v>1713</v>
      </c>
      <c r="B1519" s="34" t="n">
        <v>104.65</v>
      </c>
      <c r="C1519" s="34" t="n">
        <v>66.67</v>
      </c>
      <c r="D1519" s="34" t="n">
        <v>-33.42</v>
      </c>
      <c r="E1519" s="34" t="n">
        <v>-87.62</v>
      </c>
      <c r="F1519" s="34" t="n">
        <v>-124.33</v>
      </c>
      <c r="G1519" s="34" t="n">
        <v>-103.11</v>
      </c>
      <c r="H1519" s="34" t="n">
        <v>-105.35</v>
      </c>
      <c r="I1519" s="34" t="n">
        <v>-109.38</v>
      </c>
      <c r="J1519" s="34" t="n">
        <v>-97.62</v>
      </c>
      <c r="K1519" s="34" t="n">
        <v>113.87</v>
      </c>
      <c r="L1519" s="34" t="n">
        <f aca="false">AVERAGE(C1519:E1519)</f>
        <v>-18.1233333333333</v>
      </c>
      <c r="M1519" s="34" t="n">
        <f aca="false">AVERAGE(C1519:J1519)</f>
        <v>-74.27</v>
      </c>
    </row>
    <row r="1520" customFormat="false" ht="15" hidden="false" customHeight="true" outlineLevel="0" collapsed="false">
      <c r="A1520" s="34" t="s">
        <v>1714</v>
      </c>
      <c r="B1520" s="34" t="n">
        <v>104.56</v>
      </c>
      <c r="C1520" s="34" t="n">
        <v>-66.67</v>
      </c>
      <c r="D1520" s="34" t="n">
        <v>-133.33</v>
      </c>
      <c r="E1520" s="34" t="n">
        <v>17.49</v>
      </c>
      <c r="F1520" s="34" t="n">
        <v>12.38</v>
      </c>
      <c r="G1520" s="34" t="n">
        <v>63.66</v>
      </c>
      <c r="H1520" s="34" t="n">
        <v>96.56</v>
      </c>
      <c r="I1520" s="34" t="n">
        <v>91.36</v>
      </c>
      <c r="J1520" s="34" t="n">
        <v>92.32</v>
      </c>
      <c r="K1520" s="34" t="n">
        <v>111.22</v>
      </c>
      <c r="L1520" s="34" t="n">
        <f aca="false">AVERAGE(C1520:E1520)</f>
        <v>-60.8366666666667</v>
      </c>
      <c r="M1520" s="34" t="n">
        <f aca="false">AVERAGE(C1520:J1520)</f>
        <v>21.72125</v>
      </c>
    </row>
    <row r="1521" customFormat="false" ht="15" hidden="false" customHeight="true" outlineLevel="0" collapsed="false">
      <c r="A1521" s="34" t="s">
        <v>1715</v>
      </c>
      <c r="B1521" s="34" t="n">
        <v>104.01</v>
      </c>
      <c r="C1521" s="34" t="n">
        <v>-66.67</v>
      </c>
      <c r="D1521" s="34" t="n">
        <v>-85.2</v>
      </c>
      <c r="E1521" s="34" t="n">
        <v>-31.2</v>
      </c>
      <c r="F1521" s="34" t="n">
        <v>-84.22</v>
      </c>
      <c r="G1521" s="34" t="n">
        <v>-113.57</v>
      </c>
      <c r="H1521" s="34" t="n">
        <v>-137.55</v>
      </c>
      <c r="I1521" s="34" t="n">
        <v>-136.97</v>
      </c>
      <c r="J1521" s="34" t="n">
        <v>-114.47</v>
      </c>
      <c r="K1521" s="34" t="n">
        <v>99.11</v>
      </c>
      <c r="L1521" s="34" t="n">
        <f aca="false">AVERAGE(C1521:E1521)</f>
        <v>-61.0233333333333</v>
      </c>
      <c r="M1521" s="34" t="n">
        <f aca="false">AVERAGE(C1521:J1521)</f>
        <v>-96.23125</v>
      </c>
    </row>
    <row r="1522" customFormat="false" ht="15" hidden="false" customHeight="true" outlineLevel="0" collapsed="false">
      <c r="A1522" s="34" t="s">
        <v>1716</v>
      </c>
      <c r="B1522" s="34" t="n">
        <v>103.67</v>
      </c>
      <c r="C1522" s="34" t="n">
        <v>-66.67</v>
      </c>
      <c r="D1522" s="34" t="n">
        <v>-113.86</v>
      </c>
      <c r="E1522" s="34" t="n">
        <v>-68.59</v>
      </c>
      <c r="F1522" s="34" t="n">
        <v>-83.66</v>
      </c>
      <c r="G1522" s="34" t="n">
        <v>-124.27</v>
      </c>
      <c r="H1522" s="34" t="n">
        <v>-156.1</v>
      </c>
      <c r="I1522" s="34" t="n">
        <v>-154.6</v>
      </c>
      <c r="J1522" s="34" t="n">
        <v>-105.56</v>
      </c>
      <c r="K1522" s="34" t="n">
        <v>113.27</v>
      </c>
      <c r="L1522" s="34" t="n">
        <f aca="false">AVERAGE(C1522:E1522)</f>
        <v>-83.04</v>
      </c>
      <c r="M1522" s="34" t="n">
        <f aca="false">AVERAGE(C1522:J1522)</f>
        <v>-109.16375</v>
      </c>
    </row>
    <row r="1523" customFormat="false" ht="15" hidden="false" customHeight="true" outlineLevel="0" collapsed="false">
      <c r="A1523" s="34" t="s">
        <v>261</v>
      </c>
      <c r="B1523" s="34" t="n">
        <v>103.59</v>
      </c>
      <c r="C1523" s="34" t="n">
        <v>-66.67</v>
      </c>
      <c r="D1523" s="34" t="n">
        <v>-113.24</v>
      </c>
      <c r="E1523" s="34" t="n">
        <v>-119.87</v>
      </c>
      <c r="F1523" s="34" t="n">
        <v>-126.47</v>
      </c>
      <c r="G1523" s="34" t="n">
        <v>-132.26</v>
      </c>
      <c r="H1523" s="34" t="n">
        <v>-63.15</v>
      </c>
      <c r="I1523" s="34" t="n">
        <v>1.28</v>
      </c>
      <c r="J1523" s="34" t="n">
        <v>15.72</v>
      </c>
      <c r="K1523" s="34" t="n">
        <v>110.2</v>
      </c>
      <c r="L1523" s="34" t="n">
        <f aca="false">AVERAGE(C1523:E1523)</f>
        <v>-99.9266666666667</v>
      </c>
      <c r="M1523" s="34" t="n">
        <f aca="false">AVERAGE(C1523:J1523)</f>
        <v>-75.5825</v>
      </c>
    </row>
    <row r="1524" customFormat="false" ht="15" hidden="false" customHeight="true" outlineLevel="0" collapsed="false">
      <c r="A1524" s="34" t="s">
        <v>416</v>
      </c>
      <c r="B1524" s="34" t="n">
        <v>103.54</v>
      </c>
      <c r="C1524" s="34" t="n">
        <v>-66.67</v>
      </c>
      <c r="D1524" s="34" t="n">
        <v>-67.69</v>
      </c>
      <c r="E1524" s="34" t="n">
        <v>-13.79</v>
      </c>
      <c r="F1524" s="34" t="n">
        <v>-79.85</v>
      </c>
      <c r="G1524" s="34" t="n">
        <v>-130.58</v>
      </c>
      <c r="H1524" s="34" t="n">
        <v>-129.44</v>
      </c>
      <c r="I1524" s="34" t="n">
        <v>-101.17</v>
      </c>
      <c r="J1524" s="34" t="n">
        <v>-108.73</v>
      </c>
      <c r="K1524" s="34" t="n">
        <v>109.25</v>
      </c>
      <c r="L1524" s="34" t="n">
        <f aca="false">AVERAGE(C1524:E1524)</f>
        <v>-49.3833333333333</v>
      </c>
      <c r="M1524" s="34" t="n">
        <f aca="false">AVERAGE(C1524:J1524)</f>
        <v>-87.24</v>
      </c>
    </row>
    <row r="1525" customFormat="false" ht="15" hidden="false" customHeight="true" outlineLevel="0" collapsed="false">
      <c r="A1525" s="34" t="s">
        <v>1717</v>
      </c>
      <c r="B1525" s="34" t="n">
        <v>103.31</v>
      </c>
      <c r="C1525" s="34" t="n">
        <v>-66.67</v>
      </c>
      <c r="D1525" s="34" t="n">
        <v>13.55</v>
      </c>
      <c r="E1525" s="34" t="n">
        <v>85.79</v>
      </c>
      <c r="F1525" s="34" t="n">
        <v>-50.29</v>
      </c>
      <c r="G1525" s="34" t="n">
        <v>-91.53</v>
      </c>
      <c r="H1525" s="34" t="n">
        <v>-57.93</v>
      </c>
      <c r="I1525" s="34" t="n">
        <v>-3.27</v>
      </c>
      <c r="J1525" s="34" t="n">
        <v>-21.4</v>
      </c>
      <c r="K1525" s="34" t="n">
        <v>105.7</v>
      </c>
      <c r="L1525" s="34" t="n">
        <f aca="false">AVERAGE(C1525:E1525)</f>
        <v>10.89</v>
      </c>
      <c r="M1525" s="34" t="n">
        <f aca="false">AVERAGE(C1525:J1525)</f>
        <v>-23.96875</v>
      </c>
    </row>
    <row r="1526" customFormat="false" ht="15" hidden="false" customHeight="true" outlineLevel="0" collapsed="false">
      <c r="A1526" s="34" t="s">
        <v>1718</v>
      </c>
      <c r="B1526" s="34" t="n">
        <v>103.26</v>
      </c>
      <c r="C1526" s="34" t="n">
        <v>-66.67</v>
      </c>
      <c r="D1526" s="34" t="n">
        <v>5.4</v>
      </c>
      <c r="E1526" s="34" t="n">
        <v>79.19</v>
      </c>
      <c r="F1526" s="34" t="n">
        <v>-65.14</v>
      </c>
      <c r="G1526" s="34" t="n">
        <v>-91.18</v>
      </c>
      <c r="H1526" s="34" t="n">
        <v>-52.28</v>
      </c>
      <c r="I1526" s="34" t="n">
        <v>-29.45</v>
      </c>
      <c r="J1526" s="34" t="n">
        <v>-37.46</v>
      </c>
      <c r="K1526" s="34" t="n">
        <v>107.23</v>
      </c>
      <c r="L1526" s="34" t="n">
        <f aca="false">AVERAGE(C1526:E1526)</f>
        <v>5.97333333333333</v>
      </c>
      <c r="M1526" s="34" t="n">
        <f aca="false">AVERAGE(C1526:J1526)</f>
        <v>-32.19875</v>
      </c>
    </row>
    <row r="1527" customFormat="false" ht="15" hidden="false" customHeight="true" outlineLevel="0" collapsed="false">
      <c r="A1527" s="34" t="s">
        <v>450</v>
      </c>
      <c r="B1527" s="34" t="n">
        <v>102.82</v>
      </c>
      <c r="C1527" s="34" t="n">
        <v>-66.67</v>
      </c>
      <c r="D1527" s="34" t="n">
        <v>-133.33</v>
      </c>
      <c r="E1527" s="34" t="n">
        <v>-88.35</v>
      </c>
      <c r="F1527" s="34" t="n">
        <v>-63.23</v>
      </c>
      <c r="G1527" s="34" t="n">
        <v>-74.68</v>
      </c>
      <c r="H1527" s="34" t="n">
        <v>-23.54</v>
      </c>
      <c r="I1527" s="34" t="n">
        <v>12.39</v>
      </c>
      <c r="J1527" s="34" t="n">
        <v>25</v>
      </c>
      <c r="K1527" s="34" t="n">
        <v>107.36</v>
      </c>
      <c r="L1527" s="34" t="n">
        <f aca="false">AVERAGE(C1527:E1527)</f>
        <v>-96.1166666666667</v>
      </c>
      <c r="M1527" s="34" t="n">
        <f aca="false">AVERAGE(C1527:J1527)</f>
        <v>-51.55125</v>
      </c>
    </row>
    <row r="1528" customFormat="false" ht="15" hidden="false" customHeight="true" outlineLevel="0" collapsed="false">
      <c r="A1528" s="34" t="s">
        <v>1719</v>
      </c>
      <c r="B1528" s="34" t="n">
        <v>102.7</v>
      </c>
      <c r="C1528" s="34" t="n">
        <v>-66.67</v>
      </c>
      <c r="D1528" s="34" t="n">
        <v>-108.32</v>
      </c>
      <c r="E1528" s="34" t="n">
        <v>-19.78</v>
      </c>
      <c r="F1528" s="34" t="n">
        <v>-92.86</v>
      </c>
      <c r="G1528" s="34" t="n">
        <v>-152.73</v>
      </c>
      <c r="H1528" s="34" t="n">
        <v>-130.82</v>
      </c>
      <c r="I1528" s="34" t="n">
        <v>-32.39</v>
      </c>
      <c r="J1528" s="34" t="n">
        <v>-54.73</v>
      </c>
      <c r="K1528" s="34" t="n">
        <v>108.17</v>
      </c>
      <c r="L1528" s="34" t="n">
        <f aca="false">AVERAGE(C1528:E1528)</f>
        <v>-64.9233333333333</v>
      </c>
      <c r="M1528" s="34" t="n">
        <f aca="false">AVERAGE(C1528:J1528)</f>
        <v>-82.2875</v>
      </c>
    </row>
    <row r="1529" customFormat="false" ht="15" hidden="false" customHeight="true" outlineLevel="0" collapsed="false">
      <c r="A1529" s="34" t="s">
        <v>1720</v>
      </c>
      <c r="B1529" s="34" t="n">
        <v>102.53</v>
      </c>
      <c r="C1529" s="34" t="n">
        <v>-66.67</v>
      </c>
      <c r="D1529" s="34" t="n">
        <v>-133.33</v>
      </c>
      <c r="E1529" s="34" t="n">
        <v>-82.94</v>
      </c>
      <c r="F1529" s="34" t="n">
        <v>-103.96</v>
      </c>
      <c r="G1529" s="34" t="n">
        <v>-78.91</v>
      </c>
      <c r="H1529" s="34" t="n">
        <v>-90.35</v>
      </c>
      <c r="I1529" s="34" t="n">
        <v>-96.66</v>
      </c>
      <c r="J1529" s="34" t="n">
        <v>-104.88</v>
      </c>
      <c r="K1529" s="34" t="n">
        <v>113.11</v>
      </c>
      <c r="L1529" s="34" t="n">
        <f aca="false">AVERAGE(C1529:E1529)</f>
        <v>-94.3133333333333</v>
      </c>
      <c r="M1529" s="34" t="n">
        <f aca="false">AVERAGE(C1529:J1529)</f>
        <v>-94.7125</v>
      </c>
    </row>
    <row r="1530" customFormat="false" ht="15" hidden="false" customHeight="true" outlineLevel="0" collapsed="false">
      <c r="A1530" s="34" t="s">
        <v>1721</v>
      </c>
      <c r="B1530" s="34" t="n">
        <v>102.19</v>
      </c>
      <c r="C1530" s="34" t="n">
        <v>-66.67</v>
      </c>
      <c r="D1530" s="34" t="n">
        <v>-47.4</v>
      </c>
      <c r="E1530" s="34" t="n">
        <v>69.72</v>
      </c>
      <c r="F1530" s="34" t="n">
        <v>154.06</v>
      </c>
      <c r="G1530" s="34" t="n">
        <v>201.27</v>
      </c>
      <c r="H1530" s="34" t="n">
        <v>185.38</v>
      </c>
      <c r="I1530" s="34" t="n">
        <v>142.3</v>
      </c>
      <c r="J1530" s="34" t="n">
        <v>153.21</v>
      </c>
      <c r="K1530" s="34" t="n">
        <v>99.19</v>
      </c>
      <c r="L1530" s="34" t="n">
        <f aca="false">AVERAGE(C1530:E1530)</f>
        <v>-14.7833333333333</v>
      </c>
      <c r="M1530" s="34" t="n">
        <f aca="false">AVERAGE(C1530:J1530)</f>
        <v>98.98375</v>
      </c>
    </row>
    <row r="1531" customFormat="false" ht="15" hidden="false" customHeight="true" outlineLevel="0" collapsed="false">
      <c r="A1531" s="34" t="s">
        <v>1722</v>
      </c>
      <c r="B1531" s="34" t="n">
        <v>101.61</v>
      </c>
      <c r="C1531" s="34" t="n">
        <v>-66.67</v>
      </c>
      <c r="D1531" s="34" t="n">
        <v>-51.06</v>
      </c>
      <c r="E1531" s="34" t="n">
        <v>53.67</v>
      </c>
      <c r="F1531" s="34" t="n">
        <v>-34.47</v>
      </c>
      <c r="G1531" s="34" t="n">
        <v>-51.42</v>
      </c>
      <c r="H1531" s="34" t="n">
        <v>-1.99</v>
      </c>
      <c r="I1531" s="34" t="n">
        <v>39.32</v>
      </c>
      <c r="J1531" s="34" t="n">
        <v>53.56</v>
      </c>
      <c r="K1531" s="34" t="n">
        <v>104.64</v>
      </c>
      <c r="L1531" s="34" t="n">
        <f aca="false">AVERAGE(C1531:E1531)</f>
        <v>-21.3533333333333</v>
      </c>
      <c r="M1531" s="34" t="n">
        <f aca="false">AVERAGE(C1531:J1531)</f>
        <v>-7.3825</v>
      </c>
    </row>
    <row r="1532" customFormat="false" ht="15" hidden="false" customHeight="true" outlineLevel="0" collapsed="false">
      <c r="A1532" s="34" t="s">
        <v>1723</v>
      </c>
      <c r="B1532" s="34" t="n">
        <v>100.95</v>
      </c>
      <c r="C1532" s="34" t="n">
        <v>-66.67</v>
      </c>
      <c r="D1532" s="34" t="n">
        <v>-82.93</v>
      </c>
      <c r="E1532" s="34" t="n">
        <v>-62.53</v>
      </c>
      <c r="F1532" s="34" t="n">
        <v>-145.37</v>
      </c>
      <c r="G1532" s="34" t="n">
        <v>-160.68</v>
      </c>
      <c r="H1532" s="34" t="n">
        <v>-60.84</v>
      </c>
      <c r="I1532" s="34" t="n">
        <v>-18.28</v>
      </c>
      <c r="J1532" s="34" t="n">
        <v>-22.97</v>
      </c>
      <c r="K1532" s="34" t="n">
        <v>108.04</v>
      </c>
      <c r="L1532" s="34" t="n">
        <f aca="false">AVERAGE(C1532:E1532)</f>
        <v>-70.71</v>
      </c>
      <c r="M1532" s="34" t="n">
        <f aca="false">AVERAGE(C1532:J1532)</f>
        <v>-77.53375</v>
      </c>
    </row>
    <row r="1533" customFormat="false" ht="15" hidden="false" customHeight="true" outlineLevel="0" collapsed="false">
      <c r="A1533" s="34" t="s">
        <v>1724</v>
      </c>
      <c r="B1533" s="34" t="n">
        <v>100.87</v>
      </c>
      <c r="C1533" s="34" t="n">
        <v>66.67</v>
      </c>
      <c r="D1533" s="34" t="n">
        <v>-47.17</v>
      </c>
      <c r="E1533" s="34" t="n">
        <v>55.91</v>
      </c>
      <c r="F1533" s="34" t="n">
        <v>-19.8</v>
      </c>
      <c r="G1533" s="34" t="n">
        <v>-75.58</v>
      </c>
      <c r="H1533" s="34" t="n">
        <v>-62.36</v>
      </c>
      <c r="I1533" s="34" t="n">
        <v>-40.11</v>
      </c>
      <c r="J1533" s="34" t="n">
        <v>-61.11</v>
      </c>
      <c r="K1533" s="34" t="n">
        <v>103.21</v>
      </c>
      <c r="L1533" s="34" t="n">
        <f aca="false">AVERAGE(C1533:E1533)</f>
        <v>25.1366666666667</v>
      </c>
      <c r="M1533" s="34" t="n">
        <f aca="false">AVERAGE(C1533:J1533)</f>
        <v>-22.94375</v>
      </c>
    </row>
    <row r="1534" customFormat="false" ht="15" hidden="false" customHeight="true" outlineLevel="0" collapsed="false">
      <c r="A1534" s="34" t="s">
        <v>1725</v>
      </c>
      <c r="B1534" s="34" t="n">
        <v>100.5</v>
      </c>
      <c r="C1534" s="34" t="n">
        <v>66.67</v>
      </c>
      <c r="D1534" s="34" t="n">
        <v>133.33</v>
      </c>
      <c r="E1534" s="34" t="n">
        <v>-28.87</v>
      </c>
      <c r="F1534" s="34" t="n">
        <v>-102.43</v>
      </c>
      <c r="G1534" s="34" t="n">
        <v>-166.1</v>
      </c>
      <c r="H1534" s="34" t="n">
        <v>-189.84</v>
      </c>
      <c r="I1534" s="34" t="n">
        <v>-131.41</v>
      </c>
      <c r="J1534" s="34" t="n">
        <v>-103.65</v>
      </c>
      <c r="K1534" s="34" t="n">
        <v>107.76</v>
      </c>
      <c r="L1534" s="34" t="n">
        <f aca="false">AVERAGE(C1534:E1534)</f>
        <v>57.0433333333333</v>
      </c>
      <c r="M1534" s="34" t="n">
        <f aca="false">AVERAGE(C1534:J1534)</f>
        <v>-65.2875</v>
      </c>
    </row>
    <row r="1535" customFormat="false" ht="15" hidden="false" customHeight="true" outlineLevel="0" collapsed="false">
      <c r="A1535" s="34" t="s">
        <v>1726</v>
      </c>
      <c r="B1535" s="34" t="n">
        <v>100.39</v>
      </c>
      <c r="C1535" s="34" t="n">
        <v>66.67</v>
      </c>
      <c r="D1535" s="34" t="n">
        <v>21.84</v>
      </c>
      <c r="E1535" s="34" t="n">
        <v>-64.25</v>
      </c>
      <c r="F1535" s="34" t="n">
        <v>-84.3</v>
      </c>
      <c r="G1535" s="34" t="n">
        <v>-85.64</v>
      </c>
      <c r="H1535" s="34" t="n">
        <v>-7.06</v>
      </c>
      <c r="I1535" s="34" t="n">
        <v>26.81</v>
      </c>
      <c r="J1535" s="34" t="n">
        <v>23.81</v>
      </c>
      <c r="K1535" s="34" t="n">
        <v>108.39</v>
      </c>
      <c r="L1535" s="34" t="n">
        <f aca="false">AVERAGE(C1535:E1535)</f>
        <v>8.08666666666667</v>
      </c>
      <c r="M1535" s="34" t="n">
        <f aca="false">AVERAGE(C1535:J1535)</f>
        <v>-12.765</v>
      </c>
    </row>
    <row r="1536" customFormat="false" ht="15" hidden="false" customHeight="true" outlineLevel="0" collapsed="false">
      <c r="A1536" s="34" t="s">
        <v>1727</v>
      </c>
      <c r="B1536" s="34" t="n">
        <v>100</v>
      </c>
      <c r="C1536" s="34" t="n">
        <v>66.67</v>
      </c>
      <c r="D1536" s="34" t="n">
        <v>-51.38</v>
      </c>
      <c r="E1536" s="34" t="n">
        <v>13.27</v>
      </c>
      <c r="F1536" s="34" t="n">
        <v>-65.83</v>
      </c>
      <c r="G1536" s="34" t="n">
        <v>-88.96</v>
      </c>
      <c r="H1536" s="34" t="n">
        <v>-92.25</v>
      </c>
      <c r="I1536" s="34" t="n">
        <v>-63.03</v>
      </c>
      <c r="J1536" s="34" t="n">
        <v>-61.92</v>
      </c>
      <c r="K1536" s="34" t="n">
        <v>106.49</v>
      </c>
      <c r="L1536" s="34" t="n">
        <f aca="false">AVERAGE(C1536:E1536)</f>
        <v>9.52</v>
      </c>
      <c r="M1536" s="34" t="n">
        <f aca="false">AVERAGE(C1536:J1536)</f>
        <v>-42.92875</v>
      </c>
    </row>
    <row r="1537" customFormat="false" ht="15" hidden="false" customHeight="true" outlineLevel="0" collapsed="false">
      <c r="A1537" s="34" t="s">
        <v>1728</v>
      </c>
      <c r="B1537" s="34" t="n">
        <v>99.95</v>
      </c>
      <c r="C1537" s="34" t="n">
        <v>66.67</v>
      </c>
      <c r="D1537" s="34" t="n">
        <v>115.94</v>
      </c>
      <c r="E1537" s="34" t="n">
        <v>-46.86</v>
      </c>
      <c r="F1537" s="34" t="n">
        <v>2.23</v>
      </c>
      <c r="G1537" s="34" t="n">
        <v>49.09</v>
      </c>
      <c r="H1537" s="34" t="n">
        <v>75.57</v>
      </c>
      <c r="I1537" s="34" t="n">
        <v>74.91</v>
      </c>
      <c r="J1537" s="34" t="n">
        <v>76.72</v>
      </c>
      <c r="K1537" s="34" t="n">
        <v>99.24</v>
      </c>
      <c r="L1537" s="34" t="n">
        <f aca="false">AVERAGE(C1537:E1537)</f>
        <v>45.25</v>
      </c>
      <c r="M1537" s="34" t="n">
        <f aca="false">AVERAGE(C1537:J1537)</f>
        <v>51.78375</v>
      </c>
    </row>
    <row r="1538" customFormat="false" ht="15" hidden="false" customHeight="true" outlineLevel="0" collapsed="false">
      <c r="A1538" s="34" t="s">
        <v>1729</v>
      </c>
      <c r="B1538" s="34" t="n">
        <v>99.95</v>
      </c>
      <c r="C1538" s="34" t="n">
        <v>66.67</v>
      </c>
      <c r="D1538" s="34" t="n">
        <v>-50.84</v>
      </c>
      <c r="E1538" s="34" t="n">
        <v>-107.88</v>
      </c>
      <c r="F1538" s="34" t="n">
        <v>-174.68</v>
      </c>
      <c r="G1538" s="34" t="n">
        <v>-154.81</v>
      </c>
      <c r="H1538" s="34" t="n">
        <v>-8.47</v>
      </c>
      <c r="I1538" s="34" t="n">
        <v>25.28</v>
      </c>
      <c r="J1538" s="34" t="n">
        <v>29.77</v>
      </c>
      <c r="K1538" s="34" t="n">
        <v>107.29</v>
      </c>
      <c r="L1538" s="34" t="n">
        <f aca="false">AVERAGE(C1538:E1538)</f>
        <v>-30.6833333333333</v>
      </c>
      <c r="M1538" s="34" t="n">
        <f aca="false">AVERAGE(C1538:J1538)</f>
        <v>-46.87</v>
      </c>
    </row>
    <row r="1539" customFormat="false" ht="15" hidden="false" customHeight="true" outlineLevel="0" collapsed="false">
      <c r="A1539" s="34" t="s">
        <v>1730</v>
      </c>
      <c r="B1539" s="34" t="n">
        <v>99.69</v>
      </c>
      <c r="C1539" s="34" t="n">
        <v>-66.67</v>
      </c>
      <c r="D1539" s="34" t="n">
        <v>-53.01</v>
      </c>
      <c r="E1539" s="34" t="n">
        <v>73.84</v>
      </c>
      <c r="F1539" s="34" t="n">
        <v>-56.08</v>
      </c>
      <c r="G1539" s="34" t="n">
        <v>-110.63</v>
      </c>
      <c r="H1539" s="34" t="n">
        <v>-76.72</v>
      </c>
      <c r="I1539" s="34" t="n">
        <v>-90.91</v>
      </c>
      <c r="J1539" s="34" t="n">
        <v>-93.79</v>
      </c>
      <c r="K1539" s="34" t="n">
        <v>93.07</v>
      </c>
      <c r="L1539" s="34" t="n">
        <f aca="false">AVERAGE(C1539:E1539)</f>
        <v>-15.28</v>
      </c>
      <c r="M1539" s="34" t="n">
        <f aca="false">AVERAGE(C1539:J1539)</f>
        <v>-59.24625</v>
      </c>
    </row>
    <row r="1540" customFormat="false" ht="15" hidden="false" customHeight="true" outlineLevel="0" collapsed="false">
      <c r="A1540" s="34" t="s">
        <v>1731</v>
      </c>
      <c r="B1540" s="34" t="n">
        <v>99.65</v>
      </c>
      <c r="C1540" s="34" t="n">
        <v>66.67</v>
      </c>
      <c r="D1540" s="34" t="n">
        <v>133.33</v>
      </c>
      <c r="E1540" s="34" t="n">
        <v>163.5</v>
      </c>
      <c r="F1540" s="34" t="n">
        <v>350.39</v>
      </c>
      <c r="G1540" s="34" t="n">
        <v>563.52</v>
      </c>
      <c r="H1540" s="34" t="n">
        <v>553.44</v>
      </c>
      <c r="I1540" s="34" t="n">
        <v>371.33</v>
      </c>
      <c r="J1540" s="34" t="n">
        <v>356.92</v>
      </c>
      <c r="K1540" s="34" t="n">
        <v>86.13</v>
      </c>
      <c r="L1540" s="34" t="n">
        <f aca="false">AVERAGE(C1540:E1540)</f>
        <v>121.166666666667</v>
      </c>
      <c r="M1540" s="34" t="n">
        <f aca="false">AVERAGE(C1540:J1540)</f>
        <v>319.8875</v>
      </c>
    </row>
    <row r="1541" customFormat="false" ht="15" hidden="false" customHeight="true" outlineLevel="0" collapsed="false">
      <c r="A1541" s="34" t="s">
        <v>220</v>
      </c>
      <c r="B1541" s="34" t="n">
        <v>99.54</v>
      </c>
      <c r="C1541" s="34" t="n">
        <v>66.67</v>
      </c>
      <c r="D1541" s="34" t="n">
        <v>89.88</v>
      </c>
      <c r="E1541" s="34" t="n">
        <v>127.54</v>
      </c>
      <c r="F1541" s="34" t="n">
        <v>88.63</v>
      </c>
      <c r="G1541" s="34" t="n">
        <v>42.68</v>
      </c>
      <c r="H1541" s="34" t="n">
        <v>36.89</v>
      </c>
      <c r="I1541" s="34" t="n">
        <v>58.27</v>
      </c>
      <c r="J1541" s="34" t="n">
        <v>65.69</v>
      </c>
      <c r="K1541" s="34" t="n">
        <v>93.02</v>
      </c>
      <c r="L1541" s="34" t="n">
        <f aca="false">AVERAGE(C1541:E1541)</f>
        <v>94.6966666666667</v>
      </c>
      <c r="M1541" s="34" t="n">
        <f aca="false">AVERAGE(C1541:J1541)</f>
        <v>72.03125</v>
      </c>
    </row>
    <row r="1542" customFormat="false" ht="15" hidden="false" customHeight="true" outlineLevel="0" collapsed="false">
      <c r="A1542" s="34" t="s">
        <v>1732</v>
      </c>
      <c r="B1542" s="34" t="n">
        <v>99.46</v>
      </c>
      <c r="C1542" s="34" t="n">
        <v>66.67</v>
      </c>
      <c r="D1542" s="34" t="n">
        <v>74.14</v>
      </c>
      <c r="E1542" s="34" t="n">
        <v>127.33</v>
      </c>
      <c r="F1542" s="34" t="n">
        <v>39.91</v>
      </c>
      <c r="G1542" s="34" t="n">
        <v>84.26</v>
      </c>
      <c r="H1542" s="34" t="n">
        <v>106.01</v>
      </c>
      <c r="I1542" s="34" t="n">
        <v>127.23</v>
      </c>
      <c r="J1542" s="34" t="n">
        <v>66.83</v>
      </c>
      <c r="K1542" s="34" t="n">
        <v>102.62</v>
      </c>
      <c r="L1542" s="34" t="n">
        <f aca="false">AVERAGE(C1542:E1542)</f>
        <v>89.38</v>
      </c>
      <c r="M1542" s="34" t="n">
        <f aca="false">AVERAGE(C1542:J1542)</f>
        <v>86.5475</v>
      </c>
    </row>
    <row r="1543" customFormat="false" ht="15" hidden="false" customHeight="true" outlineLevel="0" collapsed="false">
      <c r="A1543" s="34" t="s">
        <v>1733</v>
      </c>
      <c r="B1543" s="34" t="n">
        <v>99.15</v>
      </c>
      <c r="C1543" s="34" t="n">
        <v>-66.67</v>
      </c>
      <c r="D1543" s="34" t="n">
        <v>-106.16</v>
      </c>
      <c r="E1543" s="34"/>
      <c r="F1543" s="34"/>
      <c r="G1543" s="34"/>
      <c r="H1543" s="34"/>
      <c r="I1543" s="34"/>
      <c r="J1543" s="34"/>
      <c r="K1543" s="34"/>
      <c r="L1543" s="34" t="n">
        <f aca="false">AVERAGE(C1543:E1543)</f>
        <v>-86.415</v>
      </c>
      <c r="M1543" s="34" t="n">
        <f aca="false">AVERAGE(C1543:J1543)</f>
        <v>-86.415</v>
      </c>
    </row>
    <row r="1544" customFormat="false" ht="15" hidden="false" customHeight="true" outlineLevel="0" collapsed="false">
      <c r="A1544" s="34" t="s">
        <v>1734</v>
      </c>
      <c r="B1544" s="34" t="n">
        <v>98.98</v>
      </c>
      <c r="C1544" s="34" t="n">
        <v>-66.67</v>
      </c>
      <c r="D1544" s="34" t="n">
        <v>-83.41</v>
      </c>
      <c r="E1544" s="34" t="n">
        <v>-132.69</v>
      </c>
      <c r="F1544" s="34" t="n">
        <v>-146.73</v>
      </c>
      <c r="G1544" s="34" t="n">
        <v>-90.41</v>
      </c>
      <c r="H1544" s="34" t="n">
        <v>-28.04</v>
      </c>
      <c r="I1544" s="34" t="n">
        <v>-50.81</v>
      </c>
      <c r="J1544" s="34" t="n">
        <v>-67.44</v>
      </c>
      <c r="K1544" s="34" t="n">
        <v>108.11</v>
      </c>
      <c r="L1544" s="34" t="n">
        <f aca="false">AVERAGE(C1544:E1544)</f>
        <v>-94.2566666666667</v>
      </c>
      <c r="M1544" s="34" t="n">
        <f aca="false">AVERAGE(C1544:J1544)</f>
        <v>-83.275</v>
      </c>
    </row>
    <row r="1545" customFormat="false" ht="15" hidden="false" customHeight="true" outlineLevel="0" collapsed="false">
      <c r="A1545" s="34" t="s">
        <v>1735</v>
      </c>
      <c r="B1545" s="34" t="n">
        <v>98.82</v>
      </c>
      <c r="C1545" s="34" t="n">
        <v>-66.67</v>
      </c>
      <c r="D1545" s="34" t="n">
        <v>-76.48</v>
      </c>
      <c r="E1545" s="34" t="n">
        <v>-146</v>
      </c>
      <c r="F1545" s="34" t="n">
        <v>-118.37</v>
      </c>
      <c r="G1545" s="34" t="n">
        <v>-167.59</v>
      </c>
      <c r="H1545" s="34" t="n">
        <v>-125.03</v>
      </c>
      <c r="I1545" s="34" t="n">
        <v>-72.47</v>
      </c>
      <c r="J1545" s="34" t="n">
        <v>-78.4</v>
      </c>
      <c r="K1545" s="34" t="n">
        <v>106.95</v>
      </c>
      <c r="L1545" s="34" t="n">
        <f aca="false">AVERAGE(C1545:E1545)</f>
        <v>-96.3833333333333</v>
      </c>
      <c r="M1545" s="34" t="n">
        <f aca="false">AVERAGE(C1545:J1545)</f>
        <v>-106.37625</v>
      </c>
    </row>
    <row r="1546" customFormat="false" ht="15" hidden="false" customHeight="true" outlineLevel="0" collapsed="false">
      <c r="A1546" s="34" t="s">
        <v>1736</v>
      </c>
      <c r="B1546" s="34" t="n">
        <v>98.55</v>
      </c>
      <c r="C1546" s="34" t="n">
        <v>66.67</v>
      </c>
      <c r="D1546" s="34" t="n">
        <v>50.9</v>
      </c>
      <c r="E1546" s="34" t="n">
        <v>-56.48</v>
      </c>
      <c r="F1546" s="34"/>
      <c r="G1546" s="34"/>
      <c r="H1546" s="34"/>
      <c r="I1546" s="34"/>
      <c r="J1546" s="34"/>
      <c r="K1546" s="34" t="n">
        <v>100.86</v>
      </c>
      <c r="L1546" s="34" t="n">
        <f aca="false">AVERAGE(C1546:E1546)</f>
        <v>20.3633333333333</v>
      </c>
      <c r="M1546" s="34" t="n">
        <f aca="false">AVERAGE(C1546:J1546)</f>
        <v>20.3633333333333</v>
      </c>
    </row>
    <row r="1547" customFormat="false" ht="15" hidden="false" customHeight="true" outlineLevel="0" collapsed="false">
      <c r="A1547" s="34" t="s">
        <v>1737</v>
      </c>
      <c r="B1547" s="34" t="n">
        <v>98.29</v>
      </c>
      <c r="C1547" s="34" t="n">
        <v>-66.67</v>
      </c>
      <c r="D1547" s="34" t="n">
        <v>-72.8</v>
      </c>
      <c r="E1547" s="34" t="n">
        <v>7.7</v>
      </c>
      <c r="F1547" s="34" t="n">
        <v>74.45</v>
      </c>
      <c r="G1547" s="34" t="n">
        <v>57.98</v>
      </c>
      <c r="H1547" s="34" t="n">
        <v>10.6</v>
      </c>
      <c r="I1547" s="34" t="n">
        <v>24.66</v>
      </c>
      <c r="J1547" s="34" t="n">
        <v>-22.59</v>
      </c>
      <c r="K1547" s="34" t="n">
        <v>90.36</v>
      </c>
      <c r="L1547" s="34" t="n">
        <f aca="false">AVERAGE(C1547:E1547)</f>
        <v>-43.9233333333333</v>
      </c>
      <c r="M1547" s="34" t="n">
        <f aca="false">AVERAGE(C1547:J1547)</f>
        <v>1.66625</v>
      </c>
    </row>
    <row r="1548" customFormat="false" ht="15" hidden="false" customHeight="true" outlineLevel="0" collapsed="false">
      <c r="A1548" s="34" t="s">
        <v>1738</v>
      </c>
      <c r="B1548" s="34" t="n">
        <v>98.19</v>
      </c>
      <c r="C1548" s="34" t="n">
        <v>66.67</v>
      </c>
      <c r="D1548" s="34" t="n">
        <v>77.75</v>
      </c>
      <c r="E1548" s="34" t="n">
        <v>146.89</v>
      </c>
      <c r="F1548" s="34" t="n">
        <v>41.18</v>
      </c>
      <c r="G1548" s="34" t="n">
        <v>-25.2</v>
      </c>
      <c r="H1548" s="34" t="n">
        <v>23.09</v>
      </c>
      <c r="I1548" s="34" t="n">
        <v>47.81</v>
      </c>
      <c r="J1548" s="34" t="n">
        <v>35.65</v>
      </c>
      <c r="K1548" s="34" t="n">
        <v>91.66</v>
      </c>
      <c r="L1548" s="34" t="n">
        <f aca="false">AVERAGE(C1548:E1548)</f>
        <v>97.1033333333333</v>
      </c>
      <c r="M1548" s="34" t="n">
        <f aca="false">AVERAGE(C1548:J1548)</f>
        <v>51.73</v>
      </c>
    </row>
    <row r="1549" customFormat="false" ht="15" hidden="false" customHeight="true" outlineLevel="0" collapsed="false">
      <c r="A1549" s="34" t="s">
        <v>1739</v>
      </c>
      <c r="B1549" s="34" t="n">
        <v>98</v>
      </c>
      <c r="C1549" s="34" t="n">
        <v>66.67</v>
      </c>
      <c r="D1549" s="34" t="n">
        <v>64.65</v>
      </c>
      <c r="E1549" s="34" t="n">
        <v>-42.94</v>
      </c>
      <c r="F1549" s="34" t="n">
        <v>7.1</v>
      </c>
      <c r="G1549" s="34" t="n">
        <v>54.89</v>
      </c>
      <c r="H1549" s="34" t="n">
        <v>81.88</v>
      </c>
      <c r="I1549" s="34" t="n">
        <v>76.07</v>
      </c>
      <c r="J1549" s="34"/>
      <c r="K1549" s="34" t="n">
        <v>96.62</v>
      </c>
      <c r="L1549" s="34" t="n">
        <f aca="false">AVERAGE(C1549:E1549)</f>
        <v>29.46</v>
      </c>
      <c r="M1549" s="34" t="n">
        <f aca="false">AVERAGE(C1549:J1549)</f>
        <v>44.0457142857143</v>
      </c>
    </row>
    <row r="1550" customFormat="false" ht="15" hidden="false" customHeight="true" outlineLevel="0" collapsed="false">
      <c r="A1550" s="34" t="s">
        <v>1740</v>
      </c>
      <c r="B1550" s="34" t="n">
        <v>98</v>
      </c>
      <c r="C1550" s="34" t="n">
        <v>66.67</v>
      </c>
      <c r="D1550" s="34" t="n">
        <v>-38.89</v>
      </c>
      <c r="E1550" s="34" t="n">
        <v>-90.61</v>
      </c>
      <c r="F1550" s="34" t="n">
        <v>2.08</v>
      </c>
      <c r="G1550" s="34" t="n">
        <v>40.74</v>
      </c>
      <c r="H1550" s="34" t="n">
        <v>67.8</v>
      </c>
      <c r="I1550" s="34"/>
      <c r="J1550" s="34"/>
      <c r="K1550" s="34" t="n">
        <v>96.61</v>
      </c>
      <c r="L1550" s="34" t="n">
        <f aca="false">AVERAGE(C1550:E1550)</f>
        <v>-20.9433333333333</v>
      </c>
      <c r="M1550" s="34" t="n">
        <f aca="false">AVERAGE(C1550:J1550)</f>
        <v>7.965</v>
      </c>
    </row>
    <row r="1551" customFormat="false" ht="15" hidden="false" customHeight="true" outlineLevel="0" collapsed="false">
      <c r="A1551" s="34" t="s">
        <v>1741</v>
      </c>
      <c r="B1551" s="34" t="n">
        <v>97.9</v>
      </c>
      <c r="C1551" s="34" t="n">
        <v>-66.67</v>
      </c>
      <c r="D1551" s="34" t="n">
        <v>-113.61</v>
      </c>
      <c r="E1551" s="34" t="n">
        <v>-123.29</v>
      </c>
      <c r="F1551" s="34" t="n">
        <v>-176.72</v>
      </c>
      <c r="G1551" s="34" t="n">
        <v>-80.79</v>
      </c>
      <c r="H1551" s="34" t="n">
        <v>14.58</v>
      </c>
      <c r="I1551" s="34" t="n">
        <v>25.03</v>
      </c>
      <c r="J1551" s="34" t="n">
        <v>15.98</v>
      </c>
      <c r="K1551" s="34" t="n">
        <v>108.05</v>
      </c>
      <c r="L1551" s="34" t="n">
        <f aca="false">AVERAGE(C1551:E1551)</f>
        <v>-101.19</v>
      </c>
      <c r="M1551" s="34" t="n">
        <f aca="false">AVERAGE(C1551:J1551)</f>
        <v>-63.18625</v>
      </c>
    </row>
    <row r="1552" customFormat="false" ht="15" hidden="false" customHeight="true" outlineLevel="0" collapsed="false">
      <c r="A1552" s="34" t="s">
        <v>1742</v>
      </c>
      <c r="B1552" s="34" t="n">
        <v>97.84</v>
      </c>
      <c r="C1552" s="34" t="n">
        <v>66.67</v>
      </c>
      <c r="D1552" s="34" t="n">
        <v>78.01</v>
      </c>
      <c r="E1552" s="34" t="n">
        <v>-54.31</v>
      </c>
      <c r="F1552" s="34" t="n">
        <v>10.3</v>
      </c>
      <c r="G1552" s="34" t="n">
        <v>52.16</v>
      </c>
      <c r="H1552" s="34" t="n">
        <v>79.1</v>
      </c>
      <c r="I1552" s="34" t="n">
        <v>76.32</v>
      </c>
      <c r="J1552" s="34" t="n">
        <v>77.91</v>
      </c>
      <c r="K1552" s="34" t="n">
        <v>99.63</v>
      </c>
      <c r="L1552" s="34" t="n">
        <f aca="false">AVERAGE(C1552:E1552)</f>
        <v>30.1233333333333</v>
      </c>
      <c r="M1552" s="34" t="n">
        <f aca="false">AVERAGE(C1552:J1552)</f>
        <v>48.27</v>
      </c>
    </row>
    <row r="1553" customFormat="false" ht="15" hidden="false" customHeight="true" outlineLevel="0" collapsed="false">
      <c r="A1553" s="34" t="s">
        <v>1743</v>
      </c>
      <c r="B1553" s="34" t="n">
        <v>97.61</v>
      </c>
      <c r="C1553" s="34" t="n">
        <v>-66.67</v>
      </c>
      <c r="D1553" s="34" t="n">
        <v>-133.33</v>
      </c>
      <c r="E1553" s="34" t="n">
        <v>-41.94</v>
      </c>
      <c r="F1553" s="34" t="n">
        <v>-95</v>
      </c>
      <c r="G1553" s="34" t="n">
        <v>-156.47</v>
      </c>
      <c r="H1553" s="34" t="n">
        <v>-119.18</v>
      </c>
      <c r="I1553" s="34" t="n">
        <v>-37.81</v>
      </c>
      <c r="J1553" s="34" t="n">
        <v>-49.42</v>
      </c>
      <c r="K1553" s="34" t="n">
        <v>105.88</v>
      </c>
      <c r="L1553" s="34" t="n">
        <f aca="false">AVERAGE(C1553:E1553)</f>
        <v>-80.6466666666667</v>
      </c>
      <c r="M1553" s="34" t="n">
        <f aca="false">AVERAGE(C1553:J1553)</f>
        <v>-87.4775</v>
      </c>
    </row>
    <row r="1554" customFormat="false" ht="15" hidden="false" customHeight="true" outlineLevel="0" collapsed="false">
      <c r="A1554" s="34" t="s">
        <v>1744</v>
      </c>
      <c r="B1554" s="34" t="n">
        <v>97.6</v>
      </c>
      <c r="C1554" s="34" t="n">
        <v>-66.67</v>
      </c>
      <c r="D1554" s="34" t="n">
        <v>-133.33</v>
      </c>
      <c r="E1554" s="34" t="n">
        <v>52.09</v>
      </c>
      <c r="F1554" s="34" t="n">
        <v>-45.52</v>
      </c>
      <c r="G1554" s="34" t="n">
        <v>-64.75</v>
      </c>
      <c r="H1554" s="34" t="n">
        <v>-86.18</v>
      </c>
      <c r="I1554" s="34" t="n">
        <v>-97.86</v>
      </c>
      <c r="J1554" s="34" t="n">
        <v>-97.68</v>
      </c>
      <c r="K1554" s="34" t="n">
        <v>100.99</v>
      </c>
      <c r="L1554" s="34" t="n">
        <f aca="false">AVERAGE(C1554:E1554)</f>
        <v>-49.3033333333333</v>
      </c>
      <c r="M1554" s="34" t="n">
        <f aca="false">AVERAGE(C1554:J1554)</f>
        <v>-67.4875</v>
      </c>
    </row>
    <row r="1555" customFormat="false" ht="15" hidden="false" customHeight="true" outlineLevel="0" collapsed="false">
      <c r="A1555" s="34" t="s">
        <v>1745</v>
      </c>
      <c r="B1555" s="34" t="n">
        <v>97.3</v>
      </c>
      <c r="C1555" s="34" t="n">
        <v>-66.67</v>
      </c>
      <c r="D1555" s="34" t="n">
        <v>-23.12</v>
      </c>
      <c r="E1555" s="34" t="n">
        <v>8.26</v>
      </c>
      <c r="F1555" s="34" t="n">
        <v>-77.04</v>
      </c>
      <c r="G1555" s="34" t="n">
        <v>-128.42</v>
      </c>
      <c r="H1555" s="34" t="n">
        <v>-162.6</v>
      </c>
      <c r="I1555" s="34" t="n">
        <v>-164.71</v>
      </c>
      <c r="J1555" s="34" t="n">
        <v>-128.3</v>
      </c>
      <c r="K1555" s="34" t="n">
        <v>102.15</v>
      </c>
      <c r="L1555" s="34" t="n">
        <f aca="false">AVERAGE(C1555:E1555)</f>
        <v>-27.1766666666667</v>
      </c>
      <c r="M1555" s="34" t="n">
        <f aca="false">AVERAGE(C1555:J1555)</f>
        <v>-92.825</v>
      </c>
    </row>
    <row r="1556" customFormat="false" ht="15" hidden="false" customHeight="true" outlineLevel="0" collapsed="false">
      <c r="A1556" s="34" t="s">
        <v>1746</v>
      </c>
      <c r="B1556" s="34" t="n">
        <v>97</v>
      </c>
      <c r="C1556" s="34" t="n">
        <v>66.67</v>
      </c>
      <c r="D1556" s="34" t="n">
        <v>84.51</v>
      </c>
      <c r="E1556" s="34" t="n">
        <v>-47.19</v>
      </c>
      <c r="F1556" s="34" t="n">
        <v>12.94</v>
      </c>
      <c r="G1556" s="34" t="n">
        <v>51.74</v>
      </c>
      <c r="H1556" s="34" t="n">
        <v>79.06</v>
      </c>
      <c r="I1556" s="34" t="n">
        <v>76.48</v>
      </c>
      <c r="J1556" s="34" t="n">
        <v>78.16</v>
      </c>
      <c r="K1556" s="34" t="n">
        <v>98.08</v>
      </c>
      <c r="L1556" s="34" t="n">
        <f aca="false">AVERAGE(C1556:E1556)</f>
        <v>34.6633333333333</v>
      </c>
      <c r="M1556" s="34" t="n">
        <f aca="false">AVERAGE(C1556:J1556)</f>
        <v>50.29625</v>
      </c>
    </row>
    <row r="1557" customFormat="false" ht="15" hidden="false" customHeight="true" outlineLevel="0" collapsed="false">
      <c r="A1557" s="34" t="s">
        <v>1747</v>
      </c>
      <c r="B1557" s="34" t="n">
        <v>96.95</v>
      </c>
      <c r="C1557" s="34" t="n">
        <v>-66.67</v>
      </c>
      <c r="D1557" s="34" t="n">
        <v>60.16</v>
      </c>
      <c r="E1557" s="34" t="n">
        <v>-40.75</v>
      </c>
      <c r="F1557" s="34" t="n">
        <v>15.06</v>
      </c>
      <c r="G1557" s="34" t="n">
        <v>56.89</v>
      </c>
      <c r="H1557" s="34" t="n">
        <v>82.46</v>
      </c>
      <c r="I1557" s="34" t="n">
        <v>78.01</v>
      </c>
      <c r="J1557" s="34" t="n">
        <v>78.86</v>
      </c>
      <c r="K1557" s="34" t="n">
        <v>95.63</v>
      </c>
      <c r="L1557" s="34" t="n">
        <f aca="false">AVERAGE(C1557:E1557)</f>
        <v>-15.7533333333333</v>
      </c>
      <c r="M1557" s="34" t="n">
        <f aca="false">AVERAGE(C1557:J1557)</f>
        <v>33.0025</v>
      </c>
    </row>
    <row r="1558" customFormat="false" ht="15" hidden="false" customHeight="true" outlineLevel="0" collapsed="false">
      <c r="A1558" s="34" t="s">
        <v>1748</v>
      </c>
      <c r="B1558" s="34" t="n">
        <v>96.9</v>
      </c>
      <c r="C1558" s="34" t="n">
        <v>66.67</v>
      </c>
      <c r="D1558" s="34" t="n">
        <v>69.2</v>
      </c>
      <c r="E1558" s="34" t="n">
        <v>-64.82</v>
      </c>
      <c r="F1558" s="34" t="n">
        <v>-7.37</v>
      </c>
      <c r="G1558" s="34" t="n">
        <v>34.29</v>
      </c>
      <c r="H1558" s="34" t="n">
        <v>65.6</v>
      </c>
      <c r="I1558" s="34" t="n">
        <v>70.45</v>
      </c>
      <c r="J1558" s="34" t="n">
        <v>74</v>
      </c>
      <c r="K1558" s="34" t="n">
        <v>95.81</v>
      </c>
      <c r="L1558" s="34" t="n">
        <f aca="false">AVERAGE(C1558:E1558)</f>
        <v>23.6833333333333</v>
      </c>
      <c r="M1558" s="34" t="n">
        <f aca="false">AVERAGE(C1558:J1558)</f>
        <v>38.5025</v>
      </c>
    </row>
    <row r="1559" customFormat="false" ht="15" hidden="false" customHeight="true" outlineLevel="0" collapsed="false">
      <c r="A1559" s="34" t="s">
        <v>1749</v>
      </c>
      <c r="B1559" s="34" t="n">
        <v>96.82</v>
      </c>
      <c r="C1559" s="34" t="n">
        <v>-66.67</v>
      </c>
      <c r="D1559" s="34" t="n">
        <v>-28.17</v>
      </c>
      <c r="E1559" s="34" t="n">
        <v>74.48</v>
      </c>
      <c r="F1559" s="34" t="n">
        <v>40.06</v>
      </c>
      <c r="G1559" s="34" t="n">
        <v>75.86</v>
      </c>
      <c r="H1559" s="34" t="n">
        <v>76.07</v>
      </c>
      <c r="I1559" s="34" t="n">
        <v>82.53</v>
      </c>
      <c r="J1559" s="34" t="n">
        <v>99.53</v>
      </c>
      <c r="K1559" s="34" t="n">
        <v>100.19</v>
      </c>
      <c r="L1559" s="34" t="n">
        <f aca="false">AVERAGE(C1559:E1559)</f>
        <v>-6.78666666666667</v>
      </c>
      <c r="M1559" s="34" t="n">
        <f aca="false">AVERAGE(C1559:J1559)</f>
        <v>44.21125</v>
      </c>
    </row>
    <row r="1560" customFormat="false" ht="15" hidden="false" customHeight="true" outlineLevel="0" collapsed="false">
      <c r="A1560" s="34" t="s">
        <v>1750</v>
      </c>
      <c r="B1560" s="34" t="n">
        <v>96.6</v>
      </c>
      <c r="C1560" s="34" t="n">
        <v>-66.67</v>
      </c>
      <c r="D1560" s="34" t="n">
        <v>4.08</v>
      </c>
      <c r="E1560" s="34" t="n">
        <v>10.95</v>
      </c>
      <c r="F1560" s="34" t="n">
        <v>-69.91</v>
      </c>
      <c r="G1560" s="34" t="n">
        <v>-100.41</v>
      </c>
      <c r="H1560" s="34" t="n">
        <v>-91.3</v>
      </c>
      <c r="I1560" s="34" t="n">
        <v>-91.13</v>
      </c>
      <c r="J1560" s="34" t="n">
        <v>-80.98</v>
      </c>
      <c r="K1560" s="34" t="n">
        <v>99.55</v>
      </c>
      <c r="L1560" s="34" t="n">
        <f aca="false">AVERAGE(C1560:E1560)</f>
        <v>-17.2133333333333</v>
      </c>
      <c r="M1560" s="34" t="n">
        <f aca="false">AVERAGE(C1560:J1560)</f>
        <v>-60.67125</v>
      </c>
    </row>
    <row r="1561" customFormat="false" ht="15" hidden="false" customHeight="true" outlineLevel="0" collapsed="false">
      <c r="A1561" s="34" t="s">
        <v>1751</v>
      </c>
      <c r="B1561" s="34" t="n">
        <v>96.34</v>
      </c>
      <c r="C1561" s="34" t="n">
        <v>-66.67</v>
      </c>
      <c r="D1561" s="34" t="n">
        <v>-133.33</v>
      </c>
      <c r="E1561" s="34" t="n">
        <v>-134.92</v>
      </c>
      <c r="F1561" s="34" t="n">
        <v>-57.51</v>
      </c>
      <c r="G1561" s="34" t="n">
        <v>16.55</v>
      </c>
      <c r="H1561" s="34" t="n">
        <v>38.78</v>
      </c>
      <c r="I1561" s="34" t="n">
        <v>62.67</v>
      </c>
      <c r="J1561" s="34" t="n">
        <v>46.65</v>
      </c>
      <c r="K1561" s="34" t="n">
        <v>106.19</v>
      </c>
      <c r="L1561" s="34" t="n">
        <f aca="false">AVERAGE(C1561:E1561)</f>
        <v>-111.64</v>
      </c>
      <c r="M1561" s="34" t="n">
        <f aca="false">AVERAGE(C1561:J1561)</f>
        <v>-28.4725</v>
      </c>
    </row>
    <row r="1562" customFormat="false" ht="15" hidden="false" customHeight="true" outlineLevel="0" collapsed="false">
      <c r="A1562" s="34" t="s">
        <v>1752</v>
      </c>
      <c r="B1562" s="34" t="n">
        <v>96.1</v>
      </c>
      <c r="C1562" s="34" t="n">
        <v>66.67</v>
      </c>
      <c r="D1562" s="34" t="n">
        <v>103.31</v>
      </c>
      <c r="E1562" s="34" t="n">
        <v>130.52</v>
      </c>
      <c r="F1562" s="34" t="n">
        <v>-10.66</v>
      </c>
      <c r="G1562" s="34" t="n">
        <v>-29.74</v>
      </c>
      <c r="H1562" s="34" t="n">
        <v>-9.51</v>
      </c>
      <c r="I1562" s="34" t="n">
        <v>19.27</v>
      </c>
      <c r="J1562" s="34" t="n">
        <v>2.18</v>
      </c>
      <c r="K1562" s="34" t="n">
        <v>98.07</v>
      </c>
      <c r="L1562" s="34" t="n">
        <f aca="false">AVERAGE(C1562:E1562)</f>
        <v>100.166666666667</v>
      </c>
      <c r="M1562" s="34" t="n">
        <f aca="false">AVERAGE(C1562:J1562)</f>
        <v>34.005</v>
      </c>
    </row>
    <row r="1563" customFormat="false" ht="15" hidden="false" customHeight="true" outlineLevel="0" collapsed="false">
      <c r="A1563" s="34" t="s">
        <v>1753</v>
      </c>
      <c r="B1563" s="34" t="n">
        <v>96</v>
      </c>
      <c r="C1563" s="34" t="n">
        <v>-66.67</v>
      </c>
      <c r="D1563" s="34" t="n">
        <v>-88.94</v>
      </c>
      <c r="E1563" s="34" t="n">
        <v>-107.48</v>
      </c>
      <c r="F1563" s="34" t="n">
        <v>-99.15</v>
      </c>
      <c r="G1563" s="34" t="n">
        <v>-100.04</v>
      </c>
      <c r="H1563" s="34" t="n">
        <v>-82.56</v>
      </c>
      <c r="I1563" s="34" t="n">
        <v>-13.84</v>
      </c>
      <c r="J1563" s="34" t="n">
        <v>-9.4</v>
      </c>
      <c r="K1563" s="34" t="n">
        <v>104.57</v>
      </c>
      <c r="L1563" s="34" t="n">
        <f aca="false">AVERAGE(C1563:E1563)</f>
        <v>-87.6966666666667</v>
      </c>
      <c r="M1563" s="34" t="n">
        <f aca="false">AVERAGE(C1563:J1563)</f>
        <v>-71.01</v>
      </c>
    </row>
    <row r="1564" customFormat="false" ht="15" hidden="false" customHeight="true" outlineLevel="0" collapsed="false">
      <c r="A1564" s="34" t="s">
        <v>1754</v>
      </c>
      <c r="B1564" s="34" t="n">
        <v>95.99</v>
      </c>
      <c r="C1564" s="34" t="n">
        <v>-66.67</v>
      </c>
      <c r="D1564" s="34" t="n">
        <v>48.09</v>
      </c>
      <c r="E1564" s="34" t="n">
        <v>132.44</v>
      </c>
      <c r="F1564" s="34" t="n">
        <v>231.2</v>
      </c>
      <c r="G1564" s="34" t="n">
        <v>97.78</v>
      </c>
      <c r="H1564" s="34" t="n">
        <v>42.6</v>
      </c>
      <c r="I1564" s="34" t="n">
        <v>64.49</v>
      </c>
      <c r="J1564" s="34" t="n">
        <v>74.42</v>
      </c>
      <c r="K1564" s="34" t="n">
        <v>86.17</v>
      </c>
      <c r="L1564" s="34" t="n">
        <f aca="false">AVERAGE(C1564:E1564)</f>
        <v>37.9533333333333</v>
      </c>
      <c r="M1564" s="34" t="n">
        <f aca="false">AVERAGE(C1564:J1564)</f>
        <v>78.04375</v>
      </c>
    </row>
    <row r="1565" customFormat="false" ht="15" hidden="false" customHeight="true" outlineLevel="0" collapsed="false">
      <c r="A1565" s="34" t="s">
        <v>1755</v>
      </c>
      <c r="B1565" s="34" t="n">
        <v>95.68</v>
      </c>
      <c r="C1565" s="34" t="n">
        <v>66.67</v>
      </c>
      <c r="D1565" s="34" t="n">
        <v>108.54</v>
      </c>
      <c r="E1565" s="34" t="n">
        <v>20.12</v>
      </c>
      <c r="F1565" s="34" t="n">
        <v>29.37</v>
      </c>
      <c r="G1565" s="34" t="n">
        <v>-47.48</v>
      </c>
      <c r="H1565" s="34" t="n">
        <v>-66.72</v>
      </c>
      <c r="I1565" s="34" t="n">
        <v>-84.7</v>
      </c>
      <c r="J1565" s="34" t="n">
        <v>-98.21</v>
      </c>
      <c r="K1565" s="34" t="n">
        <v>90.72</v>
      </c>
      <c r="L1565" s="34" t="n">
        <f aca="false">AVERAGE(C1565:E1565)</f>
        <v>65.11</v>
      </c>
      <c r="M1565" s="34" t="n">
        <f aca="false">AVERAGE(C1565:J1565)</f>
        <v>-9.05125</v>
      </c>
    </row>
    <row r="1566" customFormat="false" ht="15" hidden="false" customHeight="true" outlineLevel="0" collapsed="false">
      <c r="A1566" s="34" t="s">
        <v>1756</v>
      </c>
      <c r="B1566" s="34" t="n">
        <v>95.65</v>
      </c>
      <c r="C1566" s="34" t="n">
        <v>-66.67</v>
      </c>
      <c r="D1566" s="34" t="n">
        <v>-14.49</v>
      </c>
      <c r="E1566" s="34" t="n">
        <v>76.92</v>
      </c>
      <c r="F1566" s="34" t="n">
        <v>-43.43</v>
      </c>
      <c r="G1566" s="34" t="n">
        <v>-92.77</v>
      </c>
      <c r="H1566" s="34" t="n">
        <v>-82.24</v>
      </c>
      <c r="I1566" s="34" t="n">
        <v>-4.25</v>
      </c>
      <c r="J1566" s="34" t="n">
        <v>12.47</v>
      </c>
      <c r="K1566" s="34" t="n">
        <v>97.42</v>
      </c>
      <c r="L1566" s="34" t="n">
        <f aca="false">AVERAGE(C1566:E1566)</f>
        <v>-1.41333333333333</v>
      </c>
      <c r="M1566" s="34" t="n">
        <f aca="false">AVERAGE(C1566:J1566)</f>
        <v>-26.8075</v>
      </c>
    </row>
    <row r="1567" customFormat="false" ht="15" hidden="false" customHeight="true" outlineLevel="0" collapsed="false">
      <c r="A1567" s="34" t="s">
        <v>1757</v>
      </c>
      <c r="B1567" s="34" t="n">
        <v>95.52</v>
      </c>
      <c r="C1567" s="34" t="n">
        <v>-66.67</v>
      </c>
      <c r="D1567" s="34" t="n">
        <v>-133.33</v>
      </c>
      <c r="E1567" s="34" t="n">
        <v>-124.98</v>
      </c>
      <c r="F1567" s="34" t="n">
        <v>-79.79</v>
      </c>
      <c r="G1567" s="34"/>
      <c r="H1567" s="34"/>
      <c r="I1567" s="34"/>
      <c r="J1567" s="34"/>
      <c r="K1567" s="34" t="n">
        <v>97.03</v>
      </c>
      <c r="L1567" s="34" t="n">
        <f aca="false">AVERAGE(C1567:E1567)</f>
        <v>-108.326666666667</v>
      </c>
      <c r="M1567" s="34" t="n">
        <f aca="false">AVERAGE(C1567:J1567)</f>
        <v>-101.1925</v>
      </c>
    </row>
    <row r="1568" customFormat="false" ht="15" hidden="false" customHeight="true" outlineLevel="0" collapsed="false">
      <c r="A1568" s="34" t="s">
        <v>1758</v>
      </c>
      <c r="B1568" s="34" t="n">
        <v>95.52</v>
      </c>
      <c r="C1568" s="34" t="n">
        <v>-66.67</v>
      </c>
      <c r="D1568" s="34" t="n">
        <v>-78.82</v>
      </c>
      <c r="E1568" s="34" t="n">
        <v>-12.93</v>
      </c>
      <c r="F1568" s="34" t="n">
        <v>71.27</v>
      </c>
      <c r="G1568" s="34" t="n">
        <v>116.08</v>
      </c>
      <c r="H1568" s="34" t="n">
        <v>143.67</v>
      </c>
      <c r="I1568" s="34" t="n">
        <v>179.6</v>
      </c>
      <c r="J1568" s="34" t="n">
        <v>212.59</v>
      </c>
      <c r="K1568" s="34" t="n">
        <v>111.93</v>
      </c>
      <c r="L1568" s="34" t="n">
        <f aca="false">AVERAGE(C1568:E1568)</f>
        <v>-52.8066666666667</v>
      </c>
      <c r="M1568" s="34" t="n">
        <f aca="false">AVERAGE(C1568:J1568)</f>
        <v>70.59875</v>
      </c>
    </row>
    <row r="1569" customFormat="false" ht="15" hidden="false" customHeight="true" outlineLevel="0" collapsed="false">
      <c r="A1569" s="34" t="s">
        <v>68</v>
      </c>
      <c r="B1569" s="34" t="n">
        <v>95.16</v>
      </c>
      <c r="C1569" s="34" t="n">
        <v>-66.67</v>
      </c>
      <c r="D1569" s="34" t="n">
        <v>-133.33</v>
      </c>
      <c r="E1569" s="34" t="n">
        <v>44.95</v>
      </c>
      <c r="F1569" s="34" t="n">
        <v>-40.74</v>
      </c>
      <c r="G1569" s="34" t="n">
        <v>-92.3</v>
      </c>
      <c r="H1569" s="34" t="n">
        <v>-30.6</v>
      </c>
      <c r="I1569" s="34" t="n">
        <v>16.82</v>
      </c>
      <c r="J1569" s="34" t="n">
        <v>24.61</v>
      </c>
      <c r="K1569" s="34" t="n">
        <v>92.6</v>
      </c>
      <c r="L1569" s="34" t="n">
        <f aca="false">AVERAGE(C1569:E1569)</f>
        <v>-51.6833333333333</v>
      </c>
      <c r="M1569" s="34" t="n">
        <f aca="false">AVERAGE(C1569:J1569)</f>
        <v>-34.6575</v>
      </c>
    </row>
    <row r="1570" customFormat="false" ht="15" hidden="false" customHeight="true" outlineLevel="0" collapsed="false">
      <c r="A1570" s="34" t="s">
        <v>376</v>
      </c>
      <c r="B1570" s="34" t="n">
        <v>95</v>
      </c>
      <c r="C1570" s="34" t="n">
        <v>66.67</v>
      </c>
      <c r="D1570" s="34" t="n">
        <v>71.17</v>
      </c>
      <c r="E1570" s="34" t="n">
        <v>173.28</v>
      </c>
      <c r="F1570" s="34" t="n">
        <v>38.33</v>
      </c>
      <c r="G1570" s="34" t="n">
        <v>-2.77</v>
      </c>
      <c r="H1570" s="34" t="n">
        <v>39.05</v>
      </c>
      <c r="I1570" s="34" t="n">
        <v>60.03</v>
      </c>
      <c r="J1570" s="34" t="n">
        <v>74.42</v>
      </c>
      <c r="K1570" s="34" t="n">
        <v>90.08</v>
      </c>
      <c r="L1570" s="34" t="n">
        <f aca="false">AVERAGE(C1570:E1570)</f>
        <v>103.706666666667</v>
      </c>
      <c r="M1570" s="34" t="n">
        <f aca="false">AVERAGE(C1570:J1570)</f>
        <v>65.0225</v>
      </c>
    </row>
    <row r="1571" customFormat="false" ht="15" hidden="false" customHeight="true" outlineLevel="0" collapsed="false">
      <c r="A1571" s="34" t="s">
        <v>1759</v>
      </c>
      <c r="B1571" s="34" t="n">
        <v>94.88</v>
      </c>
      <c r="C1571" s="34" t="n">
        <v>-66.67</v>
      </c>
      <c r="D1571" s="34" t="n">
        <v>2.25</v>
      </c>
      <c r="E1571" s="34" t="n">
        <v>83.41</v>
      </c>
      <c r="F1571" s="34" t="n">
        <v>-44.68</v>
      </c>
      <c r="G1571" s="34" t="n">
        <v>-92.37</v>
      </c>
      <c r="H1571" s="34" t="n">
        <v>-95.85</v>
      </c>
      <c r="I1571" s="34" t="n">
        <v>-30.77</v>
      </c>
      <c r="J1571" s="34" t="n">
        <v>-50.76</v>
      </c>
      <c r="K1571" s="34" t="n">
        <v>99.45</v>
      </c>
      <c r="L1571" s="34" t="n">
        <f aca="false">AVERAGE(C1571:E1571)</f>
        <v>6.33</v>
      </c>
      <c r="M1571" s="34" t="n">
        <f aca="false">AVERAGE(C1571:J1571)</f>
        <v>-36.93</v>
      </c>
    </row>
    <row r="1572" customFormat="false" ht="15" hidden="false" customHeight="true" outlineLevel="0" collapsed="false">
      <c r="A1572" s="34" t="s">
        <v>1760</v>
      </c>
      <c r="B1572" s="34" t="n">
        <v>94.83</v>
      </c>
      <c r="C1572" s="34" t="n">
        <v>-66.67</v>
      </c>
      <c r="D1572" s="34" t="n">
        <v>-117.77</v>
      </c>
      <c r="E1572" s="34" t="n">
        <v>65.24</v>
      </c>
      <c r="F1572" s="34" t="n">
        <v>61.38</v>
      </c>
      <c r="G1572" s="34" t="n">
        <v>106.96</v>
      </c>
      <c r="H1572" s="34" t="n">
        <v>96</v>
      </c>
      <c r="I1572" s="34" t="n">
        <v>95.2</v>
      </c>
      <c r="J1572" s="34" t="n">
        <v>94.2</v>
      </c>
      <c r="K1572" s="34" t="n">
        <v>88.78</v>
      </c>
      <c r="L1572" s="34" t="n">
        <f aca="false">AVERAGE(C1572:E1572)</f>
        <v>-39.7333333333333</v>
      </c>
      <c r="M1572" s="34" t="n">
        <f aca="false">AVERAGE(C1572:J1572)</f>
        <v>41.8175</v>
      </c>
    </row>
    <row r="1573" customFormat="false" ht="15" hidden="false" customHeight="true" outlineLevel="0" collapsed="false">
      <c r="A1573" s="34" t="s">
        <v>1761</v>
      </c>
      <c r="B1573" s="34" t="n">
        <v>94.7</v>
      </c>
      <c r="C1573" s="34" t="n">
        <v>-66.67</v>
      </c>
      <c r="D1573" s="34" t="n">
        <v>38.24</v>
      </c>
      <c r="E1573" s="34" t="n">
        <v>107.18</v>
      </c>
      <c r="F1573" s="34" t="n">
        <v>173.18</v>
      </c>
      <c r="G1573" s="34" t="n">
        <v>235.41</v>
      </c>
      <c r="H1573" s="34" t="n">
        <v>274.25</v>
      </c>
      <c r="I1573" s="34" t="n">
        <v>236.06</v>
      </c>
      <c r="J1573" s="34" t="n">
        <v>238.67</v>
      </c>
      <c r="K1573" s="34" t="n">
        <v>89.57</v>
      </c>
      <c r="L1573" s="34" t="n">
        <f aca="false">AVERAGE(C1573:E1573)</f>
        <v>26.25</v>
      </c>
      <c r="M1573" s="34" t="n">
        <f aca="false">AVERAGE(C1573:J1573)</f>
        <v>154.54</v>
      </c>
    </row>
    <row r="1574" customFormat="false" ht="15" hidden="false" customHeight="true" outlineLevel="0" collapsed="false">
      <c r="A1574" s="34" t="s">
        <v>1762</v>
      </c>
      <c r="B1574" s="34" t="n">
        <v>94.7</v>
      </c>
      <c r="C1574" s="34" t="n">
        <v>-66.67</v>
      </c>
      <c r="D1574" s="34" t="n">
        <v>10.26</v>
      </c>
      <c r="E1574" s="34" t="n">
        <v>66.69</v>
      </c>
      <c r="F1574" s="34" t="n">
        <v>-20.08</v>
      </c>
      <c r="G1574" s="34" t="n">
        <v>-63.73</v>
      </c>
      <c r="H1574" s="34" t="n">
        <v>-33.38</v>
      </c>
      <c r="I1574" s="34" t="n">
        <v>11.3</v>
      </c>
      <c r="J1574" s="34" t="n">
        <v>-14.92</v>
      </c>
      <c r="K1574" s="34" t="n">
        <v>96.86</v>
      </c>
      <c r="L1574" s="34" t="n">
        <f aca="false">AVERAGE(C1574:E1574)</f>
        <v>3.42666666666667</v>
      </c>
      <c r="M1574" s="34" t="n">
        <f aca="false">AVERAGE(C1574:J1574)</f>
        <v>-13.81625</v>
      </c>
    </row>
    <row r="1575" customFormat="false" ht="15" hidden="false" customHeight="true" outlineLevel="0" collapsed="false">
      <c r="A1575" s="34" t="s">
        <v>1763</v>
      </c>
      <c r="B1575" s="34" t="n">
        <v>94.5</v>
      </c>
      <c r="C1575" s="34" t="n">
        <v>66.67</v>
      </c>
      <c r="D1575" s="34" t="n">
        <v>106.09</v>
      </c>
      <c r="E1575" s="34" t="n">
        <v>125.48</v>
      </c>
      <c r="F1575" s="34" t="n">
        <v>174.08</v>
      </c>
      <c r="G1575" s="34" t="n">
        <v>288.29</v>
      </c>
      <c r="H1575" s="34" t="n">
        <v>321.02</v>
      </c>
      <c r="I1575" s="34" t="n">
        <v>354.97</v>
      </c>
      <c r="J1575" s="34" t="n">
        <v>321.66</v>
      </c>
      <c r="K1575" s="34" t="n">
        <v>96.8</v>
      </c>
      <c r="L1575" s="34" t="n">
        <f aca="false">AVERAGE(C1575:E1575)</f>
        <v>99.4133333333333</v>
      </c>
      <c r="M1575" s="34" t="n">
        <f aca="false">AVERAGE(C1575:J1575)</f>
        <v>219.7825</v>
      </c>
    </row>
    <row r="1576" customFormat="false" ht="15" hidden="false" customHeight="true" outlineLevel="0" collapsed="false">
      <c r="A1576" s="34" t="s">
        <v>1764</v>
      </c>
      <c r="B1576" s="34" t="n">
        <v>94.06</v>
      </c>
      <c r="C1576" s="34" t="n">
        <v>-66.67</v>
      </c>
      <c r="D1576" s="34" t="n">
        <v>-4.82</v>
      </c>
      <c r="E1576" s="34" t="n">
        <v>81.01</v>
      </c>
      <c r="F1576" s="34" t="n">
        <v>82.08</v>
      </c>
      <c r="G1576" s="34" t="n">
        <v>53.2</v>
      </c>
      <c r="H1576" s="34" t="n">
        <v>75.34</v>
      </c>
      <c r="I1576" s="34" t="n">
        <v>82.85</v>
      </c>
      <c r="J1576" s="34" t="n">
        <v>75.95</v>
      </c>
      <c r="K1576" s="34" t="n">
        <v>90.45</v>
      </c>
      <c r="L1576" s="34" t="n">
        <f aca="false">AVERAGE(C1576:E1576)</f>
        <v>3.17333333333333</v>
      </c>
      <c r="M1576" s="34" t="n">
        <f aca="false">AVERAGE(C1576:J1576)</f>
        <v>47.3675</v>
      </c>
    </row>
    <row r="1577" customFormat="false" ht="15" hidden="false" customHeight="true" outlineLevel="0" collapsed="false">
      <c r="A1577" s="34" t="s">
        <v>1765</v>
      </c>
      <c r="B1577" s="34" t="n">
        <v>93.86</v>
      </c>
      <c r="C1577" s="34" t="n">
        <v>-66.67</v>
      </c>
      <c r="D1577" s="34" t="n">
        <v>-133.33</v>
      </c>
      <c r="E1577" s="34" t="n">
        <v>-47.42</v>
      </c>
      <c r="F1577" s="34" t="n">
        <v>-79.93</v>
      </c>
      <c r="G1577" s="34" t="n">
        <v>-129.57</v>
      </c>
      <c r="H1577" s="34" t="n">
        <v>-35.24</v>
      </c>
      <c r="I1577" s="34" t="n">
        <v>-15.46</v>
      </c>
      <c r="J1577" s="34" t="n">
        <v>-28.07</v>
      </c>
      <c r="K1577" s="34" t="n">
        <v>101.41</v>
      </c>
      <c r="L1577" s="34" t="n">
        <f aca="false">AVERAGE(C1577:E1577)</f>
        <v>-82.4733333333333</v>
      </c>
      <c r="M1577" s="34" t="n">
        <f aca="false">AVERAGE(C1577:J1577)</f>
        <v>-66.96125</v>
      </c>
    </row>
    <row r="1578" customFormat="false" ht="15" hidden="false" customHeight="true" outlineLevel="0" collapsed="false">
      <c r="A1578" s="34" t="s">
        <v>1766</v>
      </c>
      <c r="B1578" s="34" t="n">
        <v>93.85</v>
      </c>
      <c r="C1578" s="34" t="n">
        <v>66.67</v>
      </c>
      <c r="D1578" s="34" t="n">
        <v>60.46</v>
      </c>
      <c r="E1578" s="34" t="n">
        <v>123.68</v>
      </c>
      <c r="F1578" s="34" t="n">
        <v>129.74</v>
      </c>
      <c r="G1578" s="34" t="n">
        <v>68.44</v>
      </c>
      <c r="H1578" s="34" t="n">
        <v>57.41</v>
      </c>
      <c r="I1578" s="34" t="n">
        <v>67.02</v>
      </c>
      <c r="J1578" s="34" t="n">
        <v>68.83</v>
      </c>
      <c r="K1578" s="34" t="n">
        <v>94.77</v>
      </c>
      <c r="L1578" s="34" t="n">
        <f aca="false">AVERAGE(C1578:E1578)</f>
        <v>83.6033333333333</v>
      </c>
      <c r="M1578" s="34" t="n">
        <f aca="false">AVERAGE(C1578:J1578)</f>
        <v>80.28125</v>
      </c>
    </row>
    <row r="1579" customFormat="false" ht="15" hidden="false" customHeight="true" outlineLevel="0" collapsed="false">
      <c r="A1579" s="34" t="s">
        <v>1767</v>
      </c>
      <c r="B1579" s="34" t="n">
        <v>93.69</v>
      </c>
      <c r="C1579" s="34" t="n">
        <v>-66.67</v>
      </c>
      <c r="D1579" s="34" t="n">
        <v>-133.33</v>
      </c>
      <c r="E1579" s="34" t="n">
        <v>61.47</v>
      </c>
      <c r="F1579" s="34" t="n">
        <v>13.63</v>
      </c>
      <c r="G1579" s="34" t="n">
        <v>2.42</v>
      </c>
      <c r="H1579" s="34" t="n">
        <v>44.85</v>
      </c>
      <c r="I1579" s="34" t="n">
        <v>61.08</v>
      </c>
      <c r="J1579" s="34" t="n">
        <v>72.36</v>
      </c>
      <c r="K1579" s="34" t="n">
        <v>91.79</v>
      </c>
      <c r="L1579" s="34" t="n">
        <f aca="false">AVERAGE(C1579:E1579)</f>
        <v>-46.1766666666667</v>
      </c>
      <c r="M1579" s="34" t="n">
        <f aca="false">AVERAGE(C1579:J1579)</f>
        <v>6.97625</v>
      </c>
    </row>
    <row r="1580" customFormat="false" ht="15" hidden="false" customHeight="true" outlineLevel="0" collapsed="false">
      <c r="A1580" s="34" t="s">
        <v>1768</v>
      </c>
      <c r="B1580" s="34" t="n">
        <v>93.55</v>
      </c>
      <c r="C1580" s="34" t="n">
        <v>-66.67</v>
      </c>
      <c r="D1580" s="34" t="n">
        <v>4.16</v>
      </c>
      <c r="E1580" s="34" t="n">
        <v>70.96</v>
      </c>
      <c r="F1580" s="34" t="n">
        <v>72.19</v>
      </c>
      <c r="G1580" s="34"/>
      <c r="H1580" s="34"/>
      <c r="I1580" s="34"/>
      <c r="J1580" s="34"/>
      <c r="K1580" s="34" t="n">
        <v>91.22</v>
      </c>
      <c r="L1580" s="34" t="n">
        <f aca="false">AVERAGE(C1580:E1580)</f>
        <v>2.81666666666666</v>
      </c>
      <c r="M1580" s="34" t="n">
        <f aca="false">AVERAGE(C1580:J1580)</f>
        <v>20.16</v>
      </c>
    </row>
    <row r="1581" customFormat="false" ht="15" hidden="false" customHeight="true" outlineLevel="0" collapsed="false">
      <c r="A1581" s="34" t="s">
        <v>1769</v>
      </c>
      <c r="B1581" s="34" t="n">
        <v>93</v>
      </c>
      <c r="C1581" s="34" t="n">
        <v>-66.67</v>
      </c>
      <c r="D1581" s="34" t="n">
        <v>-41</v>
      </c>
      <c r="E1581" s="34" t="n">
        <v>-80.38</v>
      </c>
      <c r="F1581" s="34" t="n">
        <v>-87.74</v>
      </c>
      <c r="G1581" s="34" t="n">
        <v>-110.26</v>
      </c>
      <c r="H1581" s="34" t="n">
        <v>-146.44</v>
      </c>
      <c r="I1581" s="34" t="n">
        <v>-112.9</v>
      </c>
      <c r="J1581" s="34" t="n">
        <v>-94.56</v>
      </c>
      <c r="K1581" s="34" t="n">
        <v>102.4</v>
      </c>
      <c r="L1581" s="34" t="n">
        <f aca="false">AVERAGE(C1581:E1581)</f>
        <v>-62.6833333333333</v>
      </c>
      <c r="M1581" s="34" t="n">
        <f aca="false">AVERAGE(C1581:J1581)</f>
        <v>-92.49375</v>
      </c>
    </row>
    <row r="1582" customFormat="false" ht="15" hidden="false" customHeight="true" outlineLevel="0" collapsed="false">
      <c r="A1582" s="34" t="s">
        <v>1770</v>
      </c>
      <c r="B1582" s="34" t="n">
        <v>93</v>
      </c>
      <c r="C1582" s="34" t="n">
        <v>-66.67</v>
      </c>
      <c r="D1582" s="34" t="n">
        <v>-133.33</v>
      </c>
      <c r="E1582" s="34" t="n">
        <v>38.62</v>
      </c>
      <c r="F1582" s="34" t="n">
        <v>-37.02</v>
      </c>
      <c r="G1582" s="34" t="n">
        <v>-82.64</v>
      </c>
      <c r="H1582" s="34" t="n">
        <v>-34.46</v>
      </c>
      <c r="I1582" s="34" t="n">
        <v>-16.81</v>
      </c>
      <c r="J1582" s="34" t="n">
        <v>-46.79</v>
      </c>
      <c r="K1582" s="34" t="n">
        <v>95.59</v>
      </c>
      <c r="L1582" s="34" t="n">
        <f aca="false">AVERAGE(C1582:E1582)</f>
        <v>-53.7933333333333</v>
      </c>
      <c r="M1582" s="34" t="n">
        <f aca="false">AVERAGE(C1582:J1582)</f>
        <v>-47.3875</v>
      </c>
    </row>
    <row r="1583" customFormat="false" ht="15" hidden="false" customHeight="true" outlineLevel="0" collapsed="false">
      <c r="A1583" s="34" t="s">
        <v>1771</v>
      </c>
      <c r="B1583" s="34" t="n">
        <v>92.28</v>
      </c>
      <c r="C1583" s="34" t="n">
        <v>-66.67</v>
      </c>
      <c r="D1583" s="34" t="n">
        <v>-118.56</v>
      </c>
      <c r="E1583" s="34" t="n">
        <v>44.27</v>
      </c>
      <c r="F1583" s="34" t="n">
        <v>145.04</v>
      </c>
      <c r="G1583" s="34" t="n">
        <v>214.76</v>
      </c>
      <c r="H1583" s="34" t="n">
        <v>218.88</v>
      </c>
      <c r="I1583" s="34" t="n">
        <v>214.47</v>
      </c>
      <c r="J1583" s="34" t="n">
        <v>175.35</v>
      </c>
      <c r="K1583" s="34" t="n">
        <v>88.04</v>
      </c>
      <c r="L1583" s="34" t="n">
        <f aca="false">AVERAGE(C1583:E1583)</f>
        <v>-46.9866666666667</v>
      </c>
      <c r="M1583" s="34" t="n">
        <f aca="false">AVERAGE(C1583:J1583)</f>
        <v>103.4425</v>
      </c>
    </row>
    <row r="1584" customFormat="false" ht="15" hidden="false" customHeight="true" outlineLevel="0" collapsed="false">
      <c r="A1584" s="34" t="s">
        <v>1772</v>
      </c>
      <c r="B1584" s="34" t="n">
        <v>91.74</v>
      </c>
      <c r="C1584" s="34" t="n">
        <v>-66.67</v>
      </c>
      <c r="D1584" s="34" t="n">
        <v>-14.66</v>
      </c>
      <c r="E1584" s="34" t="n">
        <v>70.97</v>
      </c>
      <c r="F1584" s="34" t="n">
        <v>24.81</v>
      </c>
      <c r="G1584" s="34" t="n">
        <v>-3.97</v>
      </c>
      <c r="H1584" s="34" t="n">
        <v>35.59</v>
      </c>
      <c r="I1584" s="34" t="n">
        <v>55.62</v>
      </c>
      <c r="J1584" s="34" t="n">
        <v>67.16</v>
      </c>
      <c r="K1584" s="34" t="n">
        <v>92.46</v>
      </c>
      <c r="L1584" s="34" t="n">
        <f aca="false">AVERAGE(C1584:E1584)</f>
        <v>-3.45333333333333</v>
      </c>
      <c r="M1584" s="34" t="n">
        <f aca="false">AVERAGE(C1584:J1584)</f>
        <v>21.10625</v>
      </c>
    </row>
    <row r="1585" customFormat="false" ht="15" hidden="false" customHeight="true" outlineLevel="0" collapsed="false">
      <c r="A1585" s="34" t="s">
        <v>1773</v>
      </c>
      <c r="B1585" s="34" t="n">
        <v>91.6</v>
      </c>
      <c r="C1585" s="34" t="n">
        <v>-66.67</v>
      </c>
      <c r="D1585" s="34" t="n">
        <v>-14.54</v>
      </c>
      <c r="E1585" s="34" t="n">
        <v>44.35</v>
      </c>
      <c r="F1585" s="34" t="n">
        <v>-33.42</v>
      </c>
      <c r="G1585" s="34" t="n">
        <v>-82.57</v>
      </c>
      <c r="H1585" s="34" t="n">
        <v>-33.08</v>
      </c>
      <c r="I1585" s="34" t="n">
        <v>16.29</v>
      </c>
      <c r="J1585" s="34" t="n">
        <v>19.03</v>
      </c>
      <c r="K1585" s="34" t="n">
        <v>94.96</v>
      </c>
      <c r="L1585" s="34" t="n">
        <f aca="false">AVERAGE(C1585:E1585)</f>
        <v>-12.2866666666667</v>
      </c>
      <c r="M1585" s="34" t="n">
        <f aca="false">AVERAGE(C1585:J1585)</f>
        <v>-18.82625</v>
      </c>
    </row>
    <row r="1586" customFormat="false" ht="15" hidden="false" customHeight="true" outlineLevel="0" collapsed="false">
      <c r="A1586" s="34" t="s">
        <v>1774</v>
      </c>
      <c r="B1586" s="34" t="n">
        <v>91.58</v>
      </c>
      <c r="C1586" s="34" t="n">
        <v>-66.67</v>
      </c>
      <c r="D1586" s="34" t="n">
        <v>-72.22</v>
      </c>
      <c r="E1586" s="34" t="n">
        <v>-143.2</v>
      </c>
      <c r="F1586" s="34" t="n">
        <v>-126.84</v>
      </c>
      <c r="G1586" s="34" t="n">
        <v>-73.47</v>
      </c>
      <c r="H1586" s="34" t="n">
        <v>-12.41</v>
      </c>
      <c r="I1586" s="34" t="n">
        <v>7</v>
      </c>
      <c r="J1586" s="34" t="n">
        <v>-17.26</v>
      </c>
      <c r="K1586" s="34" t="n">
        <v>97.59</v>
      </c>
      <c r="L1586" s="34" t="n">
        <f aca="false">AVERAGE(C1586:E1586)</f>
        <v>-94.03</v>
      </c>
      <c r="M1586" s="34" t="n">
        <f aca="false">AVERAGE(C1586:J1586)</f>
        <v>-63.13375</v>
      </c>
    </row>
    <row r="1587" customFormat="false" ht="15" hidden="false" customHeight="true" outlineLevel="0" collapsed="false">
      <c r="A1587" s="34" t="s">
        <v>1775</v>
      </c>
      <c r="B1587" s="34" t="n">
        <v>91.53</v>
      </c>
      <c r="C1587" s="34" t="n">
        <v>-66.67</v>
      </c>
      <c r="D1587" s="34" t="n">
        <v>6.5</v>
      </c>
      <c r="E1587" s="34" t="n">
        <v>70.34</v>
      </c>
      <c r="F1587" s="34" t="n">
        <v>25.41</v>
      </c>
      <c r="G1587" s="34" t="n">
        <v>41.25</v>
      </c>
      <c r="H1587" s="34" t="n">
        <v>31.6</v>
      </c>
      <c r="I1587" s="34" t="n">
        <v>39.53</v>
      </c>
      <c r="J1587" s="34" t="n">
        <v>5.21</v>
      </c>
      <c r="K1587" s="34" t="n">
        <v>87.67</v>
      </c>
      <c r="L1587" s="34" t="n">
        <f aca="false">AVERAGE(C1587:E1587)</f>
        <v>3.39</v>
      </c>
      <c r="M1587" s="34" t="n">
        <f aca="false">AVERAGE(C1587:J1587)</f>
        <v>19.14625</v>
      </c>
    </row>
    <row r="1588" customFormat="false" ht="15" hidden="false" customHeight="true" outlineLevel="0" collapsed="false">
      <c r="A1588" s="34" t="s">
        <v>1776</v>
      </c>
      <c r="B1588" s="34" t="n">
        <v>91.5</v>
      </c>
      <c r="C1588" s="34" t="n">
        <v>-66.67</v>
      </c>
      <c r="D1588" s="34" t="n">
        <v>-133.33</v>
      </c>
      <c r="E1588" s="34" t="n">
        <v>-30.97</v>
      </c>
      <c r="F1588" s="34" t="n">
        <v>-42.4</v>
      </c>
      <c r="G1588" s="34" t="n">
        <v>37.8</v>
      </c>
      <c r="H1588" s="34" t="n">
        <v>72.31</v>
      </c>
      <c r="I1588" s="34" t="n">
        <v>99.76</v>
      </c>
      <c r="J1588" s="34" t="n">
        <v>91.85</v>
      </c>
      <c r="K1588" s="34" t="n">
        <v>99.88</v>
      </c>
      <c r="L1588" s="34" t="n">
        <f aca="false">AVERAGE(C1588:E1588)</f>
        <v>-76.99</v>
      </c>
      <c r="M1588" s="34" t="n">
        <f aca="false">AVERAGE(C1588:J1588)</f>
        <v>3.54375</v>
      </c>
    </row>
    <row r="1589" customFormat="false" ht="15" hidden="false" customHeight="true" outlineLevel="0" collapsed="false">
      <c r="A1589" s="34" t="s">
        <v>1777</v>
      </c>
      <c r="B1589" s="34" t="n">
        <v>91.13</v>
      </c>
      <c r="C1589" s="34" t="n">
        <v>-66.67</v>
      </c>
      <c r="D1589" s="34" t="n">
        <v>49.74</v>
      </c>
      <c r="E1589" s="34" t="n">
        <v>105.63</v>
      </c>
      <c r="F1589" s="34" t="n">
        <v>-31.46</v>
      </c>
      <c r="G1589" s="34" t="n">
        <v>-83.36</v>
      </c>
      <c r="H1589" s="34" t="n">
        <v>-32.66</v>
      </c>
      <c r="I1589" s="34" t="n">
        <v>4.88</v>
      </c>
      <c r="J1589" s="34" t="n">
        <v>10.98</v>
      </c>
      <c r="K1589" s="34" t="n">
        <v>92.68</v>
      </c>
      <c r="L1589" s="34" t="n">
        <f aca="false">AVERAGE(C1589:E1589)</f>
        <v>29.5666666666667</v>
      </c>
      <c r="M1589" s="34" t="n">
        <f aca="false">AVERAGE(C1589:J1589)</f>
        <v>-5.365</v>
      </c>
    </row>
    <row r="1590" customFormat="false" ht="15" hidden="false" customHeight="true" outlineLevel="0" collapsed="false">
      <c r="A1590" s="34" t="s">
        <v>1778</v>
      </c>
      <c r="B1590" s="34" t="n">
        <v>91.01</v>
      </c>
      <c r="C1590" s="34" t="n">
        <v>-66.67</v>
      </c>
      <c r="D1590" s="34" t="n">
        <v>-102.82</v>
      </c>
      <c r="E1590" s="34" t="n">
        <v>-116</v>
      </c>
      <c r="F1590" s="34" t="n">
        <v>-68.65</v>
      </c>
      <c r="G1590" s="34" t="n">
        <v>-0.018</v>
      </c>
      <c r="H1590" s="34" t="n">
        <v>45.1</v>
      </c>
      <c r="I1590" s="34" t="n">
        <v>62.93</v>
      </c>
      <c r="J1590" s="34" t="n">
        <v>76.73</v>
      </c>
      <c r="K1590" s="34" t="n">
        <v>89.28</v>
      </c>
      <c r="L1590" s="34" t="n">
        <f aca="false">AVERAGE(C1590:E1590)</f>
        <v>-95.1633333333333</v>
      </c>
      <c r="M1590" s="34" t="n">
        <f aca="false">AVERAGE(C1590:J1590)</f>
        <v>-21.17475</v>
      </c>
    </row>
    <row r="1591" customFormat="false" ht="15" hidden="false" customHeight="true" outlineLevel="0" collapsed="false">
      <c r="A1591" s="34" t="s">
        <v>1779</v>
      </c>
      <c r="B1591" s="34" t="n">
        <v>91</v>
      </c>
      <c r="C1591" s="34" t="n">
        <v>-66.67</v>
      </c>
      <c r="D1591" s="34" t="n">
        <v>6.9</v>
      </c>
      <c r="E1591" s="34" t="n">
        <v>60.12</v>
      </c>
      <c r="F1591" s="34" t="n">
        <v>71.02</v>
      </c>
      <c r="G1591" s="34" t="n">
        <v>113.53</v>
      </c>
      <c r="H1591" s="34" t="n">
        <v>161.35</v>
      </c>
      <c r="I1591" s="34" t="n">
        <v>154.49</v>
      </c>
      <c r="J1591" s="34" t="n">
        <v>110.04</v>
      </c>
      <c r="K1591" s="34" t="n">
        <v>82.71</v>
      </c>
      <c r="L1591" s="34" t="n">
        <f aca="false">AVERAGE(C1591:E1591)</f>
        <v>0.116666666666665</v>
      </c>
      <c r="M1591" s="34" t="n">
        <f aca="false">AVERAGE(C1591:J1591)</f>
        <v>76.3475</v>
      </c>
    </row>
    <row r="1592" customFormat="false" ht="15" hidden="false" customHeight="true" outlineLevel="0" collapsed="false">
      <c r="A1592" s="34" t="s">
        <v>1780</v>
      </c>
      <c r="B1592" s="34" t="n">
        <v>90.9</v>
      </c>
      <c r="C1592" s="34" t="n">
        <v>-66.67</v>
      </c>
      <c r="D1592" s="34" t="n">
        <v>13.57</v>
      </c>
      <c r="E1592" s="34" t="n">
        <v>55.06</v>
      </c>
      <c r="F1592" s="34" t="n">
        <v>-68.26</v>
      </c>
      <c r="G1592" s="34" t="n">
        <v>-118.55</v>
      </c>
      <c r="H1592" s="34" t="n">
        <v>-61.52</v>
      </c>
      <c r="I1592" s="34" t="n">
        <v>-19.69</v>
      </c>
      <c r="J1592" s="34" t="n">
        <v>-21.12</v>
      </c>
      <c r="K1592" s="34" t="n">
        <v>94.02</v>
      </c>
      <c r="L1592" s="34" t="n">
        <f aca="false">AVERAGE(C1592:E1592)</f>
        <v>0.653333333333331</v>
      </c>
      <c r="M1592" s="34" t="n">
        <f aca="false">AVERAGE(C1592:J1592)</f>
        <v>-35.8975</v>
      </c>
    </row>
    <row r="1593" customFormat="false" ht="15" hidden="false" customHeight="true" outlineLevel="0" collapsed="false">
      <c r="A1593" s="34" t="s">
        <v>1781</v>
      </c>
      <c r="B1593" s="34" t="n">
        <v>90.24</v>
      </c>
      <c r="C1593" s="34" t="n">
        <v>-66.67</v>
      </c>
      <c r="D1593" s="34" t="n">
        <v>-120.35</v>
      </c>
      <c r="E1593" s="34" t="n">
        <v>-166.6</v>
      </c>
      <c r="F1593" s="34" t="n">
        <v>-109.64</v>
      </c>
      <c r="G1593" s="34" t="n">
        <v>-142</v>
      </c>
      <c r="H1593" s="34" t="n">
        <v>-12.03</v>
      </c>
      <c r="I1593" s="34" t="n">
        <v>12.26</v>
      </c>
      <c r="J1593" s="34" t="n">
        <v>12.79</v>
      </c>
      <c r="K1593" s="34" t="n">
        <v>97.49</v>
      </c>
      <c r="L1593" s="34" t="n">
        <f aca="false">AVERAGE(C1593:E1593)</f>
        <v>-117.873333333333</v>
      </c>
      <c r="M1593" s="34" t="n">
        <f aca="false">AVERAGE(C1593:J1593)</f>
        <v>-74.03</v>
      </c>
    </row>
    <row r="1594" customFormat="false" ht="15" hidden="false" customHeight="true" outlineLevel="0" collapsed="false">
      <c r="A1594" s="34" t="s">
        <v>1782</v>
      </c>
      <c r="B1594" s="34" t="n">
        <v>90.12</v>
      </c>
      <c r="C1594" s="34" t="n">
        <v>-66.67</v>
      </c>
      <c r="D1594" s="34" t="n">
        <v>-133.33</v>
      </c>
      <c r="E1594" s="34" t="n">
        <v>-93.41</v>
      </c>
      <c r="F1594" s="34" t="n">
        <v>-141.43</v>
      </c>
      <c r="G1594" s="34" t="n">
        <v>-132.13</v>
      </c>
      <c r="H1594" s="34" t="n">
        <v>-84.91</v>
      </c>
      <c r="I1594" s="34" t="n">
        <v>-49.96</v>
      </c>
      <c r="J1594" s="34" t="n">
        <v>-62.08</v>
      </c>
      <c r="K1594" s="34" t="n">
        <v>99.61</v>
      </c>
      <c r="L1594" s="34" t="n">
        <f aca="false">AVERAGE(C1594:E1594)</f>
        <v>-97.8033333333333</v>
      </c>
      <c r="M1594" s="34" t="n">
        <f aca="false">AVERAGE(C1594:J1594)</f>
        <v>-95.49</v>
      </c>
    </row>
    <row r="1595" customFormat="false" ht="15" hidden="false" customHeight="true" outlineLevel="0" collapsed="false">
      <c r="A1595" s="34" t="s">
        <v>1783</v>
      </c>
      <c r="B1595" s="34" t="n">
        <v>90.08</v>
      </c>
      <c r="C1595" s="34" t="n">
        <v>-66.67</v>
      </c>
      <c r="D1595" s="34" t="n">
        <v>-113.42</v>
      </c>
      <c r="E1595" s="34" t="n">
        <v>-45.15</v>
      </c>
      <c r="F1595" s="34" t="n">
        <v>-53.27</v>
      </c>
      <c r="G1595" s="34" t="n">
        <v>-91.75</v>
      </c>
      <c r="H1595" s="34" t="n">
        <v>-80.04</v>
      </c>
      <c r="I1595" s="34" t="n">
        <v>-65.48</v>
      </c>
      <c r="J1595" s="34" t="n">
        <v>-69.76</v>
      </c>
      <c r="K1595" s="34" t="n">
        <v>95.19</v>
      </c>
      <c r="L1595" s="34" t="n">
        <f aca="false">AVERAGE(C1595:E1595)</f>
        <v>-75.08</v>
      </c>
      <c r="M1595" s="34" t="n">
        <f aca="false">AVERAGE(C1595:J1595)</f>
        <v>-73.1925</v>
      </c>
    </row>
    <row r="1596" customFormat="false" ht="15" hidden="false" customHeight="true" outlineLevel="0" collapsed="false">
      <c r="A1596" s="34" t="s">
        <v>1784</v>
      </c>
      <c r="B1596" s="34" t="n">
        <v>89.96</v>
      </c>
      <c r="C1596" s="34" t="n">
        <v>-66.67</v>
      </c>
      <c r="D1596" s="34" t="n">
        <v>-36</v>
      </c>
      <c r="E1596" s="34" t="n">
        <v>66.05</v>
      </c>
      <c r="F1596" s="34" t="n">
        <v>36.61</v>
      </c>
      <c r="G1596" s="34" t="n">
        <v>20.9</v>
      </c>
      <c r="H1596" s="34" t="n">
        <v>57.68</v>
      </c>
      <c r="I1596" s="34" t="n">
        <v>66.88</v>
      </c>
      <c r="J1596" s="34" t="n">
        <v>78.24</v>
      </c>
      <c r="K1596" s="34" t="n">
        <v>90.69</v>
      </c>
      <c r="L1596" s="34" t="n">
        <f aca="false">AVERAGE(C1596:E1596)</f>
        <v>-12.2066666666667</v>
      </c>
      <c r="M1596" s="34" t="n">
        <f aca="false">AVERAGE(C1596:J1596)</f>
        <v>27.96125</v>
      </c>
    </row>
    <row r="1597" customFormat="false" ht="15" hidden="false" customHeight="true" outlineLevel="0" collapsed="false">
      <c r="A1597" s="34" t="s">
        <v>1785</v>
      </c>
      <c r="B1597" s="34" t="n">
        <v>89.75</v>
      </c>
      <c r="C1597" s="34" t="n">
        <v>-66.67</v>
      </c>
      <c r="D1597" s="34" t="n">
        <v>-15.07</v>
      </c>
      <c r="E1597" s="34" t="n">
        <v>17.5</v>
      </c>
      <c r="F1597" s="34" t="n">
        <v>104.98</v>
      </c>
      <c r="G1597" s="34" t="n">
        <v>183.18</v>
      </c>
      <c r="H1597" s="34" t="n">
        <v>235.07</v>
      </c>
      <c r="I1597" s="34" t="n">
        <v>156.23</v>
      </c>
      <c r="J1597" s="34" t="n">
        <v>70.18</v>
      </c>
      <c r="K1597" s="34" t="n">
        <v>84.64</v>
      </c>
      <c r="L1597" s="34" t="n">
        <f aca="false">AVERAGE(C1597:E1597)</f>
        <v>-21.4133333333333</v>
      </c>
      <c r="M1597" s="34" t="n">
        <f aca="false">AVERAGE(C1597:J1597)</f>
        <v>85.675</v>
      </c>
    </row>
    <row r="1598" customFormat="false" ht="15" hidden="false" customHeight="true" outlineLevel="0" collapsed="false">
      <c r="A1598" s="34" t="s">
        <v>1786</v>
      </c>
      <c r="B1598" s="34" t="n">
        <v>89.65</v>
      </c>
      <c r="C1598" s="34" t="n">
        <v>-66.67</v>
      </c>
      <c r="D1598" s="34" t="n">
        <v>-133.33</v>
      </c>
      <c r="E1598" s="34" t="n">
        <v>-27.12</v>
      </c>
      <c r="F1598" s="34" t="n">
        <v>-81.34</v>
      </c>
      <c r="G1598" s="34" t="n">
        <v>-122.17</v>
      </c>
      <c r="H1598" s="34" t="n">
        <v>-12.21</v>
      </c>
      <c r="I1598" s="34" t="n">
        <v>24.05</v>
      </c>
      <c r="J1598" s="34" t="n">
        <v>25.83</v>
      </c>
      <c r="K1598" s="34" t="n">
        <v>95.28</v>
      </c>
      <c r="L1598" s="34" t="n">
        <f aca="false">AVERAGE(C1598:E1598)</f>
        <v>-75.7066666666667</v>
      </c>
      <c r="M1598" s="34" t="n">
        <f aca="false">AVERAGE(C1598:J1598)</f>
        <v>-49.12</v>
      </c>
    </row>
    <row r="1599" customFormat="false" ht="15" hidden="false" customHeight="true" outlineLevel="0" collapsed="false">
      <c r="A1599" s="34" t="s">
        <v>1787</v>
      </c>
      <c r="B1599" s="34" t="n">
        <v>89.57</v>
      </c>
      <c r="C1599" s="34" t="n">
        <v>-66.67</v>
      </c>
      <c r="D1599" s="34" t="n">
        <v>-87.33</v>
      </c>
      <c r="E1599" s="34" t="n">
        <v>-84.34</v>
      </c>
      <c r="F1599" s="34" t="n">
        <v>-81.72</v>
      </c>
      <c r="G1599" s="34" t="n">
        <v>-125.63</v>
      </c>
      <c r="H1599" s="34" t="n">
        <v>-68.48</v>
      </c>
      <c r="I1599" s="34" t="n">
        <v>5.93</v>
      </c>
      <c r="J1599" s="34" t="n">
        <v>27.83</v>
      </c>
      <c r="K1599" s="34" t="n">
        <v>94.46</v>
      </c>
      <c r="L1599" s="34" t="n">
        <f aca="false">AVERAGE(C1599:E1599)</f>
        <v>-79.4466666666667</v>
      </c>
      <c r="M1599" s="34" t="n">
        <f aca="false">AVERAGE(C1599:J1599)</f>
        <v>-60.05125</v>
      </c>
    </row>
    <row r="1600" customFormat="false" ht="15" hidden="false" customHeight="true" outlineLevel="0" collapsed="false">
      <c r="A1600" s="34" t="s">
        <v>297</v>
      </c>
      <c r="B1600" s="34" t="n">
        <v>89.55</v>
      </c>
      <c r="C1600" s="34" t="n">
        <v>-66.67</v>
      </c>
      <c r="D1600" s="34" t="n">
        <v>-73.36</v>
      </c>
      <c r="E1600" s="34" t="n">
        <v>-15.11</v>
      </c>
      <c r="F1600" s="34" t="n">
        <v>-74.12</v>
      </c>
      <c r="G1600" s="34" t="n">
        <v>28.49</v>
      </c>
      <c r="H1600" s="34" t="n">
        <v>43.97</v>
      </c>
      <c r="I1600" s="34" t="n">
        <v>62.97</v>
      </c>
      <c r="J1600" s="34" t="n">
        <v>70.93</v>
      </c>
      <c r="K1600" s="34" t="n">
        <v>92.71</v>
      </c>
      <c r="L1600" s="34" t="n">
        <f aca="false">AVERAGE(C1600:E1600)</f>
        <v>-51.7133333333333</v>
      </c>
      <c r="M1600" s="34" t="n">
        <f aca="false">AVERAGE(C1600:J1600)</f>
        <v>-2.8625</v>
      </c>
    </row>
    <row r="1601" customFormat="false" ht="15" hidden="false" customHeight="true" outlineLevel="0" collapsed="false">
      <c r="A1601" s="34" t="s">
        <v>1788</v>
      </c>
      <c r="B1601" s="34" t="n">
        <v>89.35</v>
      </c>
      <c r="C1601" s="34" t="n">
        <v>-66.67</v>
      </c>
      <c r="D1601" s="34" t="n">
        <v>-111.38</v>
      </c>
      <c r="E1601" s="34" t="n">
        <v>54.05</v>
      </c>
      <c r="F1601" s="34" t="n">
        <v>7.87</v>
      </c>
      <c r="G1601" s="34" t="n">
        <v>21.28</v>
      </c>
      <c r="H1601" s="34" t="n">
        <v>53.91</v>
      </c>
      <c r="I1601" s="34" t="n">
        <v>69.2</v>
      </c>
      <c r="J1601" s="34" t="n">
        <v>76.47</v>
      </c>
      <c r="K1601" s="34" t="n">
        <v>90.62</v>
      </c>
      <c r="L1601" s="34" t="n">
        <f aca="false">AVERAGE(C1601:E1601)</f>
        <v>-41.3333333333333</v>
      </c>
      <c r="M1601" s="34" t="n">
        <f aca="false">AVERAGE(C1601:J1601)</f>
        <v>13.09125</v>
      </c>
    </row>
    <row r="1602" customFormat="false" ht="15" hidden="false" customHeight="true" outlineLevel="0" collapsed="false">
      <c r="A1602" s="34" t="s">
        <v>1789</v>
      </c>
      <c r="B1602" s="34" t="n">
        <v>89.2</v>
      </c>
      <c r="C1602" s="34" t="n">
        <v>-66.67</v>
      </c>
      <c r="D1602" s="34" t="n">
        <v>-39.9</v>
      </c>
      <c r="E1602" s="34" t="n">
        <v>57.51</v>
      </c>
      <c r="F1602" s="34" t="n">
        <v>-54.45</v>
      </c>
      <c r="G1602" s="34" t="n">
        <v>-108.26</v>
      </c>
      <c r="H1602" s="34" t="n">
        <v>-81.5</v>
      </c>
      <c r="I1602" s="34" t="n">
        <v>-41.45</v>
      </c>
      <c r="J1602" s="34" t="n">
        <v>-42.88</v>
      </c>
      <c r="K1602" s="34" t="n">
        <v>92.2</v>
      </c>
      <c r="L1602" s="34" t="n">
        <f aca="false">AVERAGE(C1602:E1602)</f>
        <v>-16.3533333333333</v>
      </c>
      <c r="M1602" s="34" t="n">
        <f aca="false">AVERAGE(C1602:J1602)</f>
        <v>-47.2</v>
      </c>
    </row>
    <row r="1603" customFormat="false" ht="15" hidden="false" customHeight="true" outlineLevel="0" collapsed="false">
      <c r="A1603" s="34" t="s">
        <v>1790</v>
      </c>
      <c r="B1603" s="34" t="n">
        <v>89.17</v>
      </c>
      <c r="C1603" s="34" t="n">
        <v>-66.67</v>
      </c>
      <c r="D1603" s="34" t="n">
        <v>-96.86</v>
      </c>
      <c r="E1603" s="34" t="n">
        <v>46.3</v>
      </c>
      <c r="F1603" s="34" t="n">
        <v>-20.54</v>
      </c>
      <c r="G1603" s="34" t="n">
        <v>-6.22</v>
      </c>
      <c r="H1603" s="34" t="n">
        <v>40.91</v>
      </c>
      <c r="I1603" s="34" t="n">
        <v>61.27</v>
      </c>
      <c r="J1603" s="34" t="n">
        <v>75.49</v>
      </c>
      <c r="K1603" s="34" t="n">
        <v>91.11</v>
      </c>
      <c r="L1603" s="34" t="n">
        <f aca="false">AVERAGE(C1603:E1603)</f>
        <v>-39.0766666666667</v>
      </c>
      <c r="M1603" s="34" t="n">
        <f aca="false">AVERAGE(C1603:J1603)</f>
        <v>4.21</v>
      </c>
    </row>
    <row r="1604" customFormat="false" ht="15" hidden="false" customHeight="true" outlineLevel="0" collapsed="false">
      <c r="A1604" s="34" t="s">
        <v>1791</v>
      </c>
      <c r="B1604" s="34" t="n">
        <v>88.49</v>
      </c>
      <c r="C1604" s="34" t="n">
        <v>-66.67</v>
      </c>
      <c r="D1604" s="34" t="n">
        <v>-76.93</v>
      </c>
      <c r="E1604" s="34" t="n">
        <v>-71.73</v>
      </c>
      <c r="F1604" s="34" t="n">
        <v>-67.52</v>
      </c>
      <c r="G1604" s="34" t="n">
        <v>-102.68</v>
      </c>
      <c r="H1604" s="34" t="n">
        <v>-122.45</v>
      </c>
      <c r="I1604" s="34" t="n">
        <v>-70.26</v>
      </c>
      <c r="J1604" s="34" t="n">
        <v>-81.99</v>
      </c>
      <c r="K1604" s="34" t="n">
        <v>96.84</v>
      </c>
      <c r="L1604" s="34" t="n">
        <f aca="false">AVERAGE(C1604:E1604)</f>
        <v>-71.7766666666667</v>
      </c>
      <c r="M1604" s="34" t="n">
        <f aca="false">AVERAGE(C1604:J1604)</f>
        <v>-82.52875</v>
      </c>
    </row>
    <row r="1605" customFormat="false" ht="15" hidden="false" customHeight="true" outlineLevel="0" collapsed="false">
      <c r="A1605" s="34" t="s">
        <v>1792</v>
      </c>
      <c r="B1605" s="34" t="n">
        <v>88.33</v>
      </c>
      <c r="C1605" s="34" t="n">
        <v>-66.67</v>
      </c>
      <c r="D1605" s="34" t="n">
        <v>-96.26</v>
      </c>
      <c r="E1605" s="34" t="n">
        <v>-77.06</v>
      </c>
      <c r="F1605" s="34" t="n">
        <v>-122.66</v>
      </c>
      <c r="G1605" s="34" t="n">
        <v>-196.47</v>
      </c>
      <c r="H1605" s="34" t="n">
        <v>-210.56</v>
      </c>
      <c r="I1605" s="34" t="n">
        <v>-98.44</v>
      </c>
      <c r="J1605" s="34" t="n">
        <v>-108.57</v>
      </c>
      <c r="K1605" s="34" t="n">
        <v>97.06</v>
      </c>
      <c r="L1605" s="34" t="n">
        <f aca="false">AVERAGE(C1605:E1605)</f>
        <v>-79.9966666666667</v>
      </c>
      <c r="M1605" s="34" t="n">
        <f aca="false">AVERAGE(C1605:J1605)</f>
        <v>-122.08625</v>
      </c>
    </row>
    <row r="1606" customFormat="false" ht="15" hidden="false" customHeight="true" outlineLevel="0" collapsed="false">
      <c r="A1606" s="34" t="s">
        <v>1793</v>
      </c>
      <c r="B1606" s="34" t="n">
        <v>88.29</v>
      </c>
      <c r="C1606" s="34" t="n">
        <v>-66.67</v>
      </c>
      <c r="D1606" s="34" t="n">
        <v>-112.11</v>
      </c>
      <c r="E1606" s="34" t="n">
        <v>30.31</v>
      </c>
      <c r="F1606" s="34" t="n">
        <v>6.06</v>
      </c>
      <c r="G1606" s="34" t="n">
        <v>47.74</v>
      </c>
      <c r="H1606" s="34" t="n">
        <v>83.99</v>
      </c>
      <c r="I1606" s="34" t="n">
        <v>100.54</v>
      </c>
      <c r="J1606" s="34" t="n">
        <v>72.78</v>
      </c>
      <c r="K1606" s="34" t="n">
        <v>83.48</v>
      </c>
      <c r="L1606" s="34" t="n">
        <f aca="false">AVERAGE(C1606:E1606)</f>
        <v>-49.49</v>
      </c>
      <c r="M1606" s="34" t="n">
        <f aca="false">AVERAGE(C1606:J1606)</f>
        <v>20.33</v>
      </c>
    </row>
    <row r="1607" customFormat="false" ht="15" hidden="false" customHeight="true" outlineLevel="0" collapsed="false">
      <c r="A1607" s="34" t="s">
        <v>114</v>
      </c>
      <c r="B1607" s="34" t="n">
        <v>88</v>
      </c>
      <c r="C1607" s="34" t="n">
        <v>-66.67</v>
      </c>
      <c r="D1607" s="34" t="n">
        <v>-102.12</v>
      </c>
      <c r="E1607" s="34" t="n">
        <v>43.43</v>
      </c>
      <c r="F1607" s="34" t="n">
        <v>34.77</v>
      </c>
      <c r="G1607" s="34" t="n">
        <v>1.52</v>
      </c>
      <c r="H1607" s="34" t="n">
        <v>-17.24</v>
      </c>
      <c r="I1607" s="34" t="n">
        <v>1.92</v>
      </c>
      <c r="J1607" s="34" t="n">
        <v>-34.82</v>
      </c>
      <c r="K1607" s="34" t="n">
        <v>83.9</v>
      </c>
      <c r="L1607" s="34" t="n">
        <f aca="false">AVERAGE(C1607:E1607)</f>
        <v>-41.7866666666667</v>
      </c>
      <c r="M1607" s="34" t="n">
        <f aca="false">AVERAGE(C1607:J1607)</f>
        <v>-17.40125</v>
      </c>
    </row>
    <row r="1608" customFormat="false" ht="15" hidden="false" customHeight="true" outlineLevel="0" collapsed="false">
      <c r="A1608" s="34" t="s">
        <v>1794</v>
      </c>
      <c r="B1608" s="34" t="n">
        <v>88</v>
      </c>
      <c r="C1608" s="34" t="n">
        <v>-66.67</v>
      </c>
      <c r="D1608" s="34" t="n">
        <v>-96.9</v>
      </c>
      <c r="E1608" s="34" t="n">
        <v>13.54</v>
      </c>
      <c r="F1608" s="34" t="n">
        <v>-72.71</v>
      </c>
      <c r="G1608" s="34" t="n">
        <v>-120.74</v>
      </c>
      <c r="H1608" s="34" t="n">
        <v>-60.85</v>
      </c>
      <c r="I1608" s="34" t="n">
        <v>-31.83</v>
      </c>
      <c r="J1608" s="34" t="n">
        <v>-44.23</v>
      </c>
      <c r="K1608" s="34" t="n">
        <v>93.75</v>
      </c>
      <c r="L1608" s="34" t="n">
        <f aca="false">AVERAGE(C1608:E1608)</f>
        <v>-50.01</v>
      </c>
      <c r="M1608" s="34" t="n">
        <f aca="false">AVERAGE(C1608:J1608)</f>
        <v>-60.04875</v>
      </c>
    </row>
    <row r="1609" customFormat="false" ht="15" hidden="false" customHeight="true" outlineLevel="0" collapsed="false">
      <c r="A1609" s="34" t="s">
        <v>1795</v>
      </c>
      <c r="B1609" s="34" t="n">
        <v>87.92</v>
      </c>
      <c r="C1609" s="34" t="n">
        <v>66.67</v>
      </c>
      <c r="D1609" s="34" t="n">
        <v>-55.9</v>
      </c>
      <c r="E1609" s="34" t="n">
        <v>-84.75</v>
      </c>
      <c r="F1609" s="34" t="n">
        <v>-60.52</v>
      </c>
      <c r="G1609" s="34" t="n">
        <v>43.58</v>
      </c>
      <c r="H1609" s="34" t="n">
        <v>69.35</v>
      </c>
      <c r="I1609" s="34" t="n">
        <v>88.2</v>
      </c>
      <c r="J1609" s="34" t="n">
        <v>60.87</v>
      </c>
      <c r="K1609" s="34" t="n">
        <v>92.96</v>
      </c>
      <c r="L1609" s="34" t="n">
        <f aca="false">AVERAGE(C1609:E1609)</f>
        <v>-24.66</v>
      </c>
      <c r="M1609" s="34" t="n">
        <f aca="false">AVERAGE(C1609:J1609)</f>
        <v>15.9375</v>
      </c>
    </row>
    <row r="1610" customFormat="false" ht="15" hidden="false" customHeight="true" outlineLevel="0" collapsed="false">
      <c r="A1610" s="34" t="s">
        <v>1796</v>
      </c>
      <c r="B1610" s="34" t="n">
        <v>87.82</v>
      </c>
      <c r="C1610" s="34" t="n">
        <v>-66.67</v>
      </c>
      <c r="D1610" s="34" t="n">
        <v>15.31</v>
      </c>
      <c r="E1610" s="34" t="n">
        <v>86.47</v>
      </c>
      <c r="F1610" s="34" t="n">
        <v>-36.54</v>
      </c>
      <c r="G1610" s="34" t="n">
        <v>-88.07</v>
      </c>
      <c r="H1610" s="34" t="n">
        <v>-75.74</v>
      </c>
      <c r="I1610" s="34" t="n">
        <v>-64.77</v>
      </c>
      <c r="J1610" s="34" t="n">
        <v>-78.14</v>
      </c>
      <c r="K1610" s="34" t="n">
        <v>84.42</v>
      </c>
      <c r="L1610" s="34" t="n">
        <f aca="false">AVERAGE(C1610:E1610)</f>
        <v>11.7033333333333</v>
      </c>
      <c r="M1610" s="34" t="n">
        <f aca="false">AVERAGE(C1610:J1610)</f>
        <v>-38.51875</v>
      </c>
    </row>
    <row r="1611" customFormat="false" ht="15" hidden="false" customHeight="true" outlineLevel="0" collapsed="false">
      <c r="A1611" s="34" t="s">
        <v>1797</v>
      </c>
      <c r="B1611" s="34" t="n">
        <v>87.8</v>
      </c>
      <c r="C1611" s="34" t="n">
        <v>-66.67</v>
      </c>
      <c r="D1611" s="34" t="n">
        <v>-54.82</v>
      </c>
      <c r="E1611" s="34" t="n">
        <v>71.9</v>
      </c>
      <c r="F1611" s="34" t="n">
        <v>-24.19</v>
      </c>
      <c r="G1611" s="34" t="n">
        <v>-34.21</v>
      </c>
      <c r="H1611" s="34" t="n">
        <v>-4.5</v>
      </c>
      <c r="I1611" s="34" t="n">
        <v>28.66</v>
      </c>
      <c r="J1611" s="34" t="n">
        <v>37.34</v>
      </c>
      <c r="K1611" s="34" t="n">
        <v>91.1</v>
      </c>
      <c r="L1611" s="34" t="n">
        <f aca="false">AVERAGE(C1611:E1611)</f>
        <v>-16.53</v>
      </c>
      <c r="M1611" s="34" t="n">
        <f aca="false">AVERAGE(C1611:J1611)</f>
        <v>-5.81125</v>
      </c>
    </row>
    <row r="1612" customFormat="false" ht="15" hidden="false" customHeight="true" outlineLevel="0" collapsed="false">
      <c r="A1612" s="34" t="s">
        <v>1798</v>
      </c>
      <c r="B1612" s="34" t="n">
        <v>87.7</v>
      </c>
      <c r="C1612" s="34" t="n">
        <v>66.67</v>
      </c>
      <c r="D1612" s="34" t="n">
        <v>82.68</v>
      </c>
      <c r="E1612" s="34" t="n">
        <v>12.81</v>
      </c>
      <c r="F1612" s="34" t="n">
        <v>54.83</v>
      </c>
      <c r="G1612" s="34" t="n">
        <v>90.33</v>
      </c>
      <c r="H1612" s="34" t="n">
        <v>104.68</v>
      </c>
      <c r="I1612" s="34" t="n">
        <v>87.71</v>
      </c>
      <c r="J1612" s="34" t="n">
        <v>85.79</v>
      </c>
      <c r="K1612" s="34" t="n">
        <v>85.82</v>
      </c>
      <c r="L1612" s="34" t="n">
        <f aca="false">AVERAGE(C1612:E1612)</f>
        <v>54.0533333333333</v>
      </c>
      <c r="M1612" s="34" t="n">
        <f aca="false">AVERAGE(C1612:J1612)</f>
        <v>73.1875</v>
      </c>
    </row>
    <row r="1613" customFormat="false" ht="15" hidden="false" customHeight="true" outlineLevel="0" collapsed="false">
      <c r="A1613" s="34" t="s">
        <v>1799</v>
      </c>
      <c r="B1613" s="34" t="n">
        <v>86.71</v>
      </c>
      <c r="C1613" s="34" t="n">
        <v>-66.67</v>
      </c>
      <c r="D1613" s="34" t="n">
        <v>-133.33</v>
      </c>
      <c r="E1613" s="34" t="n">
        <v>-102.79</v>
      </c>
      <c r="F1613" s="34" t="n">
        <v>-88.4</v>
      </c>
      <c r="G1613" s="34" t="n">
        <v>-128.94</v>
      </c>
      <c r="H1613" s="34" t="n">
        <v>-132.91</v>
      </c>
      <c r="I1613" s="34" t="n">
        <v>-132.99</v>
      </c>
      <c r="J1613" s="34" t="n">
        <v>-105.61</v>
      </c>
      <c r="K1613" s="34" t="n">
        <v>92.55</v>
      </c>
      <c r="L1613" s="34" t="n">
        <f aca="false">AVERAGE(C1613:E1613)</f>
        <v>-100.93</v>
      </c>
      <c r="M1613" s="34" t="n">
        <f aca="false">AVERAGE(C1613:J1613)</f>
        <v>-111.455</v>
      </c>
    </row>
    <row r="1614" customFormat="false" ht="15" hidden="false" customHeight="true" outlineLevel="0" collapsed="false">
      <c r="A1614" s="34" t="s">
        <v>1800</v>
      </c>
      <c r="B1614" s="34" t="n">
        <v>86.6</v>
      </c>
      <c r="C1614" s="34" t="n">
        <v>-66.67</v>
      </c>
      <c r="D1614" s="34" t="n">
        <v>-114.42</v>
      </c>
      <c r="E1614" s="34" t="n">
        <v>-141.62</v>
      </c>
      <c r="F1614" s="34" t="n">
        <v>-62.38</v>
      </c>
      <c r="G1614" s="34" t="n">
        <v>-67.82</v>
      </c>
      <c r="H1614" s="34" t="n">
        <v>-18.79</v>
      </c>
      <c r="I1614" s="34" t="n">
        <v>-1.85</v>
      </c>
      <c r="J1614" s="34" t="n">
        <v>-22.6</v>
      </c>
      <c r="K1614" s="34" t="n">
        <v>91.9</v>
      </c>
      <c r="L1614" s="34" t="n">
        <f aca="false">AVERAGE(C1614:E1614)</f>
        <v>-107.57</v>
      </c>
      <c r="M1614" s="34" t="n">
        <f aca="false">AVERAGE(C1614:J1614)</f>
        <v>-62.01875</v>
      </c>
    </row>
    <row r="1615" customFormat="false" ht="15" hidden="false" customHeight="true" outlineLevel="0" collapsed="false">
      <c r="A1615" s="34" t="s">
        <v>1801</v>
      </c>
      <c r="B1615" s="34" t="n">
        <v>86.53</v>
      </c>
      <c r="C1615" s="34" t="n">
        <v>-66.67</v>
      </c>
      <c r="D1615" s="34" t="n">
        <v>3.37</v>
      </c>
      <c r="E1615" s="34" t="n">
        <v>48.92</v>
      </c>
      <c r="F1615" s="34" t="n">
        <v>-77.3</v>
      </c>
      <c r="G1615" s="34" t="n">
        <v>-94.37</v>
      </c>
      <c r="H1615" s="34" t="n">
        <v>-10.24</v>
      </c>
      <c r="I1615" s="34" t="n">
        <v>24.09</v>
      </c>
      <c r="J1615" s="34" t="n">
        <v>35</v>
      </c>
      <c r="K1615" s="34" t="n">
        <v>90.53</v>
      </c>
      <c r="L1615" s="34" t="n">
        <f aca="false">AVERAGE(C1615:E1615)</f>
        <v>-4.79333333333333</v>
      </c>
      <c r="M1615" s="34" t="n">
        <f aca="false">AVERAGE(C1615:J1615)</f>
        <v>-17.15</v>
      </c>
    </row>
    <row r="1616" customFormat="false" ht="15" hidden="false" customHeight="true" outlineLevel="0" collapsed="false">
      <c r="A1616" s="34" t="s">
        <v>1802</v>
      </c>
      <c r="B1616" s="34" t="n">
        <v>86.35</v>
      </c>
      <c r="C1616" s="34" t="n">
        <v>66.67</v>
      </c>
      <c r="D1616" s="34" t="n">
        <v>-46.2</v>
      </c>
      <c r="E1616" s="34" t="n">
        <v>54.03</v>
      </c>
      <c r="F1616" s="34"/>
      <c r="G1616" s="34"/>
      <c r="H1616" s="34"/>
      <c r="I1616" s="34"/>
      <c r="J1616" s="34"/>
      <c r="K1616" s="34" t="n">
        <v>91.09</v>
      </c>
      <c r="L1616" s="34" t="n">
        <f aca="false">AVERAGE(C1616:E1616)</f>
        <v>24.8333333333333</v>
      </c>
      <c r="M1616" s="34" t="n">
        <f aca="false">AVERAGE(C1616:J1616)</f>
        <v>24.8333333333333</v>
      </c>
    </row>
    <row r="1617" customFormat="false" ht="15" hidden="false" customHeight="true" outlineLevel="0" collapsed="false">
      <c r="A1617" s="34" t="s">
        <v>1803</v>
      </c>
      <c r="B1617" s="34" t="n">
        <v>86.24</v>
      </c>
      <c r="C1617" s="34" t="n">
        <v>66.67</v>
      </c>
      <c r="D1617" s="34" t="n">
        <v>89.92</v>
      </c>
      <c r="E1617" s="34" t="n">
        <v>159.8</v>
      </c>
      <c r="F1617" s="34" t="n">
        <v>254.93</v>
      </c>
      <c r="G1617" s="34" t="n">
        <v>239.82</v>
      </c>
      <c r="H1617" s="34" t="n">
        <v>194.69</v>
      </c>
      <c r="I1617" s="34" t="n">
        <v>186.47</v>
      </c>
      <c r="J1617" s="34" t="n">
        <v>110.27</v>
      </c>
      <c r="K1617" s="34" t="n">
        <v>80.22</v>
      </c>
      <c r="L1617" s="34" t="n">
        <f aca="false">AVERAGE(C1617:E1617)</f>
        <v>105.463333333333</v>
      </c>
      <c r="M1617" s="34" t="n">
        <f aca="false">AVERAGE(C1617:J1617)</f>
        <v>162.82125</v>
      </c>
    </row>
    <row r="1618" customFormat="false" ht="15" hidden="false" customHeight="true" outlineLevel="0" collapsed="false">
      <c r="A1618" s="34" t="s">
        <v>1804</v>
      </c>
      <c r="B1618" s="34" t="n">
        <v>85.5</v>
      </c>
      <c r="C1618" s="34" t="n">
        <v>66.67</v>
      </c>
      <c r="D1618" s="34" t="n">
        <v>68.57</v>
      </c>
      <c r="E1618" s="34" t="n">
        <v>18.2</v>
      </c>
      <c r="F1618" s="34" t="n">
        <v>3.46</v>
      </c>
      <c r="G1618" s="34" t="n">
        <v>-6.21</v>
      </c>
      <c r="H1618" s="34" t="n">
        <v>41.53</v>
      </c>
      <c r="I1618" s="34" t="n">
        <v>56.65</v>
      </c>
      <c r="J1618" s="34" t="n">
        <v>52.57</v>
      </c>
      <c r="K1618" s="34" t="n">
        <v>89.66</v>
      </c>
      <c r="L1618" s="34" t="n">
        <f aca="false">AVERAGE(C1618:E1618)</f>
        <v>51.1466666666667</v>
      </c>
      <c r="M1618" s="34" t="n">
        <f aca="false">AVERAGE(C1618:J1618)</f>
        <v>37.68</v>
      </c>
    </row>
    <row r="1619" customFormat="false" ht="15" hidden="false" customHeight="true" outlineLevel="0" collapsed="false">
      <c r="A1619" s="34" t="s">
        <v>1805</v>
      </c>
      <c r="B1619" s="34" t="n">
        <v>85.47</v>
      </c>
      <c r="C1619" s="34" t="n">
        <v>-66.67</v>
      </c>
      <c r="D1619" s="34" t="n">
        <v>45.66</v>
      </c>
      <c r="E1619" s="34" t="n">
        <v>71.24</v>
      </c>
      <c r="F1619" s="34" t="n">
        <v>15.04</v>
      </c>
      <c r="G1619" s="34" t="n">
        <v>42.82</v>
      </c>
      <c r="H1619" s="34" t="n">
        <v>27.9</v>
      </c>
      <c r="I1619" s="34" t="n">
        <v>57.76</v>
      </c>
      <c r="J1619" s="34" t="n">
        <v>70.83</v>
      </c>
      <c r="K1619" s="34" t="n">
        <v>81.28</v>
      </c>
      <c r="L1619" s="34" t="n">
        <f aca="false">AVERAGE(C1619:E1619)</f>
        <v>16.7433333333333</v>
      </c>
      <c r="M1619" s="34" t="n">
        <f aca="false">AVERAGE(C1619:J1619)</f>
        <v>33.0725</v>
      </c>
    </row>
    <row r="1620" customFormat="false" ht="15" hidden="false" customHeight="true" outlineLevel="0" collapsed="false">
      <c r="A1620" s="34" t="s">
        <v>1806</v>
      </c>
      <c r="B1620" s="34" t="n">
        <v>85.38</v>
      </c>
      <c r="C1620" s="34" t="n">
        <v>-66.67</v>
      </c>
      <c r="D1620" s="34" t="n">
        <v>-39.62</v>
      </c>
      <c r="E1620" s="34" t="n">
        <v>-115.99</v>
      </c>
      <c r="F1620" s="34" t="n">
        <v>-49.12</v>
      </c>
      <c r="G1620" s="34" t="n">
        <v>0.842</v>
      </c>
      <c r="H1620" s="34" t="n">
        <v>39.4</v>
      </c>
      <c r="I1620" s="34" t="n">
        <v>59.36</v>
      </c>
      <c r="J1620" s="34" t="n">
        <v>66.67</v>
      </c>
      <c r="K1620" s="34" t="n">
        <v>82.73</v>
      </c>
      <c r="L1620" s="34" t="n">
        <f aca="false">AVERAGE(C1620:E1620)</f>
        <v>-74.0933333333333</v>
      </c>
      <c r="M1620" s="34" t="n">
        <f aca="false">AVERAGE(C1620:J1620)</f>
        <v>-13.141</v>
      </c>
    </row>
    <row r="1621" customFormat="false" ht="15" hidden="false" customHeight="true" outlineLevel="0" collapsed="false">
      <c r="A1621" s="34" t="s">
        <v>1807</v>
      </c>
      <c r="B1621" s="34" t="n">
        <v>85.24</v>
      </c>
      <c r="C1621" s="34" t="n">
        <v>0</v>
      </c>
      <c r="D1621" s="34" t="n">
        <v>49.84</v>
      </c>
      <c r="E1621" s="34" t="n">
        <v>-17.44</v>
      </c>
      <c r="F1621" s="34" t="n">
        <v>22.37</v>
      </c>
      <c r="G1621" s="34" t="n">
        <v>62.45</v>
      </c>
      <c r="H1621" s="34" t="n">
        <v>83.88</v>
      </c>
      <c r="I1621" s="34" t="n">
        <v>79.57</v>
      </c>
      <c r="J1621" s="34" t="n">
        <v>80.15</v>
      </c>
      <c r="K1621" s="34" t="n">
        <v>82.84</v>
      </c>
      <c r="L1621" s="34" t="n">
        <f aca="false">AVERAGE(C1621:E1621)</f>
        <v>10.8</v>
      </c>
      <c r="M1621" s="34" t="n">
        <f aca="false">AVERAGE(C1621:J1621)</f>
        <v>45.1025</v>
      </c>
    </row>
    <row r="1622" customFormat="false" ht="15" hidden="false" customHeight="true" outlineLevel="0" collapsed="false">
      <c r="A1622" s="34" t="s">
        <v>1808</v>
      </c>
      <c r="B1622" s="34" t="n">
        <v>85.16</v>
      </c>
      <c r="C1622" s="34" t="n">
        <v>66.67</v>
      </c>
      <c r="D1622" s="34" t="n">
        <v>21.74</v>
      </c>
      <c r="E1622" s="34" t="n">
        <v>-70.5</v>
      </c>
      <c r="F1622" s="34" t="n">
        <v>-12.82</v>
      </c>
      <c r="G1622" s="34" t="n">
        <v>32.27</v>
      </c>
      <c r="H1622" s="34" t="n">
        <v>55.12</v>
      </c>
      <c r="I1622" s="34" t="n">
        <v>66.59</v>
      </c>
      <c r="J1622" s="34" t="n">
        <v>71.63</v>
      </c>
      <c r="K1622" s="34" t="n">
        <v>82.46</v>
      </c>
      <c r="L1622" s="34" t="n">
        <f aca="false">AVERAGE(C1622:E1622)</f>
        <v>5.97</v>
      </c>
      <c r="M1622" s="34" t="n">
        <f aca="false">AVERAGE(C1622:J1622)</f>
        <v>28.8375</v>
      </c>
    </row>
    <row r="1623" customFormat="false" ht="15" hidden="false" customHeight="true" outlineLevel="0" collapsed="false">
      <c r="A1623" s="34" t="s">
        <v>1809</v>
      </c>
      <c r="B1623" s="34" t="n">
        <v>84.99</v>
      </c>
      <c r="C1623" s="34" t="n">
        <v>66.67</v>
      </c>
      <c r="D1623" s="34" t="n">
        <v>110.89</v>
      </c>
      <c r="E1623" s="34" t="n">
        <v>18.65</v>
      </c>
      <c r="F1623" s="34" t="n">
        <v>-78.14</v>
      </c>
      <c r="G1623" s="34" t="n">
        <v>-116.75</v>
      </c>
      <c r="H1623" s="34" t="n">
        <v>5.26</v>
      </c>
      <c r="I1623" s="34" t="n">
        <v>28.55</v>
      </c>
      <c r="J1623" s="34" t="n">
        <v>18.97</v>
      </c>
      <c r="K1623" s="34" t="n">
        <v>87.74</v>
      </c>
      <c r="L1623" s="34" t="n">
        <f aca="false">AVERAGE(C1623:E1623)</f>
        <v>65.4033333333333</v>
      </c>
      <c r="M1623" s="34" t="n">
        <f aca="false">AVERAGE(C1623:J1623)</f>
        <v>6.7625</v>
      </c>
    </row>
    <row r="1624" customFormat="false" ht="15" hidden="false" customHeight="true" outlineLevel="0" collapsed="false">
      <c r="A1624" s="34" t="s">
        <v>1810</v>
      </c>
      <c r="B1624" s="34" t="n">
        <v>84.82</v>
      </c>
      <c r="C1624" s="34" t="n">
        <v>-66.67</v>
      </c>
      <c r="D1624" s="34" t="n">
        <v>-72.48</v>
      </c>
      <c r="E1624" s="34" t="n">
        <v>-58.3</v>
      </c>
      <c r="F1624" s="34" t="n">
        <v>-75.37</v>
      </c>
      <c r="G1624" s="34" t="n">
        <v>-107.81</v>
      </c>
      <c r="H1624" s="34" t="n">
        <v>-44.79</v>
      </c>
      <c r="I1624" s="34" t="n">
        <v>8.32</v>
      </c>
      <c r="J1624" s="34" t="n">
        <v>27.41</v>
      </c>
      <c r="K1624" s="34" t="n">
        <v>88.92</v>
      </c>
      <c r="L1624" s="34" t="n">
        <f aca="false">AVERAGE(C1624:E1624)</f>
        <v>-65.8166666666667</v>
      </c>
      <c r="M1624" s="34" t="n">
        <f aca="false">AVERAGE(C1624:J1624)</f>
        <v>-48.71125</v>
      </c>
    </row>
    <row r="1625" customFormat="false" ht="15" hidden="false" customHeight="true" outlineLevel="0" collapsed="false">
      <c r="A1625" s="34" t="s">
        <v>1811</v>
      </c>
      <c r="B1625" s="34" t="n">
        <v>84.7</v>
      </c>
      <c r="C1625" s="34" t="n">
        <v>-66.67</v>
      </c>
      <c r="D1625" s="34" t="n">
        <v>-124.39</v>
      </c>
      <c r="E1625" s="34" t="n">
        <v>-120.05</v>
      </c>
      <c r="F1625" s="34" t="n">
        <v>-143.38</v>
      </c>
      <c r="G1625" s="34" t="n">
        <v>-158.95</v>
      </c>
      <c r="H1625" s="34" t="n">
        <v>-143.02</v>
      </c>
      <c r="I1625" s="34" t="n">
        <v>-53.63</v>
      </c>
      <c r="J1625" s="34" t="n">
        <v>-69.87</v>
      </c>
      <c r="K1625" s="34" t="n">
        <v>89.87</v>
      </c>
      <c r="L1625" s="34" t="n">
        <f aca="false">AVERAGE(C1625:E1625)</f>
        <v>-103.703333333333</v>
      </c>
      <c r="M1625" s="34" t="n">
        <f aca="false">AVERAGE(C1625:J1625)</f>
        <v>-109.995</v>
      </c>
    </row>
    <row r="1626" customFormat="false" ht="15" hidden="false" customHeight="true" outlineLevel="0" collapsed="false">
      <c r="A1626" s="34" t="s">
        <v>1812</v>
      </c>
      <c r="B1626" s="34" t="n">
        <v>84.31</v>
      </c>
      <c r="C1626" s="34" t="n">
        <v>-66.67</v>
      </c>
      <c r="D1626" s="34" t="n">
        <v>-91.7</v>
      </c>
      <c r="E1626" s="34" t="n">
        <v>-151.66</v>
      </c>
      <c r="F1626" s="34" t="n">
        <v>-172.09</v>
      </c>
      <c r="G1626" s="34" t="n">
        <v>-235.99</v>
      </c>
      <c r="H1626" s="34" t="n">
        <v>-208.66</v>
      </c>
      <c r="I1626" s="34" t="n">
        <v>-211.99</v>
      </c>
      <c r="J1626" s="34" t="n">
        <v>-208.51</v>
      </c>
      <c r="K1626" s="34" t="n">
        <v>92.58</v>
      </c>
      <c r="L1626" s="34" t="n">
        <f aca="false">AVERAGE(C1626:E1626)</f>
        <v>-103.343333333333</v>
      </c>
      <c r="M1626" s="34" t="n">
        <f aca="false">AVERAGE(C1626:J1626)</f>
        <v>-168.40875</v>
      </c>
    </row>
    <row r="1627" customFormat="false" ht="15" hidden="false" customHeight="true" outlineLevel="0" collapsed="false">
      <c r="A1627" s="34" t="s">
        <v>1813</v>
      </c>
      <c r="B1627" s="34" t="n">
        <v>84.14</v>
      </c>
      <c r="C1627" s="34" t="n">
        <v>-66.67</v>
      </c>
      <c r="D1627" s="34" t="n">
        <v>-124.48</v>
      </c>
      <c r="E1627" s="34" t="n">
        <v>-82.32</v>
      </c>
      <c r="F1627" s="34" t="n">
        <v>-100.42</v>
      </c>
      <c r="G1627" s="34" t="n">
        <v>-119.29</v>
      </c>
      <c r="H1627" s="34" t="n">
        <v>-49.81</v>
      </c>
      <c r="I1627" s="34" t="n">
        <v>-0.665</v>
      </c>
      <c r="J1627" s="34" t="n">
        <v>-0.627</v>
      </c>
      <c r="K1627" s="34" t="n">
        <v>89.71</v>
      </c>
      <c r="L1627" s="34" t="n">
        <f aca="false">AVERAGE(C1627:E1627)</f>
        <v>-91.1566666666667</v>
      </c>
      <c r="M1627" s="34" t="n">
        <f aca="false">AVERAGE(C1627:J1627)</f>
        <v>-68.03525</v>
      </c>
    </row>
    <row r="1628" customFormat="false" ht="15" hidden="false" customHeight="true" outlineLevel="0" collapsed="false">
      <c r="A1628" s="34" t="s">
        <v>1814</v>
      </c>
      <c r="B1628" s="34" t="n">
        <v>84</v>
      </c>
      <c r="C1628" s="34" t="n">
        <v>-66.67</v>
      </c>
      <c r="D1628" s="34" t="n">
        <v>46.38</v>
      </c>
      <c r="E1628" s="34" t="n">
        <v>-41.89</v>
      </c>
      <c r="F1628" s="34" t="n">
        <v>47.15</v>
      </c>
      <c r="G1628" s="34" t="n">
        <v>95.88</v>
      </c>
      <c r="H1628" s="34" t="n">
        <v>97.17</v>
      </c>
      <c r="I1628" s="34" t="n">
        <v>101.62</v>
      </c>
      <c r="J1628" s="34" t="n">
        <v>104.29</v>
      </c>
      <c r="K1628" s="34" t="n">
        <v>81.22</v>
      </c>
      <c r="L1628" s="34" t="n">
        <f aca="false">AVERAGE(C1628:E1628)</f>
        <v>-20.7266666666667</v>
      </c>
      <c r="M1628" s="34" t="n">
        <f aca="false">AVERAGE(C1628:J1628)</f>
        <v>47.99125</v>
      </c>
    </row>
    <row r="1629" customFormat="false" ht="15" hidden="false" customHeight="true" outlineLevel="0" collapsed="false">
      <c r="A1629" s="34" t="s">
        <v>1815</v>
      </c>
      <c r="B1629" s="34" t="n">
        <v>84</v>
      </c>
      <c r="C1629" s="34" t="n">
        <v>-66.67</v>
      </c>
      <c r="D1629" s="34" t="n">
        <v>48.45</v>
      </c>
      <c r="E1629" s="34" t="n">
        <v>136.76</v>
      </c>
      <c r="F1629" s="34" t="n">
        <v>-13.16</v>
      </c>
      <c r="G1629" s="34" t="n">
        <v>-11.85</v>
      </c>
      <c r="H1629" s="34" t="n">
        <v>33.91</v>
      </c>
      <c r="I1629" s="34" t="n">
        <v>57.48</v>
      </c>
      <c r="J1629" s="34" t="n">
        <v>44.95</v>
      </c>
      <c r="K1629" s="34" t="n">
        <v>79.75</v>
      </c>
      <c r="L1629" s="34" t="n">
        <f aca="false">AVERAGE(C1629:E1629)</f>
        <v>39.5133333333333</v>
      </c>
      <c r="M1629" s="34" t="n">
        <f aca="false">AVERAGE(C1629:J1629)</f>
        <v>28.73375</v>
      </c>
    </row>
    <row r="1630" customFormat="false" ht="15" hidden="false" customHeight="true" outlineLevel="0" collapsed="false">
      <c r="A1630" s="34" t="s">
        <v>1816</v>
      </c>
      <c r="B1630" s="34" t="n">
        <v>83.85</v>
      </c>
      <c r="C1630" s="34" t="n">
        <v>-66.67</v>
      </c>
      <c r="D1630" s="34" t="n">
        <v>63.75</v>
      </c>
      <c r="E1630" s="34" t="n">
        <v>-10.2</v>
      </c>
      <c r="F1630" s="34" t="n">
        <v>-91.93</v>
      </c>
      <c r="G1630" s="34" t="n">
        <v>-126.75</v>
      </c>
      <c r="H1630" s="34" t="n">
        <v>-148.25</v>
      </c>
      <c r="I1630" s="34" t="n">
        <v>-152.82</v>
      </c>
      <c r="J1630" s="34" t="n">
        <v>-121.62</v>
      </c>
      <c r="K1630" s="34" t="n">
        <v>88.16</v>
      </c>
      <c r="L1630" s="34" t="n">
        <f aca="false">AVERAGE(C1630:E1630)</f>
        <v>-4.37333333333334</v>
      </c>
      <c r="M1630" s="34" t="n">
        <f aca="false">AVERAGE(C1630:J1630)</f>
        <v>-81.81125</v>
      </c>
    </row>
    <row r="1631" customFormat="false" ht="15" hidden="false" customHeight="true" outlineLevel="0" collapsed="false">
      <c r="A1631" s="34" t="s">
        <v>1817</v>
      </c>
      <c r="B1631" s="34" t="n">
        <v>83.81</v>
      </c>
      <c r="C1631" s="34" t="n">
        <v>66.67</v>
      </c>
      <c r="D1631" s="34" t="n">
        <v>66.67</v>
      </c>
      <c r="E1631" s="34" t="n">
        <v>77.06</v>
      </c>
      <c r="F1631" s="34" t="n">
        <v>27.09</v>
      </c>
      <c r="G1631" s="34" t="n">
        <v>-9.26</v>
      </c>
      <c r="H1631" s="34" t="n">
        <v>29.63</v>
      </c>
      <c r="I1631" s="34" t="n">
        <v>53.02</v>
      </c>
      <c r="J1631" s="34" t="n">
        <v>64.52</v>
      </c>
      <c r="K1631" s="34" t="n">
        <v>84.18</v>
      </c>
      <c r="L1631" s="34" t="n">
        <f aca="false">AVERAGE(C1631:E1631)</f>
        <v>70.1333333333333</v>
      </c>
      <c r="M1631" s="34" t="n">
        <f aca="false">AVERAGE(C1631:J1631)</f>
        <v>46.925</v>
      </c>
    </row>
    <row r="1632" customFormat="false" ht="15" hidden="false" customHeight="true" outlineLevel="0" collapsed="false">
      <c r="A1632" s="34" t="s">
        <v>1818</v>
      </c>
      <c r="B1632" s="34" t="n">
        <v>83.75</v>
      </c>
      <c r="C1632" s="34" t="n">
        <v>-66.67</v>
      </c>
      <c r="D1632" s="34" t="n">
        <v>-71.34</v>
      </c>
      <c r="E1632" s="34" t="n">
        <v>17.94</v>
      </c>
      <c r="F1632" s="34" t="n">
        <v>-15.88</v>
      </c>
      <c r="G1632" s="34" t="n">
        <v>48.4</v>
      </c>
      <c r="H1632" s="34" t="n">
        <v>79.39</v>
      </c>
      <c r="I1632" s="34" t="n">
        <v>84.56</v>
      </c>
      <c r="J1632" s="34"/>
      <c r="K1632" s="34" t="n">
        <v>76.82</v>
      </c>
      <c r="L1632" s="34" t="n">
        <f aca="false">AVERAGE(C1632:E1632)</f>
        <v>-40.0233333333333</v>
      </c>
      <c r="M1632" s="34" t="n">
        <f aca="false">AVERAGE(C1632:J1632)</f>
        <v>10.9142857142857</v>
      </c>
    </row>
    <row r="1633" customFormat="false" ht="15" hidden="false" customHeight="true" outlineLevel="0" collapsed="false">
      <c r="A1633" s="34" t="s">
        <v>1819</v>
      </c>
      <c r="B1633" s="34" t="n">
        <v>83.7</v>
      </c>
      <c r="C1633" s="34" t="n">
        <v>66.67</v>
      </c>
      <c r="D1633" s="34" t="n">
        <v>70.53</v>
      </c>
      <c r="E1633" s="34" t="n">
        <v>23.77</v>
      </c>
      <c r="F1633" s="34" t="n">
        <v>54.81</v>
      </c>
      <c r="G1633" s="34" t="n">
        <v>80.66</v>
      </c>
      <c r="H1633" s="34" t="n">
        <v>100.19</v>
      </c>
      <c r="I1633" s="34" t="n">
        <v>86.78</v>
      </c>
      <c r="J1633" s="34" t="n">
        <v>84.87</v>
      </c>
      <c r="K1633" s="34" t="n">
        <v>81.5</v>
      </c>
      <c r="L1633" s="34" t="n">
        <f aca="false">AVERAGE(C1633:E1633)</f>
        <v>53.6566666666667</v>
      </c>
      <c r="M1633" s="34" t="n">
        <f aca="false">AVERAGE(C1633:J1633)</f>
        <v>71.035</v>
      </c>
    </row>
    <row r="1634" customFormat="false" ht="15" hidden="false" customHeight="true" outlineLevel="0" collapsed="false">
      <c r="A1634" s="34" t="s">
        <v>1820</v>
      </c>
      <c r="B1634" s="34" t="n">
        <v>83.6</v>
      </c>
      <c r="C1634" s="34" t="n">
        <v>66.67</v>
      </c>
      <c r="D1634" s="34" t="n">
        <v>48.05</v>
      </c>
      <c r="E1634" s="34" t="n">
        <v>-60.31</v>
      </c>
      <c r="F1634" s="34" t="n">
        <v>-122</v>
      </c>
      <c r="G1634" s="34" t="n">
        <v>-31.84</v>
      </c>
      <c r="H1634" s="34" t="n">
        <v>20.59</v>
      </c>
      <c r="I1634" s="34" t="n">
        <v>37.59</v>
      </c>
      <c r="J1634" s="34" t="n">
        <v>42.92</v>
      </c>
      <c r="K1634" s="34" t="n">
        <v>88.86</v>
      </c>
      <c r="L1634" s="34" t="n">
        <f aca="false">AVERAGE(C1634:E1634)</f>
        <v>18.1366666666667</v>
      </c>
      <c r="M1634" s="34" t="n">
        <f aca="false">AVERAGE(C1634:J1634)</f>
        <v>0.20875</v>
      </c>
    </row>
    <row r="1635" customFormat="false" ht="15" hidden="false" customHeight="true" outlineLevel="0" collapsed="false">
      <c r="A1635" s="34" t="s">
        <v>1821</v>
      </c>
      <c r="B1635" s="34" t="n">
        <v>83.26</v>
      </c>
      <c r="C1635" s="34" t="n">
        <v>-66.67</v>
      </c>
      <c r="D1635" s="34" t="n">
        <v>-53.15</v>
      </c>
      <c r="E1635" s="34" t="n">
        <v>59.8</v>
      </c>
      <c r="F1635" s="34" t="n">
        <v>8.82</v>
      </c>
      <c r="G1635" s="34" t="n">
        <v>-17.12</v>
      </c>
      <c r="H1635" s="34" t="n">
        <v>22.79</v>
      </c>
      <c r="I1635" s="34" t="n">
        <v>50.21</v>
      </c>
      <c r="J1635" s="34" t="n">
        <v>62.21</v>
      </c>
      <c r="K1635" s="34" t="n">
        <v>83.64</v>
      </c>
      <c r="L1635" s="34" t="n">
        <f aca="false">AVERAGE(C1635:E1635)</f>
        <v>-20.0066666666667</v>
      </c>
      <c r="M1635" s="34" t="n">
        <f aca="false">AVERAGE(C1635:J1635)</f>
        <v>8.36125</v>
      </c>
    </row>
    <row r="1636" customFormat="false" ht="15" hidden="false" customHeight="true" outlineLevel="0" collapsed="false">
      <c r="A1636" s="34" t="s">
        <v>1822</v>
      </c>
      <c r="B1636" s="34" t="n">
        <v>83.26</v>
      </c>
      <c r="C1636" s="34" t="n">
        <v>-66.67</v>
      </c>
      <c r="D1636" s="34" t="n">
        <v>-15.16</v>
      </c>
      <c r="E1636" s="34" t="n">
        <v>69.23</v>
      </c>
      <c r="F1636" s="34" t="n">
        <v>33</v>
      </c>
      <c r="G1636" s="34" t="n">
        <v>1.28</v>
      </c>
      <c r="H1636" s="34" t="n">
        <v>38.73</v>
      </c>
      <c r="I1636" s="34" t="n">
        <v>56.81</v>
      </c>
      <c r="J1636" s="34" t="n">
        <v>68.02</v>
      </c>
      <c r="K1636" s="34" t="n">
        <v>84.01</v>
      </c>
      <c r="L1636" s="34" t="n">
        <f aca="false">AVERAGE(C1636:E1636)</f>
        <v>-4.2</v>
      </c>
      <c r="M1636" s="34" t="n">
        <f aca="false">AVERAGE(C1636:J1636)</f>
        <v>23.155</v>
      </c>
    </row>
    <row r="1637" customFormat="false" ht="15" hidden="false" customHeight="true" outlineLevel="0" collapsed="false">
      <c r="A1637" s="34" t="s">
        <v>1823</v>
      </c>
      <c r="B1637" s="34" t="n">
        <v>83.26</v>
      </c>
      <c r="C1637" s="34" t="n">
        <v>-66.67</v>
      </c>
      <c r="D1637" s="34" t="n">
        <v>34.79</v>
      </c>
      <c r="E1637" s="34" t="n">
        <v>-54.69</v>
      </c>
      <c r="F1637" s="34" t="n">
        <v>-7.56</v>
      </c>
      <c r="G1637" s="34" t="n">
        <v>37.09</v>
      </c>
      <c r="H1637" s="34" t="n">
        <v>67.62</v>
      </c>
      <c r="I1637" s="34" t="n">
        <v>72.47</v>
      </c>
      <c r="J1637" s="34" t="n">
        <v>75.87</v>
      </c>
      <c r="K1637" s="34" t="n">
        <v>82.1</v>
      </c>
      <c r="L1637" s="34" t="n">
        <f aca="false">AVERAGE(C1637:E1637)</f>
        <v>-28.8566666666667</v>
      </c>
      <c r="M1637" s="34" t="n">
        <f aca="false">AVERAGE(C1637:J1637)</f>
        <v>19.865</v>
      </c>
    </row>
    <row r="1638" customFormat="false" ht="15" hidden="false" customHeight="true" outlineLevel="0" collapsed="false">
      <c r="A1638" s="34" t="s">
        <v>1824</v>
      </c>
      <c r="B1638" s="34" t="n">
        <v>83.19</v>
      </c>
      <c r="C1638" s="34" t="n">
        <v>66.67</v>
      </c>
      <c r="D1638" s="34" t="n">
        <v>29.32</v>
      </c>
      <c r="E1638" s="34" t="n">
        <v>-52.73</v>
      </c>
      <c r="F1638" s="34" t="n">
        <v>3.95</v>
      </c>
      <c r="G1638" s="34" t="n">
        <v>44.5</v>
      </c>
      <c r="H1638" s="34" t="n">
        <v>72.95</v>
      </c>
      <c r="I1638" s="34" t="n">
        <v>74.73</v>
      </c>
      <c r="J1638" s="34" t="n">
        <v>76.88</v>
      </c>
      <c r="K1638" s="34" t="n">
        <v>82.06</v>
      </c>
      <c r="L1638" s="34" t="n">
        <f aca="false">AVERAGE(C1638:E1638)</f>
        <v>14.42</v>
      </c>
      <c r="M1638" s="34" t="n">
        <f aca="false">AVERAGE(C1638:J1638)</f>
        <v>39.53375</v>
      </c>
    </row>
    <row r="1639" customFormat="false" ht="15" hidden="false" customHeight="true" outlineLevel="0" collapsed="false">
      <c r="A1639" s="34" t="s">
        <v>1825</v>
      </c>
      <c r="B1639" s="34" t="n">
        <v>83.05</v>
      </c>
      <c r="C1639" s="34" t="n">
        <v>-66.67</v>
      </c>
      <c r="D1639" s="34" t="n">
        <v>22.71</v>
      </c>
      <c r="E1639" s="34" t="n">
        <v>12.21</v>
      </c>
      <c r="F1639" s="34" t="n">
        <v>-51.35</v>
      </c>
      <c r="G1639" s="34" t="n">
        <v>-95.74</v>
      </c>
      <c r="H1639" s="34" t="n">
        <v>-118.12</v>
      </c>
      <c r="I1639" s="34" t="n">
        <v>-138.08</v>
      </c>
      <c r="J1639" s="34" t="n">
        <v>-122.28</v>
      </c>
      <c r="K1639" s="34" t="n">
        <v>86.84</v>
      </c>
      <c r="L1639" s="34" t="n">
        <f aca="false">AVERAGE(C1639:E1639)</f>
        <v>-10.5833333333333</v>
      </c>
      <c r="M1639" s="34" t="n">
        <f aca="false">AVERAGE(C1639:J1639)</f>
        <v>-69.665</v>
      </c>
    </row>
    <row r="1640" customFormat="false" ht="15" hidden="false" customHeight="true" outlineLevel="0" collapsed="false">
      <c r="A1640" s="34" t="s">
        <v>1826</v>
      </c>
      <c r="B1640" s="34" t="n">
        <v>82.62</v>
      </c>
      <c r="C1640" s="34" t="n">
        <v>66.67</v>
      </c>
      <c r="D1640" s="34" t="n">
        <v>77.16</v>
      </c>
      <c r="E1640" s="34" t="n">
        <v>-21.45</v>
      </c>
      <c r="F1640" s="34" t="n">
        <v>39.02</v>
      </c>
      <c r="G1640" s="34" t="n">
        <v>67.64</v>
      </c>
      <c r="H1640" s="34" t="n">
        <v>88.8</v>
      </c>
      <c r="I1640" s="34" t="n">
        <v>80.74</v>
      </c>
      <c r="J1640" s="34" t="n">
        <v>81.08</v>
      </c>
      <c r="K1640" s="34" t="n">
        <v>80.09</v>
      </c>
      <c r="L1640" s="34" t="n">
        <f aca="false">AVERAGE(C1640:E1640)</f>
        <v>40.7933333333333</v>
      </c>
      <c r="M1640" s="34" t="n">
        <f aca="false">AVERAGE(C1640:J1640)</f>
        <v>59.9575</v>
      </c>
    </row>
    <row r="1641" customFormat="false" ht="15" hidden="false" customHeight="true" outlineLevel="0" collapsed="false">
      <c r="A1641" s="34" t="s">
        <v>1827</v>
      </c>
      <c r="B1641" s="34" t="n">
        <v>82.52</v>
      </c>
      <c r="C1641" s="34" t="n">
        <v>66.67</v>
      </c>
      <c r="D1641" s="34" t="n">
        <v>69.3</v>
      </c>
      <c r="E1641" s="34" t="n">
        <v>-30.21</v>
      </c>
      <c r="F1641" s="34" t="n">
        <v>3.19</v>
      </c>
      <c r="G1641" s="34" t="n">
        <v>48.9</v>
      </c>
      <c r="H1641" s="34" t="n">
        <v>74.99</v>
      </c>
      <c r="I1641" s="34" t="n">
        <v>75.52</v>
      </c>
      <c r="J1641" s="34" t="n">
        <v>77.27</v>
      </c>
      <c r="K1641" s="34" t="n">
        <v>81.52</v>
      </c>
      <c r="L1641" s="34" t="n">
        <f aca="false">AVERAGE(C1641:E1641)</f>
        <v>35.2533333333333</v>
      </c>
      <c r="M1641" s="34" t="n">
        <f aca="false">AVERAGE(C1641:J1641)</f>
        <v>48.20375</v>
      </c>
    </row>
    <row r="1642" customFormat="false" ht="15" hidden="false" customHeight="true" outlineLevel="0" collapsed="false">
      <c r="A1642" s="34" t="s">
        <v>1828</v>
      </c>
      <c r="B1642" s="34" t="n">
        <v>82.4</v>
      </c>
      <c r="C1642" s="34" t="n">
        <v>66.67</v>
      </c>
      <c r="D1642" s="34" t="n">
        <v>116.39</v>
      </c>
      <c r="E1642" s="34" t="n">
        <v>145.93</v>
      </c>
      <c r="F1642" s="34" t="n">
        <v>107.28</v>
      </c>
      <c r="G1642" s="34" t="n">
        <v>65.4</v>
      </c>
      <c r="H1642" s="34" t="n">
        <v>91.49</v>
      </c>
      <c r="I1642" s="34" t="n">
        <v>76.69</v>
      </c>
      <c r="J1642" s="34" t="n">
        <v>86.6</v>
      </c>
      <c r="K1642" s="34" t="n">
        <v>78.46</v>
      </c>
      <c r="L1642" s="34" t="n">
        <f aca="false">AVERAGE(C1642:E1642)</f>
        <v>109.663333333333</v>
      </c>
      <c r="M1642" s="34" t="n">
        <f aca="false">AVERAGE(C1642:J1642)</f>
        <v>94.55625</v>
      </c>
    </row>
    <row r="1643" customFormat="false" ht="15" hidden="false" customHeight="true" outlineLevel="0" collapsed="false">
      <c r="A1643" s="34" t="s">
        <v>1829</v>
      </c>
      <c r="B1643" s="34" t="n">
        <v>82.18</v>
      </c>
      <c r="C1643" s="34" t="n">
        <v>66.67</v>
      </c>
      <c r="D1643" s="34" t="n">
        <v>75.76</v>
      </c>
      <c r="E1643" s="34" t="n">
        <v>153.22</v>
      </c>
      <c r="F1643" s="34" t="n">
        <v>10.32</v>
      </c>
      <c r="G1643" s="34" t="n">
        <v>-44.49</v>
      </c>
      <c r="H1643" s="34" t="n">
        <v>-6.19</v>
      </c>
      <c r="I1643" s="34" t="n">
        <v>16.74</v>
      </c>
      <c r="J1643" s="34" t="n">
        <v>-3.46</v>
      </c>
      <c r="K1643" s="34" t="n">
        <v>76.65</v>
      </c>
      <c r="L1643" s="34" t="n">
        <f aca="false">AVERAGE(C1643:E1643)</f>
        <v>98.55</v>
      </c>
      <c r="M1643" s="34" t="n">
        <f aca="false">AVERAGE(C1643:J1643)</f>
        <v>33.57125</v>
      </c>
    </row>
    <row r="1644" customFormat="false" ht="15" hidden="false" customHeight="true" outlineLevel="0" collapsed="false">
      <c r="A1644" s="34" t="s">
        <v>1830</v>
      </c>
      <c r="B1644" s="34" t="n">
        <v>82</v>
      </c>
      <c r="C1644" s="34" t="n">
        <v>-66.67</v>
      </c>
      <c r="D1644" s="34" t="n">
        <v>-59.9</v>
      </c>
      <c r="E1644" s="34" t="n">
        <v>-67.8</v>
      </c>
      <c r="F1644" s="34" t="n">
        <v>-119.57</v>
      </c>
      <c r="G1644" s="34" t="n">
        <v>-154.63</v>
      </c>
      <c r="H1644" s="34" t="n">
        <v>-130.05</v>
      </c>
      <c r="I1644" s="34" t="n">
        <v>-77.76</v>
      </c>
      <c r="J1644" s="34" t="n">
        <v>-80.93</v>
      </c>
      <c r="K1644" s="34" t="n">
        <v>88.4</v>
      </c>
      <c r="L1644" s="34" t="n">
        <f aca="false">AVERAGE(C1644:E1644)</f>
        <v>-64.79</v>
      </c>
      <c r="M1644" s="34" t="n">
        <f aca="false">AVERAGE(C1644:J1644)</f>
        <v>-94.66375</v>
      </c>
    </row>
    <row r="1645" customFormat="false" ht="15" hidden="false" customHeight="true" outlineLevel="0" collapsed="false">
      <c r="A1645" s="34" t="s">
        <v>1831</v>
      </c>
      <c r="B1645" s="34" t="n">
        <v>81.8</v>
      </c>
      <c r="C1645" s="34" t="n">
        <v>66.67</v>
      </c>
      <c r="D1645" s="34" t="n">
        <v>80.37</v>
      </c>
      <c r="E1645" s="34" t="n">
        <v>70.42</v>
      </c>
      <c r="F1645" s="34" t="n">
        <v>-60</v>
      </c>
      <c r="G1645" s="34" t="n">
        <v>-37.32</v>
      </c>
      <c r="H1645" s="34" t="n">
        <v>-10.78</v>
      </c>
      <c r="I1645" s="34" t="n">
        <v>-1.4</v>
      </c>
      <c r="J1645" s="34" t="n">
        <v>-37.93</v>
      </c>
      <c r="K1645" s="34" t="n">
        <v>85.33</v>
      </c>
      <c r="L1645" s="34" t="n">
        <f aca="false">AVERAGE(C1645:E1645)</f>
        <v>72.4866666666667</v>
      </c>
      <c r="M1645" s="34" t="n">
        <f aca="false">AVERAGE(C1645:J1645)</f>
        <v>8.75375</v>
      </c>
    </row>
    <row r="1646" customFormat="false" ht="15" hidden="false" customHeight="true" outlineLevel="0" collapsed="false">
      <c r="A1646" s="34" t="s">
        <v>1832</v>
      </c>
      <c r="B1646" s="34" t="n">
        <v>81.75</v>
      </c>
      <c r="C1646" s="34" t="n">
        <v>66.67</v>
      </c>
      <c r="D1646" s="34" t="n">
        <v>68.6</v>
      </c>
      <c r="E1646" s="34" t="n">
        <v>29.35</v>
      </c>
      <c r="F1646" s="34" t="n">
        <v>-68.65</v>
      </c>
      <c r="G1646" s="34" t="n">
        <v>-103.34</v>
      </c>
      <c r="H1646" s="34" t="n">
        <v>-62.51</v>
      </c>
      <c r="I1646" s="34" t="n">
        <v>-60.77</v>
      </c>
      <c r="J1646" s="34" t="n">
        <v>-73.86</v>
      </c>
      <c r="K1646" s="34" t="n">
        <v>84.15</v>
      </c>
      <c r="L1646" s="34" t="n">
        <f aca="false">AVERAGE(C1646:E1646)</f>
        <v>54.8733333333333</v>
      </c>
      <c r="M1646" s="34" t="n">
        <f aca="false">AVERAGE(C1646:J1646)</f>
        <v>-25.56375</v>
      </c>
    </row>
    <row r="1647" customFormat="false" ht="15" hidden="false" customHeight="true" outlineLevel="0" collapsed="false">
      <c r="A1647" s="34" t="s">
        <v>1833</v>
      </c>
      <c r="B1647" s="34" t="n">
        <v>81.4</v>
      </c>
      <c r="C1647" s="34" t="n">
        <v>-66.67</v>
      </c>
      <c r="D1647" s="34" t="n">
        <v>-81.07</v>
      </c>
      <c r="E1647" s="34" t="n">
        <v>-106.05</v>
      </c>
      <c r="F1647" s="34" t="n">
        <v>-103.31</v>
      </c>
      <c r="G1647" s="34" t="n">
        <v>-104.49</v>
      </c>
      <c r="H1647" s="34" t="n">
        <v>-60.33</v>
      </c>
      <c r="I1647" s="34" t="n">
        <v>-14.01</v>
      </c>
      <c r="J1647" s="34" t="n">
        <v>-38.5</v>
      </c>
      <c r="K1647" s="34" t="n">
        <v>89.02</v>
      </c>
      <c r="L1647" s="34" t="n">
        <f aca="false">AVERAGE(C1647:E1647)</f>
        <v>-84.5966666666667</v>
      </c>
      <c r="M1647" s="34" t="n">
        <f aca="false">AVERAGE(C1647:J1647)</f>
        <v>-71.80375</v>
      </c>
    </row>
    <row r="1648" customFormat="false" ht="15" hidden="false" customHeight="true" outlineLevel="0" collapsed="false">
      <c r="A1648" s="34" t="s">
        <v>1834</v>
      </c>
      <c r="B1648" s="34" t="n">
        <v>81.28</v>
      </c>
      <c r="C1648" s="34" t="n">
        <v>-66.67</v>
      </c>
      <c r="D1648" s="34" t="n">
        <v>-116.41</v>
      </c>
      <c r="E1648" s="34" t="n">
        <v>-46.02</v>
      </c>
      <c r="F1648" s="34" t="n">
        <v>-76.32</v>
      </c>
      <c r="G1648" s="34"/>
      <c r="H1648" s="34"/>
      <c r="I1648" s="34"/>
      <c r="J1648" s="34"/>
      <c r="K1648" s="34" t="n">
        <v>90.22</v>
      </c>
      <c r="L1648" s="34" t="n">
        <f aca="false">AVERAGE(C1648:E1648)</f>
        <v>-76.3666666666667</v>
      </c>
      <c r="M1648" s="34" t="n">
        <f aca="false">AVERAGE(C1648:J1648)</f>
        <v>-76.355</v>
      </c>
    </row>
    <row r="1649" customFormat="false" ht="15" hidden="false" customHeight="true" outlineLevel="0" collapsed="false">
      <c r="A1649" s="34" t="s">
        <v>44</v>
      </c>
      <c r="B1649" s="34" t="n">
        <v>81.25</v>
      </c>
      <c r="C1649" s="34" t="n">
        <v>66.67</v>
      </c>
      <c r="D1649" s="34" t="n">
        <v>133.33</v>
      </c>
      <c r="E1649" s="34" t="n">
        <v>194.08</v>
      </c>
      <c r="F1649" s="34" t="n">
        <v>270.13</v>
      </c>
      <c r="G1649" s="34" t="n">
        <v>118.19</v>
      </c>
      <c r="H1649" s="34" t="n">
        <v>-11.85</v>
      </c>
      <c r="I1649" s="34" t="n">
        <v>-21.07</v>
      </c>
      <c r="J1649" s="34" t="n">
        <v>-37.74</v>
      </c>
      <c r="K1649" s="34" t="n">
        <v>73.99</v>
      </c>
      <c r="L1649" s="34" t="n">
        <f aca="false">AVERAGE(C1649:E1649)</f>
        <v>131.36</v>
      </c>
      <c r="M1649" s="34" t="n">
        <f aca="false">AVERAGE(C1649:J1649)</f>
        <v>88.9675</v>
      </c>
    </row>
    <row r="1650" customFormat="false" ht="15" hidden="false" customHeight="true" outlineLevel="0" collapsed="false">
      <c r="A1650" s="34" t="s">
        <v>1835</v>
      </c>
      <c r="B1650" s="34" t="n">
        <v>80.91</v>
      </c>
      <c r="C1650" s="34" t="n">
        <v>-66.67</v>
      </c>
      <c r="D1650" s="34" t="n">
        <v>-109.82</v>
      </c>
      <c r="E1650" s="34" t="n">
        <v>-130.15</v>
      </c>
      <c r="F1650" s="34" t="n">
        <v>-110.04</v>
      </c>
      <c r="G1650" s="34" t="n">
        <v>54.54</v>
      </c>
      <c r="H1650" s="34" t="n">
        <v>86.44</v>
      </c>
      <c r="I1650" s="34" t="n">
        <v>117.24</v>
      </c>
      <c r="J1650" s="34" t="n">
        <v>147.62</v>
      </c>
      <c r="K1650" s="34" t="n">
        <v>92.45</v>
      </c>
      <c r="L1650" s="34" t="n">
        <f aca="false">AVERAGE(C1650:E1650)</f>
        <v>-102.213333333333</v>
      </c>
      <c r="M1650" s="34" t="n">
        <f aca="false">AVERAGE(C1650:J1650)</f>
        <v>-1.355</v>
      </c>
    </row>
    <row r="1651" customFormat="false" ht="15" hidden="false" customHeight="true" outlineLevel="0" collapsed="false">
      <c r="A1651" s="34" t="s">
        <v>231</v>
      </c>
      <c r="B1651" s="34" t="n">
        <v>80.71</v>
      </c>
      <c r="C1651" s="34" t="n">
        <v>-66.67</v>
      </c>
      <c r="D1651" s="34" t="n">
        <v>-133.33</v>
      </c>
      <c r="E1651" s="34" t="n">
        <v>-163.5</v>
      </c>
      <c r="F1651" s="34" t="n">
        <v>-127.7</v>
      </c>
      <c r="G1651" s="34" t="n">
        <v>-151.94</v>
      </c>
      <c r="H1651" s="34" t="n">
        <v>-153.35</v>
      </c>
      <c r="I1651" s="34" t="n">
        <v>-71.82</v>
      </c>
      <c r="J1651" s="34" t="n">
        <v>-28.62</v>
      </c>
      <c r="K1651" s="34" t="n">
        <v>84.8</v>
      </c>
      <c r="L1651" s="34" t="n">
        <f aca="false">AVERAGE(C1651:E1651)</f>
        <v>-121.166666666667</v>
      </c>
      <c r="M1651" s="34" t="n">
        <f aca="false">AVERAGE(C1651:J1651)</f>
        <v>-112.11625</v>
      </c>
    </row>
    <row r="1652" customFormat="false" ht="15" hidden="false" customHeight="true" outlineLevel="0" collapsed="false">
      <c r="A1652" s="34" t="s">
        <v>1836</v>
      </c>
      <c r="B1652" s="34" t="n">
        <v>80.35</v>
      </c>
      <c r="C1652" s="34" t="n">
        <v>66.67</v>
      </c>
      <c r="D1652" s="34" t="n">
        <v>109.76</v>
      </c>
      <c r="E1652" s="34" t="n">
        <v>143.24</v>
      </c>
      <c r="F1652" s="34" t="n">
        <v>103.16</v>
      </c>
      <c r="G1652" s="34" t="n">
        <v>19.1</v>
      </c>
      <c r="H1652" s="34" t="n">
        <v>-13.86</v>
      </c>
      <c r="I1652" s="34" t="n">
        <v>13.7</v>
      </c>
      <c r="J1652" s="34" t="n">
        <v>-17.97</v>
      </c>
      <c r="K1652" s="34" t="n">
        <v>74.3</v>
      </c>
      <c r="L1652" s="34" t="n">
        <f aca="false">AVERAGE(C1652:E1652)</f>
        <v>106.556666666667</v>
      </c>
      <c r="M1652" s="34" t="n">
        <f aca="false">AVERAGE(C1652:J1652)</f>
        <v>52.975</v>
      </c>
    </row>
    <row r="1653" customFormat="false" ht="15" hidden="false" customHeight="true" outlineLevel="0" collapsed="false">
      <c r="A1653" s="34" t="s">
        <v>1837</v>
      </c>
      <c r="B1653" s="34" t="n">
        <v>80.19</v>
      </c>
      <c r="C1653" s="34" t="n">
        <v>-66.67</v>
      </c>
      <c r="D1653" s="34" t="n">
        <v>45.08</v>
      </c>
      <c r="E1653" s="34" t="n">
        <v>48.58</v>
      </c>
      <c r="F1653" s="34" t="n">
        <v>-26.23</v>
      </c>
      <c r="G1653" s="34"/>
      <c r="H1653" s="34"/>
      <c r="I1653" s="34"/>
      <c r="J1653" s="34"/>
      <c r="K1653" s="34" t="n">
        <v>85</v>
      </c>
      <c r="L1653" s="34" t="n">
        <f aca="false">AVERAGE(C1653:E1653)</f>
        <v>8.99666666666666</v>
      </c>
      <c r="M1653" s="34" t="n">
        <f aca="false">AVERAGE(C1653:J1653)</f>
        <v>0.189999999999998</v>
      </c>
    </row>
    <row r="1654" customFormat="false" ht="15" hidden="false" customHeight="true" outlineLevel="0" collapsed="false">
      <c r="A1654" s="34" t="s">
        <v>1838</v>
      </c>
      <c r="B1654" s="34" t="n">
        <v>80.17</v>
      </c>
      <c r="C1654" s="34" t="n">
        <v>-66.67</v>
      </c>
      <c r="D1654" s="34" t="n">
        <v>-34.62</v>
      </c>
      <c r="E1654" s="34" t="n">
        <v>50.19</v>
      </c>
      <c r="F1654" s="34" t="n">
        <v>-54.11</v>
      </c>
      <c r="G1654" s="34" t="n">
        <v>-39.86</v>
      </c>
      <c r="H1654" s="34" t="n">
        <v>-26.3</v>
      </c>
      <c r="I1654" s="34" t="n">
        <v>35.92</v>
      </c>
      <c r="J1654" s="34" t="n">
        <v>44.56</v>
      </c>
      <c r="K1654" s="34" t="n">
        <v>83.4</v>
      </c>
      <c r="L1654" s="34" t="n">
        <f aca="false">AVERAGE(C1654:E1654)</f>
        <v>-17.0333333333333</v>
      </c>
      <c r="M1654" s="34" t="n">
        <f aca="false">AVERAGE(C1654:J1654)</f>
        <v>-11.36125</v>
      </c>
    </row>
    <row r="1655" customFormat="false" ht="15" hidden="false" customHeight="true" outlineLevel="0" collapsed="false">
      <c r="A1655" s="34" t="s">
        <v>1839</v>
      </c>
      <c r="B1655" s="34" t="n">
        <v>79.95</v>
      </c>
      <c r="C1655" s="34" t="n">
        <v>-66.67</v>
      </c>
      <c r="D1655" s="34" t="n">
        <v>-13.07</v>
      </c>
      <c r="E1655" s="34" t="n">
        <v>-45.66</v>
      </c>
      <c r="F1655" s="34" t="n">
        <v>62.38</v>
      </c>
      <c r="G1655" s="34" t="n">
        <v>100.84</v>
      </c>
      <c r="H1655" s="34" t="n">
        <v>120.05</v>
      </c>
      <c r="I1655" s="34" t="n">
        <v>84.71</v>
      </c>
      <c r="J1655" s="34" t="n">
        <v>16.94</v>
      </c>
      <c r="K1655" s="34" t="n">
        <v>77.47</v>
      </c>
      <c r="L1655" s="34" t="n">
        <f aca="false">AVERAGE(C1655:E1655)</f>
        <v>-41.8</v>
      </c>
      <c r="M1655" s="34" t="n">
        <f aca="false">AVERAGE(C1655:J1655)</f>
        <v>32.44</v>
      </c>
    </row>
    <row r="1656" customFormat="false" ht="15" hidden="false" customHeight="true" outlineLevel="0" collapsed="false">
      <c r="A1656" s="34" t="s">
        <v>1840</v>
      </c>
      <c r="B1656" s="34" t="n">
        <v>79.9</v>
      </c>
      <c r="C1656" s="34" t="n">
        <v>-66.67</v>
      </c>
      <c r="D1656" s="34" t="n">
        <v>-122.18</v>
      </c>
      <c r="E1656" s="34" t="n">
        <v>22.96</v>
      </c>
      <c r="F1656" s="34" t="n">
        <v>-82.07</v>
      </c>
      <c r="G1656" s="34" t="n">
        <v>-150.55</v>
      </c>
      <c r="H1656" s="34" t="n">
        <v>-130.72</v>
      </c>
      <c r="I1656" s="34" t="n">
        <v>-55.53</v>
      </c>
      <c r="J1656" s="34" t="n">
        <v>-60.9</v>
      </c>
      <c r="K1656" s="34" t="n">
        <v>76.51</v>
      </c>
      <c r="L1656" s="34" t="n">
        <f aca="false">AVERAGE(C1656:E1656)</f>
        <v>-55.2966666666667</v>
      </c>
      <c r="M1656" s="34" t="n">
        <f aca="false">AVERAGE(C1656:J1656)</f>
        <v>-80.7075</v>
      </c>
    </row>
    <row r="1657" customFormat="false" ht="15" hidden="false" customHeight="true" outlineLevel="0" collapsed="false">
      <c r="A1657" s="34" t="s">
        <v>1841</v>
      </c>
      <c r="B1657" s="34" t="n">
        <v>79.9</v>
      </c>
      <c r="C1657" s="34" t="n">
        <v>-66.67</v>
      </c>
      <c r="D1657" s="34" t="n">
        <v>-133.33</v>
      </c>
      <c r="E1657" s="34" t="n">
        <v>-154.46</v>
      </c>
      <c r="F1657" s="34" t="n">
        <v>-73.84</v>
      </c>
      <c r="G1657" s="34" t="n">
        <v>37.42</v>
      </c>
      <c r="H1657" s="34" t="n">
        <v>66.14</v>
      </c>
      <c r="I1657" s="34" t="n">
        <v>86.88</v>
      </c>
      <c r="J1657" s="34" t="n">
        <v>68.36</v>
      </c>
      <c r="K1657" s="34" t="n">
        <v>77.3</v>
      </c>
      <c r="L1657" s="34" t="n">
        <f aca="false">AVERAGE(C1657:E1657)</f>
        <v>-118.153333333333</v>
      </c>
      <c r="M1657" s="34" t="n">
        <f aca="false">AVERAGE(C1657:J1657)</f>
        <v>-21.1875</v>
      </c>
    </row>
    <row r="1658" customFormat="false" ht="15" hidden="false" customHeight="true" outlineLevel="0" collapsed="false">
      <c r="A1658" s="34" t="s">
        <v>1842</v>
      </c>
      <c r="B1658" s="34" t="n">
        <v>79.75</v>
      </c>
      <c r="C1658" s="34" t="n">
        <v>-66.67</v>
      </c>
      <c r="D1658" s="34" t="n">
        <v>43.26</v>
      </c>
      <c r="E1658" s="34" t="n">
        <v>78.42</v>
      </c>
      <c r="F1658" s="34" t="n">
        <v>-18.24</v>
      </c>
      <c r="G1658" s="34" t="n">
        <v>-70.3</v>
      </c>
      <c r="H1658" s="34" t="n">
        <v>1.07</v>
      </c>
      <c r="I1658" s="34" t="n">
        <v>28.62</v>
      </c>
      <c r="J1658" s="34" t="n">
        <v>14.16</v>
      </c>
      <c r="K1658" s="34" t="n">
        <v>82.74</v>
      </c>
      <c r="L1658" s="34" t="n">
        <f aca="false">AVERAGE(C1658:E1658)</f>
        <v>18.3366666666667</v>
      </c>
      <c r="M1658" s="34" t="n">
        <f aca="false">AVERAGE(C1658:J1658)</f>
        <v>1.29</v>
      </c>
    </row>
    <row r="1659" customFormat="false" ht="15" hidden="false" customHeight="true" outlineLevel="0" collapsed="false">
      <c r="A1659" s="34" t="s">
        <v>1843</v>
      </c>
      <c r="B1659" s="34" t="n">
        <v>79.54</v>
      </c>
      <c r="C1659" s="34" t="n">
        <v>-66.67</v>
      </c>
      <c r="D1659" s="34" t="n">
        <v>23.74</v>
      </c>
      <c r="E1659" s="34" t="n">
        <v>75.07</v>
      </c>
      <c r="F1659" s="34" t="n">
        <v>127.92</v>
      </c>
      <c r="G1659" s="34" t="n">
        <v>32.01</v>
      </c>
      <c r="H1659" s="34" t="n">
        <v>18.2</v>
      </c>
      <c r="I1659" s="34" t="n">
        <v>35.39</v>
      </c>
      <c r="J1659" s="34" t="n">
        <v>27.57</v>
      </c>
      <c r="K1659" s="34" t="n">
        <v>74.29</v>
      </c>
      <c r="L1659" s="34" t="n">
        <f aca="false">AVERAGE(C1659:E1659)</f>
        <v>10.7133333333333</v>
      </c>
      <c r="M1659" s="34" t="n">
        <f aca="false">AVERAGE(C1659:J1659)</f>
        <v>34.15375</v>
      </c>
    </row>
    <row r="1660" customFormat="false" ht="15" hidden="false" customHeight="true" outlineLevel="0" collapsed="false">
      <c r="A1660" s="34" t="s">
        <v>1844</v>
      </c>
      <c r="B1660" s="34" t="n">
        <v>79.5</v>
      </c>
      <c r="C1660" s="34" t="n">
        <v>-66.67</v>
      </c>
      <c r="D1660" s="34" t="n">
        <v>34.26</v>
      </c>
      <c r="E1660" s="34" t="n">
        <v>47.48</v>
      </c>
      <c r="F1660" s="34" t="n">
        <v>-46.42</v>
      </c>
      <c r="G1660" s="34" t="n">
        <v>-76.97</v>
      </c>
      <c r="H1660" s="34" t="n">
        <v>-72.8</v>
      </c>
      <c r="I1660" s="34" t="n">
        <v>-52.47</v>
      </c>
      <c r="J1660" s="34" t="n">
        <v>-60.63</v>
      </c>
      <c r="K1660" s="34" t="n">
        <v>84.47</v>
      </c>
      <c r="L1660" s="34" t="n">
        <f aca="false">AVERAGE(C1660:E1660)</f>
        <v>5.02333333333333</v>
      </c>
      <c r="M1660" s="34" t="n">
        <f aca="false">AVERAGE(C1660:J1660)</f>
        <v>-36.7775</v>
      </c>
    </row>
    <row r="1661" customFormat="false" ht="15" hidden="false" customHeight="true" outlineLevel="0" collapsed="false">
      <c r="A1661" s="34" t="s">
        <v>1845</v>
      </c>
      <c r="B1661" s="34" t="n">
        <v>79.29</v>
      </c>
      <c r="C1661" s="34" t="n">
        <v>66.67</v>
      </c>
      <c r="D1661" s="34" t="n">
        <v>118.93</v>
      </c>
      <c r="E1661" s="34" t="n">
        <v>141.22</v>
      </c>
      <c r="F1661" s="34" t="n">
        <v>-14.66</v>
      </c>
      <c r="G1661" s="34" t="n">
        <v>-74.13</v>
      </c>
      <c r="H1661" s="34" t="n">
        <v>-78.43</v>
      </c>
      <c r="I1661" s="34" t="n">
        <v>-25.76</v>
      </c>
      <c r="J1661" s="34" t="n">
        <v>0.154</v>
      </c>
      <c r="K1661" s="34" t="n">
        <v>81.54</v>
      </c>
      <c r="L1661" s="34" t="n">
        <f aca="false">AVERAGE(C1661:E1661)</f>
        <v>108.94</v>
      </c>
      <c r="M1661" s="34" t="n">
        <f aca="false">AVERAGE(C1661:J1661)</f>
        <v>16.74925</v>
      </c>
    </row>
    <row r="1662" customFormat="false" ht="15" hidden="false" customHeight="true" outlineLevel="0" collapsed="false">
      <c r="A1662" s="34" t="s">
        <v>1846</v>
      </c>
      <c r="B1662" s="34" t="n">
        <v>79.22</v>
      </c>
      <c r="C1662" s="34" t="n">
        <v>-66.67</v>
      </c>
      <c r="D1662" s="34" t="n">
        <v>-105.29</v>
      </c>
      <c r="E1662" s="34" t="n">
        <v>-51.49</v>
      </c>
      <c r="F1662" s="34" t="n">
        <v>-26.43</v>
      </c>
      <c r="G1662" s="34" t="n">
        <v>1.21</v>
      </c>
      <c r="H1662" s="34" t="n">
        <v>39.48</v>
      </c>
      <c r="I1662" s="34" t="n">
        <v>62.85</v>
      </c>
      <c r="J1662" s="34" t="n">
        <v>28.8</v>
      </c>
      <c r="K1662" s="34" t="n">
        <v>77.59</v>
      </c>
      <c r="L1662" s="34" t="n">
        <f aca="false">AVERAGE(C1662:E1662)</f>
        <v>-74.4833333333333</v>
      </c>
      <c r="M1662" s="34" t="n">
        <f aca="false">AVERAGE(C1662:J1662)</f>
        <v>-14.6925</v>
      </c>
    </row>
    <row r="1663" customFormat="false" ht="15" hidden="false" customHeight="true" outlineLevel="0" collapsed="false">
      <c r="A1663" s="34" t="s">
        <v>1847</v>
      </c>
      <c r="B1663" s="34" t="n">
        <v>78.89</v>
      </c>
      <c r="C1663" s="34" t="n">
        <v>-66.67</v>
      </c>
      <c r="D1663" s="34" t="n">
        <v>62.22</v>
      </c>
      <c r="E1663" s="34" t="n">
        <v>26.86</v>
      </c>
      <c r="F1663" s="34" t="n">
        <v>-72.37</v>
      </c>
      <c r="G1663" s="34" t="n">
        <v>-126.61</v>
      </c>
      <c r="H1663" s="34" t="n">
        <v>-58.62</v>
      </c>
      <c r="I1663" s="34" t="n">
        <v>-21.55</v>
      </c>
      <c r="J1663" s="34" t="n">
        <v>-50.97</v>
      </c>
      <c r="K1663" s="34" t="n">
        <v>81.08</v>
      </c>
      <c r="L1663" s="34" t="n">
        <f aca="false">AVERAGE(C1663:E1663)</f>
        <v>7.47</v>
      </c>
      <c r="M1663" s="34" t="n">
        <f aca="false">AVERAGE(C1663:J1663)</f>
        <v>-38.46375</v>
      </c>
    </row>
    <row r="1664" customFormat="false" ht="15" hidden="false" customHeight="true" outlineLevel="0" collapsed="false">
      <c r="A1664" s="34" t="s">
        <v>1848</v>
      </c>
      <c r="B1664" s="34" t="n">
        <v>78.8</v>
      </c>
      <c r="C1664" s="34" t="n">
        <v>-66.67</v>
      </c>
      <c r="D1664" s="34" t="n">
        <v>13.36</v>
      </c>
      <c r="E1664" s="34" t="n">
        <v>-55.02</v>
      </c>
      <c r="F1664" s="34" t="n">
        <v>-95.31</v>
      </c>
      <c r="G1664" s="34" t="n">
        <v>-154.26</v>
      </c>
      <c r="H1664" s="34" t="n">
        <v>-193.46</v>
      </c>
      <c r="I1664" s="34" t="n">
        <v>-188.19</v>
      </c>
      <c r="J1664" s="34" t="n">
        <v>-121.79</v>
      </c>
      <c r="K1664" s="34" t="n">
        <v>89.76</v>
      </c>
      <c r="L1664" s="34" t="n">
        <f aca="false">AVERAGE(C1664:E1664)</f>
        <v>-36.11</v>
      </c>
      <c r="M1664" s="34" t="n">
        <f aca="false">AVERAGE(C1664:J1664)</f>
        <v>-107.6675</v>
      </c>
    </row>
    <row r="1665" customFormat="false" ht="15" hidden="false" customHeight="true" outlineLevel="0" collapsed="false">
      <c r="A1665" s="34" t="s">
        <v>1849</v>
      </c>
      <c r="B1665" s="34" t="n">
        <v>78.47</v>
      </c>
      <c r="C1665" s="34" t="n">
        <v>-66.67</v>
      </c>
      <c r="D1665" s="34" t="n">
        <v>-81.88</v>
      </c>
      <c r="E1665" s="34" t="n">
        <v>-33.72</v>
      </c>
      <c r="F1665" s="34" t="n">
        <v>-75.7</v>
      </c>
      <c r="G1665" s="34" t="n">
        <v>-47.48</v>
      </c>
      <c r="H1665" s="34" t="n">
        <v>-1.13</v>
      </c>
      <c r="I1665" s="34" t="n">
        <v>11.42</v>
      </c>
      <c r="J1665" s="34" t="n">
        <v>-13</v>
      </c>
      <c r="K1665" s="34" t="n">
        <v>94.24</v>
      </c>
      <c r="L1665" s="34" t="n">
        <f aca="false">AVERAGE(C1665:E1665)</f>
        <v>-60.7566666666667</v>
      </c>
      <c r="M1665" s="34" t="n">
        <f aca="false">AVERAGE(C1665:J1665)</f>
        <v>-38.52</v>
      </c>
    </row>
    <row r="1666" customFormat="false" ht="15" hidden="false" customHeight="true" outlineLevel="0" collapsed="false">
      <c r="A1666" s="34" t="s">
        <v>1850</v>
      </c>
      <c r="B1666" s="34" t="n">
        <v>77.94</v>
      </c>
      <c r="C1666" s="34" t="n">
        <v>66.67</v>
      </c>
      <c r="D1666" s="34" t="n">
        <v>85.71</v>
      </c>
      <c r="E1666" s="34" t="n">
        <v>56.18</v>
      </c>
      <c r="F1666" s="34" t="n">
        <v>36.06</v>
      </c>
      <c r="G1666" s="34" t="n">
        <v>25.3</v>
      </c>
      <c r="H1666" s="34" t="n">
        <v>60.34</v>
      </c>
      <c r="I1666" s="34" t="n">
        <v>71.12</v>
      </c>
      <c r="J1666" s="34" t="n">
        <v>83.1</v>
      </c>
      <c r="K1666" s="34" t="n">
        <v>80.59</v>
      </c>
      <c r="L1666" s="34" t="n">
        <f aca="false">AVERAGE(C1666:E1666)</f>
        <v>69.52</v>
      </c>
      <c r="M1666" s="34" t="n">
        <f aca="false">AVERAGE(C1666:J1666)</f>
        <v>60.56</v>
      </c>
    </row>
    <row r="1667" customFormat="false" ht="15" hidden="false" customHeight="true" outlineLevel="0" collapsed="false">
      <c r="A1667" s="34" t="s">
        <v>1851</v>
      </c>
      <c r="B1667" s="34" t="n">
        <v>77.84</v>
      </c>
      <c r="C1667" s="34" t="n">
        <v>66.67</v>
      </c>
      <c r="D1667" s="34" t="n">
        <v>51.83</v>
      </c>
      <c r="E1667" s="34" t="n">
        <v>-3.2</v>
      </c>
      <c r="F1667" s="34" t="n">
        <v>-77.38</v>
      </c>
      <c r="G1667" s="34" t="n">
        <v>32.71</v>
      </c>
      <c r="H1667" s="34" t="n">
        <v>58.25</v>
      </c>
      <c r="I1667" s="34" t="n">
        <v>79.38</v>
      </c>
      <c r="J1667" s="34" t="n">
        <v>97.07</v>
      </c>
      <c r="K1667" s="34" t="n">
        <v>81.23</v>
      </c>
      <c r="L1667" s="34" t="n">
        <f aca="false">AVERAGE(C1667:E1667)</f>
        <v>38.4333333333333</v>
      </c>
      <c r="M1667" s="34" t="n">
        <f aca="false">AVERAGE(C1667:J1667)</f>
        <v>38.16625</v>
      </c>
    </row>
    <row r="1668" customFormat="false" ht="15" hidden="false" customHeight="true" outlineLevel="0" collapsed="false">
      <c r="A1668" s="34" t="s">
        <v>1852</v>
      </c>
      <c r="B1668" s="34" t="n">
        <v>77.32</v>
      </c>
      <c r="C1668" s="34" t="n">
        <v>66.67</v>
      </c>
      <c r="D1668" s="34" t="n">
        <v>-25.71</v>
      </c>
      <c r="E1668" s="34" t="n">
        <v>-14.25</v>
      </c>
      <c r="F1668" s="34" t="n">
        <v>-61.8</v>
      </c>
      <c r="G1668" s="34" t="n">
        <v>-99.98</v>
      </c>
      <c r="H1668" s="34" t="n">
        <v>-40.85</v>
      </c>
      <c r="I1668" s="34" t="n">
        <v>10.7</v>
      </c>
      <c r="J1668" s="34" t="n">
        <v>29.4</v>
      </c>
      <c r="K1668" s="34" t="n">
        <v>81.25</v>
      </c>
      <c r="L1668" s="34" t="n">
        <f aca="false">AVERAGE(C1668:E1668)</f>
        <v>8.90333333333333</v>
      </c>
      <c r="M1668" s="34" t="n">
        <f aca="false">AVERAGE(C1668:J1668)</f>
        <v>-16.9775</v>
      </c>
    </row>
    <row r="1669" customFormat="false" ht="15" hidden="false" customHeight="true" outlineLevel="0" collapsed="false">
      <c r="A1669" s="34" t="s">
        <v>1853</v>
      </c>
      <c r="B1669" s="34" t="n">
        <v>76.75</v>
      </c>
      <c r="C1669" s="34" t="n">
        <v>-66.67</v>
      </c>
      <c r="D1669" s="34" t="n">
        <v>-31.68</v>
      </c>
      <c r="E1669" s="34" t="n">
        <v>61.55</v>
      </c>
      <c r="F1669" s="34" t="n">
        <v>-22.56</v>
      </c>
      <c r="G1669" s="34" t="n">
        <v>-66</v>
      </c>
      <c r="H1669" s="34" t="n">
        <v>-39.24</v>
      </c>
      <c r="I1669" s="34" t="n">
        <v>12.08</v>
      </c>
      <c r="J1669" s="34" t="n">
        <v>7.84</v>
      </c>
      <c r="K1669" s="34" t="n">
        <v>79.25</v>
      </c>
      <c r="L1669" s="34" t="n">
        <f aca="false">AVERAGE(C1669:E1669)</f>
        <v>-12.2666666666667</v>
      </c>
      <c r="M1669" s="34" t="n">
        <f aca="false">AVERAGE(C1669:J1669)</f>
        <v>-18.085</v>
      </c>
    </row>
    <row r="1670" customFormat="false" ht="15" hidden="false" customHeight="true" outlineLevel="0" collapsed="false">
      <c r="A1670" s="34" t="s">
        <v>1854</v>
      </c>
      <c r="B1670" s="34" t="n">
        <v>76.13</v>
      </c>
      <c r="C1670" s="34" t="n">
        <v>-66.67</v>
      </c>
      <c r="D1670" s="34" t="n">
        <v>-133.33</v>
      </c>
      <c r="E1670" s="34" t="n">
        <v>-8.97</v>
      </c>
      <c r="F1670" s="34" t="n">
        <v>50.95</v>
      </c>
      <c r="G1670" s="34" t="n">
        <v>82.29</v>
      </c>
      <c r="H1670" s="34" t="n">
        <v>100.09</v>
      </c>
      <c r="I1670" s="34" t="n">
        <v>107.09</v>
      </c>
      <c r="J1670" s="34" t="n">
        <v>28.41</v>
      </c>
      <c r="K1670" s="34" t="n">
        <v>80.12</v>
      </c>
      <c r="L1670" s="34" t="n">
        <f aca="false">AVERAGE(C1670:E1670)</f>
        <v>-69.6566666666667</v>
      </c>
      <c r="M1670" s="34" t="n">
        <f aca="false">AVERAGE(C1670:J1670)</f>
        <v>19.9825</v>
      </c>
    </row>
    <row r="1671" customFormat="false" ht="15" hidden="false" customHeight="true" outlineLevel="0" collapsed="false">
      <c r="A1671" s="34" t="s">
        <v>1855</v>
      </c>
      <c r="B1671" s="34" t="n">
        <v>75.97</v>
      </c>
      <c r="C1671" s="34" t="n">
        <v>66.67</v>
      </c>
      <c r="D1671" s="34" t="n">
        <v>97.73</v>
      </c>
      <c r="E1671" s="34" t="n">
        <v>148.35</v>
      </c>
      <c r="F1671" s="34" t="n">
        <v>24.21</v>
      </c>
      <c r="G1671" s="34" t="n">
        <v>11.15</v>
      </c>
      <c r="H1671" s="34" t="n">
        <v>40.8</v>
      </c>
      <c r="I1671" s="34" t="n">
        <v>21.42</v>
      </c>
      <c r="J1671" s="34" t="n">
        <v>-23.93</v>
      </c>
      <c r="K1671" s="34" t="n">
        <v>69.1</v>
      </c>
      <c r="L1671" s="34" t="n">
        <f aca="false">AVERAGE(C1671:E1671)</f>
        <v>104.25</v>
      </c>
      <c r="M1671" s="34" t="n">
        <f aca="false">AVERAGE(C1671:J1671)</f>
        <v>48.3</v>
      </c>
    </row>
    <row r="1672" customFormat="false" ht="15" hidden="false" customHeight="true" outlineLevel="0" collapsed="false">
      <c r="A1672" s="34" t="s">
        <v>1856</v>
      </c>
      <c r="B1672" s="34" t="n">
        <v>75.6</v>
      </c>
      <c r="C1672" s="34" t="n">
        <v>66.67</v>
      </c>
      <c r="D1672" s="34" t="n">
        <v>89.04</v>
      </c>
      <c r="E1672" s="34" t="n">
        <v>166.18</v>
      </c>
      <c r="F1672" s="34" t="n">
        <v>420.83</v>
      </c>
      <c r="G1672" s="34" t="n">
        <v>614.96</v>
      </c>
      <c r="H1672" s="34" t="n">
        <v>457.85</v>
      </c>
      <c r="I1672" s="34" t="n">
        <v>317.34</v>
      </c>
      <c r="J1672" s="34" t="n">
        <v>252.65</v>
      </c>
      <c r="K1672" s="34" t="n">
        <v>65.96</v>
      </c>
      <c r="L1672" s="34" t="n">
        <f aca="false">AVERAGE(C1672:E1672)</f>
        <v>107.296666666667</v>
      </c>
      <c r="M1672" s="34" t="n">
        <f aca="false">AVERAGE(C1672:J1672)</f>
        <v>298.19</v>
      </c>
    </row>
    <row r="1673" customFormat="false" ht="15" hidden="false" customHeight="true" outlineLevel="0" collapsed="false">
      <c r="A1673" s="34" t="s">
        <v>1857</v>
      </c>
      <c r="B1673" s="34" t="n">
        <v>74.88</v>
      </c>
      <c r="C1673" s="34" t="n">
        <v>66.67</v>
      </c>
      <c r="D1673" s="34" t="n">
        <v>3.87</v>
      </c>
      <c r="E1673" s="34" t="n">
        <v>-56.37</v>
      </c>
      <c r="F1673" s="34" t="n">
        <v>-84.41</v>
      </c>
      <c r="G1673" s="34" t="n">
        <v>-89.64</v>
      </c>
      <c r="H1673" s="34" t="n">
        <v>-65.2</v>
      </c>
      <c r="I1673" s="34" t="n">
        <v>-52.16</v>
      </c>
      <c r="J1673" s="34" t="n">
        <v>-63.59</v>
      </c>
      <c r="K1673" s="34" t="n">
        <v>81.94</v>
      </c>
      <c r="L1673" s="34" t="n">
        <f aca="false">AVERAGE(C1673:E1673)</f>
        <v>4.72333333333333</v>
      </c>
      <c r="M1673" s="34" t="n">
        <f aca="false">AVERAGE(C1673:J1673)</f>
        <v>-42.60375</v>
      </c>
    </row>
    <row r="1674" customFormat="false" ht="15" hidden="false" customHeight="true" outlineLevel="0" collapsed="false">
      <c r="A1674" s="34" t="s">
        <v>1858</v>
      </c>
      <c r="B1674" s="34" t="n">
        <v>74.4</v>
      </c>
      <c r="C1674" s="34" t="n">
        <v>-66.67</v>
      </c>
      <c r="D1674" s="34" t="n">
        <v>-124.07</v>
      </c>
      <c r="E1674" s="34" t="n">
        <v>-91.7</v>
      </c>
      <c r="F1674" s="34" t="n">
        <v>-84.23</v>
      </c>
      <c r="G1674" s="34" t="n">
        <v>-144.65</v>
      </c>
      <c r="H1674" s="34" t="n">
        <v>-125.79</v>
      </c>
      <c r="I1674" s="34" t="n">
        <v>-117.81</v>
      </c>
      <c r="J1674" s="34" t="n">
        <v>-136.7</v>
      </c>
      <c r="K1674" s="34" t="n">
        <v>83.19</v>
      </c>
      <c r="L1674" s="34" t="n">
        <f aca="false">AVERAGE(C1674:E1674)</f>
        <v>-94.1466666666667</v>
      </c>
      <c r="M1674" s="34" t="n">
        <f aca="false">AVERAGE(C1674:J1674)</f>
        <v>-111.4525</v>
      </c>
    </row>
    <row r="1675" customFormat="false" ht="15" hidden="false" customHeight="true" outlineLevel="0" collapsed="false">
      <c r="A1675" s="34" t="s">
        <v>1859</v>
      </c>
      <c r="B1675" s="34" t="n">
        <v>74</v>
      </c>
      <c r="C1675" s="34" t="n">
        <v>-66.67</v>
      </c>
      <c r="D1675" s="34" t="n">
        <v>24.3</v>
      </c>
      <c r="E1675" s="34" t="n">
        <v>70.38</v>
      </c>
      <c r="F1675" s="34" t="n">
        <v>48.05</v>
      </c>
      <c r="G1675" s="34" t="n">
        <v>-56.4</v>
      </c>
      <c r="H1675" s="34" t="n">
        <v>-80.94</v>
      </c>
      <c r="I1675" s="34" t="n">
        <v>-104.52</v>
      </c>
      <c r="J1675" s="34"/>
      <c r="K1675" s="34" t="n">
        <v>78.52</v>
      </c>
      <c r="L1675" s="34" t="n">
        <f aca="false">AVERAGE(C1675:E1675)</f>
        <v>9.33666666666666</v>
      </c>
      <c r="M1675" s="34" t="n">
        <f aca="false">AVERAGE(C1675:J1675)</f>
        <v>-23.6857142857143</v>
      </c>
    </row>
    <row r="1676" customFormat="false" ht="15" hidden="false" customHeight="true" outlineLevel="0" collapsed="false">
      <c r="A1676" s="34" t="s">
        <v>1860</v>
      </c>
      <c r="B1676" s="34" t="n">
        <v>73.98</v>
      </c>
      <c r="C1676" s="34" t="n">
        <v>-66.67</v>
      </c>
      <c r="D1676" s="34" t="n">
        <v>-133.33</v>
      </c>
      <c r="E1676" s="34" t="n">
        <v>-141.78</v>
      </c>
      <c r="F1676" s="34" t="n">
        <v>-106.8</v>
      </c>
      <c r="G1676" s="34" t="n">
        <v>-124.19</v>
      </c>
      <c r="H1676" s="34" t="n">
        <v>-103.37</v>
      </c>
      <c r="I1676" s="34" t="n">
        <v>-48.93</v>
      </c>
      <c r="J1676" s="34" t="n">
        <v>-64.2</v>
      </c>
      <c r="K1676" s="34" t="n">
        <v>78.67</v>
      </c>
      <c r="L1676" s="34" t="n">
        <f aca="false">AVERAGE(C1676:E1676)</f>
        <v>-113.926666666667</v>
      </c>
      <c r="M1676" s="34" t="n">
        <f aca="false">AVERAGE(C1676:J1676)</f>
        <v>-98.65875</v>
      </c>
    </row>
    <row r="1677" customFormat="false" ht="15" hidden="false" customHeight="true" outlineLevel="0" collapsed="false">
      <c r="A1677" s="34" t="s">
        <v>1861</v>
      </c>
      <c r="B1677" s="34" t="n">
        <v>73.74</v>
      </c>
      <c r="C1677" s="34" t="n">
        <v>-66.67</v>
      </c>
      <c r="D1677" s="34" t="n">
        <v>-97.5</v>
      </c>
      <c r="E1677" s="34" t="n">
        <v>51.72</v>
      </c>
      <c r="F1677" s="34" t="n">
        <v>-12.71</v>
      </c>
      <c r="G1677" s="34" t="n">
        <v>-69.63</v>
      </c>
      <c r="H1677" s="34" t="n">
        <v>-82.31</v>
      </c>
      <c r="I1677" s="34" t="n">
        <v>-51.04</v>
      </c>
      <c r="J1677" s="34" t="n">
        <v>-62.5</v>
      </c>
      <c r="K1677" s="34" t="n">
        <v>69.45</v>
      </c>
      <c r="L1677" s="34" t="n">
        <f aca="false">AVERAGE(C1677:E1677)</f>
        <v>-37.4833333333333</v>
      </c>
      <c r="M1677" s="34" t="n">
        <f aca="false">AVERAGE(C1677:J1677)</f>
        <v>-48.83</v>
      </c>
    </row>
    <row r="1678" customFormat="false" ht="15" hidden="false" customHeight="true" outlineLevel="0" collapsed="false">
      <c r="A1678" s="34" t="s">
        <v>218</v>
      </c>
      <c r="B1678" s="34" t="n">
        <v>73.62</v>
      </c>
      <c r="C1678" s="34" t="n">
        <v>-66.67</v>
      </c>
      <c r="D1678" s="34" t="n">
        <v>-80.62</v>
      </c>
      <c r="E1678" s="34" t="n">
        <v>38.47</v>
      </c>
      <c r="F1678" s="34" t="n">
        <v>-61.47</v>
      </c>
      <c r="G1678" s="34" t="n">
        <v>-106.69</v>
      </c>
      <c r="H1678" s="34" t="n">
        <v>-127.89</v>
      </c>
      <c r="I1678" s="34" t="n">
        <v>-137.07</v>
      </c>
      <c r="J1678" s="34" t="n">
        <v>-122.95</v>
      </c>
      <c r="K1678" s="34" t="n">
        <v>75.6</v>
      </c>
      <c r="L1678" s="34" t="n">
        <f aca="false">AVERAGE(C1678:E1678)</f>
        <v>-36.2733333333333</v>
      </c>
      <c r="M1678" s="34" t="n">
        <f aca="false">AVERAGE(C1678:J1678)</f>
        <v>-83.11125</v>
      </c>
    </row>
    <row r="1679" customFormat="false" ht="15" hidden="false" customHeight="true" outlineLevel="0" collapsed="false">
      <c r="A1679" s="34" t="s">
        <v>1862</v>
      </c>
      <c r="B1679" s="34" t="n">
        <v>73.62</v>
      </c>
      <c r="C1679" s="34" t="n">
        <v>-66.67</v>
      </c>
      <c r="D1679" s="34" t="n">
        <v>2.31</v>
      </c>
      <c r="E1679" s="34" t="n">
        <v>1.67</v>
      </c>
      <c r="F1679" s="34" t="n">
        <v>-71.56</v>
      </c>
      <c r="G1679" s="34" t="n">
        <v>-123.82</v>
      </c>
      <c r="H1679" s="34" t="n">
        <v>-67.72</v>
      </c>
      <c r="I1679" s="34" t="n">
        <v>-36.11</v>
      </c>
      <c r="J1679" s="34" t="n">
        <v>-14.62</v>
      </c>
      <c r="K1679" s="34" t="n">
        <v>81.13</v>
      </c>
      <c r="L1679" s="34" t="n">
        <f aca="false">AVERAGE(C1679:E1679)</f>
        <v>-20.8966666666667</v>
      </c>
      <c r="M1679" s="34" t="n">
        <f aca="false">AVERAGE(C1679:J1679)</f>
        <v>-47.065</v>
      </c>
    </row>
    <row r="1680" customFormat="false" ht="15" hidden="false" customHeight="true" outlineLevel="0" collapsed="false">
      <c r="A1680" s="34" t="s">
        <v>1863</v>
      </c>
      <c r="B1680" s="34" t="n">
        <v>73.46</v>
      </c>
      <c r="C1680" s="34" t="n">
        <v>-66.67</v>
      </c>
      <c r="D1680" s="34" t="n">
        <v>-131.64</v>
      </c>
      <c r="E1680" s="34" t="n">
        <v>28.29</v>
      </c>
      <c r="F1680" s="34" t="n">
        <v>-23.98</v>
      </c>
      <c r="G1680" s="34" t="n">
        <v>-72.64</v>
      </c>
      <c r="H1680" s="34" t="n">
        <v>-80.08</v>
      </c>
      <c r="I1680" s="34" t="n">
        <v>-46.45</v>
      </c>
      <c r="J1680" s="34" t="n">
        <v>-59.53</v>
      </c>
      <c r="K1680" s="34" t="n">
        <v>76.06</v>
      </c>
      <c r="L1680" s="34" t="n">
        <f aca="false">AVERAGE(C1680:E1680)</f>
        <v>-56.6733333333333</v>
      </c>
      <c r="M1680" s="34" t="n">
        <f aca="false">AVERAGE(C1680:J1680)</f>
        <v>-56.5875</v>
      </c>
    </row>
    <row r="1681" customFormat="false" ht="15" hidden="false" customHeight="true" outlineLevel="0" collapsed="false">
      <c r="A1681" s="34" t="s">
        <v>1864</v>
      </c>
      <c r="B1681" s="34" t="n">
        <v>73.4</v>
      </c>
      <c r="C1681" s="34" t="n">
        <v>-66.67</v>
      </c>
      <c r="D1681" s="34" t="n">
        <v>-103.49</v>
      </c>
      <c r="E1681" s="34" t="n">
        <v>-24.69</v>
      </c>
      <c r="F1681" s="34" t="n">
        <v>85.02</v>
      </c>
      <c r="G1681" s="34" t="n">
        <v>150.02</v>
      </c>
      <c r="H1681" s="34" t="n">
        <v>212.08</v>
      </c>
      <c r="I1681" s="34" t="n">
        <v>220.35</v>
      </c>
      <c r="J1681" s="34" t="n">
        <v>256.9</v>
      </c>
      <c r="K1681" s="34" t="n">
        <v>80.32</v>
      </c>
      <c r="L1681" s="34" t="n">
        <f aca="false">AVERAGE(C1681:E1681)</f>
        <v>-64.95</v>
      </c>
      <c r="M1681" s="34" t="n">
        <f aca="false">AVERAGE(C1681:J1681)</f>
        <v>91.19</v>
      </c>
    </row>
    <row r="1682" customFormat="false" ht="15" hidden="false" customHeight="true" outlineLevel="0" collapsed="false">
      <c r="A1682" s="34" t="s">
        <v>1865</v>
      </c>
      <c r="B1682" s="34" t="n">
        <v>73.29</v>
      </c>
      <c r="C1682" s="34" t="n">
        <v>66.67</v>
      </c>
      <c r="D1682" s="34" t="n">
        <v>38.55</v>
      </c>
      <c r="E1682" s="34" t="n">
        <v>30.91</v>
      </c>
      <c r="F1682" s="34" t="n">
        <v>21.24</v>
      </c>
      <c r="G1682" s="34" t="n">
        <v>77.04</v>
      </c>
      <c r="H1682" s="34" t="n">
        <v>112.27</v>
      </c>
      <c r="I1682" s="34" t="n">
        <v>120.57</v>
      </c>
      <c r="J1682" s="34" t="n">
        <v>88.67</v>
      </c>
      <c r="K1682" s="34" t="n">
        <v>76.02</v>
      </c>
      <c r="L1682" s="34" t="n">
        <f aca="false">AVERAGE(C1682:E1682)</f>
        <v>45.3766666666667</v>
      </c>
      <c r="M1682" s="34" t="n">
        <f aca="false">AVERAGE(C1682:J1682)</f>
        <v>69.49</v>
      </c>
    </row>
    <row r="1683" customFormat="false" ht="15" hidden="false" customHeight="true" outlineLevel="0" collapsed="false">
      <c r="A1683" s="34" t="s">
        <v>1866</v>
      </c>
      <c r="B1683" s="34" t="n">
        <v>73.25</v>
      </c>
      <c r="C1683" s="34" t="n">
        <v>-66.67</v>
      </c>
      <c r="D1683" s="34" t="n">
        <v>-125.66</v>
      </c>
      <c r="E1683" s="34" t="n">
        <v>-134.86</v>
      </c>
      <c r="F1683" s="34" t="n">
        <v>-133.95</v>
      </c>
      <c r="G1683" s="34" t="n">
        <v>-138.28</v>
      </c>
      <c r="H1683" s="34" t="n">
        <v>-91.24</v>
      </c>
      <c r="I1683" s="34" t="n">
        <v>-41.08</v>
      </c>
      <c r="J1683" s="34" t="n">
        <v>-53.74</v>
      </c>
      <c r="K1683" s="34" t="n">
        <v>82.44</v>
      </c>
      <c r="L1683" s="34" t="n">
        <f aca="false">AVERAGE(C1683:E1683)</f>
        <v>-109.063333333333</v>
      </c>
      <c r="M1683" s="34" t="n">
        <f aca="false">AVERAGE(C1683:J1683)</f>
        <v>-98.185</v>
      </c>
    </row>
    <row r="1684" customFormat="false" ht="15" hidden="false" customHeight="true" outlineLevel="0" collapsed="false">
      <c r="A1684" s="34" t="s">
        <v>582</v>
      </c>
      <c r="B1684" s="34" t="n">
        <v>73.01</v>
      </c>
      <c r="C1684" s="34" t="n">
        <v>66.67</v>
      </c>
      <c r="D1684" s="34" t="n">
        <v>55.16</v>
      </c>
      <c r="E1684" s="34" t="n">
        <v>100.66</v>
      </c>
      <c r="F1684" s="34" t="n">
        <v>132.73</v>
      </c>
      <c r="G1684" s="34" t="n">
        <v>204.31</v>
      </c>
      <c r="H1684" s="34" t="n">
        <v>121.95</v>
      </c>
      <c r="I1684" s="34" t="n">
        <v>130.65</v>
      </c>
      <c r="J1684" s="34" t="n">
        <v>105.7</v>
      </c>
      <c r="K1684" s="34" t="n">
        <v>64.9</v>
      </c>
      <c r="L1684" s="34" t="n">
        <f aca="false">AVERAGE(C1684:E1684)</f>
        <v>74.1633333333333</v>
      </c>
      <c r="M1684" s="34" t="n">
        <f aca="false">AVERAGE(C1684:J1684)</f>
        <v>114.72875</v>
      </c>
    </row>
    <row r="1685" customFormat="false" ht="15" hidden="false" customHeight="true" outlineLevel="0" collapsed="false">
      <c r="A1685" s="34" t="s">
        <v>1867</v>
      </c>
      <c r="B1685" s="34" t="n">
        <v>72.9</v>
      </c>
      <c r="C1685" s="34" t="n">
        <v>-66.67</v>
      </c>
      <c r="D1685" s="34" t="n">
        <v>6.41</v>
      </c>
      <c r="E1685" s="34" t="n">
        <v>-28.66</v>
      </c>
      <c r="F1685" s="34" t="n">
        <v>-78.46</v>
      </c>
      <c r="G1685" s="34" t="n">
        <v>-128.86</v>
      </c>
      <c r="H1685" s="34" t="n">
        <v>-180.2</v>
      </c>
      <c r="I1685" s="34" t="n">
        <v>-216.02</v>
      </c>
      <c r="J1685" s="34" t="n">
        <v>-181.07</v>
      </c>
      <c r="K1685" s="34" t="n">
        <v>78.74</v>
      </c>
      <c r="L1685" s="34" t="n">
        <f aca="false">AVERAGE(C1685:E1685)</f>
        <v>-29.64</v>
      </c>
      <c r="M1685" s="34" t="n">
        <f aca="false">AVERAGE(C1685:J1685)</f>
        <v>-109.19125</v>
      </c>
    </row>
    <row r="1686" customFormat="false" ht="15" hidden="false" customHeight="true" outlineLevel="0" collapsed="false">
      <c r="A1686" s="34" t="s">
        <v>1868</v>
      </c>
      <c r="B1686" s="34" t="n">
        <v>72.7</v>
      </c>
      <c r="C1686" s="34" t="n">
        <v>-66.67</v>
      </c>
      <c r="D1686" s="34" t="n">
        <v>-93.99</v>
      </c>
      <c r="E1686" s="34" t="n">
        <v>17.05</v>
      </c>
      <c r="F1686" s="34" t="n">
        <v>-8.61</v>
      </c>
      <c r="G1686" s="34" t="n">
        <v>15.22</v>
      </c>
      <c r="H1686" s="34" t="n">
        <v>-23.24</v>
      </c>
      <c r="I1686" s="34" t="n">
        <v>10.89</v>
      </c>
      <c r="J1686" s="34" t="n">
        <v>-6.59</v>
      </c>
      <c r="K1686" s="34" t="n">
        <v>74.95</v>
      </c>
      <c r="L1686" s="34" t="n">
        <f aca="false">AVERAGE(C1686:E1686)</f>
        <v>-47.87</v>
      </c>
      <c r="M1686" s="34" t="n">
        <f aca="false">AVERAGE(C1686:J1686)</f>
        <v>-19.4925</v>
      </c>
    </row>
    <row r="1687" customFormat="false" ht="15" hidden="false" customHeight="true" outlineLevel="0" collapsed="false">
      <c r="A1687" s="34" t="s">
        <v>1869</v>
      </c>
      <c r="B1687" s="34" t="n">
        <v>72.63</v>
      </c>
      <c r="C1687" s="34" t="n">
        <v>-66.67</v>
      </c>
      <c r="D1687" s="34" t="n">
        <v>-83.11</v>
      </c>
      <c r="E1687" s="34" t="n">
        <v>41.28</v>
      </c>
      <c r="F1687" s="34" t="n">
        <v>12.85</v>
      </c>
      <c r="G1687" s="34" t="n">
        <v>8.31</v>
      </c>
      <c r="H1687" s="34" t="n">
        <v>48.65</v>
      </c>
      <c r="I1687" s="34" t="n">
        <v>61.58</v>
      </c>
      <c r="J1687" s="34" t="n">
        <v>73.64</v>
      </c>
      <c r="K1687" s="34" t="n">
        <v>73.75</v>
      </c>
      <c r="L1687" s="34" t="n">
        <f aca="false">AVERAGE(C1687:E1687)</f>
        <v>-36.1666666666667</v>
      </c>
      <c r="M1687" s="34" t="n">
        <f aca="false">AVERAGE(C1687:J1687)</f>
        <v>12.06625</v>
      </c>
    </row>
    <row r="1688" customFormat="false" ht="15" hidden="false" customHeight="true" outlineLevel="0" collapsed="false">
      <c r="A1688" s="34" t="s">
        <v>1870</v>
      </c>
      <c r="B1688" s="34" t="n">
        <v>72.6</v>
      </c>
      <c r="C1688" s="34" t="n">
        <v>-66.67</v>
      </c>
      <c r="D1688" s="34" t="n">
        <v>-116.67</v>
      </c>
      <c r="E1688" s="34" t="n">
        <v>-67.95</v>
      </c>
      <c r="F1688" s="34" t="n">
        <v>-58.87</v>
      </c>
      <c r="G1688" s="34" t="n">
        <v>40.08</v>
      </c>
      <c r="H1688" s="34" t="n">
        <v>67.5</v>
      </c>
      <c r="I1688" s="34" t="n">
        <v>91.5</v>
      </c>
      <c r="J1688" s="34" t="n">
        <v>111.12</v>
      </c>
      <c r="K1688" s="34" t="n">
        <v>77.59</v>
      </c>
      <c r="L1688" s="34" t="n">
        <f aca="false">AVERAGE(C1688:E1688)</f>
        <v>-83.7633333333333</v>
      </c>
      <c r="M1688" s="34" t="n">
        <f aca="false">AVERAGE(C1688:J1688)</f>
        <v>0.00499999999999901</v>
      </c>
    </row>
    <row r="1689" customFormat="false" ht="15" hidden="false" customHeight="true" outlineLevel="0" collapsed="false">
      <c r="A1689" s="34" t="s">
        <v>1871</v>
      </c>
      <c r="B1689" s="34" t="n">
        <v>72.55</v>
      </c>
      <c r="C1689" s="34" t="n">
        <v>-66.67</v>
      </c>
      <c r="D1689" s="34" t="n">
        <v>64.65</v>
      </c>
      <c r="E1689" s="34" t="n">
        <v>125.64</v>
      </c>
      <c r="F1689" s="34" t="n">
        <v>55.7</v>
      </c>
      <c r="G1689" s="34" t="n">
        <v>104.14</v>
      </c>
      <c r="H1689" s="34" t="n">
        <v>100.59</v>
      </c>
      <c r="I1689" s="34" t="n">
        <v>81.89</v>
      </c>
      <c r="J1689" s="34" t="n">
        <v>84.38</v>
      </c>
      <c r="K1689" s="34" t="n">
        <v>74.53</v>
      </c>
      <c r="L1689" s="34" t="n">
        <f aca="false">AVERAGE(C1689:E1689)</f>
        <v>41.2066666666667</v>
      </c>
      <c r="M1689" s="34" t="n">
        <f aca="false">AVERAGE(C1689:J1689)</f>
        <v>68.79</v>
      </c>
    </row>
    <row r="1690" customFormat="false" ht="15" hidden="false" customHeight="true" outlineLevel="0" collapsed="false">
      <c r="A1690" s="34" t="s">
        <v>1872</v>
      </c>
      <c r="B1690" s="34" t="n">
        <v>72.5</v>
      </c>
      <c r="C1690" s="34" t="n">
        <v>-66.67</v>
      </c>
      <c r="D1690" s="34" t="n">
        <v>-30.33</v>
      </c>
      <c r="E1690" s="34" t="n">
        <v>-54.69</v>
      </c>
      <c r="F1690" s="34" t="n">
        <v>-112.84</v>
      </c>
      <c r="G1690" s="34" t="n">
        <v>-138.41</v>
      </c>
      <c r="H1690" s="34" t="n">
        <v>-61.14</v>
      </c>
      <c r="I1690" s="34" t="n">
        <v>-28.3</v>
      </c>
      <c r="J1690" s="34" t="n">
        <v>-33.56</v>
      </c>
      <c r="K1690" s="34" t="n">
        <v>79.34</v>
      </c>
      <c r="L1690" s="34" t="n">
        <f aca="false">AVERAGE(C1690:E1690)</f>
        <v>-50.5633333333333</v>
      </c>
      <c r="M1690" s="34" t="n">
        <f aca="false">AVERAGE(C1690:J1690)</f>
        <v>-65.7425</v>
      </c>
    </row>
    <row r="1691" customFormat="false" ht="15" hidden="false" customHeight="true" outlineLevel="0" collapsed="false">
      <c r="A1691" s="34" t="s">
        <v>1873</v>
      </c>
      <c r="B1691" s="34" t="n">
        <v>71.97</v>
      </c>
      <c r="C1691" s="34" t="n">
        <v>-66.67</v>
      </c>
      <c r="D1691" s="34" t="n">
        <v>-111.98</v>
      </c>
      <c r="E1691" s="34" t="n">
        <v>-101.5</v>
      </c>
      <c r="F1691" s="34" t="n">
        <v>-167.24</v>
      </c>
      <c r="G1691" s="34" t="n">
        <v>-62.83</v>
      </c>
      <c r="H1691" s="34" t="n">
        <v>13.48</v>
      </c>
      <c r="I1691" s="34" t="n">
        <v>38.87</v>
      </c>
      <c r="J1691" s="34" t="n">
        <v>53.17</v>
      </c>
      <c r="K1691" s="34" t="n">
        <v>82.02</v>
      </c>
      <c r="L1691" s="34" t="n">
        <f aca="false">AVERAGE(C1691:E1691)</f>
        <v>-93.3833333333333</v>
      </c>
      <c r="M1691" s="34" t="n">
        <f aca="false">AVERAGE(C1691:J1691)</f>
        <v>-50.5875</v>
      </c>
    </row>
    <row r="1692" customFormat="false" ht="15" hidden="false" customHeight="true" outlineLevel="0" collapsed="false">
      <c r="A1692" s="34" t="s">
        <v>1874</v>
      </c>
      <c r="B1692" s="34" t="n">
        <v>71.96</v>
      </c>
      <c r="C1692" s="34" t="n">
        <v>66.67</v>
      </c>
      <c r="D1692" s="34" t="n">
        <v>116.87</v>
      </c>
      <c r="E1692" s="34" t="n">
        <v>82.69</v>
      </c>
      <c r="F1692" s="34" t="n">
        <v>63.02</v>
      </c>
      <c r="G1692" s="34" t="n">
        <v>54.62</v>
      </c>
      <c r="H1692" s="34" t="n">
        <v>73.69</v>
      </c>
      <c r="I1692" s="34" t="n">
        <v>78.49</v>
      </c>
      <c r="J1692" s="34" t="n">
        <v>90.06</v>
      </c>
      <c r="K1692" s="34" t="n">
        <v>69.33</v>
      </c>
      <c r="L1692" s="34" t="n">
        <f aca="false">AVERAGE(C1692:E1692)</f>
        <v>88.7433333333333</v>
      </c>
      <c r="M1692" s="34" t="n">
        <f aca="false">AVERAGE(C1692:J1692)</f>
        <v>78.26375</v>
      </c>
    </row>
    <row r="1693" customFormat="false" ht="15" hidden="false" customHeight="true" outlineLevel="0" collapsed="false">
      <c r="A1693" s="34" t="s">
        <v>1875</v>
      </c>
      <c r="B1693" s="34" t="n">
        <v>71.9</v>
      </c>
      <c r="C1693" s="34" t="n">
        <v>66.67</v>
      </c>
      <c r="D1693" s="34" t="n">
        <v>107.63</v>
      </c>
      <c r="E1693" s="34" t="n">
        <v>52.94</v>
      </c>
      <c r="F1693" s="34" t="n">
        <v>-80.01</v>
      </c>
      <c r="G1693" s="34" t="n">
        <v>-140.75</v>
      </c>
      <c r="H1693" s="34" t="n">
        <v>-138.26</v>
      </c>
      <c r="I1693" s="34" t="n">
        <v>-107.32</v>
      </c>
      <c r="J1693" s="34" t="n">
        <v>-94.26</v>
      </c>
      <c r="K1693" s="34" t="n">
        <v>76.07</v>
      </c>
      <c r="L1693" s="34" t="n">
        <f aca="false">AVERAGE(C1693:E1693)</f>
        <v>75.7466666666667</v>
      </c>
      <c r="M1693" s="34" t="n">
        <f aca="false">AVERAGE(C1693:J1693)</f>
        <v>-41.67</v>
      </c>
    </row>
    <row r="1694" customFormat="false" ht="15" hidden="false" customHeight="true" outlineLevel="0" collapsed="false">
      <c r="A1694" s="34" t="s">
        <v>1876</v>
      </c>
      <c r="B1694" s="34" t="n">
        <v>71.38</v>
      </c>
      <c r="C1694" s="34" t="n">
        <v>-66.67</v>
      </c>
      <c r="D1694" s="34" t="n">
        <v>-111.71</v>
      </c>
      <c r="E1694" s="34" t="n">
        <v>-175.49</v>
      </c>
      <c r="F1694" s="34" t="n">
        <v>-118.78</v>
      </c>
      <c r="G1694" s="34" t="n">
        <v>-134.95</v>
      </c>
      <c r="H1694" s="34" t="n">
        <v>-125.86</v>
      </c>
      <c r="I1694" s="34" t="n">
        <v>-61.28</v>
      </c>
      <c r="J1694" s="34" t="n">
        <v>-63.31</v>
      </c>
      <c r="K1694" s="34" t="n">
        <v>77.04</v>
      </c>
      <c r="L1694" s="34" t="n">
        <f aca="false">AVERAGE(C1694:E1694)</f>
        <v>-117.956666666667</v>
      </c>
      <c r="M1694" s="34" t="n">
        <f aca="false">AVERAGE(C1694:J1694)</f>
        <v>-107.25625</v>
      </c>
    </row>
    <row r="1695" customFormat="false" ht="15" hidden="false" customHeight="true" outlineLevel="0" collapsed="false">
      <c r="A1695" s="34" t="s">
        <v>1877</v>
      </c>
      <c r="B1695" s="34" t="n">
        <v>71.22</v>
      </c>
      <c r="C1695" s="34" t="n">
        <v>-66.67</v>
      </c>
      <c r="D1695" s="34" t="n">
        <v>-59.14</v>
      </c>
      <c r="E1695" s="34" t="n">
        <v>-48.16</v>
      </c>
      <c r="F1695" s="34" t="n">
        <v>-74.16</v>
      </c>
      <c r="G1695" s="34" t="n">
        <v>-118.08</v>
      </c>
      <c r="H1695" s="34" t="n">
        <v>-151.45</v>
      </c>
      <c r="I1695" s="34" t="n">
        <v>-155.11</v>
      </c>
      <c r="J1695" s="34" t="n">
        <v>-107.59</v>
      </c>
      <c r="K1695" s="34" t="n">
        <v>76.14</v>
      </c>
      <c r="L1695" s="34" t="n">
        <f aca="false">AVERAGE(C1695:E1695)</f>
        <v>-57.99</v>
      </c>
      <c r="M1695" s="34" t="n">
        <f aca="false">AVERAGE(C1695:J1695)</f>
        <v>-97.545</v>
      </c>
    </row>
    <row r="1696" customFormat="false" ht="15" hidden="false" customHeight="true" outlineLevel="0" collapsed="false">
      <c r="A1696" s="34" t="s">
        <v>1878</v>
      </c>
      <c r="B1696" s="34" t="n">
        <v>71.17</v>
      </c>
      <c r="C1696" s="34" t="n">
        <v>66.67</v>
      </c>
      <c r="D1696" s="34" t="n">
        <v>98.73</v>
      </c>
      <c r="E1696" s="34" t="n">
        <v>149.59</v>
      </c>
      <c r="F1696" s="34" t="n">
        <v>284.5</v>
      </c>
      <c r="G1696" s="34" t="n">
        <v>231.64</v>
      </c>
      <c r="H1696" s="34" t="n">
        <v>222.41</v>
      </c>
      <c r="I1696" s="34" t="n">
        <v>249.19</v>
      </c>
      <c r="J1696" s="34" t="n">
        <v>261.9</v>
      </c>
      <c r="K1696" s="34" t="n">
        <v>66.63</v>
      </c>
      <c r="L1696" s="34" t="n">
        <f aca="false">AVERAGE(C1696:E1696)</f>
        <v>104.996666666667</v>
      </c>
      <c r="M1696" s="34" t="n">
        <f aca="false">AVERAGE(C1696:J1696)</f>
        <v>195.57875</v>
      </c>
    </row>
    <row r="1697" customFormat="false" ht="15" hidden="false" customHeight="true" outlineLevel="0" collapsed="false">
      <c r="A1697" s="34" t="s">
        <v>1879</v>
      </c>
      <c r="B1697" s="34" t="n">
        <v>71</v>
      </c>
      <c r="C1697" s="34" t="n">
        <v>-66.67</v>
      </c>
      <c r="D1697" s="34" t="n">
        <v>16.71</v>
      </c>
      <c r="E1697" s="34" t="n">
        <v>56.83</v>
      </c>
      <c r="F1697" s="34" t="n">
        <v>-70.87</v>
      </c>
      <c r="G1697" s="34" t="n">
        <v>-78.29</v>
      </c>
      <c r="H1697" s="34" t="n">
        <v>-21.81</v>
      </c>
      <c r="I1697" s="34" t="n">
        <v>21.82</v>
      </c>
      <c r="J1697" s="34" t="n">
        <v>-1.5</v>
      </c>
      <c r="K1697" s="34" t="n">
        <v>75.26</v>
      </c>
      <c r="L1697" s="34" t="n">
        <f aca="false">AVERAGE(C1697:E1697)</f>
        <v>2.29</v>
      </c>
      <c r="M1697" s="34" t="n">
        <f aca="false">AVERAGE(C1697:J1697)</f>
        <v>-17.9725</v>
      </c>
    </row>
    <row r="1698" customFormat="false" ht="15" hidden="false" customHeight="true" outlineLevel="0" collapsed="false">
      <c r="A1698" s="34" t="s">
        <v>1880</v>
      </c>
      <c r="B1698" s="34" t="n">
        <v>70.95</v>
      </c>
      <c r="C1698" s="34" t="n">
        <v>-66.67</v>
      </c>
      <c r="D1698" s="34" t="n">
        <v>-16.44</v>
      </c>
      <c r="E1698" s="34" t="n">
        <v>78.28</v>
      </c>
      <c r="F1698" s="34" t="n">
        <v>36.45</v>
      </c>
      <c r="G1698" s="34" t="n">
        <v>24.49</v>
      </c>
      <c r="H1698" s="34" t="n">
        <v>58.97</v>
      </c>
      <c r="I1698" s="34" t="n">
        <v>67.91</v>
      </c>
      <c r="J1698" s="34" t="n">
        <v>79.6</v>
      </c>
      <c r="K1698" s="34" t="n">
        <v>68.44</v>
      </c>
      <c r="L1698" s="34" t="n">
        <f aca="false">AVERAGE(C1698:E1698)</f>
        <v>-1.61</v>
      </c>
      <c r="M1698" s="34" t="n">
        <f aca="false">AVERAGE(C1698:J1698)</f>
        <v>32.82375</v>
      </c>
    </row>
    <row r="1699" customFormat="false" ht="15" hidden="false" customHeight="true" outlineLevel="0" collapsed="false">
      <c r="A1699" s="34" t="s">
        <v>1881</v>
      </c>
      <c r="B1699" s="34" t="n">
        <v>70.75</v>
      </c>
      <c r="C1699" s="34" t="n">
        <v>-66.67</v>
      </c>
      <c r="D1699" s="34" t="n">
        <v>-133.33</v>
      </c>
      <c r="E1699" s="34" t="n">
        <v>-53.2</v>
      </c>
      <c r="F1699" s="34" t="n">
        <v>-18.03</v>
      </c>
      <c r="G1699" s="34" t="n">
        <v>-23.47</v>
      </c>
      <c r="H1699" s="34" t="n">
        <v>37.24</v>
      </c>
      <c r="I1699" s="34" t="n">
        <v>58.47</v>
      </c>
      <c r="J1699" s="34" t="n">
        <v>71.54</v>
      </c>
      <c r="K1699" s="34" t="n">
        <v>71.98</v>
      </c>
      <c r="L1699" s="34" t="n">
        <f aca="false">AVERAGE(C1699:E1699)</f>
        <v>-84.4</v>
      </c>
      <c r="M1699" s="34" t="n">
        <f aca="false">AVERAGE(C1699:J1699)</f>
        <v>-15.93125</v>
      </c>
    </row>
    <row r="1700" customFormat="false" ht="15" hidden="false" customHeight="true" outlineLevel="0" collapsed="false">
      <c r="A1700" s="34" t="s">
        <v>1882</v>
      </c>
      <c r="B1700" s="34" t="n">
        <v>70.74</v>
      </c>
      <c r="C1700" s="34" t="n">
        <v>-66.67</v>
      </c>
      <c r="D1700" s="34" t="n">
        <v>-105.18</v>
      </c>
      <c r="E1700" s="34" t="n">
        <v>-17.96</v>
      </c>
      <c r="F1700" s="34" t="n">
        <v>4.06</v>
      </c>
      <c r="G1700" s="34" t="n">
        <v>-5.59</v>
      </c>
      <c r="H1700" s="34" t="n">
        <v>46.18</v>
      </c>
      <c r="I1700" s="34" t="n">
        <v>63.31</v>
      </c>
      <c r="J1700" s="34" t="n">
        <v>75.9</v>
      </c>
      <c r="K1700" s="34" t="n">
        <v>69.51</v>
      </c>
      <c r="L1700" s="34" t="n">
        <f aca="false">AVERAGE(C1700:E1700)</f>
        <v>-63.27</v>
      </c>
      <c r="M1700" s="34" t="n">
        <f aca="false">AVERAGE(C1700:J1700)</f>
        <v>-0.74375</v>
      </c>
    </row>
    <row r="1701" customFormat="false" ht="15" hidden="false" customHeight="true" outlineLevel="0" collapsed="false">
      <c r="A1701" s="34" t="s">
        <v>1883</v>
      </c>
      <c r="B1701" s="34" t="n">
        <v>70.73</v>
      </c>
      <c r="C1701" s="34" t="n">
        <v>66.67</v>
      </c>
      <c r="D1701" s="34" t="n">
        <v>101.64</v>
      </c>
      <c r="E1701" s="34" t="n">
        <v>140.76</v>
      </c>
      <c r="F1701" s="34" t="n">
        <v>245.51</v>
      </c>
      <c r="G1701" s="34" t="n">
        <v>205.94</v>
      </c>
      <c r="H1701" s="34" t="n">
        <v>193.29</v>
      </c>
      <c r="I1701" s="34" t="n">
        <v>177.51</v>
      </c>
      <c r="J1701" s="34" t="n">
        <v>150.25</v>
      </c>
      <c r="K1701" s="34" t="n">
        <v>64.94</v>
      </c>
      <c r="L1701" s="34" t="n">
        <f aca="false">AVERAGE(C1701:E1701)</f>
        <v>103.023333333333</v>
      </c>
      <c r="M1701" s="34" t="n">
        <f aca="false">AVERAGE(C1701:J1701)</f>
        <v>160.19625</v>
      </c>
    </row>
    <row r="1702" customFormat="false" ht="15" hidden="false" customHeight="true" outlineLevel="0" collapsed="false">
      <c r="A1702" s="34" t="s">
        <v>1884</v>
      </c>
      <c r="B1702" s="34" t="n">
        <v>70.53</v>
      </c>
      <c r="C1702" s="34" t="n">
        <v>-66.67</v>
      </c>
      <c r="D1702" s="34" t="n">
        <v>-70.64</v>
      </c>
      <c r="E1702" s="34" t="n">
        <v>59.21</v>
      </c>
      <c r="F1702" s="34" t="n">
        <v>30</v>
      </c>
      <c r="G1702" s="34" t="n">
        <v>16.08</v>
      </c>
      <c r="H1702" s="34" t="n">
        <v>53.46</v>
      </c>
      <c r="I1702" s="34" t="n">
        <v>63.67</v>
      </c>
      <c r="J1702" s="34" t="n">
        <v>76.07</v>
      </c>
      <c r="K1702" s="34" t="n">
        <v>71.25</v>
      </c>
      <c r="L1702" s="34" t="n">
        <f aca="false">AVERAGE(C1702:E1702)</f>
        <v>-26.0333333333333</v>
      </c>
      <c r="M1702" s="34" t="n">
        <f aca="false">AVERAGE(C1702:J1702)</f>
        <v>20.1475</v>
      </c>
    </row>
    <row r="1703" customFormat="false" ht="15" hidden="false" customHeight="true" outlineLevel="0" collapsed="false">
      <c r="A1703" s="34" t="s">
        <v>1885</v>
      </c>
      <c r="B1703" s="34" t="n">
        <v>70.17</v>
      </c>
      <c r="C1703" s="34" t="n">
        <v>-66.67</v>
      </c>
      <c r="D1703" s="34" t="n">
        <v>-133.33</v>
      </c>
      <c r="E1703" s="34" t="n">
        <v>-26.43</v>
      </c>
      <c r="F1703" s="34" t="n">
        <v>-1.56</v>
      </c>
      <c r="G1703" s="34" t="n">
        <v>-13.18</v>
      </c>
      <c r="H1703" s="34" t="n">
        <v>42.63</v>
      </c>
      <c r="I1703" s="34" t="n">
        <v>61.53</v>
      </c>
      <c r="J1703" s="34" t="n">
        <v>74.31</v>
      </c>
      <c r="K1703" s="34" t="n">
        <v>69.61</v>
      </c>
      <c r="L1703" s="34" t="n">
        <f aca="false">AVERAGE(C1703:E1703)</f>
        <v>-75.4766666666667</v>
      </c>
      <c r="M1703" s="34" t="n">
        <f aca="false">AVERAGE(C1703:J1703)</f>
        <v>-7.8375</v>
      </c>
    </row>
    <row r="1704" customFormat="false" ht="15" hidden="false" customHeight="true" outlineLevel="0" collapsed="false">
      <c r="A1704" s="34" t="s">
        <v>64</v>
      </c>
      <c r="B1704" s="34" t="n">
        <v>70.16</v>
      </c>
      <c r="C1704" s="34" t="n">
        <v>-66.67</v>
      </c>
      <c r="D1704" s="34" t="n">
        <v>-53.63</v>
      </c>
      <c r="E1704" s="34" t="n">
        <v>-42.05</v>
      </c>
      <c r="F1704" s="34" t="n">
        <v>-32.46</v>
      </c>
      <c r="G1704" s="34" t="n">
        <v>2.72</v>
      </c>
      <c r="H1704" s="34" t="n">
        <v>30.13</v>
      </c>
      <c r="I1704" s="34" t="n">
        <v>50.82</v>
      </c>
      <c r="J1704" s="34" t="n">
        <v>65.08</v>
      </c>
      <c r="K1704" s="34" t="n">
        <v>73.26</v>
      </c>
      <c r="L1704" s="34" t="n">
        <f aca="false">AVERAGE(C1704:E1704)</f>
        <v>-54.1166666666667</v>
      </c>
      <c r="M1704" s="34" t="n">
        <f aca="false">AVERAGE(C1704:J1704)</f>
        <v>-5.7575</v>
      </c>
    </row>
    <row r="1705" customFormat="false" ht="15" hidden="false" customHeight="true" outlineLevel="0" collapsed="false">
      <c r="A1705" s="34" t="s">
        <v>1886</v>
      </c>
      <c r="B1705" s="34" t="n">
        <v>70</v>
      </c>
      <c r="C1705" s="34" t="n">
        <v>-66.67</v>
      </c>
      <c r="D1705" s="34" t="n">
        <v>-114.74</v>
      </c>
      <c r="E1705" s="34" t="n">
        <v>-22</v>
      </c>
      <c r="F1705" s="34" t="n">
        <v>-44.32</v>
      </c>
      <c r="G1705" s="34" t="n">
        <v>-10.03</v>
      </c>
      <c r="H1705" s="34" t="n">
        <v>20.35</v>
      </c>
      <c r="I1705" s="34" t="n">
        <v>47.27</v>
      </c>
      <c r="J1705" s="34" t="n">
        <v>51.82</v>
      </c>
      <c r="K1705" s="34" t="n">
        <v>67.36</v>
      </c>
      <c r="L1705" s="34" t="n">
        <f aca="false">AVERAGE(C1705:E1705)</f>
        <v>-67.8033333333333</v>
      </c>
      <c r="M1705" s="34" t="n">
        <f aca="false">AVERAGE(C1705:J1705)</f>
        <v>-17.29</v>
      </c>
    </row>
    <row r="1706" customFormat="false" ht="15" hidden="false" customHeight="true" outlineLevel="0" collapsed="false">
      <c r="A1706" s="34" t="s">
        <v>106</v>
      </c>
      <c r="B1706" s="34" t="n">
        <v>69.68</v>
      </c>
      <c r="C1706" s="34" t="n">
        <v>-66.67</v>
      </c>
      <c r="D1706" s="34" t="n">
        <v>-105.69</v>
      </c>
      <c r="E1706" s="34" t="n">
        <v>-10.68</v>
      </c>
      <c r="F1706" s="34" t="n">
        <v>-42.68</v>
      </c>
      <c r="G1706" s="34" t="n">
        <v>-50.28</v>
      </c>
      <c r="H1706" s="34" t="n">
        <v>-5.34</v>
      </c>
      <c r="I1706" s="34" t="n">
        <v>39.48</v>
      </c>
      <c r="J1706" s="34" t="n">
        <v>51.95</v>
      </c>
      <c r="K1706" s="34" t="n">
        <v>71.34</v>
      </c>
      <c r="L1706" s="34" t="n">
        <f aca="false">AVERAGE(C1706:E1706)</f>
        <v>-61.0133333333333</v>
      </c>
      <c r="M1706" s="34" t="n">
        <f aca="false">AVERAGE(C1706:J1706)</f>
        <v>-23.73875</v>
      </c>
    </row>
    <row r="1707" customFormat="false" ht="15" hidden="false" customHeight="true" outlineLevel="0" collapsed="false">
      <c r="A1707" s="34" t="s">
        <v>1887</v>
      </c>
      <c r="B1707" s="34" t="n">
        <v>69.5</v>
      </c>
      <c r="C1707" s="34" t="n">
        <v>-66.67</v>
      </c>
      <c r="D1707" s="34" t="n">
        <v>-73.31</v>
      </c>
      <c r="E1707" s="34" t="n">
        <v>-119.32</v>
      </c>
      <c r="F1707" s="34" t="n">
        <v>-117.55</v>
      </c>
      <c r="G1707" s="34" t="n">
        <v>-165.62</v>
      </c>
      <c r="H1707" s="34" t="n">
        <v>-134.56</v>
      </c>
      <c r="I1707" s="34" t="n">
        <v>-116.17</v>
      </c>
      <c r="J1707" s="34" t="n">
        <v>-109.22</v>
      </c>
      <c r="K1707" s="34" t="n">
        <v>79.04</v>
      </c>
      <c r="L1707" s="34" t="n">
        <f aca="false">AVERAGE(C1707:E1707)</f>
        <v>-86.4333333333333</v>
      </c>
      <c r="M1707" s="34" t="n">
        <f aca="false">AVERAGE(C1707:J1707)</f>
        <v>-112.8025</v>
      </c>
    </row>
    <row r="1708" customFormat="false" ht="15" hidden="false" customHeight="true" outlineLevel="0" collapsed="false">
      <c r="A1708" s="34" t="s">
        <v>1888</v>
      </c>
      <c r="B1708" s="34" t="n">
        <v>68.89</v>
      </c>
      <c r="C1708" s="34" t="n">
        <v>-66.67</v>
      </c>
      <c r="D1708" s="34" t="n">
        <v>-73.74</v>
      </c>
      <c r="E1708" s="34" t="n">
        <v>21.71</v>
      </c>
      <c r="F1708" s="34" t="n">
        <v>-59.28</v>
      </c>
      <c r="G1708" s="34" t="n">
        <v>4.53</v>
      </c>
      <c r="H1708" s="34" t="n">
        <v>37.65</v>
      </c>
      <c r="I1708" s="34" t="n">
        <v>57.37</v>
      </c>
      <c r="J1708" s="34" t="n">
        <v>33.25</v>
      </c>
      <c r="K1708" s="34" t="n">
        <v>73.21</v>
      </c>
      <c r="L1708" s="34" t="n">
        <f aca="false">AVERAGE(C1708:E1708)</f>
        <v>-39.5666666666667</v>
      </c>
      <c r="M1708" s="34" t="n">
        <f aca="false">AVERAGE(C1708:J1708)</f>
        <v>-5.6475</v>
      </c>
    </row>
    <row r="1709" customFormat="false" ht="15" hidden="false" customHeight="true" outlineLevel="0" collapsed="false">
      <c r="A1709" s="34" t="s">
        <v>1889</v>
      </c>
      <c r="B1709" s="34" t="n">
        <v>68.8</v>
      </c>
      <c r="C1709" s="34" t="n">
        <v>-66.67</v>
      </c>
      <c r="D1709" s="34" t="n">
        <v>-48.98</v>
      </c>
      <c r="E1709" s="34" t="n">
        <v>65.76</v>
      </c>
      <c r="F1709" s="34" t="n">
        <v>50.79</v>
      </c>
      <c r="G1709" s="34" t="n">
        <v>36.51</v>
      </c>
      <c r="H1709" s="34" t="n">
        <v>66.57</v>
      </c>
      <c r="I1709" s="34" t="n">
        <v>70.44</v>
      </c>
      <c r="J1709" s="34" t="n">
        <v>82.38</v>
      </c>
      <c r="K1709" s="34" t="n">
        <v>69.66</v>
      </c>
      <c r="L1709" s="34" t="n">
        <f aca="false">AVERAGE(C1709:E1709)</f>
        <v>-16.63</v>
      </c>
      <c r="M1709" s="34" t="n">
        <f aca="false">AVERAGE(C1709:J1709)</f>
        <v>32.1</v>
      </c>
    </row>
    <row r="1710" customFormat="false" ht="15" hidden="false" customHeight="true" outlineLevel="0" collapsed="false">
      <c r="A1710" s="34" t="s">
        <v>1890</v>
      </c>
      <c r="B1710" s="34" t="n">
        <v>68.65</v>
      </c>
      <c r="C1710" s="34" t="n">
        <v>-66.67</v>
      </c>
      <c r="D1710" s="34" t="n">
        <v>1.63</v>
      </c>
      <c r="E1710" s="34" t="n">
        <v>81.78</v>
      </c>
      <c r="F1710" s="34" t="n">
        <v>74.64</v>
      </c>
      <c r="G1710" s="34" t="n">
        <v>126.21</v>
      </c>
      <c r="H1710" s="34" t="n">
        <v>129.06</v>
      </c>
      <c r="I1710" s="34" t="n">
        <v>131.33</v>
      </c>
      <c r="J1710" s="34" t="n">
        <v>46.52</v>
      </c>
      <c r="K1710" s="34" t="n">
        <v>70.67</v>
      </c>
      <c r="L1710" s="34" t="n">
        <f aca="false">AVERAGE(C1710:E1710)</f>
        <v>5.58</v>
      </c>
      <c r="M1710" s="34" t="n">
        <f aca="false">AVERAGE(C1710:J1710)</f>
        <v>65.5625</v>
      </c>
    </row>
    <row r="1711" customFormat="false" ht="15" hidden="false" customHeight="true" outlineLevel="0" collapsed="false">
      <c r="A1711" s="34" t="s">
        <v>1891</v>
      </c>
      <c r="B1711" s="34" t="n">
        <v>68.5</v>
      </c>
      <c r="C1711" s="34" t="n">
        <v>-66.67</v>
      </c>
      <c r="D1711" s="34" t="n">
        <v>-122.07</v>
      </c>
      <c r="E1711" s="34" t="n">
        <v>-162.93</v>
      </c>
      <c r="F1711" s="34" t="n">
        <v>-113.54</v>
      </c>
      <c r="G1711" s="34" t="n">
        <v>-138.97</v>
      </c>
      <c r="H1711" s="34" t="n">
        <v>-46.16</v>
      </c>
      <c r="I1711" s="34" t="n">
        <v>-16.3</v>
      </c>
      <c r="J1711" s="34" t="n">
        <v>-39</v>
      </c>
      <c r="K1711" s="34" t="n">
        <v>73.62</v>
      </c>
      <c r="L1711" s="34" t="n">
        <f aca="false">AVERAGE(C1711:E1711)</f>
        <v>-117.223333333333</v>
      </c>
      <c r="M1711" s="34" t="n">
        <f aca="false">AVERAGE(C1711:J1711)</f>
        <v>-88.205</v>
      </c>
    </row>
    <row r="1712" customFormat="false" ht="15" hidden="false" customHeight="true" outlineLevel="0" collapsed="false">
      <c r="A1712" s="34" t="s">
        <v>1892</v>
      </c>
      <c r="B1712" s="34" t="n">
        <v>68.46</v>
      </c>
      <c r="C1712" s="34" t="n">
        <v>-66.67</v>
      </c>
      <c r="D1712" s="34" t="n">
        <v>-23.36</v>
      </c>
      <c r="E1712" s="34" t="n">
        <v>64.02</v>
      </c>
      <c r="F1712" s="34" t="n">
        <v>4.56</v>
      </c>
      <c r="G1712" s="34" t="n">
        <v>-45.36</v>
      </c>
      <c r="H1712" s="34" t="n">
        <v>-69.87</v>
      </c>
      <c r="I1712" s="34" t="n">
        <v>-77.87</v>
      </c>
      <c r="J1712" s="34" t="n">
        <v>-80.8</v>
      </c>
      <c r="K1712" s="34" t="n">
        <v>70.62</v>
      </c>
      <c r="L1712" s="34" t="n">
        <f aca="false">AVERAGE(C1712:E1712)</f>
        <v>-8.67</v>
      </c>
      <c r="M1712" s="34" t="n">
        <f aca="false">AVERAGE(C1712:J1712)</f>
        <v>-36.91875</v>
      </c>
    </row>
    <row r="1713" customFormat="false" ht="15" hidden="false" customHeight="true" outlineLevel="0" collapsed="false">
      <c r="A1713" s="34" t="s">
        <v>1893</v>
      </c>
      <c r="B1713" s="34" t="n">
        <v>67.3</v>
      </c>
      <c r="C1713" s="34" t="n">
        <v>-66.67</v>
      </c>
      <c r="D1713" s="34" t="n">
        <v>-133.33</v>
      </c>
      <c r="E1713" s="34" t="n">
        <v>50.74</v>
      </c>
      <c r="F1713" s="34" t="n">
        <v>24.36</v>
      </c>
      <c r="G1713" s="34" t="n">
        <v>17.09</v>
      </c>
      <c r="H1713" s="34"/>
      <c r="I1713" s="34"/>
      <c r="J1713" s="34"/>
      <c r="K1713" s="34" t="n">
        <v>65.81</v>
      </c>
      <c r="L1713" s="34" t="n">
        <f aca="false">AVERAGE(C1713:E1713)</f>
        <v>-49.7533333333333</v>
      </c>
      <c r="M1713" s="34" t="n">
        <f aca="false">AVERAGE(C1713:J1713)</f>
        <v>-21.562</v>
      </c>
    </row>
    <row r="1714" customFormat="false" ht="15" hidden="false" customHeight="true" outlineLevel="0" collapsed="false">
      <c r="A1714" s="34" t="s">
        <v>1894</v>
      </c>
      <c r="B1714" s="34" t="n">
        <v>67.19</v>
      </c>
      <c r="C1714" s="34" t="n">
        <v>-66.67</v>
      </c>
      <c r="D1714" s="34" t="n">
        <v>-26.84</v>
      </c>
      <c r="E1714" s="34" t="n">
        <v>53.45</v>
      </c>
      <c r="F1714" s="34" t="n">
        <v>-38.2</v>
      </c>
      <c r="G1714" s="34" t="n">
        <v>-2.19</v>
      </c>
      <c r="H1714" s="34" t="n">
        <v>40.3</v>
      </c>
      <c r="I1714" s="34" t="n">
        <v>57.85</v>
      </c>
      <c r="J1714" s="34" t="n">
        <v>72.34</v>
      </c>
      <c r="K1714" s="34" t="n">
        <v>69.91</v>
      </c>
      <c r="L1714" s="34" t="n">
        <f aca="false">AVERAGE(C1714:E1714)</f>
        <v>-13.3533333333333</v>
      </c>
      <c r="M1714" s="34" t="n">
        <f aca="false">AVERAGE(C1714:J1714)</f>
        <v>11.255</v>
      </c>
    </row>
    <row r="1715" customFormat="false" ht="15" hidden="false" customHeight="true" outlineLevel="0" collapsed="false">
      <c r="A1715" s="34" t="s">
        <v>1895</v>
      </c>
      <c r="B1715" s="34" t="n">
        <v>66.9</v>
      </c>
      <c r="C1715" s="34" t="n">
        <v>-66.67</v>
      </c>
      <c r="D1715" s="34" t="n">
        <v>-125.2</v>
      </c>
      <c r="E1715" s="34" t="n">
        <v>-138.26</v>
      </c>
      <c r="F1715" s="34" t="n">
        <v>-69.71</v>
      </c>
      <c r="G1715" s="34" t="n">
        <v>-95.1</v>
      </c>
      <c r="H1715" s="34" t="n">
        <v>-92.29</v>
      </c>
      <c r="I1715" s="34" t="n">
        <v>-26.89</v>
      </c>
      <c r="J1715" s="34" t="n">
        <v>-23.93</v>
      </c>
      <c r="K1715" s="34" t="n">
        <v>65.02</v>
      </c>
      <c r="L1715" s="34" t="n">
        <f aca="false">AVERAGE(C1715:E1715)</f>
        <v>-110.043333333333</v>
      </c>
      <c r="M1715" s="34" t="n">
        <f aca="false">AVERAGE(C1715:J1715)</f>
        <v>-79.75625</v>
      </c>
    </row>
    <row r="1716" customFormat="false" ht="15" hidden="false" customHeight="true" outlineLevel="0" collapsed="false">
      <c r="A1716" s="34" t="s">
        <v>1896</v>
      </c>
      <c r="B1716" s="34" t="n">
        <v>66.76</v>
      </c>
      <c r="C1716" s="34" t="n">
        <v>-66.67</v>
      </c>
      <c r="D1716" s="34" t="n">
        <v>-132.84</v>
      </c>
      <c r="E1716" s="34" t="n">
        <v>-48.94</v>
      </c>
      <c r="F1716" s="34" t="n">
        <v>-92.68</v>
      </c>
      <c r="G1716" s="34" t="n">
        <v>-131.49</v>
      </c>
      <c r="H1716" s="34" t="n">
        <v>-93.79</v>
      </c>
      <c r="I1716" s="34" t="n">
        <v>-28.29</v>
      </c>
      <c r="J1716" s="34" t="n">
        <v>-9.79</v>
      </c>
      <c r="K1716" s="34" t="n">
        <v>72.75</v>
      </c>
      <c r="L1716" s="34" t="n">
        <f aca="false">AVERAGE(C1716:E1716)</f>
        <v>-82.8166666666667</v>
      </c>
      <c r="M1716" s="34" t="n">
        <f aca="false">AVERAGE(C1716:J1716)</f>
        <v>-75.56125</v>
      </c>
    </row>
    <row r="1717" customFormat="false" ht="15" hidden="false" customHeight="true" outlineLevel="0" collapsed="false">
      <c r="A1717" s="34" t="s">
        <v>1897</v>
      </c>
      <c r="B1717" s="34" t="n">
        <v>66.56</v>
      </c>
      <c r="C1717" s="34" t="n">
        <v>-66.67</v>
      </c>
      <c r="D1717" s="34" t="n">
        <v>-81.81</v>
      </c>
      <c r="E1717" s="34" t="n">
        <v>7.76</v>
      </c>
      <c r="F1717" s="34" t="n">
        <v>26.54</v>
      </c>
      <c r="G1717" s="34" t="n">
        <v>-13.31</v>
      </c>
      <c r="H1717" s="34" t="n">
        <v>-24.78</v>
      </c>
      <c r="I1717" s="34" t="n">
        <v>9.03</v>
      </c>
      <c r="J1717" s="34" t="n">
        <v>3.11</v>
      </c>
      <c r="K1717" s="34" t="n">
        <v>63.02</v>
      </c>
      <c r="L1717" s="34" t="n">
        <f aca="false">AVERAGE(C1717:E1717)</f>
        <v>-46.9066666666667</v>
      </c>
      <c r="M1717" s="34" t="n">
        <f aca="false">AVERAGE(C1717:J1717)</f>
        <v>-17.51625</v>
      </c>
    </row>
    <row r="1718" customFormat="false" ht="15" hidden="false" customHeight="true" outlineLevel="0" collapsed="false">
      <c r="A1718" s="34" t="s">
        <v>1898</v>
      </c>
      <c r="B1718" s="34" t="n">
        <v>66.04</v>
      </c>
      <c r="C1718" s="34" t="n">
        <v>-66.67</v>
      </c>
      <c r="D1718" s="34" t="n">
        <v>-129.74</v>
      </c>
      <c r="E1718" s="34" t="n">
        <v>-45.91</v>
      </c>
      <c r="F1718" s="34" t="n">
        <v>-102.73</v>
      </c>
      <c r="G1718" s="34" t="n">
        <v>-154.85</v>
      </c>
      <c r="H1718" s="34" t="n">
        <v>-58.21</v>
      </c>
      <c r="I1718" s="34" t="n">
        <v>-20.02</v>
      </c>
      <c r="J1718" s="34" t="n">
        <v>-36.95</v>
      </c>
      <c r="K1718" s="34" t="n">
        <v>72.43</v>
      </c>
      <c r="L1718" s="34" t="n">
        <f aca="false">AVERAGE(C1718:E1718)</f>
        <v>-80.7733333333333</v>
      </c>
      <c r="M1718" s="34" t="n">
        <f aca="false">AVERAGE(C1718:J1718)</f>
        <v>-76.885</v>
      </c>
    </row>
    <row r="1719" customFormat="false" ht="15" hidden="false" customHeight="true" outlineLevel="0" collapsed="false">
      <c r="A1719" s="34" t="s">
        <v>1899</v>
      </c>
      <c r="B1719" s="34" t="n">
        <v>65.95</v>
      </c>
      <c r="C1719" s="34" t="n">
        <v>66.67</v>
      </c>
      <c r="D1719" s="34" t="n">
        <v>-52.17</v>
      </c>
      <c r="E1719" s="34" t="n">
        <v>33.11</v>
      </c>
      <c r="F1719" s="34" t="n">
        <v>-50.05</v>
      </c>
      <c r="G1719" s="34" t="n">
        <v>34.88</v>
      </c>
      <c r="H1719" s="34" t="n">
        <v>59.48</v>
      </c>
      <c r="I1719" s="34" t="n">
        <v>79.19</v>
      </c>
      <c r="J1719" s="34" t="n">
        <v>93.86</v>
      </c>
      <c r="K1719" s="34" t="n">
        <v>68.29</v>
      </c>
      <c r="L1719" s="34" t="n">
        <f aca="false">AVERAGE(C1719:E1719)</f>
        <v>15.87</v>
      </c>
      <c r="M1719" s="34" t="n">
        <f aca="false">AVERAGE(C1719:J1719)</f>
        <v>33.12125</v>
      </c>
    </row>
    <row r="1720" customFormat="false" ht="15" hidden="false" customHeight="true" outlineLevel="0" collapsed="false">
      <c r="A1720" s="34" t="s">
        <v>1900</v>
      </c>
      <c r="B1720" s="34" t="n">
        <v>65.23</v>
      </c>
      <c r="C1720" s="34" t="n">
        <v>66.67</v>
      </c>
      <c r="D1720" s="34" t="n">
        <v>133.33</v>
      </c>
      <c r="E1720" s="34" t="n">
        <v>202.96</v>
      </c>
      <c r="F1720" s="34" t="n">
        <v>37.44</v>
      </c>
      <c r="G1720" s="34" t="n">
        <v>-15.8</v>
      </c>
      <c r="H1720" s="34" t="n">
        <v>17.78</v>
      </c>
      <c r="I1720" s="34" t="n">
        <v>38.86</v>
      </c>
      <c r="J1720" s="34" t="n">
        <v>-11.22</v>
      </c>
      <c r="K1720" s="34" t="n">
        <v>57.41</v>
      </c>
      <c r="L1720" s="34" t="n">
        <f aca="false">AVERAGE(C1720:E1720)</f>
        <v>134.32</v>
      </c>
      <c r="M1720" s="34" t="n">
        <f aca="false">AVERAGE(C1720:J1720)</f>
        <v>58.7525</v>
      </c>
    </row>
    <row r="1721" customFormat="false" ht="15" hidden="false" customHeight="true" outlineLevel="0" collapsed="false">
      <c r="A1721" s="34" t="s">
        <v>1901</v>
      </c>
      <c r="B1721" s="34" t="n">
        <v>65</v>
      </c>
      <c r="C1721" s="34" t="n">
        <v>-66.67</v>
      </c>
      <c r="D1721" s="34" t="n">
        <v>41.95</v>
      </c>
      <c r="E1721" s="34" t="n">
        <v>-14.51</v>
      </c>
      <c r="F1721" s="34" t="n">
        <v>3.73</v>
      </c>
      <c r="G1721" s="34" t="n">
        <v>21.57</v>
      </c>
      <c r="H1721" s="34" t="n">
        <v>57.92</v>
      </c>
      <c r="I1721" s="34" t="n">
        <v>64.84</v>
      </c>
      <c r="J1721" s="34" t="n">
        <v>65.33</v>
      </c>
      <c r="K1721" s="34" t="n">
        <v>67.48</v>
      </c>
      <c r="L1721" s="34" t="n">
        <f aca="false">AVERAGE(C1721:E1721)</f>
        <v>-13.0766666666667</v>
      </c>
      <c r="M1721" s="34" t="n">
        <f aca="false">AVERAGE(C1721:J1721)</f>
        <v>21.77</v>
      </c>
    </row>
    <row r="1722" customFormat="false" ht="15" hidden="false" customHeight="true" outlineLevel="0" collapsed="false">
      <c r="A1722" s="34" t="s">
        <v>1902</v>
      </c>
      <c r="B1722" s="34" t="n">
        <v>64.55</v>
      </c>
      <c r="C1722" s="34" t="n">
        <v>66.67</v>
      </c>
      <c r="D1722" s="34" t="n">
        <v>72.79</v>
      </c>
      <c r="E1722" s="34" t="n">
        <v>133.94</v>
      </c>
      <c r="F1722" s="34" t="n">
        <v>119.54</v>
      </c>
      <c r="G1722" s="34" t="n">
        <v>89.45</v>
      </c>
      <c r="H1722" s="34" t="n">
        <v>103.75</v>
      </c>
      <c r="I1722" s="34"/>
      <c r="J1722" s="34"/>
      <c r="K1722" s="34" t="n">
        <v>56.16</v>
      </c>
      <c r="L1722" s="34" t="n">
        <f aca="false">AVERAGE(C1722:E1722)</f>
        <v>91.1333333333333</v>
      </c>
      <c r="M1722" s="34" t="n">
        <f aca="false">AVERAGE(C1722:J1722)</f>
        <v>97.69</v>
      </c>
    </row>
    <row r="1723" customFormat="false" ht="15" hidden="false" customHeight="true" outlineLevel="0" collapsed="false">
      <c r="A1723" s="34" t="s">
        <v>477</v>
      </c>
      <c r="B1723" s="34" t="n">
        <v>64.13</v>
      </c>
      <c r="C1723" s="34" t="n">
        <v>-66.67</v>
      </c>
      <c r="D1723" s="34" t="n">
        <v>-106.49</v>
      </c>
      <c r="E1723" s="34" t="n">
        <v>46.37</v>
      </c>
      <c r="F1723" s="34" t="n">
        <v>-55.49</v>
      </c>
      <c r="G1723" s="34" t="n">
        <v>-96.2</v>
      </c>
      <c r="H1723" s="34" t="n">
        <v>-15.49</v>
      </c>
      <c r="I1723" s="34" t="n">
        <v>19.78</v>
      </c>
      <c r="J1723" s="34" t="n">
        <v>16.27</v>
      </c>
      <c r="K1723" s="34" t="n">
        <v>66.46</v>
      </c>
      <c r="L1723" s="34" t="n">
        <f aca="false">AVERAGE(C1723:E1723)</f>
        <v>-42.2633333333333</v>
      </c>
      <c r="M1723" s="34" t="n">
        <f aca="false">AVERAGE(C1723:J1723)</f>
        <v>-32.24</v>
      </c>
    </row>
    <row r="1724" customFormat="false" ht="15" hidden="false" customHeight="true" outlineLevel="0" collapsed="false">
      <c r="A1724" s="34" t="s">
        <v>1903</v>
      </c>
      <c r="B1724" s="34" t="n">
        <v>64</v>
      </c>
      <c r="C1724" s="34" t="n">
        <v>-66.67</v>
      </c>
      <c r="D1724" s="34" t="n">
        <v>61.93</v>
      </c>
      <c r="E1724" s="34" t="n">
        <v>145.76</v>
      </c>
      <c r="F1724" s="34" t="n">
        <v>124.74</v>
      </c>
      <c r="G1724" s="34" t="n">
        <v>147.99</v>
      </c>
      <c r="H1724" s="34" t="n">
        <v>142.78</v>
      </c>
      <c r="I1724" s="34" t="n">
        <v>140.63</v>
      </c>
      <c r="J1724" s="34" t="n">
        <v>104.76</v>
      </c>
      <c r="K1724" s="34" t="n">
        <v>58.65</v>
      </c>
      <c r="L1724" s="34" t="n">
        <f aca="false">AVERAGE(C1724:E1724)</f>
        <v>47.0066666666667</v>
      </c>
      <c r="M1724" s="34" t="n">
        <f aca="false">AVERAGE(C1724:J1724)</f>
        <v>100.24</v>
      </c>
    </row>
    <row r="1725" customFormat="false" ht="15" hidden="false" customHeight="true" outlineLevel="0" collapsed="false">
      <c r="A1725" s="34" t="s">
        <v>1904</v>
      </c>
      <c r="B1725" s="34" t="n">
        <v>63.5</v>
      </c>
      <c r="C1725" s="34" t="n">
        <v>66.67</v>
      </c>
      <c r="D1725" s="34" t="n">
        <v>71.35</v>
      </c>
      <c r="E1725" s="34" t="n">
        <v>66.97</v>
      </c>
      <c r="F1725" s="34" t="n">
        <v>-31.1</v>
      </c>
      <c r="G1725" s="34" t="n">
        <v>-64.5</v>
      </c>
      <c r="H1725" s="34" t="n">
        <v>-27.56</v>
      </c>
      <c r="I1725" s="34" t="n">
        <v>-7.08</v>
      </c>
      <c r="J1725" s="34" t="n">
        <v>-24.47</v>
      </c>
      <c r="K1725" s="34" t="n">
        <v>68.37</v>
      </c>
      <c r="L1725" s="34" t="n">
        <f aca="false">AVERAGE(C1725:E1725)</f>
        <v>68.33</v>
      </c>
      <c r="M1725" s="34" t="n">
        <f aca="false">AVERAGE(C1725:J1725)</f>
        <v>6.285</v>
      </c>
    </row>
    <row r="1726" customFormat="false" ht="15" hidden="false" customHeight="true" outlineLevel="0" collapsed="false">
      <c r="A1726" s="34" t="s">
        <v>1905</v>
      </c>
      <c r="B1726" s="34" t="n">
        <v>63.37</v>
      </c>
      <c r="C1726" s="34" t="n">
        <v>-66.67</v>
      </c>
      <c r="D1726" s="34" t="n">
        <v>-126.51</v>
      </c>
      <c r="E1726" s="34" t="n">
        <v>-184.79</v>
      </c>
      <c r="F1726" s="34" t="n">
        <v>-119.15</v>
      </c>
      <c r="G1726" s="34" t="n">
        <v>4.21</v>
      </c>
      <c r="H1726" s="34" t="n">
        <v>34.86</v>
      </c>
      <c r="I1726" s="34" t="n">
        <v>64.43</v>
      </c>
      <c r="J1726" s="34" t="n">
        <v>79.86</v>
      </c>
      <c r="K1726" s="34" t="n">
        <v>69.42</v>
      </c>
      <c r="L1726" s="34" t="n">
        <f aca="false">AVERAGE(C1726:E1726)</f>
        <v>-125.99</v>
      </c>
      <c r="M1726" s="34" t="n">
        <f aca="false">AVERAGE(C1726:J1726)</f>
        <v>-39.22</v>
      </c>
    </row>
    <row r="1727" customFormat="false" ht="15" hidden="false" customHeight="true" outlineLevel="0" collapsed="false">
      <c r="A1727" s="34" t="s">
        <v>1906</v>
      </c>
      <c r="B1727" s="34" t="n">
        <v>63.08</v>
      </c>
      <c r="C1727" s="34" t="n">
        <v>-66.67</v>
      </c>
      <c r="D1727" s="34" t="n">
        <v>-42.67</v>
      </c>
      <c r="E1727" s="34" t="n">
        <v>-87.11</v>
      </c>
      <c r="F1727" s="34" t="n">
        <v>-100.85</v>
      </c>
      <c r="G1727" s="34" t="n">
        <v>-122.93</v>
      </c>
      <c r="H1727" s="34" t="n">
        <v>-134.61</v>
      </c>
      <c r="I1727" s="34" t="n">
        <v>-119.17</v>
      </c>
      <c r="J1727" s="34" t="n">
        <v>-120.58</v>
      </c>
      <c r="K1727" s="34" t="n">
        <v>70.62</v>
      </c>
      <c r="L1727" s="34" t="n">
        <f aca="false">AVERAGE(C1727:E1727)</f>
        <v>-65.4833333333333</v>
      </c>
      <c r="M1727" s="34" t="n">
        <f aca="false">AVERAGE(C1727:J1727)</f>
        <v>-99.32375</v>
      </c>
    </row>
    <row r="1728" customFormat="false" ht="15" hidden="false" customHeight="true" outlineLevel="0" collapsed="false">
      <c r="A1728" s="34" t="s">
        <v>1907</v>
      </c>
      <c r="B1728" s="34" t="n">
        <v>62.93</v>
      </c>
      <c r="C1728" s="34" t="n">
        <v>-66.67</v>
      </c>
      <c r="D1728" s="34" t="n">
        <v>-98.04</v>
      </c>
      <c r="E1728" s="34" t="n">
        <v>-76.33</v>
      </c>
      <c r="F1728" s="34" t="n">
        <v>-128.46</v>
      </c>
      <c r="G1728" s="34" t="n">
        <v>-45.61</v>
      </c>
      <c r="H1728" s="34" t="n">
        <v>22.04</v>
      </c>
      <c r="I1728" s="34" t="n">
        <v>49.42</v>
      </c>
      <c r="J1728" s="34" t="n">
        <v>61.08</v>
      </c>
      <c r="K1728" s="34" t="n">
        <v>62.4</v>
      </c>
      <c r="L1728" s="34" t="n">
        <f aca="false">AVERAGE(C1728:E1728)</f>
        <v>-80.3466666666667</v>
      </c>
      <c r="M1728" s="34" t="n">
        <f aca="false">AVERAGE(C1728:J1728)</f>
        <v>-35.32125</v>
      </c>
    </row>
    <row r="1729" customFormat="false" ht="15" hidden="false" customHeight="true" outlineLevel="0" collapsed="false">
      <c r="A1729" s="34" t="s">
        <v>1908</v>
      </c>
      <c r="B1729" s="34" t="n">
        <v>62.88</v>
      </c>
      <c r="C1729" s="34" t="n">
        <v>-66.67</v>
      </c>
      <c r="D1729" s="34" t="n">
        <v>-35.87</v>
      </c>
      <c r="E1729" s="34" t="n">
        <v>69.08</v>
      </c>
      <c r="F1729" s="34" t="n">
        <v>77.12</v>
      </c>
      <c r="G1729" s="34" t="n">
        <v>21.4</v>
      </c>
      <c r="H1729" s="34" t="n">
        <v>58.94</v>
      </c>
      <c r="I1729" s="34" t="n">
        <v>74.05</v>
      </c>
      <c r="J1729" s="34" t="n">
        <v>71.79</v>
      </c>
      <c r="K1729" s="34" t="n">
        <v>59.23</v>
      </c>
      <c r="L1729" s="34" t="n">
        <f aca="false">AVERAGE(C1729:E1729)</f>
        <v>-11.1533333333333</v>
      </c>
      <c r="M1729" s="34" t="n">
        <f aca="false">AVERAGE(C1729:J1729)</f>
        <v>33.73</v>
      </c>
    </row>
    <row r="1730" customFormat="false" ht="15" hidden="false" customHeight="true" outlineLevel="0" collapsed="false">
      <c r="A1730" s="34" t="s">
        <v>1909</v>
      </c>
      <c r="B1730" s="34" t="n">
        <v>62.86</v>
      </c>
      <c r="C1730" s="34" t="n">
        <v>-66.67</v>
      </c>
      <c r="D1730" s="34" t="n">
        <v>-100.85</v>
      </c>
      <c r="E1730" s="34" t="n">
        <v>-89.23</v>
      </c>
      <c r="F1730" s="34" t="n">
        <v>56.36</v>
      </c>
      <c r="G1730" s="34" t="n">
        <v>102.12</v>
      </c>
      <c r="H1730" s="34" t="n">
        <v>129.7</v>
      </c>
      <c r="I1730" s="34" t="n">
        <v>147.26</v>
      </c>
      <c r="J1730" s="34" t="n">
        <v>129.79</v>
      </c>
      <c r="K1730" s="34" t="n">
        <v>61.62</v>
      </c>
      <c r="L1730" s="34" t="n">
        <f aca="false">AVERAGE(C1730:E1730)</f>
        <v>-85.5833333333333</v>
      </c>
      <c r="M1730" s="34" t="n">
        <f aca="false">AVERAGE(C1730:J1730)</f>
        <v>38.56</v>
      </c>
    </row>
    <row r="1731" customFormat="false" ht="15" hidden="false" customHeight="true" outlineLevel="0" collapsed="false">
      <c r="A1731" s="34" t="s">
        <v>1910</v>
      </c>
      <c r="B1731" s="34" t="n">
        <v>62.85</v>
      </c>
      <c r="C1731" s="34" t="n">
        <v>-66.67</v>
      </c>
      <c r="D1731" s="34" t="n">
        <v>-52.24</v>
      </c>
      <c r="E1731" s="34" t="n">
        <v>21.43</v>
      </c>
      <c r="F1731" s="34" t="n">
        <v>-82.83</v>
      </c>
      <c r="G1731" s="34" t="n">
        <v>-129.96</v>
      </c>
      <c r="H1731" s="34" t="n">
        <v>-74.19</v>
      </c>
      <c r="I1731" s="34" t="n">
        <v>-22.46</v>
      </c>
      <c r="J1731" s="34" t="n">
        <v>-42.74</v>
      </c>
      <c r="K1731" s="34" t="n">
        <v>66.48</v>
      </c>
      <c r="L1731" s="34" t="n">
        <f aca="false">AVERAGE(C1731:E1731)</f>
        <v>-32.4933333333333</v>
      </c>
      <c r="M1731" s="34" t="n">
        <f aca="false">AVERAGE(C1731:J1731)</f>
        <v>-56.2075</v>
      </c>
    </row>
    <row r="1732" customFormat="false" ht="15" hidden="false" customHeight="true" outlineLevel="0" collapsed="false">
      <c r="A1732" s="34" t="s">
        <v>1911</v>
      </c>
      <c r="B1732" s="34" t="n">
        <v>62.81</v>
      </c>
      <c r="C1732" s="34" t="n">
        <v>-66.67</v>
      </c>
      <c r="D1732" s="34" t="n">
        <v>-1.94</v>
      </c>
      <c r="E1732" s="34" t="n">
        <v>81.37</v>
      </c>
      <c r="F1732" s="34" t="n">
        <v>31</v>
      </c>
      <c r="G1732" s="34"/>
      <c r="H1732" s="34"/>
      <c r="I1732" s="34"/>
      <c r="J1732" s="34"/>
      <c r="K1732" s="34" t="n">
        <v>64.37</v>
      </c>
      <c r="L1732" s="34" t="n">
        <f aca="false">AVERAGE(C1732:E1732)</f>
        <v>4.25333333333334</v>
      </c>
      <c r="M1732" s="34" t="n">
        <f aca="false">AVERAGE(C1732:J1732)</f>
        <v>10.94</v>
      </c>
    </row>
    <row r="1733" customFormat="false" ht="15" hidden="false" customHeight="true" outlineLevel="0" collapsed="false">
      <c r="A1733" s="34" t="s">
        <v>1912</v>
      </c>
      <c r="B1733" s="34" t="n">
        <v>62.74</v>
      </c>
      <c r="C1733" s="34" t="n">
        <v>66.67</v>
      </c>
      <c r="D1733" s="34" t="n">
        <v>12.12</v>
      </c>
      <c r="E1733" s="34" t="n">
        <v>-66.67</v>
      </c>
      <c r="F1733" s="34" t="n">
        <v>-107.96</v>
      </c>
      <c r="G1733" s="34" t="n">
        <v>-66.52</v>
      </c>
      <c r="H1733" s="34" t="n">
        <v>17.84</v>
      </c>
      <c r="I1733" s="34" t="n">
        <v>47.89</v>
      </c>
      <c r="J1733" s="34" t="n">
        <v>60.92</v>
      </c>
      <c r="K1733" s="34" t="n">
        <v>63.53</v>
      </c>
      <c r="L1733" s="34" t="n">
        <f aca="false">AVERAGE(C1733:E1733)</f>
        <v>4.04</v>
      </c>
      <c r="M1733" s="34" t="n">
        <f aca="false">AVERAGE(C1733:J1733)</f>
        <v>-4.46375</v>
      </c>
    </row>
    <row r="1734" customFormat="false" ht="15" hidden="false" customHeight="true" outlineLevel="0" collapsed="false">
      <c r="A1734" s="34" t="s">
        <v>1913</v>
      </c>
      <c r="B1734" s="34" t="n">
        <v>62.42</v>
      </c>
      <c r="C1734" s="34" t="n">
        <v>-66.67</v>
      </c>
      <c r="D1734" s="34" t="n">
        <v>-45.83</v>
      </c>
      <c r="E1734" s="34" t="n">
        <v>-90.32</v>
      </c>
      <c r="F1734" s="34" t="n">
        <v>-153.41</v>
      </c>
      <c r="G1734" s="34" t="n">
        <v>-83.59</v>
      </c>
      <c r="H1734" s="34" t="n">
        <v>8.96</v>
      </c>
      <c r="I1734" s="34" t="n">
        <v>43.03</v>
      </c>
      <c r="J1734" s="34" t="n">
        <v>56.35</v>
      </c>
      <c r="K1734" s="34" t="n">
        <v>62.92</v>
      </c>
      <c r="L1734" s="34" t="n">
        <f aca="false">AVERAGE(C1734:E1734)</f>
        <v>-67.6066666666667</v>
      </c>
      <c r="M1734" s="34" t="n">
        <f aca="false">AVERAGE(C1734:J1734)</f>
        <v>-41.435</v>
      </c>
    </row>
    <row r="1735" customFormat="false" ht="15" hidden="false" customHeight="true" outlineLevel="0" collapsed="false">
      <c r="A1735" s="34" t="s">
        <v>1914</v>
      </c>
      <c r="B1735" s="34" t="n">
        <v>62.22</v>
      </c>
      <c r="C1735" s="34" t="n">
        <v>-66.67</v>
      </c>
      <c r="D1735" s="34" t="n">
        <v>-119.34</v>
      </c>
      <c r="E1735" s="34" t="n">
        <v>-123.83</v>
      </c>
      <c r="F1735" s="34" t="n">
        <v>-204.2</v>
      </c>
      <c r="G1735" s="34" t="n">
        <v>-176.65</v>
      </c>
      <c r="H1735" s="34" t="n">
        <v>-66.26</v>
      </c>
      <c r="I1735" s="34" t="n">
        <v>12.5</v>
      </c>
      <c r="J1735" s="34" t="n">
        <v>34.98</v>
      </c>
      <c r="K1735" s="34" t="n">
        <v>61.21</v>
      </c>
      <c r="L1735" s="34" t="n">
        <f aca="false">AVERAGE(C1735:E1735)</f>
        <v>-103.28</v>
      </c>
      <c r="M1735" s="34" t="n">
        <f aca="false">AVERAGE(C1735:J1735)</f>
        <v>-88.68375</v>
      </c>
    </row>
    <row r="1736" customFormat="false" ht="15" hidden="false" customHeight="true" outlineLevel="0" collapsed="false">
      <c r="A1736" s="34" t="s">
        <v>1915</v>
      </c>
      <c r="B1736" s="34" t="n">
        <v>62.13</v>
      </c>
      <c r="C1736" s="34" t="n">
        <v>-66.67</v>
      </c>
      <c r="D1736" s="34" t="n">
        <v>-98.19</v>
      </c>
      <c r="E1736" s="34" t="n">
        <v>58.95</v>
      </c>
      <c r="F1736" s="34" t="n">
        <v>17.44</v>
      </c>
      <c r="G1736" s="34" t="n">
        <v>-43.95</v>
      </c>
      <c r="H1736" s="34" t="n">
        <v>10.91</v>
      </c>
      <c r="I1736" s="34" t="n">
        <v>43.52</v>
      </c>
      <c r="J1736" s="34" t="n">
        <v>51.41</v>
      </c>
      <c r="K1736" s="34" t="n">
        <v>62.67</v>
      </c>
      <c r="L1736" s="34" t="n">
        <f aca="false">AVERAGE(C1736:E1736)</f>
        <v>-35.3033333333333</v>
      </c>
      <c r="M1736" s="34" t="n">
        <f aca="false">AVERAGE(C1736:J1736)</f>
        <v>-3.3225</v>
      </c>
    </row>
    <row r="1737" customFormat="false" ht="15" hidden="false" customHeight="true" outlineLevel="0" collapsed="false">
      <c r="A1737" s="34" t="s">
        <v>1916</v>
      </c>
      <c r="B1737" s="34" t="n">
        <v>61.98</v>
      </c>
      <c r="C1737" s="34" t="n">
        <v>-66.67</v>
      </c>
      <c r="D1737" s="34" t="n">
        <v>-25.64</v>
      </c>
      <c r="E1737" s="34" t="n">
        <v>78.21</v>
      </c>
      <c r="F1737" s="34" t="n">
        <v>-20.43</v>
      </c>
      <c r="G1737" s="34" t="n">
        <v>-50.66</v>
      </c>
      <c r="H1737" s="34" t="n">
        <v>19.27</v>
      </c>
      <c r="I1737" s="34" t="n">
        <v>47.4</v>
      </c>
      <c r="J1737" s="34" t="n">
        <v>61.05</v>
      </c>
      <c r="K1737" s="34" t="n">
        <v>63.33</v>
      </c>
      <c r="L1737" s="34" t="n">
        <f aca="false">AVERAGE(C1737:E1737)</f>
        <v>-4.7</v>
      </c>
      <c r="M1737" s="34" t="n">
        <f aca="false">AVERAGE(C1737:J1737)</f>
        <v>5.31625</v>
      </c>
    </row>
    <row r="1738" customFormat="false" ht="15" hidden="false" customHeight="true" outlineLevel="0" collapsed="false">
      <c r="A1738" s="34" t="s">
        <v>1917</v>
      </c>
      <c r="B1738" s="34" t="n">
        <v>61.7</v>
      </c>
      <c r="C1738" s="34" t="n">
        <v>-66.67</v>
      </c>
      <c r="D1738" s="34" t="n">
        <v>-67.41</v>
      </c>
      <c r="E1738" s="34" t="n">
        <v>-7.88</v>
      </c>
      <c r="F1738" s="34" t="n">
        <v>-61.9</v>
      </c>
      <c r="G1738" s="34" t="n">
        <v>-84.93</v>
      </c>
      <c r="H1738" s="34" t="n">
        <v>12.21</v>
      </c>
      <c r="I1738" s="34" t="n">
        <v>33.33</v>
      </c>
      <c r="J1738" s="34" t="n">
        <v>-1.56</v>
      </c>
      <c r="K1738" s="34" t="n">
        <v>65.72</v>
      </c>
      <c r="L1738" s="34" t="n">
        <f aca="false">AVERAGE(C1738:E1738)</f>
        <v>-47.32</v>
      </c>
      <c r="M1738" s="34" t="n">
        <f aca="false">AVERAGE(C1738:J1738)</f>
        <v>-30.60125</v>
      </c>
    </row>
    <row r="1739" customFormat="false" ht="15" hidden="false" customHeight="true" outlineLevel="0" collapsed="false">
      <c r="A1739" s="34" t="s">
        <v>1918</v>
      </c>
      <c r="B1739" s="34" t="n">
        <v>60.95</v>
      </c>
      <c r="C1739" s="34" t="n">
        <v>-66.67</v>
      </c>
      <c r="D1739" s="34" t="n">
        <v>-133.33</v>
      </c>
      <c r="E1739" s="34" t="n">
        <v>-113.89</v>
      </c>
      <c r="F1739" s="34" t="n">
        <v>-116.95</v>
      </c>
      <c r="G1739" s="34" t="n">
        <v>-97.77</v>
      </c>
      <c r="H1739" s="34" t="n">
        <v>-36.42</v>
      </c>
      <c r="I1739" s="34" t="n">
        <v>-11.26</v>
      </c>
      <c r="J1739" s="34" t="n">
        <v>-24.49</v>
      </c>
      <c r="K1739" s="34" t="n">
        <v>65.8</v>
      </c>
      <c r="L1739" s="34" t="n">
        <f aca="false">AVERAGE(C1739:E1739)</f>
        <v>-104.63</v>
      </c>
      <c r="M1739" s="34" t="n">
        <f aca="false">AVERAGE(C1739:J1739)</f>
        <v>-75.0975</v>
      </c>
    </row>
    <row r="1740" customFormat="false" ht="15" hidden="false" customHeight="true" outlineLevel="0" collapsed="false">
      <c r="A1740" s="34" t="s">
        <v>1919</v>
      </c>
      <c r="B1740" s="34" t="n">
        <v>60.8</v>
      </c>
      <c r="C1740" s="34" t="n">
        <v>-66.67</v>
      </c>
      <c r="D1740" s="34" t="n">
        <v>-35.04</v>
      </c>
      <c r="E1740" s="34" t="n">
        <v>71.74</v>
      </c>
      <c r="F1740" s="34" t="n">
        <v>115.87</v>
      </c>
      <c r="G1740" s="34" t="n">
        <v>168.5</v>
      </c>
      <c r="H1740" s="34" t="n">
        <v>230.09</v>
      </c>
      <c r="I1740" s="34" t="n">
        <v>257.15</v>
      </c>
      <c r="J1740" s="34" t="n">
        <v>298.8</v>
      </c>
      <c r="K1740" s="34" t="n">
        <v>54.81</v>
      </c>
      <c r="L1740" s="34" t="n">
        <f aca="false">AVERAGE(C1740:E1740)</f>
        <v>-9.99</v>
      </c>
      <c r="M1740" s="34" t="n">
        <f aca="false">AVERAGE(C1740:J1740)</f>
        <v>130.055</v>
      </c>
    </row>
    <row r="1741" customFormat="false" ht="15" hidden="false" customHeight="true" outlineLevel="0" collapsed="false">
      <c r="A1741" s="34" t="s">
        <v>1920</v>
      </c>
      <c r="B1741" s="34" t="n">
        <v>60.35</v>
      </c>
      <c r="C1741" s="34" t="n">
        <v>66.67</v>
      </c>
      <c r="D1741" s="34" t="n">
        <v>133.33</v>
      </c>
      <c r="E1741" s="34" t="n">
        <v>333.02</v>
      </c>
      <c r="F1741" s="34" t="n">
        <v>235.26</v>
      </c>
      <c r="G1741" s="34" t="n">
        <v>362.29</v>
      </c>
      <c r="H1741" s="34" t="n">
        <v>373.87</v>
      </c>
      <c r="I1741" s="34" t="n">
        <v>254.28</v>
      </c>
      <c r="J1741" s="34" t="n">
        <v>250.24</v>
      </c>
      <c r="K1741" s="34" t="n">
        <v>54.39</v>
      </c>
      <c r="L1741" s="34" t="n">
        <f aca="false">AVERAGE(C1741:E1741)</f>
        <v>177.673333333333</v>
      </c>
      <c r="M1741" s="34" t="n">
        <f aca="false">AVERAGE(C1741:J1741)</f>
        <v>251.12</v>
      </c>
    </row>
    <row r="1742" customFormat="false" ht="15" hidden="false" customHeight="true" outlineLevel="0" collapsed="false">
      <c r="A1742" s="34" t="s">
        <v>1921</v>
      </c>
      <c r="B1742" s="34" t="n">
        <v>60</v>
      </c>
      <c r="C1742" s="34" t="n">
        <v>-66.67</v>
      </c>
      <c r="D1742" s="34" t="n">
        <v>-13.21</v>
      </c>
      <c r="E1742" s="34" t="n">
        <v>-43.6</v>
      </c>
      <c r="F1742" s="34" t="n">
        <v>-115.46</v>
      </c>
      <c r="G1742" s="34" t="n">
        <v>-95.05</v>
      </c>
      <c r="H1742" s="34" t="n">
        <v>-67.47</v>
      </c>
      <c r="I1742" s="34" t="n">
        <v>11.1</v>
      </c>
      <c r="J1742" s="34" t="n">
        <v>19.7</v>
      </c>
      <c r="K1742" s="34" t="n">
        <v>63.78</v>
      </c>
      <c r="L1742" s="34" t="n">
        <f aca="false">AVERAGE(C1742:E1742)</f>
        <v>-41.16</v>
      </c>
      <c r="M1742" s="34" t="n">
        <f aca="false">AVERAGE(C1742:J1742)</f>
        <v>-46.3325</v>
      </c>
    </row>
    <row r="1743" customFormat="false" ht="15" hidden="false" customHeight="true" outlineLevel="0" collapsed="false">
      <c r="A1743" s="34" t="s">
        <v>1922</v>
      </c>
      <c r="B1743" s="34" t="n">
        <v>59.57</v>
      </c>
      <c r="C1743" s="34" t="n">
        <v>-66.67</v>
      </c>
      <c r="D1743" s="34" t="n">
        <v>-28.29</v>
      </c>
      <c r="E1743" s="34" t="n">
        <v>68.67</v>
      </c>
      <c r="F1743" s="34" t="n">
        <v>40.77</v>
      </c>
      <c r="G1743" s="34" t="n">
        <v>75.07</v>
      </c>
      <c r="H1743" s="34" t="n">
        <v>56.1</v>
      </c>
      <c r="I1743" s="34" t="n">
        <v>65.05</v>
      </c>
      <c r="J1743" s="34" t="n">
        <v>69.22</v>
      </c>
      <c r="K1743" s="34" t="n">
        <v>60.64</v>
      </c>
      <c r="L1743" s="34" t="n">
        <f aca="false">AVERAGE(C1743:E1743)</f>
        <v>-8.76333333333333</v>
      </c>
      <c r="M1743" s="34" t="n">
        <f aca="false">AVERAGE(C1743:J1743)</f>
        <v>34.99</v>
      </c>
    </row>
    <row r="1744" customFormat="false" ht="15" hidden="false" customHeight="true" outlineLevel="0" collapsed="false">
      <c r="A1744" s="34" t="s">
        <v>1923</v>
      </c>
      <c r="B1744" s="34" t="n">
        <v>59.05</v>
      </c>
      <c r="C1744" s="34" t="n">
        <v>66.67</v>
      </c>
      <c r="D1744" s="34" t="n">
        <v>89.69</v>
      </c>
      <c r="E1744" s="34" t="n">
        <v>127.85</v>
      </c>
      <c r="F1744" s="34" t="n">
        <v>-51.06</v>
      </c>
      <c r="G1744" s="34" t="n">
        <v>-104.63</v>
      </c>
      <c r="H1744" s="34" t="n">
        <v>-76.53</v>
      </c>
      <c r="I1744" s="34" t="n">
        <v>-6.12</v>
      </c>
      <c r="J1744" s="34" t="n">
        <v>-4.03</v>
      </c>
      <c r="K1744" s="34" t="n">
        <v>61.85</v>
      </c>
      <c r="L1744" s="34" t="n">
        <f aca="false">AVERAGE(C1744:E1744)</f>
        <v>94.7366666666667</v>
      </c>
      <c r="M1744" s="34" t="n">
        <f aca="false">AVERAGE(C1744:J1744)</f>
        <v>5.23</v>
      </c>
    </row>
    <row r="1745" customFormat="false" ht="15" hidden="false" customHeight="true" outlineLevel="0" collapsed="false">
      <c r="A1745" s="34" t="s">
        <v>528</v>
      </c>
      <c r="B1745" s="34" t="n">
        <v>59.04</v>
      </c>
      <c r="C1745" s="34" t="n">
        <v>-66.67</v>
      </c>
      <c r="D1745" s="34" t="n">
        <v>-88.89</v>
      </c>
      <c r="E1745" s="34" t="n">
        <v>28.58</v>
      </c>
      <c r="F1745" s="34" t="n">
        <v>-50.36</v>
      </c>
      <c r="G1745" s="34" t="n">
        <v>-92.82</v>
      </c>
      <c r="H1745" s="34" t="n">
        <v>-65.96</v>
      </c>
      <c r="I1745" s="34" t="n">
        <v>-54.6</v>
      </c>
      <c r="J1745" s="34" t="n">
        <v>-67.11</v>
      </c>
      <c r="K1745" s="34" t="n">
        <v>60.74</v>
      </c>
      <c r="L1745" s="34" t="n">
        <f aca="false">AVERAGE(C1745:E1745)</f>
        <v>-42.3266666666667</v>
      </c>
      <c r="M1745" s="34" t="n">
        <f aca="false">AVERAGE(C1745:J1745)</f>
        <v>-57.22875</v>
      </c>
    </row>
    <row r="1746" customFormat="false" ht="15" hidden="false" customHeight="true" outlineLevel="0" collapsed="false">
      <c r="A1746" s="34" t="s">
        <v>1924</v>
      </c>
      <c r="B1746" s="34" t="n">
        <v>59.01</v>
      </c>
      <c r="C1746" s="34" t="n">
        <v>-66.67</v>
      </c>
      <c r="D1746" s="34" t="n">
        <v>64.37</v>
      </c>
      <c r="E1746" s="34" t="n">
        <v>124.48</v>
      </c>
      <c r="F1746" s="34" t="n">
        <v>38.57</v>
      </c>
      <c r="G1746" s="34" t="n">
        <v>-36.58</v>
      </c>
      <c r="H1746" s="34" t="n">
        <v>-69.84</v>
      </c>
      <c r="I1746" s="34" t="n">
        <v>-47.69</v>
      </c>
      <c r="J1746" s="34" t="n">
        <v>-64.04</v>
      </c>
      <c r="K1746" s="34" t="n">
        <v>53.71</v>
      </c>
      <c r="L1746" s="34" t="n">
        <f aca="false">AVERAGE(C1746:E1746)</f>
        <v>40.7266666666667</v>
      </c>
      <c r="M1746" s="34" t="n">
        <f aca="false">AVERAGE(C1746:J1746)</f>
        <v>-7.175</v>
      </c>
    </row>
    <row r="1747" customFormat="false" ht="15" hidden="false" customHeight="true" outlineLevel="0" collapsed="false">
      <c r="A1747" s="34" t="s">
        <v>1925</v>
      </c>
      <c r="B1747" s="34" t="n">
        <v>59</v>
      </c>
      <c r="C1747" s="34" t="n">
        <v>-66.67</v>
      </c>
      <c r="D1747" s="34" t="n">
        <v>-133.33</v>
      </c>
      <c r="E1747" s="34" t="n">
        <v>-103.06</v>
      </c>
      <c r="F1747" s="34" t="n">
        <v>-158.49</v>
      </c>
      <c r="G1747" s="34" t="n">
        <v>-43.57</v>
      </c>
      <c r="H1747" s="34" t="n">
        <v>-6.23</v>
      </c>
      <c r="I1747" s="34" t="n">
        <v>20.77</v>
      </c>
      <c r="J1747" s="34" t="n">
        <v>-7.09</v>
      </c>
      <c r="K1747" s="34" t="n">
        <v>58.13</v>
      </c>
      <c r="L1747" s="34" t="n">
        <f aca="false">AVERAGE(C1747:E1747)</f>
        <v>-101.02</v>
      </c>
      <c r="M1747" s="34" t="n">
        <f aca="false">AVERAGE(C1747:J1747)</f>
        <v>-62.20875</v>
      </c>
    </row>
    <row r="1748" customFormat="false" ht="15" hidden="false" customHeight="true" outlineLevel="0" collapsed="false">
      <c r="A1748" s="34" t="s">
        <v>1926</v>
      </c>
      <c r="B1748" s="34" t="n">
        <v>58.7</v>
      </c>
      <c r="C1748" s="34" t="n">
        <v>-66.67</v>
      </c>
      <c r="D1748" s="34" t="n">
        <v>-131.53</v>
      </c>
      <c r="E1748" s="34" t="n">
        <v>-98.81</v>
      </c>
      <c r="F1748" s="34" t="n">
        <v>-130.01</v>
      </c>
      <c r="G1748" s="34" t="n">
        <v>-182.23</v>
      </c>
      <c r="H1748" s="34" t="n">
        <v>-195.94</v>
      </c>
      <c r="I1748" s="34" t="n">
        <v>-139.23</v>
      </c>
      <c r="J1748" s="34" t="n">
        <v>-102.26</v>
      </c>
      <c r="K1748" s="34" t="n">
        <v>64.88</v>
      </c>
      <c r="L1748" s="34" t="n">
        <f aca="false">AVERAGE(C1748:E1748)</f>
        <v>-99.0033333333333</v>
      </c>
      <c r="M1748" s="34" t="n">
        <f aca="false">AVERAGE(C1748:J1748)</f>
        <v>-130.835</v>
      </c>
    </row>
    <row r="1749" customFormat="false" ht="15" hidden="false" customHeight="true" outlineLevel="0" collapsed="false">
      <c r="A1749" s="34" t="s">
        <v>1927</v>
      </c>
      <c r="B1749" s="34" t="n">
        <v>58.62</v>
      </c>
      <c r="C1749" s="34" t="n">
        <v>-66.67</v>
      </c>
      <c r="D1749" s="34" t="n">
        <v>42.09</v>
      </c>
      <c r="E1749" s="34" t="n">
        <v>99</v>
      </c>
      <c r="F1749" s="34" t="n">
        <v>5.54</v>
      </c>
      <c r="G1749" s="34" t="n">
        <v>-56.83</v>
      </c>
      <c r="H1749" s="34" t="n">
        <v>-92.72</v>
      </c>
      <c r="I1749" s="34" t="n">
        <v>-112.22</v>
      </c>
      <c r="J1749" s="34" t="n">
        <v>-96.03</v>
      </c>
      <c r="K1749" s="34" t="n">
        <v>52.72</v>
      </c>
      <c r="L1749" s="34" t="n">
        <f aca="false">AVERAGE(C1749:E1749)</f>
        <v>24.8066666666667</v>
      </c>
      <c r="M1749" s="34" t="n">
        <f aca="false">AVERAGE(C1749:J1749)</f>
        <v>-34.73</v>
      </c>
    </row>
    <row r="1750" customFormat="false" ht="15" hidden="false" customHeight="true" outlineLevel="0" collapsed="false">
      <c r="A1750" s="34" t="s">
        <v>344</v>
      </c>
      <c r="B1750" s="34" t="n">
        <v>58.51</v>
      </c>
      <c r="C1750" s="34" t="n">
        <v>-66.67</v>
      </c>
      <c r="D1750" s="34" t="n">
        <v>-79.52</v>
      </c>
      <c r="E1750" s="34" t="n">
        <v>-77.67</v>
      </c>
      <c r="F1750" s="34" t="n">
        <v>-136.12</v>
      </c>
      <c r="G1750" s="34" t="n">
        <v>-193.6</v>
      </c>
      <c r="H1750" s="34" t="n">
        <v>-82.54</v>
      </c>
      <c r="I1750" s="34" t="n">
        <v>-32.1</v>
      </c>
      <c r="J1750" s="34" t="n">
        <v>-12.76</v>
      </c>
      <c r="K1750" s="34" t="n">
        <v>62.92</v>
      </c>
      <c r="L1750" s="34" t="n">
        <f aca="false">AVERAGE(C1750:E1750)</f>
        <v>-74.62</v>
      </c>
      <c r="M1750" s="34" t="n">
        <f aca="false">AVERAGE(C1750:J1750)</f>
        <v>-85.1225</v>
      </c>
    </row>
    <row r="1751" customFormat="false" ht="15" hidden="false" customHeight="true" outlineLevel="0" collapsed="false">
      <c r="A1751" s="34" t="s">
        <v>1928</v>
      </c>
      <c r="B1751" s="34" t="n">
        <v>58.48</v>
      </c>
      <c r="C1751" s="34" t="n">
        <v>-66.67</v>
      </c>
      <c r="D1751" s="34" t="n">
        <v>-105.5</v>
      </c>
      <c r="E1751" s="34" t="n">
        <v>-21.77</v>
      </c>
      <c r="F1751" s="34" t="n">
        <v>-64.78</v>
      </c>
      <c r="G1751" s="34" t="n">
        <v>-104.7</v>
      </c>
      <c r="H1751" s="34"/>
      <c r="I1751" s="34"/>
      <c r="J1751" s="34"/>
      <c r="K1751" s="34" t="n">
        <v>59.75</v>
      </c>
      <c r="L1751" s="34" t="n">
        <f aca="false">AVERAGE(C1751:E1751)</f>
        <v>-64.6466666666667</v>
      </c>
      <c r="M1751" s="34" t="n">
        <f aca="false">AVERAGE(C1751:J1751)</f>
        <v>-72.684</v>
      </c>
    </row>
    <row r="1752" customFormat="false" ht="15" hidden="false" customHeight="true" outlineLevel="0" collapsed="false">
      <c r="A1752" s="34" t="s">
        <v>1929</v>
      </c>
      <c r="B1752" s="34" t="n">
        <v>58.37</v>
      </c>
      <c r="C1752" s="34" t="n">
        <v>-66.67</v>
      </c>
      <c r="D1752" s="34" t="n">
        <v>-9.17</v>
      </c>
      <c r="E1752" s="34" t="n">
        <v>74.76</v>
      </c>
      <c r="F1752" s="34" t="n">
        <v>4.31</v>
      </c>
      <c r="G1752" s="34" t="n">
        <v>-24.74</v>
      </c>
      <c r="H1752" s="34" t="n">
        <v>31.6</v>
      </c>
      <c r="I1752" s="34" t="n">
        <v>54.16</v>
      </c>
      <c r="J1752" s="34" t="n">
        <v>45.76</v>
      </c>
      <c r="K1752" s="34" t="n">
        <v>56.59</v>
      </c>
      <c r="L1752" s="34" t="n">
        <f aca="false">AVERAGE(C1752:E1752)</f>
        <v>-0.359999999999999</v>
      </c>
      <c r="M1752" s="34" t="n">
        <f aca="false">AVERAGE(C1752:J1752)</f>
        <v>13.75125</v>
      </c>
    </row>
    <row r="1753" customFormat="false" ht="15" hidden="false" customHeight="true" outlineLevel="0" collapsed="false">
      <c r="A1753" s="34" t="s">
        <v>1930</v>
      </c>
      <c r="B1753" s="34" t="n">
        <v>58.26</v>
      </c>
      <c r="C1753" s="34" t="n">
        <v>-66.67</v>
      </c>
      <c r="D1753" s="34" t="n">
        <v>3.21</v>
      </c>
      <c r="E1753" s="34" t="n">
        <v>79.4</v>
      </c>
      <c r="F1753" s="34" t="n">
        <v>-2.43</v>
      </c>
      <c r="G1753" s="34" t="n">
        <v>-64.68</v>
      </c>
      <c r="H1753" s="34" t="n">
        <v>-90.62</v>
      </c>
      <c r="I1753" s="34" t="n">
        <v>-98.68</v>
      </c>
      <c r="J1753" s="34" t="n">
        <v>-83.64</v>
      </c>
      <c r="K1753" s="34" t="n">
        <v>56.26</v>
      </c>
      <c r="L1753" s="34" t="n">
        <f aca="false">AVERAGE(C1753:E1753)</f>
        <v>5.31333333333333</v>
      </c>
      <c r="M1753" s="34" t="n">
        <f aca="false">AVERAGE(C1753:J1753)</f>
        <v>-40.51375</v>
      </c>
    </row>
    <row r="1754" customFormat="false" ht="15" hidden="false" customHeight="true" outlineLevel="0" collapsed="false">
      <c r="A1754" s="34" t="s">
        <v>1931</v>
      </c>
      <c r="B1754" s="34" t="n">
        <v>57.74</v>
      </c>
      <c r="C1754" s="34" t="n">
        <v>66.67</v>
      </c>
      <c r="D1754" s="34" t="n">
        <v>15.15</v>
      </c>
      <c r="E1754" s="34" t="n">
        <v>67.29</v>
      </c>
      <c r="F1754" s="34" t="n">
        <v>30.67</v>
      </c>
      <c r="G1754" s="34" t="n">
        <v>8.94</v>
      </c>
      <c r="H1754" s="34" t="n">
        <v>-23.51</v>
      </c>
      <c r="I1754" s="34" t="n">
        <v>-40.95</v>
      </c>
      <c r="J1754" s="34" t="n">
        <v>-53.33</v>
      </c>
      <c r="K1754" s="34" t="n">
        <v>53.48</v>
      </c>
      <c r="L1754" s="34" t="n">
        <f aca="false">AVERAGE(C1754:E1754)</f>
        <v>49.7033333333333</v>
      </c>
      <c r="M1754" s="34" t="n">
        <f aca="false">AVERAGE(C1754:J1754)</f>
        <v>8.86625</v>
      </c>
    </row>
    <row r="1755" customFormat="false" ht="15" hidden="false" customHeight="true" outlineLevel="0" collapsed="false">
      <c r="A1755" s="34" t="s">
        <v>1932</v>
      </c>
      <c r="B1755" s="34" t="n">
        <v>57.61</v>
      </c>
      <c r="C1755" s="34" t="n">
        <v>-66.67</v>
      </c>
      <c r="D1755" s="34" t="n">
        <v>-49.38</v>
      </c>
      <c r="E1755" s="34" t="n">
        <v>62.08</v>
      </c>
      <c r="F1755" s="34" t="n">
        <v>42.14</v>
      </c>
      <c r="G1755" s="34" t="n">
        <v>14.11</v>
      </c>
      <c r="H1755" s="34" t="n">
        <v>48.52</v>
      </c>
      <c r="I1755" s="34" t="n">
        <v>61.06</v>
      </c>
      <c r="J1755" s="34" t="n">
        <v>71.35</v>
      </c>
      <c r="K1755" s="34" t="n">
        <v>58.55</v>
      </c>
      <c r="L1755" s="34" t="n">
        <f aca="false">AVERAGE(C1755:E1755)</f>
        <v>-17.99</v>
      </c>
      <c r="M1755" s="34" t="n">
        <f aca="false">AVERAGE(C1755:J1755)</f>
        <v>22.90125</v>
      </c>
    </row>
    <row r="1756" customFormat="false" ht="15" hidden="false" customHeight="true" outlineLevel="0" collapsed="false">
      <c r="A1756" s="34" t="s">
        <v>1933</v>
      </c>
      <c r="B1756" s="34" t="n">
        <v>57.57</v>
      </c>
      <c r="C1756" s="34" t="n">
        <v>-66.67</v>
      </c>
      <c r="D1756" s="34" t="n">
        <v>-124.24</v>
      </c>
      <c r="E1756" s="34" t="n">
        <v>-85.6</v>
      </c>
      <c r="F1756" s="34" t="n">
        <v>-138.52</v>
      </c>
      <c r="G1756" s="34" t="n">
        <v>-186.15</v>
      </c>
      <c r="H1756" s="34" t="n">
        <v>-191.58</v>
      </c>
      <c r="I1756" s="34" t="n">
        <v>-198.44</v>
      </c>
      <c r="J1756" s="34" t="n">
        <v>-212.93</v>
      </c>
      <c r="K1756" s="34" t="n">
        <v>61.3</v>
      </c>
      <c r="L1756" s="34" t="n">
        <f aca="false">AVERAGE(C1756:E1756)</f>
        <v>-92.17</v>
      </c>
      <c r="M1756" s="34" t="n">
        <f aca="false">AVERAGE(C1756:J1756)</f>
        <v>-150.51625</v>
      </c>
    </row>
    <row r="1757" customFormat="false" ht="15" hidden="false" customHeight="true" outlineLevel="0" collapsed="false">
      <c r="A1757" s="34" t="s">
        <v>1934</v>
      </c>
      <c r="B1757" s="34" t="n">
        <v>57.49</v>
      </c>
      <c r="C1757" s="34" t="n">
        <v>66.67</v>
      </c>
      <c r="D1757" s="34" t="n">
        <v>81.37</v>
      </c>
      <c r="E1757" s="34" t="n">
        <v>77.84</v>
      </c>
      <c r="F1757" s="34" t="n">
        <v>-53.51</v>
      </c>
      <c r="G1757" s="34" t="n">
        <v>-104.47</v>
      </c>
      <c r="H1757" s="34" t="n">
        <v>-20.7</v>
      </c>
      <c r="I1757" s="34" t="n">
        <v>9.93</v>
      </c>
      <c r="J1757" s="34" t="n">
        <v>13.08</v>
      </c>
      <c r="K1757" s="34" t="n">
        <v>60.16</v>
      </c>
      <c r="L1757" s="34" t="n">
        <f aca="false">AVERAGE(C1757:E1757)</f>
        <v>75.2933333333333</v>
      </c>
      <c r="M1757" s="34" t="n">
        <f aca="false">AVERAGE(C1757:J1757)</f>
        <v>8.77625</v>
      </c>
    </row>
    <row r="1758" customFormat="false" ht="15" hidden="false" customHeight="true" outlineLevel="0" collapsed="false">
      <c r="A1758" s="34" t="s">
        <v>1935</v>
      </c>
      <c r="B1758" s="34" t="n">
        <v>57.01</v>
      </c>
      <c r="C1758" s="34" t="n">
        <v>66.67</v>
      </c>
      <c r="D1758" s="34" t="n">
        <v>67.88</v>
      </c>
      <c r="E1758" s="34" t="n">
        <v>142.29</v>
      </c>
      <c r="F1758" s="34" t="n">
        <v>227.22</v>
      </c>
      <c r="G1758" s="34" t="n">
        <v>317.7</v>
      </c>
      <c r="H1758" s="34" t="n">
        <v>312.78</v>
      </c>
      <c r="I1758" s="34" t="n">
        <v>266.91</v>
      </c>
      <c r="J1758" s="34" t="n">
        <v>267</v>
      </c>
      <c r="K1758" s="34" t="n">
        <v>51.59</v>
      </c>
      <c r="L1758" s="34" t="n">
        <f aca="false">AVERAGE(C1758:E1758)</f>
        <v>92.28</v>
      </c>
      <c r="M1758" s="34" t="n">
        <f aca="false">AVERAGE(C1758:J1758)</f>
        <v>208.55625</v>
      </c>
    </row>
    <row r="1759" customFormat="false" ht="15" hidden="false" customHeight="true" outlineLevel="0" collapsed="false">
      <c r="A1759" s="34" t="s">
        <v>1936</v>
      </c>
      <c r="B1759" s="34" t="n">
        <v>56.96</v>
      </c>
      <c r="C1759" s="34" t="n">
        <v>66.67</v>
      </c>
      <c r="D1759" s="34" t="n">
        <v>107.45</v>
      </c>
      <c r="E1759" s="34" t="n">
        <v>105.13</v>
      </c>
      <c r="F1759" s="34" t="n">
        <v>-14.89</v>
      </c>
      <c r="G1759" s="34" t="n">
        <v>-20.65</v>
      </c>
      <c r="H1759" s="34" t="n">
        <v>26.74</v>
      </c>
      <c r="I1759" s="34" t="n">
        <v>52.84</v>
      </c>
      <c r="J1759" s="34" t="n">
        <v>62.46</v>
      </c>
      <c r="K1759" s="34" t="n">
        <v>59.12</v>
      </c>
      <c r="L1759" s="34" t="n">
        <f aca="false">AVERAGE(C1759:E1759)</f>
        <v>93.0833333333333</v>
      </c>
      <c r="M1759" s="34" t="n">
        <f aca="false">AVERAGE(C1759:J1759)</f>
        <v>48.21875</v>
      </c>
    </row>
    <row r="1760" customFormat="false" ht="15" hidden="false" customHeight="true" outlineLevel="0" collapsed="false">
      <c r="A1760" s="34" t="s">
        <v>1937</v>
      </c>
      <c r="B1760" s="34" t="n">
        <v>56.88</v>
      </c>
      <c r="C1760" s="34" t="n">
        <v>-66.67</v>
      </c>
      <c r="D1760" s="34" t="n">
        <v>-133.33</v>
      </c>
      <c r="E1760" s="34" t="n">
        <v>-180.43</v>
      </c>
      <c r="F1760" s="34" t="n">
        <v>-114.86</v>
      </c>
      <c r="G1760" s="34" t="n">
        <v>-204.22</v>
      </c>
      <c r="H1760" s="34" t="n">
        <v>-232.99</v>
      </c>
      <c r="I1760" s="34" t="n">
        <v>-179.36</v>
      </c>
      <c r="J1760" s="34" t="n">
        <v>-186.06</v>
      </c>
      <c r="K1760" s="34" t="n">
        <v>64.34</v>
      </c>
      <c r="L1760" s="34" t="n">
        <f aca="false">AVERAGE(C1760:E1760)</f>
        <v>-126.81</v>
      </c>
      <c r="M1760" s="34" t="n">
        <f aca="false">AVERAGE(C1760:J1760)</f>
        <v>-162.24</v>
      </c>
    </row>
    <row r="1761" customFormat="false" ht="15" hidden="false" customHeight="true" outlineLevel="0" collapsed="false">
      <c r="A1761" s="34" t="s">
        <v>1938</v>
      </c>
      <c r="B1761" s="34" t="n">
        <v>56.6</v>
      </c>
      <c r="C1761" s="34" t="n">
        <v>-66.67</v>
      </c>
      <c r="D1761" s="34" t="n">
        <v>-125.17</v>
      </c>
      <c r="E1761" s="34" t="n">
        <v>-33.27</v>
      </c>
      <c r="F1761" s="34" t="n">
        <v>-75.16</v>
      </c>
      <c r="G1761" s="34" t="n">
        <v>-75.21</v>
      </c>
      <c r="H1761" s="34" t="n">
        <v>-10.49</v>
      </c>
      <c r="I1761" s="34" t="n">
        <v>39.85</v>
      </c>
      <c r="J1761" s="34" t="n">
        <v>52.71</v>
      </c>
      <c r="K1761" s="34" t="n">
        <v>58.4</v>
      </c>
      <c r="L1761" s="34" t="n">
        <f aca="false">AVERAGE(C1761:E1761)</f>
        <v>-75.0366666666667</v>
      </c>
      <c r="M1761" s="34" t="n">
        <f aca="false">AVERAGE(C1761:J1761)</f>
        <v>-36.67625</v>
      </c>
    </row>
    <row r="1762" customFormat="false" ht="15" hidden="false" customHeight="true" outlineLevel="0" collapsed="false">
      <c r="A1762" s="34" t="s">
        <v>1939</v>
      </c>
      <c r="B1762" s="34" t="n">
        <v>56.57</v>
      </c>
      <c r="C1762" s="34" t="n">
        <v>-66.67</v>
      </c>
      <c r="D1762" s="34" t="n">
        <v>-133.33</v>
      </c>
      <c r="E1762" s="34" t="n">
        <v>-6.21</v>
      </c>
      <c r="F1762" s="34" t="n">
        <v>-70.14</v>
      </c>
      <c r="G1762" s="34" t="n">
        <v>-74.14</v>
      </c>
      <c r="H1762" s="34" t="n">
        <v>-12.89</v>
      </c>
      <c r="I1762" s="34" t="n">
        <v>38.9</v>
      </c>
      <c r="J1762" s="34" t="n">
        <v>52.02</v>
      </c>
      <c r="K1762" s="34" t="n">
        <v>58.44</v>
      </c>
      <c r="L1762" s="34" t="n">
        <f aca="false">AVERAGE(C1762:E1762)</f>
        <v>-68.7366666666667</v>
      </c>
      <c r="M1762" s="34" t="n">
        <f aca="false">AVERAGE(C1762:J1762)</f>
        <v>-34.0575</v>
      </c>
    </row>
    <row r="1763" customFormat="false" ht="15" hidden="false" customHeight="true" outlineLevel="0" collapsed="false">
      <c r="A1763" s="34" t="s">
        <v>1940</v>
      </c>
      <c r="B1763" s="34" t="n">
        <v>56.44</v>
      </c>
      <c r="C1763" s="34" t="n">
        <v>-66.67</v>
      </c>
      <c r="D1763" s="34" t="n">
        <v>-133.33</v>
      </c>
      <c r="E1763" s="34" t="n">
        <v>23.62</v>
      </c>
      <c r="F1763" s="34" t="n">
        <v>-55.06</v>
      </c>
      <c r="G1763" s="34" t="n">
        <v>-62.9</v>
      </c>
      <c r="H1763" s="34" t="n">
        <v>-8.07</v>
      </c>
      <c r="I1763" s="34" t="n">
        <v>40.52</v>
      </c>
      <c r="J1763" s="34" t="n">
        <v>53.3</v>
      </c>
      <c r="K1763" s="34" t="n">
        <v>58.02</v>
      </c>
      <c r="L1763" s="34" t="n">
        <f aca="false">AVERAGE(C1763:E1763)</f>
        <v>-58.7933333333333</v>
      </c>
      <c r="M1763" s="34" t="n">
        <f aca="false">AVERAGE(C1763:J1763)</f>
        <v>-26.07375</v>
      </c>
    </row>
    <row r="1764" customFormat="false" ht="15" hidden="false" customHeight="true" outlineLevel="0" collapsed="false">
      <c r="A1764" s="34" t="s">
        <v>1941</v>
      </c>
      <c r="B1764" s="34" t="n">
        <v>56.4</v>
      </c>
      <c r="C1764" s="34" t="n">
        <v>66.67</v>
      </c>
      <c r="D1764" s="34" t="n">
        <v>68.07</v>
      </c>
      <c r="E1764" s="34" t="n">
        <v>67.28</v>
      </c>
      <c r="F1764" s="34" t="n">
        <v>-50.94</v>
      </c>
      <c r="G1764" s="34" t="n">
        <v>-100.79</v>
      </c>
      <c r="H1764" s="34" t="n">
        <v>-35.95</v>
      </c>
      <c r="I1764" s="34" t="n">
        <v>1.5</v>
      </c>
      <c r="J1764" s="34" t="n">
        <v>-4.21</v>
      </c>
      <c r="K1764" s="34" t="n">
        <v>57.76</v>
      </c>
      <c r="L1764" s="34" t="n">
        <f aca="false">AVERAGE(C1764:E1764)</f>
        <v>67.34</v>
      </c>
      <c r="M1764" s="34" t="n">
        <f aca="false">AVERAGE(C1764:J1764)</f>
        <v>1.45375</v>
      </c>
    </row>
    <row r="1765" customFormat="false" ht="15" hidden="false" customHeight="true" outlineLevel="0" collapsed="false">
      <c r="A1765" s="34" t="s">
        <v>1942</v>
      </c>
      <c r="B1765" s="34" t="n">
        <v>56.37</v>
      </c>
      <c r="C1765" s="34" t="n">
        <v>-66.67</v>
      </c>
      <c r="D1765" s="34" t="n">
        <v>-124.08</v>
      </c>
      <c r="E1765" s="34" t="n">
        <v>-48.32</v>
      </c>
      <c r="F1765" s="34" t="n">
        <v>-90.49</v>
      </c>
      <c r="G1765" s="34" t="n">
        <v>-91.32</v>
      </c>
      <c r="H1765" s="34" t="n">
        <v>-29.59</v>
      </c>
      <c r="I1765" s="34" t="n">
        <v>33.44</v>
      </c>
      <c r="J1765" s="34" t="n">
        <v>47.7</v>
      </c>
      <c r="K1765" s="34" t="n">
        <v>57.3</v>
      </c>
      <c r="L1765" s="34" t="n">
        <f aca="false">AVERAGE(C1765:E1765)</f>
        <v>-79.69</v>
      </c>
      <c r="M1765" s="34" t="n">
        <f aca="false">AVERAGE(C1765:J1765)</f>
        <v>-46.16625</v>
      </c>
    </row>
    <row r="1766" customFormat="false" ht="15" hidden="false" customHeight="true" outlineLevel="0" collapsed="false">
      <c r="A1766" s="34" t="s">
        <v>1943</v>
      </c>
      <c r="B1766" s="34" t="n">
        <v>56.1</v>
      </c>
      <c r="C1766" s="34" t="n">
        <v>-66.67</v>
      </c>
      <c r="D1766" s="34" t="n">
        <v>-133.33</v>
      </c>
      <c r="E1766" s="34" t="n">
        <v>-11.11</v>
      </c>
      <c r="F1766" s="34" t="n">
        <v>-78.83</v>
      </c>
      <c r="G1766" s="34" t="n">
        <v>-81.92</v>
      </c>
      <c r="H1766" s="34" t="n">
        <v>-22.97</v>
      </c>
      <c r="I1766" s="34" t="n">
        <v>35.62</v>
      </c>
      <c r="J1766" s="34" t="n">
        <v>49.54</v>
      </c>
      <c r="K1766" s="34" t="n">
        <v>58.11</v>
      </c>
      <c r="L1766" s="34" t="n">
        <f aca="false">AVERAGE(C1766:E1766)</f>
        <v>-70.37</v>
      </c>
      <c r="M1766" s="34" t="n">
        <f aca="false">AVERAGE(C1766:J1766)</f>
        <v>-38.70875</v>
      </c>
    </row>
    <row r="1767" customFormat="false" ht="15" hidden="false" customHeight="true" outlineLevel="0" collapsed="false">
      <c r="A1767" s="34" t="s">
        <v>485</v>
      </c>
      <c r="B1767" s="34" t="n">
        <v>56.02</v>
      </c>
      <c r="C1767" s="34" t="n">
        <v>-66.67</v>
      </c>
      <c r="D1767" s="34" t="n">
        <v>-91.71</v>
      </c>
      <c r="E1767" s="34" t="n">
        <v>-82.28</v>
      </c>
      <c r="F1767" s="34" t="n">
        <v>-65.6</v>
      </c>
      <c r="G1767" s="34" t="n">
        <v>-19.59</v>
      </c>
      <c r="H1767" s="34" t="n">
        <v>42.52</v>
      </c>
      <c r="I1767" s="34" t="n">
        <v>60.36</v>
      </c>
      <c r="J1767" s="34" t="n">
        <v>67.37</v>
      </c>
      <c r="K1767" s="34" t="n">
        <v>59.92</v>
      </c>
      <c r="L1767" s="34" t="n">
        <f aca="false">AVERAGE(C1767:E1767)</f>
        <v>-80.22</v>
      </c>
      <c r="M1767" s="34" t="n">
        <f aca="false">AVERAGE(C1767:J1767)</f>
        <v>-19.45</v>
      </c>
    </row>
    <row r="1768" customFormat="false" ht="15" hidden="false" customHeight="true" outlineLevel="0" collapsed="false">
      <c r="A1768" s="34" t="s">
        <v>1944</v>
      </c>
      <c r="B1768" s="34" t="n">
        <v>56</v>
      </c>
      <c r="C1768" s="34" t="n">
        <v>-66.67</v>
      </c>
      <c r="D1768" s="34" t="n">
        <v>-42.79</v>
      </c>
      <c r="E1768" s="34" t="n">
        <v>52.73</v>
      </c>
      <c r="F1768" s="34" t="n">
        <v>-56.52</v>
      </c>
      <c r="G1768" s="34" t="n">
        <v>-100.07</v>
      </c>
      <c r="H1768" s="34" t="n">
        <v>-23.86</v>
      </c>
      <c r="I1768" s="34" t="n">
        <v>1.72</v>
      </c>
      <c r="J1768" s="34" t="n">
        <v>-8.67</v>
      </c>
      <c r="K1768" s="34" t="n">
        <v>59.69</v>
      </c>
      <c r="L1768" s="34" t="n">
        <f aca="false">AVERAGE(C1768:E1768)</f>
        <v>-18.91</v>
      </c>
      <c r="M1768" s="34" t="n">
        <f aca="false">AVERAGE(C1768:J1768)</f>
        <v>-30.51625</v>
      </c>
    </row>
    <row r="1769" customFormat="false" ht="15" hidden="false" customHeight="true" outlineLevel="0" collapsed="false">
      <c r="A1769" s="34" t="s">
        <v>1945</v>
      </c>
      <c r="B1769" s="34" t="n">
        <v>56</v>
      </c>
      <c r="C1769" s="34" t="n">
        <v>66.67</v>
      </c>
      <c r="D1769" s="34" t="n">
        <v>-17.91</v>
      </c>
      <c r="E1769" s="34" t="n">
        <v>-70.74</v>
      </c>
      <c r="F1769" s="34" t="n">
        <v>-103.19</v>
      </c>
      <c r="G1769" s="34" t="n">
        <v>-77.29</v>
      </c>
      <c r="H1769" s="34" t="n">
        <v>-81.39</v>
      </c>
      <c r="I1769" s="34" t="n">
        <v>-13.24</v>
      </c>
      <c r="J1769" s="34" t="n">
        <v>-24.52</v>
      </c>
      <c r="K1769" s="34" t="n">
        <v>62.09</v>
      </c>
      <c r="L1769" s="34" t="n">
        <f aca="false">AVERAGE(C1769:E1769)</f>
        <v>-7.32666666666666</v>
      </c>
      <c r="M1769" s="34" t="n">
        <f aca="false">AVERAGE(C1769:J1769)</f>
        <v>-40.20125</v>
      </c>
    </row>
    <row r="1770" customFormat="false" ht="15" hidden="false" customHeight="true" outlineLevel="0" collapsed="false">
      <c r="A1770" s="34" t="s">
        <v>1946</v>
      </c>
      <c r="B1770" s="34" t="n">
        <v>56</v>
      </c>
      <c r="C1770" s="34" t="n">
        <v>-66.67</v>
      </c>
      <c r="D1770" s="34" t="n">
        <v>-133.33</v>
      </c>
      <c r="E1770" s="34" t="n">
        <v>-37.73</v>
      </c>
      <c r="F1770" s="34" t="n">
        <v>-94.28</v>
      </c>
      <c r="G1770" s="34" t="n">
        <v>-95.17</v>
      </c>
      <c r="H1770" s="34" t="n">
        <v>-100.48</v>
      </c>
      <c r="I1770" s="34" t="n">
        <v>-123.4</v>
      </c>
      <c r="J1770" s="34" t="n">
        <v>-125.4</v>
      </c>
      <c r="K1770" s="34" t="n">
        <v>59.6</v>
      </c>
      <c r="L1770" s="34" t="n">
        <f aca="false">AVERAGE(C1770:E1770)</f>
        <v>-79.2433333333333</v>
      </c>
      <c r="M1770" s="34" t="n">
        <f aca="false">AVERAGE(C1770:J1770)</f>
        <v>-97.0575</v>
      </c>
    </row>
    <row r="1771" customFormat="false" ht="15" hidden="false" customHeight="true" outlineLevel="0" collapsed="false">
      <c r="A1771" s="34" t="s">
        <v>1947</v>
      </c>
      <c r="B1771" s="34" t="n">
        <v>55.75</v>
      </c>
      <c r="C1771" s="34" t="n">
        <v>-66.67</v>
      </c>
      <c r="D1771" s="34" t="n">
        <v>-133.33</v>
      </c>
      <c r="E1771" s="34" t="n">
        <v>10.23</v>
      </c>
      <c r="F1771" s="34" t="n">
        <v>-65.05</v>
      </c>
      <c r="G1771" s="34" t="n">
        <v>-74.98</v>
      </c>
      <c r="H1771" s="34" t="n">
        <v>-14.45</v>
      </c>
      <c r="I1771" s="34" t="n">
        <v>38.33</v>
      </c>
      <c r="J1771" s="34" t="n">
        <v>51.66</v>
      </c>
      <c r="K1771" s="34" t="n">
        <v>55</v>
      </c>
      <c r="L1771" s="34" t="n">
        <f aca="false">AVERAGE(C1771:E1771)</f>
        <v>-63.2566666666667</v>
      </c>
      <c r="M1771" s="34" t="n">
        <f aca="false">AVERAGE(C1771:J1771)</f>
        <v>-31.7825</v>
      </c>
    </row>
    <row r="1772" customFormat="false" ht="15" hidden="false" customHeight="true" outlineLevel="0" collapsed="false">
      <c r="A1772" s="34" t="s">
        <v>1948</v>
      </c>
      <c r="B1772" s="34" t="n">
        <v>55.68</v>
      </c>
      <c r="C1772" s="34" t="n">
        <v>-66.67</v>
      </c>
      <c r="D1772" s="34" t="n">
        <v>-133.33</v>
      </c>
      <c r="E1772" s="34" t="n">
        <v>-33.94</v>
      </c>
      <c r="F1772" s="34" t="n">
        <v>-79.09</v>
      </c>
      <c r="G1772" s="34" t="n">
        <v>-84.7</v>
      </c>
      <c r="H1772" s="34" t="n">
        <v>-20.9</v>
      </c>
      <c r="I1772" s="34" t="n">
        <v>36.17</v>
      </c>
      <c r="J1772" s="34" t="n">
        <v>50</v>
      </c>
      <c r="K1772" s="34" t="n">
        <v>56.33</v>
      </c>
      <c r="L1772" s="34" t="n">
        <f aca="false">AVERAGE(C1772:E1772)</f>
        <v>-77.98</v>
      </c>
      <c r="M1772" s="34" t="n">
        <f aca="false">AVERAGE(C1772:J1772)</f>
        <v>-41.5575</v>
      </c>
    </row>
    <row r="1773" customFormat="false" ht="15" hidden="false" customHeight="true" outlineLevel="0" collapsed="false">
      <c r="A1773" s="34" t="s">
        <v>1949</v>
      </c>
      <c r="B1773" s="34" t="n">
        <v>55.01</v>
      </c>
      <c r="C1773" s="34" t="n">
        <v>-66.67</v>
      </c>
      <c r="D1773" s="34" t="n">
        <v>-71.91</v>
      </c>
      <c r="E1773" s="34" t="n">
        <v>-72.74</v>
      </c>
      <c r="F1773" s="34" t="n">
        <v>-92.52</v>
      </c>
      <c r="G1773" s="34" t="n">
        <v>-149.28</v>
      </c>
      <c r="H1773" s="34" t="n">
        <v>-113.46</v>
      </c>
      <c r="I1773" s="34" t="n">
        <v>-58.12</v>
      </c>
      <c r="J1773" s="34" t="n">
        <v>-72.91</v>
      </c>
      <c r="K1773" s="34" t="n">
        <v>59.8</v>
      </c>
      <c r="L1773" s="34" t="n">
        <f aca="false">AVERAGE(C1773:E1773)</f>
        <v>-70.44</v>
      </c>
      <c r="M1773" s="34" t="n">
        <f aca="false">AVERAGE(C1773:J1773)</f>
        <v>-87.20125</v>
      </c>
    </row>
    <row r="1774" customFormat="false" ht="15" hidden="false" customHeight="true" outlineLevel="0" collapsed="false">
      <c r="A1774" s="34" t="s">
        <v>1950</v>
      </c>
      <c r="B1774" s="34" t="n">
        <v>54.93</v>
      </c>
      <c r="C1774" s="34" t="n">
        <v>-66.67</v>
      </c>
      <c r="D1774" s="34" t="n">
        <v>-133.33</v>
      </c>
      <c r="E1774" s="34" t="n">
        <v>-3.32</v>
      </c>
      <c r="F1774" s="34" t="n">
        <v>-44.85</v>
      </c>
      <c r="G1774" s="34" t="n">
        <v>-25.68</v>
      </c>
      <c r="H1774" s="34" t="n">
        <v>16.48</v>
      </c>
      <c r="I1774" s="34" t="n">
        <v>27.98</v>
      </c>
      <c r="J1774" s="34" t="n">
        <v>-20.75</v>
      </c>
      <c r="K1774" s="34" t="n">
        <v>52.07</v>
      </c>
      <c r="L1774" s="34" t="n">
        <f aca="false">AVERAGE(C1774:E1774)</f>
        <v>-67.7733333333333</v>
      </c>
      <c r="M1774" s="34" t="n">
        <f aca="false">AVERAGE(C1774:J1774)</f>
        <v>-31.2675</v>
      </c>
    </row>
    <row r="1775" customFormat="false" ht="15" hidden="false" customHeight="true" outlineLevel="0" collapsed="false">
      <c r="A1775" s="34" t="s">
        <v>394</v>
      </c>
      <c r="B1775" s="34" t="n">
        <v>54.88</v>
      </c>
      <c r="C1775" s="34" t="n">
        <v>-66.67</v>
      </c>
      <c r="D1775" s="34" t="n">
        <v>-71.33</v>
      </c>
      <c r="E1775" s="34" t="n">
        <v>4.91</v>
      </c>
      <c r="F1775" s="34" t="n">
        <v>-83.39</v>
      </c>
      <c r="G1775" s="34" t="n">
        <v>-132.19</v>
      </c>
      <c r="H1775" s="34" t="n">
        <v>-174.37</v>
      </c>
      <c r="I1775" s="34" t="n">
        <v>-112.77</v>
      </c>
      <c r="J1775" s="34" t="n">
        <v>-124.73</v>
      </c>
      <c r="K1775" s="34" t="n">
        <v>57.2</v>
      </c>
      <c r="L1775" s="34" t="n">
        <f aca="false">AVERAGE(C1775:E1775)</f>
        <v>-44.3633333333333</v>
      </c>
      <c r="M1775" s="34" t="n">
        <f aca="false">AVERAGE(C1775:J1775)</f>
        <v>-95.0675</v>
      </c>
    </row>
    <row r="1776" customFormat="false" ht="15" hidden="false" customHeight="true" outlineLevel="0" collapsed="false">
      <c r="A1776" s="34" t="s">
        <v>1951</v>
      </c>
      <c r="B1776" s="34" t="n">
        <v>54.85</v>
      </c>
      <c r="C1776" s="34" t="n">
        <v>-66.67</v>
      </c>
      <c r="D1776" s="34" t="n">
        <v>-117.44</v>
      </c>
      <c r="E1776" s="34" t="n">
        <v>-89.86</v>
      </c>
      <c r="F1776" s="34" t="n">
        <v>-108.17</v>
      </c>
      <c r="G1776" s="34" t="n">
        <v>-126.41</v>
      </c>
      <c r="H1776" s="34" t="n">
        <v>-129.17</v>
      </c>
      <c r="I1776" s="34" t="n">
        <v>-140.45</v>
      </c>
      <c r="J1776" s="34" t="n">
        <v>-128.13</v>
      </c>
      <c r="K1776" s="34" t="n">
        <v>59.65</v>
      </c>
      <c r="L1776" s="34" t="n">
        <f aca="false">AVERAGE(C1776:E1776)</f>
        <v>-91.3233333333333</v>
      </c>
      <c r="M1776" s="34" t="n">
        <f aca="false">AVERAGE(C1776:J1776)</f>
        <v>-113.2875</v>
      </c>
    </row>
    <row r="1777" customFormat="false" ht="15" hidden="false" customHeight="true" outlineLevel="0" collapsed="false">
      <c r="A1777" s="34" t="s">
        <v>302</v>
      </c>
      <c r="B1777" s="34" t="n">
        <v>54.8</v>
      </c>
      <c r="C1777" s="34" t="n">
        <v>-66.67</v>
      </c>
      <c r="D1777" s="34" t="n">
        <v>-119.84</v>
      </c>
      <c r="E1777" s="34" t="n">
        <v>-64.11</v>
      </c>
      <c r="F1777" s="34" t="n">
        <v>-66.85</v>
      </c>
      <c r="G1777" s="34" t="n">
        <v>-47.74</v>
      </c>
      <c r="H1777" s="34" t="n">
        <v>26.63</v>
      </c>
      <c r="I1777" s="34" t="n">
        <v>52.19</v>
      </c>
      <c r="J1777" s="34" t="n">
        <v>66.77</v>
      </c>
      <c r="K1777" s="34" t="n">
        <v>53.2</v>
      </c>
      <c r="L1777" s="34" t="n">
        <f aca="false">AVERAGE(C1777:E1777)</f>
        <v>-83.54</v>
      </c>
      <c r="M1777" s="34" t="n">
        <f aca="false">AVERAGE(C1777:J1777)</f>
        <v>-27.4525</v>
      </c>
    </row>
    <row r="1778" customFormat="false" ht="15" hidden="false" customHeight="true" outlineLevel="0" collapsed="false">
      <c r="A1778" s="34" t="s">
        <v>429</v>
      </c>
      <c r="B1778" s="34" t="n">
        <v>54.04</v>
      </c>
      <c r="C1778" s="34" t="n">
        <v>-66.67</v>
      </c>
      <c r="D1778" s="34" t="n">
        <v>-79.86</v>
      </c>
      <c r="E1778" s="34" t="n">
        <v>44.57</v>
      </c>
      <c r="F1778" s="34" t="n">
        <v>-77.07</v>
      </c>
      <c r="G1778" s="34" t="n">
        <v>-123.48</v>
      </c>
      <c r="H1778" s="34" t="n">
        <v>-19.76</v>
      </c>
      <c r="I1778" s="34" t="n">
        <v>10.09</v>
      </c>
      <c r="J1778" s="34" t="n">
        <v>14.24</v>
      </c>
      <c r="K1778" s="34" t="n">
        <v>56.84</v>
      </c>
      <c r="L1778" s="34" t="n">
        <f aca="false">AVERAGE(C1778:E1778)</f>
        <v>-33.9866666666667</v>
      </c>
      <c r="M1778" s="34" t="n">
        <f aca="false">AVERAGE(C1778:J1778)</f>
        <v>-37.2425</v>
      </c>
    </row>
    <row r="1779" customFormat="false" ht="15" hidden="false" customHeight="true" outlineLevel="0" collapsed="false">
      <c r="A1779" s="34" t="s">
        <v>1952</v>
      </c>
      <c r="B1779" s="34" t="n">
        <v>53.71</v>
      </c>
      <c r="C1779" s="34" t="n">
        <v>-66.67</v>
      </c>
      <c r="D1779" s="34" t="n">
        <v>-71.95</v>
      </c>
      <c r="E1779" s="34" t="n">
        <v>29.2</v>
      </c>
      <c r="F1779" s="34" t="n">
        <v>108.4</v>
      </c>
      <c r="G1779" s="34" t="n">
        <v>119.73</v>
      </c>
      <c r="H1779" s="34" t="n">
        <v>95.67</v>
      </c>
      <c r="I1779" s="34" t="n">
        <v>99.31</v>
      </c>
      <c r="J1779" s="34" t="n">
        <v>117.9</v>
      </c>
      <c r="K1779" s="34" t="n">
        <v>50.92</v>
      </c>
      <c r="L1779" s="34" t="n">
        <f aca="false">AVERAGE(C1779:E1779)</f>
        <v>-36.4733333333333</v>
      </c>
      <c r="M1779" s="34" t="n">
        <f aca="false">AVERAGE(C1779:J1779)</f>
        <v>53.94875</v>
      </c>
    </row>
    <row r="1780" customFormat="false" ht="15" hidden="false" customHeight="true" outlineLevel="0" collapsed="false">
      <c r="A1780" s="34" t="s">
        <v>1953</v>
      </c>
      <c r="B1780" s="34" t="n">
        <v>53.7</v>
      </c>
      <c r="C1780" s="34" t="n">
        <v>66.67</v>
      </c>
      <c r="D1780" s="34" t="n">
        <v>115.07</v>
      </c>
      <c r="E1780" s="34" t="n">
        <v>12.12</v>
      </c>
      <c r="F1780" s="34" t="n">
        <v>-22.03</v>
      </c>
      <c r="G1780" s="34" t="n">
        <v>61.03</v>
      </c>
      <c r="H1780" s="34" t="n">
        <v>91.45</v>
      </c>
      <c r="I1780" s="34" t="n">
        <v>121.36</v>
      </c>
      <c r="J1780" s="34" t="n">
        <v>101.23</v>
      </c>
      <c r="K1780" s="34" t="n">
        <v>55.54</v>
      </c>
      <c r="L1780" s="34" t="n">
        <f aca="false">AVERAGE(C1780:E1780)</f>
        <v>64.62</v>
      </c>
      <c r="M1780" s="34" t="n">
        <f aca="false">AVERAGE(C1780:J1780)</f>
        <v>68.3625</v>
      </c>
    </row>
    <row r="1781" customFormat="false" ht="15" hidden="false" customHeight="true" outlineLevel="0" collapsed="false">
      <c r="A1781" s="34" t="s">
        <v>1954</v>
      </c>
      <c r="B1781" s="34" t="n">
        <v>53.59</v>
      </c>
      <c r="C1781" s="34" t="n">
        <v>-66.67</v>
      </c>
      <c r="D1781" s="34" t="n">
        <v>-91.04</v>
      </c>
      <c r="E1781" s="34" t="n">
        <v>1.12</v>
      </c>
      <c r="F1781" s="34" t="n">
        <v>-61.44</v>
      </c>
      <c r="G1781" s="34" t="n">
        <v>-113.49</v>
      </c>
      <c r="H1781" s="34" t="n">
        <v>-55.66</v>
      </c>
      <c r="I1781" s="34" t="n">
        <v>-6.4</v>
      </c>
      <c r="J1781" s="34" t="n">
        <v>-15.95</v>
      </c>
      <c r="K1781" s="34" t="n">
        <v>56.51</v>
      </c>
      <c r="L1781" s="34" t="n">
        <f aca="false">AVERAGE(C1781:E1781)</f>
        <v>-52.1966666666667</v>
      </c>
      <c r="M1781" s="34" t="n">
        <f aca="false">AVERAGE(C1781:J1781)</f>
        <v>-51.19125</v>
      </c>
    </row>
    <row r="1782" customFormat="false" ht="15" hidden="false" customHeight="true" outlineLevel="0" collapsed="false">
      <c r="A1782" s="34" t="s">
        <v>1955</v>
      </c>
      <c r="B1782" s="34" t="n">
        <v>53.32</v>
      </c>
      <c r="C1782" s="34" t="n">
        <v>-66.67</v>
      </c>
      <c r="D1782" s="34" t="n">
        <v>-59.72</v>
      </c>
      <c r="E1782" s="34" t="n">
        <v>18.15</v>
      </c>
      <c r="F1782" s="34" t="n">
        <v>-75.18</v>
      </c>
      <c r="G1782" s="34" t="n">
        <v>-82.98</v>
      </c>
      <c r="H1782" s="34" t="n">
        <v>5.58</v>
      </c>
      <c r="I1782" s="34" t="n">
        <v>37.6</v>
      </c>
      <c r="J1782" s="34" t="n">
        <v>45.68</v>
      </c>
      <c r="K1782" s="34" t="n">
        <v>56.64</v>
      </c>
      <c r="L1782" s="34" t="n">
        <f aca="false">AVERAGE(C1782:E1782)</f>
        <v>-36.08</v>
      </c>
      <c r="M1782" s="34" t="n">
        <f aca="false">AVERAGE(C1782:J1782)</f>
        <v>-22.1925</v>
      </c>
    </row>
    <row r="1783" customFormat="false" ht="15" hidden="false" customHeight="true" outlineLevel="0" collapsed="false">
      <c r="A1783" s="34" t="s">
        <v>1956</v>
      </c>
      <c r="B1783" s="34" t="n">
        <v>52.69</v>
      </c>
      <c r="C1783" s="34" t="n">
        <v>-66.67</v>
      </c>
      <c r="D1783" s="34" t="n">
        <v>-97.13</v>
      </c>
      <c r="E1783" s="34" t="n">
        <v>-124.78</v>
      </c>
      <c r="F1783" s="34" t="n">
        <v>-94.58</v>
      </c>
      <c r="G1783" s="34" t="n">
        <v>-109.95</v>
      </c>
      <c r="H1783" s="34" t="n">
        <v>-87.04</v>
      </c>
      <c r="I1783" s="34" t="n">
        <v>-68.65</v>
      </c>
      <c r="J1783" s="34" t="n">
        <v>-74.32</v>
      </c>
      <c r="K1783" s="34" t="n">
        <v>60.09</v>
      </c>
      <c r="L1783" s="34" t="n">
        <f aca="false">AVERAGE(C1783:E1783)</f>
        <v>-96.1933333333333</v>
      </c>
      <c r="M1783" s="34" t="n">
        <f aca="false">AVERAGE(C1783:J1783)</f>
        <v>-90.39</v>
      </c>
    </row>
    <row r="1784" customFormat="false" ht="15" hidden="false" customHeight="true" outlineLevel="0" collapsed="false">
      <c r="A1784" s="34" t="s">
        <v>1957</v>
      </c>
      <c r="B1784" s="34" t="n">
        <v>52.67</v>
      </c>
      <c r="C1784" s="34" t="n">
        <v>66.67</v>
      </c>
      <c r="D1784" s="34" t="n">
        <v>133.33</v>
      </c>
      <c r="E1784" s="34" t="n">
        <v>50.88</v>
      </c>
      <c r="F1784" s="34" t="n">
        <v>88.18</v>
      </c>
      <c r="G1784" s="34" t="n">
        <v>147.51</v>
      </c>
      <c r="H1784" s="34" t="n">
        <v>177.21</v>
      </c>
      <c r="I1784" s="34" t="n">
        <v>183.54</v>
      </c>
      <c r="J1784" s="34" t="n">
        <v>205.29</v>
      </c>
      <c r="K1784" s="34" t="n">
        <v>50.37</v>
      </c>
      <c r="L1784" s="34" t="n">
        <f aca="false">AVERAGE(C1784:E1784)</f>
        <v>83.6266666666667</v>
      </c>
      <c r="M1784" s="34" t="n">
        <f aca="false">AVERAGE(C1784:J1784)</f>
        <v>131.57625</v>
      </c>
    </row>
    <row r="1785" customFormat="false" ht="15" hidden="false" customHeight="true" outlineLevel="0" collapsed="false">
      <c r="A1785" s="34" t="s">
        <v>505</v>
      </c>
      <c r="B1785" s="34" t="n">
        <v>52.66</v>
      </c>
      <c r="C1785" s="34" t="n">
        <v>-66.67</v>
      </c>
      <c r="D1785" s="34" t="n">
        <v>-93.01</v>
      </c>
      <c r="E1785" s="34" t="n">
        <v>36.59</v>
      </c>
      <c r="F1785" s="34" t="n">
        <v>-63.2</v>
      </c>
      <c r="G1785" s="34" t="n">
        <v>-61.98</v>
      </c>
      <c r="H1785" s="34" t="n">
        <v>-2.43</v>
      </c>
      <c r="I1785" s="34" t="n">
        <v>24.28</v>
      </c>
      <c r="J1785" s="34" t="n">
        <v>22.04</v>
      </c>
      <c r="K1785" s="34" t="n">
        <v>55.34</v>
      </c>
      <c r="L1785" s="34" t="n">
        <f aca="false">AVERAGE(C1785:E1785)</f>
        <v>-41.03</v>
      </c>
      <c r="M1785" s="34" t="n">
        <f aca="false">AVERAGE(C1785:J1785)</f>
        <v>-25.5475</v>
      </c>
    </row>
    <row r="1786" customFormat="false" ht="15" hidden="false" customHeight="true" outlineLevel="0" collapsed="false">
      <c r="A1786" s="34" t="s">
        <v>1958</v>
      </c>
      <c r="B1786" s="34" t="n">
        <v>52.35</v>
      </c>
      <c r="C1786" s="34" t="n">
        <v>-66.67</v>
      </c>
      <c r="D1786" s="34" t="n">
        <v>-120.33</v>
      </c>
      <c r="E1786" s="34" t="n">
        <v>-125.99</v>
      </c>
      <c r="F1786" s="34" t="n">
        <v>-76.64</v>
      </c>
      <c r="G1786" s="34" t="n">
        <v>-93.53</v>
      </c>
      <c r="H1786" s="34" t="n">
        <v>-7.71</v>
      </c>
      <c r="I1786" s="34" t="n">
        <v>22.27</v>
      </c>
      <c r="J1786" s="34" t="n">
        <v>-16.88</v>
      </c>
      <c r="K1786" s="34" t="n">
        <v>52.31</v>
      </c>
      <c r="L1786" s="34" t="n">
        <f aca="false">AVERAGE(C1786:E1786)</f>
        <v>-104.33</v>
      </c>
      <c r="M1786" s="34" t="n">
        <f aca="false">AVERAGE(C1786:J1786)</f>
        <v>-60.685</v>
      </c>
    </row>
    <row r="1787" customFormat="false" ht="15" hidden="false" customHeight="true" outlineLevel="0" collapsed="false">
      <c r="A1787" s="34" t="s">
        <v>1959</v>
      </c>
      <c r="B1787" s="34" t="n">
        <v>52.21</v>
      </c>
      <c r="C1787" s="34" t="n">
        <v>66.67</v>
      </c>
      <c r="D1787" s="34" t="n">
        <v>84.71</v>
      </c>
      <c r="E1787" s="34" t="n">
        <v>74.15</v>
      </c>
      <c r="F1787" s="34" t="n">
        <v>-62.96</v>
      </c>
      <c r="G1787" s="34" t="n">
        <v>-17.12</v>
      </c>
      <c r="H1787" s="34" t="n">
        <v>19.51</v>
      </c>
      <c r="I1787" s="34" t="n">
        <v>43.7</v>
      </c>
      <c r="J1787" s="34" t="n">
        <v>1.88</v>
      </c>
      <c r="K1787" s="34" t="n">
        <v>54.19</v>
      </c>
      <c r="L1787" s="34" t="n">
        <f aca="false">AVERAGE(C1787:E1787)</f>
        <v>75.1766666666667</v>
      </c>
      <c r="M1787" s="34" t="n">
        <f aca="false">AVERAGE(C1787:J1787)</f>
        <v>26.3175</v>
      </c>
    </row>
    <row r="1788" customFormat="false" ht="15" hidden="false" customHeight="true" outlineLevel="0" collapsed="false">
      <c r="A1788" s="34" t="s">
        <v>1960</v>
      </c>
      <c r="B1788" s="34" t="n">
        <v>52.1</v>
      </c>
      <c r="C1788" s="34" t="n">
        <v>66.67</v>
      </c>
      <c r="D1788" s="34" t="n">
        <v>90.4</v>
      </c>
      <c r="E1788" s="34" t="n">
        <v>86.87</v>
      </c>
      <c r="F1788" s="34" t="n">
        <v>12.47</v>
      </c>
      <c r="G1788" s="34" t="n">
        <v>-48.76</v>
      </c>
      <c r="H1788" s="34" t="n">
        <v>3.05</v>
      </c>
      <c r="I1788" s="34" t="n">
        <v>40.12</v>
      </c>
      <c r="J1788" s="34" t="n">
        <v>48.28</v>
      </c>
      <c r="K1788" s="34" t="n">
        <v>52.51</v>
      </c>
      <c r="L1788" s="34" t="n">
        <f aca="false">AVERAGE(C1788:E1788)</f>
        <v>81.3133333333333</v>
      </c>
      <c r="M1788" s="34" t="n">
        <f aca="false">AVERAGE(C1788:J1788)</f>
        <v>37.3875</v>
      </c>
    </row>
    <row r="1789" customFormat="false" ht="15" hidden="false" customHeight="true" outlineLevel="0" collapsed="false">
      <c r="A1789" s="34" t="s">
        <v>1961</v>
      </c>
      <c r="B1789" s="34" t="n">
        <v>52.09</v>
      </c>
      <c r="C1789" s="34" t="n">
        <v>-66.67</v>
      </c>
      <c r="D1789" s="34" t="n">
        <v>25.24</v>
      </c>
      <c r="E1789" s="34" t="n">
        <v>96.18</v>
      </c>
      <c r="F1789" s="34" t="n">
        <v>-21.55</v>
      </c>
      <c r="G1789" s="34" t="n">
        <v>-17.41</v>
      </c>
      <c r="H1789" s="34" t="n">
        <v>37.21</v>
      </c>
      <c r="I1789" s="34" t="n">
        <v>55.83</v>
      </c>
      <c r="J1789" s="34" t="n">
        <v>60.92</v>
      </c>
      <c r="K1789" s="34" t="n">
        <v>53.12</v>
      </c>
      <c r="L1789" s="34" t="n">
        <f aca="false">AVERAGE(C1789:E1789)</f>
        <v>18.25</v>
      </c>
      <c r="M1789" s="34" t="n">
        <f aca="false">AVERAGE(C1789:J1789)</f>
        <v>21.21875</v>
      </c>
    </row>
    <row r="1790" customFormat="false" ht="15" hidden="false" customHeight="true" outlineLevel="0" collapsed="false">
      <c r="A1790" s="34" t="s">
        <v>1962</v>
      </c>
      <c r="B1790" s="34" t="n">
        <v>51.94</v>
      </c>
      <c r="C1790" s="34" t="n">
        <v>66.67</v>
      </c>
      <c r="D1790" s="34" t="n">
        <v>96.94</v>
      </c>
      <c r="E1790" s="34" t="n">
        <v>2.5</v>
      </c>
      <c r="F1790" s="34" t="n">
        <v>85.62</v>
      </c>
      <c r="G1790" s="34" t="n">
        <v>66.81</v>
      </c>
      <c r="H1790" s="34" t="n">
        <v>86.8</v>
      </c>
      <c r="I1790" s="34" t="n">
        <v>100.46</v>
      </c>
      <c r="J1790" s="34" t="n">
        <v>8.16</v>
      </c>
      <c r="K1790" s="34" t="n">
        <v>45.79</v>
      </c>
      <c r="L1790" s="34" t="n">
        <f aca="false">AVERAGE(C1790:E1790)</f>
        <v>55.37</v>
      </c>
      <c r="M1790" s="34" t="n">
        <f aca="false">AVERAGE(C1790:J1790)</f>
        <v>64.245</v>
      </c>
    </row>
    <row r="1791" customFormat="false" ht="15" hidden="false" customHeight="true" outlineLevel="0" collapsed="false">
      <c r="A1791" s="34" t="s">
        <v>1963</v>
      </c>
      <c r="B1791" s="34" t="n">
        <v>51.9</v>
      </c>
      <c r="C1791" s="34" t="n">
        <v>66.67</v>
      </c>
      <c r="D1791" s="34" t="n">
        <v>117.01</v>
      </c>
      <c r="E1791" s="34" t="n">
        <v>174.2</v>
      </c>
      <c r="F1791" s="34" t="n">
        <v>101.23</v>
      </c>
      <c r="G1791" s="34" t="n">
        <v>-10.64</v>
      </c>
      <c r="H1791" s="34" t="n">
        <v>8.81</v>
      </c>
      <c r="I1791" s="34" t="n">
        <v>27.84</v>
      </c>
      <c r="J1791" s="34" t="n">
        <v>28.17</v>
      </c>
      <c r="K1791" s="34" t="n">
        <v>45.53</v>
      </c>
      <c r="L1791" s="34" t="n">
        <f aca="false">AVERAGE(C1791:E1791)</f>
        <v>119.293333333333</v>
      </c>
      <c r="M1791" s="34" t="n">
        <f aca="false">AVERAGE(C1791:J1791)</f>
        <v>64.16125</v>
      </c>
    </row>
    <row r="1792" customFormat="false" ht="15" hidden="false" customHeight="true" outlineLevel="0" collapsed="false">
      <c r="A1792" s="34" t="s">
        <v>1964</v>
      </c>
      <c r="B1792" s="34" t="n">
        <v>51.62</v>
      </c>
      <c r="C1792" s="34" t="n">
        <v>66.67</v>
      </c>
      <c r="D1792" s="34" t="n">
        <v>28.87</v>
      </c>
      <c r="E1792" s="34" t="n">
        <v>-72.75</v>
      </c>
      <c r="F1792" s="34" t="n">
        <v>50.02</v>
      </c>
      <c r="G1792" s="34" t="n">
        <v>97.22</v>
      </c>
      <c r="H1792" s="34" t="n">
        <v>90.32</v>
      </c>
      <c r="I1792" s="34" t="n">
        <v>93.05</v>
      </c>
      <c r="J1792" s="34" t="n">
        <v>108.55</v>
      </c>
      <c r="K1792" s="34" t="n">
        <v>55.07</v>
      </c>
      <c r="L1792" s="34" t="n">
        <f aca="false">AVERAGE(C1792:E1792)</f>
        <v>7.59666666666667</v>
      </c>
      <c r="M1792" s="34" t="n">
        <f aca="false">AVERAGE(C1792:J1792)</f>
        <v>57.74375</v>
      </c>
    </row>
    <row r="1793" customFormat="false" ht="15" hidden="false" customHeight="true" outlineLevel="0" collapsed="false">
      <c r="A1793" s="34" t="s">
        <v>1965</v>
      </c>
      <c r="B1793" s="34" t="n">
        <v>51.51</v>
      </c>
      <c r="C1793" s="34" t="n">
        <v>-66.67</v>
      </c>
      <c r="D1793" s="34" t="n">
        <v>-133.33</v>
      </c>
      <c r="E1793" s="34" t="n">
        <v>-25.63</v>
      </c>
      <c r="F1793" s="34" t="n">
        <v>-66.94</v>
      </c>
      <c r="G1793" s="34" t="n">
        <v>32.7</v>
      </c>
      <c r="H1793" s="34" t="n">
        <v>64.58</v>
      </c>
      <c r="I1793" s="34" t="n">
        <v>88.27</v>
      </c>
      <c r="J1793" s="34" t="n">
        <v>81.71</v>
      </c>
      <c r="K1793" s="34" t="n">
        <v>56.9</v>
      </c>
      <c r="L1793" s="34" t="n">
        <f aca="false">AVERAGE(C1793:E1793)</f>
        <v>-75.21</v>
      </c>
      <c r="M1793" s="34" t="n">
        <f aca="false">AVERAGE(C1793:J1793)</f>
        <v>-3.16375</v>
      </c>
    </row>
    <row r="1794" customFormat="false" ht="15" hidden="false" customHeight="true" outlineLevel="0" collapsed="false">
      <c r="A1794" s="34" t="s">
        <v>1966</v>
      </c>
      <c r="B1794" s="34" t="n">
        <v>51.41</v>
      </c>
      <c r="C1794" s="34" t="n">
        <v>66.67</v>
      </c>
      <c r="D1794" s="34" t="n">
        <v>67.68</v>
      </c>
      <c r="E1794" s="34" t="n">
        <v>91.09</v>
      </c>
      <c r="F1794" s="34" t="n">
        <v>105.84</v>
      </c>
      <c r="G1794" s="34" t="n">
        <v>132.04</v>
      </c>
      <c r="H1794" s="34" t="n">
        <v>159.49</v>
      </c>
      <c r="I1794" s="34" t="n">
        <v>99.78</v>
      </c>
      <c r="J1794" s="34" t="n">
        <v>6.21</v>
      </c>
      <c r="K1794" s="34" t="n">
        <v>47.49</v>
      </c>
      <c r="L1794" s="34" t="n">
        <f aca="false">AVERAGE(C1794:E1794)</f>
        <v>75.1466666666667</v>
      </c>
      <c r="M1794" s="34" t="n">
        <f aca="false">AVERAGE(C1794:J1794)</f>
        <v>91.1</v>
      </c>
    </row>
    <row r="1795" customFormat="false" ht="15" hidden="false" customHeight="true" outlineLevel="0" collapsed="false">
      <c r="A1795" s="34" t="s">
        <v>1967</v>
      </c>
      <c r="B1795" s="34" t="n">
        <v>51.3</v>
      </c>
      <c r="C1795" s="34" t="n">
        <v>66.67</v>
      </c>
      <c r="D1795" s="34" t="n">
        <v>88.07</v>
      </c>
      <c r="E1795" s="34" t="n">
        <v>89.17</v>
      </c>
      <c r="F1795" s="34" t="n">
        <v>-19.81</v>
      </c>
      <c r="G1795" s="34"/>
      <c r="H1795" s="34"/>
      <c r="I1795" s="34"/>
      <c r="J1795" s="34"/>
      <c r="K1795" s="34" t="n">
        <v>52.07</v>
      </c>
      <c r="L1795" s="34" t="n">
        <f aca="false">AVERAGE(C1795:E1795)</f>
        <v>81.3033333333333</v>
      </c>
      <c r="M1795" s="34" t="n">
        <f aca="false">AVERAGE(C1795:J1795)</f>
        <v>56.025</v>
      </c>
    </row>
    <row r="1796" customFormat="false" ht="15" hidden="false" customHeight="true" outlineLevel="0" collapsed="false">
      <c r="A1796" s="34" t="s">
        <v>1968</v>
      </c>
      <c r="B1796" s="34" t="n">
        <v>51.19</v>
      </c>
      <c r="C1796" s="34" t="n">
        <v>-66.67</v>
      </c>
      <c r="D1796" s="34" t="n">
        <v>-115.29</v>
      </c>
      <c r="E1796" s="34" t="n">
        <v>-97.87</v>
      </c>
      <c r="F1796" s="34" t="n">
        <v>-121.28</v>
      </c>
      <c r="G1796" s="34" t="n">
        <v>-196.26</v>
      </c>
      <c r="H1796" s="34" t="n">
        <v>-155.3</v>
      </c>
      <c r="I1796" s="34" t="n">
        <v>-115.89</v>
      </c>
      <c r="J1796" s="34" t="n">
        <v>-105.79</v>
      </c>
      <c r="K1796" s="34" t="n">
        <v>54.98</v>
      </c>
      <c r="L1796" s="34" t="n">
        <f aca="false">AVERAGE(C1796:E1796)</f>
        <v>-93.2766666666667</v>
      </c>
      <c r="M1796" s="34" t="n">
        <f aca="false">AVERAGE(C1796:J1796)</f>
        <v>-121.79375</v>
      </c>
    </row>
    <row r="1797" customFormat="false" ht="15" hidden="false" customHeight="true" outlineLevel="0" collapsed="false">
      <c r="A1797" s="34" t="s">
        <v>1969</v>
      </c>
      <c r="B1797" s="34" t="n">
        <v>51.05</v>
      </c>
      <c r="C1797" s="34" t="n">
        <v>66.67</v>
      </c>
      <c r="D1797" s="34" t="n">
        <v>133.33</v>
      </c>
      <c r="E1797" s="34" t="n">
        <v>276.58</v>
      </c>
      <c r="F1797" s="34" t="n">
        <v>83.43</v>
      </c>
      <c r="G1797" s="34" t="n">
        <v>94.64</v>
      </c>
      <c r="H1797" s="34" t="n">
        <v>90.46</v>
      </c>
      <c r="I1797" s="34" t="n">
        <v>81.44</v>
      </c>
      <c r="J1797" s="34" t="n">
        <v>46.39</v>
      </c>
      <c r="K1797" s="34" t="n">
        <v>53.95</v>
      </c>
      <c r="L1797" s="34" t="n">
        <f aca="false">AVERAGE(C1797:E1797)</f>
        <v>158.86</v>
      </c>
      <c r="M1797" s="34" t="n">
        <f aca="false">AVERAGE(C1797:J1797)</f>
        <v>109.1175</v>
      </c>
    </row>
    <row r="1798" customFormat="false" ht="15" hidden="false" customHeight="true" outlineLevel="0" collapsed="false">
      <c r="A1798" s="34" t="s">
        <v>1970</v>
      </c>
      <c r="B1798" s="34" t="n">
        <v>50.79</v>
      </c>
      <c r="C1798" s="34" t="n">
        <v>-66.67</v>
      </c>
      <c r="D1798" s="34" t="n">
        <v>23.32</v>
      </c>
      <c r="E1798" s="34" t="n">
        <v>99.29</v>
      </c>
      <c r="F1798" s="34" t="n">
        <v>66.33</v>
      </c>
      <c r="G1798" s="34" t="n">
        <v>88.24</v>
      </c>
      <c r="H1798" s="34" t="n">
        <v>96.63</v>
      </c>
      <c r="I1798" s="34" t="n">
        <v>119.57</v>
      </c>
      <c r="J1798" s="34" t="n">
        <v>74.37</v>
      </c>
      <c r="K1798" s="34" t="n">
        <v>47.2</v>
      </c>
      <c r="L1798" s="34" t="n">
        <f aca="false">AVERAGE(C1798:E1798)</f>
        <v>18.6466666666667</v>
      </c>
      <c r="M1798" s="34" t="n">
        <f aca="false">AVERAGE(C1798:J1798)</f>
        <v>62.635</v>
      </c>
    </row>
    <row r="1799" customFormat="false" ht="15" hidden="false" customHeight="true" outlineLevel="0" collapsed="false">
      <c r="A1799" s="34" t="s">
        <v>1971</v>
      </c>
      <c r="B1799" s="34" t="n">
        <v>50.6</v>
      </c>
      <c r="C1799" s="34" t="n">
        <v>-66.67</v>
      </c>
      <c r="D1799" s="34" t="n">
        <v>-92.06</v>
      </c>
      <c r="E1799" s="34" t="n">
        <v>-86.59</v>
      </c>
      <c r="F1799" s="34" t="n">
        <v>-88.58</v>
      </c>
      <c r="G1799" s="34" t="n">
        <v>-131.33</v>
      </c>
      <c r="H1799" s="34" t="n">
        <v>-70.69</v>
      </c>
      <c r="I1799" s="34" t="n">
        <v>-48.63</v>
      </c>
      <c r="J1799" s="34" t="n">
        <v>-61.56</v>
      </c>
      <c r="K1799" s="34" t="n">
        <v>54.22</v>
      </c>
      <c r="L1799" s="34" t="n">
        <f aca="false">AVERAGE(C1799:E1799)</f>
        <v>-81.7733333333333</v>
      </c>
      <c r="M1799" s="34" t="n">
        <f aca="false">AVERAGE(C1799:J1799)</f>
        <v>-80.76375</v>
      </c>
    </row>
    <row r="1800" customFormat="false" ht="15" hidden="false" customHeight="true" outlineLevel="0" collapsed="false">
      <c r="A1800" s="34" t="s">
        <v>1972</v>
      </c>
      <c r="B1800" s="34" t="n">
        <v>50.27</v>
      </c>
      <c r="C1800" s="34" t="n">
        <v>66.67</v>
      </c>
      <c r="D1800" s="34" t="n">
        <v>120.19</v>
      </c>
      <c r="E1800" s="34" t="n">
        <v>117.88</v>
      </c>
      <c r="F1800" s="34" t="n">
        <v>-38.99</v>
      </c>
      <c r="G1800" s="34" t="n">
        <v>-81.55</v>
      </c>
      <c r="H1800" s="34" t="n">
        <v>-100.62</v>
      </c>
      <c r="I1800" s="34" t="n">
        <v>-114.72</v>
      </c>
      <c r="J1800" s="34" t="n">
        <v>-105.54</v>
      </c>
      <c r="K1800" s="34" t="n">
        <v>44.44</v>
      </c>
      <c r="L1800" s="34" t="n">
        <f aca="false">AVERAGE(C1800:E1800)</f>
        <v>101.58</v>
      </c>
      <c r="M1800" s="34" t="n">
        <f aca="false">AVERAGE(C1800:J1800)</f>
        <v>-17.085</v>
      </c>
    </row>
    <row r="1801" customFormat="false" ht="15" hidden="false" customHeight="true" outlineLevel="0" collapsed="false">
      <c r="A1801" s="34" t="s">
        <v>1973</v>
      </c>
      <c r="B1801" s="34" t="n">
        <v>49.8</v>
      </c>
      <c r="C1801" s="34" t="n">
        <v>-66.67</v>
      </c>
      <c r="D1801" s="34" t="n">
        <v>-56.07</v>
      </c>
      <c r="E1801" s="34" t="n">
        <v>31.58</v>
      </c>
      <c r="F1801" s="34" t="n">
        <v>-63.94</v>
      </c>
      <c r="G1801" s="34" t="n">
        <v>-96.85</v>
      </c>
      <c r="H1801" s="34" t="n">
        <v>-109.1</v>
      </c>
      <c r="I1801" s="34" t="n">
        <v>-81.6</v>
      </c>
      <c r="J1801" s="34" t="n">
        <v>-86.21</v>
      </c>
      <c r="K1801" s="34" t="n">
        <v>52.04</v>
      </c>
      <c r="L1801" s="34" t="n">
        <f aca="false">AVERAGE(C1801:E1801)</f>
        <v>-30.3866666666667</v>
      </c>
      <c r="M1801" s="34" t="n">
        <f aca="false">AVERAGE(C1801:J1801)</f>
        <v>-66.1075</v>
      </c>
    </row>
    <row r="1802" customFormat="false" ht="15" hidden="false" customHeight="true" outlineLevel="0" collapsed="false">
      <c r="A1802" s="34" t="s">
        <v>1974</v>
      </c>
      <c r="B1802" s="34" t="n">
        <v>49.75</v>
      </c>
      <c r="C1802" s="34" t="n">
        <v>66.67</v>
      </c>
      <c r="D1802" s="34" t="n">
        <v>81.76</v>
      </c>
      <c r="E1802" s="34" t="n">
        <v>62.74</v>
      </c>
      <c r="F1802" s="34" t="n">
        <v>103.91</v>
      </c>
      <c r="G1802" s="34" t="n">
        <v>139.44</v>
      </c>
      <c r="H1802" s="34" t="n">
        <v>107.19</v>
      </c>
      <c r="I1802" s="34"/>
      <c r="J1802" s="34"/>
      <c r="K1802" s="34" t="n">
        <v>47.78</v>
      </c>
      <c r="L1802" s="34" t="n">
        <f aca="false">AVERAGE(C1802:E1802)</f>
        <v>70.39</v>
      </c>
      <c r="M1802" s="34" t="n">
        <f aca="false">AVERAGE(C1802:J1802)</f>
        <v>93.6183333333333</v>
      </c>
    </row>
    <row r="1803" customFormat="false" ht="15" hidden="false" customHeight="true" outlineLevel="0" collapsed="false">
      <c r="A1803" s="34" t="s">
        <v>1975</v>
      </c>
      <c r="B1803" s="34" t="n">
        <v>49.67</v>
      </c>
      <c r="C1803" s="34" t="n">
        <v>-66.67</v>
      </c>
      <c r="D1803" s="34" t="n">
        <v>-108.91</v>
      </c>
      <c r="E1803" s="34" t="n">
        <v>39.22</v>
      </c>
      <c r="F1803" s="34" t="n">
        <v>-49.63</v>
      </c>
      <c r="G1803" s="34" t="n">
        <v>-99.02</v>
      </c>
      <c r="H1803" s="34" t="n">
        <v>-52.54</v>
      </c>
      <c r="I1803" s="34" t="n">
        <v>-13.28</v>
      </c>
      <c r="J1803" s="34" t="n">
        <v>-32.26</v>
      </c>
      <c r="K1803" s="34" t="n">
        <v>51.6</v>
      </c>
      <c r="L1803" s="34" t="n">
        <f aca="false">AVERAGE(C1803:E1803)</f>
        <v>-45.4533333333333</v>
      </c>
      <c r="M1803" s="34" t="n">
        <f aca="false">AVERAGE(C1803:J1803)</f>
        <v>-47.88625</v>
      </c>
    </row>
    <row r="1804" customFormat="false" ht="15" hidden="false" customHeight="true" outlineLevel="0" collapsed="false">
      <c r="A1804" s="34" t="s">
        <v>1976</v>
      </c>
      <c r="B1804" s="34" t="n">
        <v>49.64</v>
      </c>
      <c r="C1804" s="34" t="n">
        <v>-66.67</v>
      </c>
      <c r="D1804" s="34" t="n">
        <v>-79.29</v>
      </c>
      <c r="E1804" s="34" t="n">
        <v>28.44</v>
      </c>
      <c r="F1804" s="34" t="n">
        <v>-35.79</v>
      </c>
      <c r="G1804" s="34" t="n">
        <v>-84.18</v>
      </c>
      <c r="H1804" s="34" t="n">
        <v>-95.99</v>
      </c>
      <c r="I1804" s="34" t="n">
        <v>-114.29</v>
      </c>
      <c r="J1804" s="34" t="n">
        <v>-108.18</v>
      </c>
      <c r="K1804" s="34" t="n">
        <v>47.12</v>
      </c>
      <c r="L1804" s="34" t="n">
        <f aca="false">AVERAGE(C1804:E1804)</f>
        <v>-39.1733333333333</v>
      </c>
      <c r="M1804" s="34" t="n">
        <f aca="false">AVERAGE(C1804:J1804)</f>
        <v>-69.49375</v>
      </c>
    </row>
    <row r="1805" customFormat="false" ht="15" hidden="false" customHeight="true" outlineLevel="0" collapsed="false">
      <c r="A1805" s="34" t="s">
        <v>1977</v>
      </c>
      <c r="B1805" s="34" t="n">
        <v>49.55</v>
      </c>
      <c r="C1805" s="34" t="n">
        <v>66.67</v>
      </c>
      <c r="D1805" s="34" t="n">
        <v>117.73</v>
      </c>
      <c r="E1805" s="34" t="n">
        <v>171.48</v>
      </c>
      <c r="F1805" s="34" t="n">
        <v>31.7</v>
      </c>
      <c r="G1805" s="34" t="n">
        <v>-28.81</v>
      </c>
      <c r="H1805" s="34" t="n">
        <v>16.98</v>
      </c>
      <c r="I1805" s="34" t="n">
        <v>39.41</v>
      </c>
      <c r="J1805" s="34" t="n">
        <v>39.28</v>
      </c>
      <c r="K1805" s="34" t="n">
        <v>43.15</v>
      </c>
      <c r="L1805" s="34" t="n">
        <f aca="false">AVERAGE(C1805:E1805)</f>
        <v>118.626666666667</v>
      </c>
      <c r="M1805" s="34" t="n">
        <f aca="false">AVERAGE(C1805:J1805)</f>
        <v>56.805</v>
      </c>
    </row>
    <row r="1806" customFormat="false" ht="15" hidden="false" customHeight="true" outlineLevel="0" collapsed="false">
      <c r="A1806" s="34" t="s">
        <v>1978</v>
      </c>
      <c r="B1806" s="34" t="n">
        <v>49.5</v>
      </c>
      <c r="C1806" s="34" t="n">
        <v>-66.67</v>
      </c>
      <c r="D1806" s="34" t="n">
        <v>53.4</v>
      </c>
      <c r="E1806" s="34" t="n">
        <v>-48.8</v>
      </c>
      <c r="F1806" s="34" t="n">
        <v>-116.45</v>
      </c>
      <c r="G1806" s="34" t="n">
        <v>-130.81</v>
      </c>
      <c r="H1806" s="34" t="n">
        <v>-143.48</v>
      </c>
      <c r="I1806" s="34" t="n">
        <v>-166.69</v>
      </c>
      <c r="J1806" s="34" t="n">
        <v>-188.22</v>
      </c>
      <c r="K1806" s="34" t="n">
        <v>52.92</v>
      </c>
      <c r="L1806" s="34" t="n">
        <f aca="false">AVERAGE(C1806:E1806)</f>
        <v>-20.69</v>
      </c>
      <c r="M1806" s="34" t="n">
        <f aca="false">AVERAGE(C1806:J1806)</f>
        <v>-100.965</v>
      </c>
    </row>
    <row r="1807" customFormat="false" ht="15" hidden="false" customHeight="true" outlineLevel="0" collapsed="false">
      <c r="A1807" s="34" t="s">
        <v>1979</v>
      </c>
      <c r="B1807" s="34" t="n">
        <v>49.4</v>
      </c>
      <c r="C1807" s="34" t="n">
        <v>-66.67</v>
      </c>
      <c r="D1807" s="34" t="n">
        <v>45.01</v>
      </c>
      <c r="E1807" s="34" t="n">
        <v>59.95</v>
      </c>
      <c r="F1807" s="34" t="n">
        <v>-37.43</v>
      </c>
      <c r="G1807" s="34" t="n">
        <v>-82.58</v>
      </c>
      <c r="H1807" s="34" t="n">
        <v>-90.05</v>
      </c>
      <c r="I1807" s="34" t="n">
        <v>-87.28</v>
      </c>
      <c r="J1807" s="34" t="n">
        <v>-96.93</v>
      </c>
      <c r="K1807" s="34" t="n">
        <v>45.02</v>
      </c>
      <c r="L1807" s="34" t="n">
        <f aca="false">AVERAGE(C1807:E1807)</f>
        <v>12.7633333333333</v>
      </c>
      <c r="M1807" s="34" t="n">
        <f aca="false">AVERAGE(C1807:J1807)</f>
        <v>-44.4975</v>
      </c>
    </row>
    <row r="1808" customFormat="false" ht="15" hidden="false" customHeight="true" outlineLevel="0" collapsed="false">
      <c r="A1808" s="34" t="s">
        <v>1980</v>
      </c>
      <c r="B1808" s="34" t="n">
        <v>49.23</v>
      </c>
      <c r="C1808" s="34" t="n">
        <v>-66.67</v>
      </c>
      <c r="D1808" s="34" t="n">
        <v>-109.03</v>
      </c>
      <c r="E1808" s="34" t="n">
        <v>-108.73</v>
      </c>
      <c r="F1808" s="34" t="n">
        <v>-148.42</v>
      </c>
      <c r="G1808" s="34" t="n">
        <v>-162.69</v>
      </c>
      <c r="H1808" s="34" t="n">
        <v>-47.44</v>
      </c>
      <c r="I1808" s="34" t="n">
        <v>-24.91</v>
      </c>
      <c r="J1808" s="34" t="n">
        <v>-27.39</v>
      </c>
      <c r="K1808" s="34" t="n">
        <v>53.86</v>
      </c>
      <c r="L1808" s="34" t="n">
        <f aca="false">AVERAGE(C1808:E1808)</f>
        <v>-94.81</v>
      </c>
      <c r="M1808" s="34" t="n">
        <f aca="false">AVERAGE(C1808:J1808)</f>
        <v>-86.91</v>
      </c>
    </row>
    <row r="1809" customFormat="false" ht="15" hidden="false" customHeight="true" outlineLevel="0" collapsed="false">
      <c r="A1809" s="34" t="s">
        <v>1981</v>
      </c>
      <c r="B1809" s="34" t="n">
        <v>49.1</v>
      </c>
      <c r="C1809" s="34" t="n">
        <v>-66.67</v>
      </c>
      <c r="D1809" s="34" t="n">
        <v>-25.23</v>
      </c>
      <c r="E1809" s="34" t="n">
        <v>66.92</v>
      </c>
      <c r="F1809" s="34" t="n">
        <v>-39.78</v>
      </c>
      <c r="G1809" s="34" t="n">
        <v>-77.02</v>
      </c>
      <c r="H1809" s="34" t="n">
        <v>8.1</v>
      </c>
      <c r="I1809" s="34" t="n">
        <v>40.92</v>
      </c>
      <c r="J1809" s="34" t="n">
        <v>48.87</v>
      </c>
      <c r="K1809" s="34" t="n">
        <v>50.09</v>
      </c>
      <c r="L1809" s="34" t="n">
        <f aca="false">AVERAGE(C1809:E1809)</f>
        <v>-8.32666666666667</v>
      </c>
      <c r="M1809" s="34" t="n">
        <f aca="false">AVERAGE(C1809:J1809)</f>
        <v>-5.48625</v>
      </c>
    </row>
    <row r="1810" customFormat="false" ht="15" hidden="false" customHeight="true" outlineLevel="0" collapsed="false">
      <c r="A1810" s="34" t="s">
        <v>1982</v>
      </c>
      <c r="B1810" s="34" t="n">
        <v>49.03</v>
      </c>
      <c r="C1810" s="34" t="n">
        <v>-66.67</v>
      </c>
      <c r="D1810" s="34" t="n">
        <v>-26.89</v>
      </c>
      <c r="E1810" s="34" t="n">
        <v>70.75</v>
      </c>
      <c r="F1810" s="34" t="n">
        <v>-79.19</v>
      </c>
      <c r="G1810" s="34" t="n">
        <v>-149.34</v>
      </c>
      <c r="H1810" s="34" t="n">
        <v>-171.31</v>
      </c>
      <c r="I1810" s="34" t="n">
        <v>-83.71</v>
      </c>
      <c r="J1810" s="34" t="n">
        <v>-91.91</v>
      </c>
      <c r="K1810" s="34" t="n">
        <v>52.04</v>
      </c>
      <c r="L1810" s="34" t="n">
        <f aca="false">AVERAGE(C1810:E1810)</f>
        <v>-7.60333333333333</v>
      </c>
      <c r="M1810" s="34" t="n">
        <f aca="false">AVERAGE(C1810:J1810)</f>
        <v>-74.78375</v>
      </c>
    </row>
    <row r="1811" customFormat="false" ht="15" hidden="false" customHeight="true" outlineLevel="0" collapsed="false">
      <c r="A1811" s="34" t="s">
        <v>1983</v>
      </c>
      <c r="B1811" s="34" t="n">
        <v>48.99</v>
      </c>
      <c r="C1811" s="34" t="n">
        <v>66.67</v>
      </c>
      <c r="D1811" s="34" t="n">
        <v>-53.19</v>
      </c>
      <c r="E1811" s="34" t="n">
        <v>-52.53</v>
      </c>
      <c r="F1811" s="34" t="n">
        <v>8.37</v>
      </c>
      <c r="G1811" s="34" t="n">
        <v>-59.43</v>
      </c>
      <c r="H1811" s="34" t="n">
        <v>2.24</v>
      </c>
      <c r="I1811" s="34" t="n">
        <v>32.14</v>
      </c>
      <c r="J1811" s="34" t="n">
        <v>22.6</v>
      </c>
      <c r="K1811" s="34" t="n">
        <v>43.13</v>
      </c>
      <c r="L1811" s="34" t="n">
        <f aca="false">AVERAGE(C1811:E1811)</f>
        <v>-13.0166666666667</v>
      </c>
      <c r="M1811" s="34" t="n">
        <f aca="false">AVERAGE(C1811:J1811)</f>
        <v>-4.14125</v>
      </c>
    </row>
    <row r="1812" customFormat="false" ht="15" hidden="false" customHeight="true" outlineLevel="0" collapsed="false">
      <c r="A1812" s="34" t="s">
        <v>583</v>
      </c>
      <c r="B1812" s="34" t="n">
        <v>48.91</v>
      </c>
      <c r="C1812" s="34" t="n">
        <v>-66.67</v>
      </c>
      <c r="D1812" s="34" t="n">
        <v>60.31</v>
      </c>
      <c r="E1812" s="34" t="n">
        <v>129.03</v>
      </c>
      <c r="F1812" s="34" t="n">
        <v>-35.63</v>
      </c>
      <c r="G1812" s="34" t="n">
        <v>-88.09</v>
      </c>
      <c r="H1812" s="34" t="n">
        <v>-33.72</v>
      </c>
      <c r="I1812" s="34" t="n">
        <v>-4.48</v>
      </c>
      <c r="J1812" s="34" t="n">
        <v>9.92</v>
      </c>
      <c r="K1812" s="34" t="n">
        <v>44.52</v>
      </c>
      <c r="L1812" s="34" t="n">
        <f aca="false">AVERAGE(C1812:E1812)</f>
        <v>40.89</v>
      </c>
      <c r="M1812" s="34" t="n">
        <f aca="false">AVERAGE(C1812:J1812)</f>
        <v>-3.66625</v>
      </c>
    </row>
    <row r="1813" customFormat="false" ht="15" hidden="false" customHeight="true" outlineLevel="0" collapsed="false">
      <c r="A1813" s="34" t="s">
        <v>1984</v>
      </c>
      <c r="B1813" s="34" t="n">
        <v>48.9</v>
      </c>
      <c r="C1813" s="34" t="n">
        <v>-66.67</v>
      </c>
      <c r="D1813" s="34" t="n">
        <v>28.36</v>
      </c>
      <c r="E1813" s="34" t="n">
        <v>29.08</v>
      </c>
      <c r="F1813" s="34" t="n">
        <v>-69.45</v>
      </c>
      <c r="G1813" s="34" t="n">
        <v>-103.36</v>
      </c>
      <c r="H1813" s="34" t="n">
        <v>-116.14</v>
      </c>
      <c r="I1813" s="34" t="n">
        <v>-112.02</v>
      </c>
      <c r="J1813" s="34" t="n">
        <v>-107.42</v>
      </c>
      <c r="K1813" s="34" t="n">
        <v>52.53</v>
      </c>
      <c r="L1813" s="34" t="n">
        <f aca="false">AVERAGE(C1813:E1813)</f>
        <v>-3.07666666666667</v>
      </c>
      <c r="M1813" s="34" t="n">
        <f aca="false">AVERAGE(C1813:J1813)</f>
        <v>-64.7025</v>
      </c>
    </row>
    <row r="1814" customFormat="false" ht="15" hidden="false" customHeight="true" outlineLevel="0" collapsed="false">
      <c r="A1814" s="34" t="s">
        <v>1985</v>
      </c>
      <c r="B1814" s="34" t="n">
        <v>48.89</v>
      </c>
      <c r="C1814" s="34" t="n">
        <v>-66.67</v>
      </c>
      <c r="D1814" s="34" t="n">
        <v>-133.33</v>
      </c>
      <c r="E1814" s="34" t="n">
        <v>-183.23</v>
      </c>
      <c r="F1814" s="34" t="n">
        <v>-121.97</v>
      </c>
      <c r="G1814" s="34" t="n">
        <v>-120.23</v>
      </c>
      <c r="H1814" s="34" t="n">
        <v>-125.99</v>
      </c>
      <c r="I1814" s="34" t="n">
        <v>-52.52</v>
      </c>
      <c r="J1814" s="34" t="n">
        <v>-33.36</v>
      </c>
      <c r="K1814" s="34" t="n">
        <v>47.96</v>
      </c>
      <c r="L1814" s="34" t="n">
        <f aca="false">AVERAGE(C1814:E1814)</f>
        <v>-127.743333333333</v>
      </c>
      <c r="M1814" s="34" t="n">
        <f aca="false">AVERAGE(C1814:J1814)</f>
        <v>-104.6625</v>
      </c>
    </row>
    <row r="1815" customFormat="false" ht="15" hidden="false" customHeight="true" outlineLevel="0" collapsed="false">
      <c r="A1815" s="34" t="s">
        <v>1986</v>
      </c>
      <c r="B1815" s="34" t="n">
        <v>48.6</v>
      </c>
      <c r="C1815" s="34" t="n">
        <v>-66.67</v>
      </c>
      <c r="D1815" s="34" t="n">
        <v>31.2</v>
      </c>
      <c r="E1815" s="34" t="n">
        <v>-46.18</v>
      </c>
      <c r="F1815" s="34" t="n">
        <v>-112.77</v>
      </c>
      <c r="G1815" s="34" t="n">
        <v>-170.66</v>
      </c>
      <c r="H1815" s="34" t="n">
        <v>-136.55</v>
      </c>
      <c r="I1815" s="34" t="n">
        <v>-122.45</v>
      </c>
      <c r="J1815" s="34" t="n">
        <v>-108</v>
      </c>
      <c r="K1815" s="34" t="n">
        <v>51.53</v>
      </c>
      <c r="L1815" s="34" t="n">
        <f aca="false">AVERAGE(C1815:E1815)</f>
        <v>-27.2166666666667</v>
      </c>
      <c r="M1815" s="34" t="n">
        <f aca="false">AVERAGE(C1815:J1815)</f>
        <v>-91.51</v>
      </c>
    </row>
    <row r="1816" customFormat="false" ht="15" hidden="false" customHeight="true" outlineLevel="0" collapsed="false">
      <c r="A1816" s="34" t="s">
        <v>1987</v>
      </c>
      <c r="B1816" s="34" t="n">
        <v>48.54</v>
      </c>
      <c r="C1816" s="34" t="n">
        <v>-66.67</v>
      </c>
      <c r="D1816" s="34" t="n">
        <v>32.24</v>
      </c>
      <c r="E1816" s="34" t="n">
        <v>89.73</v>
      </c>
      <c r="F1816" s="34" t="n">
        <v>-35.77</v>
      </c>
      <c r="G1816" s="34" t="n">
        <v>-84.06</v>
      </c>
      <c r="H1816" s="34" t="n">
        <v>-17.48</v>
      </c>
      <c r="I1816" s="34" t="n">
        <v>28.43</v>
      </c>
      <c r="J1816" s="34" t="n">
        <v>38.22</v>
      </c>
      <c r="K1816" s="34" t="n">
        <v>49.49</v>
      </c>
      <c r="L1816" s="34" t="n">
        <f aca="false">AVERAGE(C1816:E1816)</f>
        <v>18.4333333333333</v>
      </c>
      <c r="M1816" s="34" t="n">
        <f aca="false">AVERAGE(C1816:J1816)</f>
        <v>-1.92</v>
      </c>
    </row>
    <row r="1817" customFormat="false" ht="15" hidden="false" customHeight="true" outlineLevel="0" collapsed="false">
      <c r="A1817" s="34" t="s">
        <v>1988</v>
      </c>
      <c r="B1817" s="34" t="n">
        <v>48.1</v>
      </c>
      <c r="C1817" s="34" t="n">
        <v>-66.67</v>
      </c>
      <c r="D1817" s="34" t="n">
        <v>-92.76</v>
      </c>
      <c r="E1817" s="34" t="n">
        <v>-11.65</v>
      </c>
      <c r="F1817" s="34" t="n">
        <v>-25.94</v>
      </c>
      <c r="G1817" s="34" t="n">
        <v>-65.49</v>
      </c>
      <c r="H1817" s="34" t="n">
        <v>27.23</v>
      </c>
      <c r="I1817" s="34" t="n">
        <v>46.6</v>
      </c>
      <c r="J1817" s="34" t="n">
        <v>48.07</v>
      </c>
      <c r="K1817" s="34" t="n">
        <v>46.88</v>
      </c>
      <c r="L1817" s="34" t="n">
        <f aca="false">AVERAGE(C1817:E1817)</f>
        <v>-57.0266666666667</v>
      </c>
      <c r="M1817" s="34" t="n">
        <f aca="false">AVERAGE(C1817:J1817)</f>
        <v>-17.57625</v>
      </c>
    </row>
    <row r="1818" customFormat="false" ht="15" hidden="false" customHeight="true" outlineLevel="0" collapsed="false">
      <c r="A1818" s="34" t="s">
        <v>1989</v>
      </c>
      <c r="B1818" s="34" t="n">
        <v>48.1</v>
      </c>
      <c r="C1818" s="34" t="n">
        <v>-66.67</v>
      </c>
      <c r="D1818" s="34" t="n">
        <v>-109.52</v>
      </c>
      <c r="E1818" s="34" t="n">
        <v>-78.7</v>
      </c>
      <c r="F1818" s="34" t="n">
        <v>-53.71</v>
      </c>
      <c r="G1818" s="34" t="n">
        <v>-10.88</v>
      </c>
      <c r="H1818" s="34" t="n">
        <v>42.17</v>
      </c>
      <c r="I1818" s="34" t="n">
        <v>61.52</v>
      </c>
      <c r="J1818" s="34" t="n">
        <v>76.72</v>
      </c>
      <c r="K1818" s="34" t="n">
        <v>53.01</v>
      </c>
      <c r="L1818" s="34" t="n">
        <f aca="false">AVERAGE(C1818:E1818)</f>
        <v>-84.9633333333333</v>
      </c>
      <c r="M1818" s="34" t="n">
        <f aca="false">AVERAGE(C1818:J1818)</f>
        <v>-17.38375</v>
      </c>
    </row>
    <row r="1819" customFormat="false" ht="15" hidden="false" customHeight="true" outlineLevel="0" collapsed="false">
      <c r="A1819" s="34" t="s">
        <v>1990</v>
      </c>
      <c r="B1819" s="34" t="n">
        <v>48</v>
      </c>
      <c r="C1819" s="34" t="n">
        <v>66.67</v>
      </c>
      <c r="D1819" s="34" t="n">
        <v>72.96</v>
      </c>
      <c r="E1819" s="34" t="n">
        <v>29.41</v>
      </c>
      <c r="F1819" s="34" t="n">
        <v>-56.89</v>
      </c>
      <c r="G1819" s="34" t="n">
        <v>-55.81</v>
      </c>
      <c r="H1819" s="34" t="n">
        <v>-4.75</v>
      </c>
      <c r="I1819" s="34" t="n">
        <v>14.66</v>
      </c>
      <c r="J1819" s="34" t="n">
        <v>16.07</v>
      </c>
      <c r="K1819" s="34" t="n">
        <v>49.93</v>
      </c>
      <c r="L1819" s="34" t="n">
        <f aca="false">AVERAGE(C1819:E1819)</f>
        <v>56.3466666666667</v>
      </c>
      <c r="M1819" s="34" t="n">
        <f aca="false">AVERAGE(C1819:J1819)</f>
        <v>10.29</v>
      </c>
    </row>
    <row r="1820" customFormat="false" ht="15" hidden="false" customHeight="true" outlineLevel="0" collapsed="false">
      <c r="A1820" s="34" t="s">
        <v>1991</v>
      </c>
      <c r="B1820" s="34" t="n">
        <v>47.85</v>
      </c>
      <c r="C1820" s="34" t="n">
        <v>66.67</v>
      </c>
      <c r="D1820" s="34" t="n">
        <v>81.86</v>
      </c>
      <c r="E1820" s="34" t="n">
        <v>163.05</v>
      </c>
      <c r="F1820" s="34" t="n">
        <v>-53.84</v>
      </c>
      <c r="G1820" s="34" t="n">
        <v>-75.74</v>
      </c>
      <c r="H1820" s="34" t="n">
        <v>-42.46</v>
      </c>
      <c r="I1820" s="34" t="n">
        <v>-20.57</v>
      </c>
      <c r="J1820" s="34" t="n">
        <v>-30.09</v>
      </c>
      <c r="K1820" s="34" t="n">
        <v>50.04</v>
      </c>
      <c r="L1820" s="34" t="n">
        <f aca="false">AVERAGE(C1820:E1820)</f>
        <v>103.86</v>
      </c>
      <c r="M1820" s="34" t="n">
        <f aca="false">AVERAGE(C1820:J1820)</f>
        <v>11.11</v>
      </c>
    </row>
    <row r="1821" customFormat="false" ht="15" hidden="false" customHeight="true" outlineLevel="0" collapsed="false">
      <c r="A1821" s="34" t="s">
        <v>1992</v>
      </c>
      <c r="B1821" s="34" t="n">
        <v>47.19</v>
      </c>
      <c r="C1821" s="34" t="n">
        <v>-66.67</v>
      </c>
      <c r="D1821" s="34" t="n">
        <v>-11.29</v>
      </c>
      <c r="E1821" s="34" t="n">
        <v>75.93</v>
      </c>
      <c r="F1821" s="34" t="n">
        <v>182.61</v>
      </c>
      <c r="G1821" s="34" t="n">
        <v>87.5</v>
      </c>
      <c r="H1821" s="34" t="n">
        <v>26.99</v>
      </c>
      <c r="I1821" s="34" t="n">
        <v>-2.05</v>
      </c>
      <c r="J1821" s="34" t="n">
        <v>-38.29</v>
      </c>
      <c r="K1821" s="34" t="n">
        <v>45.58</v>
      </c>
      <c r="L1821" s="34" t="n">
        <f aca="false">AVERAGE(C1821:E1821)</f>
        <v>-0.676666666666662</v>
      </c>
      <c r="M1821" s="34" t="n">
        <f aca="false">AVERAGE(C1821:J1821)</f>
        <v>31.84125</v>
      </c>
    </row>
    <row r="1822" customFormat="false" ht="15" hidden="false" customHeight="true" outlineLevel="0" collapsed="false">
      <c r="A1822" s="34" t="s">
        <v>1993</v>
      </c>
      <c r="B1822" s="34" t="n">
        <v>47.09</v>
      </c>
      <c r="C1822" s="34" t="n">
        <v>66.67</v>
      </c>
      <c r="D1822" s="34" t="n">
        <v>-65.57</v>
      </c>
      <c r="E1822" s="34" t="n">
        <v>-98.48</v>
      </c>
      <c r="F1822" s="34" t="n">
        <v>-37.61</v>
      </c>
      <c r="G1822" s="34" t="n">
        <v>20.93</v>
      </c>
      <c r="H1822" s="34" t="n">
        <v>42.66</v>
      </c>
      <c r="I1822" s="34" t="n">
        <v>45.93</v>
      </c>
      <c r="J1822" s="34" t="n">
        <v>3.11</v>
      </c>
      <c r="K1822" s="34" t="n">
        <v>45.63</v>
      </c>
      <c r="L1822" s="34" t="n">
        <f aca="false">AVERAGE(C1822:E1822)</f>
        <v>-32.46</v>
      </c>
      <c r="M1822" s="34" t="n">
        <f aca="false">AVERAGE(C1822:J1822)</f>
        <v>-2.795</v>
      </c>
    </row>
    <row r="1823" customFormat="false" ht="15" hidden="false" customHeight="true" outlineLevel="0" collapsed="false">
      <c r="A1823" s="34" t="s">
        <v>1994</v>
      </c>
      <c r="B1823" s="34" t="n">
        <v>47.07</v>
      </c>
      <c r="C1823" s="34" t="n">
        <v>-66.67</v>
      </c>
      <c r="D1823" s="34" t="n">
        <v>-17.94</v>
      </c>
      <c r="E1823" s="34" t="n">
        <v>30</v>
      </c>
      <c r="F1823" s="34" t="n">
        <v>-84.36</v>
      </c>
      <c r="G1823" s="34" t="n">
        <v>-136.45</v>
      </c>
      <c r="H1823" s="34" t="n">
        <v>-168.57</v>
      </c>
      <c r="I1823" s="34" t="n">
        <v>-142.54</v>
      </c>
      <c r="J1823" s="34" t="n">
        <v>-96.59</v>
      </c>
      <c r="K1823" s="34" t="n">
        <v>48.58</v>
      </c>
      <c r="L1823" s="34" t="n">
        <f aca="false">AVERAGE(C1823:E1823)</f>
        <v>-18.2033333333333</v>
      </c>
      <c r="M1823" s="34" t="n">
        <f aca="false">AVERAGE(C1823:J1823)</f>
        <v>-85.39</v>
      </c>
    </row>
    <row r="1824" customFormat="false" ht="15" hidden="false" customHeight="true" outlineLevel="0" collapsed="false">
      <c r="A1824" s="34" t="s">
        <v>1995</v>
      </c>
      <c r="B1824" s="34" t="n">
        <v>46.99</v>
      </c>
      <c r="C1824" s="34" t="n">
        <v>-66.67</v>
      </c>
      <c r="D1824" s="34" t="n">
        <v>-89.31</v>
      </c>
      <c r="E1824" s="34" t="n">
        <v>-24.56</v>
      </c>
      <c r="F1824" s="34" t="n">
        <v>-50.27</v>
      </c>
      <c r="G1824" s="34" t="n">
        <v>-92.76</v>
      </c>
      <c r="H1824" s="34" t="n">
        <v>-87.35</v>
      </c>
      <c r="I1824" s="34" t="n">
        <v>-82.36</v>
      </c>
      <c r="J1824" s="34" t="n">
        <v>-87.13</v>
      </c>
      <c r="K1824" s="34" t="n">
        <v>44.34</v>
      </c>
      <c r="L1824" s="34" t="n">
        <f aca="false">AVERAGE(C1824:E1824)</f>
        <v>-60.18</v>
      </c>
      <c r="M1824" s="34" t="n">
        <f aca="false">AVERAGE(C1824:J1824)</f>
        <v>-72.55125</v>
      </c>
    </row>
    <row r="1825" customFormat="false" ht="15" hidden="false" customHeight="true" outlineLevel="0" collapsed="false">
      <c r="A1825" s="34" t="s">
        <v>1996</v>
      </c>
      <c r="B1825" s="34" t="n">
        <v>46.09</v>
      </c>
      <c r="C1825" s="34" t="n">
        <v>66.67</v>
      </c>
      <c r="D1825" s="34" t="n">
        <v>88.76</v>
      </c>
      <c r="E1825" s="34" t="n">
        <v>197.63</v>
      </c>
      <c r="F1825" s="34" t="n">
        <v>-13.31</v>
      </c>
      <c r="G1825" s="34" t="n">
        <v>-64.29</v>
      </c>
      <c r="H1825" s="34" t="n">
        <v>-12.2</v>
      </c>
      <c r="I1825" s="34" t="n">
        <v>4.64</v>
      </c>
      <c r="J1825" s="34" t="n">
        <v>-2.64</v>
      </c>
      <c r="K1825" s="34" t="n">
        <v>43.2</v>
      </c>
      <c r="L1825" s="34" t="n">
        <f aca="false">AVERAGE(C1825:E1825)</f>
        <v>117.686666666667</v>
      </c>
      <c r="M1825" s="34" t="n">
        <f aca="false">AVERAGE(C1825:J1825)</f>
        <v>33.1575</v>
      </c>
    </row>
    <row r="1826" customFormat="false" ht="15" hidden="false" customHeight="true" outlineLevel="0" collapsed="false">
      <c r="A1826" s="34" t="s">
        <v>1997</v>
      </c>
      <c r="B1826" s="34" t="n">
        <v>46.06</v>
      </c>
      <c r="C1826" s="34" t="n">
        <v>66.67</v>
      </c>
      <c r="D1826" s="34" t="n">
        <v>114.83</v>
      </c>
      <c r="E1826" s="34" t="n">
        <v>132.46</v>
      </c>
      <c r="F1826" s="34" t="n">
        <v>150.41</v>
      </c>
      <c r="G1826" s="34" t="n">
        <v>120.1</v>
      </c>
      <c r="H1826" s="34" t="n">
        <v>129.76</v>
      </c>
      <c r="I1826" s="34" t="n">
        <v>148.09</v>
      </c>
      <c r="J1826" s="34" t="n">
        <v>77.47</v>
      </c>
      <c r="K1826" s="34" t="n">
        <v>42.71</v>
      </c>
      <c r="L1826" s="34" t="n">
        <f aca="false">AVERAGE(C1826:E1826)</f>
        <v>104.653333333333</v>
      </c>
      <c r="M1826" s="34" t="n">
        <f aca="false">AVERAGE(C1826:J1826)</f>
        <v>117.47375</v>
      </c>
    </row>
    <row r="1827" customFormat="false" ht="15" hidden="false" customHeight="true" outlineLevel="0" collapsed="false">
      <c r="A1827" s="34" t="s">
        <v>1998</v>
      </c>
      <c r="B1827" s="34" t="n">
        <v>45.67</v>
      </c>
      <c r="C1827" s="34" t="n">
        <v>66.67</v>
      </c>
      <c r="D1827" s="34" t="n">
        <v>-63.34</v>
      </c>
      <c r="E1827" s="34" t="n">
        <v>-146.14</v>
      </c>
      <c r="F1827" s="34" t="n">
        <v>-118.97</v>
      </c>
      <c r="G1827" s="34" t="n">
        <v>-98.37</v>
      </c>
      <c r="H1827" s="34" t="n">
        <v>-99.19</v>
      </c>
      <c r="I1827" s="34" t="n">
        <v>-90.72</v>
      </c>
      <c r="J1827" s="34" t="n">
        <v>-98.81</v>
      </c>
      <c r="K1827" s="34" t="n">
        <v>49.04</v>
      </c>
      <c r="L1827" s="34" t="n">
        <f aca="false">AVERAGE(C1827:E1827)</f>
        <v>-47.6033333333333</v>
      </c>
      <c r="M1827" s="34" t="n">
        <f aca="false">AVERAGE(C1827:J1827)</f>
        <v>-81.10875</v>
      </c>
    </row>
    <row r="1828" customFormat="false" ht="15" hidden="false" customHeight="true" outlineLevel="0" collapsed="false">
      <c r="A1828" s="34" t="s">
        <v>1999</v>
      </c>
      <c r="B1828" s="34" t="n">
        <v>45.6</v>
      </c>
      <c r="C1828" s="34" t="n">
        <v>-66.67</v>
      </c>
      <c r="D1828" s="34" t="n">
        <v>37.04</v>
      </c>
      <c r="E1828" s="34" t="n">
        <v>94.97</v>
      </c>
      <c r="F1828" s="34" t="n">
        <v>100.29</v>
      </c>
      <c r="G1828" s="34" t="n">
        <v>-6.02</v>
      </c>
      <c r="H1828" s="34" t="n">
        <v>19.89</v>
      </c>
      <c r="I1828" s="34" t="n">
        <v>45.65</v>
      </c>
      <c r="J1828" s="34" t="n">
        <v>26.47</v>
      </c>
      <c r="K1828" s="34" t="n">
        <v>46.47</v>
      </c>
      <c r="L1828" s="34" t="n">
        <f aca="false">AVERAGE(C1828:E1828)</f>
        <v>21.78</v>
      </c>
      <c r="M1828" s="34" t="n">
        <f aca="false">AVERAGE(C1828:J1828)</f>
        <v>31.4525</v>
      </c>
    </row>
    <row r="1829" customFormat="false" ht="15" hidden="false" customHeight="true" outlineLevel="0" collapsed="false">
      <c r="A1829" s="34" t="s">
        <v>2000</v>
      </c>
      <c r="B1829" s="34" t="n">
        <v>45.55</v>
      </c>
      <c r="C1829" s="34" t="n">
        <v>66.67</v>
      </c>
      <c r="D1829" s="34" t="n">
        <v>66.67</v>
      </c>
      <c r="E1829" s="34" t="n">
        <v>120.38</v>
      </c>
      <c r="F1829" s="34" t="n">
        <v>-62.11</v>
      </c>
      <c r="G1829" s="34" t="n">
        <v>-40.74</v>
      </c>
      <c r="H1829" s="34" t="n">
        <v>-0.889</v>
      </c>
      <c r="I1829" s="34" t="n">
        <v>27.54</v>
      </c>
      <c r="J1829" s="34" t="n">
        <v>4.28</v>
      </c>
      <c r="K1829" s="34" t="n">
        <v>48.18</v>
      </c>
      <c r="L1829" s="34" t="n">
        <f aca="false">AVERAGE(C1829:E1829)</f>
        <v>84.5733333333333</v>
      </c>
      <c r="M1829" s="34" t="n">
        <f aca="false">AVERAGE(C1829:J1829)</f>
        <v>22.725125</v>
      </c>
    </row>
    <row r="1830" customFormat="false" ht="15" hidden="false" customHeight="true" outlineLevel="0" collapsed="false">
      <c r="A1830" s="34" t="s">
        <v>2001</v>
      </c>
      <c r="B1830" s="34" t="n">
        <v>45.35</v>
      </c>
      <c r="C1830" s="34" t="n">
        <v>-66.67</v>
      </c>
      <c r="D1830" s="34" t="n">
        <v>-20.71</v>
      </c>
      <c r="E1830" s="34" t="n">
        <v>74.15</v>
      </c>
      <c r="F1830" s="34" t="n">
        <v>-46.34</v>
      </c>
      <c r="G1830" s="34" t="n">
        <v>-86.74</v>
      </c>
      <c r="H1830" s="34" t="n">
        <v>-14.18</v>
      </c>
      <c r="I1830" s="34" t="n">
        <v>23.9</v>
      </c>
      <c r="J1830" s="34" t="n">
        <v>31.3</v>
      </c>
      <c r="K1830" s="34" t="n">
        <v>46.09</v>
      </c>
      <c r="L1830" s="34" t="n">
        <f aca="false">AVERAGE(C1830:E1830)</f>
        <v>-4.41</v>
      </c>
      <c r="M1830" s="34" t="n">
        <f aca="false">AVERAGE(C1830:J1830)</f>
        <v>-13.16125</v>
      </c>
    </row>
    <row r="1831" customFormat="false" ht="15" hidden="false" customHeight="true" outlineLevel="0" collapsed="false">
      <c r="A1831" s="34" t="s">
        <v>2002</v>
      </c>
      <c r="B1831" s="34" t="n">
        <v>45.34</v>
      </c>
      <c r="C1831" s="34" t="n">
        <v>66.67</v>
      </c>
      <c r="D1831" s="34" t="n">
        <v>56.45</v>
      </c>
      <c r="E1831" s="34" t="n">
        <v>79.65</v>
      </c>
      <c r="F1831" s="34" t="n">
        <v>10.92</v>
      </c>
      <c r="G1831" s="34" t="n">
        <v>59.94</v>
      </c>
      <c r="H1831" s="34" t="n">
        <v>85.9</v>
      </c>
      <c r="I1831" s="34" t="n">
        <v>95.89</v>
      </c>
      <c r="J1831" s="34" t="n">
        <v>109.77</v>
      </c>
      <c r="K1831" s="34" t="n">
        <v>46.69</v>
      </c>
      <c r="L1831" s="34" t="n">
        <f aca="false">AVERAGE(C1831:E1831)</f>
        <v>67.59</v>
      </c>
      <c r="M1831" s="34" t="n">
        <f aca="false">AVERAGE(C1831:J1831)</f>
        <v>70.64875</v>
      </c>
    </row>
    <row r="1832" customFormat="false" ht="15" hidden="false" customHeight="true" outlineLevel="0" collapsed="false">
      <c r="A1832" s="34" t="s">
        <v>2003</v>
      </c>
      <c r="B1832" s="34" t="n">
        <v>45.04</v>
      </c>
      <c r="C1832" s="34" t="n">
        <v>66.67</v>
      </c>
      <c r="D1832" s="34" t="n">
        <v>81.03</v>
      </c>
      <c r="E1832" s="34" t="n">
        <v>128.66</v>
      </c>
      <c r="F1832" s="34" t="n">
        <v>93.47</v>
      </c>
      <c r="G1832" s="34" t="n">
        <v>162.77</v>
      </c>
      <c r="H1832" s="34" t="n">
        <v>185.02</v>
      </c>
      <c r="I1832" s="34" t="n">
        <v>179.55</v>
      </c>
      <c r="J1832" s="34" t="n">
        <v>183.09</v>
      </c>
      <c r="K1832" s="34" t="n">
        <v>38.16</v>
      </c>
      <c r="L1832" s="34" t="n">
        <f aca="false">AVERAGE(C1832:E1832)</f>
        <v>92.12</v>
      </c>
      <c r="M1832" s="34" t="n">
        <f aca="false">AVERAGE(C1832:J1832)</f>
        <v>135.0325</v>
      </c>
    </row>
    <row r="1833" customFormat="false" ht="15" hidden="false" customHeight="true" outlineLevel="0" collapsed="false">
      <c r="A1833" s="34" t="s">
        <v>2004</v>
      </c>
      <c r="B1833" s="34" t="n">
        <v>44.96</v>
      </c>
      <c r="C1833" s="34" t="n">
        <v>66.67</v>
      </c>
      <c r="D1833" s="34" t="n">
        <v>93.09</v>
      </c>
      <c r="E1833" s="34" t="n">
        <v>163.64</v>
      </c>
      <c r="F1833" s="34" t="n">
        <v>74.56</v>
      </c>
      <c r="G1833" s="34" t="n">
        <v>21.32</v>
      </c>
      <c r="H1833" s="34" t="n">
        <v>-35.28</v>
      </c>
      <c r="I1833" s="34" t="n">
        <v>-49.72</v>
      </c>
      <c r="J1833" s="34" t="n">
        <v>-59.64</v>
      </c>
      <c r="K1833" s="34" t="n">
        <v>41.67</v>
      </c>
      <c r="L1833" s="34" t="n">
        <f aca="false">AVERAGE(C1833:E1833)</f>
        <v>107.8</v>
      </c>
      <c r="M1833" s="34" t="n">
        <f aca="false">AVERAGE(C1833:J1833)</f>
        <v>34.33</v>
      </c>
    </row>
    <row r="1834" customFormat="false" ht="15" hidden="false" customHeight="true" outlineLevel="0" collapsed="false">
      <c r="A1834" s="34" t="s">
        <v>2005</v>
      </c>
      <c r="B1834" s="34" t="n">
        <v>44.75</v>
      </c>
      <c r="C1834" s="34" t="n">
        <v>-66.67</v>
      </c>
      <c r="D1834" s="34" t="n">
        <v>-69.6</v>
      </c>
      <c r="E1834" s="34" t="n">
        <v>-171.48</v>
      </c>
      <c r="F1834" s="34" t="n">
        <v>-512.19</v>
      </c>
      <c r="G1834" s="34" t="n">
        <v>-698.78</v>
      </c>
      <c r="H1834" s="34" t="n">
        <v>-762.97</v>
      </c>
      <c r="I1834" s="34" t="n">
        <v>-801.87</v>
      </c>
      <c r="J1834" s="34" t="n">
        <v>-404.87</v>
      </c>
      <c r="K1834" s="34" t="n">
        <v>66.29</v>
      </c>
      <c r="L1834" s="34" t="n">
        <f aca="false">AVERAGE(C1834:E1834)</f>
        <v>-102.583333333333</v>
      </c>
      <c r="M1834" s="34" t="n">
        <f aca="false">AVERAGE(C1834:J1834)</f>
        <v>-436.05375</v>
      </c>
    </row>
    <row r="1835" customFormat="false" ht="15" hidden="false" customHeight="true" outlineLevel="0" collapsed="false">
      <c r="A1835" s="34" t="s">
        <v>2006</v>
      </c>
      <c r="B1835" s="34" t="n">
        <v>44.59</v>
      </c>
      <c r="C1835" s="34" t="n">
        <v>-66.67</v>
      </c>
      <c r="D1835" s="34" t="n">
        <v>-133.33</v>
      </c>
      <c r="E1835" s="34" t="n">
        <v>11.83</v>
      </c>
      <c r="F1835" s="34" t="n">
        <v>-30.63</v>
      </c>
      <c r="G1835" s="34" t="n">
        <v>-54.28</v>
      </c>
      <c r="H1835" s="34" t="n">
        <v>28.96</v>
      </c>
      <c r="I1835" s="34"/>
      <c r="J1835" s="34"/>
      <c r="K1835" s="34" t="n">
        <v>46.74</v>
      </c>
      <c r="L1835" s="34" t="n">
        <f aca="false">AVERAGE(C1835:E1835)</f>
        <v>-62.7233333333333</v>
      </c>
      <c r="M1835" s="34" t="n">
        <f aca="false">AVERAGE(C1835:J1835)</f>
        <v>-40.6866666666667</v>
      </c>
    </row>
    <row r="1836" customFormat="false" ht="15" hidden="false" customHeight="true" outlineLevel="0" collapsed="false">
      <c r="A1836" s="34" t="s">
        <v>2007</v>
      </c>
      <c r="B1836" s="34" t="n">
        <v>44.37</v>
      </c>
      <c r="C1836" s="34" t="n">
        <v>-66.67</v>
      </c>
      <c r="D1836" s="34" t="n">
        <v>-21.92</v>
      </c>
      <c r="E1836" s="34" t="n">
        <v>72.04</v>
      </c>
      <c r="F1836" s="34" t="n">
        <v>21.21</v>
      </c>
      <c r="G1836" s="34" t="n">
        <v>37.45</v>
      </c>
      <c r="H1836" s="34" t="n">
        <v>64.69</v>
      </c>
      <c r="I1836" s="34" t="n">
        <v>76.66</v>
      </c>
      <c r="J1836" s="34" t="n">
        <v>75.38</v>
      </c>
      <c r="K1836" s="34" t="n">
        <v>45.86</v>
      </c>
      <c r="L1836" s="34" t="n">
        <f aca="false">AVERAGE(C1836:E1836)</f>
        <v>-5.51666666666667</v>
      </c>
      <c r="M1836" s="34" t="n">
        <f aca="false">AVERAGE(C1836:J1836)</f>
        <v>32.355</v>
      </c>
    </row>
    <row r="1837" customFormat="false" ht="15" hidden="false" customHeight="true" outlineLevel="0" collapsed="false">
      <c r="A1837" s="34" t="s">
        <v>2008</v>
      </c>
      <c r="B1837" s="34" t="n">
        <v>44.33</v>
      </c>
      <c r="C1837" s="34" t="n">
        <v>66.67</v>
      </c>
      <c r="D1837" s="34" t="n">
        <v>72.72</v>
      </c>
      <c r="E1837" s="34" t="n">
        <v>161.97</v>
      </c>
      <c r="F1837" s="34" t="n">
        <v>253.8</v>
      </c>
      <c r="G1837" s="34" t="n">
        <v>287.55</v>
      </c>
      <c r="H1837" s="34" t="n">
        <v>248.64</v>
      </c>
      <c r="I1837" s="34" t="n">
        <v>226.41</v>
      </c>
      <c r="J1837" s="34" t="n">
        <v>235.07</v>
      </c>
      <c r="K1837" s="34" t="n">
        <v>39.86</v>
      </c>
      <c r="L1837" s="34" t="n">
        <f aca="false">AVERAGE(C1837:E1837)</f>
        <v>100.453333333333</v>
      </c>
      <c r="M1837" s="34" t="n">
        <f aca="false">AVERAGE(C1837:J1837)</f>
        <v>194.10375</v>
      </c>
    </row>
    <row r="1838" customFormat="false" ht="15" hidden="false" customHeight="true" outlineLevel="0" collapsed="false">
      <c r="A1838" s="34" t="s">
        <v>2009</v>
      </c>
      <c r="B1838" s="34" t="n">
        <v>44.25</v>
      </c>
      <c r="C1838" s="34" t="n">
        <v>66.67</v>
      </c>
      <c r="D1838" s="34" t="n">
        <v>84.38</v>
      </c>
      <c r="E1838" s="34" t="n">
        <v>159.7</v>
      </c>
      <c r="F1838" s="34" t="n">
        <v>-34.57</v>
      </c>
      <c r="G1838" s="34" t="n">
        <v>-83.51</v>
      </c>
      <c r="H1838" s="34" t="n">
        <v>-80.33</v>
      </c>
      <c r="I1838" s="34" t="n">
        <v>-62.83</v>
      </c>
      <c r="J1838" s="34" t="n">
        <v>-69.94</v>
      </c>
      <c r="K1838" s="34" t="n">
        <v>46.71</v>
      </c>
      <c r="L1838" s="34" t="n">
        <f aca="false">AVERAGE(C1838:E1838)</f>
        <v>103.583333333333</v>
      </c>
      <c r="M1838" s="34" t="n">
        <f aca="false">AVERAGE(C1838:J1838)</f>
        <v>-2.55375</v>
      </c>
    </row>
    <row r="1839" customFormat="false" ht="15" hidden="false" customHeight="true" outlineLevel="0" collapsed="false">
      <c r="A1839" s="34" t="s">
        <v>2010</v>
      </c>
      <c r="B1839" s="34" t="n">
        <v>44</v>
      </c>
      <c r="C1839" s="34" t="n">
        <v>-66.67</v>
      </c>
      <c r="D1839" s="34" t="n">
        <v>-64.29</v>
      </c>
      <c r="E1839" s="34" t="n">
        <v>58.05</v>
      </c>
      <c r="F1839" s="34" t="n">
        <v>23.51</v>
      </c>
      <c r="G1839" s="34" t="n">
        <v>-52.69</v>
      </c>
      <c r="H1839" s="34" t="n">
        <v>-52.7</v>
      </c>
      <c r="I1839" s="34" t="n">
        <v>-68.98</v>
      </c>
      <c r="J1839" s="34" t="n">
        <v>-81.63</v>
      </c>
      <c r="K1839" s="34" t="n">
        <v>40.31</v>
      </c>
      <c r="L1839" s="34" t="n">
        <f aca="false">AVERAGE(C1839:E1839)</f>
        <v>-24.3033333333333</v>
      </c>
      <c r="M1839" s="34" t="n">
        <f aca="false">AVERAGE(C1839:J1839)</f>
        <v>-38.175</v>
      </c>
    </row>
    <row r="1840" customFormat="false" ht="15" hidden="false" customHeight="true" outlineLevel="0" collapsed="false">
      <c r="A1840" s="34" t="s">
        <v>2011</v>
      </c>
      <c r="B1840" s="34" t="n">
        <v>43.92</v>
      </c>
      <c r="C1840" s="34" t="n">
        <v>-66.67</v>
      </c>
      <c r="D1840" s="34" t="n">
        <v>-133.33</v>
      </c>
      <c r="E1840" s="34" t="n">
        <v>-101.48</v>
      </c>
      <c r="F1840" s="34" t="n">
        <v>-83.91</v>
      </c>
      <c r="G1840" s="34" t="n">
        <v>-105.14</v>
      </c>
      <c r="H1840" s="34" t="n">
        <v>-14.19</v>
      </c>
      <c r="I1840" s="34" t="n">
        <v>22.22</v>
      </c>
      <c r="J1840" s="34" t="n">
        <v>14.18</v>
      </c>
      <c r="K1840" s="34" t="n">
        <v>48.1</v>
      </c>
      <c r="L1840" s="34" t="n">
        <f aca="false">AVERAGE(C1840:E1840)</f>
        <v>-100.493333333333</v>
      </c>
      <c r="M1840" s="34" t="n">
        <f aca="false">AVERAGE(C1840:J1840)</f>
        <v>-58.54</v>
      </c>
    </row>
    <row r="1841" customFormat="false" ht="15" hidden="false" customHeight="true" outlineLevel="0" collapsed="false">
      <c r="A1841" s="34" t="s">
        <v>221</v>
      </c>
      <c r="B1841" s="34" t="n">
        <v>43.78</v>
      </c>
      <c r="C1841" s="34" t="n">
        <v>-66.67</v>
      </c>
      <c r="D1841" s="34" t="n">
        <v>-133.33</v>
      </c>
      <c r="E1841" s="34" t="n">
        <v>-102.04</v>
      </c>
      <c r="F1841" s="34" t="n">
        <v>-93.6</v>
      </c>
      <c r="G1841" s="34" t="n">
        <v>-131.66</v>
      </c>
      <c r="H1841" s="34" t="n">
        <v>-135.3</v>
      </c>
      <c r="I1841" s="34" t="n">
        <v>-98.27</v>
      </c>
      <c r="J1841" s="34" t="n">
        <v>-105.63</v>
      </c>
      <c r="K1841" s="34" t="n">
        <v>46.16</v>
      </c>
      <c r="L1841" s="34" t="n">
        <f aca="false">AVERAGE(C1841:E1841)</f>
        <v>-100.68</v>
      </c>
      <c r="M1841" s="34" t="n">
        <f aca="false">AVERAGE(C1841:J1841)</f>
        <v>-108.3125</v>
      </c>
    </row>
    <row r="1842" customFormat="false" ht="15" hidden="false" customHeight="true" outlineLevel="0" collapsed="false">
      <c r="A1842" s="34" t="s">
        <v>536</v>
      </c>
      <c r="B1842" s="34" t="n">
        <v>43.71</v>
      </c>
      <c r="C1842" s="34" t="n">
        <v>-66.67</v>
      </c>
      <c r="D1842" s="34" t="n">
        <v>49.1</v>
      </c>
      <c r="E1842" s="34" t="n">
        <v>70.52</v>
      </c>
      <c r="F1842" s="34" t="n">
        <v>-40.25</v>
      </c>
      <c r="G1842" s="34" t="n">
        <v>-72.93</v>
      </c>
      <c r="H1842" s="34" t="n">
        <v>-45.54</v>
      </c>
      <c r="I1842" s="34" t="n">
        <v>15.16</v>
      </c>
      <c r="J1842" s="34" t="n">
        <v>33.83</v>
      </c>
      <c r="K1842" s="34" t="n">
        <v>44.86</v>
      </c>
      <c r="L1842" s="34" t="n">
        <f aca="false">AVERAGE(C1842:E1842)</f>
        <v>17.65</v>
      </c>
      <c r="M1842" s="34" t="n">
        <f aca="false">AVERAGE(C1842:J1842)</f>
        <v>-7.0975</v>
      </c>
    </row>
    <row r="1843" customFormat="false" ht="15" hidden="false" customHeight="true" outlineLevel="0" collapsed="false">
      <c r="A1843" s="34" t="s">
        <v>2012</v>
      </c>
      <c r="B1843" s="34" t="n">
        <v>43.3</v>
      </c>
      <c r="C1843" s="34" t="n">
        <v>66.67</v>
      </c>
      <c r="D1843" s="34" t="n">
        <v>68.16</v>
      </c>
      <c r="E1843" s="34" t="n">
        <v>-19.88</v>
      </c>
      <c r="F1843" s="34" t="n">
        <v>-105.81</v>
      </c>
      <c r="G1843" s="34" t="n">
        <v>-130.85</v>
      </c>
      <c r="H1843" s="34" t="n">
        <v>-116.54</v>
      </c>
      <c r="I1843" s="34" t="n">
        <v>-103.14</v>
      </c>
      <c r="J1843" s="34" t="n">
        <v>-75.51</v>
      </c>
      <c r="K1843" s="34" t="n">
        <v>45.56</v>
      </c>
      <c r="L1843" s="34" t="n">
        <f aca="false">AVERAGE(C1843:E1843)</f>
        <v>38.3166666666667</v>
      </c>
      <c r="M1843" s="34" t="n">
        <f aca="false">AVERAGE(C1843:J1843)</f>
        <v>-52.1125</v>
      </c>
    </row>
    <row r="1844" customFormat="false" ht="15" hidden="false" customHeight="true" outlineLevel="0" collapsed="false">
      <c r="A1844" s="34" t="s">
        <v>2013</v>
      </c>
      <c r="B1844" s="34" t="n">
        <v>43</v>
      </c>
      <c r="C1844" s="34" t="n">
        <v>66.67</v>
      </c>
      <c r="D1844" s="34" t="n">
        <v>-2.31</v>
      </c>
      <c r="E1844" s="34" t="n">
        <v>28.3</v>
      </c>
      <c r="F1844" s="34" t="n">
        <v>17.69</v>
      </c>
      <c r="G1844" s="34" t="n">
        <v>70.1</v>
      </c>
      <c r="H1844" s="34" t="n">
        <v>95.65</v>
      </c>
      <c r="I1844" s="34" t="n">
        <v>116.59</v>
      </c>
      <c r="J1844" s="34" t="n">
        <v>72.33</v>
      </c>
      <c r="K1844" s="34" t="n">
        <v>47.97</v>
      </c>
      <c r="L1844" s="34" t="n">
        <f aca="false">AVERAGE(C1844:E1844)</f>
        <v>30.8866666666667</v>
      </c>
      <c r="M1844" s="34" t="n">
        <f aca="false">AVERAGE(C1844:J1844)</f>
        <v>58.1275</v>
      </c>
    </row>
    <row r="1845" customFormat="false" ht="15" hidden="false" customHeight="true" outlineLevel="0" collapsed="false">
      <c r="A1845" s="34" t="s">
        <v>2014</v>
      </c>
      <c r="B1845" s="34" t="n">
        <v>42.84</v>
      </c>
      <c r="C1845" s="34" t="n">
        <v>-66.67</v>
      </c>
      <c r="D1845" s="34" t="n">
        <v>-126.8</v>
      </c>
      <c r="E1845" s="34" t="n">
        <v>62.34</v>
      </c>
      <c r="F1845" s="34" t="n">
        <v>64.71</v>
      </c>
      <c r="G1845" s="34" t="n">
        <v>38.13</v>
      </c>
      <c r="H1845" s="34" t="n">
        <v>68.16</v>
      </c>
      <c r="I1845" s="34" t="n">
        <v>69.86</v>
      </c>
      <c r="J1845" s="34" t="n">
        <v>79.47</v>
      </c>
      <c r="K1845" s="34" t="n">
        <v>41.89</v>
      </c>
      <c r="L1845" s="34" t="n">
        <f aca="false">AVERAGE(C1845:E1845)</f>
        <v>-43.71</v>
      </c>
      <c r="M1845" s="34" t="n">
        <f aca="false">AVERAGE(C1845:J1845)</f>
        <v>23.65</v>
      </c>
    </row>
    <row r="1846" customFormat="false" ht="15" hidden="false" customHeight="true" outlineLevel="0" collapsed="false">
      <c r="A1846" s="34" t="s">
        <v>2015</v>
      </c>
      <c r="B1846" s="34" t="n">
        <v>42.73</v>
      </c>
      <c r="C1846" s="34" t="n">
        <v>66.67</v>
      </c>
      <c r="D1846" s="34" t="n">
        <v>97.63</v>
      </c>
      <c r="E1846" s="34" t="n">
        <v>192.05</v>
      </c>
      <c r="F1846" s="34" t="n">
        <v>43.83</v>
      </c>
      <c r="G1846" s="34" t="n">
        <v>-20.89</v>
      </c>
      <c r="H1846" s="34" t="n">
        <v>-30.79</v>
      </c>
      <c r="I1846" s="34" t="n">
        <v>-4.34</v>
      </c>
      <c r="J1846" s="34" t="n">
        <v>-34.09</v>
      </c>
      <c r="K1846" s="34" t="n">
        <v>43.39</v>
      </c>
      <c r="L1846" s="34" t="n">
        <f aca="false">AVERAGE(C1846:E1846)</f>
        <v>118.783333333333</v>
      </c>
      <c r="M1846" s="34" t="n">
        <f aca="false">AVERAGE(C1846:J1846)</f>
        <v>38.75875</v>
      </c>
    </row>
    <row r="1847" customFormat="false" ht="15" hidden="false" customHeight="true" outlineLevel="0" collapsed="false">
      <c r="A1847" s="34" t="s">
        <v>2016</v>
      </c>
      <c r="B1847" s="34" t="n">
        <v>42.6</v>
      </c>
      <c r="C1847" s="34" t="n">
        <v>66.67</v>
      </c>
      <c r="D1847" s="34" t="n">
        <v>102.52</v>
      </c>
      <c r="E1847" s="34" t="n">
        <v>19.46</v>
      </c>
      <c r="F1847" s="34" t="n">
        <v>-68.74</v>
      </c>
      <c r="G1847" s="34" t="n">
        <v>-101.68</v>
      </c>
      <c r="H1847" s="34" t="n">
        <v>-36.71</v>
      </c>
      <c r="I1847" s="34" t="n">
        <v>13.75</v>
      </c>
      <c r="J1847" s="34" t="n">
        <v>2.59</v>
      </c>
      <c r="K1847" s="34" t="n">
        <v>40.61</v>
      </c>
      <c r="L1847" s="34" t="n">
        <f aca="false">AVERAGE(C1847:E1847)</f>
        <v>62.8833333333333</v>
      </c>
      <c r="M1847" s="34" t="n">
        <f aca="false">AVERAGE(C1847:J1847)</f>
        <v>-0.267500000000002</v>
      </c>
    </row>
    <row r="1848" customFormat="false" ht="15" hidden="false" customHeight="true" outlineLevel="0" collapsed="false">
      <c r="A1848" s="34" t="s">
        <v>2017</v>
      </c>
      <c r="B1848" s="34" t="n">
        <v>42.58</v>
      </c>
      <c r="C1848" s="34" t="n">
        <v>66.67</v>
      </c>
      <c r="D1848" s="34" t="n">
        <v>133.33</v>
      </c>
      <c r="E1848" s="34" t="n">
        <v>123.21</v>
      </c>
      <c r="F1848" s="34" t="n">
        <v>-30.91</v>
      </c>
      <c r="G1848" s="34" t="n">
        <v>-87.49</v>
      </c>
      <c r="H1848" s="34" t="n">
        <v>-60.79</v>
      </c>
      <c r="I1848" s="34" t="n">
        <v>-45.16</v>
      </c>
      <c r="J1848" s="34" t="n">
        <v>-53.74</v>
      </c>
      <c r="K1848" s="34" t="n">
        <v>45.69</v>
      </c>
      <c r="L1848" s="34" t="n">
        <f aca="false">AVERAGE(C1848:E1848)</f>
        <v>107.736666666667</v>
      </c>
      <c r="M1848" s="34" t="n">
        <f aca="false">AVERAGE(C1848:J1848)</f>
        <v>5.64</v>
      </c>
    </row>
    <row r="1849" customFormat="false" ht="15" hidden="false" customHeight="true" outlineLevel="0" collapsed="false">
      <c r="A1849" s="34" t="s">
        <v>2018</v>
      </c>
      <c r="B1849" s="34" t="n">
        <v>42.52</v>
      </c>
      <c r="C1849" s="34" t="n">
        <v>66.67</v>
      </c>
      <c r="D1849" s="34" t="n">
        <v>106.67</v>
      </c>
      <c r="E1849" s="34" t="n">
        <v>181.99</v>
      </c>
      <c r="F1849" s="34" t="n">
        <v>-7.58</v>
      </c>
      <c r="G1849" s="34" t="n">
        <v>-69.92</v>
      </c>
      <c r="H1849" s="34" t="n">
        <v>-28.76</v>
      </c>
      <c r="I1849" s="34" t="n">
        <v>2.09</v>
      </c>
      <c r="J1849" s="34" t="n">
        <v>-25.05</v>
      </c>
      <c r="K1849" s="34" t="n">
        <v>43.15</v>
      </c>
      <c r="L1849" s="34" t="n">
        <f aca="false">AVERAGE(C1849:E1849)</f>
        <v>118.443333333333</v>
      </c>
      <c r="M1849" s="34" t="n">
        <f aca="false">AVERAGE(C1849:J1849)</f>
        <v>28.26375</v>
      </c>
    </row>
    <row r="1850" customFormat="false" ht="15" hidden="false" customHeight="true" outlineLevel="0" collapsed="false">
      <c r="A1850" s="34" t="s">
        <v>2019</v>
      </c>
      <c r="B1850" s="34" t="n">
        <v>42.32</v>
      </c>
      <c r="C1850" s="34" t="n">
        <v>-66.67</v>
      </c>
      <c r="D1850" s="34" t="n">
        <v>-98.84</v>
      </c>
      <c r="E1850" s="34" t="n">
        <v>-149.08</v>
      </c>
      <c r="F1850" s="34" t="n">
        <v>-29.75</v>
      </c>
      <c r="G1850" s="34" t="n">
        <v>-30.64</v>
      </c>
      <c r="H1850" s="34" t="n">
        <v>33.38</v>
      </c>
      <c r="I1850" s="34" t="n">
        <v>52.91</v>
      </c>
      <c r="J1850" s="34" t="n">
        <v>56.57</v>
      </c>
      <c r="K1850" s="34" t="n">
        <v>42.05</v>
      </c>
      <c r="L1850" s="34" t="n">
        <f aca="false">AVERAGE(C1850:E1850)</f>
        <v>-104.863333333333</v>
      </c>
      <c r="M1850" s="34" t="n">
        <f aca="false">AVERAGE(C1850:J1850)</f>
        <v>-29.015</v>
      </c>
    </row>
    <row r="1851" customFormat="false" ht="15" hidden="false" customHeight="true" outlineLevel="0" collapsed="false">
      <c r="A1851" s="34" t="s">
        <v>2020</v>
      </c>
      <c r="B1851" s="34" t="n">
        <v>41.99</v>
      </c>
      <c r="C1851" s="34" t="n">
        <v>-66.67</v>
      </c>
      <c r="D1851" s="34" t="n">
        <v>29.15</v>
      </c>
      <c r="E1851" s="34" t="n">
        <v>89.24</v>
      </c>
      <c r="F1851" s="34" t="n">
        <v>-62.26</v>
      </c>
      <c r="G1851" s="34" t="n">
        <v>-109.28</v>
      </c>
      <c r="H1851" s="34" t="n">
        <v>-109.55</v>
      </c>
      <c r="I1851" s="34" t="n">
        <v>-115.35</v>
      </c>
      <c r="J1851" s="34" t="n">
        <v>-125.87</v>
      </c>
      <c r="K1851" s="34" t="n">
        <v>42.81</v>
      </c>
      <c r="L1851" s="34" t="n">
        <f aca="false">AVERAGE(C1851:E1851)</f>
        <v>17.24</v>
      </c>
      <c r="M1851" s="34" t="n">
        <f aca="false">AVERAGE(C1851:J1851)</f>
        <v>-58.82375</v>
      </c>
    </row>
    <row r="1852" customFormat="false" ht="15" hidden="false" customHeight="true" outlineLevel="0" collapsed="false">
      <c r="A1852" s="34" t="s">
        <v>2021</v>
      </c>
      <c r="B1852" s="34" t="n">
        <v>41.99</v>
      </c>
      <c r="C1852" s="34" t="n">
        <v>-66.67</v>
      </c>
      <c r="D1852" s="34" t="n">
        <v>61.4</v>
      </c>
      <c r="E1852" s="34" t="n">
        <v>158.19</v>
      </c>
      <c r="F1852" s="34" t="n">
        <v>78.56</v>
      </c>
      <c r="G1852" s="34" t="n">
        <v>40.57</v>
      </c>
      <c r="H1852" s="34" t="n">
        <v>72.83</v>
      </c>
      <c r="I1852" s="34" t="n">
        <v>92.04</v>
      </c>
      <c r="J1852" s="34" t="n">
        <v>52.73</v>
      </c>
      <c r="K1852" s="34" t="n">
        <v>38.15</v>
      </c>
      <c r="L1852" s="34" t="n">
        <f aca="false">AVERAGE(C1852:E1852)</f>
        <v>50.9733333333333</v>
      </c>
      <c r="M1852" s="34" t="n">
        <f aca="false">AVERAGE(C1852:J1852)</f>
        <v>61.20625</v>
      </c>
    </row>
    <row r="1853" customFormat="false" ht="15" hidden="false" customHeight="true" outlineLevel="0" collapsed="false">
      <c r="A1853" s="34" t="s">
        <v>2022</v>
      </c>
      <c r="B1853" s="34" t="n">
        <v>41.85</v>
      </c>
      <c r="C1853" s="34" t="n">
        <v>66.67</v>
      </c>
      <c r="D1853" s="34" t="n">
        <v>116.05</v>
      </c>
      <c r="E1853" s="34" t="n">
        <v>-26.98</v>
      </c>
      <c r="F1853" s="34" t="n">
        <v>-84.2</v>
      </c>
      <c r="G1853" s="34" t="n">
        <v>-63.46</v>
      </c>
      <c r="H1853" s="34" t="n">
        <v>2.93</v>
      </c>
      <c r="I1853" s="34" t="n">
        <v>32.1</v>
      </c>
      <c r="J1853" s="34" t="n">
        <v>7.66</v>
      </c>
      <c r="K1853" s="34" t="n">
        <v>44.77</v>
      </c>
      <c r="L1853" s="34" t="n">
        <f aca="false">AVERAGE(C1853:E1853)</f>
        <v>51.9133333333333</v>
      </c>
      <c r="M1853" s="34" t="n">
        <f aca="false">AVERAGE(C1853:J1853)</f>
        <v>6.34625</v>
      </c>
    </row>
    <row r="1854" customFormat="false" ht="15" hidden="false" customHeight="true" outlineLevel="0" collapsed="false">
      <c r="A1854" s="34" t="s">
        <v>2023</v>
      </c>
      <c r="B1854" s="34" t="n">
        <v>41.77</v>
      </c>
      <c r="C1854" s="34" t="n">
        <v>-66.67</v>
      </c>
      <c r="D1854" s="34" t="n">
        <v>-112.82</v>
      </c>
      <c r="E1854" s="34" t="n">
        <v>-113.24</v>
      </c>
      <c r="F1854" s="34" t="n">
        <v>2.47</v>
      </c>
      <c r="G1854" s="34" t="n">
        <v>66.87</v>
      </c>
      <c r="H1854" s="34" t="n">
        <v>98.26</v>
      </c>
      <c r="I1854" s="34" t="n">
        <v>120.27</v>
      </c>
      <c r="J1854" s="34" t="n">
        <v>136.51</v>
      </c>
      <c r="K1854" s="34" t="n">
        <v>40.66</v>
      </c>
      <c r="L1854" s="34" t="n">
        <f aca="false">AVERAGE(C1854:E1854)</f>
        <v>-97.5766666666667</v>
      </c>
      <c r="M1854" s="34" t="n">
        <f aca="false">AVERAGE(C1854:J1854)</f>
        <v>16.45625</v>
      </c>
    </row>
    <row r="1855" customFormat="false" ht="15" hidden="false" customHeight="true" outlineLevel="0" collapsed="false">
      <c r="A1855" s="34" t="s">
        <v>414</v>
      </c>
      <c r="B1855" s="34" t="n">
        <v>41.76</v>
      </c>
      <c r="C1855" s="34" t="n">
        <v>-66.67</v>
      </c>
      <c r="D1855" s="34" t="n">
        <v>-28.36</v>
      </c>
      <c r="E1855" s="34" t="n">
        <v>76.29</v>
      </c>
      <c r="F1855" s="34" t="n">
        <v>48.05</v>
      </c>
      <c r="G1855" s="34" t="n">
        <v>68.41</v>
      </c>
      <c r="H1855" s="34" t="n">
        <v>98.41</v>
      </c>
      <c r="I1855" s="34" t="n">
        <v>105.82</v>
      </c>
      <c r="J1855" s="34" t="n">
        <v>121.03</v>
      </c>
      <c r="K1855" s="34" t="n">
        <v>39.68</v>
      </c>
      <c r="L1855" s="34" t="n">
        <f aca="false">AVERAGE(C1855:E1855)</f>
        <v>-6.24666666666667</v>
      </c>
      <c r="M1855" s="34" t="n">
        <f aca="false">AVERAGE(C1855:J1855)</f>
        <v>52.8725</v>
      </c>
    </row>
    <row r="1856" customFormat="false" ht="15" hidden="false" customHeight="true" outlineLevel="0" collapsed="false">
      <c r="A1856" s="34" t="s">
        <v>2024</v>
      </c>
      <c r="B1856" s="34" t="n">
        <v>41.7</v>
      </c>
      <c r="C1856" s="34" t="n">
        <v>-66.67</v>
      </c>
      <c r="D1856" s="34" t="n">
        <v>45.57</v>
      </c>
      <c r="E1856" s="34" t="n">
        <v>59.25</v>
      </c>
      <c r="F1856" s="34" t="n">
        <v>-44.43</v>
      </c>
      <c r="G1856" s="34" t="n">
        <v>-85.2</v>
      </c>
      <c r="H1856" s="34" t="n">
        <v>-108.53</v>
      </c>
      <c r="I1856" s="34" t="n">
        <v>-111.29</v>
      </c>
      <c r="J1856" s="34" t="n">
        <v>-100.93</v>
      </c>
      <c r="K1856" s="34" t="n">
        <v>44.37</v>
      </c>
      <c r="L1856" s="34" t="n">
        <f aca="false">AVERAGE(C1856:E1856)</f>
        <v>12.7166666666667</v>
      </c>
      <c r="M1856" s="34" t="n">
        <f aca="false">AVERAGE(C1856:J1856)</f>
        <v>-51.52875</v>
      </c>
    </row>
    <row r="1857" customFormat="false" ht="15" hidden="false" customHeight="true" outlineLevel="0" collapsed="false">
      <c r="A1857" s="34" t="s">
        <v>2025</v>
      </c>
      <c r="B1857" s="34" t="n">
        <v>41.36</v>
      </c>
      <c r="C1857" s="34" t="n">
        <v>-66.67</v>
      </c>
      <c r="D1857" s="34" t="n">
        <v>22.7</v>
      </c>
      <c r="E1857" s="34" t="n">
        <v>86.19</v>
      </c>
      <c r="F1857" s="34" t="n">
        <v>-36.86</v>
      </c>
      <c r="G1857" s="34" t="n">
        <v>-86.56</v>
      </c>
      <c r="H1857" s="34" t="n">
        <v>-24.51</v>
      </c>
      <c r="I1857" s="34" t="n">
        <v>21.14</v>
      </c>
      <c r="J1857" s="34" t="n">
        <v>27.42</v>
      </c>
      <c r="K1857" s="34" t="n">
        <v>42.07</v>
      </c>
      <c r="L1857" s="34" t="n">
        <f aca="false">AVERAGE(C1857:E1857)</f>
        <v>14.0733333333333</v>
      </c>
      <c r="M1857" s="34" t="n">
        <f aca="false">AVERAGE(C1857:J1857)</f>
        <v>-7.14375</v>
      </c>
    </row>
    <row r="1858" customFormat="false" ht="15" hidden="false" customHeight="true" outlineLevel="0" collapsed="false">
      <c r="A1858" s="34" t="s">
        <v>2026</v>
      </c>
      <c r="B1858" s="34" t="n">
        <v>40.97</v>
      </c>
      <c r="C1858" s="34" t="n">
        <v>-66.67</v>
      </c>
      <c r="D1858" s="34" t="n">
        <v>-133.33</v>
      </c>
      <c r="E1858" s="34" t="n">
        <v>15.28</v>
      </c>
      <c r="F1858" s="34" t="n">
        <v>16.7</v>
      </c>
      <c r="G1858" s="34" t="n">
        <v>-6.1</v>
      </c>
      <c r="H1858" s="34" t="n">
        <v>44.81</v>
      </c>
      <c r="I1858" s="34"/>
      <c r="J1858" s="34"/>
      <c r="K1858" s="34" t="n">
        <v>41.51</v>
      </c>
      <c r="L1858" s="34" t="n">
        <f aca="false">AVERAGE(C1858:E1858)</f>
        <v>-61.5733333333333</v>
      </c>
      <c r="M1858" s="34" t="n">
        <f aca="false">AVERAGE(C1858:J1858)</f>
        <v>-21.5516666666667</v>
      </c>
    </row>
    <row r="1859" customFormat="false" ht="15" hidden="false" customHeight="true" outlineLevel="0" collapsed="false">
      <c r="A1859" s="34" t="s">
        <v>2027</v>
      </c>
      <c r="B1859" s="34" t="n">
        <v>40.95</v>
      </c>
      <c r="C1859" s="34" t="n">
        <v>-66.67</v>
      </c>
      <c r="D1859" s="34" t="n">
        <v>23.35</v>
      </c>
      <c r="E1859" s="34" t="n">
        <v>86.98</v>
      </c>
      <c r="F1859" s="34" t="n">
        <v>-61.04</v>
      </c>
      <c r="G1859" s="34" t="n">
        <v>-112.28</v>
      </c>
      <c r="H1859" s="34" t="n">
        <v>-82.19</v>
      </c>
      <c r="I1859" s="34" t="n">
        <v>-44.69</v>
      </c>
      <c r="J1859" s="34" t="n">
        <v>-54.87</v>
      </c>
      <c r="K1859" s="34" t="n">
        <v>41.94</v>
      </c>
      <c r="L1859" s="34" t="n">
        <f aca="false">AVERAGE(C1859:E1859)</f>
        <v>14.5533333333333</v>
      </c>
      <c r="M1859" s="34" t="n">
        <f aca="false">AVERAGE(C1859:J1859)</f>
        <v>-38.92625</v>
      </c>
    </row>
    <row r="1860" customFormat="false" ht="15" hidden="false" customHeight="true" outlineLevel="0" collapsed="false">
      <c r="A1860" s="34" t="s">
        <v>2028</v>
      </c>
      <c r="B1860" s="34" t="n">
        <v>40.78</v>
      </c>
      <c r="C1860" s="34" t="n">
        <v>-66.67</v>
      </c>
      <c r="D1860" s="34" t="n">
        <v>-87.56</v>
      </c>
      <c r="E1860" s="34" t="n">
        <v>-84.42</v>
      </c>
      <c r="F1860" s="34" t="n">
        <v>-54.89</v>
      </c>
      <c r="G1860" s="34" t="n">
        <v>-49.15</v>
      </c>
      <c r="H1860" s="34" t="n">
        <v>23.13</v>
      </c>
      <c r="I1860" s="34" t="n">
        <v>48.4</v>
      </c>
      <c r="J1860" s="34" t="n">
        <v>54.1</v>
      </c>
      <c r="K1860" s="34" t="n">
        <v>44.53</v>
      </c>
      <c r="L1860" s="34" t="n">
        <f aca="false">AVERAGE(C1860:E1860)</f>
        <v>-79.55</v>
      </c>
      <c r="M1860" s="34" t="n">
        <f aca="false">AVERAGE(C1860:J1860)</f>
        <v>-27.1325</v>
      </c>
    </row>
    <row r="1861" customFormat="false" ht="15" hidden="false" customHeight="true" outlineLevel="0" collapsed="false">
      <c r="A1861" s="34" t="s">
        <v>2029</v>
      </c>
      <c r="B1861" s="34" t="n">
        <v>40.56</v>
      </c>
      <c r="C1861" s="34" t="n">
        <v>-66.67</v>
      </c>
      <c r="D1861" s="34" t="n">
        <v>-32.4</v>
      </c>
      <c r="E1861" s="34" t="n">
        <v>60.68</v>
      </c>
      <c r="F1861" s="34" t="n">
        <v>116.2</v>
      </c>
      <c r="G1861" s="34" t="n">
        <v>145.86</v>
      </c>
      <c r="H1861" s="34" t="n">
        <v>114.84</v>
      </c>
      <c r="I1861" s="34" t="n">
        <v>134.34</v>
      </c>
      <c r="J1861" s="34" t="n">
        <v>151.28</v>
      </c>
      <c r="K1861" s="34" t="n">
        <v>36.99</v>
      </c>
      <c r="L1861" s="34" t="n">
        <f aca="false">AVERAGE(C1861:E1861)</f>
        <v>-12.7966666666667</v>
      </c>
      <c r="M1861" s="34" t="n">
        <f aca="false">AVERAGE(C1861:J1861)</f>
        <v>78.01625</v>
      </c>
    </row>
    <row r="1862" customFormat="false" ht="15" hidden="false" customHeight="true" outlineLevel="0" collapsed="false">
      <c r="A1862" s="34" t="s">
        <v>2030</v>
      </c>
      <c r="B1862" s="34" t="n">
        <v>40.07</v>
      </c>
      <c r="C1862" s="34" t="n">
        <v>-66.67</v>
      </c>
      <c r="D1862" s="34" t="n">
        <v>33.75</v>
      </c>
      <c r="E1862" s="34" t="n">
        <v>90.54</v>
      </c>
      <c r="F1862" s="34" t="n">
        <v>-20.32</v>
      </c>
      <c r="G1862" s="34" t="n">
        <v>-21.68</v>
      </c>
      <c r="H1862" s="34" t="n">
        <v>36.65</v>
      </c>
      <c r="I1862" s="34" t="n">
        <v>58.39</v>
      </c>
      <c r="J1862" s="34" t="n">
        <v>67.95</v>
      </c>
      <c r="K1862" s="34" t="n">
        <v>40.71</v>
      </c>
      <c r="L1862" s="34" t="n">
        <f aca="false">AVERAGE(C1862:E1862)</f>
        <v>19.2066666666667</v>
      </c>
      <c r="M1862" s="34" t="n">
        <f aca="false">AVERAGE(C1862:J1862)</f>
        <v>22.32625</v>
      </c>
    </row>
    <row r="1863" customFormat="false" ht="15" hidden="false" customHeight="true" outlineLevel="0" collapsed="false">
      <c r="A1863" s="34" t="s">
        <v>2031</v>
      </c>
      <c r="B1863" s="34" t="n">
        <v>39.98</v>
      </c>
      <c r="C1863" s="34" t="n">
        <v>-66.67</v>
      </c>
      <c r="D1863" s="34" t="n">
        <v>-50.76</v>
      </c>
      <c r="E1863" s="34" t="n">
        <v>30.35</v>
      </c>
      <c r="F1863" s="34" t="n">
        <v>-20.76</v>
      </c>
      <c r="G1863" s="34" t="n">
        <v>-64.44</v>
      </c>
      <c r="H1863" s="34" t="n">
        <v>-60.35</v>
      </c>
      <c r="I1863" s="34" t="n">
        <v>-25.55</v>
      </c>
      <c r="J1863" s="34" t="n">
        <v>-18.16</v>
      </c>
      <c r="K1863" s="34" t="n">
        <v>40.52</v>
      </c>
      <c r="L1863" s="34" t="n">
        <f aca="false">AVERAGE(C1863:E1863)</f>
        <v>-29.0266666666667</v>
      </c>
      <c r="M1863" s="34" t="n">
        <f aca="false">AVERAGE(C1863:J1863)</f>
        <v>-34.5425</v>
      </c>
    </row>
    <row r="1864" customFormat="false" ht="15" hidden="false" customHeight="true" outlineLevel="0" collapsed="false">
      <c r="A1864" s="34" t="s">
        <v>2032</v>
      </c>
      <c r="B1864" s="34" t="n">
        <v>39.8</v>
      </c>
      <c r="C1864" s="34" t="n">
        <v>-66.67</v>
      </c>
      <c r="D1864" s="34" t="n">
        <v>-104.5</v>
      </c>
      <c r="E1864" s="34" t="n">
        <v>-32.87</v>
      </c>
      <c r="F1864" s="34" t="n">
        <v>-1.94</v>
      </c>
      <c r="G1864" s="34" t="n">
        <v>-56.85</v>
      </c>
      <c r="H1864" s="34" t="n">
        <v>-79.64</v>
      </c>
      <c r="I1864" s="34" t="n">
        <v>-99.65</v>
      </c>
      <c r="J1864" s="34" t="n">
        <v>-105.9</v>
      </c>
      <c r="K1864" s="34" t="n">
        <v>38.15</v>
      </c>
      <c r="L1864" s="34" t="n">
        <f aca="false">AVERAGE(C1864:E1864)</f>
        <v>-68.0133333333333</v>
      </c>
      <c r="M1864" s="34" t="n">
        <f aca="false">AVERAGE(C1864:J1864)</f>
        <v>-68.5025</v>
      </c>
    </row>
    <row r="1865" customFormat="false" ht="15" hidden="false" customHeight="true" outlineLevel="0" collapsed="false">
      <c r="A1865" s="34" t="s">
        <v>2033</v>
      </c>
      <c r="B1865" s="34" t="n">
        <v>39.8</v>
      </c>
      <c r="C1865" s="34" t="n">
        <v>66.67</v>
      </c>
      <c r="D1865" s="34" t="n">
        <v>88.57</v>
      </c>
      <c r="E1865" s="34" t="n">
        <v>31.84</v>
      </c>
      <c r="F1865" s="34" t="n">
        <v>-37.61</v>
      </c>
      <c r="G1865" s="34" t="n">
        <v>-89.43</v>
      </c>
      <c r="H1865" s="34" t="n">
        <v>-61.58</v>
      </c>
      <c r="I1865" s="34" t="n">
        <v>-66.46</v>
      </c>
      <c r="J1865" s="34" t="n">
        <v>-80.99</v>
      </c>
      <c r="K1865" s="34" t="n">
        <v>41.26</v>
      </c>
      <c r="L1865" s="34" t="n">
        <f aca="false">AVERAGE(C1865:E1865)</f>
        <v>62.36</v>
      </c>
      <c r="M1865" s="34" t="n">
        <f aca="false">AVERAGE(C1865:J1865)</f>
        <v>-18.62375</v>
      </c>
    </row>
    <row r="1866" customFormat="false" ht="15" hidden="false" customHeight="true" outlineLevel="0" collapsed="false">
      <c r="A1866" s="34" t="s">
        <v>2034</v>
      </c>
      <c r="B1866" s="34" t="n">
        <v>39.57</v>
      </c>
      <c r="C1866" s="34" t="n">
        <v>66.67</v>
      </c>
      <c r="D1866" s="34" t="n">
        <v>133.33</v>
      </c>
      <c r="E1866" s="34" t="n">
        <v>150.9</v>
      </c>
      <c r="F1866" s="34" t="n">
        <v>39.24</v>
      </c>
      <c r="G1866" s="34" t="n">
        <v>77.36</v>
      </c>
      <c r="H1866" s="34" t="n">
        <v>94.55</v>
      </c>
      <c r="I1866" s="34" t="n">
        <v>105.68</v>
      </c>
      <c r="J1866" s="34" t="n">
        <v>124.71</v>
      </c>
      <c r="K1866" s="34" t="n">
        <v>37.08</v>
      </c>
      <c r="L1866" s="34" t="n">
        <f aca="false">AVERAGE(C1866:E1866)</f>
        <v>116.966666666667</v>
      </c>
      <c r="M1866" s="34" t="n">
        <f aca="false">AVERAGE(C1866:J1866)</f>
        <v>99.055</v>
      </c>
    </row>
    <row r="1867" customFormat="false" ht="15" hidden="false" customHeight="true" outlineLevel="0" collapsed="false">
      <c r="A1867" s="34" t="s">
        <v>2035</v>
      </c>
      <c r="B1867" s="34" t="n">
        <v>39.55</v>
      </c>
      <c r="C1867" s="34" t="n">
        <v>-66.67</v>
      </c>
      <c r="D1867" s="34" t="n">
        <v>-30.25</v>
      </c>
      <c r="E1867" s="34" t="n">
        <v>-31.54</v>
      </c>
      <c r="F1867" s="34" t="n">
        <v>-86.77</v>
      </c>
      <c r="G1867" s="34" t="n">
        <v>-96.68</v>
      </c>
      <c r="H1867" s="34" t="n">
        <v>-46.02</v>
      </c>
      <c r="I1867" s="34" t="n">
        <v>9.45</v>
      </c>
      <c r="J1867" s="34" t="n">
        <v>0.66</v>
      </c>
      <c r="K1867" s="34" t="n">
        <v>42.68</v>
      </c>
      <c r="L1867" s="34" t="n">
        <f aca="false">AVERAGE(C1867:E1867)</f>
        <v>-42.82</v>
      </c>
      <c r="M1867" s="34" t="n">
        <f aca="false">AVERAGE(C1867:J1867)</f>
        <v>-43.4775</v>
      </c>
    </row>
    <row r="1868" customFormat="false" ht="15" hidden="false" customHeight="true" outlineLevel="0" collapsed="false">
      <c r="A1868" s="34" t="s">
        <v>2036</v>
      </c>
      <c r="B1868" s="34" t="n">
        <v>39.19</v>
      </c>
      <c r="C1868" s="34" t="n">
        <v>-66.67</v>
      </c>
      <c r="D1868" s="34" t="n">
        <v>42</v>
      </c>
      <c r="E1868" s="34" t="n">
        <v>93.66</v>
      </c>
      <c r="F1868" s="34" t="n">
        <v>34.56</v>
      </c>
      <c r="G1868" s="34" t="n">
        <v>-23.6</v>
      </c>
      <c r="H1868" s="34" t="n">
        <v>0.368</v>
      </c>
      <c r="I1868" s="34" t="n">
        <v>10.3</v>
      </c>
      <c r="J1868" s="34" t="n">
        <v>-38.94</v>
      </c>
      <c r="K1868" s="34" t="n">
        <v>41.99</v>
      </c>
      <c r="L1868" s="34" t="n">
        <f aca="false">AVERAGE(C1868:E1868)</f>
        <v>22.9966666666667</v>
      </c>
      <c r="M1868" s="34" t="n">
        <f aca="false">AVERAGE(C1868:J1868)</f>
        <v>6.45975</v>
      </c>
    </row>
    <row r="1869" customFormat="false" ht="15" hidden="false" customHeight="true" outlineLevel="0" collapsed="false">
      <c r="A1869" s="34" t="s">
        <v>2037</v>
      </c>
      <c r="B1869" s="34" t="n">
        <v>39.05</v>
      </c>
      <c r="C1869" s="34" t="n">
        <v>-66.67</v>
      </c>
      <c r="D1869" s="34" t="n">
        <v>29.15</v>
      </c>
      <c r="E1869" s="34" t="n">
        <v>71.69</v>
      </c>
      <c r="F1869" s="34" t="n">
        <v>53.41</v>
      </c>
      <c r="G1869" s="34" t="n">
        <v>-28.07</v>
      </c>
      <c r="H1869" s="34" t="n">
        <v>-60.09</v>
      </c>
      <c r="I1869" s="34" t="n">
        <v>-66.84</v>
      </c>
      <c r="J1869" s="34" t="n">
        <v>-75.38</v>
      </c>
      <c r="K1869" s="34" t="n">
        <v>37.25</v>
      </c>
      <c r="L1869" s="34" t="n">
        <f aca="false">AVERAGE(C1869:E1869)</f>
        <v>11.39</v>
      </c>
      <c r="M1869" s="34" t="n">
        <f aca="false">AVERAGE(C1869:J1869)</f>
        <v>-17.85</v>
      </c>
    </row>
    <row r="1870" customFormat="false" ht="15" hidden="false" customHeight="true" outlineLevel="0" collapsed="false">
      <c r="A1870" s="34" t="s">
        <v>2038</v>
      </c>
      <c r="B1870" s="34" t="n">
        <v>39.05</v>
      </c>
      <c r="C1870" s="34" t="n">
        <v>-66.67</v>
      </c>
      <c r="D1870" s="34" t="n">
        <v>-9.84</v>
      </c>
      <c r="E1870" s="34" t="n">
        <v>73.25</v>
      </c>
      <c r="F1870" s="34" t="n">
        <v>92.66</v>
      </c>
      <c r="G1870" s="34"/>
      <c r="H1870" s="34"/>
      <c r="I1870" s="34"/>
      <c r="J1870" s="34"/>
      <c r="K1870" s="34" t="n">
        <v>39.19</v>
      </c>
      <c r="L1870" s="34" t="n">
        <f aca="false">AVERAGE(C1870:E1870)</f>
        <v>-1.08666666666667</v>
      </c>
      <c r="M1870" s="34" t="n">
        <f aca="false">AVERAGE(C1870:J1870)</f>
        <v>22.35</v>
      </c>
    </row>
    <row r="1871" customFormat="false" ht="15" hidden="false" customHeight="true" outlineLevel="0" collapsed="false">
      <c r="A1871" s="34" t="s">
        <v>2039</v>
      </c>
      <c r="B1871" s="34" t="n">
        <v>39.04</v>
      </c>
      <c r="C1871" s="34" t="n">
        <v>-66.67</v>
      </c>
      <c r="D1871" s="34" t="n">
        <v>-133.33</v>
      </c>
      <c r="E1871" s="34" t="n">
        <v>-134.94</v>
      </c>
      <c r="F1871" s="34" t="n">
        <v>-173.17</v>
      </c>
      <c r="G1871" s="34" t="n">
        <v>-139.76</v>
      </c>
      <c r="H1871" s="34" t="n">
        <v>-116.99</v>
      </c>
      <c r="I1871" s="34" t="n">
        <v>-25.52</v>
      </c>
      <c r="J1871" s="34" t="n">
        <v>-45.45</v>
      </c>
      <c r="K1871" s="34" t="n">
        <v>44.93</v>
      </c>
      <c r="L1871" s="34" t="n">
        <f aca="false">AVERAGE(C1871:E1871)</f>
        <v>-111.646666666667</v>
      </c>
      <c r="M1871" s="34" t="n">
        <f aca="false">AVERAGE(C1871:J1871)</f>
        <v>-104.47875</v>
      </c>
    </row>
    <row r="1872" customFormat="false" ht="15" hidden="false" customHeight="true" outlineLevel="0" collapsed="false">
      <c r="A1872" s="34" t="s">
        <v>2040</v>
      </c>
      <c r="B1872" s="34" t="n">
        <v>39</v>
      </c>
      <c r="C1872" s="34" t="n">
        <v>-66.67</v>
      </c>
      <c r="D1872" s="34" t="n">
        <v>-33.89</v>
      </c>
      <c r="E1872" s="34" t="n">
        <v>66.43</v>
      </c>
      <c r="F1872" s="34" t="n">
        <v>76.5</v>
      </c>
      <c r="G1872" s="34" t="n">
        <v>54.63</v>
      </c>
      <c r="H1872" s="34" t="n">
        <v>76.58</v>
      </c>
      <c r="I1872" s="34" t="n">
        <v>77.43</v>
      </c>
      <c r="J1872" s="34"/>
      <c r="K1872" s="34" t="n">
        <v>39.28</v>
      </c>
      <c r="L1872" s="34" t="n">
        <f aca="false">AVERAGE(C1872:E1872)</f>
        <v>-11.3766666666667</v>
      </c>
      <c r="M1872" s="34" t="n">
        <f aca="false">AVERAGE(C1872:J1872)</f>
        <v>35.8585714285714</v>
      </c>
    </row>
    <row r="1873" customFormat="false" ht="15" hidden="false" customHeight="true" outlineLevel="0" collapsed="false">
      <c r="A1873" s="34" t="s">
        <v>2041</v>
      </c>
      <c r="B1873" s="34" t="n">
        <v>38.84</v>
      </c>
      <c r="C1873" s="34" t="n">
        <v>-66.67</v>
      </c>
      <c r="D1873" s="34" t="n">
        <v>36.52</v>
      </c>
      <c r="E1873" s="34" t="n">
        <v>90.42</v>
      </c>
      <c r="F1873" s="34" t="n">
        <v>11.32</v>
      </c>
      <c r="G1873" s="34" t="n">
        <v>-4.03</v>
      </c>
      <c r="H1873" s="34" t="n">
        <v>43.63</v>
      </c>
      <c r="I1873" s="34" t="n">
        <v>59.51</v>
      </c>
      <c r="J1873" s="34" t="n">
        <v>72.57</v>
      </c>
      <c r="K1873" s="34" t="n">
        <v>39.7</v>
      </c>
      <c r="L1873" s="34" t="n">
        <f aca="false">AVERAGE(C1873:E1873)</f>
        <v>20.09</v>
      </c>
      <c r="M1873" s="34" t="n">
        <f aca="false">AVERAGE(C1873:J1873)</f>
        <v>30.40875</v>
      </c>
    </row>
    <row r="1874" customFormat="false" ht="15" hidden="false" customHeight="true" outlineLevel="0" collapsed="false">
      <c r="A1874" s="34" t="s">
        <v>483</v>
      </c>
      <c r="B1874" s="34" t="n">
        <v>38.75</v>
      </c>
      <c r="C1874" s="34" t="n">
        <v>-66.67</v>
      </c>
      <c r="D1874" s="34" t="n">
        <v>-108.78</v>
      </c>
      <c r="E1874" s="34" t="n">
        <v>-5.87</v>
      </c>
      <c r="F1874" s="34" t="n">
        <v>14.61</v>
      </c>
      <c r="G1874" s="34" t="n">
        <v>-7.56</v>
      </c>
      <c r="H1874" s="34" t="n">
        <v>21.2</v>
      </c>
      <c r="I1874" s="34" t="n">
        <v>45.05</v>
      </c>
      <c r="J1874" s="34" t="n">
        <v>31.87</v>
      </c>
      <c r="K1874" s="34" t="n">
        <v>38.45</v>
      </c>
      <c r="L1874" s="34" t="n">
        <f aca="false">AVERAGE(C1874:E1874)</f>
        <v>-60.44</v>
      </c>
      <c r="M1874" s="34" t="n">
        <f aca="false">AVERAGE(C1874:J1874)</f>
        <v>-9.51875</v>
      </c>
    </row>
    <row r="1875" customFormat="false" ht="15" hidden="false" customHeight="true" outlineLevel="0" collapsed="false">
      <c r="A1875" s="34" t="s">
        <v>2042</v>
      </c>
      <c r="B1875" s="34" t="n">
        <v>38.75</v>
      </c>
      <c r="C1875" s="34" t="n">
        <v>66.67</v>
      </c>
      <c r="D1875" s="34" t="n">
        <v>73.5</v>
      </c>
      <c r="E1875" s="34" t="n">
        <v>50.41</v>
      </c>
      <c r="F1875" s="34" t="n">
        <v>-69.07</v>
      </c>
      <c r="G1875" s="34" t="n">
        <v>-70.94</v>
      </c>
      <c r="H1875" s="34" t="n">
        <v>-36.9</v>
      </c>
      <c r="I1875" s="34" t="n">
        <v>-15.82</v>
      </c>
      <c r="J1875" s="34" t="n">
        <v>-44.53</v>
      </c>
      <c r="K1875" s="34" t="n">
        <v>34.85</v>
      </c>
      <c r="L1875" s="34" t="n">
        <f aca="false">AVERAGE(C1875:E1875)</f>
        <v>63.5266666666667</v>
      </c>
      <c r="M1875" s="34" t="n">
        <f aca="false">AVERAGE(C1875:J1875)</f>
        <v>-5.835</v>
      </c>
    </row>
    <row r="1876" customFormat="false" ht="15" hidden="false" customHeight="true" outlineLevel="0" collapsed="false">
      <c r="A1876" s="34" t="s">
        <v>2043</v>
      </c>
      <c r="B1876" s="34" t="n">
        <v>38.72</v>
      </c>
      <c r="C1876" s="34" t="n">
        <v>-66.67</v>
      </c>
      <c r="D1876" s="34" t="n">
        <v>50.76</v>
      </c>
      <c r="E1876" s="34" t="n">
        <v>119.51</v>
      </c>
      <c r="F1876" s="34" t="n">
        <v>-14.9</v>
      </c>
      <c r="G1876" s="34" t="n">
        <v>-72.38</v>
      </c>
      <c r="H1876" s="34" t="n">
        <v>-51.54</v>
      </c>
      <c r="I1876" s="34" t="n">
        <v>-41.91</v>
      </c>
      <c r="J1876" s="34" t="n">
        <v>-62.59</v>
      </c>
      <c r="K1876" s="34" t="n">
        <v>40.33</v>
      </c>
      <c r="L1876" s="34" t="n">
        <f aca="false">AVERAGE(C1876:E1876)</f>
        <v>34.5333333333333</v>
      </c>
      <c r="M1876" s="34" t="n">
        <f aca="false">AVERAGE(C1876:J1876)</f>
        <v>-17.465</v>
      </c>
    </row>
    <row r="1877" customFormat="false" ht="15" hidden="false" customHeight="true" outlineLevel="0" collapsed="false">
      <c r="A1877" s="34" t="s">
        <v>2044</v>
      </c>
      <c r="B1877" s="34" t="n">
        <v>38.68</v>
      </c>
      <c r="C1877" s="34" t="n">
        <v>-66.67</v>
      </c>
      <c r="D1877" s="34" t="n">
        <v>42.53</v>
      </c>
      <c r="E1877" s="34" t="n">
        <v>109.46</v>
      </c>
      <c r="F1877" s="34" t="n">
        <v>-17.53</v>
      </c>
      <c r="G1877" s="34" t="n">
        <v>-74.17</v>
      </c>
      <c r="H1877" s="34" t="n">
        <v>-56.59</v>
      </c>
      <c r="I1877" s="34" t="n">
        <v>-46.4</v>
      </c>
      <c r="J1877" s="34" t="n">
        <v>-65.65</v>
      </c>
      <c r="K1877" s="34" t="n">
        <v>38.87</v>
      </c>
      <c r="L1877" s="34" t="n">
        <f aca="false">AVERAGE(C1877:E1877)</f>
        <v>28.44</v>
      </c>
      <c r="M1877" s="34" t="n">
        <f aca="false">AVERAGE(C1877:J1877)</f>
        <v>-21.8775</v>
      </c>
    </row>
    <row r="1878" customFormat="false" ht="15" hidden="false" customHeight="true" outlineLevel="0" collapsed="false">
      <c r="A1878" s="34" t="s">
        <v>2045</v>
      </c>
      <c r="B1878" s="34" t="n">
        <v>38.65</v>
      </c>
      <c r="C1878" s="34" t="n">
        <v>-66.67</v>
      </c>
      <c r="D1878" s="34" t="n">
        <v>-112.18</v>
      </c>
      <c r="E1878" s="34" t="n">
        <v>-111.2</v>
      </c>
      <c r="F1878" s="34" t="n">
        <v>-98.54</v>
      </c>
      <c r="G1878" s="34" t="n">
        <v>-11.98</v>
      </c>
      <c r="H1878" s="34" t="n">
        <v>19.69</v>
      </c>
      <c r="I1878" s="34" t="n">
        <v>47.8</v>
      </c>
      <c r="J1878" s="34" t="n">
        <v>12.27</v>
      </c>
      <c r="K1878" s="34" t="n">
        <v>42.57</v>
      </c>
      <c r="L1878" s="34" t="n">
        <f aca="false">AVERAGE(C1878:E1878)</f>
        <v>-96.6833333333333</v>
      </c>
      <c r="M1878" s="34" t="n">
        <f aca="false">AVERAGE(C1878:J1878)</f>
        <v>-40.10125</v>
      </c>
    </row>
    <row r="1879" customFormat="false" ht="15" hidden="false" customHeight="true" outlineLevel="0" collapsed="false">
      <c r="A1879" s="34" t="s">
        <v>557</v>
      </c>
      <c r="B1879" s="34" t="n">
        <v>38.61</v>
      </c>
      <c r="C1879" s="34" t="n">
        <v>-66.67</v>
      </c>
      <c r="D1879" s="34" t="n">
        <v>21.29</v>
      </c>
      <c r="E1879" s="34" t="n">
        <v>95.74</v>
      </c>
      <c r="F1879" s="34" t="n">
        <v>-19.63</v>
      </c>
      <c r="G1879" s="34" t="n">
        <v>-75.6</v>
      </c>
      <c r="H1879" s="34" t="n">
        <v>-56.69</v>
      </c>
      <c r="I1879" s="34" t="n">
        <v>-47.02</v>
      </c>
      <c r="J1879" s="34" t="n">
        <v>-66.11</v>
      </c>
      <c r="K1879" s="34" t="n">
        <v>39.5</v>
      </c>
      <c r="L1879" s="34" t="n">
        <f aca="false">AVERAGE(C1879:E1879)</f>
        <v>16.7866666666667</v>
      </c>
      <c r="M1879" s="34" t="n">
        <f aca="false">AVERAGE(C1879:J1879)</f>
        <v>-26.83625</v>
      </c>
    </row>
    <row r="1880" customFormat="false" ht="15" hidden="false" customHeight="true" outlineLevel="0" collapsed="false">
      <c r="A1880" s="34" t="s">
        <v>2046</v>
      </c>
      <c r="B1880" s="34" t="n">
        <v>38.51</v>
      </c>
      <c r="C1880" s="34" t="n">
        <v>-66.67</v>
      </c>
      <c r="D1880" s="34" t="n">
        <v>-104.79</v>
      </c>
      <c r="E1880" s="34" t="n">
        <v>-205</v>
      </c>
      <c r="F1880" s="34" t="n">
        <v>-209.02</v>
      </c>
      <c r="G1880" s="34" t="n">
        <v>-223.18</v>
      </c>
      <c r="H1880" s="34" t="n">
        <v>-199.44</v>
      </c>
      <c r="I1880" s="34" t="n">
        <v>-155.85</v>
      </c>
      <c r="J1880" s="34" t="n">
        <v>-140.3</v>
      </c>
      <c r="K1880" s="34" t="n">
        <v>43.21</v>
      </c>
      <c r="L1880" s="34" t="n">
        <f aca="false">AVERAGE(C1880:E1880)</f>
        <v>-125.486666666667</v>
      </c>
      <c r="M1880" s="34" t="n">
        <f aca="false">AVERAGE(C1880:J1880)</f>
        <v>-163.03125</v>
      </c>
    </row>
    <row r="1881" customFormat="false" ht="15" hidden="false" customHeight="true" outlineLevel="0" collapsed="false">
      <c r="A1881" s="34" t="s">
        <v>2047</v>
      </c>
      <c r="B1881" s="34" t="n">
        <v>38.5</v>
      </c>
      <c r="C1881" s="34" t="n">
        <v>-66.67</v>
      </c>
      <c r="D1881" s="34" t="n">
        <v>-133.33</v>
      </c>
      <c r="E1881" s="34" t="n">
        <v>-103.75</v>
      </c>
      <c r="F1881" s="34" t="n">
        <v>-126.83</v>
      </c>
      <c r="G1881" s="34" t="n">
        <v>-186.57</v>
      </c>
      <c r="H1881" s="34" t="n">
        <v>-208.19</v>
      </c>
      <c r="I1881" s="34" t="n">
        <v>-134.36</v>
      </c>
      <c r="J1881" s="34" t="n">
        <v>-140.63</v>
      </c>
      <c r="K1881" s="34" t="n">
        <v>42.13</v>
      </c>
      <c r="L1881" s="34" t="n">
        <f aca="false">AVERAGE(C1881:E1881)</f>
        <v>-101.25</v>
      </c>
      <c r="M1881" s="34" t="n">
        <f aca="false">AVERAGE(C1881:J1881)</f>
        <v>-137.54125</v>
      </c>
    </row>
    <row r="1882" customFormat="false" ht="15" hidden="false" customHeight="true" outlineLevel="0" collapsed="false">
      <c r="A1882" s="34" t="s">
        <v>380</v>
      </c>
      <c r="B1882" s="34" t="n">
        <v>38.07</v>
      </c>
      <c r="C1882" s="34" t="n">
        <v>-66.67</v>
      </c>
      <c r="D1882" s="34" t="n">
        <v>50.32</v>
      </c>
      <c r="E1882" s="34" t="n">
        <v>102.3</v>
      </c>
      <c r="F1882" s="34" t="n">
        <v>21.67</v>
      </c>
      <c r="G1882" s="34" t="n">
        <v>-13.22</v>
      </c>
      <c r="H1882" s="34" t="n">
        <v>3.48</v>
      </c>
      <c r="I1882" s="34" t="n">
        <v>-22.76</v>
      </c>
      <c r="J1882" s="34" t="n">
        <v>-46.09</v>
      </c>
      <c r="K1882" s="34" t="n">
        <v>36.7</v>
      </c>
      <c r="L1882" s="34" t="n">
        <f aca="false">AVERAGE(C1882:E1882)</f>
        <v>28.65</v>
      </c>
      <c r="M1882" s="34" t="n">
        <f aca="false">AVERAGE(C1882:J1882)</f>
        <v>3.62875</v>
      </c>
    </row>
    <row r="1883" customFormat="false" ht="15" hidden="false" customHeight="true" outlineLevel="0" collapsed="false">
      <c r="A1883" s="34" t="s">
        <v>2048</v>
      </c>
      <c r="B1883" s="34" t="n">
        <v>38.05</v>
      </c>
      <c r="C1883" s="34" t="n">
        <v>-66.67</v>
      </c>
      <c r="D1883" s="34" t="n">
        <v>-113.53</v>
      </c>
      <c r="E1883" s="34" t="n">
        <v>32.07</v>
      </c>
      <c r="F1883" s="34" t="n">
        <v>-77.41</v>
      </c>
      <c r="G1883" s="34" t="n">
        <v>-98.71</v>
      </c>
      <c r="H1883" s="34" t="n">
        <v>-78.34</v>
      </c>
      <c r="I1883" s="34" t="n">
        <v>-51.93</v>
      </c>
      <c r="J1883" s="34" t="n">
        <v>-63.93</v>
      </c>
      <c r="K1883" s="34" t="n">
        <v>40.07</v>
      </c>
      <c r="L1883" s="34" t="n">
        <f aca="false">AVERAGE(C1883:E1883)</f>
        <v>-49.3766666666667</v>
      </c>
      <c r="M1883" s="34" t="n">
        <f aca="false">AVERAGE(C1883:J1883)</f>
        <v>-64.80625</v>
      </c>
    </row>
    <row r="1884" customFormat="false" ht="15" hidden="false" customHeight="true" outlineLevel="0" collapsed="false">
      <c r="A1884" s="34" t="s">
        <v>2049</v>
      </c>
      <c r="B1884" s="34" t="n">
        <v>38</v>
      </c>
      <c r="C1884" s="34" t="n">
        <v>-66.67</v>
      </c>
      <c r="D1884" s="34" t="n">
        <v>-91.14</v>
      </c>
      <c r="E1884" s="34" t="n">
        <v>-98.44</v>
      </c>
      <c r="F1884" s="34" t="n">
        <v>-130.55</v>
      </c>
      <c r="G1884" s="34" t="n">
        <v>-166.58</v>
      </c>
      <c r="H1884" s="34" t="n">
        <v>-192.43</v>
      </c>
      <c r="I1884" s="34" t="n">
        <v>-147.4</v>
      </c>
      <c r="J1884" s="34" t="n">
        <v>-133.88</v>
      </c>
      <c r="K1884" s="34" t="n">
        <v>42.28</v>
      </c>
      <c r="L1884" s="34" t="n">
        <f aca="false">AVERAGE(C1884:E1884)</f>
        <v>-85.4166666666667</v>
      </c>
      <c r="M1884" s="34" t="n">
        <f aca="false">AVERAGE(C1884:J1884)</f>
        <v>-128.38625</v>
      </c>
    </row>
    <row r="1885" customFormat="false" ht="15" hidden="false" customHeight="true" outlineLevel="0" collapsed="false">
      <c r="A1885" s="34" t="s">
        <v>2050</v>
      </c>
      <c r="B1885" s="34" t="n">
        <v>37.98</v>
      </c>
      <c r="C1885" s="34" t="n">
        <v>-66.67</v>
      </c>
      <c r="D1885" s="34" t="n">
        <v>28.76</v>
      </c>
      <c r="E1885" s="34" t="n">
        <v>87.55</v>
      </c>
      <c r="F1885" s="34" t="n">
        <v>63.28</v>
      </c>
      <c r="G1885" s="34" t="n">
        <v>53.38</v>
      </c>
      <c r="H1885" s="34" t="n">
        <v>82.55</v>
      </c>
      <c r="I1885" s="34" t="n">
        <v>79.17</v>
      </c>
      <c r="J1885" s="34" t="n">
        <v>91.8</v>
      </c>
      <c r="K1885" s="34" t="n">
        <v>36.76</v>
      </c>
      <c r="L1885" s="34" t="n">
        <f aca="false">AVERAGE(C1885:E1885)</f>
        <v>16.5466666666667</v>
      </c>
      <c r="M1885" s="34" t="n">
        <f aca="false">AVERAGE(C1885:J1885)</f>
        <v>52.4775</v>
      </c>
    </row>
    <row r="1886" customFormat="false" ht="15" hidden="false" customHeight="true" outlineLevel="0" collapsed="false">
      <c r="A1886" s="34" t="s">
        <v>2051</v>
      </c>
      <c r="B1886" s="34" t="n">
        <v>37.98</v>
      </c>
      <c r="C1886" s="34" t="n">
        <v>-66.67</v>
      </c>
      <c r="D1886" s="34" t="n">
        <v>52.47</v>
      </c>
      <c r="E1886" s="34" t="n">
        <v>118.06</v>
      </c>
      <c r="F1886" s="34" t="n">
        <v>-17.94</v>
      </c>
      <c r="G1886" s="34" t="n">
        <v>-74.15</v>
      </c>
      <c r="H1886" s="34" t="n">
        <v>-56.23</v>
      </c>
      <c r="I1886" s="34" t="n">
        <v>-46.69</v>
      </c>
      <c r="J1886" s="34" t="n">
        <v>-65.73</v>
      </c>
      <c r="K1886" s="34" t="n">
        <v>38.86</v>
      </c>
      <c r="L1886" s="34" t="n">
        <f aca="false">AVERAGE(C1886:E1886)</f>
        <v>34.62</v>
      </c>
      <c r="M1886" s="34" t="n">
        <f aca="false">AVERAGE(C1886:J1886)</f>
        <v>-19.61</v>
      </c>
    </row>
    <row r="1887" customFormat="false" ht="15" hidden="false" customHeight="true" outlineLevel="0" collapsed="false">
      <c r="A1887" s="34" t="s">
        <v>2052</v>
      </c>
      <c r="B1887" s="34" t="n">
        <v>37.78</v>
      </c>
      <c r="C1887" s="34" t="n">
        <v>-66.67</v>
      </c>
      <c r="D1887" s="34" t="n">
        <v>-31.21</v>
      </c>
      <c r="E1887" s="34" t="n">
        <v>34.53</v>
      </c>
      <c r="F1887" s="34" t="n">
        <v>-63.62</v>
      </c>
      <c r="G1887" s="34" t="n">
        <v>-89.17</v>
      </c>
      <c r="H1887" s="34" t="n">
        <v>-66.67</v>
      </c>
      <c r="I1887" s="34" t="n">
        <v>-11.17</v>
      </c>
      <c r="J1887" s="34" t="n">
        <v>-21.49</v>
      </c>
      <c r="K1887" s="34" t="n">
        <v>40.79</v>
      </c>
      <c r="L1887" s="34" t="n">
        <f aca="false">AVERAGE(C1887:E1887)</f>
        <v>-21.1166666666667</v>
      </c>
      <c r="M1887" s="34" t="n">
        <f aca="false">AVERAGE(C1887:J1887)</f>
        <v>-39.43375</v>
      </c>
    </row>
    <row r="1888" customFormat="false" ht="15" hidden="false" customHeight="true" outlineLevel="0" collapsed="false">
      <c r="A1888" s="34" t="s">
        <v>2053</v>
      </c>
      <c r="B1888" s="34" t="n">
        <v>37.5</v>
      </c>
      <c r="C1888" s="34" t="n">
        <v>66.67</v>
      </c>
      <c r="D1888" s="34" t="n">
        <v>5.07</v>
      </c>
      <c r="E1888" s="34" t="n">
        <v>-48.19</v>
      </c>
      <c r="F1888" s="34" t="n">
        <v>-87.95</v>
      </c>
      <c r="G1888" s="34" t="n">
        <v>-39.04</v>
      </c>
      <c r="H1888" s="34" t="n">
        <v>-51.45</v>
      </c>
      <c r="I1888" s="34" t="n">
        <v>-69.65</v>
      </c>
      <c r="J1888" s="34" t="n">
        <v>-79.75</v>
      </c>
      <c r="K1888" s="34" t="n">
        <v>44.6</v>
      </c>
      <c r="L1888" s="34" t="n">
        <f aca="false">AVERAGE(C1888:E1888)</f>
        <v>7.85</v>
      </c>
      <c r="M1888" s="34" t="n">
        <f aca="false">AVERAGE(C1888:J1888)</f>
        <v>-38.03625</v>
      </c>
    </row>
    <row r="1889" customFormat="false" ht="15" hidden="false" customHeight="true" outlineLevel="0" collapsed="false">
      <c r="A1889" s="34" t="s">
        <v>2054</v>
      </c>
      <c r="B1889" s="34" t="n">
        <v>37.21</v>
      </c>
      <c r="C1889" s="34" t="n">
        <v>-66.67</v>
      </c>
      <c r="D1889" s="34" t="n">
        <v>33.45</v>
      </c>
      <c r="E1889" s="34" t="n">
        <v>104</v>
      </c>
      <c r="F1889" s="34" t="n">
        <v>-19.02</v>
      </c>
      <c r="G1889" s="34" t="n">
        <v>-75.08</v>
      </c>
      <c r="H1889" s="34" t="n">
        <v>-57.22</v>
      </c>
      <c r="I1889" s="34" t="n">
        <v>-47.23</v>
      </c>
      <c r="J1889" s="34" t="n">
        <v>-66.52</v>
      </c>
      <c r="K1889" s="34" t="n">
        <v>37.87</v>
      </c>
      <c r="L1889" s="34" t="n">
        <f aca="false">AVERAGE(C1889:E1889)</f>
        <v>23.5933333333333</v>
      </c>
      <c r="M1889" s="34" t="n">
        <f aca="false">AVERAGE(C1889:J1889)</f>
        <v>-24.28625</v>
      </c>
    </row>
    <row r="1890" customFormat="false" ht="15" hidden="false" customHeight="true" outlineLevel="0" collapsed="false">
      <c r="A1890" s="34" t="s">
        <v>2055</v>
      </c>
      <c r="B1890" s="34" t="n">
        <v>37.08</v>
      </c>
      <c r="C1890" s="34" t="n">
        <v>-66.67</v>
      </c>
      <c r="D1890" s="34" t="n">
        <v>-80</v>
      </c>
      <c r="E1890" s="34" t="n">
        <v>-95.87</v>
      </c>
      <c r="F1890" s="34" t="n">
        <v>-174.35</v>
      </c>
      <c r="G1890" s="34" t="n">
        <v>-169.62</v>
      </c>
      <c r="H1890" s="34" t="n">
        <v>-164.74</v>
      </c>
      <c r="I1890" s="34" t="n">
        <v>-111.21</v>
      </c>
      <c r="J1890" s="34" t="n">
        <v>-75.21</v>
      </c>
      <c r="K1890" s="34" t="n">
        <v>41.16</v>
      </c>
      <c r="L1890" s="34" t="n">
        <f aca="false">AVERAGE(C1890:E1890)</f>
        <v>-80.8466666666667</v>
      </c>
      <c r="M1890" s="34" t="n">
        <f aca="false">AVERAGE(C1890:J1890)</f>
        <v>-117.20875</v>
      </c>
    </row>
    <row r="1891" customFormat="false" ht="15" hidden="false" customHeight="true" outlineLevel="0" collapsed="false">
      <c r="A1891" s="34" t="s">
        <v>2056</v>
      </c>
      <c r="B1891" s="34" t="n">
        <v>37.04</v>
      </c>
      <c r="C1891" s="34" t="n">
        <v>66.67</v>
      </c>
      <c r="D1891" s="34" t="n">
        <v>-58.34</v>
      </c>
      <c r="E1891" s="34" t="n">
        <v>12.74</v>
      </c>
      <c r="F1891" s="34" t="n">
        <v>-25.71</v>
      </c>
      <c r="G1891" s="34" t="n">
        <v>38.12</v>
      </c>
      <c r="H1891" s="34" t="n">
        <v>57.02</v>
      </c>
      <c r="I1891" s="34" t="n">
        <v>66.91</v>
      </c>
      <c r="J1891" s="34" t="n">
        <v>47.66</v>
      </c>
      <c r="K1891" s="34" t="n">
        <v>40.6</v>
      </c>
      <c r="L1891" s="34" t="n">
        <f aca="false">AVERAGE(C1891:E1891)</f>
        <v>7.02333333333333</v>
      </c>
      <c r="M1891" s="34" t="n">
        <f aca="false">AVERAGE(C1891:J1891)</f>
        <v>25.63375</v>
      </c>
    </row>
    <row r="1892" customFormat="false" ht="15" hidden="false" customHeight="true" outlineLevel="0" collapsed="false">
      <c r="A1892" s="34" t="s">
        <v>2057</v>
      </c>
      <c r="B1892" s="34" t="n">
        <v>36.97</v>
      </c>
      <c r="C1892" s="34" t="n">
        <v>-66.67</v>
      </c>
      <c r="D1892" s="34" t="n">
        <v>-94.12</v>
      </c>
      <c r="E1892" s="34" t="n">
        <v>40.3</v>
      </c>
      <c r="F1892" s="34" t="n">
        <v>-52.18</v>
      </c>
      <c r="G1892" s="34" t="n">
        <v>-70.98</v>
      </c>
      <c r="H1892" s="34" t="n">
        <v>-32.16</v>
      </c>
      <c r="I1892" s="34" t="n">
        <v>3.6</v>
      </c>
      <c r="J1892" s="34" t="n">
        <v>-19.13</v>
      </c>
      <c r="K1892" s="34" t="n">
        <v>39.29</v>
      </c>
      <c r="L1892" s="34" t="n">
        <f aca="false">AVERAGE(C1892:E1892)</f>
        <v>-40.1633333333333</v>
      </c>
      <c r="M1892" s="34" t="n">
        <f aca="false">AVERAGE(C1892:J1892)</f>
        <v>-36.4175</v>
      </c>
    </row>
    <row r="1893" customFormat="false" ht="15" hidden="false" customHeight="true" outlineLevel="0" collapsed="false">
      <c r="A1893" s="34" t="s">
        <v>2058</v>
      </c>
      <c r="B1893" s="34" t="n">
        <v>36.9</v>
      </c>
      <c r="C1893" s="34" t="n">
        <v>-66.67</v>
      </c>
      <c r="D1893" s="34" t="n">
        <v>-98.87</v>
      </c>
      <c r="E1893" s="34" t="n">
        <v>-57.78</v>
      </c>
      <c r="F1893" s="34" t="n">
        <v>-55.27</v>
      </c>
      <c r="G1893" s="34" t="n">
        <v>39.54</v>
      </c>
      <c r="H1893" s="34" t="n">
        <v>68.86</v>
      </c>
      <c r="I1893" s="34" t="n">
        <v>95.09</v>
      </c>
      <c r="J1893" s="34" t="n">
        <v>77.32</v>
      </c>
      <c r="K1893" s="34" t="n">
        <v>40.45</v>
      </c>
      <c r="L1893" s="34" t="n">
        <f aca="false">AVERAGE(C1893:E1893)</f>
        <v>-74.44</v>
      </c>
      <c r="M1893" s="34" t="n">
        <f aca="false">AVERAGE(C1893:J1893)</f>
        <v>0.277499999999998</v>
      </c>
    </row>
    <row r="1894" customFormat="false" ht="15" hidden="false" customHeight="true" outlineLevel="0" collapsed="false">
      <c r="A1894" s="34" t="s">
        <v>2059</v>
      </c>
      <c r="B1894" s="34" t="n">
        <v>36.85</v>
      </c>
      <c r="C1894" s="34" t="n">
        <v>-66.67</v>
      </c>
      <c r="D1894" s="34" t="n">
        <v>38.66</v>
      </c>
      <c r="E1894" s="34" t="n">
        <v>105.74</v>
      </c>
      <c r="F1894" s="34" t="n">
        <v>-17.29</v>
      </c>
      <c r="G1894" s="34" t="n">
        <v>-72.81</v>
      </c>
      <c r="H1894" s="34" t="n">
        <v>-56.04</v>
      </c>
      <c r="I1894" s="34" t="n">
        <v>-45.78</v>
      </c>
      <c r="J1894" s="34" t="n">
        <v>-65.21</v>
      </c>
      <c r="K1894" s="34" t="n">
        <v>37.4</v>
      </c>
      <c r="L1894" s="34" t="n">
        <f aca="false">AVERAGE(C1894:E1894)</f>
        <v>25.91</v>
      </c>
      <c r="M1894" s="34" t="n">
        <f aca="false">AVERAGE(C1894:J1894)</f>
        <v>-22.425</v>
      </c>
    </row>
    <row r="1895" customFormat="false" ht="15" hidden="false" customHeight="true" outlineLevel="0" collapsed="false">
      <c r="A1895" s="34" t="s">
        <v>2060</v>
      </c>
      <c r="B1895" s="34" t="n">
        <v>36.84</v>
      </c>
      <c r="C1895" s="34" t="n">
        <v>-66.67</v>
      </c>
      <c r="D1895" s="34" t="n">
        <v>-62.37</v>
      </c>
      <c r="E1895" s="34" t="n">
        <v>65.23</v>
      </c>
      <c r="F1895" s="34" t="n">
        <v>-26.03</v>
      </c>
      <c r="G1895" s="34" t="n">
        <v>-24.15</v>
      </c>
      <c r="H1895" s="34" t="n">
        <v>23.82</v>
      </c>
      <c r="I1895" s="34" t="n">
        <v>51.61</v>
      </c>
      <c r="J1895" s="34" t="n">
        <v>65.28</v>
      </c>
      <c r="K1895" s="34" t="n">
        <v>37.71</v>
      </c>
      <c r="L1895" s="34" t="n">
        <f aca="false">AVERAGE(C1895:E1895)</f>
        <v>-21.27</v>
      </c>
      <c r="M1895" s="34" t="n">
        <f aca="false">AVERAGE(C1895:J1895)</f>
        <v>3.34</v>
      </c>
    </row>
    <row r="1896" customFormat="false" ht="15" hidden="false" customHeight="true" outlineLevel="0" collapsed="false">
      <c r="A1896" s="34" t="s">
        <v>2061</v>
      </c>
      <c r="B1896" s="34" t="n">
        <v>36.83</v>
      </c>
      <c r="C1896" s="34" t="n">
        <v>66.67</v>
      </c>
      <c r="D1896" s="34" t="n">
        <v>41</v>
      </c>
      <c r="E1896" s="34" t="n">
        <v>-57.13</v>
      </c>
      <c r="F1896" s="34" t="n">
        <v>-110.7</v>
      </c>
      <c r="G1896" s="34" t="n">
        <v>-174.94</v>
      </c>
      <c r="H1896" s="34" t="n">
        <v>-110.63</v>
      </c>
      <c r="I1896" s="34" t="n">
        <v>-14.59</v>
      </c>
      <c r="J1896" s="34" t="n">
        <v>-21.5</v>
      </c>
      <c r="K1896" s="34" t="n">
        <v>39.82</v>
      </c>
      <c r="L1896" s="34" t="n">
        <f aca="false">AVERAGE(C1896:E1896)</f>
        <v>16.8466666666667</v>
      </c>
      <c r="M1896" s="34" t="n">
        <f aca="false">AVERAGE(C1896:J1896)</f>
        <v>-47.7275</v>
      </c>
    </row>
    <row r="1897" customFormat="false" ht="15" hidden="false" customHeight="true" outlineLevel="0" collapsed="false">
      <c r="A1897" s="34" t="s">
        <v>2062</v>
      </c>
      <c r="B1897" s="34" t="n">
        <v>36.7</v>
      </c>
      <c r="C1897" s="34" t="n">
        <v>-66.67</v>
      </c>
      <c r="D1897" s="34" t="n">
        <v>47.46</v>
      </c>
      <c r="E1897" s="34" t="n">
        <v>110.89</v>
      </c>
      <c r="F1897" s="34" t="n">
        <v>-23.61</v>
      </c>
      <c r="G1897" s="34" t="n">
        <v>-78</v>
      </c>
      <c r="H1897" s="34" t="n">
        <v>-60.14</v>
      </c>
      <c r="I1897" s="34" t="n">
        <v>-51.14</v>
      </c>
      <c r="J1897" s="34" t="n">
        <v>-69.11</v>
      </c>
      <c r="K1897" s="34" t="n">
        <v>35.52</v>
      </c>
      <c r="L1897" s="34" t="n">
        <f aca="false">AVERAGE(C1897:E1897)</f>
        <v>30.56</v>
      </c>
      <c r="M1897" s="34" t="n">
        <f aca="false">AVERAGE(C1897:J1897)</f>
        <v>-23.79</v>
      </c>
    </row>
    <row r="1898" customFormat="false" ht="15" hidden="false" customHeight="true" outlineLevel="0" collapsed="false">
      <c r="A1898" s="34" t="s">
        <v>2063</v>
      </c>
      <c r="B1898" s="34" t="n">
        <v>36.42</v>
      </c>
      <c r="C1898" s="34" t="n">
        <v>-66.67</v>
      </c>
      <c r="D1898" s="34" t="n">
        <v>-99.72</v>
      </c>
      <c r="E1898" s="34" t="n">
        <v>54.1</v>
      </c>
      <c r="F1898" s="34" t="n">
        <v>-53.76</v>
      </c>
      <c r="G1898" s="34" t="n">
        <v>-46.32</v>
      </c>
      <c r="H1898" s="34" t="n">
        <v>14.4</v>
      </c>
      <c r="I1898" s="34" t="n">
        <v>42.53</v>
      </c>
      <c r="J1898" s="34" t="n">
        <v>28.69</v>
      </c>
      <c r="K1898" s="34" t="n">
        <v>37.68</v>
      </c>
      <c r="L1898" s="34" t="n">
        <f aca="false">AVERAGE(C1898:E1898)</f>
        <v>-37.43</v>
      </c>
      <c r="M1898" s="34" t="n">
        <f aca="false">AVERAGE(C1898:J1898)</f>
        <v>-15.84375</v>
      </c>
    </row>
    <row r="1899" customFormat="false" ht="15" hidden="false" customHeight="true" outlineLevel="0" collapsed="false">
      <c r="A1899" s="34" t="s">
        <v>2064</v>
      </c>
      <c r="B1899" s="34" t="n">
        <v>36.25</v>
      </c>
      <c r="C1899" s="34" t="n">
        <v>-66.67</v>
      </c>
      <c r="D1899" s="34" t="n">
        <v>-21.11</v>
      </c>
      <c r="E1899" s="34" t="n">
        <v>56.16</v>
      </c>
      <c r="F1899" s="34" t="n">
        <v>127.4</v>
      </c>
      <c r="G1899" s="34" t="n">
        <v>59.85</v>
      </c>
      <c r="H1899" s="34" t="n">
        <v>73.66</v>
      </c>
      <c r="I1899" s="34" t="n">
        <v>35.13</v>
      </c>
      <c r="J1899" s="34" t="n">
        <v>-16.2</v>
      </c>
      <c r="K1899" s="34" t="n">
        <v>37.86</v>
      </c>
      <c r="L1899" s="34" t="n">
        <f aca="false">AVERAGE(C1899:E1899)</f>
        <v>-10.54</v>
      </c>
      <c r="M1899" s="34" t="n">
        <f aca="false">AVERAGE(C1899:J1899)</f>
        <v>31.0275</v>
      </c>
    </row>
    <row r="1900" customFormat="false" ht="15" hidden="false" customHeight="true" outlineLevel="0" collapsed="false">
      <c r="A1900" s="34" t="s">
        <v>2065</v>
      </c>
      <c r="B1900" s="34" t="n">
        <v>36.23</v>
      </c>
      <c r="C1900" s="34" t="n">
        <v>-66.67</v>
      </c>
      <c r="D1900" s="34" t="n">
        <v>-133.33</v>
      </c>
      <c r="E1900" s="34" t="n">
        <v>54.09</v>
      </c>
      <c r="F1900" s="34" t="n">
        <v>44.66</v>
      </c>
      <c r="G1900" s="34" t="n">
        <v>74.01</v>
      </c>
      <c r="H1900" s="34" t="n">
        <v>97.24</v>
      </c>
      <c r="I1900" s="34" t="n">
        <v>116.05</v>
      </c>
      <c r="J1900" s="34" t="n">
        <v>137.5</v>
      </c>
      <c r="K1900" s="34" t="n">
        <v>34.71</v>
      </c>
      <c r="L1900" s="34" t="n">
        <f aca="false">AVERAGE(C1900:E1900)</f>
        <v>-48.6366666666667</v>
      </c>
      <c r="M1900" s="34" t="n">
        <f aca="false">AVERAGE(C1900:J1900)</f>
        <v>40.44375</v>
      </c>
    </row>
    <row r="1901" customFormat="false" ht="15" hidden="false" customHeight="true" outlineLevel="0" collapsed="false">
      <c r="A1901" s="34" t="s">
        <v>2066</v>
      </c>
      <c r="B1901" s="34" t="n">
        <v>36.1</v>
      </c>
      <c r="C1901" s="34" t="n">
        <v>-66.67</v>
      </c>
      <c r="D1901" s="34" t="n">
        <v>-120.9</v>
      </c>
      <c r="E1901" s="34" t="n">
        <v>-36.31</v>
      </c>
      <c r="F1901" s="34" t="n">
        <v>-92.71</v>
      </c>
      <c r="G1901" s="34" t="n">
        <v>-91.62</v>
      </c>
      <c r="H1901" s="34" t="n">
        <v>-115.12</v>
      </c>
      <c r="I1901" s="34" t="n">
        <v>-143.05</v>
      </c>
      <c r="J1901" s="34" t="n">
        <v>-153.54</v>
      </c>
      <c r="K1901" s="34" t="n">
        <v>38.73</v>
      </c>
      <c r="L1901" s="34" t="n">
        <f aca="false">AVERAGE(C1901:E1901)</f>
        <v>-74.6266666666667</v>
      </c>
      <c r="M1901" s="34" t="n">
        <f aca="false">AVERAGE(C1901:J1901)</f>
        <v>-102.49</v>
      </c>
    </row>
    <row r="1902" customFormat="false" ht="15" hidden="false" customHeight="true" outlineLevel="0" collapsed="false">
      <c r="A1902" s="34" t="s">
        <v>360</v>
      </c>
      <c r="B1902" s="34" t="n">
        <v>35.82</v>
      </c>
      <c r="C1902" s="34" t="n">
        <v>-66.67</v>
      </c>
      <c r="D1902" s="34" t="n">
        <v>-133.33</v>
      </c>
      <c r="E1902" s="34" t="n">
        <v>-46.57</v>
      </c>
      <c r="F1902" s="34" t="n">
        <v>-67.24</v>
      </c>
      <c r="G1902" s="34" t="n">
        <v>-105.77</v>
      </c>
      <c r="H1902" s="34" t="n">
        <v>-88.55</v>
      </c>
      <c r="I1902" s="34" t="n">
        <v>-78.06</v>
      </c>
      <c r="J1902" s="34" t="n">
        <v>-73.28</v>
      </c>
      <c r="K1902" s="34" t="n">
        <v>36.66</v>
      </c>
      <c r="L1902" s="34" t="n">
        <f aca="false">AVERAGE(C1902:E1902)</f>
        <v>-82.19</v>
      </c>
      <c r="M1902" s="34" t="n">
        <f aca="false">AVERAGE(C1902:J1902)</f>
        <v>-82.43375</v>
      </c>
    </row>
    <row r="1903" customFormat="false" ht="15" hidden="false" customHeight="true" outlineLevel="0" collapsed="false">
      <c r="A1903" s="34" t="s">
        <v>2067</v>
      </c>
      <c r="B1903" s="34" t="n">
        <v>35.8</v>
      </c>
      <c r="C1903" s="34" t="n">
        <v>-66.67</v>
      </c>
      <c r="D1903" s="34" t="n">
        <v>-79.42</v>
      </c>
      <c r="E1903" s="34" t="n">
        <v>-40.04</v>
      </c>
      <c r="F1903" s="34" t="n">
        <v>-86.86</v>
      </c>
      <c r="G1903" s="34" t="n">
        <v>-94.08</v>
      </c>
      <c r="H1903" s="34" t="n">
        <v>-9.76</v>
      </c>
      <c r="I1903" s="34" t="n">
        <v>27.98</v>
      </c>
      <c r="J1903" s="34" t="n">
        <v>14.74</v>
      </c>
      <c r="K1903" s="34" t="n">
        <v>39.04</v>
      </c>
      <c r="L1903" s="34" t="n">
        <f aca="false">AVERAGE(C1903:E1903)</f>
        <v>-62.0433333333333</v>
      </c>
      <c r="M1903" s="34" t="n">
        <f aca="false">AVERAGE(C1903:J1903)</f>
        <v>-41.76375</v>
      </c>
    </row>
    <row r="1904" customFormat="false" ht="15" hidden="false" customHeight="true" outlineLevel="0" collapsed="false">
      <c r="A1904" s="34" t="s">
        <v>2068</v>
      </c>
      <c r="B1904" s="34" t="n">
        <v>35.66</v>
      </c>
      <c r="C1904" s="34" t="n">
        <v>-66.67</v>
      </c>
      <c r="D1904" s="34" t="n">
        <v>-133.33</v>
      </c>
      <c r="E1904" s="34" t="n">
        <v>-79.88</v>
      </c>
      <c r="F1904" s="34" t="n">
        <v>-108.69</v>
      </c>
      <c r="G1904" s="34" t="n">
        <v>-163.24</v>
      </c>
      <c r="H1904" s="34" t="n">
        <v>-80.88</v>
      </c>
      <c r="I1904" s="34" t="n">
        <v>-59.79</v>
      </c>
      <c r="J1904" s="34" t="n">
        <v>-72.46</v>
      </c>
      <c r="K1904" s="34" t="n">
        <v>34.85</v>
      </c>
      <c r="L1904" s="34" t="n">
        <f aca="false">AVERAGE(C1904:E1904)</f>
        <v>-93.2933333333333</v>
      </c>
      <c r="M1904" s="34" t="n">
        <f aca="false">AVERAGE(C1904:J1904)</f>
        <v>-95.6175</v>
      </c>
    </row>
    <row r="1905" customFormat="false" ht="15" hidden="false" customHeight="true" outlineLevel="0" collapsed="false">
      <c r="A1905" s="34" t="s">
        <v>2069</v>
      </c>
      <c r="B1905" s="34" t="n">
        <v>35.49</v>
      </c>
      <c r="C1905" s="34" t="n">
        <v>-66.67</v>
      </c>
      <c r="D1905" s="34" t="n">
        <v>33.64</v>
      </c>
      <c r="E1905" s="34" t="n">
        <v>86.76</v>
      </c>
      <c r="F1905" s="34" t="n">
        <v>-16.15</v>
      </c>
      <c r="G1905" s="34" t="n">
        <v>-69.15</v>
      </c>
      <c r="H1905" s="34"/>
      <c r="I1905" s="34"/>
      <c r="J1905" s="34"/>
      <c r="K1905" s="34" t="n">
        <v>36.34</v>
      </c>
      <c r="L1905" s="34" t="n">
        <f aca="false">AVERAGE(C1905:E1905)</f>
        <v>17.91</v>
      </c>
      <c r="M1905" s="34" t="n">
        <f aca="false">AVERAGE(C1905:J1905)</f>
        <v>-6.314</v>
      </c>
    </row>
    <row r="1906" customFormat="false" ht="15" hidden="false" customHeight="true" outlineLevel="0" collapsed="false">
      <c r="A1906" s="34" t="s">
        <v>2070</v>
      </c>
      <c r="B1906" s="34" t="n">
        <v>35.14</v>
      </c>
      <c r="C1906" s="34" t="n">
        <v>66.67</v>
      </c>
      <c r="D1906" s="34" t="n">
        <v>44.46</v>
      </c>
      <c r="E1906" s="34" t="n">
        <v>23.18</v>
      </c>
      <c r="F1906" s="34" t="n">
        <v>-15.01</v>
      </c>
      <c r="G1906" s="34" t="n">
        <v>-58.2</v>
      </c>
      <c r="H1906" s="34" t="n">
        <v>-66.33</v>
      </c>
      <c r="I1906" s="34" t="n">
        <v>-12.62</v>
      </c>
      <c r="J1906" s="34" t="n">
        <v>-24.62</v>
      </c>
      <c r="K1906" s="34" t="n">
        <v>35.5</v>
      </c>
      <c r="L1906" s="34" t="n">
        <f aca="false">AVERAGE(C1906:E1906)</f>
        <v>44.77</v>
      </c>
      <c r="M1906" s="34" t="n">
        <f aca="false">AVERAGE(C1906:J1906)</f>
        <v>-5.30874999999999</v>
      </c>
    </row>
    <row r="1907" customFormat="false" ht="15" hidden="false" customHeight="true" outlineLevel="0" collapsed="false">
      <c r="A1907" s="34" t="s">
        <v>2071</v>
      </c>
      <c r="B1907" s="34" t="n">
        <v>34.79</v>
      </c>
      <c r="C1907" s="34" t="n">
        <v>-66.67</v>
      </c>
      <c r="D1907" s="34" t="n">
        <v>3.86</v>
      </c>
      <c r="E1907" s="34" t="n">
        <v>60.1</v>
      </c>
      <c r="F1907" s="34" t="n">
        <v>-69.4</v>
      </c>
      <c r="G1907" s="34" t="n">
        <v>-119.36</v>
      </c>
      <c r="H1907" s="34" t="n">
        <v>-84.32</v>
      </c>
      <c r="I1907" s="34" t="n">
        <v>-39.02</v>
      </c>
      <c r="J1907" s="34"/>
      <c r="K1907" s="34" t="n">
        <v>36.41</v>
      </c>
      <c r="L1907" s="34" t="n">
        <f aca="false">AVERAGE(C1907:E1907)</f>
        <v>-0.903333333333334</v>
      </c>
      <c r="M1907" s="34" t="n">
        <f aca="false">AVERAGE(C1907:J1907)</f>
        <v>-44.9728571428571</v>
      </c>
    </row>
    <row r="1908" customFormat="false" ht="15" hidden="false" customHeight="true" outlineLevel="0" collapsed="false">
      <c r="A1908" s="34" t="s">
        <v>2072</v>
      </c>
      <c r="B1908" s="34" t="n">
        <v>34.6</v>
      </c>
      <c r="C1908" s="34" t="n">
        <v>-66.67</v>
      </c>
      <c r="D1908" s="34" t="n">
        <v>-72.22</v>
      </c>
      <c r="E1908" s="34" t="n">
        <v>-9.73</v>
      </c>
      <c r="F1908" s="34" t="n">
        <v>81.4</v>
      </c>
      <c r="G1908" s="34" t="n">
        <v>145.23</v>
      </c>
      <c r="H1908" s="34" t="n">
        <v>138.07</v>
      </c>
      <c r="I1908" s="34" t="n">
        <v>145.16</v>
      </c>
      <c r="J1908" s="34" t="n">
        <v>124.51</v>
      </c>
      <c r="K1908" s="34" t="n">
        <v>32.86</v>
      </c>
      <c r="L1908" s="34" t="n">
        <f aca="false">AVERAGE(C1908:E1908)</f>
        <v>-49.54</v>
      </c>
      <c r="M1908" s="34" t="n">
        <f aca="false">AVERAGE(C1908:J1908)</f>
        <v>60.71875</v>
      </c>
    </row>
    <row r="1909" customFormat="false" ht="15" hidden="false" customHeight="true" outlineLevel="0" collapsed="false">
      <c r="A1909" s="34" t="s">
        <v>2073</v>
      </c>
      <c r="B1909" s="34" t="n">
        <v>34.24</v>
      </c>
      <c r="C1909" s="34" t="n">
        <v>66.67</v>
      </c>
      <c r="D1909" s="34" t="n">
        <v>-36.24</v>
      </c>
      <c r="E1909" s="34" t="n">
        <v>-14.47</v>
      </c>
      <c r="F1909" s="34" t="n">
        <v>-71.87</v>
      </c>
      <c r="G1909" s="34" t="n">
        <v>-13.5</v>
      </c>
      <c r="H1909" s="34" t="n">
        <v>36.71</v>
      </c>
      <c r="I1909" s="34" t="n">
        <v>58.85</v>
      </c>
      <c r="J1909" s="34" t="n">
        <v>49.84</v>
      </c>
      <c r="K1909" s="34" t="n">
        <v>32.94</v>
      </c>
      <c r="L1909" s="34" t="n">
        <f aca="false">AVERAGE(C1909:E1909)</f>
        <v>5.32</v>
      </c>
      <c r="M1909" s="34" t="n">
        <f aca="false">AVERAGE(C1909:J1909)</f>
        <v>9.49875</v>
      </c>
    </row>
    <row r="1910" customFormat="false" ht="15" hidden="false" customHeight="true" outlineLevel="0" collapsed="false">
      <c r="A1910" s="34" t="s">
        <v>2074</v>
      </c>
      <c r="B1910" s="34" t="n">
        <v>33.86</v>
      </c>
      <c r="C1910" s="34" t="n">
        <v>66.67</v>
      </c>
      <c r="D1910" s="34" t="n">
        <v>16.26</v>
      </c>
      <c r="E1910" s="34" t="n">
        <v>-65.91</v>
      </c>
      <c r="F1910" s="34" t="n">
        <v>-156.95</v>
      </c>
      <c r="G1910" s="34" t="n">
        <v>-151.85</v>
      </c>
      <c r="H1910" s="34" t="n">
        <v>-176.25</v>
      </c>
      <c r="I1910" s="34" t="n">
        <v>-177.14</v>
      </c>
      <c r="J1910" s="34" t="n">
        <v>-115.03</v>
      </c>
      <c r="K1910" s="34" t="n">
        <v>37.28</v>
      </c>
      <c r="L1910" s="34" t="n">
        <f aca="false">AVERAGE(C1910:E1910)</f>
        <v>5.67333333333334</v>
      </c>
      <c r="M1910" s="34" t="n">
        <f aca="false">AVERAGE(C1910:J1910)</f>
        <v>-95.025</v>
      </c>
    </row>
    <row r="1911" customFormat="false" ht="15" hidden="false" customHeight="true" outlineLevel="0" collapsed="false">
      <c r="A1911" s="34" t="s">
        <v>2075</v>
      </c>
      <c r="B1911" s="34" t="n">
        <v>33.74</v>
      </c>
      <c r="C1911" s="34" t="n">
        <v>-66.67</v>
      </c>
      <c r="D1911" s="34" t="n">
        <v>-81.59</v>
      </c>
      <c r="E1911" s="34" t="n">
        <v>-100.74</v>
      </c>
      <c r="F1911" s="34"/>
      <c r="G1911" s="34"/>
      <c r="H1911" s="34"/>
      <c r="I1911" s="34"/>
      <c r="J1911" s="34"/>
      <c r="K1911" s="34" t="n">
        <v>37.76</v>
      </c>
      <c r="L1911" s="34" t="n">
        <f aca="false">AVERAGE(C1911:E1911)</f>
        <v>-83</v>
      </c>
      <c r="M1911" s="34" t="n">
        <f aca="false">AVERAGE(C1911:J1911)</f>
        <v>-83</v>
      </c>
    </row>
    <row r="1912" customFormat="false" ht="15" hidden="false" customHeight="true" outlineLevel="0" collapsed="false">
      <c r="A1912" s="34" t="s">
        <v>2076</v>
      </c>
      <c r="B1912" s="34" t="n">
        <v>33.71</v>
      </c>
      <c r="C1912" s="34" t="n">
        <v>-66.67</v>
      </c>
      <c r="D1912" s="34" t="n">
        <v>-61.85</v>
      </c>
      <c r="E1912" s="34" t="n">
        <v>-49.33</v>
      </c>
      <c r="F1912" s="34" t="n">
        <v>-79.23</v>
      </c>
      <c r="G1912" s="34" t="n">
        <v>-51.32</v>
      </c>
      <c r="H1912" s="34" t="n">
        <v>25.03</v>
      </c>
      <c r="I1912" s="34" t="n">
        <v>44.56</v>
      </c>
      <c r="J1912" s="34" t="n">
        <v>5.68</v>
      </c>
      <c r="K1912" s="34" t="n">
        <v>36.19</v>
      </c>
      <c r="L1912" s="34" t="n">
        <f aca="false">AVERAGE(C1912:E1912)</f>
        <v>-59.2833333333333</v>
      </c>
      <c r="M1912" s="34" t="n">
        <f aca="false">AVERAGE(C1912:J1912)</f>
        <v>-29.14125</v>
      </c>
    </row>
    <row r="1913" customFormat="false" ht="15" hidden="false" customHeight="true" outlineLevel="0" collapsed="false">
      <c r="A1913" s="34" t="s">
        <v>2077</v>
      </c>
      <c r="B1913" s="34" t="n">
        <v>33.5</v>
      </c>
      <c r="C1913" s="34" t="n">
        <v>-66.67</v>
      </c>
      <c r="D1913" s="34" t="n">
        <v>35.67</v>
      </c>
      <c r="E1913" s="34" t="n">
        <v>52.5</v>
      </c>
      <c r="F1913" s="34" t="n">
        <v>-67.26</v>
      </c>
      <c r="G1913" s="34" t="n">
        <v>-82.52</v>
      </c>
      <c r="H1913" s="34" t="n">
        <v>-85.21</v>
      </c>
      <c r="I1913" s="34" t="n">
        <v>-75.87</v>
      </c>
      <c r="J1913" s="34" t="n">
        <v>-90.63</v>
      </c>
      <c r="K1913" s="34" t="n">
        <v>36.84</v>
      </c>
      <c r="L1913" s="34" t="n">
        <f aca="false">AVERAGE(C1913:E1913)</f>
        <v>7.16666666666667</v>
      </c>
      <c r="M1913" s="34" t="n">
        <f aca="false">AVERAGE(C1913:J1913)</f>
        <v>-47.49875</v>
      </c>
    </row>
    <row r="1914" customFormat="false" ht="15" hidden="false" customHeight="true" outlineLevel="0" collapsed="false">
      <c r="A1914" s="34" t="s">
        <v>2078</v>
      </c>
      <c r="B1914" s="34" t="n">
        <v>33.4</v>
      </c>
      <c r="C1914" s="34" t="n">
        <v>66.67</v>
      </c>
      <c r="D1914" s="34" t="n">
        <v>-64.32</v>
      </c>
      <c r="E1914" s="34" t="n">
        <v>-2.4</v>
      </c>
      <c r="F1914" s="34" t="n">
        <v>-87.33</v>
      </c>
      <c r="G1914" s="34" t="n">
        <v>-129.12</v>
      </c>
      <c r="H1914" s="34" t="n">
        <v>-152.41</v>
      </c>
      <c r="I1914" s="34" t="n">
        <v>-145.3</v>
      </c>
      <c r="J1914" s="34" t="n">
        <v>-122.24</v>
      </c>
      <c r="K1914" s="34" t="n">
        <v>35.64</v>
      </c>
      <c r="L1914" s="34" t="n">
        <f aca="false">AVERAGE(C1914:E1914)</f>
        <v>-0.0166666666666657</v>
      </c>
      <c r="M1914" s="34" t="n">
        <f aca="false">AVERAGE(C1914:J1914)</f>
        <v>-79.55625</v>
      </c>
    </row>
    <row r="1915" customFormat="false" ht="15" hidden="false" customHeight="true" outlineLevel="0" collapsed="false">
      <c r="A1915" s="34" t="s">
        <v>2079</v>
      </c>
      <c r="B1915" s="34" t="n">
        <v>33.3</v>
      </c>
      <c r="C1915" s="34" t="n">
        <v>-66.67</v>
      </c>
      <c r="D1915" s="34" t="n">
        <v>-133.33</v>
      </c>
      <c r="E1915" s="34" t="n">
        <v>-66.23</v>
      </c>
      <c r="F1915" s="34" t="n">
        <v>-40.28</v>
      </c>
      <c r="G1915" s="34" t="n">
        <v>32.45</v>
      </c>
      <c r="H1915" s="34" t="n">
        <v>60.84</v>
      </c>
      <c r="I1915" s="34" t="n">
        <v>81.54</v>
      </c>
      <c r="J1915" s="34" t="n">
        <v>44.8</v>
      </c>
      <c r="K1915" s="34" t="n">
        <v>35.78</v>
      </c>
      <c r="L1915" s="34" t="n">
        <f aca="false">AVERAGE(C1915:E1915)</f>
        <v>-88.7433333333333</v>
      </c>
      <c r="M1915" s="34" t="n">
        <f aca="false">AVERAGE(C1915:J1915)</f>
        <v>-10.86</v>
      </c>
    </row>
    <row r="1916" customFormat="false" ht="15" hidden="false" customHeight="true" outlineLevel="0" collapsed="false">
      <c r="A1916" s="34" t="s">
        <v>2080</v>
      </c>
      <c r="B1916" s="34" t="n">
        <v>33.27</v>
      </c>
      <c r="C1916" s="34" t="n">
        <v>-66.67</v>
      </c>
      <c r="D1916" s="34" t="n">
        <v>16.22</v>
      </c>
      <c r="E1916" s="34" t="n">
        <v>-30.69</v>
      </c>
      <c r="F1916" s="34" t="n">
        <v>-70.36</v>
      </c>
      <c r="G1916" s="34" t="n">
        <v>-64.4</v>
      </c>
      <c r="H1916" s="34" t="n">
        <v>-65.62</v>
      </c>
      <c r="I1916" s="34" t="n">
        <v>-25.34</v>
      </c>
      <c r="J1916" s="34" t="n">
        <v>-20.06</v>
      </c>
      <c r="K1916" s="34" t="n">
        <v>35.45</v>
      </c>
      <c r="L1916" s="34" t="n">
        <f aca="false">AVERAGE(C1916:E1916)</f>
        <v>-27.0466666666667</v>
      </c>
      <c r="M1916" s="34" t="n">
        <f aca="false">AVERAGE(C1916:J1916)</f>
        <v>-40.865</v>
      </c>
    </row>
    <row r="1917" customFormat="false" ht="15" hidden="false" customHeight="true" outlineLevel="0" collapsed="false">
      <c r="A1917" s="34" t="s">
        <v>2081</v>
      </c>
      <c r="B1917" s="34" t="n">
        <v>33.24</v>
      </c>
      <c r="C1917" s="34" t="n">
        <v>-66.67</v>
      </c>
      <c r="D1917" s="34" t="n">
        <v>-36.39</v>
      </c>
      <c r="E1917" s="34" t="n">
        <v>59.39</v>
      </c>
      <c r="F1917" s="34" t="n">
        <v>86.45</v>
      </c>
      <c r="G1917" s="34" t="n">
        <v>69.69</v>
      </c>
      <c r="H1917" s="34" t="n">
        <v>90.55</v>
      </c>
      <c r="I1917" s="34"/>
      <c r="J1917" s="34"/>
      <c r="K1917" s="34" t="n">
        <v>32</v>
      </c>
      <c r="L1917" s="34" t="n">
        <f aca="false">AVERAGE(C1917:E1917)</f>
        <v>-14.5566666666667</v>
      </c>
      <c r="M1917" s="34" t="n">
        <f aca="false">AVERAGE(C1917:J1917)</f>
        <v>33.8366666666667</v>
      </c>
    </row>
    <row r="1918" customFormat="false" ht="15" hidden="false" customHeight="true" outlineLevel="0" collapsed="false">
      <c r="A1918" s="34" t="s">
        <v>2082</v>
      </c>
      <c r="B1918" s="34" t="n">
        <v>33.1</v>
      </c>
      <c r="C1918" s="34" t="n">
        <v>-66.67</v>
      </c>
      <c r="D1918" s="34" t="n">
        <v>32.88</v>
      </c>
      <c r="E1918" s="34" t="n">
        <v>14.78</v>
      </c>
      <c r="F1918" s="34" t="n">
        <v>16.47</v>
      </c>
      <c r="G1918" s="34" t="n">
        <v>64.19</v>
      </c>
      <c r="H1918" s="34" t="n">
        <v>88.6</v>
      </c>
      <c r="I1918" s="34" t="n">
        <v>98.43</v>
      </c>
      <c r="J1918" s="34" t="n">
        <v>76.97</v>
      </c>
      <c r="K1918" s="34" t="n">
        <v>36.63</v>
      </c>
      <c r="L1918" s="34" t="n">
        <f aca="false">AVERAGE(C1918:E1918)</f>
        <v>-6.33666666666667</v>
      </c>
      <c r="M1918" s="34" t="n">
        <f aca="false">AVERAGE(C1918:J1918)</f>
        <v>40.70625</v>
      </c>
    </row>
    <row r="1919" customFormat="false" ht="15" hidden="false" customHeight="true" outlineLevel="0" collapsed="false">
      <c r="A1919" s="34" t="s">
        <v>2083</v>
      </c>
      <c r="B1919" s="34" t="n">
        <v>32.81</v>
      </c>
      <c r="C1919" s="34" t="n">
        <v>66.67</v>
      </c>
      <c r="D1919" s="34" t="n">
        <v>60.73</v>
      </c>
      <c r="E1919" s="34" t="n">
        <v>109.67</v>
      </c>
      <c r="F1919" s="34" t="n">
        <v>-29.22</v>
      </c>
      <c r="G1919" s="34" t="n">
        <v>-86.8</v>
      </c>
      <c r="H1919" s="34" t="n">
        <v>-107.98</v>
      </c>
      <c r="I1919" s="34" t="n">
        <v>-121.15</v>
      </c>
      <c r="J1919" s="34" t="n">
        <v>-114.06</v>
      </c>
      <c r="K1919" s="34" t="n">
        <v>33.04</v>
      </c>
      <c r="L1919" s="34" t="n">
        <f aca="false">AVERAGE(C1919:E1919)</f>
        <v>79.0233333333333</v>
      </c>
      <c r="M1919" s="34" t="n">
        <f aca="false">AVERAGE(C1919:J1919)</f>
        <v>-27.7675</v>
      </c>
    </row>
    <row r="1920" customFormat="false" ht="15" hidden="false" customHeight="true" outlineLevel="0" collapsed="false">
      <c r="A1920" s="34" t="s">
        <v>2084</v>
      </c>
      <c r="B1920" s="34" t="n">
        <v>32.79</v>
      </c>
      <c r="C1920" s="34" t="n">
        <v>66.67</v>
      </c>
      <c r="D1920" s="34" t="n">
        <v>-62.99</v>
      </c>
      <c r="E1920" s="34" t="n">
        <v>-33.78</v>
      </c>
      <c r="F1920" s="34" t="n">
        <v>-94.96</v>
      </c>
      <c r="G1920" s="34" t="n">
        <v>-146.37</v>
      </c>
      <c r="H1920" s="34" t="n">
        <v>-160.4</v>
      </c>
      <c r="I1920" s="34" t="n">
        <v>-96.11</v>
      </c>
      <c r="J1920" s="34" t="n">
        <v>-99.28</v>
      </c>
      <c r="K1920" s="34" t="n">
        <v>34.93</v>
      </c>
      <c r="L1920" s="34" t="n">
        <f aca="false">AVERAGE(C1920:E1920)</f>
        <v>-10.0333333333333</v>
      </c>
      <c r="M1920" s="34" t="n">
        <f aca="false">AVERAGE(C1920:J1920)</f>
        <v>-78.4025</v>
      </c>
    </row>
    <row r="1921" customFormat="false" ht="15" hidden="false" customHeight="true" outlineLevel="0" collapsed="false">
      <c r="A1921" s="34" t="s">
        <v>2085</v>
      </c>
      <c r="B1921" s="34" t="n">
        <v>32.64</v>
      </c>
      <c r="C1921" s="34" t="n">
        <v>-66.67</v>
      </c>
      <c r="D1921" s="34" t="n">
        <v>53.96</v>
      </c>
      <c r="E1921" s="34" t="n">
        <v>109.68</v>
      </c>
      <c r="F1921" s="34" t="n">
        <v>83.22</v>
      </c>
      <c r="G1921" s="34" t="n">
        <v>106.91</v>
      </c>
      <c r="H1921" s="34" t="n">
        <v>41.41</v>
      </c>
      <c r="I1921" s="34" t="n">
        <v>66.61</v>
      </c>
      <c r="J1921" s="34" t="n">
        <v>5.7</v>
      </c>
      <c r="K1921" s="34" t="n">
        <v>34.71</v>
      </c>
      <c r="L1921" s="34" t="n">
        <f aca="false">AVERAGE(C1921:E1921)</f>
        <v>32.3233333333333</v>
      </c>
      <c r="M1921" s="34" t="n">
        <f aca="false">AVERAGE(C1921:J1921)</f>
        <v>50.1025</v>
      </c>
    </row>
    <row r="1922" customFormat="false" ht="15" hidden="false" customHeight="true" outlineLevel="0" collapsed="false">
      <c r="A1922" s="34" t="s">
        <v>2086</v>
      </c>
      <c r="B1922" s="34" t="n">
        <v>32.5</v>
      </c>
      <c r="C1922" s="34" t="n">
        <v>-66.67</v>
      </c>
      <c r="D1922" s="34" t="n">
        <v>-133.33</v>
      </c>
      <c r="E1922" s="34" t="n">
        <v>9.26</v>
      </c>
      <c r="F1922" s="34" t="n">
        <v>-66.88</v>
      </c>
      <c r="G1922" s="34" t="n">
        <v>-105.58</v>
      </c>
      <c r="H1922" s="34" t="n">
        <v>-72.26</v>
      </c>
      <c r="I1922" s="34" t="n">
        <v>-14.45</v>
      </c>
      <c r="J1922" s="34" t="n">
        <v>-37.13</v>
      </c>
      <c r="K1922" s="34" t="n">
        <v>34.42</v>
      </c>
      <c r="L1922" s="34" t="n">
        <f aca="false">AVERAGE(C1922:E1922)</f>
        <v>-63.58</v>
      </c>
      <c r="M1922" s="34" t="n">
        <f aca="false">AVERAGE(C1922:J1922)</f>
        <v>-60.88</v>
      </c>
    </row>
    <row r="1923" customFormat="false" ht="15" hidden="false" customHeight="true" outlineLevel="0" collapsed="false">
      <c r="A1923" s="34" t="s">
        <v>2087</v>
      </c>
      <c r="B1923" s="34" t="n">
        <v>32.38</v>
      </c>
      <c r="C1923" s="34" t="n">
        <v>-66.67</v>
      </c>
      <c r="D1923" s="34" t="n">
        <v>-91.83</v>
      </c>
      <c r="E1923" s="34" t="n">
        <v>-62.83</v>
      </c>
      <c r="F1923" s="34" t="n">
        <v>-108.92</v>
      </c>
      <c r="G1923" s="34" t="n">
        <v>-133.35</v>
      </c>
      <c r="H1923" s="34" t="n">
        <v>-123.95</v>
      </c>
      <c r="I1923" s="34" t="n">
        <v>-44.59</v>
      </c>
      <c r="J1923" s="34" t="n">
        <v>-58.83</v>
      </c>
      <c r="K1923" s="34" t="n">
        <v>37.19</v>
      </c>
      <c r="L1923" s="34" t="n">
        <f aca="false">AVERAGE(C1923:E1923)</f>
        <v>-73.7766666666667</v>
      </c>
      <c r="M1923" s="34" t="n">
        <f aca="false">AVERAGE(C1923:J1923)</f>
        <v>-86.37125</v>
      </c>
    </row>
    <row r="1924" customFormat="false" ht="15" hidden="false" customHeight="true" outlineLevel="0" collapsed="false">
      <c r="A1924" s="34" t="s">
        <v>2088</v>
      </c>
      <c r="B1924" s="34" t="n">
        <v>32.2</v>
      </c>
      <c r="C1924" s="34" t="n">
        <v>66.67</v>
      </c>
      <c r="D1924" s="34" t="n">
        <v>133.33</v>
      </c>
      <c r="E1924" s="34" t="n">
        <v>180.13</v>
      </c>
      <c r="F1924" s="34" t="n">
        <v>-22.99</v>
      </c>
      <c r="G1924" s="34" t="n">
        <v>-77.94</v>
      </c>
      <c r="H1924" s="34" t="n">
        <v>-96.43</v>
      </c>
      <c r="I1924" s="34" t="n">
        <v>-46.12</v>
      </c>
      <c r="J1924" s="34" t="n">
        <v>-54.13</v>
      </c>
      <c r="K1924" s="34" t="n">
        <v>32.88</v>
      </c>
      <c r="L1924" s="34" t="n">
        <f aca="false">AVERAGE(C1924:E1924)</f>
        <v>126.71</v>
      </c>
      <c r="M1924" s="34" t="n">
        <f aca="false">AVERAGE(C1924:J1924)</f>
        <v>10.315</v>
      </c>
    </row>
    <row r="1925" customFormat="false" ht="15" hidden="false" customHeight="true" outlineLevel="0" collapsed="false">
      <c r="A1925" s="34" t="s">
        <v>2089</v>
      </c>
      <c r="B1925" s="34" t="n">
        <v>32.1</v>
      </c>
      <c r="C1925" s="34" t="n">
        <v>-66.67</v>
      </c>
      <c r="D1925" s="34" t="n">
        <v>-133.33</v>
      </c>
      <c r="E1925" s="34" t="n">
        <v>-72.76</v>
      </c>
      <c r="F1925" s="34" t="n">
        <v>-114.41</v>
      </c>
      <c r="G1925" s="34" t="n">
        <v>-183.55</v>
      </c>
      <c r="H1925" s="34" t="n">
        <v>-183.83</v>
      </c>
      <c r="I1925" s="34" t="n">
        <v>-185.71</v>
      </c>
      <c r="J1925" s="34" t="n">
        <v>-118.04</v>
      </c>
      <c r="K1925" s="34" t="n">
        <v>36.18</v>
      </c>
      <c r="L1925" s="34" t="n">
        <f aca="false">AVERAGE(C1925:E1925)</f>
        <v>-90.92</v>
      </c>
      <c r="M1925" s="34" t="n">
        <f aca="false">AVERAGE(C1925:J1925)</f>
        <v>-132.2875</v>
      </c>
    </row>
    <row r="1926" customFormat="false" ht="15" hidden="false" customHeight="true" outlineLevel="0" collapsed="false">
      <c r="A1926" s="34" t="s">
        <v>2090</v>
      </c>
      <c r="B1926" s="34" t="n">
        <v>31.91</v>
      </c>
      <c r="C1926" s="34" t="n">
        <v>-66.67</v>
      </c>
      <c r="D1926" s="34" t="n">
        <v>-111.88</v>
      </c>
      <c r="E1926" s="34" t="n">
        <v>-159.46</v>
      </c>
      <c r="F1926" s="34" t="n">
        <v>11</v>
      </c>
      <c r="G1926" s="34" t="n">
        <v>33.99</v>
      </c>
      <c r="H1926" s="34" t="n">
        <v>65.07</v>
      </c>
      <c r="I1926" s="34" t="n">
        <v>72.65</v>
      </c>
      <c r="J1926" s="34" t="n">
        <v>80.06</v>
      </c>
      <c r="K1926" s="34" t="n">
        <v>34.01</v>
      </c>
      <c r="L1926" s="34" t="n">
        <f aca="false">AVERAGE(C1926:E1926)</f>
        <v>-112.67</v>
      </c>
      <c r="M1926" s="34" t="n">
        <f aca="false">AVERAGE(C1926:J1926)</f>
        <v>-9.405</v>
      </c>
    </row>
    <row r="1927" customFormat="false" ht="15" hidden="false" customHeight="true" outlineLevel="0" collapsed="false">
      <c r="A1927" s="34" t="s">
        <v>2091</v>
      </c>
      <c r="B1927" s="34" t="n">
        <v>31.88</v>
      </c>
      <c r="C1927" s="34" t="n">
        <v>66.67</v>
      </c>
      <c r="D1927" s="34" t="n">
        <v>-21.82</v>
      </c>
      <c r="E1927" s="34" t="n">
        <v>-4.7</v>
      </c>
      <c r="F1927" s="34" t="n">
        <v>28.72</v>
      </c>
      <c r="G1927" s="34" t="n">
        <v>77.99</v>
      </c>
      <c r="H1927" s="34" t="n">
        <v>75.62</v>
      </c>
      <c r="I1927" s="34" t="n">
        <v>93.51</v>
      </c>
      <c r="J1927" s="34" t="n">
        <v>43.2</v>
      </c>
      <c r="K1927" s="34" t="n">
        <v>33.77</v>
      </c>
      <c r="L1927" s="34" t="n">
        <f aca="false">AVERAGE(C1927:E1927)</f>
        <v>13.3833333333333</v>
      </c>
      <c r="M1927" s="34" t="n">
        <f aca="false">AVERAGE(C1927:J1927)</f>
        <v>44.89875</v>
      </c>
    </row>
    <row r="1928" customFormat="false" ht="15" hidden="false" customHeight="true" outlineLevel="0" collapsed="false">
      <c r="A1928" s="34" t="s">
        <v>2092</v>
      </c>
      <c r="B1928" s="34" t="n">
        <v>31.83</v>
      </c>
      <c r="C1928" s="34" t="n">
        <v>-66.67</v>
      </c>
      <c r="D1928" s="34" t="n">
        <v>-33.79</v>
      </c>
      <c r="E1928" s="34" t="n">
        <v>67.72</v>
      </c>
      <c r="F1928" s="34" t="n">
        <v>89.82</v>
      </c>
      <c r="G1928" s="34" t="n">
        <v>68.8</v>
      </c>
      <c r="H1928" s="34" t="n">
        <v>92.84</v>
      </c>
      <c r="I1928" s="34" t="n">
        <v>82.27</v>
      </c>
      <c r="J1928" s="34" t="n">
        <v>93.92</v>
      </c>
      <c r="K1928" s="34" t="n">
        <v>32.09</v>
      </c>
      <c r="L1928" s="34" t="n">
        <f aca="false">AVERAGE(C1928:E1928)</f>
        <v>-10.9133333333333</v>
      </c>
      <c r="M1928" s="34" t="n">
        <f aca="false">AVERAGE(C1928:J1928)</f>
        <v>49.36375</v>
      </c>
    </row>
    <row r="1929" customFormat="false" ht="15" hidden="false" customHeight="true" outlineLevel="0" collapsed="false">
      <c r="A1929" s="34" t="s">
        <v>2093</v>
      </c>
      <c r="B1929" s="34" t="n">
        <v>31.79</v>
      </c>
      <c r="C1929" s="34" t="n">
        <v>-66.67</v>
      </c>
      <c r="D1929" s="34" t="n">
        <v>-129.03</v>
      </c>
      <c r="E1929" s="34" t="n">
        <v>53.62</v>
      </c>
      <c r="F1929" s="34" t="n">
        <v>90.24</v>
      </c>
      <c r="G1929" s="34" t="n">
        <v>74.87</v>
      </c>
      <c r="H1929" s="34"/>
      <c r="I1929" s="34"/>
      <c r="J1929" s="34"/>
      <c r="K1929" s="34" t="n">
        <v>31.48</v>
      </c>
      <c r="L1929" s="34" t="n">
        <f aca="false">AVERAGE(C1929:E1929)</f>
        <v>-47.36</v>
      </c>
      <c r="M1929" s="34" t="n">
        <f aca="false">AVERAGE(C1929:J1929)</f>
        <v>4.606</v>
      </c>
    </row>
    <row r="1930" customFormat="false" ht="15" hidden="false" customHeight="true" outlineLevel="0" collapsed="false">
      <c r="A1930" s="34" t="s">
        <v>2094</v>
      </c>
      <c r="B1930" s="34" t="n">
        <v>31.75</v>
      </c>
      <c r="C1930" s="34" t="n">
        <v>-66.67</v>
      </c>
      <c r="D1930" s="34" t="n">
        <v>-133.33</v>
      </c>
      <c r="E1930" s="34" t="n">
        <v>-28.54</v>
      </c>
      <c r="F1930" s="34" t="n">
        <v>-59.75</v>
      </c>
      <c r="G1930" s="34" t="n">
        <v>45.26</v>
      </c>
      <c r="H1930" s="34" t="n">
        <v>75.52</v>
      </c>
      <c r="I1930" s="34" t="n">
        <v>101.85</v>
      </c>
      <c r="J1930" s="34" t="n">
        <v>55.32</v>
      </c>
      <c r="K1930" s="34" t="n">
        <v>34.41</v>
      </c>
      <c r="L1930" s="34" t="n">
        <f aca="false">AVERAGE(C1930:E1930)</f>
        <v>-76.18</v>
      </c>
      <c r="M1930" s="34" t="n">
        <f aca="false">AVERAGE(C1930:J1930)</f>
        <v>-1.2925</v>
      </c>
    </row>
    <row r="1931" customFormat="false" ht="15" hidden="false" customHeight="true" outlineLevel="0" collapsed="false">
      <c r="A1931" s="34" t="s">
        <v>2095</v>
      </c>
      <c r="B1931" s="34" t="n">
        <v>31.55</v>
      </c>
      <c r="C1931" s="34" t="n">
        <v>-66.67</v>
      </c>
      <c r="D1931" s="34" t="n">
        <v>10.71</v>
      </c>
      <c r="E1931" s="34" t="n">
        <v>54.5</v>
      </c>
      <c r="F1931" s="34" t="n">
        <v>-45.11</v>
      </c>
      <c r="G1931" s="34" t="n">
        <v>-90.4</v>
      </c>
      <c r="H1931" s="34" t="n">
        <v>-103.38</v>
      </c>
      <c r="I1931" s="34" t="n">
        <v>-98.13</v>
      </c>
      <c r="J1931" s="34" t="n">
        <v>-101.33</v>
      </c>
      <c r="K1931" s="34" t="n">
        <v>33.48</v>
      </c>
      <c r="L1931" s="34" t="n">
        <f aca="false">AVERAGE(C1931:E1931)</f>
        <v>-0.486666666666665</v>
      </c>
      <c r="M1931" s="34" t="n">
        <f aca="false">AVERAGE(C1931:J1931)</f>
        <v>-54.97625</v>
      </c>
    </row>
    <row r="1932" customFormat="false" ht="15" hidden="false" customHeight="true" outlineLevel="0" collapsed="false">
      <c r="A1932" s="34" t="s">
        <v>2096</v>
      </c>
      <c r="B1932" s="34" t="n">
        <v>31.5</v>
      </c>
      <c r="C1932" s="34" t="n">
        <v>-66.67</v>
      </c>
      <c r="D1932" s="34" t="n">
        <v>32.43</v>
      </c>
      <c r="E1932" s="34" t="n">
        <v>78.31</v>
      </c>
      <c r="F1932" s="34" t="n">
        <v>172.74</v>
      </c>
      <c r="G1932" s="34" t="n">
        <v>-20.12</v>
      </c>
      <c r="H1932" s="34" t="n">
        <v>-34.05</v>
      </c>
      <c r="I1932" s="34" t="n">
        <v>-26.12</v>
      </c>
      <c r="J1932" s="34" t="n">
        <v>-46.31</v>
      </c>
      <c r="K1932" s="34" t="n">
        <v>32</v>
      </c>
      <c r="L1932" s="34" t="n">
        <f aca="false">AVERAGE(C1932:E1932)</f>
        <v>14.69</v>
      </c>
      <c r="M1932" s="34" t="n">
        <f aca="false">AVERAGE(C1932:J1932)</f>
        <v>11.27625</v>
      </c>
    </row>
    <row r="1933" customFormat="false" ht="15" hidden="false" customHeight="true" outlineLevel="0" collapsed="false">
      <c r="A1933" s="34" t="s">
        <v>2097</v>
      </c>
      <c r="B1933" s="34" t="n">
        <v>31.4</v>
      </c>
      <c r="C1933" s="34" t="n">
        <v>-66.67</v>
      </c>
      <c r="D1933" s="34" t="n">
        <v>26.25</v>
      </c>
      <c r="E1933" s="34" t="n">
        <v>-15.35</v>
      </c>
      <c r="F1933" s="34" t="n">
        <v>-91.73</v>
      </c>
      <c r="G1933" s="34" t="n">
        <v>-105.66</v>
      </c>
      <c r="H1933" s="34" t="n">
        <v>-141.09</v>
      </c>
      <c r="I1933" s="34" t="n">
        <v>-133.27</v>
      </c>
      <c r="J1933" s="34" t="n">
        <v>-139.57</v>
      </c>
      <c r="K1933" s="34" t="n">
        <v>33.87</v>
      </c>
      <c r="L1933" s="34" t="n">
        <f aca="false">AVERAGE(C1933:E1933)</f>
        <v>-18.59</v>
      </c>
      <c r="M1933" s="34" t="n">
        <f aca="false">AVERAGE(C1933:J1933)</f>
        <v>-83.38625</v>
      </c>
    </row>
    <row r="1934" customFormat="false" ht="15" hidden="false" customHeight="true" outlineLevel="0" collapsed="false">
      <c r="A1934" s="34" t="s">
        <v>2098</v>
      </c>
      <c r="B1934" s="34" t="n">
        <v>31.24</v>
      </c>
      <c r="C1934" s="34" t="n">
        <v>-66.67</v>
      </c>
      <c r="D1934" s="34" t="n">
        <v>-12.12</v>
      </c>
      <c r="E1934" s="34" t="n">
        <v>69.9</v>
      </c>
      <c r="F1934" s="34" t="n">
        <v>30.11</v>
      </c>
      <c r="G1934" s="34" t="n">
        <v>-26.31</v>
      </c>
      <c r="H1934" s="34" t="n">
        <v>24.4</v>
      </c>
      <c r="I1934" s="34" t="n">
        <v>50.56</v>
      </c>
      <c r="J1934" s="34" t="n">
        <v>59.18</v>
      </c>
      <c r="K1934" s="34" t="n">
        <v>31.57</v>
      </c>
      <c r="L1934" s="34" t="n">
        <f aca="false">AVERAGE(C1934:E1934)</f>
        <v>-2.96333333333333</v>
      </c>
      <c r="M1934" s="34" t="n">
        <f aca="false">AVERAGE(C1934:J1934)</f>
        <v>16.13125</v>
      </c>
    </row>
    <row r="1935" customFormat="false" ht="15" hidden="false" customHeight="true" outlineLevel="0" collapsed="false">
      <c r="A1935" s="34" t="s">
        <v>2099</v>
      </c>
      <c r="B1935" s="34" t="n">
        <v>31.2</v>
      </c>
      <c r="C1935" s="34" t="n">
        <v>-66.67</v>
      </c>
      <c r="D1935" s="34" t="n">
        <v>-115.21</v>
      </c>
      <c r="E1935" s="34" t="n">
        <v>-152.51</v>
      </c>
      <c r="F1935" s="34" t="n">
        <v>-157.42</v>
      </c>
      <c r="G1935" s="34" t="n">
        <v>-60.2</v>
      </c>
      <c r="H1935" s="34" t="n">
        <v>-71.02</v>
      </c>
      <c r="I1935" s="34" t="n">
        <v>-58.76</v>
      </c>
      <c r="J1935" s="34" t="n">
        <v>-53.51</v>
      </c>
      <c r="K1935" s="34" t="n">
        <v>36.16</v>
      </c>
      <c r="L1935" s="34" t="n">
        <f aca="false">AVERAGE(C1935:E1935)</f>
        <v>-111.463333333333</v>
      </c>
      <c r="M1935" s="34" t="n">
        <f aca="false">AVERAGE(C1935:J1935)</f>
        <v>-91.9125</v>
      </c>
    </row>
    <row r="1936" customFormat="false" ht="15" hidden="false" customHeight="true" outlineLevel="0" collapsed="false">
      <c r="A1936" s="34" t="s">
        <v>2100</v>
      </c>
      <c r="B1936" s="34" t="n">
        <v>30.99</v>
      </c>
      <c r="C1936" s="34" t="n">
        <v>-66.67</v>
      </c>
      <c r="D1936" s="34" t="n">
        <v>-64.52</v>
      </c>
      <c r="E1936" s="34" t="n">
        <v>77.07</v>
      </c>
      <c r="F1936" s="34" t="n">
        <v>22.3</v>
      </c>
      <c r="G1936" s="34" t="n">
        <v>-33.58</v>
      </c>
      <c r="H1936" s="34" t="n">
        <v>18.3</v>
      </c>
      <c r="I1936" s="34" t="n">
        <v>47.21</v>
      </c>
      <c r="J1936" s="34" t="n">
        <v>55.18</v>
      </c>
      <c r="K1936" s="34" t="n">
        <v>31.63</v>
      </c>
      <c r="L1936" s="34" t="n">
        <f aca="false">AVERAGE(C1936:E1936)</f>
        <v>-18.04</v>
      </c>
      <c r="M1936" s="34" t="n">
        <f aca="false">AVERAGE(C1936:J1936)</f>
        <v>6.91125</v>
      </c>
    </row>
    <row r="1937" customFormat="false" ht="15" hidden="false" customHeight="true" outlineLevel="0" collapsed="false">
      <c r="A1937" s="34" t="s">
        <v>2101</v>
      </c>
      <c r="B1937" s="34" t="n">
        <v>30.85</v>
      </c>
      <c r="C1937" s="34" t="n">
        <v>-66.67</v>
      </c>
      <c r="D1937" s="34" t="n">
        <v>-87.72</v>
      </c>
      <c r="E1937" s="34" t="n">
        <v>50.02</v>
      </c>
      <c r="F1937" s="34" t="n">
        <v>23.7</v>
      </c>
      <c r="G1937" s="34" t="n">
        <v>-36.24</v>
      </c>
      <c r="H1937" s="34" t="n">
        <v>16.93</v>
      </c>
      <c r="I1937" s="34" t="n">
        <v>46.41</v>
      </c>
      <c r="J1937" s="34" t="n">
        <v>54.79</v>
      </c>
      <c r="K1937" s="34" t="n">
        <v>31.41</v>
      </c>
      <c r="L1937" s="34" t="n">
        <f aca="false">AVERAGE(C1937:E1937)</f>
        <v>-34.79</v>
      </c>
      <c r="M1937" s="34" t="n">
        <f aca="false">AVERAGE(C1937:J1937)</f>
        <v>0.152499999999998</v>
      </c>
    </row>
    <row r="1938" customFormat="false" ht="15" hidden="false" customHeight="true" outlineLevel="0" collapsed="false">
      <c r="A1938" s="34" t="s">
        <v>2102</v>
      </c>
      <c r="B1938" s="34" t="n">
        <v>30.72</v>
      </c>
      <c r="C1938" s="34" t="n">
        <v>66.67</v>
      </c>
      <c r="D1938" s="34" t="n">
        <v>115.85</v>
      </c>
      <c r="E1938" s="34" t="n">
        <v>-25.77</v>
      </c>
      <c r="F1938" s="34" t="n">
        <v>-112.53</v>
      </c>
      <c r="G1938" s="34" t="n">
        <v>-165</v>
      </c>
      <c r="H1938" s="34" t="n">
        <v>-164.1</v>
      </c>
      <c r="I1938" s="34" t="n">
        <v>-184.42</v>
      </c>
      <c r="J1938" s="34" t="n">
        <v>-131.73</v>
      </c>
      <c r="K1938" s="34" t="n">
        <v>33.22</v>
      </c>
      <c r="L1938" s="34" t="n">
        <f aca="false">AVERAGE(C1938:E1938)</f>
        <v>52.25</v>
      </c>
      <c r="M1938" s="34" t="n">
        <f aca="false">AVERAGE(C1938:J1938)</f>
        <v>-75.12875</v>
      </c>
    </row>
    <row r="1939" customFormat="false" ht="15" hidden="false" customHeight="true" outlineLevel="0" collapsed="false">
      <c r="A1939" s="34" t="s">
        <v>2103</v>
      </c>
      <c r="B1939" s="34" t="n">
        <v>30.32</v>
      </c>
      <c r="C1939" s="34" t="n">
        <v>-66.67</v>
      </c>
      <c r="D1939" s="34" t="n">
        <v>-96.68</v>
      </c>
      <c r="E1939" s="34" t="n">
        <v>-55.69</v>
      </c>
      <c r="F1939" s="34" t="n">
        <v>-84.46</v>
      </c>
      <c r="G1939" s="34" t="n">
        <v>-85.81</v>
      </c>
      <c r="H1939" s="34" t="n">
        <v>-91.15</v>
      </c>
      <c r="I1939" s="34" t="n">
        <v>-87.69</v>
      </c>
      <c r="J1939" s="34" t="n">
        <v>-77.75</v>
      </c>
      <c r="K1939" s="34" t="n">
        <v>32.25</v>
      </c>
      <c r="L1939" s="34" t="n">
        <f aca="false">AVERAGE(C1939:E1939)</f>
        <v>-73.0133333333333</v>
      </c>
      <c r="M1939" s="34" t="n">
        <f aca="false">AVERAGE(C1939:J1939)</f>
        <v>-80.7375</v>
      </c>
    </row>
    <row r="1940" customFormat="false" ht="15" hidden="false" customHeight="true" outlineLevel="0" collapsed="false">
      <c r="A1940" s="34" t="s">
        <v>2104</v>
      </c>
      <c r="B1940" s="34" t="n">
        <v>30.2</v>
      </c>
      <c r="C1940" s="34" t="n">
        <v>-66.67</v>
      </c>
      <c r="D1940" s="34" t="n">
        <v>-6.35</v>
      </c>
      <c r="E1940" s="34" t="n">
        <v>82.2</v>
      </c>
      <c r="F1940" s="34" t="n">
        <v>147.48</v>
      </c>
      <c r="G1940" s="34" t="n">
        <v>204.91</v>
      </c>
      <c r="H1940" s="34" t="n">
        <v>131.79</v>
      </c>
      <c r="I1940" s="34" t="n">
        <v>103.11</v>
      </c>
      <c r="J1940" s="34" t="n">
        <v>114.14</v>
      </c>
      <c r="K1940" s="34" t="n">
        <v>29.14</v>
      </c>
      <c r="L1940" s="34" t="n">
        <f aca="false">AVERAGE(C1940:E1940)</f>
        <v>3.06</v>
      </c>
      <c r="M1940" s="34" t="n">
        <f aca="false">AVERAGE(C1940:J1940)</f>
        <v>88.82625</v>
      </c>
    </row>
    <row r="1941" customFormat="false" ht="15" hidden="false" customHeight="true" outlineLevel="0" collapsed="false">
      <c r="A1941" s="34" t="s">
        <v>2105</v>
      </c>
      <c r="B1941" s="34" t="n">
        <v>30.2</v>
      </c>
      <c r="C1941" s="34" t="n">
        <v>-66.67</v>
      </c>
      <c r="D1941" s="34" t="n">
        <v>-68.75</v>
      </c>
      <c r="E1941" s="34" t="n">
        <v>66.87</v>
      </c>
      <c r="F1941" s="34" t="n">
        <v>146.74</v>
      </c>
      <c r="G1941" s="34" t="n">
        <v>179.44</v>
      </c>
      <c r="H1941" s="34" t="n">
        <v>128.56</v>
      </c>
      <c r="I1941" s="34"/>
      <c r="J1941" s="34"/>
      <c r="K1941" s="34" t="n">
        <v>28.9</v>
      </c>
      <c r="L1941" s="34" t="n">
        <f aca="false">AVERAGE(C1941:E1941)</f>
        <v>-22.85</v>
      </c>
      <c r="M1941" s="34" t="n">
        <f aca="false">AVERAGE(C1941:J1941)</f>
        <v>64.365</v>
      </c>
    </row>
    <row r="1942" customFormat="false" ht="15" hidden="false" customHeight="true" outlineLevel="0" collapsed="false">
      <c r="A1942" s="34" t="s">
        <v>2106</v>
      </c>
      <c r="B1942" s="34" t="n">
        <v>30.16</v>
      </c>
      <c r="C1942" s="34" t="n">
        <v>-66.67</v>
      </c>
      <c r="D1942" s="34" t="n">
        <v>-65.68</v>
      </c>
      <c r="E1942" s="34" t="n">
        <v>60.43</v>
      </c>
      <c r="F1942" s="34" t="n">
        <v>28.66</v>
      </c>
      <c r="G1942" s="34" t="n">
        <v>-27.58</v>
      </c>
      <c r="H1942" s="34" t="n">
        <v>-5.73</v>
      </c>
      <c r="I1942" s="34" t="n">
        <v>16.67</v>
      </c>
      <c r="J1942" s="34" t="n">
        <v>-15.45</v>
      </c>
      <c r="K1942" s="34" t="n">
        <v>27.91</v>
      </c>
      <c r="L1942" s="34" t="n">
        <f aca="false">AVERAGE(C1942:E1942)</f>
        <v>-23.9733333333333</v>
      </c>
      <c r="M1942" s="34" t="n">
        <f aca="false">AVERAGE(C1942:J1942)</f>
        <v>-9.41875</v>
      </c>
    </row>
    <row r="1943" customFormat="false" ht="15" hidden="false" customHeight="true" outlineLevel="0" collapsed="false">
      <c r="A1943" s="34" t="s">
        <v>2107</v>
      </c>
      <c r="B1943" s="34" t="n">
        <v>30.14</v>
      </c>
      <c r="C1943" s="34" t="n">
        <v>-66.67</v>
      </c>
      <c r="D1943" s="34" t="n">
        <v>-118.04</v>
      </c>
      <c r="E1943" s="34" t="n">
        <v>29.5</v>
      </c>
      <c r="F1943" s="34" t="n">
        <v>3.99</v>
      </c>
      <c r="G1943" s="34" t="n">
        <v>-28.84</v>
      </c>
      <c r="H1943" s="34" t="n">
        <v>32.39</v>
      </c>
      <c r="I1943" s="34" t="n">
        <v>55.07</v>
      </c>
      <c r="J1943" s="34" t="n">
        <v>68.28</v>
      </c>
      <c r="K1943" s="34" t="n">
        <v>30.65</v>
      </c>
      <c r="L1943" s="34" t="n">
        <f aca="false">AVERAGE(C1943:E1943)</f>
        <v>-51.7366666666667</v>
      </c>
      <c r="M1943" s="34" t="n">
        <f aca="false">AVERAGE(C1943:J1943)</f>
        <v>-3.04</v>
      </c>
    </row>
    <row r="1944" customFormat="false" ht="15" hidden="false" customHeight="true" outlineLevel="0" collapsed="false">
      <c r="A1944" s="34" t="s">
        <v>2108</v>
      </c>
      <c r="B1944" s="34" t="n">
        <v>30.1</v>
      </c>
      <c r="C1944" s="34" t="n">
        <v>-66.67</v>
      </c>
      <c r="D1944" s="34" t="n">
        <v>-74.21</v>
      </c>
      <c r="E1944" s="34" t="n">
        <v>68.43</v>
      </c>
      <c r="F1944" s="34" t="n">
        <v>140.78</v>
      </c>
      <c r="G1944" s="34" t="n">
        <v>175.27</v>
      </c>
      <c r="H1944" s="34" t="n">
        <v>121.11</v>
      </c>
      <c r="I1944" s="34" t="n">
        <v>99.07</v>
      </c>
      <c r="J1944" s="34" t="n">
        <v>108.77</v>
      </c>
      <c r="K1944" s="34" t="n">
        <v>28.92</v>
      </c>
      <c r="L1944" s="34" t="n">
        <f aca="false">AVERAGE(C1944:E1944)</f>
        <v>-24.15</v>
      </c>
      <c r="M1944" s="34" t="n">
        <f aca="false">AVERAGE(C1944:J1944)</f>
        <v>71.56875</v>
      </c>
    </row>
    <row r="1945" customFormat="false" ht="15" hidden="false" customHeight="true" outlineLevel="0" collapsed="false">
      <c r="A1945" s="34" t="s">
        <v>629</v>
      </c>
      <c r="B1945" s="34" t="n">
        <v>30.06</v>
      </c>
      <c r="C1945" s="34" t="n">
        <v>-66.67</v>
      </c>
      <c r="D1945" s="34" t="n">
        <v>-11.76</v>
      </c>
      <c r="E1945" s="34" t="n">
        <v>75.95</v>
      </c>
      <c r="F1945" s="34" t="n">
        <v>120.81</v>
      </c>
      <c r="G1945" s="34" t="n">
        <v>148.08</v>
      </c>
      <c r="H1945" s="34" t="n">
        <v>134.23</v>
      </c>
      <c r="I1945" s="34" t="n">
        <v>112.92</v>
      </c>
      <c r="J1945" s="34" t="n">
        <v>129.41</v>
      </c>
      <c r="K1945" s="34" t="n">
        <v>28.91</v>
      </c>
      <c r="L1945" s="34" t="n">
        <f aca="false">AVERAGE(C1945:E1945)</f>
        <v>-0.826666666666668</v>
      </c>
      <c r="M1945" s="34" t="n">
        <f aca="false">AVERAGE(C1945:J1945)</f>
        <v>80.37125</v>
      </c>
    </row>
    <row r="1946" customFormat="false" ht="15" hidden="false" customHeight="true" outlineLevel="0" collapsed="false">
      <c r="A1946" s="34" t="s">
        <v>2109</v>
      </c>
      <c r="B1946" s="34" t="n">
        <v>29.9</v>
      </c>
      <c r="C1946" s="34" t="n">
        <v>-66.67</v>
      </c>
      <c r="D1946" s="34" t="n">
        <v>9.34</v>
      </c>
      <c r="E1946" s="34" t="n">
        <v>73.1</v>
      </c>
      <c r="F1946" s="34" t="n">
        <v>32.89</v>
      </c>
      <c r="G1946" s="34" t="n">
        <v>0.982</v>
      </c>
      <c r="H1946" s="34" t="n">
        <v>49.91</v>
      </c>
      <c r="I1946" s="34" t="n">
        <v>62.03</v>
      </c>
      <c r="J1946" s="34" t="n">
        <v>76.44</v>
      </c>
      <c r="K1946" s="34" t="n">
        <v>28.7</v>
      </c>
      <c r="L1946" s="34" t="n">
        <f aca="false">AVERAGE(C1946:E1946)</f>
        <v>5.25666666666667</v>
      </c>
      <c r="M1946" s="34" t="n">
        <f aca="false">AVERAGE(C1946:J1946)</f>
        <v>29.75275</v>
      </c>
    </row>
    <row r="1947" customFormat="false" ht="15" hidden="false" customHeight="true" outlineLevel="0" collapsed="false">
      <c r="A1947" s="34" t="s">
        <v>2110</v>
      </c>
      <c r="B1947" s="34" t="n">
        <v>29.9</v>
      </c>
      <c r="C1947" s="34" t="n">
        <v>-66.67</v>
      </c>
      <c r="D1947" s="34" t="n">
        <v>-17</v>
      </c>
      <c r="E1947" s="34" t="n">
        <v>77.12</v>
      </c>
      <c r="F1947" s="34" t="n">
        <v>91.92</v>
      </c>
      <c r="G1947" s="34" t="n">
        <v>101.13</v>
      </c>
      <c r="H1947" s="34" t="n">
        <v>136.02</v>
      </c>
      <c r="I1947" s="34" t="n">
        <v>169.49</v>
      </c>
      <c r="J1947" s="34" t="n">
        <v>112.08</v>
      </c>
      <c r="K1947" s="34" t="n">
        <v>27.24</v>
      </c>
      <c r="L1947" s="34" t="n">
        <f aca="false">AVERAGE(C1947:E1947)</f>
        <v>-2.18333333333333</v>
      </c>
      <c r="M1947" s="34" t="n">
        <f aca="false">AVERAGE(C1947:J1947)</f>
        <v>75.51125</v>
      </c>
    </row>
    <row r="1948" customFormat="false" ht="15" hidden="false" customHeight="true" outlineLevel="0" collapsed="false">
      <c r="A1948" s="34" t="s">
        <v>2111</v>
      </c>
      <c r="B1948" s="34" t="n">
        <v>29.8</v>
      </c>
      <c r="C1948" s="34" t="n">
        <v>-66.67</v>
      </c>
      <c r="D1948" s="34" t="n">
        <v>47.95</v>
      </c>
      <c r="E1948" s="34" t="n">
        <v>79.05</v>
      </c>
      <c r="F1948" s="34" t="n">
        <v>-70.93</v>
      </c>
      <c r="G1948" s="34" t="n">
        <v>-131.49</v>
      </c>
      <c r="H1948" s="34" t="n">
        <v>-177.29</v>
      </c>
      <c r="I1948" s="34" t="n">
        <v>-171.83</v>
      </c>
      <c r="J1948" s="34" t="n">
        <v>-174.08</v>
      </c>
      <c r="K1948" s="34" t="n">
        <v>31.15</v>
      </c>
      <c r="L1948" s="34" t="n">
        <f aca="false">AVERAGE(C1948:E1948)</f>
        <v>20.11</v>
      </c>
      <c r="M1948" s="34" t="n">
        <f aca="false">AVERAGE(C1948:J1948)</f>
        <v>-83.16125</v>
      </c>
    </row>
    <row r="1949" customFormat="false" ht="15" hidden="false" customHeight="true" outlineLevel="0" collapsed="false">
      <c r="A1949" s="34" t="s">
        <v>2112</v>
      </c>
      <c r="B1949" s="34" t="n">
        <v>29.76</v>
      </c>
      <c r="C1949" s="34" t="n">
        <v>-66.67</v>
      </c>
      <c r="D1949" s="34" t="n">
        <v>5.99</v>
      </c>
      <c r="E1949" s="34" t="n">
        <v>58.26</v>
      </c>
      <c r="F1949" s="34" t="n">
        <v>-35.46</v>
      </c>
      <c r="G1949" s="34" t="n">
        <v>-87.58</v>
      </c>
      <c r="H1949" s="34" t="n">
        <v>-89.63</v>
      </c>
      <c r="I1949" s="34" t="n">
        <v>-88.94</v>
      </c>
      <c r="J1949" s="34" t="n">
        <v>-81.24</v>
      </c>
      <c r="K1949" s="34" t="n">
        <v>31.01</v>
      </c>
      <c r="L1949" s="34" t="n">
        <f aca="false">AVERAGE(C1949:E1949)</f>
        <v>-0.806666666666667</v>
      </c>
      <c r="M1949" s="34" t="n">
        <f aca="false">AVERAGE(C1949:J1949)</f>
        <v>-48.15875</v>
      </c>
    </row>
    <row r="1950" customFormat="false" ht="15" hidden="false" customHeight="true" outlineLevel="0" collapsed="false">
      <c r="A1950" s="34" t="s">
        <v>2113</v>
      </c>
      <c r="B1950" s="34" t="n">
        <v>29.61</v>
      </c>
      <c r="C1950" s="34" t="n">
        <v>-66.67</v>
      </c>
      <c r="D1950" s="34" t="n">
        <v>-63.37</v>
      </c>
      <c r="E1950" s="34" t="n">
        <v>60.61</v>
      </c>
      <c r="F1950" s="34" t="n">
        <v>28.36</v>
      </c>
      <c r="G1950" s="34" t="n">
        <v>0.353</v>
      </c>
      <c r="H1950" s="34" t="n">
        <v>40.48</v>
      </c>
      <c r="I1950" s="34" t="n">
        <v>59.05</v>
      </c>
      <c r="J1950" s="34"/>
      <c r="K1950" s="34" t="n">
        <v>29.93</v>
      </c>
      <c r="L1950" s="34" t="n">
        <f aca="false">AVERAGE(C1950:E1950)</f>
        <v>-23.1433333333333</v>
      </c>
      <c r="M1950" s="34" t="n">
        <f aca="false">AVERAGE(C1950:J1950)</f>
        <v>8.40185714285714</v>
      </c>
    </row>
    <row r="1951" customFormat="false" ht="15" hidden="false" customHeight="true" outlineLevel="0" collapsed="false">
      <c r="A1951" s="34" t="s">
        <v>2114</v>
      </c>
      <c r="B1951" s="34" t="n">
        <v>29.5</v>
      </c>
      <c r="C1951" s="34" t="n">
        <v>-66.67</v>
      </c>
      <c r="D1951" s="34" t="n">
        <v>-76.56</v>
      </c>
      <c r="E1951" s="34" t="n">
        <v>-151.82</v>
      </c>
      <c r="F1951" s="34" t="n">
        <v>-23.51</v>
      </c>
      <c r="G1951" s="34" t="n">
        <v>39.88</v>
      </c>
      <c r="H1951" s="34" t="n">
        <v>67.67</v>
      </c>
      <c r="I1951" s="34" t="n">
        <v>86.36</v>
      </c>
      <c r="J1951" s="34" t="n">
        <v>83.8</v>
      </c>
      <c r="K1951" s="34" t="n">
        <v>28.47</v>
      </c>
      <c r="L1951" s="34" t="n">
        <f aca="false">AVERAGE(C1951:E1951)</f>
        <v>-98.35</v>
      </c>
      <c r="M1951" s="34" t="n">
        <f aca="false">AVERAGE(C1951:J1951)</f>
        <v>-5.10625</v>
      </c>
    </row>
    <row r="1952" customFormat="false" ht="15" hidden="false" customHeight="true" outlineLevel="0" collapsed="false">
      <c r="A1952" s="34" t="s">
        <v>2115</v>
      </c>
      <c r="B1952" s="34" t="n">
        <v>29.47</v>
      </c>
      <c r="C1952" s="34" t="n">
        <v>-66.67</v>
      </c>
      <c r="D1952" s="34" t="n">
        <v>-131.98</v>
      </c>
      <c r="E1952" s="34" t="n">
        <v>-146.31</v>
      </c>
      <c r="F1952" s="34" t="n">
        <v>-96.75</v>
      </c>
      <c r="G1952" s="34" t="n">
        <v>-132.38</v>
      </c>
      <c r="H1952" s="34" t="n">
        <v>-87.12</v>
      </c>
      <c r="I1952" s="34" t="n">
        <v>-28.32</v>
      </c>
      <c r="J1952" s="34" t="n">
        <v>-45.31</v>
      </c>
      <c r="K1952" s="34" t="n">
        <v>31.54</v>
      </c>
      <c r="L1952" s="34" t="n">
        <f aca="false">AVERAGE(C1952:E1952)</f>
        <v>-114.986666666667</v>
      </c>
      <c r="M1952" s="34" t="n">
        <f aca="false">AVERAGE(C1952:J1952)</f>
        <v>-91.855</v>
      </c>
    </row>
    <row r="1953" customFormat="false" ht="15" hidden="false" customHeight="true" outlineLevel="0" collapsed="false">
      <c r="A1953" s="34" t="s">
        <v>2116</v>
      </c>
      <c r="B1953" s="34" t="n">
        <v>29.3</v>
      </c>
      <c r="C1953" s="34" t="n">
        <v>-66.67</v>
      </c>
      <c r="D1953" s="34" t="n">
        <v>-108.17</v>
      </c>
      <c r="E1953" s="34" t="n">
        <v>29.8</v>
      </c>
      <c r="F1953" s="34" t="n">
        <v>-24.74</v>
      </c>
      <c r="G1953" s="34" t="n">
        <v>-77.48</v>
      </c>
      <c r="H1953" s="34" t="n">
        <v>-42.24</v>
      </c>
      <c r="I1953" s="34" t="n">
        <v>-18.16</v>
      </c>
      <c r="J1953" s="34" t="n">
        <v>-47.51</v>
      </c>
      <c r="K1953" s="34" t="n">
        <v>28.6</v>
      </c>
      <c r="L1953" s="34" t="n">
        <f aca="false">AVERAGE(C1953:E1953)</f>
        <v>-48.3466666666667</v>
      </c>
      <c r="M1953" s="34" t="n">
        <f aca="false">AVERAGE(C1953:J1953)</f>
        <v>-44.39625</v>
      </c>
    </row>
    <row r="1954" customFormat="false" ht="15" hidden="false" customHeight="true" outlineLevel="0" collapsed="false">
      <c r="A1954" s="34" t="s">
        <v>2117</v>
      </c>
      <c r="B1954" s="34" t="n">
        <v>29.19</v>
      </c>
      <c r="C1954" s="34" t="n">
        <v>66.67</v>
      </c>
      <c r="D1954" s="34" t="n">
        <v>9.05</v>
      </c>
      <c r="E1954" s="34" t="n">
        <v>-56.02</v>
      </c>
      <c r="F1954" s="34" t="n">
        <v>-124.82</v>
      </c>
      <c r="G1954" s="34" t="n">
        <v>-98.72</v>
      </c>
      <c r="H1954" s="34" t="n">
        <v>-39.69</v>
      </c>
      <c r="I1954" s="34" t="n">
        <v>29.25</v>
      </c>
      <c r="J1954" s="34" t="n">
        <v>45.86</v>
      </c>
      <c r="K1954" s="34" t="n">
        <v>29.54</v>
      </c>
      <c r="L1954" s="34" t="n">
        <f aca="false">AVERAGE(C1954:E1954)</f>
        <v>6.56666666666667</v>
      </c>
      <c r="M1954" s="34" t="n">
        <f aca="false">AVERAGE(C1954:J1954)</f>
        <v>-21.0525</v>
      </c>
    </row>
    <row r="1955" customFormat="false" ht="15" hidden="false" customHeight="true" outlineLevel="0" collapsed="false">
      <c r="A1955" s="34" t="s">
        <v>2118</v>
      </c>
      <c r="B1955" s="34" t="n">
        <v>29.07</v>
      </c>
      <c r="C1955" s="34" t="n">
        <v>-66.67</v>
      </c>
      <c r="D1955" s="34" t="n">
        <v>-123.54</v>
      </c>
      <c r="E1955" s="34" t="n">
        <v>-116</v>
      </c>
      <c r="F1955" s="34" t="n">
        <v>-144.77</v>
      </c>
      <c r="G1955" s="34" t="n">
        <v>-105.6</v>
      </c>
      <c r="H1955" s="34" t="n">
        <v>-53.39</v>
      </c>
      <c r="I1955" s="34" t="n">
        <v>-27.73</v>
      </c>
      <c r="J1955" s="34" t="n">
        <v>-51.15</v>
      </c>
      <c r="K1955" s="34" t="n">
        <v>32.39</v>
      </c>
      <c r="L1955" s="34" t="n">
        <f aca="false">AVERAGE(C1955:E1955)</f>
        <v>-102.07</v>
      </c>
      <c r="M1955" s="34" t="n">
        <f aca="false">AVERAGE(C1955:J1955)</f>
        <v>-86.10625</v>
      </c>
    </row>
    <row r="1956" customFormat="false" ht="15" hidden="false" customHeight="true" outlineLevel="0" collapsed="false">
      <c r="A1956" s="34" t="s">
        <v>515</v>
      </c>
      <c r="B1956" s="34" t="n">
        <v>29.02</v>
      </c>
      <c r="C1956" s="34" t="n">
        <v>-66.67</v>
      </c>
      <c r="D1956" s="34" t="n">
        <v>-69.79</v>
      </c>
      <c r="E1956" s="34" t="n">
        <v>42.64</v>
      </c>
      <c r="F1956" s="34" t="n">
        <v>-64.68</v>
      </c>
      <c r="G1956" s="34" t="n">
        <v>-111.88</v>
      </c>
      <c r="H1956" s="34" t="n">
        <v>-81.33</v>
      </c>
      <c r="I1956" s="34" t="n">
        <v>-46.42</v>
      </c>
      <c r="J1956" s="34" t="n">
        <v>-59.74</v>
      </c>
      <c r="K1956" s="34" t="n">
        <v>28.2</v>
      </c>
      <c r="L1956" s="34" t="n">
        <f aca="false">AVERAGE(C1956:E1956)</f>
        <v>-31.2733333333333</v>
      </c>
      <c r="M1956" s="34" t="n">
        <f aca="false">AVERAGE(C1956:J1956)</f>
        <v>-57.23375</v>
      </c>
    </row>
    <row r="1957" customFormat="false" ht="15" hidden="false" customHeight="true" outlineLevel="0" collapsed="false">
      <c r="A1957" s="34" t="s">
        <v>2119</v>
      </c>
      <c r="B1957" s="34" t="n">
        <v>28.98</v>
      </c>
      <c r="C1957" s="34" t="n">
        <v>-66.67</v>
      </c>
      <c r="D1957" s="34" t="n">
        <v>-133.33</v>
      </c>
      <c r="E1957" s="34" t="n">
        <v>9.48</v>
      </c>
      <c r="F1957" s="34" t="n">
        <v>-69.13</v>
      </c>
      <c r="G1957" s="34" t="n">
        <v>-112.49</v>
      </c>
      <c r="H1957" s="34" t="n">
        <v>-132.66</v>
      </c>
      <c r="I1957" s="34" t="n">
        <v>-140.92</v>
      </c>
      <c r="J1957" s="34" t="n">
        <v>-101.66</v>
      </c>
      <c r="K1957" s="34" t="n">
        <v>27.73</v>
      </c>
      <c r="L1957" s="34" t="n">
        <f aca="false">AVERAGE(C1957:E1957)</f>
        <v>-63.5066666666667</v>
      </c>
      <c r="M1957" s="34" t="n">
        <f aca="false">AVERAGE(C1957:J1957)</f>
        <v>-93.4225</v>
      </c>
    </row>
    <row r="1958" customFormat="false" ht="15" hidden="false" customHeight="true" outlineLevel="0" collapsed="false">
      <c r="A1958" s="34" t="s">
        <v>534</v>
      </c>
      <c r="B1958" s="34" t="n">
        <v>28.91</v>
      </c>
      <c r="C1958" s="34" t="n">
        <v>-66.67</v>
      </c>
      <c r="D1958" s="34" t="n">
        <v>-55.01</v>
      </c>
      <c r="E1958" s="34" t="n">
        <v>63.98</v>
      </c>
      <c r="F1958" s="34" t="n">
        <v>-49.66</v>
      </c>
      <c r="G1958" s="34" t="n">
        <v>-89.11</v>
      </c>
      <c r="H1958" s="34" t="n">
        <v>-118.87</v>
      </c>
      <c r="I1958" s="34" t="n">
        <v>-97.12</v>
      </c>
      <c r="J1958" s="34" t="n">
        <v>-83.35</v>
      </c>
      <c r="K1958" s="34" t="n">
        <v>29.41</v>
      </c>
      <c r="L1958" s="34" t="n">
        <f aca="false">AVERAGE(C1958:E1958)</f>
        <v>-19.2333333333333</v>
      </c>
      <c r="M1958" s="34" t="n">
        <f aca="false">AVERAGE(C1958:J1958)</f>
        <v>-61.97625</v>
      </c>
    </row>
    <row r="1959" customFormat="false" ht="15" hidden="false" customHeight="true" outlineLevel="0" collapsed="false">
      <c r="A1959" s="34" t="s">
        <v>2120</v>
      </c>
      <c r="B1959" s="34" t="n">
        <v>28.9</v>
      </c>
      <c r="C1959" s="34" t="n">
        <v>-66.67</v>
      </c>
      <c r="D1959" s="34" t="n">
        <v>-13.46</v>
      </c>
      <c r="E1959" s="34" t="n">
        <v>69.34</v>
      </c>
      <c r="F1959" s="34" t="n">
        <v>48.13</v>
      </c>
      <c r="G1959" s="34" t="n">
        <v>23.65</v>
      </c>
      <c r="H1959" s="34" t="n">
        <v>58.6</v>
      </c>
      <c r="I1959" s="34" t="n">
        <v>65.2</v>
      </c>
      <c r="J1959" s="34" t="n">
        <v>75.88</v>
      </c>
      <c r="K1959" s="34" t="n">
        <v>29.71</v>
      </c>
      <c r="L1959" s="34" t="n">
        <f aca="false">AVERAGE(C1959:E1959)</f>
        <v>-3.59666666666667</v>
      </c>
      <c r="M1959" s="34" t="n">
        <f aca="false">AVERAGE(C1959:J1959)</f>
        <v>32.58375</v>
      </c>
    </row>
    <row r="1960" customFormat="false" ht="15" hidden="false" customHeight="true" outlineLevel="0" collapsed="false">
      <c r="A1960" s="34" t="s">
        <v>578</v>
      </c>
      <c r="B1960" s="34" t="n">
        <v>28.83</v>
      </c>
      <c r="C1960" s="34" t="n">
        <v>-66.67</v>
      </c>
      <c r="D1960" s="34" t="n">
        <v>-52.22</v>
      </c>
      <c r="E1960" s="34" t="n">
        <v>53.48</v>
      </c>
      <c r="F1960" s="34" t="n">
        <v>-44.9</v>
      </c>
      <c r="G1960" s="34" t="n">
        <v>-84.99</v>
      </c>
      <c r="H1960" s="34" t="n">
        <v>-72.5</v>
      </c>
      <c r="I1960" s="34" t="n">
        <v>-64.51</v>
      </c>
      <c r="J1960" s="34" t="n">
        <v>-65.15</v>
      </c>
      <c r="K1960" s="34" t="n">
        <v>29.54</v>
      </c>
      <c r="L1960" s="34" t="n">
        <f aca="false">AVERAGE(C1960:E1960)</f>
        <v>-21.8033333333333</v>
      </c>
      <c r="M1960" s="34" t="n">
        <f aca="false">AVERAGE(C1960:J1960)</f>
        <v>-49.6825</v>
      </c>
    </row>
    <row r="1961" customFormat="false" ht="15" hidden="false" customHeight="true" outlineLevel="0" collapsed="false">
      <c r="A1961" s="34" t="s">
        <v>2121</v>
      </c>
      <c r="B1961" s="34" t="n">
        <v>28.72</v>
      </c>
      <c r="C1961" s="34" t="n">
        <v>-66.67</v>
      </c>
      <c r="D1961" s="34" t="n">
        <v>-98.77</v>
      </c>
      <c r="E1961" s="34" t="n">
        <v>-120.76</v>
      </c>
      <c r="F1961" s="34" t="n">
        <v>-57.93</v>
      </c>
      <c r="G1961" s="34" t="n">
        <v>-34.8</v>
      </c>
      <c r="H1961" s="34" t="n">
        <v>-49.85</v>
      </c>
      <c r="I1961" s="34" t="n">
        <v>-58.13</v>
      </c>
      <c r="J1961" s="34" t="n">
        <v>7.55</v>
      </c>
      <c r="K1961" s="34" t="n">
        <v>33.55</v>
      </c>
      <c r="L1961" s="34" t="n">
        <f aca="false">AVERAGE(C1961:E1961)</f>
        <v>-95.4</v>
      </c>
      <c r="M1961" s="34" t="n">
        <f aca="false">AVERAGE(C1961:J1961)</f>
        <v>-59.92</v>
      </c>
    </row>
    <row r="1962" customFormat="false" ht="15" hidden="false" customHeight="true" outlineLevel="0" collapsed="false">
      <c r="A1962" s="34" t="s">
        <v>2122</v>
      </c>
      <c r="B1962" s="34" t="n">
        <v>28.69</v>
      </c>
      <c r="C1962" s="34" t="n">
        <v>-66.67</v>
      </c>
      <c r="D1962" s="34" t="n">
        <v>-115.51</v>
      </c>
      <c r="E1962" s="34" t="n">
        <v>48.04</v>
      </c>
      <c r="F1962" s="34" t="n">
        <v>-2.61</v>
      </c>
      <c r="G1962" s="34" t="n">
        <v>-58.95</v>
      </c>
      <c r="H1962" s="34" t="n">
        <v>-63.47</v>
      </c>
      <c r="I1962" s="34" t="n">
        <v>-62.53</v>
      </c>
      <c r="J1962" s="34" t="n">
        <v>-73.79</v>
      </c>
      <c r="K1962" s="34" t="n">
        <v>29.44</v>
      </c>
      <c r="L1962" s="34" t="n">
        <f aca="false">AVERAGE(C1962:E1962)</f>
        <v>-44.7133333333333</v>
      </c>
      <c r="M1962" s="34" t="n">
        <f aca="false">AVERAGE(C1962:J1962)</f>
        <v>-49.43625</v>
      </c>
    </row>
    <row r="1963" customFormat="false" ht="15" hidden="false" customHeight="true" outlineLevel="0" collapsed="false">
      <c r="A1963" s="34" t="s">
        <v>2123</v>
      </c>
      <c r="B1963" s="34" t="n">
        <v>28.61</v>
      </c>
      <c r="C1963" s="34" t="n">
        <v>66.67</v>
      </c>
      <c r="D1963" s="34" t="n">
        <v>32.19</v>
      </c>
      <c r="E1963" s="34" t="n">
        <v>-50.68</v>
      </c>
      <c r="F1963" s="34" t="n">
        <v>-90.54</v>
      </c>
      <c r="G1963" s="34" t="n">
        <v>-141.91</v>
      </c>
      <c r="H1963" s="34" t="n">
        <v>-74.11</v>
      </c>
      <c r="I1963" s="34" t="n">
        <v>16.05</v>
      </c>
      <c r="J1963" s="34" t="n">
        <v>37.77</v>
      </c>
      <c r="K1963" s="34" t="n">
        <v>29.15</v>
      </c>
      <c r="L1963" s="34" t="n">
        <f aca="false">AVERAGE(C1963:E1963)</f>
        <v>16.06</v>
      </c>
      <c r="M1963" s="34" t="n">
        <f aca="false">AVERAGE(C1963:J1963)</f>
        <v>-25.57</v>
      </c>
    </row>
    <row r="1964" customFormat="false" ht="15" hidden="false" customHeight="true" outlineLevel="0" collapsed="false">
      <c r="A1964" s="34" t="s">
        <v>2124</v>
      </c>
      <c r="B1964" s="34" t="n">
        <v>28.55</v>
      </c>
      <c r="C1964" s="34" t="n">
        <v>66.67</v>
      </c>
      <c r="D1964" s="34" t="n">
        <v>92.75</v>
      </c>
      <c r="E1964" s="34" t="n">
        <v>81.21</v>
      </c>
      <c r="F1964" s="34" t="n">
        <v>41.92</v>
      </c>
      <c r="G1964" s="34" t="n">
        <v>22.87</v>
      </c>
      <c r="H1964" s="34" t="n">
        <v>56.67</v>
      </c>
      <c r="I1964" s="34" t="n">
        <v>65.66</v>
      </c>
      <c r="J1964" s="34" t="n">
        <v>76.81</v>
      </c>
      <c r="K1964" s="34" t="n">
        <v>27.61</v>
      </c>
      <c r="L1964" s="34" t="n">
        <f aca="false">AVERAGE(C1964:E1964)</f>
        <v>80.21</v>
      </c>
      <c r="M1964" s="34" t="n">
        <f aca="false">AVERAGE(C1964:J1964)</f>
        <v>63.07</v>
      </c>
    </row>
    <row r="1965" customFormat="false" ht="15" hidden="false" customHeight="true" outlineLevel="0" collapsed="false">
      <c r="A1965" s="34" t="s">
        <v>2125</v>
      </c>
      <c r="B1965" s="34" t="n">
        <v>28.53</v>
      </c>
      <c r="C1965" s="34" t="n">
        <v>-66.67</v>
      </c>
      <c r="D1965" s="34" t="n">
        <v>-133.33</v>
      </c>
      <c r="E1965" s="34" t="n">
        <v>2.59</v>
      </c>
      <c r="F1965" s="34" t="n">
        <v>74.83</v>
      </c>
      <c r="G1965" s="34" t="n">
        <v>16.41</v>
      </c>
      <c r="H1965" s="34" t="n">
        <v>15.51</v>
      </c>
      <c r="I1965" s="34" t="n">
        <v>23.33</v>
      </c>
      <c r="J1965" s="34" t="n">
        <v>-5.56</v>
      </c>
      <c r="K1965" s="34" t="n">
        <v>27.41</v>
      </c>
      <c r="L1965" s="34" t="n">
        <f aca="false">AVERAGE(C1965:E1965)</f>
        <v>-65.8033333333333</v>
      </c>
      <c r="M1965" s="34" t="n">
        <f aca="false">AVERAGE(C1965:J1965)</f>
        <v>-9.11125</v>
      </c>
    </row>
    <row r="1966" customFormat="false" ht="15" hidden="false" customHeight="true" outlineLevel="0" collapsed="false">
      <c r="A1966" s="34" t="s">
        <v>531</v>
      </c>
      <c r="B1966" s="34" t="n">
        <v>28.49</v>
      </c>
      <c r="C1966" s="34" t="n">
        <v>-66.67</v>
      </c>
      <c r="D1966" s="34" t="n">
        <v>-68.38</v>
      </c>
      <c r="E1966" s="34" t="n">
        <v>58.55</v>
      </c>
      <c r="F1966" s="34" t="n">
        <v>-57.5</v>
      </c>
      <c r="G1966" s="34" t="n">
        <v>-108.16</v>
      </c>
      <c r="H1966" s="34" t="n">
        <v>-61.3</v>
      </c>
      <c r="I1966" s="34" t="n">
        <v>-9.8</v>
      </c>
      <c r="J1966" s="34" t="n">
        <v>-17.06</v>
      </c>
      <c r="K1966" s="34" t="n">
        <v>29.45</v>
      </c>
      <c r="L1966" s="34" t="n">
        <f aca="false">AVERAGE(C1966:E1966)</f>
        <v>-25.5</v>
      </c>
      <c r="M1966" s="34" t="n">
        <f aca="false">AVERAGE(C1966:J1966)</f>
        <v>-41.29</v>
      </c>
    </row>
    <row r="1967" customFormat="false" ht="15" hidden="false" customHeight="true" outlineLevel="0" collapsed="false">
      <c r="A1967" s="34" t="s">
        <v>2126</v>
      </c>
      <c r="B1967" s="34" t="n">
        <v>28.36</v>
      </c>
      <c r="C1967" s="34" t="n">
        <v>66.67</v>
      </c>
      <c r="D1967" s="34" t="n">
        <v>31.17</v>
      </c>
      <c r="E1967" s="34" t="n">
        <v>55.66</v>
      </c>
      <c r="F1967" s="34" t="n">
        <v>-8.59</v>
      </c>
      <c r="G1967" s="34" t="n">
        <v>-20.88</v>
      </c>
      <c r="H1967" s="34" t="n">
        <v>18.52</v>
      </c>
      <c r="I1967" s="34"/>
      <c r="J1967" s="34"/>
      <c r="K1967" s="34" t="n">
        <v>30.33</v>
      </c>
      <c r="L1967" s="34" t="n">
        <f aca="false">AVERAGE(C1967:E1967)</f>
        <v>51.1666666666667</v>
      </c>
      <c r="M1967" s="34" t="n">
        <f aca="false">AVERAGE(C1967:J1967)</f>
        <v>23.7583333333333</v>
      </c>
    </row>
    <row r="1968" customFormat="false" ht="15" hidden="false" customHeight="true" outlineLevel="0" collapsed="false">
      <c r="A1968" s="34" t="s">
        <v>2127</v>
      </c>
      <c r="B1968" s="34" t="n">
        <v>28.33</v>
      </c>
      <c r="C1968" s="34" t="n">
        <v>-66.67</v>
      </c>
      <c r="D1968" s="34" t="n">
        <v>-132.2</v>
      </c>
      <c r="E1968" s="34" t="n">
        <v>-243.36</v>
      </c>
      <c r="F1968" s="34" t="n">
        <v>-217.76</v>
      </c>
      <c r="G1968" s="34" t="n">
        <v>-121.27</v>
      </c>
      <c r="H1968" s="34" t="n">
        <v>-60.53</v>
      </c>
      <c r="I1968" s="34" t="n">
        <v>-63.68</v>
      </c>
      <c r="J1968" s="34" t="n">
        <v>-67.14</v>
      </c>
      <c r="K1968" s="34" t="n">
        <v>30.89</v>
      </c>
      <c r="L1968" s="34" t="n">
        <f aca="false">AVERAGE(C1968:E1968)</f>
        <v>-147.41</v>
      </c>
      <c r="M1968" s="34" t="n">
        <f aca="false">AVERAGE(C1968:J1968)</f>
        <v>-121.57625</v>
      </c>
    </row>
    <row r="1969" customFormat="false" ht="15" hidden="false" customHeight="true" outlineLevel="0" collapsed="false">
      <c r="A1969" s="34" t="s">
        <v>2128</v>
      </c>
      <c r="B1969" s="34" t="n">
        <v>28.15</v>
      </c>
      <c r="C1969" s="34" t="n">
        <v>-66.67</v>
      </c>
      <c r="D1969" s="34" t="n">
        <v>44.38</v>
      </c>
      <c r="E1969" s="34" t="n">
        <v>37.22</v>
      </c>
      <c r="F1969" s="34" t="n">
        <v>2.2</v>
      </c>
      <c r="G1969" s="34" t="n">
        <v>17</v>
      </c>
      <c r="H1969" s="34" t="n">
        <v>42.22</v>
      </c>
      <c r="I1969" s="34" t="n">
        <v>50.97</v>
      </c>
      <c r="J1969" s="34" t="n">
        <v>-17.69</v>
      </c>
      <c r="K1969" s="34" t="n">
        <v>27.86</v>
      </c>
      <c r="L1969" s="34" t="n">
        <f aca="false">AVERAGE(C1969:E1969)</f>
        <v>4.97666666666666</v>
      </c>
      <c r="M1969" s="34" t="n">
        <f aca="false">AVERAGE(C1969:J1969)</f>
        <v>13.70375</v>
      </c>
    </row>
    <row r="1970" customFormat="false" ht="15" hidden="false" customHeight="true" outlineLevel="0" collapsed="false">
      <c r="A1970" s="34" t="s">
        <v>2129</v>
      </c>
      <c r="B1970" s="34" t="n">
        <v>28.15</v>
      </c>
      <c r="C1970" s="34" t="n">
        <v>-66.67</v>
      </c>
      <c r="D1970" s="34" t="n">
        <v>-133.33</v>
      </c>
      <c r="E1970" s="34" t="n">
        <v>-273.14</v>
      </c>
      <c r="F1970" s="34" t="n">
        <v>-135.54</v>
      </c>
      <c r="G1970" s="34" t="n">
        <v>-160.97</v>
      </c>
      <c r="H1970" s="34" t="n">
        <v>-183.47</v>
      </c>
      <c r="I1970" s="34" t="n">
        <v>-164.14</v>
      </c>
      <c r="J1970" s="34" t="n">
        <v>-129.12</v>
      </c>
      <c r="K1970" s="34" t="n">
        <v>32.76</v>
      </c>
      <c r="L1970" s="34" t="n">
        <f aca="false">AVERAGE(C1970:E1970)</f>
        <v>-157.713333333333</v>
      </c>
      <c r="M1970" s="34" t="n">
        <f aca="false">AVERAGE(C1970:J1970)</f>
        <v>-155.7975</v>
      </c>
    </row>
    <row r="1971" customFormat="false" ht="15" hidden="false" customHeight="true" outlineLevel="0" collapsed="false">
      <c r="A1971" s="34" t="s">
        <v>2130</v>
      </c>
      <c r="B1971" s="34" t="n">
        <v>28.13</v>
      </c>
      <c r="C1971" s="34" t="n">
        <v>-66.67</v>
      </c>
      <c r="D1971" s="34" t="n">
        <v>-116.67</v>
      </c>
      <c r="E1971" s="34" t="n">
        <v>-57.4</v>
      </c>
      <c r="F1971" s="34" t="n">
        <v>-148.56</v>
      </c>
      <c r="G1971" s="34" t="n">
        <v>-159.91</v>
      </c>
      <c r="H1971" s="34" t="n">
        <v>-100.71</v>
      </c>
      <c r="I1971" s="34" t="n">
        <v>6.95</v>
      </c>
      <c r="J1971" s="34" t="n">
        <v>31.54</v>
      </c>
      <c r="K1971" s="34" t="n">
        <v>28.69</v>
      </c>
      <c r="L1971" s="34" t="n">
        <f aca="false">AVERAGE(C1971:E1971)</f>
        <v>-80.2466666666667</v>
      </c>
      <c r="M1971" s="34" t="n">
        <f aca="false">AVERAGE(C1971:J1971)</f>
        <v>-76.42875</v>
      </c>
    </row>
    <row r="1972" customFormat="false" ht="15" hidden="false" customHeight="true" outlineLevel="0" collapsed="false">
      <c r="A1972" s="34" t="s">
        <v>2131</v>
      </c>
      <c r="B1972" s="34" t="n">
        <v>27.98</v>
      </c>
      <c r="C1972" s="34" t="n">
        <v>-66.67</v>
      </c>
      <c r="D1972" s="34" t="n">
        <v>-83.53</v>
      </c>
      <c r="E1972" s="34" t="n">
        <v>-88.24</v>
      </c>
      <c r="F1972" s="34" t="n">
        <v>-102.23</v>
      </c>
      <c r="G1972" s="34" t="n">
        <v>-138.99</v>
      </c>
      <c r="H1972" s="34" t="n">
        <v>-76.9</v>
      </c>
      <c r="I1972" s="34" t="n">
        <v>-16.52</v>
      </c>
      <c r="J1972" s="34" t="n">
        <v>-4.95</v>
      </c>
      <c r="K1972" s="34" t="n">
        <v>29.86</v>
      </c>
      <c r="L1972" s="34" t="n">
        <f aca="false">AVERAGE(C1972:E1972)</f>
        <v>-79.48</v>
      </c>
      <c r="M1972" s="34" t="n">
        <f aca="false">AVERAGE(C1972:J1972)</f>
        <v>-72.25375</v>
      </c>
    </row>
    <row r="1973" customFormat="false" ht="15" hidden="false" customHeight="true" outlineLevel="0" collapsed="false">
      <c r="A1973" s="34" t="s">
        <v>2132</v>
      </c>
      <c r="B1973" s="34" t="n">
        <v>27.86</v>
      </c>
      <c r="C1973" s="34" t="n">
        <v>-66.67</v>
      </c>
      <c r="D1973" s="34" t="n">
        <v>-133.33</v>
      </c>
      <c r="E1973" s="34" t="n">
        <v>-88.11</v>
      </c>
      <c r="F1973" s="34" t="n">
        <v>-127.69</v>
      </c>
      <c r="G1973" s="34" t="n">
        <v>-117.54</v>
      </c>
      <c r="H1973" s="34" t="n">
        <v>-35.1</v>
      </c>
      <c r="I1973" s="34" t="n">
        <v>-5.18</v>
      </c>
      <c r="J1973" s="34" t="n">
        <v>-25.76</v>
      </c>
      <c r="K1973" s="34" t="n">
        <v>30.15</v>
      </c>
      <c r="L1973" s="34" t="n">
        <f aca="false">AVERAGE(C1973:E1973)</f>
        <v>-96.0366666666667</v>
      </c>
      <c r="M1973" s="34" t="n">
        <f aca="false">AVERAGE(C1973:J1973)</f>
        <v>-74.9225</v>
      </c>
    </row>
    <row r="1974" customFormat="false" ht="15" hidden="false" customHeight="true" outlineLevel="0" collapsed="false">
      <c r="A1974" s="34" t="s">
        <v>2133</v>
      </c>
      <c r="B1974" s="34" t="n">
        <v>27.69</v>
      </c>
      <c r="C1974" s="34" t="n">
        <v>-66.67</v>
      </c>
      <c r="D1974" s="34" t="n">
        <v>-66.67</v>
      </c>
      <c r="E1974" s="34" t="n">
        <v>-32.6</v>
      </c>
      <c r="F1974" s="34" t="n">
        <v>-66.12</v>
      </c>
      <c r="G1974" s="34" t="n">
        <v>-90.53</v>
      </c>
      <c r="H1974" s="34" t="n">
        <v>-5.71</v>
      </c>
      <c r="I1974" s="34" t="n">
        <v>28.41</v>
      </c>
      <c r="J1974" s="34" t="n">
        <v>14.24</v>
      </c>
      <c r="K1974" s="34" t="n">
        <v>29.02</v>
      </c>
      <c r="L1974" s="34" t="n">
        <f aca="false">AVERAGE(C1974:E1974)</f>
        <v>-55.3133333333333</v>
      </c>
      <c r="M1974" s="34" t="n">
        <f aca="false">AVERAGE(C1974:J1974)</f>
        <v>-35.70625</v>
      </c>
    </row>
    <row r="1975" customFormat="false" ht="15" hidden="false" customHeight="true" outlineLevel="0" collapsed="false">
      <c r="A1975" s="34" t="s">
        <v>2134</v>
      </c>
      <c r="B1975" s="34" t="n">
        <v>27.54</v>
      </c>
      <c r="C1975" s="34" t="n">
        <v>66.67</v>
      </c>
      <c r="D1975" s="34" t="n">
        <v>133.33</v>
      </c>
      <c r="E1975" s="34" t="n">
        <v>253.4</v>
      </c>
      <c r="F1975" s="34" t="n">
        <v>116.48</v>
      </c>
      <c r="G1975" s="34" t="n">
        <v>2.89</v>
      </c>
      <c r="H1975" s="34" t="n">
        <v>1.76</v>
      </c>
      <c r="I1975" s="34" t="n">
        <v>11.48</v>
      </c>
      <c r="J1975" s="34" t="n">
        <v>-32.23</v>
      </c>
      <c r="K1975" s="34" t="n">
        <v>27.8</v>
      </c>
      <c r="L1975" s="34" t="n">
        <f aca="false">AVERAGE(C1975:E1975)</f>
        <v>151.133333333333</v>
      </c>
      <c r="M1975" s="34" t="n">
        <f aca="false">AVERAGE(C1975:J1975)</f>
        <v>69.2225</v>
      </c>
    </row>
    <row r="1976" customFormat="false" ht="15" hidden="false" customHeight="true" outlineLevel="0" collapsed="false">
      <c r="A1976" s="34" t="s">
        <v>2135</v>
      </c>
      <c r="B1976" s="34" t="n">
        <v>27.45</v>
      </c>
      <c r="C1976" s="34" t="n">
        <v>-66.67</v>
      </c>
      <c r="D1976" s="34" t="n">
        <v>23.81</v>
      </c>
      <c r="E1976" s="34" t="n">
        <v>76.15</v>
      </c>
      <c r="F1976" s="34" t="n">
        <v>-24.75</v>
      </c>
      <c r="G1976" s="34" t="n">
        <v>-62.82</v>
      </c>
      <c r="H1976" s="34" t="n">
        <v>-54.93</v>
      </c>
      <c r="I1976" s="34" t="n">
        <v>22.8</v>
      </c>
      <c r="J1976" s="34" t="n">
        <v>40.59</v>
      </c>
      <c r="K1976" s="34" t="n">
        <v>28.33</v>
      </c>
      <c r="L1976" s="34" t="n">
        <f aca="false">AVERAGE(C1976:E1976)</f>
        <v>11.0966666666667</v>
      </c>
      <c r="M1976" s="34" t="n">
        <f aca="false">AVERAGE(C1976:J1976)</f>
        <v>-5.7275</v>
      </c>
    </row>
    <row r="1977" customFormat="false" ht="15" hidden="false" customHeight="true" outlineLevel="0" collapsed="false">
      <c r="A1977" s="34" t="s">
        <v>2136</v>
      </c>
      <c r="B1977" s="34" t="n">
        <v>27.43</v>
      </c>
      <c r="C1977" s="34" t="n">
        <v>-66.67</v>
      </c>
      <c r="D1977" s="34" t="n">
        <v>19.21</v>
      </c>
      <c r="E1977" s="34" t="n">
        <v>74.41</v>
      </c>
      <c r="F1977" s="34" t="n">
        <v>52.9</v>
      </c>
      <c r="G1977" s="34" t="n">
        <v>6.71</v>
      </c>
      <c r="H1977" s="34" t="n">
        <v>36.09</v>
      </c>
      <c r="I1977" s="34" t="n">
        <v>56.29</v>
      </c>
      <c r="J1977" s="34" t="n">
        <v>66.04</v>
      </c>
      <c r="K1977" s="34" t="n">
        <v>26.91</v>
      </c>
      <c r="L1977" s="34" t="n">
        <f aca="false">AVERAGE(C1977:E1977)</f>
        <v>8.98333333333333</v>
      </c>
      <c r="M1977" s="34" t="n">
        <f aca="false">AVERAGE(C1977:J1977)</f>
        <v>30.6225</v>
      </c>
    </row>
    <row r="1978" customFormat="false" ht="15" hidden="false" customHeight="true" outlineLevel="0" collapsed="false">
      <c r="A1978" s="34" t="s">
        <v>2137</v>
      </c>
      <c r="B1978" s="34" t="n">
        <v>27.37</v>
      </c>
      <c r="C1978" s="34" t="n">
        <v>66.67</v>
      </c>
      <c r="D1978" s="34" t="n">
        <v>31.75</v>
      </c>
      <c r="E1978" s="34" t="n">
        <v>38.64</v>
      </c>
      <c r="F1978" s="34" t="n">
        <v>-78.27</v>
      </c>
      <c r="G1978" s="34" t="n">
        <v>-140.19</v>
      </c>
      <c r="H1978" s="34" t="n">
        <v>-143.69</v>
      </c>
      <c r="I1978" s="34" t="n">
        <v>-110.91</v>
      </c>
      <c r="J1978" s="34" t="n">
        <v>-99.68</v>
      </c>
      <c r="K1978" s="34" t="n">
        <v>29.36</v>
      </c>
      <c r="L1978" s="34" t="n">
        <f aca="false">AVERAGE(C1978:E1978)</f>
        <v>45.6866666666667</v>
      </c>
      <c r="M1978" s="34" t="n">
        <f aca="false">AVERAGE(C1978:J1978)</f>
        <v>-54.46</v>
      </c>
    </row>
    <row r="1979" customFormat="false" ht="15" hidden="false" customHeight="true" outlineLevel="0" collapsed="false">
      <c r="A1979" s="34" t="s">
        <v>2138</v>
      </c>
      <c r="B1979" s="34" t="n">
        <v>27.34</v>
      </c>
      <c r="C1979" s="34" t="n">
        <v>66.67</v>
      </c>
      <c r="D1979" s="34" t="n">
        <v>76.76</v>
      </c>
      <c r="E1979" s="34" t="n">
        <v>99.12</v>
      </c>
      <c r="F1979" s="34" t="n">
        <v>143.92</v>
      </c>
      <c r="G1979" s="34" t="n">
        <v>246.16</v>
      </c>
      <c r="H1979" s="34" t="n">
        <v>325.17</v>
      </c>
      <c r="I1979" s="34" t="n">
        <v>385.36</v>
      </c>
      <c r="J1979" s="34" t="n">
        <v>277.94</v>
      </c>
      <c r="K1979" s="34" t="n">
        <v>24.13</v>
      </c>
      <c r="L1979" s="34" t="n">
        <f aca="false">AVERAGE(C1979:E1979)</f>
        <v>80.85</v>
      </c>
      <c r="M1979" s="34" t="n">
        <f aca="false">AVERAGE(C1979:J1979)</f>
        <v>202.6375</v>
      </c>
    </row>
    <row r="1980" customFormat="false" ht="15" hidden="false" customHeight="true" outlineLevel="0" collapsed="false">
      <c r="A1980" s="34" t="s">
        <v>2139</v>
      </c>
      <c r="B1980" s="34" t="n">
        <v>27.29</v>
      </c>
      <c r="C1980" s="34" t="n">
        <v>-66.67</v>
      </c>
      <c r="D1980" s="34" t="n">
        <v>15.05</v>
      </c>
      <c r="E1980" s="34" t="n">
        <v>72.73</v>
      </c>
      <c r="F1980" s="34" t="n">
        <v>14.24</v>
      </c>
      <c r="G1980" s="34" t="n">
        <v>-60.45</v>
      </c>
      <c r="H1980" s="34" t="n">
        <v>-44.3</v>
      </c>
      <c r="I1980" s="34" t="n">
        <v>-14.77</v>
      </c>
      <c r="J1980" s="34" t="n">
        <v>-24.52</v>
      </c>
      <c r="K1980" s="34" t="n">
        <v>25.49</v>
      </c>
      <c r="L1980" s="34" t="n">
        <f aca="false">AVERAGE(C1980:E1980)</f>
        <v>7.03666666666667</v>
      </c>
      <c r="M1980" s="34" t="n">
        <f aca="false">AVERAGE(C1980:J1980)</f>
        <v>-13.58625</v>
      </c>
    </row>
    <row r="1981" customFormat="false" ht="15" hidden="false" customHeight="true" outlineLevel="0" collapsed="false">
      <c r="A1981" s="34" t="s">
        <v>2140</v>
      </c>
      <c r="B1981" s="34" t="n">
        <v>27.23</v>
      </c>
      <c r="C1981" s="34" t="n">
        <v>-66.67</v>
      </c>
      <c r="D1981" s="34" t="n">
        <v>-111.59</v>
      </c>
      <c r="E1981" s="34" t="n">
        <v>-31.49</v>
      </c>
      <c r="F1981" s="34" t="n">
        <v>-87.81</v>
      </c>
      <c r="G1981" s="34" t="n">
        <v>-68.44</v>
      </c>
      <c r="H1981" s="34" t="n">
        <v>-13.05</v>
      </c>
      <c r="I1981" s="34" t="n">
        <v>39.05</v>
      </c>
      <c r="J1981" s="34" t="n">
        <v>52.46</v>
      </c>
      <c r="K1981" s="34" t="n">
        <v>28.19</v>
      </c>
      <c r="L1981" s="34" t="n">
        <f aca="false">AVERAGE(C1981:E1981)</f>
        <v>-69.9166666666667</v>
      </c>
      <c r="M1981" s="34" t="n">
        <f aca="false">AVERAGE(C1981:J1981)</f>
        <v>-35.9425</v>
      </c>
    </row>
    <row r="1982" customFormat="false" ht="15" hidden="false" customHeight="true" outlineLevel="0" collapsed="false">
      <c r="A1982" s="34" t="s">
        <v>2141</v>
      </c>
      <c r="B1982" s="34" t="n">
        <v>27.2</v>
      </c>
      <c r="C1982" s="34" t="n">
        <v>-66.67</v>
      </c>
      <c r="D1982" s="34" t="n">
        <v>-122.31</v>
      </c>
      <c r="E1982" s="34" t="n">
        <v>53.62</v>
      </c>
      <c r="F1982" s="34" t="n">
        <v>163.64</v>
      </c>
      <c r="G1982" s="34" t="n">
        <v>236.42</v>
      </c>
      <c r="H1982" s="34" t="n">
        <v>236.38</v>
      </c>
      <c r="I1982" s="34" t="n">
        <v>243.73</v>
      </c>
      <c r="J1982" s="34" t="n">
        <v>168.41</v>
      </c>
      <c r="K1982" s="34" t="n">
        <v>24.9</v>
      </c>
      <c r="L1982" s="34" t="n">
        <f aca="false">AVERAGE(C1982:E1982)</f>
        <v>-45.12</v>
      </c>
      <c r="M1982" s="34" t="n">
        <f aca="false">AVERAGE(C1982:J1982)</f>
        <v>114.1525</v>
      </c>
    </row>
    <row r="1983" customFormat="false" ht="15" hidden="false" customHeight="true" outlineLevel="0" collapsed="false">
      <c r="A1983" s="34" t="s">
        <v>2142</v>
      </c>
      <c r="B1983" s="34" t="n">
        <v>27.2</v>
      </c>
      <c r="C1983" s="34" t="n">
        <v>66.67</v>
      </c>
      <c r="D1983" s="34" t="n">
        <v>-57.07</v>
      </c>
      <c r="E1983" s="34" t="n">
        <v>-64.39</v>
      </c>
      <c r="F1983" s="34" t="n">
        <v>-83.01</v>
      </c>
      <c r="G1983" s="34" t="n">
        <v>-122.08</v>
      </c>
      <c r="H1983" s="34" t="n">
        <v>-107.1</v>
      </c>
      <c r="I1983" s="34" t="n">
        <v>-81.04</v>
      </c>
      <c r="J1983" s="34" t="n">
        <v>-87.05</v>
      </c>
      <c r="K1983" s="34" t="n">
        <v>29.28</v>
      </c>
      <c r="L1983" s="34" t="n">
        <f aca="false">AVERAGE(C1983:E1983)</f>
        <v>-18.2633333333333</v>
      </c>
      <c r="M1983" s="34" t="n">
        <f aca="false">AVERAGE(C1983:J1983)</f>
        <v>-66.88375</v>
      </c>
    </row>
    <row r="1984" customFormat="false" ht="15" hidden="false" customHeight="true" outlineLevel="0" collapsed="false">
      <c r="A1984" s="34" t="s">
        <v>2143</v>
      </c>
      <c r="B1984" s="34" t="n">
        <v>27.17</v>
      </c>
      <c r="C1984" s="34" t="n">
        <v>-66.67</v>
      </c>
      <c r="D1984" s="34" t="n">
        <v>-133.33</v>
      </c>
      <c r="E1984" s="34" t="n">
        <v>11.64</v>
      </c>
      <c r="F1984" s="34" t="n">
        <v>-63.68</v>
      </c>
      <c r="G1984" s="34" t="n">
        <v>-103.84</v>
      </c>
      <c r="H1984" s="34" t="n">
        <v>-103.16</v>
      </c>
      <c r="I1984" s="34" t="n">
        <v>2.91</v>
      </c>
      <c r="J1984" s="34" t="n">
        <v>26.07</v>
      </c>
      <c r="K1984" s="34" t="n">
        <v>27.57</v>
      </c>
      <c r="L1984" s="34" t="n">
        <f aca="false">AVERAGE(C1984:E1984)</f>
        <v>-62.7866666666667</v>
      </c>
      <c r="M1984" s="34" t="n">
        <f aca="false">AVERAGE(C1984:J1984)</f>
        <v>-53.7575</v>
      </c>
    </row>
    <row r="1985" customFormat="false" ht="15" hidden="false" customHeight="true" outlineLevel="0" collapsed="false">
      <c r="A1985" s="34" t="s">
        <v>2144</v>
      </c>
      <c r="B1985" s="34" t="n">
        <v>27.14</v>
      </c>
      <c r="C1985" s="34" t="n">
        <v>-66.67</v>
      </c>
      <c r="D1985" s="34" t="n">
        <v>13.73</v>
      </c>
      <c r="E1985" s="34" t="n">
        <v>-37.04</v>
      </c>
      <c r="F1985" s="34" t="n">
        <v>-29.17</v>
      </c>
      <c r="G1985" s="34" t="n">
        <v>19.52</v>
      </c>
      <c r="H1985" s="34"/>
      <c r="I1985" s="34"/>
      <c r="J1985" s="34"/>
      <c r="K1985" s="34" t="n">
        <v>29.45</v>
      </c>
      <c r="L1985" s="34" t="n">
        <f aca="false">AVERAGE(C1985:E1985)</f>
        <v>-29.9933333333333</v>
      </c>
      <c r="M1985" s="34" t="n">
        <f aca="false">AVERAGE(C1985:J1985)</f>
        <v>-19.926</v>
      </c>
    </row>
    <row r="1986" customFormat="false" ht="15" hidden="false" customHeight="true" outlineLevel="0" collapsed="false">
      <c r="A1986" s="34" t="s">
        <v>2145</v>
      </c>
      <c r="B1986" s="34" t="n">
        <v>27.1</v>
      </c>
      <c r="C1986" s="34" t="n">
        <v>-66.67</v>
      </c>
      <c r="D1986" s="34" t="n">
        <v>-85.71</v>
      </c>
      <c r="E1986" s="34" t="n">
        <v>34.83</v>
      </c>
      <c r="F1986" s="34" t="n">
        <v>-45.38</v>
      </c>
      <c r="G1986" s="34" t="n">
        <v>-90.73</v>
      </c>
      <c r="H1986" s="34" t="n">
        <v>-110.18</v>
      </c>
      <c r="I1986" s="34" t="n">
        <v>-48.63</v>
      </c>
      <c r="J1986" s="34" t="n">
        <v>-21.14</v>
      </c>
      <c r="K1986" s="34" t="n">
        <v>28.18</v>
      </c>
      <c r="L1986" s="34" t="n">
        <f aca="false">AVERAGE(C1986:E1986)</f>
        <v>-39.1833333333333</v>
      </c>
      <c r="M1986" s="34" t="n">
        <f aca="false">AVERAGE(C1986:J1986)</f>
        <v>-54.20125</v>
      </c>
    </row>
    <row r="1987" customFormat="false" ht="15" hidden="false" customHeight="true" outlineLevel="0" collapsed="false">
      <c r="A1987" s="34" t="s">
        <v>2146</v>
      </c>
      <c r="B1987" s="34" t="n">
        <v>26.92</v>
      </c>
      <c r="C1987" s="34" t="n">
        <v>-66.67</v>
      </c>
      <c r="D1987" s="34" t="n">
        <v>-128.66</v>
      </c>
      <c r="E1987" s="34" t="n">
        <v>-41.92</v>
      </c>
      <c r="F1987" s="34" t="n">
        <v>-91.07</v>
      </c>
      <c r="G1987" s="34" t="n">
        <v>-138.48</v>
      </c>
      <c r="H1987" s="34" t="n">
        <v>-165.21</v>
      </c>
      <c r="I1987" s="34" t="n">
        <v>-158.41</v>
      </c>
      <c r="J1987" s="34" t="n">
        <v>-143.28</v>
      </c>
      <c r="K1987" s="34" t="n">
        <v>28.2</v>
      </c>
      <c r="L1987" s="34" t="n">
        <f aca="false">AVERAGE(C1987:E1987)</f>
        <v>-79.0833333333333</v>
      </c>
      <c r="M1987" s="34" t="n">
        <f aca="false">AVERAGE(C1987:J1987)</f>
        <v>-116.7125</v>
      </c>
    </row>
    <row r="1988" customFormat="false" ht="15" hidden="false" customHeight="true" outlineLevel="0" collapsed="false">
      <c r="A1988" s="34" t="s">
        <v>2147</v>
      </c>
      <c r="B1988" s="34" t="n">
        <v>26.9</v>
      </c>
      <c r="C1988" s="34" t="n">
        <v>-66.67</v>
      </c>
      <c r="D1988" s="34" t="n">
        <v>-133.33</v>
      </c>
      <c r="E1988" s="34" t="n">
        <v>0.749</v>
      </c>
      <c r="F1988" s="34" t="n">
        <v>-64.63</v>
      </c>
      <c r="G1988" s="34" t="n">
        <v>-111.02</v>
      </c>
      <c r="H1988" s="34" t="n">
        <v>-105.12</v>
      </c>
      <c r="I1988" s="34" t="n">
        <v>0.643</v>
      </c>
      <c r="J1988" s="34" t="n">
        <v>24.57</v>
      </c>
      <c r="K1988" s="34" t="n">
        <v>27.88</v>
      </c>
      <c r="L1988" s="34" t="n">
        <f aca="false">AVERAGE(C1988:E1988)</f>
        <v>-66.417</v>
      </c>
      <c r="M1988" s="34" t="n">
        <f aca="false">AVERAGE(C1988:J1988)</f>
        <v>-56.851</v>
      </c>
    </row>
    <row r="1989" customFormat="false" ht="15" hidden="false" customHeight="true" outlineLevel="0" collapsed="false">
      <c r="A1989" s="34" t="s">
        <v>2148</v>
      </c>
      <c r="B1989" s="34" t="n">
        <v>26.81</v>
      </c>
      <c r="C1989" s="34" t="n">
        <v>66.67</v>
      </c>
      <c r="D1989" s="34" t="n">
        <v>133.33</v>
      </c>
      <c r="E1989" s="34" t="n">
        <v>206.58</v>
      </c>
      <c r="F1989" s="34" t="n">
        <v>5.43</v>
      </c>
      <c r="G1989" s="34" t="n">
        <v>-6.39</v>
      </c>
      <c r="H1989" s="34" t="n">
        <v>-19.38</v>
      </c>
      <c r="I1989" s="34" t="n">
        <v>5.92</v>
      </c>
      <c r="J1989" s="34" t="n">
        <v>-23.49</v>
      </c>
      <c r="K1989" s="34" t="n">
        <v>28.48</v>
      </c>
      <c r="L1989" s="34" t="n">
        <f aca="false">AVERAGE(C1989:E1989)</f>
        <v>135.526666666667</v>
      </c>
      <c r="M1989" s="34" t="n">
        <f aca="false">AVERAGE(C1989:J1989)</f>
        <v>46.08375</v>
      </c>
    </row>
    <row r="1990" customFormat="false" ht="15" hidden="false" customHeight="true" outlineLevel="0" collapsed="false">
      <c r="A1990" s="34" t="s">
        <v>2149</v>
      </c>
      <c r="B1990" s="34" t="n">
        <v>26.75</v>
      </c>
      <c r="C1990" s="34" t="n">
        <v>-66.67</v>
      </c>
      <c r="D1990" s="34" t="n">
        <v>14.64</v>
      </c>
      <c r="E1990" s="34" t="n">
        <v>63.89</v>
      </c>
      <c r="F1990" s="34" t="n">
        <v>-40.18</v>
      </c>
      <c r="G1990" s="34" t="n">
        <v>-96.82</v>
      </c>
      <c r="H1990" s="34" t="n">
        <v>-79.78</v>
      </c>
      <c r="I1990" s="34" t="n">
        <v>-39.52</v>
      </c>
      <c r="J1990" s="34" t="n">
        <v>-55.78</v>
      </c>
      <c r="K1990" s="34" t="n">
        <v>27.95</v>
      </c>
      <c r="L1990" s="34" t="n">
        <f aca="false">AVERAGE(C1990:E1990)</f>
        <v>3.95333333333333</v>
      </c>
      <c r="M1990" s="34" t="n">
        <f aca="false">AVERAGE(C1990:J1990)</f>
        <v>-37.5275</v>
      </c>
    </row>
    <row r="1991" customFormat="false" ht="15" hidden="false" customHeight="true" outlineLevel="0" collapsed="false">
      <c r="A1991" s="34" t="s">
        <v>2150</v>
      </c>
      <c r="B1991" s="34" t="n">
        <v>26.68</v>
      </c>
      <c r="C1991" s="34" t="n">
        <v>66.67</v>
      </c>
      <c r="D1991" s="34" t="n">
        <v>17.3</v>
      </c>
      <c r="E1991" s="34" t="n">
        <v>-77.45</v>
      </c>
      <c r="F1991" s="34" t="n">
        <v>-41.96</v>
      </c>
      <c r="G1991" s="34" t="n">
        <v>-52.77</v>
      </c>
      <c r="H1991" s="34" t="n">
        <v>-47.97</v>
      </c>
      <c r="I1991" s="34" t="n">
        <v>-46.46</v>
      </c>
      <c r="J1991" s="34" t="n">
        <v>-58.71</v>
      </c>
      <c r="K1991" s="34" t="n">
        <v>28.51</v>
      </c>
      <c r="L1991" s="34" t="n">
        <f aca="false">AVERAGE(C1991:E1991)</f>
        <v>2.17333333333333</v>
      </c>
      <c r="M1991" s="34" t="n">
        <f aca="false">AVERAGE(C1991:J1991)</f>
        <v>-30.16875</v>
      </c>
    </row>
    <row r="1992" customFormat="false" ht="15" hidden="false" customHeight="true" outlineLevel="0" collapsed="false">
      <c r="A1992" s="34" t="s">
        <v>2151</v>
      </c>
      <c r="B1992" s="34" t="n">
        <v>26.6</v>
      </c>
      <c r="C1992" s="34" t="n">
        <v>66.67</v>
      </c>
      <c r="D1992" s="34" t="n">
        <v>108.54</v>
      </c>
      <c r="E1992" s="34" t="n">
        <v>222</v>
      </c>
      <c r="F1992" s="34" t="n">
        <v>253.27</v>
      </c>
      <c r="G1992" s="34" t="n">
        <v>282.74</v>
      </c>
      <c r="H1992" s="34" t="n">
        <v>314.74</v>
      </c>
      <c r="I1992" s="34" t="n">
        <v>187.65</v>
      </c>
      <c r="J1992" s="34" t="n">
        <v>50.05</v>
      </c>
      <c r="K1992" s="34" t="n">
        <v>21.19</v>
      </c>
      <c r="L1992" s="34" t="n">
        <f aca="false">AVERAGE(C1992:E1992)</f>
        <v>132.403333333333</v>
      </c>
      <c r="M1992" s="34" t="n">
        <f aca="false">AVERAGE(C1992:J1992)</f>
        <v>185.7075</v>
      </c>
    </row>
    <row r="1993" customFormat="false" ht="15" hidden="false" customHeight="true" outlineLevel="0" collapsed="false">
      <c r="A1993" s="34" t="s">
        <v>2152</v>
      </c>
      <c r="B1993" s="34" t="n">
        <v>26.3</v>
      </c>
      <c r="C1993" s="34" t="n">
        <v>-66.67</v>
      </c>
      <c r="D1993" s="34" t="n">
        <v>39.07</v>
      </c>
      <c r="E1993" s="34" t="n">
        <v>83.82</v>
      </c>
      <c r="F1993" s="34" t="n">
        <v>44.58</v>
      </c>
      <c r="G1993" s="34" t="n">
        <v>17.22</v>
      </c>
      <c r="H1993" s="34" t="n">
        <v>53.42</v>
      </c>
      <c r="I1993" s="34" t="n">
        <v>64.31</v>
      </c>
      <c r="J1993" s="34" t="n">
        <v>75.97</v>
      </c>
      <c r="K1993" s="34" t="n">
        <v>26.56</v>
      </c>
      <c r="L1993" s="34" t="n">
        <f aca="false">AVERAGE(C1993:E1993)</f>
        <v>18.74</v>
      </c>
      <c r="M1993" s="34" t="n">
        <f aca="false">AVERAGE(C1993:J1993)</f>
        <v>38.965</v>
      </c>
    </row>
    <row r="1994" customFormat="false" ht="15" hidden="false" customHeight="true" outlineLevel="0" collapsed="false">
      <c r="A1994" s="34" t="s">
        <v>2153</v>
      </c>
      <c r="B1994" s="34" t="n">
        <v>26.21</v>
      </c>
      <c r="C1994" s="34" t="n">
        <v>-66.67</v>
      </c>
      <c r="D1994" s="34" t="n">
        <v>-133.33</v>
      </c>
      <c r="E1994" s="34" t="n">
        <v>-94.43</v>
      </c>
      <c r="F1994" s="34" t="n">
        <v>-84.22</v>
      </c>
      <c r="G1994" s="34" t="n">
        <v>-102.74</v>
      </c>
      <c r="H1994" s="34" t="n">
        <v>-89.37</v>
      </c>
      <c r="I1994" s="34" t="n">
        <v>-82.1</v>
      </c>
      <c r="J1994" s="34" t="n">
        <v>-87.65</v>
      </c>
      <c r="K1994" s="34" t="n">
        <v>27.99</v>
      </c>
      <c r="L1994" s="34" t="n">
        <f aca="false">AVERAGE(C1994:E1994)</f>
        <v>-98.1433333333333</v>
      </c>
      <c r="M1994" s="34" t="n">
        <f aca="false">AVERAGE(C1994:J1994)</f>
        <v>-92.56375</v>
      </c>
    </row>
    <row r="1995" customFormat="false" ht="15" hidden="false" customHeight="true" outlineLevel="0" collapsed="false">
      <c r="A1995" s="34" t="s">
        <v>2154</v>
      </c>
      <c r="B1995" s="34" t="n">
        <v>26.13</v>
      </c>
      <c r="C1995" s="34" t="n">
        <v>-66.67</v>
      </c>
      <c r="D1995" s="34" t="n">
        <v>43.64</v>
      </c>
      <c r="E1995" s="34" t="n">
        <v>-5.73</v>
      </c>
      <c r="F1995" s="34" t="n">
        <v>17.5</v>
      </c>
      <c r="G1995" s="34" t="n">
        <v>-40.71</v>
      </c>
      <c r="H1995" s="34" t="n">
        <v>0.087</v>
      </c>
      <c r="I1995" s="34" t="n">
        <v>18.51</v>
      </c>
      <c r="J1995" s="34" t="n">
        <v>31.07</v>
      </c>
      <c r="K1995" s="34" t="n">
        <v>24.89</v>
      </c>
      <c r="L1995" s="34" t="n">
        <f aca="false">AVERAGE(C1995:E1995)</f>
        <v>-9.58666666666667</v>
      </c>
      <c r="M1995" s="34" t="n">
        <f aca="false">AVERAGE(C1995:J1995)</f>
        <v>-0.287875</v>
      </c>
    </row>
    <row r="1996" customFormat="false" ht="15" hidden="false" customHeight="true" outlineLevel="0" collapsed="false">
      <c r="A1996" s="34" t="s">
        <v>2155</v>
      </c>
      <c r="B1996" s="34" t="n">
        <v>26</v>
      </c>
      <c r="C1996" s="34" t="n">
        <v>-66.67</v>
      </c>
      <c r="D1996" s="34" t="n">
        <v>-31.96</v>
      </c>
      <c r="E1996" s="34" t="n">
        <v>74.34</v>
      </c>
      <c r="F1996" s="34" t="n">
        <v>198.1</v>
      </c>
      <c r="G1996" s="34" t="n">
        <v>305.33</v>
      </c>
      <c r="H1996" s="34" t="n">
        <v>228.55</v>
      </c>
      <c r="I1996" s="34" t="n">
        <v>148.27</v>
      </c>
      <c r="J1996" s="34" t="n">
        <v>167.39</v>
      </c>
      <c r="K1996" s="34" t="n">
        <v>25.13</v>
      </c>
      <c r="L1996" s="34" t="n">
        <f aca="false">AVERAGE(C1996:E1996)</f>
        <v>-8.09666666666667</v>
      </c>
      <c r="M1996" s="34" t="n">
        <f aca="false">AVERAGE(C1996:J1996)</f>
        <v>127.91875</v>
      </c>
    </row>
    <row r="1997" customFormat="false" ht="15" hidden="false" customHeight="true" outlineLevel="0" collapsed="false">
      <c r="A1997" s="34" t="s">
        <v>2156</v>
      </c>
      <c r="B1997" s="34" t="n">
        <v>25.98</v>
      </c>
      <c r="C1997" s="34" t="n">
        <v>-66.67</v>
      </c>
      <c r="D1997" s="34" t="n">
        <v>-5.09</v>
      </c>
      <c r="E1997" s="34" t="n">
        <v>74.15</v>
      </c>
      <c r="F1997" s="34" t="n">
        <v>13.79</v>
      </c>
      <c r="G1997" s="34" t="n">
        <v>-48.05</v>
      </c>
      <c r="H1997" s="34" t="n">
        <v>-69.77</v>
      </c>
      <c r="I1997" s="34" t="n">
        <v>-4.42</v>
      </c>
      <c r="J1997" s="34" t="n">
        <v>-10.5</v>
      </c>
      <c r="K1997" s="34" t="n">
        <v>23.28</v>
      </c>
      <c r="L1997" s="34" t="n">
        <f aca="false">AVERAGE(C1997:E1997)</f>
        <v>0.796666666666667</v>
      </c>
      <c r="M1997" s="34" t="n">
        <f aca="false">AVERAGE(C1997:J1997)</f>
        <v>-14.57</v>
      </c>
    </row>
    <row r="1998" customFormat="false" ht="15" hidden="false" customHeight="true" outlineLevel="0" collapsed="false">
      <c r="A1998" s="34" t="s">
        <v>2157</v>
      </c>
      <c r="B1998" s="34" t="n">
        <v>25.9</v>
      </c>
      <c r="C1998" s="34" t="n">
        <v>-66.67</v>
      </c>
      <c r="D1998" s="34" t="n">
        <v>-104.76</v>
      </c>
      <c r="E1998" s="34" t="n">
        <v>-160.17</v>
      </c>
      <c r="F1998" s="34" t="n">
        <v>-174.25</v>
      </c>
      <c r="G1998" s="34" t="n">
        <v>-186</v>
      </c>
      <c r="H1998" s="34" t="n">
        <v>-90.07</v>
      </c>
      <c r="I1998" s="34" t="n">
        <v>13.29</v>
      </c>
      <c r="J1998" s="34" t="n">
        <v>36.03</v>
      </c>
      <c r="K1998" s="34" t="n">
        <v>25.85</v>
      </c>
      <c r="L1998" s="34" t="n">
        <f aca="false">AVERAGE(C1998:E1998)</f>
        <v>-110.533333333333</v>
      </c>
      <c r="M1998" s="34" t="n">
        <f aca="false">AVERAGE(C1998:J1998)</f>
        <v>-91.575</v>
      </c>
    </row>
    <row r="1999" customFormat="false" ht="15" hidden="false" customHeight="true" outlineLevel="0" collapsed="false">
      <c r="A1999" s="34" t="s">
        <v>2158</v>
      </c>
      <c r="B1999" s="34" t="n">
        <v>25.88</v>
      </c>
      <c r="C1999" s="34" t="n">
        <v>-66.67</v>
      </c>
      <c r="D1999" s="34" t="n">
        <v>-119.34</v>
      </c>
      <c r="E1999" s="34" t="n">
        <v>33.73</v>
      </c>
      <c r="F1999" s="34" t="n">
        <v>-67.8</v>
      </c>
      <c r="G1999" s="34" t="n">
        <v>-118.71</v>
      </c>
      <c r="H1999" s="34" t="n">
        <v>-50.28</v>
      </c>
      <c r="I1999" s="34" t="n">
        <v>-19.07</v>
      </c>
      <c r="J1999" s="34" t="n">
        <v>-21.79</v>
      </c>
      <c r="K1999" s="34" t="n">
        <v>27.74</v>
      </c>
      <c r="L1999" s="34" t="n">
        <f aca="false">AVERAGE(C1999:E1999)</f>
        <v>-50.76</v>
      </c>
      <c r="M1999" s="34" t="n">
        <f aca="false">AVERAGE(C1999:J1999)</f>
        <v>-53.74125</v>
      </c>
    </row>
    <row r="2000" customFormat="false" ht="15" hidden="false" customHeight="true" outlineLevel="0" collapsed="false">
      <c r="A2000" s="34" t="s">
        <v>2159</v>
      </c>
      <c r="B2000" s="34" t="n">
        <v>25.81</v>
      </c>
      <c r="C2000" s="34" t="n">
        <v>-66.67</v>
      </c>
      <c r="D2000" s="34" t="n">
        <v>-132.39</v>
      </c>
      <c r="E2000" s="34" t="n">
        <v>-26.81</v>
      </c>
      <c r="F2000" s="34" t="n">
        <v>-84.93</v>
      </c>
      <c r="G2000" s="34" t="n">
        <v>-39.07</v>
      </c>
      <c r="H2000" s="34" t="n">
        <v>21.83</v>
      </c>
      <c r="I2000" s="34" t="n">
        <v>43.31</v>
      </c>
      <c r="J2000" s="34" t="n">
        <v>17.63</v>
      </c>
      <c r="K2000" s="34" t="n">
        <v>28.51</v>
      </c>
      <c r="L2000" s="34" t="n">
        <f aca="false">AVERAGE(C2000:E2000)</f>
        <v>-75.29</v>
      </c>
      <c r="M2000" s="34" t="n">
        <f aca="false">AVERAGE(C2000:J2000)</f>
        <v>-33.3875</v>
      </c>
    </row>
    <row r="2001" customFormat="false" ht="15" hidden="false" customHeight="true" outlineLevel="0" collapsed="false">
      <c r="A2001" s="34" t="s">
        <v>2160</v>
      </c>
      <c r="B2001" s="34" t="n">
        <v>25.69</v>
      </c>
      <c r="C2001" s="34" t="n">
        <v>66.67</v>
      </c>
      <c r="D2001" s="34" t="n">
        <v>133.33</v>
      </c>
      <c r="E2001" s="34" t="n">
        <v>141.77</v>
      </c>
      <c r="F2001" s="34" t="n">
        <v>133.47</v>
      </c>
      <c r="G2001" s="34" t="n">
        <v>134.69</v>
      </c>
      <c r="H2001" s="34" t="n">
        <v>153.81</v>
      </c>
      <c r="I2001" s="34" t="n">
        <v>167.12</v>
      </c>
      <c r="J2001" s="34" t="n">
        <v>184.99</v>
      </c>
      <c r="K2001" s="34" t="n">
        <v>23.26</v>
      </c>
      <c r="L2001" s="34" t="n">
        <f aca="false">AVERAGE(C2001:E2001)</f>
        <v>113.923333333333</v>
      </c>
      <c r="M2001" s="34" t="n">
        <f aca="false">AVERAGE(C2001:J2001)</f>
        <v>139.48125</v>
      </c>
    </row>
    <row r="2002" customFormat="false" ht="15" hidden="false" customHeight="true" outlineLevel="0" collapsed="false">
      <c r="A2002" s="34" t="s">
        <v>2161</v>
      </c>
      <c r="B2002" s="34" t="n">
        <v>25.6</v>
      </c>
      <c r="C2002" s="34" t="n">
        <v>-66.67</v>
      </c>
      <c r="D2002" s="34" t="n">
        <v>-113.55</v>
      </c>
      <c r="E2002" s="34" t="n">
        <v>19.19</v>
      </c>
      <c r="F2002" s="34" t="n">
        <v>-77.56</v>
      </c>
      <c r="G2002" s="34" t="n">
        <v>-123.07</v>
      </c>
      <c r="H2002" s="34" t="n">
        <v>-131.13</v>
      </c>
      <c r="I2002" s="34" t="n">
        <v>-120.18</v>
      </c>
      <c r="J2002" s="34" t="n">
        <v>-92.78</v>
      </c>
      <c r="K2002" s="34" t="n">
        <v>28.6</v>
      </c>
      <c r="L2002" s="34" t="n">
        <f aca="false">AVERAGE(C2002:E2002)</f>
        <v>-53.6766666666667</v>
      </c>
      <c r="M2002" s="34" t="n">
        <f aca="false">AVERAGE(C2002:J2002)</f>
        <v>-88.21875</v>
      </c>
    </row>
    <row r="2003" customFormat="false" ht="15" hidden="false" customHeight="true" outlineLevel="0" collapsed="false">
      <c r="A2003" s="34" t="s">
        <v>2162</v>
      </c>
      <c r="B2003" s="34" t="n">
        <v>25.49</v>
      </c>
      <c r="C2003" s="34" t="n">
        <v>-66.67</v>
      </c>
      <c r="D2003" s="34" t="n">
        <v>-85.19</v>
      </c>
      <c r="E2003" s="34" t="n">
        <v>-125.86</v>
      </c>
      <c r="F2003" s="34" t="n">
        <v>-191.71</v>
      </c>
      <c r="G2003" s="34" t="n">
        <v>-146.69</v>
      </c>
      <c r="H2003" s="34" t="n">
        <v>-41.6</v>
      </c>
      <c r="I2003" s="34" t="n">
        <v>3.56</v>
      </c>
      <c r="J2003" s="34" t="n">
        <v>21.83</v>
      </c>
      <c r="K2003" s="34" t="n">
        <v>27.11</v>
      </c>
      <c r="L2003" s="34" t="n">
        <f aca="false">AVERAGE(C2003:E2003)</f>
        <v>-92.5733333333333</v>
      </c>
      <c r="M2003" s="34" t="n">
        <f aca="false">AVERAGE(C2003:J2003)</f>
        <v>-79.04125</v>
      </c>
    </row>
    <row r="2004" customFormat="false" ht="15" hidden="false" customHeight="true" outlineLevel="0" collapsed="false">
      <c r="A2004" s="34" t="s">
        <v>2163</v>
      </c>
      <c r="B2004" s="34" t="n">
        <v>25.27</v>
      </c>
      <c r="C2004" s="34" t="n">
        <v>-66.67</v>
      </c>
      <c r="D2004" s="34" t="n">
        <v>-3.6</v>
      </c>
      <c r="E2004" s="34" t="n">
        <v>66.98</v>
      </c>
      <c r="F2004" s="34" t="n">
        <v>43.8</v>
      </c>
      <c r="G2004" s="34" t="n">
        <v>15.53</v>
      </c>
      <c r="H2004" s="34" t="n">
        <v>55.19</v>
      </c>
      <c r="I2004" s="34" t="n">
        <v>68.2</v>
      </c>
      <c r="J2004" s="34" t="n">
        <v>80.38</v>
      </c>
      <c r="K2004" s="34" t="n">
        <v>25.49</v>
      </c>
      <c r="L2004" s="34" t="n">
        <f aca="false">AVERAGE(C2004:E2004)</f>
        <v>-1.09666666666667</v>
      </c>
      <c r="M2004" s="34" t="n">
        <f aca="false">AVERAGE(C2004:J2004)</f>
        <v>32.47625</v>
      </c>
    </row>
    <row r="2005" customFormat="false" ht="15" hidden="false" customHeight="true" outlineLevel="0" collapsed="false">
      <c r="A2005" s="34" t="s">
        <v>2164</v>
      </c>
      <c r="B2005" s="34" t="n">
        <v>24.85</v>
      </c>
      <c r="C2005" s="34" t="n">
        <v>66.67</v>
      </c>
      <c r="D2005" s="34" t="n">
        <v>-64.94</v>
      </c>
      <c r="E2005" s="34" t="n">
        <v>-122.25</v>
      </c>
      <c r="F2005" s="34" t="n">
        <v>-137.16</v>
      </c>
      <c r="G2005" s="34" t="n">
        <v>-175.21</v>
      </c>
      <c r="H2005" s="34" t="n">
        <v>-176.61</v>
      </c>
      <c r="I2005" s="34" t="n">
        <v>-99.89</v>
      </c>
      <c r="J2005" s="34" t="n">
        <v>-109.22</v>
      </c>
      <c r="K2005" s="34" t="n">
        <v>26.61</v>
      </c>
      <c r="L2005" s="34" t="n">
        <f aca="false">AVERAGE(C2005:E2005)</f>
        <v>-40.1733333333333</v>
      </c>
      <c r="M2005" s="34" t="n">
        <f aca="false">AVERAGE(C2005:J2005)</f>
        <v>-102.32625</v>
      </c>
    </row>
    <row r="2006" customFormat="false" ht="15" hidden="false" customHeight="true" outlineLevel="0" collapsed="false">
      <c r="A2006" s="34" t="s">
        <v>2165</v>
      </c>
      <c r="B2006" s="34" t="n">
        <v>24.82</v>
      </c>
      <c r="C2006" s="34" t="n">
        <v>-66.67</v>
      </c>
      <c r="D2006" s="34" t="n">
        <v>-82.22</v>
      </c>
      <c r="E2006" s="34" t="n">
        <v>46.88</v>
      </c>
      <c r="F2006" s="34" t="n">
        <v>101.89</v>
      </c>
      <c r="G2006" s="34" t="n">
        <v>137.13</v>
      </c>
      <c r="H2006" s="34" t="n">
        <v>177.64</v>
      </c>
      <c r="I2006" s="34" t="n">
        <v>103.91</v>
      </c>
      <c r="J2006" s="34" t="n">
        <v>104.99</v>
      </c>
      <c r="K2006" s="34" t="n">
        <v>23.17</v>
      </c>
      <c r="L2006" s="34" t="n">
        <f aca="false">AVERAGE(C2006:E2006)</f>
        <v>-34.0033333333333</v>
      </c>
      <c r="M2006" s="34" t="n">
        <f aca="false">AVERAGE(C2006:J2006)</f>
        <v>65.44375</v>
      </c>
    </row>
    <row r="2007" customFormat="false" ht="15" hidden="false" customHeight="true" outlineLevel="0" collapsed="false">
      <c r="A2007" s="34" t="s">
        <v>2166</v>
      </c>
      <c r="B2007" s="34" t="n">
        <v>24.5</v>
      </c>
      <c r="C2007" s="34" t="n">
        <v>-66.67</v>
      </c>
      <c r="D2007" s="34" t="n">
        <v>-133.33</v>
      </c>
      <c r="E2007" s="34" t="n">
        <v>-42.85</v>
      </c>
      <c r="F2007" s="34" t="n">
        <v>-43.23</v>
      </c>
      <c r="G2007" s="34" t="n">
        <v>26.48</v>
      </c>
      <c r="H2007" s="34" t="n">
        <v>54.24</v>
      </c>
      <c r="I2007" s="34" t="n">
        <v>66.68</v>
      </c>
      <c r="J2007" s="34" t="n">
        <v>11.76</v>
      </c>
      <c r="K2007" s="34" t="n">
        <v>22.57</v>
      </c>
      <c r="L2007" s="34" t="n">
        <f aca="false">AVERAGE(C2007:E2007)</f>
        <v>-80.95</v>
      </c>
      <c r="M2007" s="34" t="n">
        <f aca="false">AVERAGE(C2007:J2007)</f>
        <v>-15.865</v>
      </c>
    </row>
    <row r="2008" customFormat="false" ht="15" hidden="false" customHeight="true" outlineLevel="0" collapsed="false">
      <c r="A2008" s="34" t="s">
        <v>2167</v>
      </c>
      <c r="B2008" s="34" t="n">
        <v>24.3</v>
      </c>
      <c r="C2008" s="34" t="n">
        <v>66.67</v>
      </c>
      <c r="D2008" s="34" t="n">
        <v>123.59</v>
      </c>
      <c r="E2008" s="34" t="n">
        <v>42.87</v>
      </c>
      <c r="F2008" s="34" t="n">
        <v>-63.02</v>
      </c>
      <c r="G2008" s="34" t="n">
        <v>-105.05</v>
      </c>
      <c r="H2008" s="34" t="n">
        <v>-89.43</v>
      </c>
      <c r="I2008" s="34" t="n">
        <v>-34.22</v>
      </c>
      <c r="J2008" s="34" t="n">
        <v>-40.64</v>
      </c>
      <c r="K2008" s="34" t="n">
        <v>26.93</v>
      </c>
      <c r="L2008" s="34" t="n">
        <f aca="false">AVERAGE(C2008:E2008)</f>
        <v>77.71</v>
      </c>
      <c r="M2008" s="34" t="n">
        <f aca="false">AVERAGE(C2008:J2008)</f>
        <v>-12.40375</v>
      </c>
    </row>
    <row r="2009" customFormat="false" ht="15" hidden="false" customHeight="true" outlineLevel="0" collapsed="false">
      <c r="A2009" s="34" t="s">
        <v>2168</v>
      </c>
      <c r="B2009" s="34" t="n">
        <v>23.85</v>
      </c>
      <c r="C2009" s="34" t="n">
        <v>-66.67</v>
      </c>
      <c r="D2009" s="34" t="n">
        <v>-133.33</v>
      </c>
      <c r="E2009" s="34" t="n">
        <v>-95.95</v>
      </c>
      <c r="F2009" s="34" t="n">
        <v>-85.63</v>
      </c>
      <c r="G2009" s="34" t="n">
        <v>-76.02</v>
      </c>
      <c r="H2009" s="34" t="n">
        <v>-18.47</v>
      </c>
      <c r="I2009" s="34" t="n">
        <v>15.58</v>
      </c>
      <c r="J2009" s="34" t="n">
        <v>29.82</v>
      </c>
      <c r="K2009" s="34" t="n">
        <v>26.49</v>
      </c>
      <c r="L2009" s="34" t="n">
        <f aca="false">AVERAGE(C2009:E2009)</f>
        <v>-98.65</v>
      </c>
      <c r="M2009" s="34" t="n">
        <f aca="false">AVERAGE(C2009:J2009)</f>
        <v>-53.83375</v>
      </c>
    </row>
    <row r="2010" customFormat="false" ht="15" hidden="false" customHeight="true" outlineLevel="0" collapsed="false">
      <c r="A2010" s="34" t="s">
        <v>2169</v>
      </c>
      <c r="B2010" s="34" t="n">
        <v>23.8</v>
      </c>
      <c r="C2010" s="34" t="n">
        <v>66.67</v>
      </c>
      <c r="D2010" s="34" t="n">
        <v>81.84</v>
      </c>
      <c r="E2010" s="34" t="n">
        <v>67.53</v>
      </c>
      <c r="F2010" s="34" t="n">
        <v>-52.61</v>
      </c>
      <c r="G2010" s="34" t="n">
        <v>-94.49</v>
      </c>
      <c r="H2010" s="34" t="n">
        <v>-111.45</v>
      </c>
      <c r="I2010" s="34" t="n">
        <v>-126.49</v>
      </c>
      <c r="J2010" s="34" t="n">
        <v>-96.94</v>
      </c>
      <c r="K2010" s="34" t="n">
        <v>25.09</v>
      </c>
      <c r="L2010" s="34" t="n">
        <f aca="false">AVERAGE(C2010:E2010)</f>
        <v>72.0133333333333</v>
      </c>
      <c r="M2010" s="34" t="n">
        <f aca="false">AVERAGE(C2010:J2010)</f>
        <v>-33.2425</v>
      </c>
    </row>
    <row r="2011" customFormat="false" ht="15" hidden="false" customHeight="true" outlineLevel="0" collapsed="false">
      <c r="A2011" s="34" t="s">
        <v>2170</v>
      </c>
      <c r="B2011" s="34" t="n">
        <v>23.75</v>
      </c>
      <c r="C2011" s="34" t="n">
        <v>-66.67</v>
      </c>
      <c r="D2011" s="34" t="n">
        <v>-130.78</v>
      </c>
      <c r="E2011" s="34" t="n">
        <v>-147.9</v>
      </c>
      <c r="F2011" s="34" t="n">
        <v>-131.47</v>
      </c>
      <c r="G2011" s="34" t="n">
        <v>-122.55</v>
      </c>
      <c r="H2011" s="34" t="n">
        <v>-135.05</v>
      </c>
      <c r="I2011" s="34" t="n">
        <v>-134.95</v>
      </c>
      <c r="J2011" s="34" t="n">
        <v>-118.24</v>
      </c>
      <c r="K2011" s="34" t="n">
        <v>26.85</v>
      </c>
      <c r="L2011" s="34" t="n">
        <f aca="false">AVERAGE(C2011:E2011)</f>
        <v>-115.116666666667</v>
      </c>
      <c r="M2011" s="34" t="n">
        <f aca="false">AVERAGE(C2011:J2011)</f>
        <v>-123.45125</v>
      </c>
    </row>
    <row r="2012" customFormat="false" ht="15" hidden="false" customHeight="true" outlineLevel="0" collapsed="false">
      <c r="A2012" s="34" t="s">
        <v>2171</v>
      </c>
      <c r="B2012" s="34" t="n">
        <v>23.68</v>
      </c>
      <c r="C2012" s="34" t="n">
        <v>66.67</v>
      </c>
      <c r="D2012" s="34" t="n">
        <v>115.69</v>
      </c>
      <c r="E2012" s="34" t="n">
        <v>201.81</v>
      </c>
      <c r="F2012" s="34" t="n">
        <v>-2.81</v>
      </c>
      <c r="G2012" s="34" t="n">
        <v>-58.35</v>
      </c>
      <c r="H2012" s="34" t="n">
        <v>-51.49</v>
      </c>
      <c r="I2012" s="34" t="n">
        <v>-19.77</v>
      </c>
      <c r="J2012" s="34" t="n">
        <v>-45.59</v>
      </c>
      <c r="K2012" s="34" t="n">
        <v>21.98</v>
      </c>
      <c r="L2012" s="34" t="n">
        <f aca="false">AVERAGE(C2012:E2012)</f>
        <v>128.056666666667</v>
      </c>
      <c r="M2012" s="34" t="n">
        <f aca="false">AVERAGE(C2012:J2012)</f>
        <v>25.77</v>
      </c>
    </row>
    <row r="2013" customFormat="false" ht="15" hidden="false" customHeight="true" outlineLevel="0" collapsed="false">
      <c r="A2013" s="34" t="s">
        <v>2172</v>
      </c>
      <c r="B2013" s="34" t="n">
        <v>23.56</v>
      </c>
      <c r="C2013" s="34" t="n">
        <v>-66.67</v>
      </c>
      <c r="D2013" s="34" t="n">
        <v>-78.43</v>
      </c>
      <c r="E2013" s="34" t="n">
        <v>71.82</v>
      </c>
      <c r="F2013" s="34" t="n">
        <v>64.56</v>
      </c>
      <c r="G2013" s="34" t="n">
        <v>51.46</v>
      </c>
      <c r="H2013" s="34" t="n">
        <v>71.26</v>
      </c>
      <c r="I2013" s="34" t="n">
        <v>76.13</v>
      </c>
      <c r="J2013" s="34" t="n">
        <v>89.63</v>
      </c>
      <c r="K2013" s="34" t="n">
        <v>22.47</v>
      </c>
      <c r="L2013" s="34" t="n">
        <f aca="false">AVERAGE(C2013:E2013)</f>
        <v>-24.4266666666667</v>
      </c>
      <c r="M2013" s="34" t="n">
        <f aca="false">AVERAGE(C2013:J2013)</f>
        <v>34.97</v>
      </c>
    </row>
    <row r="2014" customFormat="false" ht="15" hidden="false" customHeight="true" outlineLevel="0" collapsed="false">
      <c r="A2014" s="34" t="s">
        <v>2173</v>
      </c>
      <c r="B2014" s="34" t="n">
        <v>23.47</v>
      </c>
      <c r="C2014" s="34" t="n">
        <v>-66.67</v>
      </c>
      <c r="D2014" s="34" t="n">
        <v>-63.82</v>
      </c>
      <c r="E2014" s="34" t="n">
        <v>58.76</v>
      </c>
      <c r="F2014" s="34" t="n">
        <v>13.57</v>
      </c>
      <c r="G2014" s="34" t="n">
        <v>7.04</v>
      </c>
      <c r="H2014" s="34" t="n">
        <v>51.73</v>
      </c>
      <c r="I2014" s="34" t="n">
        <v>63.06</v>
      </c>
      <c r="J2014" s="34" t="n">
        <v>76.37</v>
      </c>
      <c r="K2014" s="34" t="n">
        <v>23.83</v>
      </c>
      <c r="L2014" s="34" t="n">
        <f aca="false">AVERAGE(C2014:E2014)</f>
        <v>-23.91</v>
      </c>
      <c r="M2014" s="34" t="n">
        <f aca="false">AVERAGE(C2014:J2014)</f>
        <v>17.505</v>
      </c>
    </row>
    <row r="2015" customFormat="false" ht="15" hidden="false" customHeight="true" outlineLevel="0" collapsed="false">
      <c r="A2015" s="34" t="s">
        <v>2174</v>
      </c>
      <c r="B2015" s="34" t="n">
        <v>23.18</v>
      </c>
      <c r="C2015" s="34" t="n">
        <v>-66.67</v>
      </c>
      <c r="D2015" s="34" t="n">
        <v>37.27</v>
      </c>
      <c r="E2015" s="34" t="n">
        <v>55.62</v>
      </c>
      <c r="F2015" s="34" t="n">
        <v>-64.32</v>
      </c>
      <c r="G2015" s="34" t="n">
        <v>-111.34</v>
      </c>
      <c r="H2015" s="34" t="n">
        <v>-81.97</v>
      </c>
      <c r="I2015" s="34" t="n">
        <v>-62.38</v>
      </c>
      <c r="J2015" s="34" t="n">
        <v>-77.01</v>
      </c>
      <c r="K2015" s="34" t="n">
        <v>23.98</v>
      </c>
      <c r="L2015" s="34" t="n">
        <f aca="false">AVERAGE(C2015:E2015)</f>
        <v>8.74</v>
      </c>
      <c r="M2015" s="34" t="n">
        <f aca="false">AVERAGE(C2015:J2015)</f>
        <v>-46.35</v>
      </c>
    </row>
    <row r="2016" customFormat="false" ht="15" hidden="false" customHeight="true" outlineLevel="0" collapsed="false">
      <c r="A2016" s="34" t="s">
        <v>2175</v>
      </c>
      <c r="B2016" s="34" t="n">
        <v>23.06</v>
      </c>
      <c r="C2016" s="34" t="n">
        <v>-66.67</v>
      </c>
      <c r="D2016" s="34" t="n">
        <v>-90.69</v>
      </c>
      <c r="E2016" s="34" t="n">
        <v>37.56</v>
      </c>
      <c r="F2016" s="34" t="n">
        <v>-51.45</v>
      </c>
      <c r="G2016" s="34" t="n">
        <v>-84.28</v>
      </c>
      <c r="H2016" s="34" t="n">
        <v>-91.67</v>
      </c>
      <c r="I2016" s="34" t="n">
        <v>-69.12</v>
      </c>
      <c r="J2016" s="34" t="n">
        <v>-79.34</v>
      </c>
      <c r="K2016" s="34" t="n">
        <v>24.76</v>
      </c>
      <c r="L2016" s="34" t="n">
        <f aca="false">AVERAGE(C2016:E2016)</f>
        <v>-39.9333333333333</v>
      </c>
      <c r="M2016" s="34" t="n">
        <f aca="false">AVERAGE(C2016:J2016)</f>
        <v>-61.9575</v>
      </c>
    </row>
    <row r="2017" customFormat="false" ht="15" hidden="false" customHeight="true" outlineLevel="0" collapsed="false">
      <c r="A2017" s="34" t="s">
        <v>2176</v>
      </c>
      <c r="B2017" s="34" t="n">
        <v>22.87</v>
      </c>
      <c r="C2017" s="34" t="n">
        <v>66.67</v>
      </c>
      <c r="D2017" s="34" t="n">
        <v>-58.46</v>
      </c>
      <c r="E2017" s="34" t="n">
        <v>-79.85</v>
      </c>
      <c r="F2017" s="34" t="n">
        <v>-148.99</v>
      </c>
      <c r="G2017" s="34" t="n">
        <v>-197.88</v>
      </c>
      <c r="H2017" s="34" t="n">
        <v>-227.41</v>
      </c>
      <c r="I2017" s="34" t="n">
        <v>-115.82</v>
      </c>
      <c r="J2017" s="34" t="n">
        <v>-108.43</v>
      </c>
      <c r="K2017" s="34" t="n">
        <v>24.96</v>
      </c>
      <c r="L2017" s="34" t="n">
        <f aca="false">AVERAGE(C2017:E2017)</f>
        <v>-23.88</v>
      </c>
      <c r="M2017" s="34" t="n">
        <f aca="false">AVERAGE(C2017:J2017)</f>
        <v>-108.77125</v>
      </c>
    </row>
    <row r="2018" customFormat="false" ht="15" hidden="false" customHeight="true" outlineLevel="0" collapsed="false">
      <c r="A2018" s="34" t="s">
        <v>2177</v>
      </c>
      <c r="B2018" s="34" t="n">
        <v>22.84</v>
      </c>
      <c r="C2018" s="34" t="n">
        <v>66.67</v>
      </c>
      <c r="D2018" s="34" t="n">
        <v>56.52</v>
      </c>
      <c r="E2018" s="34" t="n">
        <v>71.49</v>
      </c>
      <c r="F2018" s="34" t="n">
        <v>-5.96</v>
      </c>
      <c r="G2018" s="34" t="n">
        <v>42.52</v>
      </c>
      <c r="H2018" s="34" t="n">
        <v>71.46</v>
      </c>
      <c r="I2018" s="34" t="n">
        <v>86.44</v>
      </c>
      <c r="J2018" s="34" t="n">
        <v>92.98</v>
      </c>
      <c r="K2018" s="34" t="n">
        <v>21.79</v>
      </c>
      <c r="L2018" s="34" t="n">
        <f aca="false">AVERAGE(C2018:E2018)</f>
        <v>64.8933333333333</v>
      </c>
      <c r="M2018" s="34" t="n">
        <f aca="false">AVERAGE(C2018:J2018)</f>
        <v>60.265</v>
      </c>
    </row>
    <row r="2019" customFormat="false" ht="15" hidden="false" customHeight="true" outlineLevel="0" collapsed="false">
      <c r="A2019" s="34" t="s">
        <v>2178</v>
      </c>
      <c r="B2019" s="34" t="n">
        <v>22.56</v>
      </c>
      <c r="C2019" s="34" t="n">
        <v>66.67</v>
      </c>
      <c r="D2019" s="34" t="n">
        <v>133.33</v>
      </c>
      <c r="E2019" s="34" t="n">
        <v>89.09</v>
      </c>
      <c r="F2019" s="34" t="n">
        <v>103.62</v>
      </c>
      <c r="G2019" s="34" t="n">
        <v>57.46</v>
      </c>
      <c r="H2019" s="34" t="n">
        <v>73.86</v>
      </c>
      <c r="I2019" s="34" t="n">
        <v>72.9</v>
      </c>
      <c r="J2019" s="34" t="n">
        <v>24.68</v>
      </c>
      <c r="K2019" s="34" t="n">
        <v>19.68</v>
      </c>
      <c r="L2019" s="34" t="n">
        <f aca="false">AVERAGE(C2019:E2019)</f>
        <v>96.3633333333333</v>
      </c>
      <c r="M2019" s="34" t="n">
        <f aca="false">AVERAGE(C2019:J2019)</f>
        <v>77.70125</v>
      </c>
    </row>
    <row r="2020" customFormat="false" ht="15" hidden="false" customHeight="true" outlineLevel="0" collapsed="false">
      <c r="A2020" s="34" t="s">
        <v>2179</v>
      </c>
      <c r="B2020" s="34" t="n">
        <v>22.5</v>
      </c>
      <c r="C2020" s="34" t="n">
        <v>-66.67</v>
      </c>
      <c r="D2020" s="34" t="n">
        <v>-133.33</v>
      </c>
      <c r="E2020" s="34" t="n">
        <v>-186.2</v>
      </c>
      <c r="F2020" s="34" t="n">
        <v>-201.7</v>
      </c>
      <c r="G2020" s="34" t="n">
        <v>-174.9</v>
      </c>
      <c r="H2020" s="34" t="n">
        <v>-118.09</v>
      </c>
      <c r="I2020" s="34" t="n">
        <v>-45.93</v>
      </c>
      <c r="J2020" s="34" t="n">
        <v>-60.45</v>
      </c>
      <c r="K2020" s="34" t="n">
        <v>26.09</v>
      </c>
      <c r="L2020" s="34" t="n">
        <f aca="false">AVERAGE(C2020:E2020)</f>
        <v>-128.733333333333</v>
      </c>
      <c r="M2020" s="34" t="n">
        <f aca="false">AVERAGE(C2020:J2020)</f>
        <v>-123.40875</v>
      </c>
    </row>
    <row r="2021" customFormat="false" ht="15" hidden="false" customHeight="true" outlineLevel="0" collapsed="false">
      <c r="A2021" s="34" t="s">
        <v>2180</v>
      </c>
      <c r="B2021" s="34" t="n">
        <v>22.44</v>
      </c>
      <c r="C2021" s="34" t="n">
        <v>-66.67</v>
      </c>
      <c r="D2021" s="34" t="n">
        <v>56.28</v>
      </c>
      <c r="E2021" s="34" t="n">
        <v>76.14</v>
      </c>
      <c r="F2021" s="34" t="n">
        <v>123.47</v>
      </c>
      <c r="G2021" s="34" t="n">
        <v>132.72</v>
      </c>
      <c r="H2021" s="34" t="n">
        <v>116.9</v>
      </c>
      <c r="I2021" s="34"/>
      <c r="J2021" s="34"/>
      <c r="K2021" s="34" t="n">
        <v>21.34</v>
      </c>
      <c r="L2021" s="34" t="n">
        <f aca="false">AVERAGE(C2021:E2021)</f>
        <v>21.9166666666667</v>
      </c>
      <c r="M2021" s="34" t="n">
        <f aca="false">AVERAGE(C2021:J2021)</f>
        <v>73.14</v>
      </c>
    </row>
    <row r="2022" customFormat="false" ht="15" hidden="false" customHeight="true" outlineLevel="0" collapsed="false">
      <c r="A2022" s="34" t="s">
        <v>2181</v>
      </c>
      <c r="B2022" s="34" t="n">
        <v>22.39</v>
      </c>
      <c r="C2022" s="34" t="n">
        <v>-66.67</v>
      </c>
      <c r="D2022" s="34" t="n">
        <v>32.67</v>
      </c>
      <c r="E2022" s="34" t="n">
        <v>86.57</v>
      </c>
      <c r="F2022" s="34" t="n">
        <v>170.27</v>
      </c>
      <c r="G2022" s="34" t="n">
        <v>166.79</v>
      </c>
      <c r="H2022" s="34" t="n">
        <v>158.42</v>
      </c>
      <c r="I2022" s="34" t="n">
        <v>112.77</v>
      </c>
      <c r="J2022" s="34" t="n">
        <v>128.43</v>
      </c>
      <c r="K2022" s="34" t="n">
        <v>21.66</v>
      </c>
      <c r="L2022" s="34" t="n">
        <f aca="false">AVERAGE(C2022:E2022)</f>
        <v>17.5233333333333</v>
      </c>
      <c r="M2022" s="34" t="n">
        <f aca="false">AVERAGE(C2022:J2022)</f>
        <v>98.65625</v>
      </c>
    </row>
    <row r="2023" customFormat="false" ht="15" hidden="false" customHeight="true" outlineLevel="0" collapsed="false">
      <c r="A2023" s="34" t="s">
        <v>2182</v>
      </c>
      <c r="B2023" s="34" t="n">
        <v>22.18</v>
      </c>
      <c r="C2023" s="34" t="n">
        <v>-66.67</v>
      </c>
      <c r="D2023" s="34" t="n">
        <v>-53.69</v>
      </c>
      <c r="E2023" s="34" t="n">
        <v>4.22</v>
      </c>
      <c r="F2023" s="34" t="n">
        <v>-81.81</v>
      </c>
      <c r="G2023" s="34" t="n">
        <v>9.24</v>
      </c>
      <c r="H2023" s="34" t="n">
        <v>49.18</v>
      </c>
      <c r="I2023" s="34" t="n">
        <v>69.39</v>
      </c>
      <c r="J2023" s="34" t="n">
        <v>65.16</v>
      </c>
      <c r="K2023" s="34" t="n">
        <v>23.97</v>
      </c>
      <c r="L2023" s="34" t="n">
        <f aca="false">AVERAGE(C2023:E2023)</f>
        <v>-38.7133333333333</v>
      </c>
      <c r="M2023" s="34" t="n">
        <f aca="false">AVERAGE(C2023:J2023)</f>
        <v>-0.622499999999997</v>
      </c>
    </row>
    <row r="2024" customFormat="false" ht="15" hidden="false" customHeight="true" outlineLevel="0" collapsed="false">
      <c r="A2024" s="34" t="s">
        <v>2183</v>
      </c>
      <c r="B2024" s="34" t="n">
        <v>22.18</v>
      </c>
      <c r="C2024" s="34" t="n">
        <v>-66.67</v>
      </c>
      <c r="D2024" s="34" t="n">
        <v>-10.26</v>
      </c>
      <c r="E2024" s="34" t="n">
        <v>-21.08</v>
      </c>
      <c r="F2024" s="34" t="n">
        <v>-92.55</v>
      </c>
      <c r="G2024" s="34" t="n">
        <v>-140.85</v>
      </c>
      <c r="H2024" s="34" t="n">
        <v>-124.71</v>
      </c>
      <c r="I2024" s="34" t="n">
        <v>-70.54</v>
      </c>
      <c r="J2024" s="34" t="n">
        <v>-75.96</v>
      </c>
      <c r="K2024" s="34" t="n">
        <v>23.21</v>
      </c>
      <c r="L2024" s="34" t="n">
        <f aca="false">AVERAGE(C2024:E2024)</f>
        <v>-32.67</v>
      </c>
      <c r="M2024" s="34" t="n">
        <f aca="false">AVERAGE(C2024:J2024)</f>
        <v>-75.3275</v>
      </c>
    </row>
    <row r="2025" customFormat="false" ht="15" hidden="false" customHeight="true" outlineLevel="0" collapsed="false">
      <c r="A2025" s="34" t="s">
        <v>2184</v>
      </c>
      <c r="B2025" s="34" t="n">
        <v>22.1</v>
      </c>
      <c r="C2025" s="34" t="n">
        <v>-66.67</v>
      </c>
      <c r="D2025" s="34" t="n">
        <v>7.71</v>
      </c>
      <c r="E2025" s="34" t="n">
        <v>86.38</v>
      </c>
      <c r="F2025" s="34" t="n">
        <v>-12.15</v>
      </c>
      <c r="G2025" s="34" t="n">
        <v>-21.51</v>
      </c>
      <c r="H2025" s="34" t="n">
        <v>38.97</v>
      </c>
      <c r="I2025" s="34" t="n">
        <v>56.97</v>
      </c>
      <c r="J2025" s="34" t="n">
        <v>70.79</v>
      </c>
      <c r="K2025" s="34" t="n">
        <v>22.69</v>
      </c>
      <c r="L2025" s="34" t="n">
        <f aca="false">AVERAGE(C2025:E2025)</f>
        <v>9.14</v>
      </c>
      <c r="M2025" s="34" t="n">
        <f aca="false">AVERAGE(C2025:J2025)</f>
        <v>20.06125</v>
      </c>
    </row>
    <row r="2026" customFormat="false" ht="15" hidden="false" customHeight="true" outlineLevel="0" collapsed="false">
      <c r="A2026" s="34" t="s">
        <v>2185</v>
      </c>
      <c r="B2026" s="34" t="n">
        <v>22</v>
      </c>
      <c r="C2026" s="34" t="n">
        <v>-66.67</v>
      </c>
      <c r="D2026" s="34" t="n">
        <v>-115.22</v>
      </c>
      <c r="E2026" s="34" t="n">
        <v>-142.14</v>
      </c>
      <c r="F2026" s="34" t="n">
        <v>32.91</v>
      </c>
      <c r="G2026" s="34" t="n">
        <v>83.12</v>
      </c>
      <c r="H2026" s="34" t="n">
        <v>121.15</v>
      </c>
      <c r="I2026" s="34" t="n">
        <v>158.91</v>
      </c>
      <c r="J2026" s="34" t="n">
        <v>135.21</v>
      </c>
      <c r="K2026" s="34" t="n">
        <v>21.19</v>
      </c>
      <c r="L2026" s="34" t="n">
        <f aca="false">AVERAGE(C2026:E2026)</f>
        <v>-108.01</v>
      </c>
      <c r="M2026" s="34" t="n">
        <f aca="false">AVERAGE(C2026:J2026)</f>
        <v>25.90875</v>
      </c>
    </row>
    <row r="2027" customFormat="false" ht="15" hidden="false" customHeight="true" outlineLevel="0" collapsed="false">
      <c r="A2027" s="34" t="s">
        <v>2186</v>
      </c>
      <c r="B2027" s="34" t="n">
        <v>21.8</v>
      </c>
      <c r="C2027" s="34" t="n">
        <v>-66.67</v>
      </c>
      <c r="D2027" s="34" t="n">
        <v>-133.33</v>
      </c>
      <c r="E2027" s="34" t="n">
        <v>-149.68</v>
      </c>
      <c r="F2027" s="34" t="n">
        <v>-115.44</v>
      </c>
      <c r="G2027" s="34" t="n">
        <v>-130.44</v>
      </c>
      <c r="H2027" s="34" t="n">
        <v>-140.22</v>
      </c>
      <c r="I2027" s="34" t="n">
        <v>-112.32</v>
      </c>
      <c r="J2027" s="34" t="n">
        <v>-95.18</v>
      </c>
      <c r="K2027" s="34" t="n">
        <v>23.29</v>
      </c>
      <c r="L2027" s="34" t="n">
        <f aca="false">AVERAGE(C2027:E2027)</f>
        <v>-116.56</v>
      </c>
      <c r="M2027" s="34" t="n">
        <f aca="false">AVERAGE(C2027:J2027)</f>
        <v>-117.91</v>
      </c>
    </row>
    <row r="2028" customFormat="false" ht="15" hidden="false" customHeight="true" outlineLevel="0" collapsed="false">
      <c r="A2028" s="34" t="s">
        <v>2187</v>
      </c>
      <c r="B2028" s="34" t="n">
        <v>21.75</v>
      </c>
      <c r="C2028" s="34" t="n">
        <v>-66.67</v>
      </c>
      <c r="D2028" s="34" t="n">
        <v>-48.53</v>
      </c>
      <c r="E2028" s="34" t="n">
        <v>37.55</v>
      </c>
      <c r="F2028" s="34" t="n">
        <v>-40.72</v>
      </c>
      <c r="G2028" s="34" t="n">
        <v>-56.1</v>
      </c>
      <c r="H2028" s="34" t="n">
        <v>21.38</v>
      </c>
      <c r="I2028" s="34" t="n">
        <v>48.14</v>
      </c>
      <c r="J2028" s="34" t="n">
        <v>61.81</v>
      </c>
      <c r="K2028" s="34" t="n">
        <v>21.15</v>
      </c>
      <c r="L2028" s="34" t="n">
        <f aca="false">AVERAGE(C2028:E2028)</f>
        <v>-25.8833333333333</v>
      </c>
      <c r="M2028" s="34" t="n">
        <f aca="false">AVERAGE(C2028:J2028)</f>
        <v>-5.3925</v>
      </c>
    </row>
    <row r="2029" customFormat="false" ht="15" hidden="false" customHeight="true" outlineLevel="0" collapsed="false">
      <c r="A2029" s="34" t="s">
        <v>2188</v>
      </c>
      <c r="B2029" s="34" t="n">
        <v>21.71</v>
      </c>
      <c r="C2029" s="34" t="n">
        <v>-66.67</v>
      </c>
      <c r="D2029" s="34" t="n">
        <v>-24.49</v>
      </c>
      <c r="E2029" s="34" t="n">
        <v>68.63</v>
      </c>
      <c r="F2029" s="34" t="n">
        <v>4.79</v>
      </c>
      <c r="G2029" s="34" t="n">
        <v>-6.31</v>
      </c>
      <c r="H2029" s="34" t="n">
        <v>45.61</v>
      </c>
      <c r="I2029" s="34" t="n">
        <v>60.8</v>
      </c>
      <c r="J2029" s="34" t="n">
        <v>74.65</v>
      </c>
      <c r="K2029" s="34" t="n">
        <v>22.46</v>
      </c>
      <c r="L2029" s="34" t="n">
        <f aca="false">AVERAGE(C2029:E2029)</f>
        <v>-7.51</v>
      </c>
      <c r="M2029" s="34" t="n">
        <f aca="false">AVERAGE(C2029:J2029)</f>
        <v>19.62625</v>
      </c>
    </row>
    <row r="2030" customFormat="false" ht="15" hidden="false" customHeight="true" outlineLevel="0" collapsed="false">
      <c r="A2030" s="34" t="s">
        <v>2189</v>
      </c>
      <c r="B2030" s="34" t="n">
        <v>21.45</v>
      </c>
      <c r="C2030" s="34" t="n">
        <v>66.67</v>
      </c>
      <c r="D2030" s="34" t="n">
        <v>60.7</v>
      </c>
      <c r="E2030" s="34" t="n">
        <v>127.56</v>
      </c>
      <c r="F2030" s="34" t="n">
        <v>70.85</v>
      </c>
      <c r="G2030" s="34" t="n">
        <v>47.97</v>
      </c>
      <c r="H2030" s="34" t="n">
        <v>70.35</v>
      </c>
      <c r="I2030" s="34" t="n">
        <v>72.78</v>
      </c>
      <c r="J2030" s="34" t="n">
        <v>81.81</v>
      </c>
      <c r="K2030" s="34" t="n">
        <v>21.77</v>
      </c>
      <c r="L2030" s="34" t="n">
        <f aca="false">AVERAGE(C2030:E2030)</f>
        <v>84.9766666666667</v>
      </c>
      <c r="M2030" s="34" t="n">
        <f aca="false">AVERAGE(C2030:J2030)</f>
        <v>74.83625</v>
      </c>
    </row>
    <row r="2031" customFormat="false" ht="15" hidden="false" customHeight="true" outlineLevel="0" collapsed="false">
      <c r="A2031" s="34" t="s">
        <v>2190</v>
      </c>
      <c r="B2031" s="34" t="n">
        <v>21.41</v>
      </c>
      <c r="C2031" s="34" t="n">
        <v>-66.67</v>
      </c>
      <c r="D2031" s="34" t="n">
        <v>48.53</v>
      </c>
      <c r="E2031" s="34" t="n">
        <v>117.24</v>
      </c>
      <c r="F2031" s="34" t="n">
        <v>-33</v>
      </c>
      <c r="G2031" s="34" t="n">
        <v>-91.36</v>
      </c>
      <c r="H2031" s="34" t="n">
        <v>-126.53</v>
      </c>
      <c r="I2031" s="34" t="n">
        <v>-131.72</v>
      </c>
      <c r="J2031" s="34" t="n">
        <v>-101.47</v>
      </c>
      <c r="K2031" s="34" t="n">
        <v>21.61</v>
      </c>
      <c r="L2031" s="34" t="n">
        <f aca="false">AVERAGE(C2031:E2031)</f>
        <v>33.0333333333333</v>
      </c>
      <c r="M2031" s="34" t="n">
        <f aca="false">AVERAGE(C2031:J2031)</f>
        <v>-48.1225</v>
      </c>
    </row>
    <row r="2032" customFormat="false" ht="15" hidden="false" customHeight="true" outlineLevel="0" collapsed="false">
      <c r="A2032" s="34" t="s">
        <v>2191</v>
      </c>
      <c r="B2032" s="34" t="n">
        <v>21.26</v>
      </c>
      <c r="C2032" s="34" t="n">
        <v>-66.67</v>
      </c>
      <c r="D2032" s="34" t="n">
        <v>-75.11</v>
      </c>
      <c r="E2032" s="34" t="n">
        <v>-162.51</v>
      </c>
      <c r="F2032" s="34" t="n">
        <v>-117.91</v>
      </c>
      <c r="G2032" s="34" t="n">
        <v>-175.22</v>
      </c>
      <c r="H2032" s="34" t="n">
        <v>-150.42</v>
      </c>
      <c r="I2032" s="34" t="n">
        <v>-157.08</v>
      </c>
      <c r="J2032" s="34" t="n">
        <v>-130.35</v>
      </c>
      <c r="K2032" s="34" t="n">
        <v>23.69</v>
      </c>
      <c r="L2032" s="34" t="n">
        <f aca="false">AVERAGE(C2032:E2032)</f>
        <v>-101.43</v>
      </c>
      <c r="M2032" s="34" t="n">
        <f aca="false">AVERAGE(C2032:J2032)</f>
        <v>-129.40875</v>
      </c>
    </row>
    <row r="2033" customFormat="false" ht="15" hidden="false" customHeight="true" outlineLevel="0" collapsed="false">
      <c r="A2033" s="34" t="s">
        <v>2192</v>
      </c>
      <c r="B2033" s="34" t="n">
        <v>21.25</v>
      </c>
      <c r="C2033" s="34" t="n">
        <v>66.67</v>
      </c>
      <c r="D2033" s="34" t="n">
        <v>74.92</v>
      </c>
      <c r="E2033" s="34" t="n">
        <v>123.87</v>
      </c>
      <c r="F2033" s="34" t="n">
        <v>229.17</v>
      </c>
      <c r="G2033" s="34" t="n">
        <v>199.06</v>
      </c>
      <c r="H2033" s="34" t="n">
        <v>174.95</v>
      </c>
      <c r="I2033" s="34" t="n">
        <v>122.77</v>
      </c>
      <c r="J2033" s="34" t="n">
        <v>137.31</v>
      </c>
      <c r="K2033" s="34" t="n">
        <v>20.19</v>
      </c>
      <c r="L2033" s="34" t="n">
        <f aca="false">AVERAGE(C2033:E2033)</f>
        <v>88.4866666666667</v>
      </c>
      <c r="M2033" s="34" t="n">
        <f aca="false">AVERAGE(C2033:J2033)</f>
        <v>141.09</v>
      </c>
    </row>
    <row r="2034" customFormat="false" ht="15" hidden="false" customHeight="true" outlineLevel="0" collapsed="false">
      <c r="A2034" s="34" t="s">
        <v>2193</v>
      </c>
      <c r="B2034" s="34" t="n">
        <v>21.22</v>
      </c>
      <c r="C2034" s="34" t="n">
        <v>66.67</v>
      </c>
      <c r="D2034" s="34" t="n">
        <v>76.36</v>
      </c>
      <c r="E2034" s="34" t="n">
        <v>130.61</v>
      </c>
      <c r="F2034" s="34" t="n">
        <v>-7.3</v>
      </c>
      <c r="G2034" s="34" t="n">
        <v>-16.45</v>
      </c>
      <c r="H2034" s="34" t="n">
        <v>-30.37</v>
      </c>
      <c r="I2034" s="34" t="n">
        <v>-24.3</v>
      </c>
      <c r="J2034" s="34" t="n">
        <v>-44.95</v>
      </c>
      <c r="K2034" s="34" t="n">
        <v>21.8</v>
      </c>
      <c r="L2034" s="34" t="n">
        <f aca="false">AVERAGE(C2034:E2034)</f>
        <v>91.2133333333334</v>
      </c>
      <c r="M2034" s="34" t="n">
        <f aca="false">AVERAGE(C2034:J2034)</f>
        <v>18.78375</v>
      </c>
    </row>
    <row r="2035" customFormat="false" ht="15" hidden="false" customHeight="true" outlineLevel="0" collapsed="false">
      <c r="A2035" s="34" t="s">
        <v>2194</v>
      </c>
      <c r="B2035" s="34" t="n">
        <v>21.18</v>
      </c>
      <c r="C2035" s="34" t="n">
        <v>-66.67</v>
      </c>
      <c r="D2035" s="34" t="n">
        <v>-2.41</v>
      </c>
      <c r="E2035" s="34" t="n">
        <v>78.97</v>
      </c>
      <c r="F2035" s="34" t="n">
        <v>42.48</v>
      </c>
      <c r="G2035" s="34" t="n">
        <v>8.91</v>
      </c>
      <c r="H2035" s="34" t="n">
        <v>43.26</v>
      </c>
      <c r="I2035" s="34" t="n">
        <v>60.2</v>
      </c>
      <c r="J2035" s="34" t="n">
        <v>70.38</v>
      </c>
      <c r="K2035" s="34" t="n">
        <v>20.79</v>
      </c>
      <c r="L2035" s="34" t="n">
        <f aca="false">AVERAGE(C2035:E2035)</f>
        <v>3.29666666666667</v>
      </c>
      <c r="M2035" s="34" t="n">
        <f aca="false">AVERAGE(C2035:J2035)</f>
        <v>29.39</v>
      </c>
    </row>
    <row r="2036" customFormat="false" ht="15" hidden="false" customHeight="true" outlineLevel="0" collapsed="false">
      <c r="A2036" s="34" t="s">
        <v>2195</v>
      </c>
      <c r="B2036" s="34" t="n">
        <v>21.14</v>
      </c>
      <c r="C2036" s="34" t="n">
        <v>-66.67</v>
      </c>
      <c r="D2036" s="34" t="n">
        <v>-110.56</v>
      </c>
      <c r="E2036" s="34" t="n">
        <v>-84.92</v>
      </c>
      <c r="F2036" s="34" t="n">
        <v>-102.46</v>
      </c>
      <c r="G2036" s="34" t="n">
        <v>-136.02</v>
      </c>
      <c r="H2036" s="34" t="n">
        <v>-75.54</v>
      </c>
      <c r="I2036" s="34" t="n">
        <v>-34.48</v>
      </c>
      <c r="J2036" s="34" t="n">
        <v>-48.41</v>
      </c>
      <c r="K2036" s="34" t="n">
        <v>22.66</v>
      </c>
      <c r="L2036" s="34" t="n">
        <f aca="false">AVERAGE(C2036:E2036)</f>
        <v>-87.3833333333333</v>
      </c>
      <c r="M2036" s="34" t="n">
        <f aca="false">AVERAGE(C2036:J2036)</f>
        <v>-82.3825</v>
      </c>
    </row>
    <row r="2037" customFormat="false" ht="15" hidden="false" customHeight="true" outlineLevel="0" collapsed="false">
      <c r="A2037" s="34" t="s">
        <v>2196</v>
      </c>
      <c r="B2037" s="34" t="n">
        <v>21.12</v>
      </c>
      <c r="C2037" s="34" t="n">
        <v>66.67</v>
      </c>
      <c r="D2037" s="34" t="n">
        <v>100.8</v>
      </c>
      <c r="E2037" s="34" t="n">
        <v>5.73</v>
      </c>
      <c r="F2037" s="34" t="n">
        <v>-89.71</v>
      </c>
      <c r="G2037" s="34" t="n">
        <v>-164</v>
      </c>
      <c r="H2037" s="34" t="n">
        <v>-215.23</v>
      </c>
      <c r="I2037" s="34" t="n">
        <v>-234.1</v>
      </c>
      <c r="J2037" s="34" t="n">
        <v>-143.67</v>
      </c>
      <c r="K2037" s="34" t="n">
        <v>21.28</v>
      </c>
      <c r="L2037" s="34" t="n">
        <f aca="false">AVERAGE(C2037:E2037)</f>
        <v>57.7333333333333</v>
      </c>
      <c r="M2037" s="34" t="n">
        <f aca="false">AVERAGE(C2037:J2037)</f>
        <v>-84.18875</v>
      </c>
    </row>
    <row r="2038" customFormat="false" ht="15" hidden="false" customHeight="true" outlineLevel="0" collapsed="false">
      <c r="A2038" s="34" t="s">
        <v>2197</v>
      </c>
      <c r="B2038" s="34" t="n">
        <v>21</v>
      </c>
      <c r="C2038" s="34" t="n">
        <v>66.67</v>
      </c>
      <c r="D2038" s="34" t="n">
        <v>75.5</v>
      </c>
      <c r="E2038" s="34" t="n">
        <v>122.07</v>
      </c>
      <c r="F2038" s="34" t="n">
        <v>2.39</v>
      </c>
      <c r="G2038" s="34" t="n">
        <v>-35.07</v>
      </c>
      <c r="H2038" s="34" t="n">
        <v>4.49</v>
      </c>
      <c r="I2038" s="34" t="n">
        <v>33.52</v>
      </c>
      <c r="J2038" s="34" t="n">
        <v>6.74</v>
      </c>
      <c r="K2038" s="34" t="n">
        <v>21.8</v>
      </c>
      <c r="L2038" s="34" t="n">
        <f aca="false">AVERAGE(C2038:E2038)</f>
        <v>88.08</v>
      </c>
      <c r="M2038" s="34" t="n">
        <f aca="false">AVERAGE(C2038:J2038)</f>
        <v>34.53875</v>
      </c>
    </row>
    <row r="2039" customFormat="false" ht="15" hidden="false" customHeight="true" outlineLevel="0" collapsed="false">
      <c r="A2039" s="34" t="s">
        <v>2198</v>
      </c>
      <c r="B2039" s="34" t="n">
        <v>21</v>
      </c>
      <c r="C2039" s="34" t="n">
        <v>66.67</v>
      </c>
      <c r="D2039" s="34" t="n">
        <v>119.44</v>
      </c>
      <c r="E2039" s="34" t="n">
        <v>219.91</v>
      </c>
      <c r="F2039" s="34" t="n">
        <v>63.6</v>
      </c>
      <c r="G2039" s="34" t="n">
        <v>49.82</v>
      </c>
      <c r="H2039" s="34" t="n">
        <v>70.84</v>
      </c>
      <c r="I2039" s="34" t="n">
        <v>84.12</v>
      </c>
      <c r="J2039" s="34" t="n">
        <v>62.74</v>
      </c>
      <c r="K2039" s="34" t="n">
        <v>21.66</v>
      </c>
      <c r="L2039" s="34" t="n">
        <f aca="false">AVERAGE(C2039:E2039)</f>
        <v>135.34</v>
      </c>
      <c r="M2039" s="34" t="n">
        <f aca="false">AVERAGE(C2039:J2039)</f>
        <v>92.1425</v>
      </c>
    </row>
    <row r="2040" customFormat="false" ht="15" hidden="false" customHeight="true" outlineLevel="0" collapsed="false">
      <c r="A2040" s="34" t="s">
        <v>2199</v>
      </c>
      <c r="B2040" s="34" t="n">
        <v>20.95</v>
      </c>
      <c r="C2040" s="34" t="n">
        <v>-66.67</v>
      </c>
      <c r="D2040" s="34" t="n">
        <v>24.91</v>
      </c>
      <c r="E2040" s="34" t="n">
        <v>98.86</v>
      </c>
      <c r="F2040" s="34" t="n">
        <v>43.71</v>
      </c>
      <c r="G2040" s="34" t="n">
        <v>-11.02</v>
      </c>
      <c r="H2040" s="34" t="n">
        <v>-50.04</v>
      </c>
      <c r="I2040" s="34" t="n">
        <v>-62.26</v>
      </c>
      <c r="J2040" s="34" t="n">
        <v>-67.5</v>
      </c>
      <c r="K2040" s="34" t="n">
        <v>18.71</v>
      </c>
      <c r="L2040" s="34" t="n">
        <f aca="false">AVERAGE(C2040:E2040)</f>
        <v>19.0333333333333</v>
      </c>
      <c r="M2040" s="34" t="n">
        <f aca="false">AVERAGE(C2040:J2040)</f>
        <v>-11.25125</v>
      </c>
    </row>
    <row r="2041" customFormat="false" ht="15" hidden="false" customHeight="true" outlineLevel="0" collapsed="false">
      <c r="A2041" s="34" t="s">
        <v>2200</v>
      </c>
      <c r="B2041" s="34" t="n">
        <v>20.86</v>
      </c>
      <c r="C2041" s="34" t="n">
        <v>66.67</v>
      </c>
      <c r="D2041" s="34" t="n">
        <v>58.88</v>
      </c>
      <c r="E2041" s="34" t="n">
        <v>121.45</v>
      </c>
      <c r="F2041" s="34" t="n">
        <v>43.91</v>
      </c>
      <c r="G2041" s="34" t="n">
        <v>-45.3</v>
      </c>
      <c r="H2041" s="34" t="n">
        <v>-75.9</v>
      </c>
      <c r="I2041" s="34" t="n">
        <v>-92.39</v>
      </c>
      <c r="J2041" s="34" t="n">
        <v>-98.04</v>
      </c>
      <c r="K2041" s="34" t="n">
        <v>18.3</v>
      </c>
      <c r="L2041" s="34" t="n">
        <f aca="false">AVERAGE(C2041:E2041)</f>
        <v>82.3333333333333</v>
      </c>
      <c r="M2041" s="34" t="n">
        <f aca="false">AVERAGE(C2041:J2041)</f>
        <v>-2.59000000000001</v>
      </c>
    </row>
    <row r="2042" customFormat="false" ht="15" hidden="false" customHeight="true" outlineLevel="0" collapsed="false">
      <c r="A2042" s="34" t="s">
        <v>2201</v>
      </c>
      <c r="B2042" s="34" t="n">
        <v>20.8</v>
      </c>
      <c r="C2042" s="34" t="n">
        <v>66.67</v>
      </c>
      <c r="D2042" s="34" t="n">
        <v>93.72</v>
      </c>
      <c r="E2042" s="34" t="n">
        <v>101.08</v>
      </c>
      <c r="F2042" s="34" t="n">
        <v>195.26</v>
      </c>
      <c r="G2042" s="34" t="n">
        <v>174.3</v>
      </c>
      <c r="H2042" s="34" t="n">
        <v>171.77</v>
      </c>
      <c r="I2042" s="34" t="n">
        <v>122.57</v>
      </c>
      <c r="J2042" s="34" t="n">
        <v>137.91</v>
      </c>
      <c r="K2042" s="34" t="n">
        <v>20.27</v>
      </c>
      <c r="L2042" s="34" t="n">
        <f aca="false">AVERAGE(C2042:E2042)</f>
        <v>87.1566666666667</v>
      </c>
      <c r="M2042" s="34" t="n">
        <f aca="false">AVERAGE(C2042:J2042)</f>
        <v>132.91</v>
      </c>
    </row>
    <row r="2043" customFormat="false" ht="15" hidden="false" customHeight="true" outlineLevel="0" collapsed="false">
      <c r="A2043" s="34" t="s">
        <v>2202</v>
      </c>
      <c r="B2043" s="34" t="n">
        <v>20.65</v>
      </c>
      <c r="C2043" s="34" t="n">
        <v>66.67</v>
      </c>
      <c r="D2043" s="34" t="n">
        <v>133.33</v>
      </c>
      <c r="E2043" s="34" t="n">
        <v>145.08</v>
      </c>
      <c r="F2043" s="34"/>
      <c r="G2043" s="34"/>
      <c r="H2043" s="34"/>
      <c r="I2043" s="34"/>
      <c r="J2043" s="34"/>
      <c r="K2043" s="34" t="n">
        <v>20.93</v>
      </c>
      <c r="L2043" s="34" t="n">
        <f aca="false">AVERAGE(C2043:E2043)</f>
        <v>115.026666666667</v>
      </c>
      <c r="M2043" s="34" t="n">
        <f aca="false">AVERAGE(C2043:J2043)</f>
        <v>115.026666666667</v>
      </c>
    </row>
    <row r="2044" customFormat="false" ht="15" hidden="false" customHeight="true" outlineLevel="0" collapsed="false">
      <c r="A2044" s="34" t="s">
        <v>2203</v>
      </c>
      <c r="B2044" s="34" t="n">
        <v>20.62</v>
      </c>
      <c r="C2044" s="34" t="n">
        <v>-66.67</v>
      </c>
      <c r="D2044" s="34" t="n">
        <v>24.52</v>
      </c>
      <c r="E2044" s="34" t="n">
        <v>82.5</v>
      </c>
      <c r="F2044" s="34" t="n">
        <v>-23.07</v>
      </c>
      <c r="G2044" s="34" t="n">
        <v>-55.98</v>
      </c>
      <c r="H2044" s="34" t="n">
        <v>-39.31</v>
      </c>
      <c r="I2044" s="34" t="n">
        <v>-0.847</v>
      </c>
      <c r="J2044" s="34" t="n">
        <v>-26.92</v>
      </c>
      <c r="K2044" s="34" t="n">
        <v>21.83</v>
      </c>
      <c r="L2044" s="34" t="n">
        <f aca="false">AVERAGE(C2044:E2044)</f>
        <v>13.45</v>
      </c>
      <c r="M2044" s="34" t="n">
        <f aca="false">AVERAGE(C2044:J2044)</f>
        <v>-13.222125</v>
      </c>
    </row>
    <row r="2045" customFormat="false" ht="15" hidden="false" customHeight="true" outlineLevel="0" collapsed="false">
      <c r="A2045" s="34" t="s">
        <v>2204</v>
      </c>
      <c r="B2045" s="34" t="n">
        <v>20.27</v>
      </c>
      <c r="C2045" s="34" t="n">
        <v>-66.67</v>
      </c>
      <c r="D2045" s="34" t="n">
        <v>60.64</v>
      </c>
      <c r="E2045" s="34" t="n">
        <v>142.23</v>
      </c>
      <c r="F2045" s="34" t="n">
        <v>207.97</v>
      </c>
      <c r="G2045" s="34" t="n">
        <v>161.17</v>
      </c>
      <c r="H2045" s="34" t="n">
        <v>41.44</v>
      </c>
      <c r="I2045" s="34" t="n">
        <v>57.24</v>
      </c>
      <c r="J2045" s="34" t="n">
        <v>16.95</v>
      </c>
      <c r="K2045" s="34" t="n">
        <v>18.44</v>
      </c>
      <c r="L2045" s="34" t="n">
        <f aca="false">AVERAGE(C2045:E2045)</f>
        <v>45.4</v>
      </c>
      <c r="M2045" s="34" t="n">
        <f aca="false">AVERAGE(C2045:J2045)</f>
        <v>77.62125</v>
      </c>
    </row>
    <row r="2046" customFormat="false" ht="15" hidden="false" customHeight="true" outlineLevel="0" collapsed="false">
      <c r="A2046" s="34" t="s">
        <v>2205</v>
      </c>
      <c r="B2046" s="34" t="n">
        <v>20.06</v>
      </c>
      <c r="C2046" s="34" t="n">
        <v>-66.67</v>
      </c>
      <c r="D2046" s="34" t="n">
        <v>-54.65</v>
      </c>
      <c r="E2046" s="34" t="n">
        <v>71.58</v>
      </c>
      <c r="F2046" s="34" t="n">
        <v>-31.38</v>
      </c>
      <c r="G2046" s="34" t="n">
        <v>-15.55</v>
      </c>
      <c r="H2046" s="34" t="n">
        <v>24.73</v>
      </c>
      <c r="I2046" s="34" t="n">
        <v>43.21</v>
      </c>
      <c r="J2046" s="34" t="n">
        <v>12.4</v>
      </c>
      <c r="K2046" s="34" t="n">
        <v>18.68</v>
      </c>
      <c r="L2046" s="34" t="n">
        <f aca="false">AVERAGE(C2046:E2046)</f>
        <v>-16.58</v>
      </c>
      <c r="M2046" s="34" t="n">
        <f aca="false">AVERAGE(C2046:J2046)</f>
        <v>-2.04125</v>
      </c>
    </row>
    <row r="2047" customFormat="false" ht="15" hidden="false" customHeight="true" outlineLevel="0" collapsed="false">
      <c r="A2047" s="34" t="s">
        <v>2206</v>
      </c>
      <c r="B2047" s="34" t="n">
        <v>20.01</v>
      </c>
      <c r="C2047" s="34" t="n">
        <v>66.67</v>
      </c>
      <c r="D2047" s="34" t="n">
        <v>-22.22</v>
      </c>
      <c r="E2047" s="34" t="n">
        <v>-65.34</v>
      </c>
      <c r="F2047" s="34" t="n">
        <v>-80.83</v>
      </c>
      <c r="G2047" s="34" t="n">
        <v>-123.95</v>
      </c>
      <c r="H2047" s="34" t="n">
        <v>-69.37</v>
      </c>
      <c r="I2047" s="34" t="n">
        <v>-20.64</v>
      </c>
      <c r="J2047" s="34" t="n">
        <v>-37.96</v>
      </c>
      <c r="K2047" s="34" t="n">
        <v>21.97</v>
      </c>
      <c r="L2047" s="34" t="n">
        <f aca="false">AVERAGE(C2047:E2047)</f>
        <v>-6.96333333333333</v>
      </c>
      <c r="M2047" s="34" t="n">
        <f aca="false">AVERAGE(C2047:J2047)</f>
        <v>-44.205</v>
      </c>
    </row>
    <row r="2048" customFormat="false" ht="15" hidden="false" customHeight="true" outlineLevel="0" collapsed="false">
      <c r="A2048" s="34" t="s">
        <v>2207</v>
      </c>
      <c r="B2048" s="34" t="n">
        <v>20</v>
      </c>
      <c r="C2048" s="34" t="n">
        <v>-66.67</v>
      </c>
      <c r="D2048" s="34" t="n">
        <v>-19.95</v>
      </c>
      <c r="E2048" s="34" t="n">
        <v>38.86</v>
      </c>
      <c r="F2048" s="34" t="n">
        <v>-3.96</v>
      </c>
      <c r="G2048" s="34" t="n">
        <v>54.07</v>
      </c>
      <c r="H2048" s="34" t="n">
        <v>70.55</v>
      </c>
      <c r="I2048" s="34" t="n">
        <v>70.64</v>
      </c>
      <c r="J2048" s="34" t="n">
        <v>-10.49</v>
      </c>
      <c r="K2048" s="34" t="n">
        <v>21.37</v>
      </c>
      <c r="L2048" s="34" t="n">
        <f aca="false">AVERAGE(C2048:E2048)</f>
        <v>-15.92</v>
      </c>
      <c r="M2048" s="34" t="n">
        <f aca="false">AVERAGE(C2048:J2048)</f>
        <v>16.63125</v>
      </c>
    </row>
    <row r="2049" customFormat="false" ht="15" hidden="false" customHeight="true" outlineLevel="0" collapsed="false">
      <c r="A2049" s="34" t="s">
        <v>234</v>
      </c>
      <c r="B2049" s="34" t="n">
        <v>19.28</v>
      </c>
      <c r="C2049" s="34" t="n">
        <v>-66.67</v>
      </c>
      <c r="D2049" s="34" t="n">
        <v>-30.45</v>
      </c>
      <c r="E2049" s="34" t="n">
        <v>74</v>
      </c>
      <c r="F2049" s="34" t="n">
        <v>-7.23</v>
      </c>
      <c r="G2049" s="34" t="n">
        <v>-62.84</v>
      </c>
      <c r="H2049" s="34" t="n">
        <v>-35.04</v>
      </c>
      <c r="I2049" s="34" t="n">
        <v>12.01</v>
      </c>
      <c r="J2049" s="34" t="n">
        <v>20.43</v>
      </c>
      <c r="K2049" s="34" t="n">
        <v>18.87</v>
      </c>
      <c r="L2049" s="34" t="n">
        <f aca="false">AVERAGE(C2049:E2049)</f>
        <v>-7.70666666666667</v>
      </c>
      <c r="M2049" s="34" t="n">
        <f aca="false">AVERAGE(C2049:J2049)</f>
        <v>-11.97375</v>
      </c>
    </row>
    <row r="2050" customFormat="false" ht="15" hidden="false" customHeight="true" outlineLevel="0" collapsed="false">
      <c r="A2050" s="34" t="s">
        <v>2208</v>
      </c>
      <c r="B2050" s="34" t="n">
        <v>19.2</v>
      </c>
      <c r="C2050" s="34" t="n">
        <v>66.67</v>
      </c>
      <c r="D2050" s="34" t="n">
        <v>107.11</v>
      </c>
      <c r="E2050" s="34" t="n">
        <v>169.12</v>
      </c>
      <c r="F2050" s="34" t="n">
        <v>118.19</v>
      </c>
      <c r="G2050" s="34" t="n">
        <v>-19.31</v>
      </c>
      <c r="H2050" s="34" t="n">
        <v>10.98</v>
      </c>
      <c r="I2050" s="34" t="n">
        <v>27.87</v>
      </c>
      <c r="J2050" s="34" t="n">
        <v>13.61</v>
      </c>
      <c r="K2050" s="34" t="n">
        <v>16.84</v>
      </c>
      <c r="L2050" s="34" t="n">
        <f aca="false">AVERAGE(C2050:E2050)</f>
        <v>114.3</v>
      </c>
      <c r="M2050" s="34" t="n">
        <f aca="false">AVERAGE(C2050:J2050)</f>
        <v>61.78</v>
      </c>
    </row>
    <row r="2051" customFormat="false" ht="15" hidden="false" customHeight="true" outlineLevel="0" collapsed="false">
      <c r="A2051" s="34" t="s">
        <v>2209</v>
      </c>
      <c r="B2051" s="34" t="n">
        <v>19.2</v>
      </c>
      <c r="C2051" s="34" t="n">
        <v>-66.67</v>
      </c>
      <c r="D2051" s="34" t="n">
        <v>51.75</v>
      </c>
      <c r="E2051" s="34" t="n">
        <v>84.43</v>
      </c>
      <c r="F2051" s="34" t="n">
        <v>-46.99</v>
      </c>
      <c r="G2051" s="34" t="n">
        <v>-78.66</v>
      </c>
      <c r="H2051" s="34" t="n">
        <v>-45.07</v>
      </c>
      <c r="I2051" s="34" t="n">
        <v>-3.96</v>
      </c>
      <c r="J2051" s="34" t="n">
        <v>-21.3</v>
      </c>
      <c r="K2051" s="34" t="n">
        <v>20.48</v>
      </c>
      <c r="L2051" s="34" t="n">
        <f aca="false">AVERAGE(C2051:E2051)</f>
        <v>23.17</v>
      </c>
      <c r="M2051" s="34" t="n">
        <f aca="false">AVERAGE(C2051:J2051)</f>
        <v>-15.80875</v>
      </c>
    </row>
    <row r="2052" customFormat="false" ht="15" hidden="false" customHeight="true" outlineLevel="0" collapsed="false">
      <c r="A2052" s="34" t="s">
        <v>2210</v>
      </c>
      <c r="B2052" s="34" t="n">
        <v>19.06</v>
      </c>
      <c r="C2052" s="34" t="n">
        <v>-66.67</v>
      </c>
      <c r="D2052" s="34" t="n">
        <v>47.67</v>
      </c>
      <c r="E2052" s="34" t="n">
        <v>106.04</v>
      </c>
      <c r="F2052" s="34" t="n">
        <v>-27.18</v>
      </c>
      <c r="G2052" s="34" t="n">
        <v>-68.19</v>
      </c>
      <c r="H2052" s="34" t="n">
        <v>-77.23</v>
      </c>
      <c r="I2052" s="34" t="n">
        <v>-86.78</v>
      </c>
      <c r="J2052" s="34" t="n">
        <v>-69.53</v>
      </c>
      <c r="K2052" s="34" t="n">
        <v>19.81</v>
      </c>
      <c r="L2052" s="34" t="n">
        <f aca="false">AVERAGE(C2052:E2052)</f>
        <v>29.0133333333333</v>
      </c>
      <c r="M2052" s="34" t="n">
        <f aca="false">AVERAGE(C2052:J2052)</f>
        <v>-30.23375</v>
      </c>
    </row>
    <row r="2053" customFormat="false" ht="15" hidden="false" customHeight="true" outlineLevel="0" collapsed="false">
      <c r="A2053" s="34" t="s">
        <v>2211</v>
      </c>
      <c r="B2053" s="34" t="n">
        <v>19.03</v>
      </c>
      <c r="C2053" s="34" t="n">
        <v>-66.67</v>
      </c>
      <c r="D2053" s="34" t="n">
        <v>62.77</v>
      </c>
      <c r="E2053" s="34" t="n">
        <v>108.48</v>
      </c>
      <c r="F2053" s="34" t="n">
        <v>72.64</v>
      </c>
      <c r="G2053" s="34" t="n">
        <v>-15.55</v>
      </c>
      <c r="H2053" s="34" t="n">
        <v>-6.73</v>
      </c>
      <c r="I2053" s="34" t="n">
        <v>-12.94</v>
      </c>
      <c r="J2053" s="34" t="n">
        <v>-36.19</v>
      </c>
      <c r="K2053" s="34" t="n">
        <v>19.79</v>
      </c>
      <c r="L2053" s="34" t="n">
        <f aca="false">AVERAGE(C2053:E2053)</f>
        <v>34.86</v>
      </c>
      <c r="M2053" s="34" t="n">
        <f aca="false">AVERAGE(C2053:J2053)</f>
        <v>13.22625</v>
      </c>
    </row>
    <row r="2054" customFormat="false" ht="15" hidden="false" customHeight="true" outlineLevel="0" collapsed="false">
      <c r="A2054" s="34" t="s">
        <v>2212</v>
      </c>
      <c r="B2054" s="34" t="n">
        <v>18.9</v>
      </c>
      <c r="C2054" s="34" t="n">
        <v>66.67</v>
      </c>
      <c r="D2054" s="34" t="n">
        <v>133.33</v>
      </c>
      <c r="E2054" s="34" t="n">
        <v>9.21</v>
      </c>
      <c r="F2054" s="34" t="n">
        <v>-39.14</v>
      </c>
      <c r="G2054" s="34" t="n">
        <v>34.12</v>
      </c>
      <c r="H2054" s="34" t="n">
        <v>-11.86</v>
      </c>
      <c r="I2054" s="34" t="n">
        <v>-38.54</v>
      </c>
      <c r="J2054" s="34" t="n">
        <v>-55.7</v>
      </c>
      <c r="K2054" s="34" t="n">
        <v>20.8</v>
      </c>
      <c r="L2054" s="34" t="n">
        <f aca="false">AVERAGE(C2054:E2054)</f>
        <v>69.7366666666667</v>
      </c>
      <c r="M2054" s="34" t="n">
        <f aca="false">AVERAGE(C2054:J2054)</f>
        <v>12.26125</v>
      </c>
    </row>
    <row r="2055" customFormat="false" ht="15" hidden="false" customHeight="true" outlineLevel="0" collapsed="false">
      <c r="A2055" s="34" t="s">
        <v>2213</v>
      </c>
      <c r="B2055" s="34" t="n">
        <v>18.9</v>
      </c>
      <c r="C2055" s="34" t="n">
        <v>66.67</v>
      </c>
      <c r="D2055" s="34" t="n">
        <v>43.92</v>
      </c>
      <c r="E2055" s="34" t="n">
        <v>75.74</v>
      </c>
      <c r="F2055" s="34" t="n">
        <v>125.68</v>
      </c>
      <c r="G2055" s="34" t="n">
        <v>139</v>
      </c>
      <c r="H2055" s="34" t="n">
        <v>174.37</v>
      </c>
      <c r="I2055" s="34" t="n">
        <v>198.44</v>
      </c>
      <c r="J2055" s="34" t="n">
        <v>204.54</v>
      </c>
      <c r="K2055" s="34" t="n">
        <v>17.83</v>
      </c>
      <c r="L2055" s="34" t="n">
        <f aca="false">AVERAGE(C2055:E2055)</f>
        <v>62.11</v>
      </c>
      <c r="M2055" s="34" t="n">
        <f aca="false">AVERAGE(C2055:J2055)</f>
        <v>128.545</v>
      </c>
    </row>
    <row r="2056" customFormat="false" ht="15" hidden="false" customHeight="true" outlineLevel="0" collapsed="false">
      <c r="A2056" s="34" t="s">
        <v>2214</v>
      </c>
      <c r="B2056" s="34" t="n">
        <v>18.88</v>
      </c>
      <c r="C2056" s="34" t="n">
        <v>66.67</v>
      </c>
      <c r="D2056" s="34" t="n">
        <v>65.14</v>
      </c>
      <c r="E2056" s="34" t="n">
        <v>99.16</v>
      </c>
      <c r="F2056" s="34" t="n">
        <v>75.86</v>
      </c>
      <c r="G2056" s="34" t="n">
        <v>71.6</v>
      </c>
      <c r="H2056" s="34" t="n">
        <v>87.28</v>
      </c>
      <c r="I2056" s="34" t="n">
        <v>89.93</v>
      </c>
      <c r="J2056" s="34" t="n">
        <v>22.84</v>
      </c>
      <c r="K2056" s="34" t="n">
        <v>19.35</v>
      </c>
      <c r="L2056" s="34" t="n">
        <f aca="false">AVERAGE(C2056:E2056)</f>
        <v>76.99</v>
      </c>
      <c r="M2056" s="34" t="n">
        <f aca="false">AVERAGE(C2056:J2056)</f>
        <v>72.31</v>
      </c>
    </row>
    <row r="2057" customFormat="false" ht="15" hidden="false" customHeight="true" outlineLevel="0" collapsed="false">
      <c r="A2057" s="34" t="s">
        <v>449</v>
      </c>
      <c r="B2057" s="34" t="n">
        <v>18.87</v>
      </c>
      <c r="C2057" s="34" t="n">
        <v>-66.67</v>
      </c>
      <c r="D2057" s="34" t="n">
        <v>-42.25</v>
      </c>
      <c r="E2057" s="34" t="n">
        <v>-11.34</v>
      </c>
      <c r="F2057" s="34" t="n">
        <v>-72.22</v>
      </c>
      <c r="G2057" s="34" t="n">
        <v>-16.29</v>
      </c>
      <c r="H2057" s="34" t="n">
        <v>29.05</v>
      </c>
      <c r="I2057" s="34" t="n">
        <v>51.36</v>
      </c>
      <c r="J2057" s="34" t="n">
        <v>67.35</v>
      </c>
      <c r="K2057" s="34" t="n">
        <v>20.31</v>
      </c>
      <c r="L2057" s="34" t="n">
        <f aca="false">AVERAGE(C2057:E2057)</f>
        <v>-40.0866666666667</v>
      </c>
      <c r="M2057" s="34" t="n">
        <f aca="false">AVERAGE(C2057:J2057)</f>
        <v>-7.62625</v>
      </c>
    </row>
    <row r="2058" customFormat="false" ht="15" hidden="false" customHeight="true" outlineLevel="0" collapsed="false">
      <c r="A2058" s="34" t="s">
        <v>2215</v>
      </c>
      <c r="B2058" s="34" t="n">
        <v>18.62</v>
      </c>
      <c r="C2058" s="34" t="n">
        <v>-66.67</v>
      </c>
      <c r="D2058" s="34" t="n">
        <v>-100.52</v>
      </c>
      <c r="E2058" s="34" t="n">
        <v>-118.03</v>
      </c>
      <c r="F2058" s="34" t="n">
        <v>-160.63</v>
      </c>
      <c r="G2058" s="34" t="n">
        <v>-33.38</v>
      </c>
      <c r="H2058" s="34" t="n">
        <v>30.88</v>
      </c>
      <c r="I2058" s="34" t="n">
        <v>54.46</v>
      </c>
      <c r="J2058" s="34" t="n">
        <v>72.31</v>
      </c>
      <c r="K2058" s="34" t="n">
        <v>20.47</v>
      </c>
      <c r="L2058" s="34" t="n">
        <f aca="false">AVERAGE(C2058:E2058)</f>
        <v>-95.0733333333333</v>
      </c>
      <c r="M2058" s="34" t="n">
        <f aca="false">AVERAGE(C2058:J2058)</f>
        <v>-40.1975</v>
      </c>
    </row>
    <row r="2059" customFormat="false" ht="15" hidden="false" customHeight="true" outlineLevel="0" collapsed="false">
      <c r="A2059" s="34" t="s">
        <v>2216</v>
      </c>
      <c r="B2059" s="34" t="n">
        <v>18.45</v>
      </c>
      <c r="C2059" s="34" t="n">
        <v>66.67</v>
      </c>
      <c r="D2059" s="34" t="n">
        <v>100.72</v>
      </c>
      <c r="E2059" s="34" t="n">
        <v>124.48</v>
      </c>
      <c r="F2059" s="34" t="n">
        <v>252.31</v>
      </c>
      <c r="G2059" s="34" t="n">
        <v>368.22</v>
      </c>
      <c r="H2059" s="34" t="n">
        <v>421.7</v>
      </c>
      <c r="I2059" s="34" t="n">
        <v>389.21</v>
      </c>
      <c r="J2059" s="34" t="n">
        <v>222.74</v>
      </c>
      <c r="K2059" s="34" t="n">
        <v>16.87</v>
      </c>
      <c r="L2059" s="34" t="n">
        <f aca="false">AVERAGE(C2059:E2059)</f>
        <v>97.29</v>
      </c>
      <c r="M2059" s="34" t="n">
        <f aca="false">AVERAGE(C2059:J2059)</f>
        <v>243.25625</v>
      </c>
    </row>
    <row r="2060" customFormat="false" ht="15" hidden="false" customHeight="true" outlineLevel="0" collapsed="false">
      <c r="A2060" s="34" t="s">
        <v>2217</v>
      </c>
      <c r="B2060" s="34" t="n">
        <v>18.4</v>
      </c>
      <c r="C2060" s="34" t="n">
        <v>66.67</v>
      </c>
      <c r="D2060" s="34" t="n">
        <v>-39.12</v>
      </c>
      <c r="E2060" s="34" t="n">
        <v>-97.03</v>
      </c>
      <c r="F2060" s="34" t="n">
        <v>-128.22</v>
      </c>
      <c r="G2060" s="34" t="n">
        <v>-106.14</v>
      </c>
      <c r="H2060" s="34" t="n">
        <v>8.18</v>
      </c>
      <c r="I2060" s="34" t="n">
        <v>26.85</v>
      </c>
      <c r="J2060" s="34" t="n">
        <v>13.35</v>
      </c>
      <c r="K2060" s="34" t="n">
        <v>20.41</v>
      </c>
      <c r="L2060" s="34" t="n">
        <f aca="false">AVERAGE(C2060:E2060)</f>
        <v>-23.16</v>
      </c>
      <c r="M2060" s="34" t="n">
        <f aca="false">AVERAGE(C2060:J2060)</f>
        <v>-31.9325</v>
      </c>
    </row>
    <row r="2061" customFormat="false" ht="15" hidden="false" customHeight="true" outlineLevel="0" collapsed="false">
      <c r="A2061" s="34" t="s">
        <v>2218</v>
      </c>
      <c r="B2061" s="34" t="n">
        <v>18.21</v>
      </c>
      <c r="C2061" s="34" t="n">
        <v>-66.67</v>
      </c>
      <c r="D2061" s="34" t="n">
        <v>28.13</v>
      </c>
      <c r="E2061" s="34" t="n">
        <v>10.17</v>
      </c>
      <c r="F2061" s="34" t="n">
        <v>-50.12</v>
      </c>
      <c r="G2061" s="34" t="n">
        <v>-93.18</v>
      </c>
      <c r="H2061" s="34" t="n">
        <v>-82.77</v>
      </c>
      <c r="I2061" s="34" t="n">
        <v>-66.07</v>
      </c>
      <c r="J2061" s="34" t="n">
        <v>-74.7</v>
      </c>
      <c r="K2061" s="34" t="n">
        <v>19.18</v>
      </c>
      <c r="L2061" s="34" t="n">
        <f aca="false">AVERAGE(C2061:E2061)</f>
        <v>-9.45666666666667</v>
      </c>
      <c r="M2061" s="34" t="n">
        <f aca="false">AVERAGE(C2061:J2061)</f>
        <v>-49.40125</v>
      </c>
    </row>
    <row r="2062" customFormat="false" ht="15" hidden="false" customHeight="true" outlineLevel="0" collapsed="false">
      <c r="A2062" s="34" t="s">
        <v>295</v>
      </c>
      <c r="B2062" s="34" t="n">
        <v>18.19</v>
      </c>
      <c r="C2062" s="34" t="n">
        <v>-66.67</v>
      </c>
      <c r="D2062" s="34" t="n">
        <v>-112.47</v>
      </c>
      <c r="E2062" s="34" t="n">
        <v>23.75</v>
      </c>
      <c r="F2062" s="34" t="n">
        <v>-69.11</v>
      </c>
      <c r="G2062" s="34" t="n">
        <v>-111.33</v>
      </c>
      <c r="H2062" s="34" t="n">
        <v>-46.84</v>
      </c>
      <c r="I2062" s="34" t="n">
        <v>-1.8</v>
      </c>
      <c r="J2062" s="34" t="n">
        <v>-0.857</v>
      </c>
      <c r="K2062" s="34" t="n">
        <v>18.97</v>
      </c>
      <c r="L2062" s="34" t="n">
        <f aca="false">AVERAGE(C2062:E2062)</f>
        <v>-51.7966666666667</v>
      </c>
      <c r="M2062" s="34" t="n">
        <f aca="false">AVERAGE(C2062:J2062)</f>
        <v>-48.165875</v>
      </c>
    </row>
    <row r="2063" customFormat="false" ht="15" hidden="false" customHeight="true" outlineLevel="0" collapsed="false">
      <c r="A2063" s="34" t="s">
        <v>2219</v>
      </c>
      <c r="B2063" s="34" t="n">
        <v>18.05</v>
      </c>
      <c r="C2063" s="34" t="n">
        <v>-66.67</v>
      </c>
      <c r="D2063" s="34" t="n">
        <v>45.18</v>
      </c>
      <c r="E2063" s="34" t="n">
        <v>69.88</v>
      </c>
      <c r="F2063" s="34" t="n">
        <v>-30.89</v>
      </c>
      <c r="G2063" s="34" t="n">
        <v>-82.94</v>
      </c>
      <c r="H2063" s="34" t="n">
        <v>-94.59</v>
      </c>
      <c r="I2063" s="34" t="n">
        <v>-35.13</v>
      </c>
      <c r="J2063" s="34" t="n">
        <v>-49.15</v>
      </c>
      <c r="K2063" s="34" t="n">
        <v>18.47</v>
      </c>
      <c r="L2063" s="34" t="n">
        <f aca="false">AVERAGE(C2063:E2063)</f>
        <v>16.13</v>
      </c>
      <c r="M2063" s="34" t="n">
        <f aca="false">AVERAGE(C2063:J2063)</f>
        <v>-30.53875</v>
      </c>
    </row>
    <row r="2064" customFormat="false" ht="15" hidden="false" customHeight="true" outlineLevel="0" collapsed="false">
      <c r="A2064" s="34" t="s">
        <v>2220</v>
      </c>
      <c r="B2064" s="34" t="n">
        <v>18</v>
      </c>
      <c r="C2064" s="34" t="n">
        <v>-66.67</v>
      </c>
      <c r="D2064" s="34" t="n">
        <v>-102.08</v>
      </c>
      <c r="E2064" s="34" t="n">
        <v>-105.13</v>
      </c>
      <c r="F2064" s="34" t="n">
        <v>-85.01</v>
      </c>
      <c r="G2064" s="34" t="n">
        <v>-84.34</v>
      </c>
      <c r="H2064" s="34" t="n">
        <v>-109.99</v>
      </c>
      <c r="I2064" s="34" t="n">
        <v>-121.68</v>
      </c>
      <c r="J2064" s="34" t="n">
        <v>-119.77</v>
      </c>
      <c r="K2064" s="34" t="n">
        <v>20.36</v>
      </c>
      <c r="L2064" s="34" t="n">
        <f aca="false">AVERAGE(C2064:E2064)</f>
        <v>-91.2933333333333</v>
      </c>
      <c r="M2064" s="34" t="n">
        <f aca="false">AVERAGE(C2064:J2064)</f>
        <v>-99.33375</v>
      </c>
    </row>
    <row r="2065" customFormat="false" ht="15" hidden="false" customHeight="true" outlineLevel="0" collapsed="false">
      <c r="A2065" s="34" t="s">
        <v>2221</v>
      </c>
      <c r="B2065" s="34" t="n">
        <v>17.88</v>
      </c>
      <c r="C2065" s="34" t="n">
        <v>66.67</v>
      </c>
      <c r="D2065" s="34" t="n">
        <v>133.33</v>
      </c>
      <c r="E2065" s="34" t="n">
        <v>166.91</v>
      </c>
      <c r="F2065" s="34" t="n">
        <v>-17.19</v>
      </c>
      <c r="G2065" s="34" t="n">
        <v>-70.46</v>
      </c>
      <c r="H2065" s="34" t="n">
        <v>-34.05</v>
      </c>
      <c r="I2065" s="34" t="n">
        <v>-3.1</v>
      </c>
      <c r="J2065" s="34" t="n">
        <v>5.26</v>
      </c>
      <c r="K2065" s="34" t="n">
        <v>13.97</v>
      </c>
      <c r="L2065" s="34" t="n">
        <f aca="false">AVERAGE(C2065:E2065)</f>
        <v>122.303333333333</v>
      </c>
      <c r="M2065" s="34" t="n">
        <f aca="false">AVERAGE(C2065:J2065)</f>
        <v>30.92125</v>
      </c>
    </row>
    <row r="2066" customFormat="false" ht="15" hidden="false" customHeight="true" outlineLevel="0" collapsed="false">
      <c r="A2066" s="34" t="s">
        <v>2222</v>
      </c>
      <c r="B2066" s="34" t="n">
        <v>17.82</v>
      </c>
      <c r="C2066" s="34" t="n">
        <v>66.67</v>
      </c>
      <c r="D2066" s="34" t="n">
        <v>115.48</v>
      </c>
      <c r="E2066" s="34" t="n">
        <v>209.35</v>
      </c>
      <c r="F2066" s="34" t="n">
        <v>147.81</v>
      </c>
      <c r="G2066" s="34" t="n">
        <v>42.26</v>
      </c>
      <c r="H2066" s="34" t="n">
        <v>-11.48</v>
      </c>
      <c r="I2066" s="34" t="n">
        <v>-28.64</v>
      </c>
      <c r="J2066" s="34" t="n">
        <v>-51.07</v>
      </c>
      <c r="K2066" s="34" t="n">
        <v>15.06</v>
      </c>
      <c r="L2066" s="34" t="n">
        <f aca="false">AVERAGE(C2066:E2066)</f>
        <v>130.5</v>
      </c>
      <c r="M2066" s="34" t="n">
        <f aca="false">AVERAGE(C2066:J2066)</f>
        <v>61.2975</v>
      </c>
    </row>
    <row r="2067" customFormat="false" ht="15" hidden="false" customHeight="true" outlineLevel="0" collapsed="false">
      <c r="A2067" s="34" t="s">
        <v>2223</v>
      </c>
      <c r="B2067" s="34" t="n">
        <v>17.64</v>
      </c>
      <c r="C2067" s="34" t="n">
        <v>-66.67</v>
      </c>
      <c r="D2067" s="34" t="n">
        <v>-71.7</v>
      </c>
      <c r="E2067" s="34" t="n">
        <v>-63.77</v>
      </c>
      <c r="F2067" s="34" t="n">
        <v>-98.58</v>
      </c>
      <c r="G2067" s="34" t="n">
        <v>-22.11</v>
      </c>
      <c r="H2067" s="34" t="n">
        <v>22.95</v>
      </c>
      <c r="I2067" s="34" t="n">
        <v>42.86</v>
      </c>
      <c r="J2067" s="34" t="n">
        <v>30.68</v>
      </c>
      <c r="K2067" s="34" t="n">
        <v>19.6</v>
      </c>
      <c r="L2067" s="34" t="n">
        <f aca="false">AVERAGE(C2067:E2067)</f>
        <v>-67.38</v>
      </c>
      <c r="M2067" s="34" t="n">
        <f aca="false">AVERAGE(C2067:J2067)</f>
        <v>-28.2925</v>
      </c>
    </row>
    <row r="2068" customFormat="false" ht="15" hidden="false" customHeight="true" outlineLevel="0" collapsed="false">
      <c r="A2068" s="34" t="s">
        <v>2224</v>
      </c>
      <c r="B2068" s="34" t="n">
        <v>17.59</v>
      </c>
      <c r="C2068" s="34" t="n">
        <v>66.67</v>
      </c>
      <c r="D2068" s="34" t="n">
        <v>133.33</v>
      </c>
      <c r="E2068" s="34" t="n">
        <v>92.85</v>
      </c>
      <c r="F2068" s="34" t="n">
        <v>46.59</v>
      </c>
      <c r="G2068" s="34" t="n">
        <v>26.26</v>
      </c>
      <c r="H2068" s="34" t="n">
        <v>61.95</v>
      </c>
      <c r="I2068" s="34" t="n">
        <v>69.72</v>
      </c>
      <c r="J2068" s="34" t="n">
        <v>82.28</v>
      </c>
      <c r="K2068" s="34" t="n">
        <v>16.9</v>
      </c>
      <c r="L2068" s="34" t="n">
        <f aca="false">AVERAGE(C2068:E2068)</f>
        <v>97.6166666666667</v>
      </c>
      <c r="M2068" s="34" t="n">
        <f aca="false">AVERAGE(C2068:J2068)</f>
        <v>72.45625</v>
      </c>
    </row>
    <row r="2069" customFormat="false" ht="15" hidden="false" customHeight="true" outlineLevel="0" collapsed="false">
      <c r="A2069" s="34" t="s">
        <v>2225</v>
      </c>
      <c r="B2069" s="34" t="n">
        <v>17.5</v>
      </c>
      <c r="C2069" s="34" t="n">
        <v>-66.67</v>
      </c>
      <c r="D2069" s="34" t="n">
        <v>-119.44</v>
      </c>
      <c r="E2069" s="34" t="n">
        <v>-30.42</v>
      </c>
      <c r="F2069" s="34" t="n">
        <v>-87.91</v>
      </c>
      <c r="G2069" s="34" t="n">
        <v>-37.4</v>
      </c>
      <c r="H2069" s="34" t="n">
        <v>11.93</v>
      </c>
      <c r="I2069" s="34" t="n">
        <v>35.61</v>
      </c>
      <c r="J2069" s="34" t="n">
        <v>42.16</v>
      </c>
      <c r="K2069" s="34" t="n">
        <v>19.33</v>
      </c>
      <c r="L2069" s="34" t="n">
        <f aca="false">AVERAGE(C2069:E2069)</f>
        <v>-72.1766666666667</v>
      </c>
      <c r="M2069" s="34" t="n">
        <f aca="false">AVERAGE(C2069:J2069)</f>
        <v>-31.5175</v>
      </c>
    </row>
    <row r="2070" customFormat="false" ht="15" hidden="false" customHeight="true" outlineLevel="0" collapsed="false">
      <c r="A2070" s="34" t="s">
        <v>2226</v>
      </c>
      <c r="B2070" s="34" t="n">
        <v>17.5</v>
      </c>
      <c r="C2070" s="34" t="n">
        <v>-66.67</v>
      </c>
      <c r="D2070" s="34" t="n">
        <v>-35.01</v>
      </c>
      <c r="E2070" s="34" t="n">
        <v>-6.91</v>
      </c>
      <c r="F2070" s="34" t="n">
        <v>-65.72</v>
      </c>
      <c r="G2070" s="34" t="n">
        <v>-115.63</v>
      </c>
      <c r="H2070" s="34" t="n">
        <v>-88.69</v>
      </c>
      <c r="I2070" s="34" t="n">
        <v>-86.84</v>
      </c>
      <c r="J2070" s="34" t="n">
        <v>-89.47</v>
      </c>
      <c r="K2070" s="34" t="n">
        <v>18.56</v>
      </c>
      <c r="L2070" s="34" t="n">
        <f aca="false">AVERAGE(C2070:E2070)</f>
        <v>-36.1966666666667</v>
      </c>
      <c r="M2070" s="34" t="n">
        <f aca="false">AVERAGE(C2070:J2070)</f>
        <v>-69.3675</v>
      </c>
    </row>
    <row r="2071" customFormat="false" ht="15" hidden="false" customHeight="true" outlineLevel="0" collapsed="false">
      <c r="A2071" s="34" t="s">
        <v>2227</v>
      </c>
      <c r="B2071" s="34" t="n">
        <v>17.38</v>
      </c>
      <c r="C2071" s="34" t="n">
        <v>66.67</v>
      </c>
      <c r="D2071" s="34" t="n">
        <v>35.77</v>
      </c>
      <c r="E2071" s="34" t="n">
        <v>-46.2</v>
      </c>
      <c r="F2071" s="34" t="n">
        <v>-113.39</v>
      </c>
      <c r="G2071" s="34" t="n">
        <v>-107.89</v>
      </c>
      <c r="H2071" s="34" t="n">
        <v>-64.23</v>
      </c>
      <c r="I2071" s="34" t="n">
        <v>-33.14</v>
      </c>
      <c r="J2071" s="34" t="n">
        <v>-34.35</v>
      </c>
      <c r="K2071" s="34" t="n">
        <v>18.42</v>
      </c>
      <c r="L2071" s="34" t="n">
        <f aca="false">AVERAGE(C2071:E2071)</f>
        <v>18.7466666666667</v>
      </c>
      <c r="M2071" s="34" t="n">
        <f aca="false">AVERAGE(C2071:J2071)</f>
        <v>-37.095</v>
      </c>
    </row>
    <row r="2072" customFormat="false" ht="15" hidden="false" customHeight="true" outlineLevel="0" collapsed="false">
      <c r="A2072" s="34" t="s">
        <v>2228</v>
      </c>
      <c r="B2072" s="34" t="n">
        <v>17.34</v>
      </c>
      <c r="C2072" s="34" t="n">
        <v>-66.67</v>
      </c>
      <c r="D2072" s="34" t="n">
        <v>62.81</v>
      </c>
      <c r="E2072" s="34" t="n">
        <v>107.55</v>
      </c>
      <c r="F2072" s="34" t="n">
        <v>86.12</v>
      </c>
      <c r="G2072" s="34" t="n">
        <v>73.7</v>
      </c>
      <c r="H2072" s="34" t="n">
        <v>98.97</v>
      </c>
      <c r="I2072" s="34" t="n">
        <v>124.74</v>
      </c>
      <c r="J2072" s="34" t="n">
        <v>142.03</v>
      </c>
      <c r="K2072" s="34" t="n">
        <v>15.96</v>
      </c>
      <c r="L2072" s="34" t="n">
        <f aca="false">AVERAGE(C2072:E2072)</f>
        <v>34.5633333333333</v>
      </c>
      <c r="M2072" s="34" t="n">
        <f aca="false">AVERAGE(C2072:J2072)</f>
        <v>78.65625</v>
      </c>
    </row>
    <row r="2073" customFormat="false" ht="15" hidden="false" customHeight="true" outlineLevel="0" collapsed="false">
      <c r="A2073" s="34" t="s">
        <v>2229</v>
      </c>
      <c r="B2073" s="34" t="n">
        <v>17.29</v>
      </c>
      <c r="C2073" s="34" t="n">
        <v>66.67</v>
      </c>
      <c r="D2073" s="34" t="n">
        <v>75.79</v>
      </c>
      <c r="E2073" s="34" t="n">
        <v>131.12</v>
      </c>
      <c r="F2073" s="34" t="n">
        <v>247.72</v>
      </c>
      <c r="G2073" s="34" t="n">
        <v>318.73</v>
      </c>
      <c r="H2073" s="34" t="n">
        <v>287.49</v>
      </c>
      <c r="I2073" s="34" t="n">
        <v>284.28</v>
      </c>
      <c r="J2073" s="34" t="n">
        <v>111.51</v>
      </c>
      <c r="K2073" s="34" t="n">
        <v>15.11</v>
      </c>
      <c r="L2073" s="34" t="n">
        <f aca="false">AVERAGE(C2073:E2073)</f>
        <v>91.1933333333333</v>
      </c>
      <c r="M2073" s="34" t="n">
        <f aca="false">AVERAGE(C2073:J2073)</f>
        <v>190.41375</v>
      </c>
    </row>
    <row r="2074" customFormat="false" ht="15" hidden="false" customHeight="true" outlineLevel="0" collapsed="false">
      <c r="A2074" s="34" t="s">
        <v>2230</v>
      </c>
      <c r="B2074" s="34" t="n">
        <v>17.1</v>
      </c>
      <c r="C2074" s="34" t="n">
        <v>-66.67</v>
      </c>
      <c r="D2074" s="34" t="n">
        <v>-133.33</v>
      </c>
      <c r="E2074" s="34" t="n">
        <v>-139.34</v>
      </c>
      <c r="F2074" s="34" t="n">
        <v>-36.04</v>
      </c>
      <c r="G2074" s="34" t="n">
        <v>-41.27</v>
      </c>
      <c r="H2074" s="34" t="n">
        <v>-61.87</v>
      </c>
      <c r="I2074" s="34" t="n">
        <v>-59.13</v>
      </c>
      <c r="J2074" s="34" t="n">
        <v>-61.16</v>
      </c>
      <c r="K2074" s="34" t="n">
        <v>16.53</v>
      </c>
      <c r="L2074" s="34" t="n">
        <f aca="false">AVERAGE(C2074:E2074)</f>
        <v>-113.113333333333</v>
      </c>
      <c r="M2074" s="34" t="n">
        <f aca="false">AVERAGE(C2074:J2074)</f>
        <v>-74.85125</v>
      </c>
    </row>
    <row r="2075" customFormat="false" ht="15" hidden="false" customHeight="true" outlineLevel="0" collapsed="false">
      <c r="A2075" s="34" t="s">
        <v>2231</v>
      </c>
      <c r="B2075" s="34" t="n">
        <v>17.08</v>
      </c>
      <c r="C2075" s="34" t="n">
        <v>-66.67</v>
      </c>
      <c r="D2075" s="34" t="n">
        <v>-10</v>
      </c>
      <c r="E2075" s="34" t="n">
        <v>80.62</v>
      </c>
      <c r="F2075" s="34" t="n">
        <v>-36.28</v>
      </c>
      <c r="G2075" s="34" t="n">
        <v>-46.32</v>
      </c>
      <c r="H2075" s="34" t="n">
        <v>22.63</v>
      </c>
      <c r="I2075" s="34" t="n">
        <v>48.42</v>
      </c>
      <c r="J2075" s="34" t="n">
        <v>59.68</v>
      </c>
      <c r="K2075" s="34" t="n">
        <v>17.27</v>
      </c>
      <c r="L2075" s="34" t="n">
        <f aca="false">AVERAGE(C2075:E2075)</f>
        <v>1.31666666666667</v>
      </c>
      <c r="M2075" s="34" t="n">
        <f aca="false">AVERAGE(C2075:J2075)</f>
        <v>6.51</v>
      </c>
    </row>
    <row r="2076" customFormat="false" ht="15" hidden="false" customHeight="true" outlineLevel="0" collapsed="false">
      <c r="A2076" s="34" t="s">
        <v>2232</v>
      </c>
      <c r="B2076" s="34" t="n">
        <v>16.8</v>
      </c>
      <c r="C2076" s="34" t="n">
        <v>66.67</v>
      </c>
      <c r="D2076" s="34" t="n">
        <v>133.33</v>
      </c>
      <c r="E2076" s="34" t="n">
        <v>45.92</v>
      </c>
      <c r="F2076" s="34" t="n">
        <v>122.2</v>
      </c>
      <c r="G2076" s="34" t="n">
        <v>21.63</v>
      </c>
      <c r="H2076" s="34" t="n">
        <v>53.9</v>
      </c>
      <c r="I2076" s="34" t="n">
        <v>69.06</v>
      </c>
      <c r="J2076" s="34" t="n">
        <v>81.61</v>
      </c>
      <c r="K2076" s="34" t="n">
        <v>15.05</v>
      </c>
      <c r="L2076" s="34" t="n">
        <f aca="false">AVERAGE(C2076:E2076)</f>
        <v>81.9733333333333</v>
      </c>
      <c r="M2076" s="34" t="n">
        <f aca="false">AVERAGE(C2076:J2076)</f>
        <v>74.29</v>
      </c>
    </row>
    <row r="2077" customFormat="false" ht="15" hidden="false" customHeight="true" outlineLevel="0" collapsed="false">
      <c r="A2077" s="34" t="s">
        <v>2233</v>
      </c>
      <c r="B2077" s="34" t="n">
        <v>16.59</v>
      </c>
      <c r="C2077" s="34" t="n">
        <v>-66.67</v>
      </c>
      <c r="D2077" s="34" t="n">
        <v>-73.66</v>
      </c>
      <c r="E2077" s="34" t="n">
        <v>60.27</v>
      </c>
      <c r="F2077" s="34" t="n">
        <v>46.76</v>
      </c>
      <c r="G2077" s="34" t="n">
        <v>88.12</v>
      </c>
      <c r="H2077" s="34" t="n">
        <v>111.45</v>
      </c>
      <c r="I2077" s="34" t="n">
        <v>88.11</v>
      </c>
      <c r="J2077" s="34" t="n">
        <v>55.55</v>
      </c>
      <c r="K2077" s="34" t="n">
        <v>15.31</v>
      </c>
      <c r="L2077" s="34" t="n">
        <f aca="false">AVERAGE(C2077:E2077)</f>
        <v>-26.6866666666667</v>
      </c>
      <c r="M2077" s="34" t="n">
        <f aca="false">AVERAGE(C2077:J2077)</f>
        <v>38.74125</v>
      </c>
    </row>
    <row r="2078" customFormat="false" ht="15" hidden="false" customHeight="true" outlineLevel="0" collapsed="false">
      <c r="A2078" s="34" t="s">
        <v>2234</v>
      </c>
      <c r="B2078" s="34" t="n">
        <v>16.37</v>
      </c>
      <c r="C2078" s="34" t="n">
        <v>-66.67</v>
      </c>
      <c r="D2078" s="34" t="n">
        <v>16.46</v>
      </c>
      <c r="E2078" s="34" t="n">
        <v>-14.35</v>
      </c>
      <c r="F2078" s="34" t="n">
        <v>-65.21</v>
      </c>
      <c r="G2078" s="34" t="n">
        <v>-29.41</v>
      </c>
      <c r="H2078" s="34" t="n">
        <v>16.37</v>
      </c>
      <c r="I2078" s="34" t="n">
        <v>42.07</v>
      </c>
      <c r="J2078" s="34" t="n">
        <v>13.95</v>
      </c>
      <c r="K2078" s="34" t="n">
        <v>18.51</v>
      </c>
      <c r="L2078" s="34" t="n">
        <f aca="false">AVERAGE(C2078:E2078)</f>
        <v>-21.52</v>
      </c>
      <c r="M2078" s="34" t="n">
        <f aca="false">AVERAGE(C2078:J2078)</f>
        <v>-10.84875</v>
      </c>
    </row>
    <row r="2079" customFormat="false" ht="15" hidden="false" customHeight="true" outlineLevel="0" collapsed="false">
      <c r="A2079" s="34" t="s">
        <v>2235</v>
      </c>
      <c r="B2079" s="34" t="n">
        <v>16.35</v>
      </c>
      <c r="C2079" s="34" t="n">
        <v>-66.67</v>
      </c>
      <c r="D2079" s="34" t="n">
        <v>61.06</v>
      </c>
      <c r="E2079" s="34" t="n">
        <v>30.93</v>
      </c>
      <c r="F2079" s="34" t="n">
        <v>-80.9</v>
      </c>
      <c r="G2079" s="34" t="n">
        <v>-55.65</v>
      </c>
      <c r="H2079" s="34" t="n">
        <v>-68.77</v>
      </c>
      <c r="I2079" s="34" t="n">
        <v>-62.55</v>
      </c>
      <c r="J2079" s="34" t="n">
        <v>-69.03</v>
      </c>
      <c r="K2079" s="34" t="n">
        <v>17.36</v>
      </c>
      <c r="L2079" s="34" t="n">
        <f aca="false">AVERAGE(C2079:E2079)</f>
        <v>8.44</v>
      </c>
      <c r="M2079" s="34" t="n">
        <f aca="false">AVERAGE(C2079:J2079)</f>
        <v>-38.9475</v>
      </c>
    </row>
    <row r="2080" customFormat="false" ht="15" hidden="false" customHeight="true" outlineLevel="0" collapsed="false">
      <c r="A2080" s="34" t="s">
        <v>2236</v>
      </c>
      <c r="B2080" s="34" t="n">
        <v>16.15</v>
      </c>
      <c r="C2080" s="34" t="n">
        <v>66.67</v>
      </c>
      <c r="D2080" s="34" t="n">
        <v>-59.3</v>
      </c>
      <c r="E2080" s="34" t="n">
        <v>-112.67</v>
      </c>
      <c r="F2080" s="34" t="n">
        <v>-130.11</v>
      </c>
      <c r="G2080" s="34" t="n">
        <v>30.79</v>
      </c>
      <c r="H2080" s="34" t="n">
        <v>60.14</v>
      </c>
      <c r="I2080" s="34" t="n">
        <v>73.29</v>
      </c>
      <c r="J2080" s="34" t="n">
        <v>88.09</v>
      </c>
      <c r="K2080" s="34" t="n">
        <v>17.49</v>
      </c>
      <c r="L2080" s="34" t="n">
        <f aca="false">AVERAGE(C2080:E2080)</f>
        <v>-35.1</v>
      </c>
      <c r="M2080" s="34" t="n">
        <f aca="false">AVERAGE(C2080:J2080)</f>
        <v>2.1125</v>
      </c>
    </row>
    <row r="2081" customFormat="false" ht="15" hidden="false" customHeight="true" outlineLevel="0" collapsed="false">
      <c r="A2081" s="34" t="s">
        <v>2237</v>
      </c>
      <c r="B2081" s="34" t="n">
        <v>16.14</v>
      </c>
      <c r="C2081" s="34" t="n">
        <v>-66.67</v>
      </c>
      <c r="D2081" s="34" t="n">
        <v>-15.6</v>
      </c>
      <c r="E2081" s="34" t="n">
        <v>71.92</v>
      </c>
      <c r="F2081" s="34" t="n">
        <v>-3.27</v>
      </c>
      <c r="G2081" s="34" t="n">
        <v>-14.55</v>
      </c>
      <c r="H2081" s="34" t="n">
        <v>39.9</v>
      </c>
      <c r="I2081" s="34" t="n">
        <v>58.21</v>
      </c>
      <c r="J2081" s="34" t="n">
        <v>72.09</v>
      </c>
      <c r="K2081" s="34" t="n">
        <v>16.31</v>
      </c>
      <c r="L2081" s="34" t="n">
        <f aca="false">AVERAGE(C2081:E2081)</f>
        <v>-3.45</v>
      </c>
      <c r="M2081" s="34" t="n">
        <f aca="false">AVERAGE(C2081:J2081)</f>
        <v>17.75375</v>
      </c>
    </row>
    <row r="2082" customFormat="false" ht="15" hidden="false" customHeight="true" outlineLevel="0" collapsed="false">
      <c r="A2082" s="34" t="s">
        <v>2238</v>
      </c>
      <c r="B2082" s="34" t="n">
        <v>16.05</v>
      </c>
      <c r="C2082" s="34" t="n">
        <v>-66.67</v>
      </c>
      <c r="D2082" s="34" t="n">
        <v>9.92</v>
      </c>
      <c r="E2082" s="34" t="n">
        <v>36.95</v>
      </c>
      <c r="F2082" s="34" t="n">
        <v>8.85</v>
      </c>
      <c r="G2082" s="34" t="n">
        <v>-51.24</v>
      </c>
      <c r="H2082" s="34" t="n">
        <v>-56.06</v>
      </c>
      <c r="I2082" s="34" t="n">
        <v>-37.11</v>
      </c>
      <c r="J2082" s="34" t="n">
        <v>-58.54</v>
      </c>
      <c r="K2082" s="34" t="n">
        <v>15.13</v>
      </c>
      <c r="L2082" s="34" t="n">
        <f aca="false">AVERAGE(C2082:E2082)</f>
        <v>-6.6</v>
      </c>
      <c r="M2082" s="34" t="n">
        <f aca="false">AVERAGE(C2082:J2082)</f>
        <v>-26.7375</v>
      </c>
    </row>
    <row r="2083" customFormat="false" ht="15" hidden="false" customHeight="true" outlineLevel="0" collapsed="false">
      <c r="A2083" s="34" t="s">
        <v>2239</v>
      </c>
      <c r="B2083" s="34" t="n">
        <v>15.97</v>
      </c>
      <c r="C2083" s="34" t="n">
        <v>66.67</v>
      </c>
      <c r="D2083" s="34" t="n">
        <v>112.3</v>
      </c>
      <c r="E2083" s="34" t="n">
        <v>221.78</v>
      </c>
      <c r="F2083" s="34" t="n">
        <v>26.91</v>
      </c>
      <c r="G2083" s="34" t="n">
        <v>-48.93</v>
      </c>
      <c r="H2083" s="34" t="n">
        <v>-20.95</v>
      </c>
      <c r="I2083" s="34" t="n">
        <v>9.17</v>
      </c>
      <c r="J2083" s="34" t="n">
        <v>18.25</v>
      </c>
      <c r="K2083" s="34" t="n">
        <v>14.1</v>
      </c>
      <c r="L2083" s="34" t="n">
        <f aca="false">AVERAGE(C2083:E2083)</f>
        <v>133.583333333333</v>
      </c>
      <c r="M2083" s="34" t="n">
        <f aca="false">AVERAGE(C2083:J2083)</f>
        <v>48.15</v>
      </c>
    </row>
    <row r="2084" customFormat="false" ht="15" hidden="false" customHeight="true" outlineLevel="0" collapsed="false">
      <c r="A2084" s="34" t="s">
        <v>2240</v>
      </c>
      <c r="B2084" s="34" t="n">
        <v>15.91</v>
      </c>
      <c r="C2084" s="34" t="n">
        <v>-66.67</v>
      </c>
      <c r="D2084" s="34" t="n">
        <v>-33.68</v>
      </c>
      <c r="E2084" s="34" t="n">
        <v>66.81</v>
      </c>
      <c r="F2084" s="34" t="n">
        <v>21.73</v>
      </c>
      <c r="G2084" s="34" t="n">
        <v>-49.15</v>
      </c>
      <c r="H2084" s="34" t="n">
        <v>-65.52</v>
      </c>
      <c r="I2084" s="34" t="n">
        <v>-75.57</v>
      </c>
      <c r="J2084" s="34" t="n">
        <v>-82.06</v>
      </c>
      <c r="K2084" s="34" t="n">
        <v>15.06</v>
      </c>
      <c r="L2084" s="34" t="n">
        <f aca="false">AVERAGE(C2084:E2084)</f>
        <v>-11.18</v>
      </c>
      <c r="M2084" s="34" t="n">
        <f aca="false">AVERAGE(C2084:J2084)</f>
        <v>-35.51375</v>
      </c>
    </row>
    <row r="2085" customFormat="false" ht="15" hidden="false" customHeight="true" outlineLevel="0" collapsed="false">
      <c r="A2085" s="34" t="s">
        <v>2241</v>
      </c>
      <c r="B2085" s="34" t="n">
        <v>15.88</v>
      </c>
      <c r="C2085" s="34" t="n">
        <v>66.67</v>
      </c>
      <c r="D2085" s="34" t="n">
        <v>99.92</v>
      </c>
      <c r="E2085" s="34" t="n">
        <v>59.57</v>
      </c>
      <c r="F2085" s="34" t="n">
        <v>18.36</v>
      </c>
      <c r="G2085" s="34" t="n">
        <v>-34.26</v>
      </c>
      <c r="H2085" s="34" t="n">
        <v>19.39</v>
      </c>
      <c r="I2085" s="34" t="n">
        <v>39.38</v>
      </c>
      <c r="J2085" s="34" t="n">
        <v>52.73</v>
      </c>
      <c r="K2085" s="34" t="n">
        <v>14.41</v>
      </c>
      <c r="L2085" s="34" t="n">
        <f aca="false">AVERAGE(C2085:E2085)</f>
        <v>75.3866666666667</v>
      </c>
      <c r="M2085" s="34" t="n">
        <f aca="false">AVERAGE(C2085:J2085)</f>
        <v>40.22</v>
      </c>
    </row>
    <row r="2086" customFormat="false" ht="15" hidden="false" customHeight="true" outlineLevel="0" collapsed="false">
      <c r="A2086" s="34" t="s">
        <v>2242</v>
      </c>
      <c r="B2086" s="34" t="n">
        <v>15.87</v>
      </c>
      <c r="C2086" s="34" t="n">
        <v>66.67</v>
      </c>
      <c r="D2086" s="34" t="n">
        <v>102.13</v>
      </c>
      <c r="E2086" s="34" t="n">
        <v>109.83</v>
      </c>
      <c r="F2086" s="34" t="n">
        <v>-33.12</v>
      </c>
      <c r="G2086" s="34" t="n">
        <v>-77.04</v>
      </c>
      <c r="H2086" s="34" t="n">
        <v>-108.57</v>
      </c>
      <c r="I2086" s="34" t="n">
        <v>-136.94</v>
      </c>
      <c r="J2086" s="34" t="n">
        <v>-124.41</v>
      </c>
      <c r="K2086" s="34" t="n">
        <v>13.78</v>
      </c>
      <c r="L2086" s="34" t="n">
        <f aca="false">AVERAGE(C2086:E2086)</f>
        <v>92.8766666666667</v>
      </c>
      <c r="M2086" s="34" t="n">
        <f aca="false">AVERAGE(C2086:J2086)</f>
        <v>-25.18125</v>
      </c>
    </row>
    <row r="2087" customFormat="false" ht="15" hidden="false" customHeight="true" outlineLevel="0" collapsed="false">
      <c r="A2087" s="34" t="s">
        <v>2243</v>
      </c>
      <c r="B2087" s="34" t="n">
        <v>15.85</v>
      </c>
      <c r="C2087" s="34" t="n">
        <v>-66.67</v>
      </c>
      <c r="D2087" s="34" t="n">
        <v>-74.25</v>
      </c>
      <c r="E2087" s="34" t="n">
        <v>-85.25</v>
      </c>
      <c r="F2087" s="34" t="n">
        <v>-95.22</v>
      </c>
      <c r="G2087" s="34" t="n">
        <v>-68.89</v>
      </c>
      <c r="H2087" s="34" t="n">
        <v>-12.86</v>
      </c>
      <c r="I2087" s="34" t="n">
        <v>4.62</v>
      </c>
      <c r="J2087" s="34" t="n">
        <v>-32.22</v>
      </c>
      <c r="K2087" s="34" t="n">
        <v>18.09</v>
      </c>
      <c r="L2087" s="34" t="n">
        <f aca="false">AVERAGE(C2087:E2087)</f>
        <v>-75.39</v>
      </c>
      <c r="M2087" s="34" t="n">
        <f aca="false">AVERAGE(C2087:J2087)</f>
        <v>-53.8425</v>
      </c>
    </row>
    <row r="2088" customFormat="false" ht="15" hidden="false" customHeight="true" outlineLevel="0" collapsed="false">
      <c r="A2088" s="34" t="s">
        <v>2244</v>
      </c>
      <c r="B2088" s="34" t="n">
        <v>15.84</v>
      </c>
      <c r="C2088" s="34" t="n">
        <v>-66.67</v>
      </c>
      <c r="D2088" s="34" t="n">
        <v>-133.33</v>
      </c>
      <c r="E2088" s="34" t="n">
        <v>-93.73</v>
      </c>
      <c r="F2088" s="34" t="n">
        <v>-89.62</v>
      </c>
      <c r="G2088" s="34" t="n">
        <v>-127.99</v>
      </c>
      <c r="H2088" s="34" t="n">
        <v>-141.03</v>
      </c>
      <c r="I2088" s="34" t="n">
        <v>-114.1</v>
      </c>
      <c r="J2088" s="34" t="n">
        <v>-105.8</v>
      </c>
      <c r="K2088" s="34" t="n">
        <v>17.16</v>
      </c>
      <c r="L2088" s="34" t="n">
        <f aca="false">AVERAGE(C2088:E2088)</f>
        <v>-97.91</v>
      </c>
      <c r="M2088" s="34" t="n">
        <f aca="false">AVERAGE(C2088:J2088)</f>
        <v>-109.03375</v>
      </c>
    </row>
    <row r="2089" customFormat="false" ht="15" hidden="false" customHeight="true" outlineLevel="0" collapsed="false">
      <c r="A2089" s="34" t="s">
        <v>2245</v>
      </c>
      <c r="B2089" s="34" t="n">
        <v>15.71</v>
      </c>
      <c r="C2089" s="34" t="n">
        <v>-66.67</v>
      </c>
      <c r="D2089" s="34" t="n">
        <v>-133.33</v>
      </c>
      <c r="E2089" s="34" t="n">
        <v>-188.68</v>
      </c>
      <c r="F2089" s="34" t="n">
        <v>37.63</v>
      </c>
      <c r="G2089" s="34" t="n">
        <v>94.82</v>
      </c>
      <c r="H2089" s="34" t="n">
        <v>92.49</v>
      </c>
      <c r="I2089" s="34" t="n">
        <v>76.84</v>
      </c>
      <c r="J2089" s="34" t="n">
        <v>2.78</v>
      </c>
      <c r="K2089" s="34" t="n">
        <v>15.17</v>
      </c>
      <c r="L2089" s="34" t="n">
        <f aca="false">AVERAGE(C2089:E2089)</f>
        <v>-129.56</v>
      </c>
      <c r="M2089" s="34" t="n">
        <f aca="false">AVERAGE(C2089:J2089)</f>
        <v>-10.515</v>
      </c>
    </row>
    <row r="2090" customFormat="false" ht="15" hidden="false" customHeight="true" outlineLevel="0" collapsed="false">
      <c r="A2090" s="34" t="s">
        <v>2246</v>
      </c>
      <c r="B2090" s="34" t="n">
        <v>15.7</v>
      </c>
      <c r="C2090" s="34" t="n">
        <v>66.67</v>
      </c>
      <c r="D2090" s="34" t="n">
        <v>49.31</v>
      </c>
      <c r="E2090" s="34" t="n">
        <v>-54.51</v>
      </c>
      <c r="F2090" s="34" t="n">
        <v>6.16</v>
      </c>
      <c r="G2090" s="34" t="n">
        <v>49.42</v>
      </c>
      <c r="H2090" s="34" t="n">
        <v>75.95</v>
      </c>
      <c r="I2090" s="34" t="n">
        <v>75.66</v>
      </c>
      <c r="J2090" s="34" t="n">
        <v>77.29</v>
      </c>
      <c r="K2090" s="34" t="n">
        <v>15.31</v>
      </c>
      <c r="L2090" s="34" t="n">
        <f aca="false">AVERAGE(C2090:E2090)</f>
        <v>20.49</v>
      </c>
      <c r="M2090" s="34" t="n">
        <f aca="false">AVERAGE(C2090:J2090)</f>
        <v>43.24375</v>
      </c>
    </row>
    <row r="2091" customFormat="false" ht="15" hidden="false" customHeight="true" outlineLevel="0" collapsed="false">
      <c r="A2091" s="34" t="s">
        <v>2247</v>
      </c>
      <c r="B2091" s="34" t="n">
        <v>15.4</v>
      </c>
      <c r="C2091" s="34" t="n">
        <v>-66.67</v>
      </c>
      <c r="D2091" s="34" t="n">
        <v>-44.26</v>
      </c>
      <c r="E2091" s="34" t="n">
        <v>-21.9</v>
      </c>
      <c r="F2091" s="34" t="n">
        <v>-73.87</v>
      </c>
      <c r="G2091" s="34" t="n">
        <v>-98.38</v>
      </c>
      <c r="H2091" s="34" t="n">
        <v>-38.78</v>
      </c>
      <c r="I2091" s="34" t="n">
        <v>-6.16</v>
      </c>
      <c r="J2091" s="34" t="n">
        <v>-23.62</v>
      </c>
      <c r="K2091" s="34" t="n">
        <v>16.62</v>
      </c>
      <c r="L2091" s="34" t="n">
        <f aca="false">AVERAGE(C2091:E2091)</f>
        <v>-44.2766666666667</v>
      </c>
      <c r="M2091" s="34" t="n">
        <f aca="false">AVERAGE(C2091:J2091)</f>
        <v>-46.705</v>
      </c>
    </row>
    <row r="2092" customFormat="false" ht="15" hidden="false" customHeight="true" outlineLevel="0" collapsed="false">
      <c r="A2092" s="34" t="s">
        <v>2248</v>
      </c>
      <c r="B2092" s="34" t="n">
        <v>15.35</v>
      </c>
      <c r="C2092" s="34" t="n">
        <v>-66.67</v>
      </c>
      <c r="D2092" s="34" t="n">
        <v>-28.37</v>
      </c>
      <c r="E2092" s="34" t="n">
        <v>44.44</v>
      </c>
      <c r="F2092" s="34" t="n">
        <v>-78.14</v>
      </c>
      <c r="G2092" s="34" t="n">
        <v>-63.58</v>
      </c>
      <c r="H2092" s="34" t="n">
        <v>-46.06</v>
      </c>
      <c r="I2092" s="34" t="n">
        <v>-12.31</v>
      </c>
      <c r="J2092" s="34" t="n">
        <v>-37.41</v>
      </c>
      <c r="K2092" s="34" t="n">
        <v>16.7</v>
      </c>
      <c r="L2092" s="34" t="n">
        <f aca="false">AVERAGE(C2092:E2092)</f>
        <v>-16.8666666666667</v>
      </c>
      <c r="M2092" s="34" t="n">
        <f aca="false">AVERAGE(C2092:J2092)</f>
        <v>-36.0125</v>
      </c>
    </row>
    <row r="2093" customFormat="false" ht="15" hidden="false" customHeight="true" outlineLevel="0" collapsed="false">
      <c r="A2093" s="34" t="s">
        <v>2249</v>
      </c>
      <c r="B2093" s="34" t="n">
        <v>15.3</v>
      </c>
      <c r="C2093" s="34" t="n">
        <v>-66.67</v>
      </c>
      <c r="D2093" s="34" t="n">
        <v>-110.84</v>
      </c>
      <c r="E2093" s="34" t="n">
        <v>-16.91</v>
      </c>
      <c r="F2093" s="34" t="n">
        <v>-65.82</v>
      </c>
      <c r="G2093" s="34" t="n">
        <v>-102.09</v>
      </c>
      <c r="H2093" s="34" t="n">
        <v>-123.59</v>
      </c>
      <c r="I2093" s="34" t="n">
        <v>-149.14</v>
      </c>
      <c r="J2093" s="34" t="n">
        <v>-170.21</v>
      </c>
      <c r="K2093" s="34" t="n">
        <v>17.11</v>
      </c>
      <c r="L2093" s="34" t="n">
        <f aca="false">AVERAGE(C2093:E2093)</f>
        <v>-64.8066666666667</v>
      </c>
      <c r="M2093" s="34" t="n">
        <f aca="false">AVERAGE(C2093:J2093)</f>
        <v>-100.65875</v>
      </c>
    </row>
    <row r="2094" customFormat="false" ht="15" hidden="false" customHeight="true" outlineLevel="0" collapsed="false">
      <c r="A2094" s="34" t="s">
        <v>2250</v>
      </c>
      <c r="B2094" s="34" t="n">
        <v>15.15</v>
      </c>
      <c r="C2094" s="34" t="n">
        <v>66.67</v>
      </c>
      <c r="D2094" s="34" t="n">
        <v>133.33</v>
      </c>
      <c r="E2094" s="34" t="n">
        <v>82.31</v>
      </c>
      <c r="F2094" s="34" t="n">
        <v>48.42</v>
      </c>
      <c r="G2094" s="34" t="n">
        <v>80.82</v>
      </c>
      <c r="H2094" s="34" t="n">
        <v>105.08</v>
      </c>
      <c r="I2094" s="34" t="n">
        <v>112.94</v>
      </c>
      <c r="J2094" s="34" t="n">
        <v>126.67</v>
      </c>
      <c r="K2094" s="34" t="n">
        <v>14.5</v>
      </c>
      <c r="L2094" s="34" t="n">
        <f aca="false">AVERAGE(C2094:E2094)</f>
        <v>94.1033333333333</v>
      </c>
      <c r="M2094" s="34" t="n">
        <f aca="false">AVERAGE(C2094:J2094)</f>
        <v>94.53</v>
      </c>
    </row>
    <row r="2095" customFormat="false" ht="15" hidden="false" customHeight="true" outlineLevel="0" collapsed="false">
      <c r="A2095" s="34" t="s">
        <v>2251</v>
      </c>
      <c r="B2095" s="34" t="n">
        <v>14.9</v>
      </c>
      <c r="C2095" s="34" t="n">
        <v>66.67</v>
      </c>
      <c r="D2095" s="34" t="n">
        <v>-53.87</v>
      </c>
      <c r="E2095" s="34" t="n">
        <v>-92.37</v>
      </c>
      <c r="F2095" s="34" t="n">
        <v>-161.53</v>
      </c>
      <c r="G2095" s="34" t="n">
        <v>-248.3</v>
      </c>
      <c r="H2095" s="34" t="n">
        <v>-301.76</v>
      </c>
      <c r="I2095" s="34" t="n">
        <v>-326.52</v>
      </c>
      <c r="J2095" s="34" t="n">
        <v>-189.58</v>
      </c>
      <c r="K2095" s="34" t="n">
        <v>16.62</v>
      </c>
      <c r="L2095" s="34" t="n">
        <f aca="false">AVERAGE(C2095:E2095)</f>
        <v>-26.5233333333333</v>
      </c>
      <c r="M2095" s="34" t="n">
        <f aca="false">AVERAGE(C2095:J2095)</f>
        <v>-163.4075</v>
      </c>
    </row>
    <row r="2096" customFormat="false" ht="15" hidden="false" customHeight="true" outlineLevel="0" collapsed="false">
      <c r="A2096" s="34" t="s">
        <v>2252</v>
      </c>
      <c r="B2096" s="34" t="n">
        <v>14.82</v>
      </c>
      <c r="C2096" s="34" t="n">
        <v>66.67</v>
      </c>
      <c r="D2096" s="34" t="n">
        <v>42.09</v>
      </c>
      <c r="E2096" s="34" t="n">
        <v>-64.32</v>
      </c>
      <c r="F2096" s="34" t="n">
        <v>-97.36</v>
      </c>
      <c r="G2096" s="34" t="n">
        <v>-148.79</v>
      </c>
      <c r="H2096" s="34" t="n">
        <v>-179.08</v>
      </c>
      <c r="I2096" s="34" t="n">
        <v>-190.68</v>
      </c>
      <c r="J2096" s="34" t="n">
        <v>-206.52</v>
      </c>
      <c r="K2096" s="34" t="n">
        <v>15.65</v>
      </c>
      <c r="L2096" s="34" t="n">
        <f aca="false">AVERAGE(C2096:E2096)</f>
        <v>14.8133333333333</v>
      </c>
      <c r="M2096" s="34" t="n">
        <f aca="false">AVERAGE(C2096:J2096)</f>
        <v>-97.24875</v>
      </c>
    </row>
    <row r="2097" customFormat="false" ht="15" hidden="false" customHeight="true" outlineLevel="0" collapsed="false">
      <c r="A2097" s="34" t="s">
        <v>2253</v>
      </c>
      <c r="B2097" s="34" t="n">
        <v>14.75</v>
      </c>
      <c r="C2097" s="34" t="n">
        <v>66.67</v>
      </c>
      <c r="D2097" s="34" t="n">
        <v>67.18</v>
      </c>
      <c r="E2097" s="34" t="n">
        <v>-1.96</v>
      </c>
      <c r="F2097" s="34" t="n">
        <v>60.77</v>
      </c>
      <c r="G2097" s="34" t="n">
        <v>-27.41</v>
      </c>
      <c r="H2097" s="34" t="n">
        <v>4.93</v>
      </c>
      <c r="I2097" s="34" t="n">
        <v>33.88</v>
      </c>
      <c r="J2097" s="34" t="n">
        <v>37.68</v>
      </c>
      <c r="K2097" s="34" t="n">
        <v>12.86</v>
      </c>
      <c r="L2097" s="34" t="n">
        <f aca="false">AVERAGE(C2097:E2097)</f>
        <v>43.9633333333333</v>
      </c>
      <c r="M2097" s="34" t="n">
        <f aca="false">AVERAGE(C2097:J2097)</f>
        <v>30.2175</v>
      </c>
    </row>
    <row r="2098" customFormat="false" ht="15" hidden="false" customHeight="true" outlineLevel="0" collapsed="false">
      <c r="A2098" s="34" t="s">
        <v>2254</v>
      </c>
      <c r="B2098" s="34" t="n">
        <v>14.75</v>
      </c>
      <c r="C2098" s="34" t="n">
        <v>-66.67</v>
      </c>
      <c r="D2098" s="34" t="n">
        <v>-23.31</v>
      </c>
      <c r="E2098" s="34" t="n">
        <v>72.52</v>
      </c>
      <c r="F2098" s="34" t="n">
        <v>-40.21</v>
      </c>
      <c r="G2098" s="34" t="n">
        <v>-73.24</v>
      </c>
      <c r="H2098" s="34" t="n">
        <v>-27.1</v>
      </c>
      <c r="I2098" s="34" t="n">
        <v>11.44</v>
      </c>
      <c r="J2098" s="34" t="n">
        <v>11.86</v>
      </c>
      <c r="K2098" s="34" t="n">
        <v>15.21</v>
      </c>
      <c r="L2098" s="34" t="n">
        <f aca="false">AVERAGE(C2098:E2098)</f>
        <v>-5.82</v>
      </c>
      <c r="M2098" s="34" t="n">
        <f aca="false">AVERAGE(C2098:J2098)</f>
        <v>-16.83875</v>
      </c>
    </row>
    <row r="2099" customFormat="false" ht="15" hidden="false" customHeight="true" outlineLevel="0" collapsed="false">
      <c r="A2099" s="34" t="s">
        <v>2255</v>
      </c>
      <c r="B2099" s="34" t="n">
        <v>14.59</v>
      </c>
      <c r="C2099" s="34" t="n">
        <v>-66.67</v>
      </c>
      <c r="D2099" s="34" t="n">
        <v>-22.65</v>
      </c>
      <c r="E2099" s="34" t="n">
        <v>71.59</v>
      </c>
      <c r="F2099" s="34" t="n">
        <v>150.8</v>
      </c>
      <c r="G2099" s="34"/>
      <c r="H2099" s="34"/>
      <c r="I2099" s="34"/>
      <c r="J2099" s="34"/>
      <c r="K2099" s="34" t="n">
        <v>14.09</v>
      </c>
    </row>
    <row r="2100" customFormat="false" ht="15" hidden="false" customHeight="true" outlineLevel="0" collapsed="false">
      <c r="A2100" s="34" t="s">
        <v>2256</v>
      </c>
      <c r="B2100" s="34" t="n">
        <v>14.58</v>
      </c>
      <c r="C2100" s="34" t="n">
        <v>-66.67</v>
      </c>
      <c r="D2100" s="34" t="n">
        <v>55.49</v>
      </c>
      <c r="E2100" s="34" t="n">
        <v>129.8</v>
      </c>
      <c r="F2100" s="34" t="n">
        <v>-24.43</v>
      </c>
      <c r="G2100" s="34" t="n">
        <v>-78.1</v>
      </c>
      <c r="H2100" s="34" t="n">
        <v>-40.77</v>
      </c>
      <c r="I2100" s="34" t="n">
        <v>-17.76</v>
      </c>
      <c r="J2100" s="34" t="n">
        <v>-34.59</v>
      </c>
      <c r="K2100" s="34" t="n">
        <v>14.94</v>
      </c>
    </row>
    <row r="2101" customFormat="false" ht="15" hidden="false" customHeight="true" outlineLevel="0" collapsed="false">
      <c r="A2101" s="34" t="s">
        <v>2257</v>
      </c>
      <c r="B2101" s="34" t="n">
        <v>14.45</v>
      </c>
      <c r="C2101" s="34" t="n">
        <v>66.67</v>
      </c>
      <c r="D2101" s="34" t="n">
        <v>61.96</v>
      </c>
      <c r="E2101" s="34" t="n">
        <v>62.37</v>
      </c>
      <c r="F2101" s="34" t="n">
        <v>-59.4</v>
      </c>
      <c r="G2101" s="34" t="n">
        <v>-46.54</v>
      </c>
      <c r="H2101" s="34" t="n">
        <v>-0.567</v>
      </c>
      <c r="I2101" s="34" t="n">
        <v>17.28</v>
      </c>
      <c r="J2101" s="34" t="n">
        <v>1.28</v>
      </c>
      <c r="K2101" s="34" t="n">
        <v>15.66</v>
      </c>
    </row>
    <row r="2102" customFormat="false" ht="15" hidden="false" customHeight="true" outlineLevel="0" collapsed="false">
      <c r="A2102" s="34" t="s">
        <v>2258</v>
      </c>
      <c r="B2102" s="34" t="n">
        <v>14.44</v>
      </c>
      <c r="C2102" s="34" t="n">
        <v>-66.67</v>
      </c>
      <c r="D2102" s="34" t="n">
        <v>54.73</v>
      </c>
      <c r="E2102" s="34" t="n">
        <v>96.45</v>
      </c>
      <c r="F2102" s="34" t="n">
        <v>50.8</v>
      </c>
      <c r="G2102" s="34" t="n">
        <v>-11.22</v>
      </c>
      <c r="H2102" s="34" t="n">
        <v>5.37</v>
      </c>
      <c r="I2102" s="34" t="n">
        <v>37.76</v>
      </c>
      <c r="J2102" s="34" t="n">
        <v>20.06</v>
      </c>
      <c r="K2102" s="34" t="n">
        <v>14.69</v>
      </c>
    </row>
    <row r="2103" customFormat="false" ht="15" hidden="false" customHeight="true" outlineLevel="0" collapsed="false">
      <c r="A2103" s="34" t="s">
        <v>2259</v>
      </c>
      <c r="B2103" s="34" t="n">
        <v>14.41</v>
      </c>
      <c r="C2103" s="34" t="n">
        <v>66.67</v>
      </c>
      <c r="D2103" s="34" t="n">
        <v>108.97</v>
      </c>
      <c r="E2103" s="34" t="n">
        <v>167.47</v>
      </c>
      <c r="F2103" s="34" t="n">
        <v>39.8</v>
      </c>
      <c r="G2103" s="34" t="n">
        <v>-39.51</v>
      </c>
      <c r="H2103" s="34" t="n">
        <v>-65.94</v>
      </c>
      <c r="I2103" s="34" t="n">
        <v>-88.54</v>
      </c>
      <c r="J2103" s="34" t="n">
        <v>-106.91</v>
      </c>
      <c r="K2103" s="34" t="n">
        <v>13.53</v>
      </c>
    </row>
    <row r="2104" customFormat="false" ht="15" hidden="false" customHeight="true" outlineLevel="0" collapsed="false">
      <c r="A2104" s="34" t="s">
        <v>2260</v>
      </c>
      <c r="B2104" s="34" t="n">
        <v>14.35</v>
      </c>
      <c r="C2104" s="34" t="n">
        <v>-66.67</v>
      </c>
      <c r="D2104" s="34" t="n">
        <v>-115.48</v>
      </c>
      <c r="E2104" s="34" t="n">
        <v>-37.97</v>
      </c>
      <c r="F2104" s="34" t="n">
        <v>-106.48</v>
      </c>
      <c r="G2104" s="34" t="n">
        <v>-88.74</v>
      </c>
      <c r="H2104" s="34" t="n">
        <v>-111.85</v>
      </c>
      <c r="I2104" s="34" t="n">
        <v>-37.85</v>
      </c>
      <c r="J2104" s="34" t="n">
        <v>-32.16</v>
      </c>
      <c r="K2104" s="34" t="n">
        <v>15.43</v>
      </c>
    </row>
    <row r="2105" customFormat="false" ht="15" hidden="false" customHeight="true" outlineLevel="0" collapsed="false">
      <c r="A2105" s="34" t="s">
        <v>2261</v>
      </c>
      <c r="B2105" s="34" t="n">
        <v>14.31</v>
      </c>
      <c r="C2105" s="34" t="n">
        <v>-66.67</v>
      </c>
      <c r="D2105" s="34" t="n">
        <v>-98.61</v>
      </c>
      <c r="E2105" s="34" t="n">
        <v>-129.67</v>
      </c>
      <c r="F2105" s="34" t="n">
        <v>-107.12</v>
      </c>
      <c r="G2105" s="34" t="n">
        <v>-90.71</v>
      </c>
      <c r="H2105" s="34" t="n">
        <v>-76.28</v>
      </c>
      <c r="I2105" s="34" t="n">
        <v>-80.22</v>
      </c>
      <c r="J2105" s="34" t="n">
        <v>-73.34</v>
      </c>
      <c r="K2105" s="34" t="n">
        <v>15.6</v>
      </c>
    </row>
    <row r="2106" customFormat="false" ht="15" hidden="false" customHeight="true" outlineLevel="0" collapsed="false">
      <c r="A2106" s="34" t="s">
        <v>2262</v>
      </c>
      <c r="B2106" s="34" t="n">
        <v>14.26</v>
      </c>
      <c r="C2106" s="34" t="n">
        <v>-66.67</v>
      </c>
      <c r="D2106" s="34" t="n">
        <v>-110.4</v>
      </c>
      <c r="E2106" s="34" t="n">
        <v>48.21</v>
      </c>
      <c r="F2106" s="34" t="n">
        <v>12.71</v>
      </c>
      <c r="G2106" s="34" t="n">
        <v>16.09</v>
      </c>
      <c r="H2106" s="34" t="n">
        <v>52.81</v>
      </c>
      <c r="I2106" s="34" t="n">
        <v>75.48</v>
      </c>
      <c r="J2106" s="34" t="n">
        <v>47.17</v>
      </c>
      <c r="K2106" s="34" t="n">
        <v>13.59</v>
      </c>
    </row>
    <row r="2107" customFormat="false" ht="15" hidden="false" customHeight="true" outlineLevel="0" collapsed="false">
      <c r="A2107" s="34" t="s">
        <v>2263</v>
      </c>
      <c r="B2107" s="34" t="n">
        <v>14.2</v>
      </c>
      <c r="C2107" s="34" t="n">
        <v>-66.67</v>
      </c>
      <c r="D2107" s="34" t="n">
        <v>-74.29</v>
      </c>
      <c r="E2107" s="34" t="n">
        <v>-66.88</v>
      </c>
      <c r="F2107" s="34" t="n">
        <v>-89.63</v>
      </c>
      <c r="G2107" s="34" t="n">
        <v>-97.53</v>
      </c>
      <c r="H2107" s="34" t="n">
        <v>-85.76</v>
      </c>
      <c r="I2107" s="34" t="n">
        <v>-37.31</v>
      </c>
      <c r="J2107" s="34" t="n">
        <v>-46.79</v>
      </c>
      <c r="K2107" s="34" t="n">
        <v>15.79</v>
      </c>
    </row>
    <row r="2108" customFormat="false" ht="15" hidden="false" customHeight="true" outlineLevel="0" collapsed="false">
      <c r="A2108" s="34" t="s">
        <v>2264</v>
      </c>
      <c r="B2108" s="34" t="n">
        <v>14.14</v>
      </c>
      <c r="C2108" s="34" t="n">
        <v>66.67</v>
      </c>
      <c r="D2108" s="34" t="n">
        <v>123</v>
      </c>
      <c r="E2108" s="34" t="n">
        <v>138.88</v>
      </c>
      <c r="F2108" s="34" t="n">
        <v>123.74</v>
      </c>
      <c r="G2108" s="34" t="n">
        <v>-23.49</v>
      </c>
      <c r="H2108" s="34" t="n">
        <v>-58.78</v>
      </c>
      <c r="I2108" s="34" t="n">
        <v>-76.88</v>
      </c>
      <c r="J2108" s="34" t="n">
        <v>-77.78</v>
      </c>
      <c r="K2108" s="34" t="n">
        <v>14.61</v>
      </c>
    </row>
    <row r="2109" customFormat="false" ht="15" hidden="false" customHeight="true" outlineLevel="0" collapsed="false">
      <c r="A2109" s="34" t="s">
        <v>2265</v>
      </c>
      <c r="B2109" s="34" t="n">
        <v>14.05</v>
      </c>
      <c r="C2109" s="34" t="n">
        <v>66.67</v>
      </c>
      <c r="D2109" s="34" t="n">
        <v>107.54</v>
      </c>
      <c r="E2109" s="34" t="n">
        <v>1.69</v>
      </c>
      <c r="F2109" s="34" t="n">
        <v>17.86</v>
      </c>
      <c r="G2109" s="34" t="n">
        <v>72.83</v>
      </c>
      <c r="H2109" s="34" t="n">
        <v>119.06</v>
      </c>
      <c r="I2109" s="34" t="n">
        <v>144.94</v>
      </c>
      <c r="J2109" s="34" t="n">
        <v>58.18</v>
      </c>
      <c r="K2109" s="34" t="n">
        <v>12.34</v>
      </c>
    </row>
    <row r="2110" customFormat="false" ht="15" hidden="false" customHeight="true" outlineLevel="0" collapsed="false">
      <c r="A2110" s="34" t="s">
        <v>2266</v>
      </c>
      <c r="B2110" s="34" t="n">
        <v>13.92</v>
      </c>
      <c r="C2110" s="34" t="n">
        <v>-66.67</v>
      </c>
      <c r="D2110" s="34" t="n">
        <v>-80</v>
      </c>
      <c r="E2110" s="34" t="n">
        <v>66.57</v>
      </c>
      <c r="F2110" s="34" t="n">
        <v>-10.69</v>
      </c>
      <c r="G2110" s="34" t="n">
        <v>59.78</v>
      </c>
      <c r="H2110" s="34" t="n">
        <v>89.88</v>
      </c>
      <c r="I2110" s="34" t="n">
        <v>115.6</v>
      </c>
      <c r="J2110" s="34" t="n">
        <v>79.89</v>
      </c>
      <c r="K2110" s="34" t="n">
        <v>14.65</v>
      </c>
    </row>
    <row r="2111" customFormat="false" ht="15" hidden="false" customHeight="true" outlineLevel="0" collapsed="false">
      <c r="A2111" s="34" t="s">
        <v>2267</v>
      </c>
      <c r="B2111" s="34" t="n">
        <v>13.81</v>
      </c>
      <c r="C2111" s="34" t="n">
        <v>-66.67</v>
      </c>
      <c r="D2111" s="34" t="n">
        <v>-77.07</v>
      </c>
      <c r="E2111" s="34" t="n">
        <v>3.36</v>
      </c>
      <c r="F2111" s="34" t="n">
        <v>-25.7</v>
      </c>
      <c r="G2111" s="34" t="n">
        <v>-40</v>
      </c>
      <c r="H2111" s="34" t="n">
        <v>8.68</v>
      </c>
      <c r="I2111" s="34" t="n">
        <v>40.79</v>
      </c>
      <c r="J2111" s="34" t="n">
        <v>1.33</v>
      </c>
      <c r="K2111" s="34" t="n">
        <v>14.44</v>
      </c>
    </row>
    <row r="2112" customFormat="false" ht="15" hidden="false" customHeight="true" outlineLevel="0" collapsed="false">
      <c r="A2112" s="34" t="s">
        <v>2268</v>
      </c>
      <c r="B2112" s="34" t="n">
        <v>13.8</v>
      </c>
      <c r="C2112" s="34" t="n">
        <v>66.67</v>
      </c>
      <c r="D2112" s="34" t="n">
        <v>94.25</v>
      </c>
      <c r="E2112" s="34" t="n">
        <v>44.13</v>
      </c>
      <c r="F2112" s="34" t="n">
        <v>-37.19</v>
      </c>
      <c r="G2112" s="34" t="n">
        <v>-81.12</v>
      </c>
      <c r="H2112" s="34" t="n">
        <v>-69.21</v>
      </c>
      <c r="I2112" s="34" t="n">
        <v>-34.29</v>
      </c>
      <c r="J2112" s="34" t="n">
        <v>-41.42</v>
      </c>
      <c r="K2112" s="34" t="n">
        <v>14.57</v>
      </c>
    </row>
    <row r="2113" customFormat="false" ht="15" hidden="false" customHeight="true" outlineLevel="0" collapsed="false">
      <c r="A2113" s="34" t="s">
        <v>2269</v>
      </c>
      <c r="B2113" s="34" t="n">
        <v>13.69</v>
      </c>
      <c r="C2113" s="34" t="n">
        <v>66.67</v>
      </c>
      <c r="D2113" s="34" t="n">
        <v>112.5</v>
      </c>
      <c r="E2113" s="34" t="n">
        <v>66.4</v>
      </c>
      <c r="F2113" s="34" t="n">
        <v>-57.68</v>
      </c>
      <c r="G2113" s="34" t="n">
        <v>-54.44</v>
      </c>
      <c r="H2113" s="34" t="n">
        <v>-8.86</v>
      </c>
      <c r="I2113" s="34" t="n">
        <v>5.24</v>
      </c>
      <c r="J2113" s="34" t="n">
        <v>-3.54</v>
      </c>
      <c r="K2113" s="34" t="n">
        <v>14.99</v>
      </c>
    </row>
    <row r="2114" customFormat="false" ht="15" hidden="false" customHeight="true" outlineLevel="0" collapsed="false">
      <c r="A2114" s="34" t="s">
        <v>2270</v>
      </c>
      <c r="B2114" s="34" t="n">
        <v>13.66</v>
      </c>
      <c r="C2114" s="34" t="n">
        <v>66.67</v>
      </c>
      <c r="D2114" s="34" t="n">
        <v>70.57</v>
      </c>
      <c r="E2114" s="34" t="n">
        <v>79.82</v>
      </c>
      <c r="F2114" s="34" t="n">
        <v>-65.27</v>
      </c>
      <c r="G2114" s="34" t="n">
        <v>-14.41</v>
      </c>
      <c r="H2114" s="34" t="n">
        <v>5.29</v>
      </c>
      <c r="I2114" s="34" t="n">
        <v>13.78</v>
      </c>
      <c r="J2114" s="34" t="n">
        <v>10.8</v>
      </c>
      <c r="K2114" s="34" t="n">
        <v>14.38</v>
      </c>
    </row>
    <row r="2115" customFormat="false" ht="15" hidden="false" customHeight="true" outlineLevel="0" collapsed="false">
      <c r="A2115" s="34" t="s">
        <v>2271</v>
      </c>
      <c r="B2115" s="34" t="n">
        <v>13.65</v>
      </c>
      <c r="C2115" s="34" t="n">
        <v>66.67</v>
      </c>
      <c r="D2115" s="34" t="n">
        <v>93.02</v>
      </c>
      <c r="E2115" s="34" t="n">
        <v>-12.63</v>
      </c>
      <c r="F2115" s="34" t="n">
        <v>-73.3</v>
      </c>
      <c r="G2115" s="34" t="n">
        <v>-115.2</v>
      </c>
      <c r="H2115" s="34" t="n">
        <v>-87.88</v>
      </c>
      <c r="I2115" s="34" t="n">
        <v>-29.77</v>
      </c>
      <c r="J2115" s="34" t="n">
        <v>-42.61</v>
      </c>
      <c r="K2115" s="34" t="n">
        <v>14.74</v>
      </c>
    </row>
    <row r="2116" customFormat="false" ht="15" hidden="false" customHeight="true" outlineLevel="0" collapsed="false">
      <c r="A2116" s="34" t="s">
        <v>2272</v>
      </c>
      <c r="B2116" s="34" t="n">
        <v>13.64</v>
      </c>
      <c r="C2116" s="34" t="n">
        <v>-66.67</v>
      </c>
      <c r="D2116" s="34" t="n">
        <v>-133.33</v>
      </c>
      <c r="E2116" s="34" t="n">
        <v>-116.67</v>
      </c>
      <c r="F2116" s="34" t="n">
        <v>-84.73</v>
      </c>
      <c r="G2116" s="34" t="n">
        <v>-86.98</v>
      </c>
      <c r="H2116" s="34" t="n">
        <v>-49.03</v>
      </c>
      <c r="I2116" s="34" t="n">
        <v>7.77</v>
      </c>
      <c r="J2116" s="34" t="n">
        <v>-0.265</v>
      </c>
      <c r="K2116" s="34" t="n">
        <v>14.7</v>
      </c>
    </row>
    <row r="2117" customFormat="false" ht="15" hidden="false" customHeight="true" outlineLevel="0" collapsed="false">
      <c r="A2117" s="34" t="s">
        <v>2273</v>
      </c>
      <c r="B2117" s="34" t="n">
        <v>13.6</v>
      </c>
      <c r="C2117" s="34" t="n">
        <v>-66.67</v>
      </c>
      <c r="D2117" s="34" t="n">
        <v>-53.59</v>
      </c>
      <c r="E2117" s="34" t="n">
        <v>64.8</v>
      </c>
      <c r="F2117" s="34" t="n">
        <v>-51.9</v>
      </c>
      <c r="G2117" s="34" t="n">
        <v>-102.89</v>
      </c>
      <c r="H2117" s="34" t="n">
        <v>-89.27</v>
      </c>
      <c r="I2117" s="34" t="n">
        <v>-26.78</v>
      </c>
      <c r="J2117" s="34" t="n">
        <v>-31.38</v>
      </c>
      <c r="K2117" s="34" t="n">
        <v>14.17</v>
      </c>
    </row>
    <row r="2118" customFormat="false" ht="15" hidden="false" customHeight="true" outlineLevel="0" collapsed="false">
      <c r="A2118" s="34" t="s">
        <v>2274</v>
      </c>
      <c r="B2118" s="34" t="n">
        <v>13.19</v>
      </c>
      <c r="C2118" s="34" t="n">
        <v>66.67</v>
      </c>
      <c r="D2118" s="34" t="n">
        <v>99.08</v>
      </c>
      <c r="E2118" s="34" t="n">
        <v>163.9</v>
      </c>
      <c r="F2118" s="34" t="n">
        <v>116.62</v>
      </c>
      <c r="G2118" s="34" t="n">
        <v>88.15</v>
      </c>
      <c r="H2118" s="34" t="n">
        <v>79.98</v>
      </c>
      <c r="I2118" s="34" t="n">
        <v>73.74</v>
      </c>
      <c r="J2118" s="34" t="n">
        <v>19.74</v>
      </c>
      <c r="K2118" s="34" t="n">
        <v>11.89</v>
      </c>
    </row>
    <row r="2119" customFormat="false" ht="15" hidden="false" customHeight="true" outlineLevel="0" collapsed="false">
      <c r="A2119" s="34" t="s">
        <v>2275</v>
      </c>
      <c r="B2119" s="34" t="n">
        <v>13.17</v>
      </c>
      <c r="C2119" s="34" t="n">
        <v>-66.67</v>
      </c>
      <c r="D2119" s="34" t="n">
        <v>-127.27</v>
      </c>
      <c r="E2119" s="34" t="n">
        <v>21.91</v>
      </c>
      <c r="F2119" s="34" t="n">
        <v>-23.81</v>
      </c>
      <c r="G2119" s="34" t="n">
        <v>-73.78</v>
      </c>
      <c r="H2119" s="34" t="n">
        <v>-32.76</v>
      </c>
      <c r="I2119" s="34" t="n">
        <v>-13.36</v>
      </c>
      <c r="J2119" s="34" t="n">
        <v>-44.85</v>
      </c>
      <c r="K2119" s="34" t="n">
        <v>12.37</v>
      </c>
    </row>
    <row r="2120" customFormat="false" ht="15" hidden="false" customHeight="true" outlineLevel="0" collapsed="false">
      <c r="A2120" s="34" t="s">
        <v>2276</v>
      </c>
      <c r="B2120" s="34" t="n">
        <v>13.15</v>
      </c>
      <c r="C2120" s="34" t="n">
        <v>66.67</v>
      </c>
      <c r="D2120" s="34" t="n">
        <v>94.44</v>
      </c>
      <c r="E2120" s="34" t="n">
        <v>-5.57</v>
      </c>
      <c r="F2120" s="34" t="n">
        <v>-65.59</v>
      </c>
      <c r="G2120" s="34" t="n">
        <v>-99.49</v>
      </c>
      <c r="H2120" s="34" t="n">
        <v>-124.4</v>
      </c>
      <c r="I2120" s="34" t="n">
        <v>-136.04</v>
      </c>
      <c r="J2120" s="34" t="n">
        <v>-117.75</v>
      </c>
      <c r="K2120" s="34" t="n">
        <v>14.36</v>
      </c>
    </row>
    <row r="2121" customFormat="false" ht="15" hidden="false" customHeight="true" outlineLevel="0" collapsed="false">
      <c r="A2121" s="34" t="s">
        <v>2277</v>
      </c>
      <c r="B2121" s="34" t="n">
        <v>13.08</v>
      </c>
      <c r="C2121" s="34" t="n">
        <v>66.67</v>
      </c>
      <c r="D2121" s="34" t="n">
        <v>128.85</v>
      </c>
      <c r="E2121" s="34" t="n">
        <v>228.73</v>
      </c>
      <c r="F2121" s="34" t="n">
        <v>-31.34</v>
      </c>
      <c r="G2121" s="34" t="n">
        <v>-37.33</v>
      </c>
      <c r="H2121" s="34" t="n">
        <v>5.67</v>
      </c>
      <c r="I2121" s="34" t="n">
        <v>38.11</v>
      </c>
      <c r="J2121" s="34" t="n">
        <v>21.97</v>
      </c>
      <c r="K2121" s="34" t="n">
        <v>13.53</v>
      </c>
    </row>
    <row r="2122" customFormat="false" ht="15" hidden="false" customHeight="true" outlineLevel="0" collapsed="false">
      <c r="A2122" s="34" t="s">
        <v>2278</v>
      </c>
      <c r="B2122" s="34" t="n">
        <v>12.94</v>
      </c>
      <c r="C2122" s="34" t="n">
        <v>-66.67</v>
      </c>
      <c r="D2122" s="34" t="n">
        <v>-133.33</v>
      </c>
      <c r="E2122" s="34" t="n">
        <v>-26.1</v>
      </c>
      <c r="F2122" s="34" t="n">
        <v>-51.13</v>
      </c>
      <c r="G2122" s="34" t="n">
        <v>-52.86</v>
      </c>
      <c r="H2122" s="34" t="n">
        <v>-8.69</v>
      </c>
      <c r="I2122" s="34" t="n">
        <v>35.01</v>
      </c>
      <c r="J2122" s="34" t="n">
        <v>50.6</v>
      </c>
      <c r="K2122" s="34" t="n">
        <v>13.16</v>
      </c>
    </row>
    <row r="2123" customFormat="false" ht="15" hidden="false" customHeight="true" outlineLevel="0" collapsed="false">
      <c r="A2123" s="34" t="s">
        <v>2279</v>
      </c>
      <c r="B2123" s="34" t="n">
        <v>12.93</v>
      </c>
      <c r="C2123" s="34" t="n">
        <v>-66.67</v>
      </c>
      <c r="D2123" s="34" t="n">
        <v>-133.33</v>
      </c>
      <c r="E2123" s="34" t="n">
        <v>66.33</v>
      </c>
      <c r="F2123" s="34" t="n">
        <v>5.4</v>
      </c>
      <c r="G2123" s="34" t="n">
        <v>-13.91</v>
      </c>
      <c r="H2123" s="34" t="n">
        <v>31.95</v>
      </c>
      <c r="I2123" s="34"/>
      <c r="J2123" s="34"/>
      <c r="K2123" s="34" t="n">
        <v>12.65</v>
      </c>
    </row>
    <row r="2124" customFormat="false" ht="15" hidden="false" customHeight="true" outlineLevel="0" collapsed="false">
      <c r="A2124" s="34" t="s">
        <v>2280</v>
      </c>
      <c r="B2124" s="34" t="n">
        <v>12.86</v>
      </c>
      <c r="C2124" s="34" t="n">
        <v>66.67</v>
      </c>
      <c r="D2124" s="34" t="n">
        <v>133.33</v>
      </c>
      <c r="E2124" s="34" t="n">
        <v>115.94</v>
      </c>
      <c r="F2124" s="34" t="n">
        <v>89.71</v>
      </c>
      <c r="G2124" s="34" t="n">
        <v>90.83</v>
      </c>
      <c r="H2124" s="34" t="n">
        <v>97.12</v>
      </c>
      <c r="I2124" s="34" t="n">
        <v>100.64</v>
      </c>
      <c r="J2124" s="34" t="n">
        <v>103.03</v>
      </c>
      <c r="K2124" s="34" t="n">
        <v>12.57</v>
      </c>
    </row>
    <row r="2125" customFormat="false" ht="15" hidden="false" customHeight="true" outlineLevel="0" collapsed="false">
      <c r="A2125" s="34" t="s">
        <v>2281</v>
      </c>
      <c r="B2125" s="34" t="n">
        <v>12.85</v>
      </c>
      <c r="C2125" s="34" t="n">
        <v>66.67</v>
      </c>
      <c r="D2125" s="34" t="n">
        <v>101.59</v>
      </c>
      <c r="E2125" s="34" t="n">
        <v>205.64</v>
      </c>
      <c r="F2125" s="34" t="n">
        <v>-38.72</v>
      </c>
      <c r="G2125" s="34" t="n">
        <v>-50.29</v>
      </c>
      <c r="H2125" s="34" t="n">
        <v>2.35</v>
      </c>
      <c r="I2125" s="34" t="n">
        <v>29.65</v>
      </c>
      <c r="J2125" s="34" t="n">
        <v>1.89</v>
      </c>
      <c r="K2125" s="34" t="n">
        <v>13.11</v>
      </c>
    </row>
    <row r="2126" customFormat="false" ht="15" hidden="false" customHeight="true" outlineLevel="0" collapsed="false">
      <c r="A2126" s="34" t="s">
        <v>2282</v>
      </c>
      <c r="B2126" s="34" t="n">
        <v>12.71</v>
      </c>
      <c r="C2126" s="34" t="n">
        <v>-66.67</v>
      </c>
      <c r="D2126" s="34" t="n">
        <v>-109.09</v>
      </c>
      <c r="E2126" s="34" t="n">
        <v>-31.21</v>
      </c>
      <c r="F2126" s="34" t="n">
        <v>-75.87</v>
      </c>
      <c r="G2126" s="34" t="n">
        <v>-123.89</v>
      </c>
      <c r="H2126" s="34" t="n">
        <v>-152.01</v>
      </c>
      <c r="I2126" s="34" t="n">
        <v>-125.79</v>
      </c>
      <c r="J2126" s="34" t="n">
        <v>-114.57</v>
      </c>
      <c r="K2126" s="34" t="n">
        <v>13.42</v>
      </c>
    </row>
    <row r="2127" customFormat="false" ht="15" hidden="false" customHeight="true" outlineLevel="0" collapsed="false">
      <c r="A2127" s="34" t="s">
        <v>2283</v>
      </c>
      <c r="B2127" s="34" t="n">
        <v>12.63</v>
      </c>
      <c r="C2127" s="34" t="n">
        <v>-66.67</v>
      </c>
      <c r="D2127" s="34" t="n">
        <v>-133.33</v>
      </c>
      <c r="E2127" s="34" t="n">
        <v>-46.96</v>
      </c>
      <c r="F2127" s="34" t="n">
        <v>-76.33</v>
      </c>
      <c r="G2127" s="34" t="n">
        <v>-98.94</v>
      </c>
      <c r="H2127" s="34" t="n">
        <v>-84.84</v>
      </c>
      <c r="I2127" s="34" t="n">
        <v>-87.16</v>
      </c>
      <c r="J2127" s="34" t="n">
        <v>-78</v>
      </c>
      <c r="K2127" s="34" t="n">
        <v>13.8</v>
      </c>
    </row>
    <row r="2128" customFormat="false" ht="15" hidden="false" customHeight="true" outlineLevel="0" collapsed="false">
      <c r="A2128" s="34" t="s">
        <v>2284</v>
      </c>
      <c r="B2128" s="34" t="n">
        <v>12.57</v>
      </c>
      <c r="C2128" s="34" t="n">
        <v>-66.67</v>
      </c>
      <c r="D2128" s="34" t="n">
        <v>-47.62</v>
      </c>
      <c r="E2128" s="34" t="n">
        <v>-56.58</v>
      </c>
      <c r="F2128" s="34" t="n">
        <v>-96.21</v>
      </c>
      <c r="G2128" s="34" t="n">
        <v>-133.49</v>
      </c>
      <c r="H2128" s="34" t="n">
        <v>-101.01</v>
      </c>
      <c r="I2128" s="34" t="n">
        <v>-119.84</v>
      </c>
      <c r="J2128" s="34" t="n">
        <v>-109.23</v>
      </c>
      <c r="K2128" s="34" t="n">
        <v>13.55</v>
      </c>
    </row>
    <row r="2129" customFormat="false" ht="15" hidden="false" customHeight="true" outlineLevel="0" collapsed="false">
      <c r="A2129" s="34" t="s">
        <v>2285</v>
      </c>
      <c r="B2129" s="34" t="n">
        <v>12.57</v>
      </c>
      <c r="C2129" s="34" t="n">
        <v>-66.67</v>
      </c>
      <c r="D2129" s="34" t="n">
        <v>-28.57</v>
      </c>
      <c r="E2129" s="34" t="n">
        <v>43.57</v>
      </c>
      <c r="F2129" s="34" t="n">
        <v>-37.52</v>
      </c>
      <c r="G2129" s="34" t="n">
        <v>-92.62</v>
      </c>
      <c r="H2129" s="34" t="n">
        <v>-80.28</v>
      </c>
      <c r="I2129" s="34" t="n">
        <v>-39.83</v>
      </c>
      <c r="J2129" s="34" t="n">
        <v>-56.46</v>
      </c>
      <c r="K2129" s="34" t="n">
        <v>11.05</v>
      </c>
    </row>
    <row r="2130" customFormat="false" ht="15" hidden="false" customHeight="true" outlineLevel="0" collapsed="false">
      <c r="A2130" s="34" t="s">
        <v>2286</v>
      </c>
      <c r="B2130" s="34" t="n">
        <v>12.44</v>
      </c>
      <c r="C2130" s="34" t="n">
        <v>-66.67</v>
      </c>
      <c r="D2130" s="34" t="n">
        <v>-62.37</v>
      </c>
      <c r="E2130" s="34" t="n">
        <v>53.21</v>
      </c>
      <c r="F2130" s="34" t="n">
        <v>-49.52</v>
      </c>
      <c r="G2130" s="34" t="n">
        <v>-93.66</v>
      </c>
      <c r="H2130" s="34" t="n">
        <v>-92.38</v>
      </c>
      <c r="I2130" s="34" t="n">
        <v>-48.56</v>
      </c>
      <c r="J2130" s="34" t="n">
        <v>-66.38</v>
      </c>
      <c r="K2130" s="34" t="n">
        <v>12.81</v>
      </c>
    </row>
    <row r="2131" customFormat="false" ht="15" hidden="false" customHeight="true" outlineLevel="0" collapsed="false">
      <c r="A2131" s="34" t="s">
        <v>2287</v>
      </c>
      <c r="B2131" s="34" t="n">
        <v>12.24</v>
      </c>
      <c r="C2131" s="34" t="n">
        <v>-66.67</v>
      </c>
      <c r="D2131" s="34" t="n">
        <v>-133.33</v>
      </c>
      <c r="E2131" s="34" t="n">
        <v>28.06</v>
      </c>
      <c r="F2131" s="34" t="n">
        <v>-62.46</v>
      </c>
      <c r="G2131" s="34" t="n">
        <v>-67.74</v>
      </c>
      <c r="H2131" s="34" t="n">
        <v>-13.48</v>
      </c>
      <c r="I2131" s="34" t="n">
        <v>14.97</v>
      </c>
      <c r="J2131" s="34" t="n">
        <v>23.71</v>
      </c>
      <c r="K2131" s="34" t="n">
        <v>13.07</v>
      </c>
    </row>
    <row r="2132" customFormat="false" ht="15" hidden="false" customHeight="true" outlineLevel="0" collapsed="false">
      <c r="A2132" s="34" t="s">
        <v>2288</v>
      </c>
      <c r="B2132" s="34" t="n">
        <v>12.23</v>
      </c>
      <c r="C2132" s="34" t="n">
        <v>-66.67</v>
      </c>
      <c r="D2132" s="34" t="n">
        <v>-123.57</v>
      </c>
      <c r="E2132" s="34" t="n">
        <v>-44.86</v>
      </c>
      <c r="F2132" s="34" t="n">
        <v>-94.78</v>
      </c>
      <c r="G2132" s="34" t="n">
        <v>-42.55</v>
      </c>
      <c r="H2132" s="34" t="n">
        <v>-55.02</v>
      </c>
      <c r="I2132" s="34" t="n">
        <v>-46.6</v>
      </c>
      <c r="J2132" s="34" t="n">
        <v>-56.4</v>
      </c>
      <c r="K2132" s="34" t="n">
        <v>11.93</v>
      </c>
    </row>
    <row r="2133" customFormat="false" ht="15" hidden="false" customHeight="true" outlineLevel="0" collapsed="false">
      <c r="A2133" s="34" t="s">
        <v>2289</v>
      </c>
      <c r="B2133" s="34" t="n">
        <v>12.22</v>
      </c>
      <c r="C2133" s="34" t="n">
        <v>-66.67</v>
      </c>
      <c r="D2133" s="34" t="n">
        <v>62.41</v>
      </c>
      <c r="E2133" s="34" t="n">
        <v>57.68</v>
      </c>
      <c r="F2133" s="34" t="n">
        <v>-61.86</v>
      </c>
      <c r="G2133" s="34" t="n">
        <v>-121.77</v>
      </c>
      <c r="H2133" s="34" t="n">
        <v>-111.83</v>
      </c>
      <c r="I2133" s="34" t="n">
        <v>-104.56</v>
      </c>
      <c r="J2133" s="34" t="n">
        <v>-93.24</v>
      </c>
      <c r="K2133" s="34" t="n">
        <v>12.46</v>
      </c>
    </row>
    <row r="2134" customFormat="false" ht="15" hidden="false" customHeight="true" outlineLevel="0" collapsed="false">
      <c r="A2134" s="34" t="s">
        <v>2290</v>
      </c>
      <c r="B2134" s="34" t="n">
        <v>12.15</v>
      </c>
      <c r="C2134" s="34" t="n">
        <v>-66.67</v>
      </c>
      <c r="D2134" s="34" t="n">
        <v>-2.47</v>
      </c>
      <c r="E2134" s="34" t="n">
        <v>77.75</v>
      </c>
      <c r="F2134" s="34" t="n">
        <v>166.56</v>
      </c>
      <c r="G2134" s="34" t="n">
        <v>195.48</v>
      </c>
      <c r="H2134" s="34" t="n">
        <v>158.11</v>
      </c>
      <c r="I2134" s="34" t="n">
        <v>122.85</v>
      </c>
      <c r="J2134" s="34" t="n">
        <v>135.26</v>
      </c>
      <c r="K2134" s="34" t="n">
        <v>11.77</v>
      </c>
    </row>
    <row r="2135" customFormat="false" ht="15" hidden="false" customHeight="true" outlineLevel="0" collapsed="false">
      <c r="A2135" s="34" t="s">
        <v>2291</v>
      </c>
      <c r="B2135" s="34" t="n">
        <v>12.06</v>
      </c>
      <c r="C2135" s="34" t="n">
        <v>-66.67</v>
      </c>
      <c r="D2135" s="34" t="n">
        <v>-94.64</v>
      </c>
      <c r="E2135" s="34" t="n">
        <v>-180</v>
      </c>
      <c r="F2135" s="34" t="n">
        <v>-155.91</v>
      </c>
      <c r="G2135" s="34" t="n">
        <v>-225.49</v>
      </c>
      <c r="H2135" s="34" t="n">
        <v>-167.73</v>
      </c>
      <c r="I2135" s="34" t="n">
        <v>-149.3</v>
      </c>
      <c r="J2135" s="34" t="n">
        <v>-153.86</v>
      </c>
      <c r="K2135" s="34" t="n">
        <v>14</v>
      </c>
    </row>
    <row r="2136" customFormat="false" ht="15" hidden="false" customHeight="true" outlineLevel="0" collapsed="false">
      <c r="A2136" s="34" t="s">
        <v>2292</v>
      </c>
      <c r="B2136" s="34" t="n">
        <v>11.87</v>
      </c>
      <c r="C2136" s="34" t="n">
        <v>-66.67</v>
      </c>
      <c r="D2136" s="34" t="n">
        <v>-86.27</v>
      </c>
      <c r="E2136" s="34" t="n">
        <v>55.95</v>
      </c>
      <c r="F2136" s="34" t="n">
        <v>-29.04</v>
      </c>
      <c r="G2136" s="34" t="n">
        <v>-79.68</v>
      </c>
      <c r="H2136" s="34" t="n">
        <v>-110.26</v>
      </c>
      <c r="I2136" s="34" t="n">
        <v>-125.06</v>
      </c>
      <c r="J2136" s="34" t="n">
        <v>-122.63</v>
      </c>
      <c r="K2136" s="34" t="n">
        <v>11.28</v>
      </c>
    </row>
    <row r="2137" customFormat="false" ht="15" hidden="false" customHeight="true" outlineLevel="0" collapsed="false">
      <c r="A2137" s="34" t="s">
        <v>2293</v>
      </c>
      <c r="B2137" s="34" t="n">
        <v>11.66</v>
      </c>
      <c r="C2137" s="34" t="n">
        <v>66.67</v>
      </c>
      <c r="D2137" s="34" t="n">
        <v>113.98</v>
      </c>
      <c r="E2137" s="34" t="n">
        <v>19.79</v>
      </c>
      <c r="F2137" s="34" t="n">
        <v>56.74</v>
      </c>
      <c r="G2137" s="34" t="n">
        <v>85.98</v>
      </c>
      <c r="H2137" s="34" t="n">
        <v>95.84</v>
      </c>
      <c r="I2137" s="34"/>
      <c r="J2137" s="34"/>
      <c r="K2137" s="34" t="n">
        <v>11.09</v>
      </c>
    </row>
    <row r="2138" customFormat="false" ht="15" hidden="false" customHeight="true" outlineLevel="0" collapsed="false">
      <c r="A2138" s="34" t="s">
        <v>2294</v>
      </c>
      <c r="B2138" s="34" t="n">
        <v>11.62</v>
      </c>
      <c r="C2138" s="34" t="n">
        <v>-66.67</v>
      </c>
      <c r="D2138" s="34" t="n">
        <v>-53.33</v>
      </c>
      <c r="E2138" s="34" t="n">
        <v>64.2</v>
      </c>
      <c r="F2138" s="34" t="n">
        <v>-8.57</v>
      </c>
      <c r="G2138" s="34" t="n">
        <v>-21.22</v>
      </c>
      <c r="H2138" s="34" t="n">
        <v>33.37</v>
      </c>
      <c r="I2138" s="34"/>
      <c r="J2138" s="34"/>
      <c r="K2138" s="34" t="n">
        <v>11.28</v>
      </c>
    </row>
    <row r="2139" customFormat="false" ht="15" hidden="false" customHeight="true" outlineLevel="0" collapsed="false">
      <c r="A2139" s="34" t="s">
        <v>2295</v>
      </c>
      <c r="B2139" s="34" t="n">
        <v>11.6</v>
      </c>
      <c r="C2139" s="34" t="n">
        <v>-66.67</v>
      </c>
      <c r="D2139" s="34" t="n">
        <v>-83.78</v>
      </c>
      <c r="E2139" s="34" t="n">
        <v>-136.99</v>
      </c>
      <c r="F2139" s="34" t="n">
        <v>-103.85</v>
      </c>
      <c r="G2139" s="34" t="n">
        <v>-97.05</v>
      </c>
      <c r="H2139" s="34" t="n">
        <v>-4.56</v>
      </c>
      <c r="I2139" s="34" t="n">
        <v>11.88</v>
      </c>
      <c r="J2139" s="34" t="n">
        <v>-15.89</v>
      </c>
      <c r="K2139" s="34" t="n">
        <v>12.6</v>
      </c>
    </row>
    <row r="2140" customFormat="false" ht="15" hidden="false" customHeight="true" outlineLevel="0" collapsed="false">
      <c r="A2140" s="34" t="s">
        <v>2296</v>
      </c>
      <c r="B2140" s="34" t="n">
        <v>11.58</v>
      </c>
      <c r="C2140" s="34" t="n">
        <v>-66.67</v>
      </c>
      <c r="D2140" s="34" t="n">
        <v>-86.5</v>
      </c>
      <c r="E2140" s="34" t="n">
        <v>4.72</v>
      </c>
      <c r="F2140" s="34" t="n">
        <v>-49.15</v>
      </c>
      <c r="G2140" s="34" t="n">
        <v>-19.13</v>
      </c>
      <c r="H2140" s="34" t="n">
        <v>29.2</v>
      </c>
      <c r="I2140" s="34" t="n">
        <v>53.74</v>
      </c>
      <c r="J2140" s="34" t="n">
        <v>32.44</v>
      </c>
      <c r="K2140" s="34" t="n">
        <v>12.14</v>
      </c>
    </row>
    <row r="2141" customFormat="false" ht="15" hidden="false" customHeight="true" outlineLevel="0" collapsed="false">
      <c r="A2141" s="34" t="s">
        <v>2297</v>
      </c>
      <c r="B2141" s="34" t="n">
        <v>11.4</v>
      </c>
      <c r="C2141" s="34" t="n">
        <v>66.67</v>
      </c>
      <c r="D2141" s="34" t="n">
        <v>70.32</v>
      </c>
      <c r="E2141" s="34" t="n">
        <v>-2.29</v>
      </c>
      <c r="F2141" s="34" t="n">
        <v>-97.18</v>
      </c>
      <c r="G2141" s="34" t="n">
        <v>-129.48</v>
      </c>
      <c r="H2141" s="34" t="n">
        <v>-170.81</v>
      </c>
      <c r="I2141" s="34" t="n">
        <v>-139.51</v>
      </c>
      <c r="J2141" s="34" t="n">
        <v>-152.2</v>
      </c>
      <c r="K2141" s="34" t="n">
        <v>12.03</v>
      </c>
    </row>
    <row r="2142" customFormat="false" ht="15" hidden="false" customHeight="true" outlineLevel="0" collapsed="false">
      <c r="A2142" s="34" t="s">
        <v>2298</v>
      </c>
      <c r="B2142" s="34" t="n">
        <v>11.3</v>
      </c>
      <c r="C2142" s="34" t="n">
        <v>-66.67</v>
      </c>
      <c r="D2142" s="34" t="n">
        <v>-35.56</v>
      </c>
      <c r="E2142" s="34" t="n">
        <v>71.72</v>
      </c>
      <c r="F2142" s="34" t="n">
        <v>-41.74</v>
      </c>
      <c r="G2142" s="34" t="n">
        <v>-77.51</v>
      </c>
      <c r="H2142" s="34" t="n">
        <v>-48</v>
      </c>
      <c r="I2142" s="34" t="n">
        <v>17.15</v>
      </c>
      <c r="J2142" s="34" t="n">
        <v>33.21</v>
      </c>
      <c r="K2142" s="34" t="n">
        <v>11.58</v>
      </c>
    </row>
    <row r="2143" customFormat="false" ht="15" hidden="false" customHeight="true" outlineLevel="0" collapsed="false">
      <c r="A2143" s="34" t="s">
        <v>2299</v>
      </c>
      <c r="B2143" s="34" t="n">
        <v>11.29</v>
      </c>
      <c r="C2143" s="34" t="n">
        <v>-66.67</v>
      </c>
      <c r="D2143" s="34" t="n">
        <v>53.06</v>
      </c>
      <c r="E2143" s="34" t="n">
        <v>105.66</v>
      </c>
      <c r="F2143" s="34" t="n">
        <v>171.22</v>
      </c>
      <c r="G2143" s="34" t="n">
        <v>159.67</v>
      </c>
      <c r="H2143" s="34" t="n">
        <v>179.53</v>
      </c>
      <c r="I2143" s="34" t="n">
        <v>190.71</v>
      </c>
      <c r="J2143" s="34" t="n">
        <v>88.65</v>
      </c>
      <c r="K2143" s="34" t="n">
        <v>10.96</v>
      </c>
    </row>
    <row r="2144" customFormat="false" ht="15" hidden="false" customHeight="true" outlineLevel="0" collapsed="false">
      <c r="A2144" s="34" t="s">
        <v>2300</v>
      </c>
      <c r="B2144" s="34" t="n">
        <v>11.2</v>
      </c>
      <c r="C2144" s="34" t="n">
        <v>-66.67</v>
      </c>
      <c r="D2144" s="34" t="n">
        <v>5.8</v>
      </c>
      <c r="E2144" s="34" t="n">
        <v>75.5</v>
      </c>
      <c r="F2144" s="34" t="n">
        <v>34.46</v>
      </c>
      <c r="G2144" s="34" t="n">
        <v>12.25</v>
      </c>
      <c r="H2144" s="34" t="n">
        <v>50.6</v>
      </c>
      <c r="I2144" s="34"/>
      <c r="J2144" s="34"/>
      <c r="K2144" s="34" t="n">
        <v>10.8</v>
      </c>
    </row>
    <row r="2145" customFormat="false" ht="15" hidden="false" customHeight="true" outlineLevel="0" collapsed="false">
      <c r="A2145" s="34" t="s">
        <v>2301</v>
      </c>
      <c r="B2145" s="34" t="n">
        <v>11.16</v>
      </c>
      <c r="C2145" s="34" t="n">
        <v>66.67</v>
      </c>
      <c r="D2145" s="34" t="n">
        <v>53.33</v>
      </c>
      <c r="E2145" s="34" t="n">
        <v>-36.86</v>
      </c>
      <c r="F2145" s="34" t="n">
        <v>-20.18</v>
      </c>
      <c r="G2145" s="34" t="n">
        <v>58.89</v>
      </c>
      <c r="H2145" s="34" t="n">
        <v>78.06</v>
      </c>
      <c r="I2145" s="34" t="n">
        <v>94.98</v>
      </c>
      <c r="J2145" s="34" t="n">
        <v>112.97</v>
      </c>
      <c r="K2145" s="34" t="n">
        <v>10.61</v>
      </c>
    </row>
    <row r="2146" customFormat="false" ht="15" hidden="false" customHeight="true" outlineLevel="0" collapsed="false">
      <c r="A2146" s="34" t="s">
        <v>2302</v>
      </c>
      <c r="B2146" s="34" t="n">
        <v>11.1</v>
      </c>
      <c r="C2146" s="34" t="n">
        <v>-66.67</v>
      </c>
      <c r="D2146" s="34" t="n">
        <v>-90.2</v>
      </c>
      <c r="E2146" s="34" t="n">
        <v>-47.27</v>
      </c>
      <c r="F2146" s="34" t="n">
        <v>-72.17</v>
      </c>
      <c r="G2146" s="34" t="n">
        <v>-95.61</v>
      </c>
      <c r="H2146" s="34" t="n">
        <v>-24.22</v>
      </c>
      <c r="I2146" s="34" t="n">
        <v>14.73</v>
      </c>
      <c r="J2146" s="34" t="n">
        <v>9.21</v>
      </c>
      <c r="K2146" s="34" t="n">
        <v>11.91</v>
      </c>
    </row>
    <row r="2147" customFormat="false" ht="15" hidden="false" customHeight="true" outlineLevel="0" collapsed="false">
      <c r="A2147" s="34" t="s">
        <v>2303</v>
      </c>
      <c r="B2147" s="34" t="n">
        <v>11.1</v>
      </c>
      <c r="C2147" s="34" t="n">
        <v>-66.67</v>
      </c>
      <c r="D2147" s="34" t="n">
        <v>-78.18</v>
      </c>
      <c r="E2147" s="34" t="n">
        <v>-100.58</v>
      </c>
      <c r="F2147" s="34" t="n">
        <v>-133.34</v>
      </c>
      <c r="G2147" s="34" t="n">
        <v>-203.2</v>
      </c>
      <c r="H2147" s="34" t="n">
        <v>-208.46</v>
      </c>
      <c r="I2147" s="34" t="n">
        <v>-199.74</v>
      </c>
      <c r="J2147" s="34" t="n">
        <v>-124.8</v>
      </c>
      <c r="K2147" s="34" t="n">
        <v>12.29</v>
      </c>
    </row>
    <row r="2148" customFormat="false" ht="15" hidden="false" customHeight="true" outlineLevel="0" collapsed="false">
      <c r="A2148" s="34" t="s">
        <v>2304</v>
      </c>
      <c r="B2148" s="34" t="n">
        <v>11</v>
      </c>
      <c r="C2148" s="34" t="n">
        <v>-66.67</v>
      </c>
      <c r="D2148" s="34" t="n">
        <v>-118.52</v>
      </c>
      <c r="E2148" s="34" t="n">
        <v>-44.01</v>
      </c>
      <c r="F2148" s="34" t="n">
        <v>29.63</v>
      </c>
      <c r="G2148" s="34" t="n">
        <v>-13.56</v>
      </c>
      <c r="H2148" s="34" t="n">
        <v>-44.8</v>
      </c>
      <c r="I2148" s="34" t="n">
        <v>-53.66</v>
      </c>
      <c r="J2148" s="34" t="n">
        <v>-58.3</v>
      </c>
      <c r="K2148" s="34" t="n">
        <v>11.35</v>
      </c>
    </row>
    <row r="2149" customFormat="false" ht="15" hidden="false" customHeight="true" outlineLevel="0" collapsed="false">
      <c r="A2149" s="34" t="s">
        <v>2305</v>
      </c>
      <c r="B2149" s="34" t="n">
        <v>10.86</v>
      </c>
      <c r="C2149" s="34" t="n">
        <v>-66.67</v>
      </c>
      <c r="D2149" s="34" t="n">
        <v>25.97</v>
      </c>
      <c r="E2149" s="34" t="n">
        <v>89.19</v>
      </c>
      <c r="F2149" s="34" t="n">
        <v>150.48</v>
      </c>
      <c r="G2149" s="34"/>
      <c r="H2149" s="34"/>
      <c r="I2149" s="34"/>
      <c r="J2149" s="34"/>
      <c r="K2149" s="34" t="n">
        <v>10.36</v>
      </c>
    </row>
    <row r="2150" customFormat="false" ht="15" hidden="false" customHeight="true" outlineLevel="0" collapsed="false">
      <c r="A2150" s="34" t="s">
        <v>2306</v>
      </c>
      <c r="B2150" s="34" t="n">
        <v>10.8</v>
      </c>
      <c r="C2150" s="34" t="n">
        <v>-66.67</v>
      </c>
      <c r="D2150" s="34" t="n">
        <v>-85.79</v>
      </c>
      <c r="E2150" s="34" t="n">
        <v>12.93</v>
      </c>
      <c r="F2150" s="34" t="n">
        <v>107.78</v>
      </c>
      <c r="G2150" s="34" t="n">
        <v>45.8</v>
      </c>
      <c r="H2150" s="34" t="n">
        <v>70.07</v>
      </c>
      <c r="I2150" s="34" t="n">
        <v>91.4</v>
      </c>
      <c r="J2150" s="34" t="n">
        <v>89.17</v>
      </c>
      <c r="K2150" s="34" t="n">
        <v>10.25</v>
      </c>
    </row>
    <row r="2151" customFormat="false" ht="15" hidden="false" customHeight="true" outlineLevel="0" collapsed="false">
      <c r="A2151" s="34" t="s">
        <v>2307</v>
      </c>
      <c r="B2151" s="34" t="n">
        <v>10.69</v>
      </c>
      <c r="C2151" s="34" t="n">
        <v>-66.67</v>
      </c>
      <c r="D2151" s="34" t="n">
        <v>-91.5</v>
      </c>
      <c r="E2151" s="34" t="n">
        <v>30.39</v>
      </c>
      <c r="F2151" s="34" t="n">
        <v>-38.94</v>
      </c>
      <c r="G2151" s="34" t="n">
        <v>-64.27</v>
      </c>
      <c r="H2151" s="34" t="n">
        <v>19.77</v>
      </c>
      <c r="I2151" s="34" t="n">
        <v>47.18</v>
      </c>
      <c r="J2151" s="34" t="n">
        <v>60.16</v>
      </c>
      <c r="K2151" s="34" t="n">
        <v>10.39</v>
      </c>
    </row>
    <row r="2152" customFormat="false" ht="15" hidden="false" customHeight="true" outlineLevel="0" collapsed="false">
      <c r="A2152" s="34" t="s">
        <v>2308</v>
      </c>
      <c r="B2152" s="34" t="n">
        <v>10.65</v>
      </c>
      <c r="C2152" s="34" t="n">
        <v>66.67</v>
      </c>
      <c r="D2152" s="34" t="n">
        <v>133.33</v>
      </c>
      <c r="E2152" s="34" t="n">
        <v>176.38</v>
      </c>
      <c r="F2152" s="34" t="n">
        <v>-53.41</v>
      </c>
      <c r="G2152" s="34" t="n">
        <v>-106.54</v>
      </c>
      <c r="H2152" s="34" t="n">
        <v>-74.79</v>
      </c>
      <c r="I2152" s="34" t="n">
        <v>-78</v>
      </c>
      <c r="J2152" s="34" t="n">
        <v>-80.82</v>
      </c>
      <c r="K2152" s="34" t="n">
        <v>11.71</v>
      </c>
    </row>
    <row r="2153" customFormat="false" ht="15" hidden="false" customHeight="true" outlineLevel="0" collapsed="false">
      <c r="A2153" s="34" t="s">
        <v>2309</v>
      </c>
      <c r="B2153" s="34" t="n">
        <v>10.61</v>
      </c>
      <c r="C2153" s="34" t="n">
        <v>66.67</v>
      </c>
      <c r="D2153" s="34" t="n">
        <v>38.76</v>
      </c>
      <c r="E2153" s="34" t="n">
        <v>92.22</v>
      </c>
      <c r="F2153" s="34" t="n">
        <v>57.16</v>
      </c>
      <c r="G2153" s="34" t="n">
        <v>24.12</v>
      </c>
      <c r="H2153" s="34" t="n">
        <v>60.09</v>
      </c>
      <c r="I2153" s="34" t="n">
        <v>66.45</v>
      </c>
      <c r="J2153" s="34" t="n">
        <v>77.86</v>
      </c>
      <c r="K2153" s="34" t="n">
        <v>10.19</v>
      </c>
    </row>
    <row r="2154" customFormat="false" ht="15" hidden="false" customHeight="true" outlineLevel="0" collapsed="false">
      <c r="A2154" s="34" t="s">
        <v>2310</v>
      </c>
      <c r="B2154" s="34" t="n">
        <v>10.6</v>
      </c>
      <c r="C2154" s="34" t="n">
        <v>-66.67</v>
      </c>
      <c r="D2154" s="34" t="n">
        <v>58.48</v>
      </c>
      <c r="E2154" s="34" t="n">
        <v>-44.64</v>
      </c>
      <c r="F2154" s="34" t="n">
        <v>-106.3</v>
      </c>
      <c r="G2154" s="34" t="n">
        <v>-125.54</v>
      </c>
      <c r="H2154" s="34" t="n">
        <v>-42.45</v>
      </c>
      <c r="I2154" s="34" t="n">
        <v>-25.6</v>
      </c>
      <c r="J2154" s="34" t="n">
        <v>-32.13</v>
      </c>
      <c r="K2154" s="34" t="n">
        <v>11.19</v>
      </c>
    </row>
    <row r="2155" customFormat="false" ht="15" hidden="false" customHeight="true" outlineLevel="0" collapsed="false">
      <c r="A2155" s="34" t="s">
        <v>2311</v>
      </c>
      <c r="B2155" s="34" t="n">
        <v>10.49</v>
      </c>
      <c r="C2155" s="34" t="n">
        <v>66.67</v>
      </c>
      <c r="D2155" s="34" t="n">
        <v>61.73</v>
      </c>
      <c r="E2155" s="34" t="n">
        <v>82.14</v>
      </c>
      <c r="F2155" s="34" t="n">
        <v>-11.95</v>
      </c>
      <c r="G2155" s="34" t="n">
        <v>-64.69</v>
      </c>
      <c r="H2155" s="34"/>
      <c r="I2155" s="34"/>
      <c r="J2155" s="34"/>
      <c r="K2155" s="34" t="n">
        <v>10.76</v>
      </c>
    </row>
    <row r="2156" customFormat="false" ht="15" hidden="false" customHeight="true" outlineLevel="0" collapsed="false">
      <c r="A2156" s="34" t="s">
        <v>2312</v>
      </c>
      <c r="B2156" s="34" t="n">
        <v>10.44</v>
      </c>
      <c r="C2156" s="34" t="n">
        <v>-66.67</v>
      </c>
      <c r="D2156" s="34" t="n">
        <v>-133.33</v>
      </c>
      <c r="E2156" s="34" t="n">
        <v>-101.67</v>
      </c>
      <c r="F2156" s="34" t="n">
        <v>-97.29</v>
      </c>
      <c r="G2156" s="34" t="n">
        <v>-125.75</v>
      </c>
      <c r="H2156" s="34" t="n">
        <v>-67.46</v>
      </c>
      <c r="I2156" s="34" t="n">
        <v>-33.89</v>
      </c>
      <c r="J2156" s="34" t="n">
        <v>-43.52</v>
      </c>
      <c r="K2156" s="34" t="n">
        <v>11.21</v>
      </c>
    </row>
    <row r="2157" customFormat="false" ht="15" hidden="false" customHeight="true" outlineLevel="0" collapsed="false">
      <c r="A2157" s="34" t="s">
        <v>2313</v>
      </c>
      <c r="B2157" s="34" t="n">
        <v>10.36</v>
      </c>
      <c r="C2157" s="34" t="n">
        <v>66.67</v>
      </c>
      <c r="D2157" s="34" t="n">
        <v>75.88</v>
      </c>
      <c r="E2157" s="34" t="n">
        <v>103.78</v>
      </c>
      <c r="F2157" s="34" t="n">
        <v>120.76</v>
      </c>
      <c r="G2157" s="34" t="n">
        <v>4.77</v>
      </c>
      <c r="H2157" s="34" t="n">
        <v>-21.61</v>
      </c>
      <c r="I2157" s="34" t="n">
        <v>-16.23</v>
      </c>
      <c r="J2157" s="34" t="n">
        <v>-46.59</v>
      </c>
      <c r="K2157" s="34" t="n">
        <v>9.43</v>
      </c>
    </row>
    <row r="2158" customFormat="false" ht="15" hidden="false" customHeight="true" outlineLevel="0" collapsed="false">
      <c r="A2158" s="34" t="s">
        <v>2314</v>
      </c>
      <c r="B2158" s="34" t="n">
        <v>10.31</v>
      </c>
      <c r="C2158" s="34" t="n">
        <v>-66.67</v>
      </c>
      <c r="D2158" s="34" t="n">
        <v>-25</v>
      </c>
      <c r="E2158" s="34" t="n">
        <v>67.05</v>
      </c>
      <c r="F2158" s="34" t="n">
        <v>31.19</v>
      </c>
      <c r="G2158" s="34"/>
      <c r="H2158" s="34"/>
      <c r="I2158" s="34"/>
      <c r="J2158" s="34"/>
      <c r="K2158" s="34" t="n">
        <v>10.46</v>
      </c>
    </row>
    <row r="2159" customFormat="false" ht="15" hidden="false" customHeight="true" outlineLevel="0" collapsed="false">
      <c r="A2159" s="34" t="s">
        <v>2315</v>
      </c>
      <c r="B2159" s="34" t="n">
        <v>10.3</v>
      </c>
      <c r="C2159" s="34" t="n">
        <v>-66.67</v>
      </c>
      <c r="D2159" s="34" t="n">
        <v>-68.25</v>
      </c>
      <c r="E2159" s="34" t="n">
        <v>24.07</v>
      </c>
      <c r="F2159" s="34" t="n">
        <v>77.4</v>
      </c>
      <c r="G2159" s="34" t="n">
        <v>98.5</v>
      </c>
      <c r="H2159" s="34" t="n">
        <v>36.19</v>
      </c>
      <c r="I2159" s="34" t="n">
        <v>-15.98</v>
      </c>
      <c r="J2159" s="34" t="n">
        <v>-17.58</v>
      </c>
      <c r="K2159" s="34" t="n">
        <v>9.86</v>
      </c>
    </row>
    <row r="2160" customFormat="false" ht="15" hidden="false" customHeight="true" outlineLevel="0" collapsed="false">
      <c r="A2160" s="34" t="s">
        <v>2316</v>
      </c>
      <c r="B2160" s="34" t="n">
        <v>10.23</v>
      </c>
      <c r="C2160" s="34" t="n">
        <v>-66.67</v>
      </c>
      <c r="D2160" s="34" t="n">
        <v>13.89</v>
      </c>
      <c r="E2160" s="34" t="n">
        <v>80.24</v>
      </c>
      <c r="F2160" s="34" t="n">
        <v>102.73</v>
      </c>
      <c r="G2160" s="34"/>
      <c r="H2160" s="34"/>
      <c r="I2160" s="34"/>
      <c r="J2160" s="34"/>
      <c r="K2160" s="34" t="n">
        <v>10.35</v>
      </c>
    </row>
    <row r="2161" customFormat="false" ht="15" hidden="false" customHeight="true" outlineLevel="0" collapsed="false">
      <c r="A2161" s="34" t="s">
        <v>2317</v>
      </c>
      <c r="B2161" s="34" t="n">
        <v>10.18</v>
      </c>
      <c r="C2161" s="34" t="n">
        <v>66.67</v>
      </c>
      <c r="D2161" s="34" t="n">
        <v>117.12</v>
      </c>
      <c r="E2161" s="34" t="n">
        <v>117.02</v>
      </c>
      <c r="F2161" s="34" t="n">
        <v>114.7</v>
      </c>
      <c r="G2161" s="34" t="n">
        <v>53.51</v>
      </c>
      <c r="H2161" s="34"/>
      <c r="I2161" s="34"/>
      <c r="J2161" s="34"/>
      <c r="K2161" s="34" t="n">
        <v>10.48</v>
      </c>
    </row>
    <row r="2162" customFormat="false" ht="15" hidden="false" customHeight="true" outlineLevel="0" collapsed="false">
      <c r="A2162" s="34" t="s">
        <v>2318</v>
      </c>
      <c r="B2162" s="34" t="n">
        <v>10.12</v>
      </c>
      <c r="C2162" s="34" t="n">
        <v>66.67</v>
      </c>
      <c r="D2162" s="34" t="n">
        <v>52.43</v>
      </c>
      <c r="E2162" s="34" t="n">
        <v>23.21</v>
      </c>
      <c r="F2162" s="34" t="n">
        <v>-56.9</v>
      </c>
      <c r="G2162" s="34" t="n">
        <v>-90.16</v>
      </c>
      <c r="H2162" s="34" t="n">
        <v>-87.09</v>
      </c>
      <c r="I2162" s="34" t="n">
        <v>-74.34</v>
      </c>
      <c r="J2162" s="34" t="n">
        <v>-65.89</v>
      </c>
      <c r="K2162" s="34" t="n">
        <v>10.64</v>
      </c>
    </row>
    <row r="2163" customFormat="false" ht="15" hidden="false" customHeight="true" outlineLevel="0" collapsed="false">
      <c r="A2163" s="34" t="s">
        <v>2319</v>
      </c>
      <c r="B2163" s="34" t="n">
        <v>10.11</v>
      </c>
      <c r="C2163" s="34" t="n">
        <v>66.67</v>
      </c>
      <c r="D2163" s="34" t="n">
        <v>73.24</v>
      </c>
      <c r="E2163" s="34" t="n">
        <v>175.51</v>
      </c>
      <c r="F2163" s="34" t="n">
        <v>82.37</v>
      </c>
      <c r="G2163" s="34" t="n">
        <v>22.77</v>
      </c>
      <c r="H2163" s="34" t="n">
        <v>58.59</v>
      </c>
      <c r="I2163" s="34" t="n">
        <v>81.88</v>
      </c>
      <c r="J2163" s="34" t="n">
        <v>49.12</v>
      </c>
      <c r="K2163" s="34" t="n">
        <v>9.29</v>
      </c>
    </row>
    <row r="2164" customFormat="false" ht="15" hidden="false" customHeight="true" outlineLevel="0" collapsed="false">
      <c r="A2164" s="34" t="s">
        <v>2320</v>
      </c>
      <c r="B2164" s="34" t="n">
        <v>9.98</v>
      </c>
      <c r="C2164" s="34" t="n">
        <v>-66.67</v>
      </c>
      <c r="D2164" s="34" t="n">
        <v>-66.67</v>
      </c>
      <c r="E2164" s="34" t="n">
        <v>53.57</v>
      </c>
      <c r="F2164" s="34"/>
      <c r="G2164" s="34"/>
      <c r="H2164" s="34"/>
      <c r="I2164" s="34"/>
      <c r="J2164" s="34"/>
      <c r="K2164" s="34" t="n">
        <v>10.18</v>
      </c>
    </row>
    <row r="2165" customFormat="false" ht="15" hidden="false" customHeight="true" outlineLevel="0" collapsed="false">
      <c r="A2165" s="34" t="s">
        <v>2321</v>
      </c>
      <c r="B2165" s="34" t="n">
        <v>9.97</v>
      </c>
      <c r="C2165" s="34" t="n">
        <v>-66.67</v>
      </c>
      <c r="D2165" s="34" t="n">
        <v>-133.33</v>
      </c>
      <c r="E2165" s="34" t="n">
        <v>-53.57</v>
      </c>
      <c r="F2165" s="34" t="n">
        <v>-75.68</v>
      </c>
      <c r="G2165" s="34" t="n">
        <v>-63.24</v>
      </c>
      <c r="H2165" s="34" t="n">
        <v>-37.48</v>
      </c>
      <c r="I2165" s="34" t="n">
        <v>-4.75</v>
      </c>
      <c r="J2165" s="34" t="n">
        <v>-14.29</v>
      </c>
      <c r="K2165" s="34" t="n">
        <v>10.87</v>
      </c>
    </row>
    <row r="2166" customFormat="false" ht="15" hidden="false" customHeight="true" outlineLevel="0" collapsed="false">
      <c r="A2166" s="34" t="s">
        <v>2322</v>
      </c>
      <c r="B2166" s="34" t="n">
        <v>9.88</v>
      </c>
      <c r="C2166" s="34" t="n">
        <v>66.67</v>
      </c>
      <c r="D2166" s="34" t="n">
        <v>-43.33</v>
      </c>
      <c r="E2166" s="34" t="n">
        <v>70.59</v>
      </c>
      <c r="F2166" s="34" t="n">
        <v>0.558</v>
      </c>
      <c r="G2166" s="34" t="n">
        <v>-41.27</v>
      </c>
      <c r="H2166" s="34" t="n">
        <v>-53.6</v>
      </c>
      <c r="I2166" s="34" t="n">
        <v>-69.69</v>
      </c>
      <c r="J2166" s="34" t="n">
        <v>-72.03</v>
      </c>
      <c r="K2166" s="34" t="n">
        <v>10.28</v>
      </c>
    </row>
    <row r="2167" customFormat="false" ht="15" hidden="false" customHeight="true" outlineLevel="0" collapsed="false">
      <c r="A2167" s="34" t="s">
        <v>2323</v>
      </c>
      <c r="B2167" s="34" t="n">
        <v>9.85</v>
      </c>
      <c r="C2167" s="34" t="n">
        <v>-66.67</v>
      </c>
      <c r="D2167" s="34" t="n">
        <v>-56.41</v>
      </c>
      <c r="E2167" s="34" t="n">
        <v>-99.27</v>
      </c>
      <c r="F2167" s="34"/>
      <c r="G2167" s="34"/>
      <c r="H2167" s="34"/>
      <c r="I2167" s="34"/>
      <c r="J2167" s="34"/>
      <c r="K2167" s="34" t="n">
        <v>10.33</v>
      </c>
    </row>
    <row r="2168" customFormat="false" ht="15" hidden="false" customHeight="true" outlineLevel="0" collapsed="false">
      <c r="A2168" s="34" t="s">
        <v>2324</v>
      </c>
      <c r="B2168" s="34" t="n">
        <v>9.8</v>
      </c>
      <c r="C2168" s="34" t="n">
        <v>-66.67</v>
      </c>
      <c r="D2168" s="34" t="n">
        <v>-81.9</v>
      </c>
      <c r="E2168" s="34" t="n">
        <v>-107.07</v>
      </c>
      <c r="F2168" s="34" t="n">
        <v>-57.27</v>
      </c>
      <c r="G2168" s="34" t="n">
        <v>-89.82</v>
      </c>
      <c r="H2168" s="34" t="n">
        <v>-86.87</v>
      </c>
      <c r="I2168" s="34" t="n">
        <v>-58.24</v>
      </c>
      <c r="J2168" s="34" t="n">
        <v>-52.92</v>
      </c>
      <c r="K2168" s="34" t="n">
        <v>10.43</v>
      </c>
    </row>
    <row r="2169" customFormat="false" ht="15" hidden="false" customHeight="true" outlineLevel="0" collapsed="false">
      <c r="A2169" s="34" t="s">
        <v>2325</v>
      </c>
      <c r="B2169" s="34" t="n">
        <v>9.75</v>
      </c>
      <c r="C2169" s="34" t="n">
        <v>66.67</v>
      </c>
      <c r="D2169" s="34" t="n">
        <v>46.15</v>
      </c>
      <c r="E2169" s="34" t="n">
        <v>23.26</v>
      </c>
      <c r="F2169" s="34" t="n">
        <v>-59.64</v>
      </c>
      <c r="G2169" s="34" t="n">
        <v>-107.35</v>
      </c>
      <c r="H2169" s="34" t="n">
        <v>-63.78</v>
      </c>
      <c r="I2169" s="34" t="n">
        <v>10.75</v>
      </c>
      <c r="J2169" s="34" t="n">
        <v>30.43</v>
      </c>
      <c r="K2169" s="34" t="n">
        <v>10.24</v>
      </c>
    </row>
    <row r="2170" customFormat="false" ht="15" hidden="false" customHeight="true" outlineLevel="0" collapsed="false">
      <c r="A2170" s="34" t="s">
        <v>2326</v>
      </c>
      <c r="B2170" s="34" t="n">
        <v>9.74</v>
      </c>
      <c r="C2170" s="34" t="n">
        <v>-66.67</v>
      </c>
      <c r="D2170" s="34" t="n">
        <v>-105.26</v>
      </c>
      <c r="E2170" s="34" t="n">
        <v>-106.32</v>
      </c>
      <c r="F2170" s="34" t="n">
        <v>-32.47</v>
      </c>
      <c r="G2170" s="34" t="n">
        <v>-81.02</v>
      </c>
      <c r="H2170" s="34" t="n">
        <v>-110.97</v>
      </c>
      <c r="I2170" s="34" t="n">
        <v>-121.41</v>
      </c>
      <c r="J2170" s="34" t="n">
        <v>-90.04</v>
      </c>
      <c r="K2170" s="34" t="n">
        <v>11</v>
      </c>
    </row>
    <row r="2171" customFormat="false" ht="15" hidden="false" customHeight="true" outlineLevel="0" collapsed="false">
      <c r="A2171" s="34" t="s">
        <v>2327</v>
      </c>
      <c r="B2171" s="34" t="n">
        <v>9.7</v>
      </c>
      <c r="C2171" s="34" t="n">
        <v>66.67</v>
      </c>
      <c r="D2171" s="34" t="n">
        <v>20.15</v>
      </c>
      <c r="E2171" s="34" t="n">
        <v>-54.2</v>
      </c>
      <c r="F2171" s="34" t="n">
        <v>7</v>
      </c>
      <c r="G2171" s="34" t="n">
        <v>41.69</v>
      </c>
      <c r="H2171" s="34" t="n">
        <v>72.48</v>
      </c>
      <c r="I2171" s="34" t="n">
        <v>76.42</v>
      </c>
      <c r="J2171" s="34" t="n">
        <v>78.37</v>
      </c>
      <c r="K2171" s="34" t="n">
        <v>9.37</v>
      </c>
    </row>
    <row r="2172" customFormat="false" ht="15" hidden="false" customHeight="true" outlineLevel="0" collapsed="false">
      <c r="A2172" s="34" t="s">
        <v>2328</v>
      </c>
      <c r="B2172" s="34" t="n">
        <v>9.7</v>
      </c>
      <c r="C2172" s="34" t="n">
        <v>-66.67</v>
      </c>
      <c r="D2172" s="34" t="n">
        <v>-111.82</v>
      </c>
      <c r="E2172" s="34" t="n">
        <v>-150.11</v>
      </c>
      <c r="F2172" s="34" t="n">
        <v>-221.52</v>
      </c>
      <c r="G2172" s="34" t="n">
        <v>0.972</v>
      </c>
      <c r="H2172" s="34" t="n">
        <v>30.4</v>
      </c>
      <c r="I2172" s="34" t="n">
        <v>51.49</v>
      </c>
      <c r="J2172" s="34" t="n">
        <v>44.92</v>
      </c>
      <c r="K2172" s="34" t="n">
        <v>10.71</v>
      </c>
    </row>
    <row r="2173" customFormat="false" ht="15" hidden="false" customHeight="true" outlineLevel="0" collapsed="false">
      <c r="A2173" s="34" t="s">
        <v>2329</v>
      </c>
      <c r="B2173" s="34" t="n">
        <v>9.62</v>
      </c>
      <c r="C2173" s="34" t="n">
        <v>-66.67</v>
      </c>
      <c r="D2173" s="34" t="n">
        <v>-55.83</v>
      </c>
      <c r="E2173" s="34" t="n">
        <v>-104.02</v>
      </c>
      <c r="F2173" s="34" t="n">
        <v>12.71</v>
      </c>
      <c r="G2173" s="34" t="n">
        <v>28.27</v>
      </c>
      <c r="H2173" s="34" t="n">
        <v>59.17</v>
      </c>
      <c r="I2173" s="34" t="n">
        <v>71.63</v>
      </c>
      <c r="J2173" s="34" t="n">
        <v>86.88</v>
      </c>
      <c r="K2173" s="34" t="n">
        <v>10.72</v>
      </c>
    </row>
    <row r="2174" customFormat="false" ht="15" hidden="false" customHeight="true" outlineLevel="0" collapsed="false">
      <c r="A2174" s="34" t="s">
        <v>2330</v>
      </c>
      <c r="B2174" s="34" t="n">
        <v>9.42</v>
      </c>
      <c r="C2174" s="34" t="n">
        <v>-66.67</v>
      </c>
      <c r="D2174" s="34" t="n">
        <v>-52.48</v>
      </c>
      <c r="E2174" s="34" t="n">
        <v>62.91</v>
      </c>
      <c r="F2174" s="34" t="n">
        <v>46.99</v>
      </c>
      <c r="G2174" s="34" t="n">
        <v>38.82</v>
      </c>
      <c r="H2174" s="34" t="n">
        <v>65.01</v>
      </c>
      <c r="I2174" s="34" t="n">
        <v>74.46</v>
      </c>
      <c r="J2174" s="34" t="n">
        <v>81.62</v>
      </c>
      <c r="K2174" s="34" t="n">
        <v>9.66</v>
      </c>
    </row>
    <row r="2175" customFormat="false" ht="15" hidden="false" customHeight="true" outlineLevel="0" collapsed="false">
      <c r="A2175" s="34" t="s">
        <v>2331</v>
      </c>
      <c r="B2175" s="34" t="n">
        <v>9.41</v>
      </c>
      <c r="C2175" s="34" t="n">
        <v>-66.67</v>
      </c>
      <c r="D2175" s="34" t="n">
        <v>-11.87</v>
      </c>
      <c r="E2175" s="34" t="n">
        <v>68.15</v>
      </c>
      <c r="F2175" s="34" t="n">
        <v>36.67</v>
      </c>
      <c r="G2175" s="34" t="n">
        <v>33.71</v>
      </c>
      <c r="H2175" s="34" t="n">
        <v>62.64</v>
      </c>
      <c r="I2175" s="34" t="n">
        <v>72.39</v>
      </c>
      <c r="J2175" s="34" t="n">
        <v>80.05</v>
      </c>
      <c r="K2175" s="34" t="n">
        <v>9.58</v>
      </c>
    </row>
    <row r="2176" customFormat="false" ht="15" hidden="false" customHeight="true" outlineLevel="0" collapsed="false">
      <c r="A2176" s="34" t="s">
        <v>2332</v>
      </c>
      <c r="B2176" s="34" t="n">
        <v>9.4</v>
      </c>
      <c r="C2176" s="34" t="n">
        <v>-66.67</v>
      </c>
      <c r="D2176" s="34" t="n">
        <v>-102.97</v>
      </c>
      <c r="E2176" s="34" t="n">
        <v>21.17</v>
      </c>
      <c r="F2176" s="34" t="n">
        <v>-70.94</v>
      </c>
      <c r="G2176" s="34" t="n">
        <v>-116.71</v>
      </c>
      <c r="H2176" s="34" t="n">
        <v>-151.76</v>
      </c>
      <c r="I2176" s="34" t="n">
        <v>-95.95</v>
      </c>
      <c r="J2176" s="34" t="n">
        <v>-111.85</v>
      </c>
      <c r="K2176" s="34" t="n">
        <v>8.47</v>
      </c>
    </row>
    <row r="2177" customFormat="false" ht="15" hidden="false" customHeight="true" outlineLevel="0" collapsed="false">
      <c r="A2177" s="34" t="s">
        <v>2333</v>
      </c>
      <c r="B2177" s="34" t="n">
        <v>9.35</v>
      </c>
      <c r="C2177" s="34" t="n">
        <v>-66.67</v>
      </c>
      <c r="D2177" s="34" t="n">
        <v>-123.08</v>
      </c>
      <c r="E2177" s="34" t="n">
        <v>-114.21</v>
      </c>
      <c r="F2177" s="34" t="n">
        <v>-113.06</v>
      </c>
      <c r="G2177" s="34" t="n">
        <v>-24.71</v>
      </c>
      <c r="H2177" s="34" t="n">
        <v>1.65</v>
      </c>
      <c r="I2177" s="34" t="n">
        <v>12.9</v>
      </c>
      <c r="J2177" s="34" t="n">
        <v>-2.95</v>
      </c>
      <c r="K2177" s="34" t="n">
        <v>10.66</v>
      </c>
    </row>
    <row r="2178" customFormat="false" ht="15" hidden="false" customHeight="true" outlineLevel="0" collapsed="false">
      <c r="A2178" s="34" t="s">
        <v>2334</v>
      </c>
      <c r="B2178" s="34" t="n">
        <v>9.24</v>
      </c>
      <c r="C2178" s="34" t="n">
        <v>-66.67</v>
      </c>
      <c r="D2178" s="34" t="n">
        <v>-89.14</v>
      </c>
      <c r="E2178" s="34" t="n">
        <v>-90.05</v>
      </c>
      <c r="F2178" s="34" t="n">
        <v>-136.49</v>
      </c>
      <c r="G2178" s="34" t="n">
        <v>-113.69</v>
      </c>
      <c r="H2178" s="34" t="n">
        <v>-100.22</v>
      </c>
      <c r="I2178" s="34" t="n">
        <v>-106.32</v>
      </c>
      <c r="J2178" s="34" t="n">
        <v>-113.74</v>
      </c>
      <c r="K2178" s="34" t="n">
        <v>10.07</v>
      </c>
    </row>
    <row r="2179" customFormat="false" ht="15" hidden="false" customHeight="true" outlineLevel="0" collapsed="false">
      <c r="A2179" s="34" t="s">
        <v>2335</v>
      </c>
      <c r="B2179" s="34" t="n">
        <v>9.06</v>
      </c>
      <c r="C2179" s="34" t="n">
        <v>-66.67</v>
      </c>
      <c r="D2179" s="34" t="n">
        <v>-17.46</v>
      </c>
      <c r="E2179" s="34" t="n">
        <v>71.06</v>
      </c>
      <c r="F2179" s="34" t="n">
        <v>-34</v>
      </c>
      <c r="G2179" s="34" t="n">
        <v>-81.47</v>
      </c>
      <c r="H2179" s="34" t="n">
        <v>-104.92</v>
      </c>
      <c r="I2179" s="34" t="n">
        <v>-90.87</v>
      </c>
      <c r="J2179" s="34" t="n">
        <v>-60.6</v>
      </c>
      <c r="K2179" s="34" t="n">
        <v>9.45</v>
      </c>
    </row>
    <row r="2180" customFormat="false" ht="15" hidden="false" customHeight="true" outlineLevel="0" collapsed="false">
      <c r="A2180" s="34" t="s">
        <v>2336</v>
      </c>
      <c r="B2180" s="34" t="n">
        <v>8.99</v>
      </c>
      <c r="C2180" s="34" t="n">
        <v>-66.67</v>
      </c>
      <c r="D2180" s="34" t="n">
        <v>2.26</v>
      </c>
      <c r="E2180" s="34" t="n">
        <v>21.29</v>
      </c>
      <c r="F2180" s="34" t="n">
        <v>-65.05</v>
      </c>
      <c r="G2180" s="34" t="n">
        <v>-114.59</v>
      </c>
      <c r="H2180" s="34" t="n">
        <v>-127.86</v>
      </c>
      <c r="I2180" s="34" t="n">
        <v>-57.45</v>
      </c>
      <c r="J2180" s="34" t="n">
        <v>-59.76</v>
      </c>
      <c r="K2180" s="34" t="n">
        <v>9.34</v>
      </c>
    </row>
    <row r="2181" customFormat="false" ht="15" hidden="false" customHeight="true" outlineLevel="0" collapsed="false">
      <c r="A2181" s="34" t="s">
        <v>388</v>
      </c>
      <c r="B2181" s="34" t="n">
        <v>8.95</v>
      </c>
      <c r="C2181" s="34" t="n">
        <v>-66.67</v>
      </c>
      <c r="D2181" s="34" t="n">
        <v>-73.39</v>
      </c>
      <c r="E2181" s="34" t="n">
        <v>-39.71</v>
      </c>
      <c r="F2181" s="34" t="n">
        <v>-93.07</v>
      </c>
      <c r="G2181" s="34" t="n">
        <v>-153.47</v>
      </c>
      <c r="H2181" s="34" t="n">
        <v>-149.91</v>
      </c>
      <c r="I2181" s="34" t="n">
        <v>-152.31</v>
      </c>
      <c r="J2181" s="34" t="n">
        <v>-152.94</v>
      </c>
      <c r="K2181" s="34" t="n">
        <v>8.78</v>
      </c>
    </row>
    <row r="2182" customFormat="false" ht="15" hidden="false" customHeight="true" outlineLevel="0" collapsed="false">
      <c r="A2182" s="34" t="s">
        <v>2337</v>
      </c>
      <c r="B2182" s="34" t="n">
        <v>8.92</v>
      </c>
      <c r="C2182" s="34" t="n">
        <v>-66.67</v>
      </c>
      <c r="D2182" s="34" t="n">
        <v>5.25</v>
      </c>
      <c r="E2182" s="34" t="n">
        <v>17.39</v>
      </c>
      <c r="F2182" s="34" t="n">
        <v>-82.62</v>
      </c>
      <c r="G2182" s="34" t="n">
        <v>-119.21</v>
      </c>
      <c r="H2182" s="34" t="n">
        <v>-106.32</v>
      </c>
      <c r="I2182" s="34" t="n">
        <v>-79.96</v>
      </c>
      <c r="J2182" s="34" t="n">
        <v>-73.32</v>
      </c>
      <c r="K2182" s="34" t="n">
        <v>9.39</v>
      </c>
    </row>
    <row r="2183" customFormat="false" ht="15" hidden="false" customHeight="true" outlineLevel="0" collapsed="false">
      <c r="A2183" s="34" t="s">
        <v>2338</v>
      </c>
      <c r="B2183" s="34" t="n">
        <v>8.88</v>
      </c>
      <c r="C2183" s="34" t="n">
        <v>66.67</v>
      </c>
      <c r="D2183" s="34" t="n">
        <v>133.33</v>
      </c>
      <c r="E2183" s="34" t="n">
        <v>199.87</v>
      </c>
      <c r="F2183" s="34" t="n">
        <v>168.83</v>
      </c>
      <c r="G2183" s="34" t="n">
        <v>147.37</v>
      </c>
      <c r="H2183" s="34" t="n">
        <v>123.83</v>
      </c>
      <c r="I2183" s="34" t="n">
        <v>40.16</v>
      </c>
      <c r="J2183" s="34" t="n">
        <v>21.47</v>
      </c>
      <c r="K2183" s="34" t="n">
        <v>7.75</v>
      </c>
    </row>
    <row r="2184" customFormat="false" ht="15" hidden="false" customHeight="true" outlineLevel="0" collapsed="false">
      <c r="A2184" s="34" t="s">
        <v>2339</v>
      </c>
      <c r="B2184" s="34" t="n">
        <v>8.8</v>
      </c>
      <c r="C2184" s="34" t="n">
        <v>-66.67</v>
      </c>
      <c r="D2184" s="34" t="n">
        <v>-74.07</v>
      </c>
      <c r="E2184" s="34" t="n">
        <v>-60.68</v>
      </c>
      <c r="F2184" s="34" t="n">
        <v>-73.5</v>
      </c>
      <c r="G2184" s="34" t="n">
        <v>-120.96</v>
      </c>
      <c r="H2184" s="34" t="n">
        <v>-87.18</v>
      </c>
      <c r="I2184" s="34" t="n">
        <v>-97.92</v>
      </c>
      <c r="J2184" s="34" t="n">
        <v>-103.72</v>
      </c>
      <c r="K2184" s="34" t="n">
        <v>9.07</v>
      </c>
    </row>
    <row r="2185" customFormat="false" ht="15" hidden="false" customHeight="true" outlineLevel="0" collapsed="false">
      <c r="A2185" s="34" t="s">
        <v>2340</v>
      </c>
      <c r="B2185" s="34" t="n">
        <v>8.73</v>
      </c>
      <c r="C2185" s="34" t="n">
        <v>66.67</v>
      </c>
      <c r="D2185" s="34" t="n">
        <v>114.53</v>
      </c>
      <c r="E2185" s="34" t="n">
        <v>152.48</v>
      </c>
      <c r="F2185" s="34" t="n">
        <v>113.5</v>
      </c>
      <c r="G2185" s="34" t="n">
        <v>70.04</v>
      </c>
      <c r="H2185" s="34" t="n">
        <v>68.77</v>
      </c>
      <c r="I2185" s="34" t="n">
        <v>85.38</v>
      </c>
      <c r="J2185" s="34" t="n">
        <v>81.68</v>
      </c>
      <c r="K2185" s="34" t="n">
        <v>9.17</v>
      </c>
    </row>
    <row r="2186" customFormat="false" ht="15" hidden="false" customHeight="true" outlineLevel="0" collapsed="false">
      <c r="A2186" s="34" t="s">
        <v>2341</v>
      </c>
      <c r="B2186" s="34" t="n">
        <v>8.5</v>
      </c>
      <c r="C2186" s="34" t="n">
        <v>-66.67</v>
      </c>
      <c r="D2186" s="34" t="n">
        <v>-127.27</v>
      </c>
      <c r="E2186" s="34" t="n">
        <v>28.44</v>
      </c>
      <c r="F2186" s="34" t="n">
        <v>-59.04</v>
      </c>
      <c r="G2186" s="34" t="n">
        <v>-101.6</v>
      </c>
      <c r="H2186" s="34" t="n">
        <v>-121.25</v>
      </c>
      <c r="I2186" s="34" t="n">
        <v>-141.13</v>
      </c>
      <c r="J2186" s="34" t="n">
        <v>-110.69</v>
      </c>
      <c r="K2186" s="34" t="n">
        <v>8.86</v>
      </c>
    </row>
    <row r="2187" customFormat="false" ht="15" hidden="false" customHeight="true" outlineLevel="0" collapsed="false">
      <c r="A2187" s="34" t="s">
        <v>2342</v>
      </c>
      <c r="B2187" s="34" t="n">
        <v>8.39</v>
      </c>
      <c r="C2187" s="34" t="n">
        <v>-66.67</v>
      </c>
      <c r="D2187" s="34" t="n">
        <v>-95.24</v>
      </c>
      <c r="E2187" s="34" t="n">
        <v>-73.96</v>
      </c>
      <c r="F2187" s="34" t="n">
        <v>-109.13</v>
      </c>
      <c r="G2187" s="34" t="n">
        <v>-142.83</v>
      </c>
      <c r="H2187" s="34" t="n">
        <v>-134.09</v>
      </c>
      <c r="I2187" s="34" t="n">
        <v>-158.89</v>
      </c>
      <c r="J2187" s="34" t="n">
        <v>-144.92</v>
      </c>
      <c r="K2187" s="34" t="n">
        <v>8.92</v>
      </c>
    </row>
    <row r="2188" customFormat="false" ht="15" hidden="false" customHeight="true" outlineLevel="0" collapsed="false">
      <c r="A2188" s="34" t="s">
        <v>2343</v>
      </c>
      <c r="B2188" s="34" t="n">
        <v>8.05</v>
      </c>
      <c r="C2188" s="34" t="n">
        <v>66.67</v>
      </c>
      <c r="D2188" s="34" t="n">
        <v>30.77</v>
      </c>
      <c r="E2188" s="34" t="n">
        <v>20.34</v>
      </c>
      <c r="F2188" s="34" t="n">
        <v>-55.81</v>
      </c>
      <c r="G2188" s="34" t="n">
        <v>-19.4</v>
      </c>
      <c r="H2188" s="34" t="n">
        <v>24.15</v>
      </c>
      <c r="I2188" s="34" t="n">
        <v>47.2</v>
      </c>
      <c r="J2188" s="34" t="n">
        <v>61.3</v>
      </c>
      <c r="K2188" s="34" t="n">
        <v>8.79</v>
      </c>
    </row>
    <row r="2189" customFormat="false" ht="15" hidden="false" customHeight="true" outlineLevel="0" collapsed="false">
      <c r="A2189" s="34" t="s">
        <v>2344</v>
      </c>
      <c r="B2189" s="34" t="n">
        <v>8</v>
      </c>
      <c r="C2189" s="34" t="n">
        <v>-66.67</v>
      </c>
      <c r="D2189" s="34" t="n">
        <v>59.04</v>
      </c>
      <c r="E2189" s="34" t="n">
        <v>128.76</v>
      </c>
      <c r="F2189" s="34" t="n">
        <v>-29.81</v>
      </c>
      <c r="G2189" s="34" t="n">
        <v>-76.16</v>
      </c>
      <c r="H2189" s="34" t="n">
        <v>4.25</v>
      </c>
      <c r="I2189" s="34" t="n">
        <v>24.5</v>
      </c>
      <c r="J2189" s="34" t="n">
        <v>6.51</v>
      </c>
      <c r="K2189" s="34" t="n">
        <v>8.26</v>
      </c>
    </row>
    <row r="2190" customFormat="false" ht="15" hidden="false" customHeight="true" outlineLevel="0" collapsed="false">
      <c r="A2190" s="34" t="s">
        <v>2345</v>
      </c>
      <c r="B2190" s="34" t="n">
        <v>7.96</v>
      </c>
      <c r="C2190" s="34" t="n">
        <v>-66.67</v>
      </c>
      <c r="D2190" s="34" t="n">
        <v>-114.44</v>
      </c>
      <c r="E2190" s="34" t="n">
        <v>-183.75</v>
      </c>
      <c r="F2190" s="34" t="n">
        <v>-116.69</v>
      </c>
      <c r="G2190" s="34" t="n">
        <v>-95.76</v>
      </c>
      <c r="H2190" s="34" t="n">
        <v>-67.08</v>
      </c>
      <c r="I2190" s="34" t="n">
        <v>-76.4</v>
      </c>
      <c r="J2190" s="34" t="n">
        <v>-74.73</v>
      </c>
      <c r="K2190" s="34" t="n">
        <v>8.53</v>
      </c>
    </row>
    <row r="2191" customFormat="false" ht="15" hidden="false" customHeight="true" outlineLevel="0" collapsed="false">
      <c r="A2191" s="34" t="s">
        <v>2346</v>
      </c>
      <c r="B2191" s="34" t="n">
        <v>7.89</v>
      </c>
      <c r="C2191" s="34" t="n">
        <v>-66.67</v>
      </c>
      <c r="D2191" s="34" t="n">
        <v>-100</v>
      </c>
      <c r="E2191" s="34" t="n">
        <v>47.05</v>
      </c>
      <c r="F2191" s="34" t="n">
        <v>-61.87</v>
      </c>
      <c r="G2191" s="34" t="n">
        <v>-102.36</v>
      </c>
      <c r="H2191" s="34" t="n">
        <v>-104.33</v>
      </c>
      <c r="I2191" s="34" t="n">
        <v>-57.91</v>
      </c>
      <c r="J2191" s="34" t="n">
        <v>-68.77</v>
      </c>
      <c r="K2191" s="34" t="n">
        <v>8.43</v>
      </c>
    </row>
    <row r="2192" customFormat="false" ht="15" hidden="false" customHeight="true" outlineLevel="0" collapsed="false">
      <c r="A2192" s="34" t="s">
        <v>2347</v>
      </c>
      <c r="B2192" s="34" t="n">
        <v>7.85</v>
      </c>
      <c r="C2192" s="34" t="n">
        <v>-66.67</v>
      </c>
      <c r="D2192" s="34" t="n">
        <v>46.27</v>
      </c>
      <c r="E2192" s="34" t="n">
        <v>110.85</v>
      </c>
      <c r="F2192" s="34" t="n">
        <v>112.06</v>
      </c>
      <c r="G2192" s="34" t="n">
        <v>12.06</v>
      </c>
      <c r="H2192" s="34" t="n">
        <v>-27.97</v>
      </c>
      <c r="I2192" s="34" t="n">
        <v>-44.5</v>
      </c>
      <c r="J2192" s="34" t="n">
        <v>-63.74</v>
      </c>
      <c r="K2192" s="34" t="n">
        <v>7.41</v>
      </c>
    </row>
    <row r="2193" customFormat="false" ht="15" hidden="false" customHeight="true" outlineLevel="0" collapsed="false">
      <c r="A2193" s="34" t="s">
        <v>2348</v>
      </c>
      <c r="B2193" s="34" t="n">
        <v>7.83</v>
      </c>
      <c r="C2193" s="34" t="n">
        <v>-66.67</v>
      </c>
      <c r="D2193" s="34" t="n">
        <v>-80</v>
      </c>
      <c r="E2193" s="34" t="n">
        <v>-103.72</v>
      </c>
      <c r="F2193" s="34" t="n">
        <v>-107.72</v>
      </c>
      <c r="G2193" s="34" t="n">
        <v>-138.54</v>
      </c>
      <c r="H2193" s="34" t="n">
        <v>-125.13</v>
      </c>
      <c r="I2193" s="34" t="n">
        <v>-103.15</v>
      </c>
      <c r="J2193" s="34" t="n">
        <v>-112.35</v>
      </c>
      <c r="K2193" s="34" t="n">
        <v>8.42</v>
      </c>
    </row>
    <row r="2194" customFormat="false" ht="15" hidden="false" customHeight="true" outlineLevel="0" collapsed="false">
      <c r="A2194" s="34" t="s">
        <v>2349</v>
      </c>
      <c r="B2194" s="34" t="n">
        <v>7.78</v>
      </c>
      <c r="C2194" s="34" t="n">
        <v>-66.67</v>
      </c>
      <c r="D2194" s="34" t="n">
        <v>-109.82</v>
      </c>
      <c r="E2194" s="34" t="n">
        <v>-172.88</v>
      </c>
      <c r="F2194" s="34" t="n">
        <v>-135.98</v>
      </c>
      <c r="G2194" s="34" t="n">
        <v>-21.05</v>
      </c>
      <c r="H2194" s="34" t="n">
        <v>19.3</v>
      </c>
      <c r="I2194" s="34" t="n">
        <v>42.63</v>
      </c>
      <c r="J2194" s="34" t="n">
        <v>33.43</v>
      </c>
      <c r="K2194" s="34" t="n">
        <v>7.58</v>
      </c>
    </row>
    <row r="2195" customFormat="false" ht="15" hidden="false" customHeight="true" outlineLevel="0" collapsed="false">
      <c r="A2195" s="34" t="s">
        <v>2350</v>
      </c>
      <c r="B2195" s="34" t="n">
        <v>7.76</v>
      </c>
      <c r="C2195" s="34" t="n">
        <v>-66.67</v>
      </c>
      <c r="D2195" s="34" t="n">
        <v>-133.33</v>
      </c>
      <c r="E2195" s="34" t="n">
        <v>44.62</v>
      </c>
      <c r="F2195" s="34" t="n">
        <v>103.11</v>
      </c>
      <c r="G2195" s="34" t="n">
        <v>29.24</v>
      </c>
      <c r="H2195" s="34" t="n">
        <v>-14.55</v>
      </c>
      <c r="I2195" s="34" t="n">
        <v>-48.24</v>
      </c>
      <c r="J2195" s="34" t="n">
        <v>-56.91</v>
      </c>
      <c r="K2195" s="34" t="n">
        <v>7.37</v>
      </c>
    </row>
    <row r="2196" customFormat="false" ht="15" hidden="false" customHeight="true" outlineLevel="0" collapsed="false">
      <c r="A2196" s="34" t="s">
        <v>2351</v>
      </c>
      <c r="B2196" s="34" t="n">
        <v>7.61</v>
      </c>
      <c r="C2196" s="34" t="n">
        <v>-66.67</v>
      </c>
      <c r="D2196" s="34" t="n">
        <v>-103.55</v>
      </c>
      <c r="E2196" s="34" t="n">
        <v>-81.85</v>
      </c>
      <c r="F2196" s="34" t="n">
        <v>-76.7</v>
      </c>
      <c r="G2196" s="34" t="n">
        <v>-14.58</v>
      </c>
      <c r="H2196" s="34" t="n">
        <v>21.67</v>
      </c>
      <c r="I2196" s="34" t="n">
        <v>28.9</v>
      </c>
      <c r="J2196" s="34" t="n">
        <v>-1.47</v>
      </c>
      <c r="K2196" s="34" t="n">
        <v>7.6</v>
      </c>
    </row>
    <row r="2197" customFormat="false" ht="15" hidden="false" customHeight="true" outlineLevel="0" collapsed="false">
      <c r="A2197" s="34" t="s">
        <v>2352</v>
      </c>
      <c r="B2197" s="34" t="n">
        <v>7.6</v>
      </c>
      <c r="C2197" s="34" t="n">
        <v>66.67</v>
      </c>
      <c r="D2197" s="34" t="n">
        <v>118.52</v>
      </c>
      <c r="E2197" s="34" t="n">
        <v>60.16</v>
      </c>
      <c r="F2197" s="34" t="n">
        <v>-77.24</v>
      </c>
      <c r="G2197" s="34" t="n">
        <v>18.66</v>
      </c>
      <c r="H2197" s="34" t="n">
        <v>56.48</v>
      </c>
      <c r="I2197" s="34" t="n">
        <v>77.84</v>
      </c>
      <c r="J2197" s="34" t="n">
        <v>57.38</v>
      </c>
      <c r="K2197" s="34" t="n">
        <v>7.74</v>
      </c>
    </row>
    <row r="2198" customFormat="false" ht="15" hidden="false" customHeight="true" outlineLevel="0" collapsed="false">
      <c r="A2198" s="34" t="s">
        <v>2353</v>
      </c>
      <c r="B2198" s="34" t="n">
        <v>7.48</v>
      </c>
      <c r="C2198" s="34" t="n">
        <v>-66.67</v>
      </c>
      <c r="D2198" s="34" t="n">
        <v>-14.04</v>
      </c>
      <c r="E2198" s="34" t="n">
        <v>-25.86</v>
      </c>
      <c r="F2198" s="34" t="n">
        <v>-28.53</v>
      </c>
      <c r="G2198" s="34" t="n">
        <v>-53.3</v>
      </c>
      <c r="H2198" s="34" t="n">
        <v>-61.95</v>
      </c>
      <c r="I2198" s="34" t="n">
        <v>-65.37</v>
      </c>
      <c r="J2198" s="34" t="n">
        <v>-65.08</v>
      </c>
      <c r="K2198" s="34" t="n">
        <v>7.91</v>
      </c>
    </row>
    <row r="2199" customFormat="false" ht="15" hidden="false" customHeight="true" outlineLevel="0" collapsed="false">
      <c r="A2199" s="34" t="s">
        <v>2354</v>
      </c>
      <c r="B2199" s="34" t="n">
        <v>7.47</v>
      </c>
      <c r="C2199" s="34" t="n">
        <v>-66.67</v>
      </c>
      <c r="D2199" s="34" t="n">
        <v>-3.64</v>
      </c>
      <c r="E2199" s="34" t="n">
        <v>66.67</v>
      </c>
      <c r="F2199" s="34" t="n">
        <v>-28.15</v>
      </c>
      <c r="G2199" s="34" t="n">
        <v>-83.96</v>
      </c>
      <c r="H2199" s="34" t="n">
        <v>-121.11</v>
      </c>
      <c r="I2199" s="34" t="n">
        <v>-145.17</v>
      </c>
      <c r="J2199" s="34" t="n">
        <v>-146.53</v>
      </c>
      <c r="K2199" s="34" t="n">
        <v>7.08</v>
      </c>
    </row>
    <row r="2200" customFormat="false" ht="15" hidden="false" customHeight="true" outlineLevel="0" collapsed="false">
      <c r="A2200" s="34" t="s">
        <v>2355</v>
      </c>
      <c r="B2200" s="34" t="n">
        <v>7.39</v>
      </c>
      <c r="C2200" s="34" t="n">
        <v>66.67</v>
      </c>
      <c r="D2200" s="34" t="n">
        <v>133.33</v>
      </c>
      <c r="E2200" s="34" t="n">
        <v>42.6</v>
      </c>
      <c r="F2200" s="34" t="n">
        <v>-26.7</v>
      </c>
      <c r="G2200" s="34" t="n">
        <v>-64.03</v>
      </c>
      <c r="H2200" s="34" t="n">
        <v>-2.95</v>
      </c>
      <c r="I2200" s="34" t="n">
        <v>16.01</v>
      </c>
      <c r="J2200" s="34" t="n">
        <v>-8.73</v>
      </c>
      <c r="K2200" s="34" t="n">
        <v>6.91</v>
      </c>
    </row>
    <row r="2201" customFormat="false" ht="15" hidden="false" customHeight="true" outlineLevel="0" collapsed="false"/>
    <row r="2202" customFormat="false" ht="15" hidden="false" customHeight="true" outlineLevel="0" collapsed="false"/>
    <row r="2203" customFormat="false" ht="15" hidden="false" customHeight="true" outlineLevel="0" collapsed="false"/>
    <row r="2204" customFormat="false" ht="15" hidden="false" customHeight="true" outlineLevel="0" collapsed="false"/>
    <row r="2205" customFormat="false" ht="15" hidden="false" customHeight="true" outlineLevel="0" collapsed="false"/>
    <row r="2206" customFormat="false" ht="15" hidden="false" customHeight="true" outlineLevel="0" collapsed="false"/>
    <row r="2207" customFormat="false" ht="15" hidden="false" customHeight="true" outlineLevel="0" collapsed="false"/>
    <row r="2208" customFormat="false" ht="15" hidden="false" customHeight="true" outlineLevel="0" collapsed="false"/>
    <row r="2209" customFormat="false" ht="15" hidden="false" customHeight="true" outlineLevel="0" collapsed="false"/>
    <row r="2210" customFormat="false" ht="15" hidden="false" customHeight="true" outlineLevel="0" collapsed="false"/>
    <row r="2211" customFormat="false" ht="15" hidden="false" customHeight="true" outlineLevel="0" collapsed="false"/>
    <row r="2212" customFormat="false" ht="15" hidden="false" customHeight="true" outlineLevel="0" collapsed="false"/>
    <row r="2213" customFormat="false" ht="15" hidden="false" customHeight="true" outlineLevel="0" collapsed="false"/>
    <row r="2214" customFormat="false" ht="15" hidden="false" customHeight="true" outlineLevel="0" collapsed="false"/>
    <row r="2215" customFormat="false" ht="15" hidden="false" customHeight="true" outlineLevel="0" collapsed="false"/>
    <row r="2216" customFormat="false" ht="15" hidden="false" customHeight="true" outlineLevel="0" collapsed="false"/>
    <row r="2217" customFormat="false" ht="15" hidden="false" customHeight="true" outlineLevel="0" collapsed="false"/>
    <row r="2218" customFormat="false" ht="15" hidden="false" customHeight="true" outlineLevel="0" collapsed="false"/>
    <row r="2229" customFormat="false" ht="15" hidden="false" customHeight="true" outlineLevel="0" collapsed="false"/>
    <row r="2230" customFormat="false" ht="1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X222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1" topLeftCell="A2" activePane="bottomLeft" state="frozen"/>
      <selection pane="topLeft" activeCell="A1" activeCellId="0" sqref="A1"/>
      <selection pane="bottomLeft" activeCell="O17" activeCellId="0" sqref="O17"/>
    </sheetView>
  </sheetViews>
  <sheetFormatPr defaultColWidth="12.66796875" defaultRowHeight="12.75" customHeight="true" zeroHeight="false" outlineLevelRow="0" outlineLevelCol="0"/>
  <cols>
    <col collapsed="false" customWidth="true" hidden="false" outlineLevel="0" max="1" min="1" style="34" width="14.44"/>
    <col collapsed="false" customWidth="false" hidden="false" outlineLevel="0" max="12" min="12" style="115" width="12.67"/>
    <col collapsed="false" customWidth="false" hidden="false" outlineLevel="0" max="13" min="13" style="116" width="12.7"/>
    <col collapsed="false" customWidth="true" hidden="false" outlineLevel="0" max="14" min="14" style="116" width="8.43"/>
    <col collapsed="false" customWidth="true" hidden="false" outlineLevel="0" max="15" min="15" style="34" width="16.67"/>
    <col collapsed="false" customWidth="true" hidden="false" outlineLevel="0" max="16" min="16" style="34" width="14.44"/>
    <col collapsed="false" customWidth="true" hidden="false" outlineLevel="0" max="17" min="17" style="34" width="12.76"/>
    <col collapsed="false" customWidth="true" hidden="false" outlineLevel="0" max="18" min="18" style="34" width="16.33"/>
    <col collapsed="false" customWidth="true" hidden="false" outlineLevel="0" max="19" min="19" style="34" width="19.1"/>
    <col collapsed="false" customWidth="true" hidden="false" outlineLevel="0" max="16384" min="16380" style="34" width="11.53"/>
  </cols>
  <sheetData>
    <row r="1" customFormat="false" ht="15.75" hidden="false" customHeight="true" outlineLevel="0" collapsed="false">
      <c r="A1" s="122" t="s">
        <v>633</v>
      </c>
      <c r="B1" s="123" t="s">
        <v>2356</v>
      </c>
      <c r="C1" s="123" t="s">
        <v>657</v>
      </c>
      <c r="D1" s="123" t="s">
        <v>658</v>
      </c>
      <c r="E1" s="123" t="s">
        <v>659</v>
      </c>
      <c r="F1" s="123" t="s">
        <v>660</v>
      </c>
      <c r="G1" s="123" t="s">
        <v>661</v>
      </c>
      <c r="H1" s="123" t="s">
        <v>662</v>
      </c>
      <c r="I1" s="123" t="s">
        <v>663</v>
      </c>
      <c r="J1" s="124" t="s">
        <v>664</v>
      </c>
      <c r="K1" s="123" t="s">
        <v>2357</v>
      </c>
      <c r="L1" s="125" t="s">
        <v>665</v>
      </c>
      <c r="M1" s="126" t="s">
        <v>666</v>
      </c>
      <c r="N1" s="126" t="s">
        <v>17</v>
      </c>
      <c r="O1" s="127" t="s">
        <v>2358</v>
      </c>
      <c r="P1" s="122" t="s">
        <v>633</v>
      </c>
      <c r="Q1" s="127" t="s">
        <v>2359</v>
      </c>
      <c r="R1" s="122" t="s">
        <v>633</v>
      </c>
      <c r="S1" s="127"/>
      <c r="T1" s="127"/>
      <c r="U1" s="127"/>
      <c r="V1" s="127"/>
      <c r="W1" s="127"/>
      <c r="X1" s="127"/>
    </row>
    <row r="2" customFormat="false" ht="15.75" hidden="false" customHeight="true" outlineLevel="0" collapsed="false">
      <c r="A2" s="128" t="s">
        <v>83</v>
      </c>
      <c r="B2" s="128" t="n">
        <v>128655</v>
      </c>
      <c r="C2" s="128" t="n">
        <v>-66.67</v>
      </c>
      <c r="D2" s="128" t="n">
        <v>45.84</v>
      </c>
      <c r="E2" s="128" t="n">
        <v>72.51</v>
      </c>
      <c r="F2" s="128" t="n">
        <v>149.64</v>
      </c>
      <c r="G2" s="128" t="n">
        <v>241.29</v>
      </c>
      <c r="H2" s="128" t="n">
        <v>119.8</v>
      </c>
      <c r="I2" s="128" t="n">
        <v>94.92</v>
      </c>
      <c r="J2" s="128" t="n">
        <v>61.36</v>
      </c>
      <c r="K2" s="128" t="n">
        <v>122062.18</v>
      </c>
      <c r="L2" s="129" t="n">
        <f aca="false">AVERAGE(C2:E2)</f>
        <v>17.2266666666667</v>
      </c>
      <c r="M2" s="130" t="n">
        <f aca="false">AVERAGE(C2:J2)</f>
        <v>89.83625</v>
      </c>
      <c r="N2" s="130" t="n">
        <f aca="false">RANK(I2,I:I)</f>
        <v>85</v>
      </c>
      <c r="O2" s="127" t="n">
        <f aca="false">RANK(L2,L:L)</f>
        <v>60</v>
      </c>
      <c r="P2" s="128" t="s">
        <v>83</v>
      </c>
      <c r="Q2" s="127" t="n">
        <f aca="false">RANK(M2,M:M)</f>
        <v>33</v>
      </c>
      <c r="R2" s="128" t="s">
        <v>83</v>
      </c>
      <c r="S2" s="127"/>
      <c r="T2" s="127"/>
      <c r="U2" s="127"/>
      <c r="V2" s="127"/>
      <c r="W2" s="127"/>
      <c r="X2" s="127"/>
    </row>
    <row r="3" customFormat="false" ht="15.75" hidden="false" customHeight="true" outlineLevel="0" collapsed="false">
      <c r="A3" s="128" t="s">
        <v>124</v>
      </c>
      <c r="B3" s="128" t="n">
        <v>44605</v>
      </c>
      <c r="C3" s="128" t="n">
        <v>-66.67</v>
      </c>
      <c r="D3" s="128" t="n">
        <v>-128.17</v>
      </c>
      <c r="E3" s="128" t="n">
        <v>-8.41</v>
      </c>
      <c r="F3" s="128" t="n">
        <v>86.98</v>
      </c>
      <c r="G3" s="128" t="n">
        <v>76.84</v>
      </c>
      <c r="H3" s="128" t="n">
        <v>8.88</v>
      </c>
      <c r="I3" s="128" t="n">
        <v>2.42</v>
      </c>
      <c r="J3" s="128" t="n">
        <v>9.71</v>
      </c>
      <c r="K3" s="128" t="n">
        <v>42797.39</v>
      </c>
      <c r="L3" s="129" t="n">
        <f aca="false">AVERAGE(C3:E3)</f>
        <v>-67.75</v>
      </c>
      <c r="M3" s="130" t="n">
        <f aca="false">AVERAGE(C3:J3)</f>
        <v>-2.3025</v>
      </c>
      <c r="N3" s="130" t="n">
        <f aca="false">RANK(I3,I:I)</f>
        <v>200</v>
      </c>
      <c r="O3" s="127" t="n">
        <f aca="false">RANK(L3,L:L)</f>
        <v>376</v>
      </c>
      <c r="P3" s="128" t="s">
        <v>124</v>
      </c>
      <c r="Q3" s="127" t="n">
        <f aca="false">RANK(M3,M:M)</f>
        <v>240</v>
      </c>
      <c r="R3" s="128" t="s">
        <v>124</v>
      </c>
      <c r="S3" s="127"/>
      <c r="T3" s="127"/>
      <c r="U3" s="127"/>
      <c r="V3" s="127"/>
      <c r="W3" s="127"/>
      <c r="X3" s="127"/>
    </row>
    <row r="4" customFormat="false" ht="15.75" hidden="false" customHeight="true" outlineLevel="0" collapsed="false">
      <c r="A4" s="128" t="s">
        <v>374</v>
      </c>
      <c r="B4" s="128" t="n">
        <v>34495</v>
      </c>
      <c r="C4" s="128" t="n">
        <v>-66.67</v>
      </c>
      <c r="D4" s="128" t="n">
        <v>-102.78</v>
      </c>
      <c r="E4" s="128" t="n">
        <v>-22.67</v>
      </c>
      <c r="F4" s="128" t="n">
        <v>39.98</v>
      </c>
      <c r="G4" s="128" t="n">
        <v>-36</v>
      </c>
      <c r="H4" s="128" t="n">
        <v>-60.63</v>
      </c>
      <c r="I4" s="128" t="n">
        <v>-80.72</v>
      </c>
      <c r="J4" s="128" t="n">
        <v>-96.22</v>
      </c>
      <c r="K4" s="128" t="n">
        <v>35219.15</v>
      </c>
      <c r="L4" s="129" t="n">
        <f aca="false">AVERAGE(C4:E4)</f>
        <v>-64.04</v>
      </c>
      <c r="M4" s="130" t="n">
        <f aca="false">AVERAGE(C4:J4)</f>
        <v>-53.21375</v>
      </c>
      <c r="N4" s="130" t="n">
        <f aca="false">RANK(I4,I:I)</f>
        <v>420</v>
      </c>
      <c r="O4" s="127" t="n">
        <f aca="false">RANK(L4,L:L)</f>
        <v>336</v>
      </c>
      <c r="P4" s="128" t="s">
        <v>374</v>
      </c>
      <c r="Q4" s="127" t="n">
        <f aca="false">RANK(M4,M:M)</f>
        <v>417</v>
      </c>
      <c r="R4" s="128" t="s">
        <v>374</v>
      </c>
      <c r="S4" s="131" t="s">
        <v>2360</v>
      </c>
      <c r="T4" s="131"/>
      <c r="U4" s="131"/>
      <c r="V4" s="131"/>
      <c r="W4" s="131"/>
      <c r="X4" s="131"/>
    </row>
    <row r="5" customFormat="false" ht="15.75" hidden="false" customHeight="true" outlineLevel="0" collapsed="false">
      <c r="A5" s="128" t="s">
        <v>171</v>
      </c>
      <c r="B5" s="128" t="n">
        <v>30540</v>
      </c>
      <c r="C5" s="128" t="n">
        <v>-66.67</v>
      </c>
      <c r="D5" s="128" t="n">
        <v>-70.87</v>
      </c>
      <c r="E5" s="128" t="n">
        <v>-55.25</v>
      </c>
      <c r="F5" s="128" t="n">
        <v>51.21</v>
      </c>
      <c r="G5" s="128" t="n">
        <v>98.69</v>
      </c>
      <c r="H5" s="128" t="n">
        <v>125.39</v>
      </c>
      <c r="I5" s="128" t="n">
        <v>135.17</v>
      </c>
      <c r="J5" s="128" t="n">
        <v>147.95</v>
      </c>
      <c r="K5" s="128" t="n">
        <v>29225.17</v>
      </c>
      <c r="L5" s="129" t="n">
        <f aca="false">AVERAGE(C5:E5)</f>
        <v>-64.2633333333333</v>
      </c>
      <c r="M5" s="130" t="n">
        <f aca="false">AVERAGE(C5:J5)</f>
        <v>45.7025</v>
      </c>
      <c r="N5" s="130" t="n">
        <f aca="false">RANK(I5,I:I)</f>
        <v>52</v>
      </c>
      <c r="O5" s="127" t="n">
        <f aca="false">RANK(L5,L:L)</f>
        <v>340</v>
      </c>
      <c r="P5" s="128" t="s">
        <v>171</v>
      </c>
      <c r="Q5" s="127" t="n">
        <f aca="false">RANK(M5,M:M)</f>
        <v>103</v>
      </c>
      <c r="R5" s="128" t="s">
        <v>171</v>
      </c>
      <c r="S5" s="131"/>
      <c r="T5" s="131"/>
      <c r="U5" s="131"/>
      <c r="V5" s="131"/>
      <c r="W5" s="131"/>
      <c r="X5" s="131"/>
    </row>
    <row r="6" customFormat="false" ht="15.75" hidden="false" customHeight="true" outlineLevel="0" collapsed="false">
      <c r="A6" s="128" t="s">
        <v>274</v>
      </c>
      <c r="B6" s="128" t="n">
        <v>30020</v>
      </c>
      <c r="C6" s="128" t="n">
        <v>-66.67</v>
      </c>
      <c r="D6" s="128" t="n">
        <v>-133.33</v>
      </c>
      <c r="E6" s="128" t="n">
        <v>1.62</v>
      </c>
      <c r="F6" s="128" t="n">
        <v>95.37</v>
      </c>
      <c r="G6" s="128" t="n">
        <v>109.48</v>
      </c>
      <c r="H6" s="128" t="n">
        <v>47.4</v>
      </c>
      <c r="I6" s="128" t="n">
        <v>-5.36</v>
      </c>
      <c r="J6" s="128" t="n">
        <v>-29.88</v>
      </c>
      <c r="K6" s="128" t="n">
        <v>27983.41</v>
      </c>
      <c r="L6" s="129" t="n">
        <f aca="false">AVERAGE(C6:E6)</f>
        <v>-66.1266666666667</v>
      </c>
      <c r="M6" s="130" t="n">
        <f aca="false">AVERAGE(C6:J6)</f>
        <v>2.32875</v>
      </c>
      <c r="N6" s="130" t="n">
        <f aca="false">RANK(I6,I:I)</f>
        <v>214</v>
      </c>
      <c r="O6" s="127" t="n">
        <f aca="false">RANK(L6,L:L)</f>
        <v>366</v>
      </c>
      <c r="P6" s="128" t="s">
        <v>281</v>
      </c>
      <c r="Q6" s="127" t="n">
        <f aca="false">RANK(M6,M:M)</f>
        <v>222</v>
      </c>
      <c r="R6" s="128" t="s">
        <v>281</v>
      </c>
      <c r="S6" s="132" t="s">
        <v>29</v>
      </c>
      <c r="T6" s="133" t="s">
        <v>30</v>
      </c>
      <c r="U6" s="133" t="s">
        <v>24</v>
      </c>
      <c r="V6" s="133" t="s">
        <v>31</v>
      </c>
      <c r="W6" s="134" t="s">
        <v>32</v>
      </c>
      <c r="X6" s="135" t="s">
        <v>33</v>
      </c>
    </row>
    <row r="7" customFormat="false" ht="15.75" hidden="false" customHeight="true" outlineLevel="0" collapsed="false">
      <c r="A7" s="128" t="s">
        <v>281</v>
      </c>
      <c r="B7" s="128" t="n">
        <v>29705</v>
      </c>
      <c r="C7" s="128" t="n">
        <v>-66.67</v>
      </c>
      <c r="D7" s="128" t="n">
        <v>-102.92</v>
      </c>
      <c r="E7" s="128" t="n">
        <v>-70.96</v>
      </c>
      <c r="F7" s="128" t="n">
        <v>-54.95</v>
      </c>
      <c r="G7" s="128" t="n">
        <v>21.59</v>
      </c>
      <c r="H7" s="128" t="n">
        <v>36.52</v>
      </c>
      <c r="I7" s="128" t="n">
        <v>51.92</v>
      </c>
      <c r="J7" s="128" t="n">
        <v>63.95</v>
      </c>
      <c r="K7" s="128" t="n">
        <v>28876.32</v>
      </c>
      <c r="L7" s="129" t="n">
        <f aca="false">AVERAGE(C7:E7)</f>
        <v>-80.1833333333333</v>
      </c>
      <c r="M7" s="130" t="n">
        <f aca="false">AVERAGE(C7:J7)</f>
        <v>-15.19</v>
      </c>
      <c r="N7" s="130" t="n">
        <f aca="false">RANK(I7,I:I)</f>
        <v>122</v>
      </c>
      <c r="O7" s="127" t="n">
        <f aca="false">RANK(L7,L:L)</f>
        <v>439</v>
      </c>
      <c r="P7" s="128" t="s">
        <v>274</v>
      </c>
      <c r="Q7" s="127" t="n">
        <f aca="false">RANK(M7,M:M)</f>
        <v>287</v>
      </c>
      <c r="R7" s="128" t="s">
        <v>274</v>
      </c>
      <c r="S7" s="136" t="str">
        <f aca="false">IF(ISNUMBER(MATCH(U7,$U$21:$U$38,0)),U7,"")</f>
        <v/>
      </c>
      <c r="T7" s="130" t="n">
        <v>1</v>
      </c>
      <c r="U7" s="137" t="str">
        <f aca="false">VLOOKUP(T7,O:P,2,FALSE())</f>
        <v>CEATLTD</v>
      </c>
      <c r="V7" s="138" t="n">
        <f aca="false">VLOOKUP(U7,'Data 2'!$A$2:$K$2250,2,FALSE())</f>
        <v>3184.5</v>
      </c>
      <c r="W7" s="139" t="n">
        <f aca="false">INDEX('Data 2'!$L$2:$L$2250,MATCH(U7,'Data 2'!$A$2:$A$2250,0))</f>
        <v>-36.6233333333333</v>
      </c>
      <c r="X7" s="140" t="n">
        <f aca="false">VLOOKUP(U7,'Data 2'!$A$2:$K$2250,11,FALSE())</f>
        <v>3319.75</v>
      </c>
    </row>
    <row r="8" customFormat="false" ht="15.75" hidden="false" customHeight="true" outlineLevel="0" collapsed="false">
      <c r="A8" s="128" t="s">
        <v>141</v>
      </c>
      <c r="B8" s="128" t="n">
        <v>27995</v>
      </c>
      <c r="C8" s="128" t="n">
        <v>-66.67</v>
      </c>
      <c r="D8" s="128" t="n">
        <v>-31.03</v>
      </c>
      <c r="E8" s="128" t="n">
        <v>69.87</v>
      </c>
      <c r="F8" s="128" t="n">
        <v>85.21</v>
      </c>
      <c r="G8" s="128" t="n">
        <v>60.72</v>
      </c>
      <c r="H8" s="128" t="n">
        <v>-34.09</v>
      </c>
      <c r="I8" s="128" t="n">
        <v>-54.4</v>
      </c>
      <c r="J8" s="128" t="n">
        <v>-69.71</v>
      </c>
      <c r="K8" s="128" t="n">
        <v>26809.37</v>
      </c>
      <c r="L8" s="129" t="n">
        <f aca="false">AVERAGE(C8:E8)</f>
        <v>-9.27666666666667</v>
      </c>
      <c r="M8" s="130" t="n">
        <f aca="false">AVERAGE(C8:J8)</f>
        <v>-5.0125</v>
      </c>
      <c r="N8" s="130" t="n">
        <f aca="false">RANK(I8,I:I)</f>
        <v>342</v>
      </c>
      <c r="O8" s="127" t="n">
        <f aca="false">RANK(L8,L:L)</f>
        <v>108</v>
      </c>
      <c r="P8" s="128" t="s">
        <v>141</v>
      </c>
      <c r="Q8" s="127" t="n">
        <f aca="false">RANK(M8,M:M)</f>
        <v>248</v>
      </c>
      <c r="R8" s="128" t="s">
        <v>141</v>
      </c>
      <c r="S8" s="136" t="str">
        <f aca="false">IF(ISNUMBER(MATCH(U8,$U$21:$U$38,0)),U8,"")</f>
        <v>TATACOMM</v>
      </c>
      <c r="T8" s="130" t="n">
        <v>2</v>
      </c>
      <c r="U8" s="137" t="str">
        <f aca="false">VLOOKUP(T8,O:P,2,FALSE())</f>
        <v>TATACOMM</v>
      </c>
      <c r="V8" s="138" t="n">
        <f aca="false">VLOOKUP(U8,'Data 2'!$A$2:$K$2250,2,FALSE())</f>
        <v>1604.5</v>
      </c>
      <c r="W8" s="139" t="n">
        <f aca="false">INDEX('Data 2'!$L$2:$L$2250,MATCH(U8,'Data 2'!$A$2:$A$2250,0))</f>
        <v>-96.8233333333333</v>
      </c>
      <c r="X8" s="140" t="n">
        <f aca="false">VLOOKUP(U8,'Data 2'!$A$2:$K$2250,11,FALSE())</f>
        <v>1692.48</v>
      </c>
    </row>
    <row r="9" customFormat="false" ht="15.75" hidden="false" customHeight="true" outlineLevel="0" collapsed="false">
      <c r="A9" s="128" t="s">
        <v>668</v>
      </c>
      <c r="B9" s="128" t="n">
        <v>25960</v>
      </c>
      <c r="C9" s="128" t="n">
        <v>-66.67</v>
      </c>
      <c r="D9" s="128" t="n">
        <v>-71.73</v>
      </c>
      <c r="E9" s="128" t="n">
        <v>35.46</v>
      </c>
      <c r="F9" s="128" t="n">
        <v>88.17</v>
      </c>
      <c r="G9" s="128" t="n">
        <v>116.4</v>
      </c>
      <c r="H9" s="128" t="n">
        <v>157.55</v>
      </c>
      <c r="I9" s="128" t="n">
        <v>182.74</v>
      </c>
      <c r="J9" s="128" t="n">
        <v>170.12</v>
      </c>
      <c r="K9" s="128" t="n">
        <v>23144.56</v>
      </c>
      <c r="L9" s="129" t="n">
        <f aca="false">AVERAGE(C9:E9)</f>
        <v>-34.3133333333333</v>
      </c>
      <c r="M9" s="130" t="n">
        <f aca="false">AVERAGE(C9:J9)</f>
        <v>76.505</v>
      </c>
      <c r="N9" s="130" t="n">
        <f aca="false">RANK(I9,I:I)</f>
        <v>28</v>
      </c>
      <c r="O9" s="127" t="n">
        <f aca="false">RANK(L9,L:L)</f>
        <v>172</v>
      </c>
      <c r="P9" s="128" t="s">
        <v>668</v>
      </c>
      <c r="Q9" s="127" t="n">
        <f aca="false">RANK(M9,M:M)</f>
        <v>53</v>
      </c>
      <c r="R9" s="128" t="s">
        <v>668</v>
      </c>
      <c r="S9" s="136" t="str">
        <f aca="false">IF(ISNUMBER(MATCH(U9,$U$21:$U$38,0)),U9,"")</f>
        <v>LTIM</v>
      </c>
      <c r="T9" s="130" t="n">
        <v>3</v>
      </c>
      <c r="U9" s="137" t="str">
        <f aca="false">VLOOKUP(T9,O:P,2,FALSE())</f>
        <v>LTIM</v>
      </c>
      <c r="V9" s="138" t="n">
        <f aca="false">VLOOKUP(U9,'Data 2'!$A$2:$K$2250,2,FALSE())</f>
        <v>5224.5</v>
      </c>
      <c r="W9" s="139" t="n">
        <f aca="false">INDEX('Data 2'!$L$2:$L$2250,MATCH(U9,'Data 2'!$A$2:$A$2250,0))</f>
        <v>91.2033333333333</v>
      </c>
      <c r="X9" s="140" t="n">
        <f aca="false">VLOOKUP(U9,'Data 2'!$A$2:$K$2250,11,FALSE())</f>
        <v>5239.21</v>
      </c>
    </row>
    <row r="10" customFormat="false" ht="15.75" hidden="false" customHeight="true" outlineLevel="0" collapsed="false">
      <c r="A10" s="128" t="s">
        <v>36</v>
      </c>
      <c r="B10" s="128" t="n">
        <v>16219</v>
      </c>
      <c r="C10" s="128" t="n">
        <v>-66.67</v>
      </c>
      <c r="D10" s="128" t="n">
        <v>-82.89</v>
      </c>
      <c r="E10" s="128" t="n">
        <v>69.85</v>
      </c>
      <c r="F10" s="128" t="n">
        <v>157.46</v>
      </c>
      <c r="G10" s="128" t="n">
        <v>199.26</v>
      </c>
      <c r="H10" s="128" t="n">
        <v>47.45</v>
      </c>
      <c r="I10" s="128" t="n">
        <v>47.22</v>
      </c>
      <c r="J10" s="128" t="n">
        <v>62.61</v>
      </c>
      <c r="K10" s="128" t="n">
        <v>15026.05</v>
      </c>
      <c r="L10" s="129" t="n">
        <f aca="false">AVERAGE(C10:E10)</f>
        <v>-26.57</v>
      </c>
      <c r="M10" s="130" t="n">
        <f aca="false">AVERAGE(C10:J10)</f>
        <v>54.28625</v>
      </c>
      <c r="N10" s="130" t="n">
        <f aca="false">RANK(I10,I:I)</f>
        <v>127</v>
      </c>
      <c r="O10" s="127" t="n">
        <f aca="false">RANK(L10,L:L)</f>
        <v>149</v>
      </c>
      <c r="P10" s="128" t="s">
        <v>492</v>
      </c>
      <c r="Q10" s="127" t="n">
        <f aca="false">RANK(M10,M:M)</f>
        <v>82</v>
      </c>
      <c r="R10" s="128" t="s">
        <v>492</v>
      </c>
      <c r="S10" s="136" t="str">
        <f aca="false">IF(ISNUMBER(MATCH(U10,$U$21:$U$38,0)),U10,"")</f>
        <v/>
      </c>
      <c r="T10" s="130" t="n">
        <v>4</v>
      </c>
      <c r="U10" s="137" t="str">
        <f aca="false">VLOOKUP(T10,O:P,2,FALSE())</f>
        <v>PIIND</v>
      </c>
      <c r="V10" s="138" t="n">
        <f aca="false">VLOOKUP(U10,'Data 2'!$A$2:$K$2250,2,FALSE())</f>
        <v>3865.1</v>
      </c>
      <c r="W10" s="139" t="n">
        <f aca="false">INDEX('Data 2'!$L$2:$L$2250,MATCH(U10,'Data 2'!$A$2:$A$2250,0))</f>
        <v>69.39</v>
      </c>
      <c r="X10" s="140" t="n">
        <f aca="false">VLOOKUP(U10,'Data 2'!$A$2:$K$2250,11,FALSE())</f>
        <v>3955.22</v>
      </c>
    </row>
    <row r="11" customFormat="false" ht="15.75" hidden="false" customHeight="true" outlineLevel="0" collapsed="false">
      <c r="A11" s="128" t="s">
        <v>492</v>
      </c>
      <c r="B11" s="128" t="n">
        <v>13601</v>
      </c>
      <c r="C11" s="128" t="n">
        <v>-66.67</v>
      </c>
      <c r="D11" s="128" t="n">
        <v>-133.33</v>
      </c>
      <c r="E11" s="128" t="n">
        <v>-81.33</v>
      </c>
      <c r="F11" s="128" t="n">
        <v>-5.89</v>
      </c>
      <c r="G11" s="128" t="n">
        <v>20.62</v>
      </c>
      <c r="H11" s="128" t="n">
        <v>-2.09</v>
      </c>
      <c r="I11" s="128" t="n">
        <v>17.57</v>
      </c>
      <c r="J11" s="128" t="n">
        <v>18.44</v>
      </c>
      <c r="K11" s="128" t="n">
        <v>12704.63</v>
      </c>
      <c r="L11" s="129" t="n">
        <f aca="false">AVERAGE(C11:E11)</f>
        <v>-93.7766666666667</v>
      </c>
      <c r="M11" s="130" t="n">
        <f aca="false">AVERAGE(C11:J11)</f>
        <v>-29.085</v>
      </c>
      <c r="N11" s="130" t="n">
        <f aca="false">RANK(I11,I:I)</f>
        <v>174</v>
      </c>
      <c r="O11" s="127" t="n">
        <f aca="false">RANK(L11,L:L)</f>
        <v>468</v>
      </c>
      <c r="P11" s="128" t="s">
        <v>473</v>
      </c>
      <c r="Q11" s="127" t="n">
        <f aca="false">RANK(M11,M:M)</f>
        <v>341</v>
      </c>
      <c r="R11" s="128" t="s">
        <v>473</v>
      </c>
      <c r="S11" s="136" t="str">
        <f aca="false">IF(ISNUMBER(MATCH(U11,$U$21:$U$38,0)),U11,"")</f>
        <v>GODREJCP</v>
      </c>
      <c r="T11" s="130" t="n">
        <v>5</v>
      </c>
      <c r="U11" s="137" t="str">
        <f aca="false">VLOOKUP(T11,O:P,2,FALSE())</f>
        <v>GODREJCP</v>
      </c>
      <c r="V11" s="138" t="n">
        <f aca="false">VLOOKUP(U11,'Data 2'!$A$2:$K$2250,2,FALSE())</f>
        <v>1257.2</v>
      </c>
      <c r="W11" s="139" t="n">
        <f aca="false">INDEX('Data 2'!$L$2:$L$2250,MATCH(U11,'Data 2'!$A$2:$A$2250,0))</f>
        <v>109.083333333333</v>
      </c>
      <c r="X11" s="140" t="n">
        <f aca="false">VLOOKUP(U11,'Data 2'!$A$2:$K$2250,11,FALSE())</f>
        <v>1192.23</v>
      </c>
    </row>
    <row r="12" customFormat="false" ht="15.75" hidden="false" customHeight="true" outlineLevel="0" collapsed="false">
      <c r="A12" s="128" t="s">
        <v>372</v>
      </c>
      <c r="B12" s="128" t="n">
        <v>13499</v>
      </c>
      <c r="C12" s="128" t="n">
        <v>-66.67</v>
      </c>
      <c r="D12" s="128" t="n">
        <v>-82.14</v>
      </c>
      <c r="E12" s="128" t="n">
        <v>58.47</v>
      </c>
      <c r="F12" s="128" t="n">
        <v>146.81</v>
      </c>
      <c r="G12" s="128" t="n">
        <v>155.62</v>
      </c>
      <c r="H12" s="128" t="n">
        <v>75.53</v>
      </c>
      <c r="I12" s="128" t="n">
        <v>75.38</v>
      </c>
      <c r="J12" s="128" t="n">
        <v>44.53</v>
      </c>
      <c r="K12" s="128" t="n">
        <v>12484.26</v>
      </c>
      <c r="L12" s="129" t="n">
        <f aca="false">AVERAGE(C12:E12)</f>
        <v>-30.1133333333333</v>
      </c>
      <c r="M12" s="130" t="n">
        <f aca="false">AVERAGE(C12:J12)</f>
        <v>50.94125</v>
      </c>
      <c r="N12" s="130" t="n">
        <f aca="false">RANK(I12,I:I)</f>
        <v>97</v>
      </c>
      <c r="O12" s="127" t="n">
        <f aca="false">RANK(L12,L:L)</f>
        <v>159</v>
      </c>
      <c r="P12" s="128" t="s">
        <v>36</v>
      </c>
      <c r="Q12" s="127" t="n">
        <f aca="false">RANK(M12,M:M)</f>
        <v>89</v>
      </c>
      <c r="R12" s="128" t="s">
        <v>36</v>
      </c>
      <c r="S12" s="136" t="str">
        <f aca="false">IF(ISNUMBER(MATCH(U12,$U$21:$U$38,0)),U12,"")</f>
        <v>FINPIPE</v>
      </c>
      <c r="T12" s="130" t="n">
        <v>6</v>
      </c>
      <c r="U12" s="137" t="str">
        <f aca="false">VLOOKUP(T12,O:P,2,FALSE())</f>
        <v>FINPIPE</v>
      </c>
      <c r="V12" s="138" t="n">
        <f aca="false">VLOOKUP(U12,'Data 2'!$A$2:$K$2250,2,FALSE())</f>
        <v>211.72</v>
      </c>
      <c r="W12" s="139" t="n">
        <f aca="false">INDEX('Data 2'!$L$2:$L$2250,MATCH(U12,'Data 2'!$A$2:$A$2250,0))</f>
        <v>96.53</v>
      </c>
      <c r="X12" s="140" t="n">
        <f aca="false">VLOOKUP(U12,'Data 2'!$A$2:$K$2250,11,FALSE())</f>
        <v>195.13</v>
      </c>
    </row>
    <row r="13" customFormat="false" ht="15.75" hidden="false" customHeight="true" outlineLevel="0" collapsed="false">
      <c r="A13" s="128" t="s">
        <v>440</v>
      </c>
      <c r="B13" s="128" t="n">
        <v>12757</v>
      </c>
      <c r="C13" s="128" t="n">
        <v>-66.67</v>
      </c>
      <c r="D13" s="128" t="n">
        <v>-32.03</v>
      </c>
      <c r="E13" s="128" t="n">
        <v>71.25</v>
      </c>
      <c r="F13" s="128" t="n">
        <v>150.51</v>
      </c>
      <c r="G13" s="128" t="n">
        <v>178.41</v>
      </c>
      <c r="H13" s="128" t="n">
        <v>236.69</v>
      </c>
      <c r="I13" s="128" t="n">
        <v>264.32</v>
      </c>
      <c r="J13" s="128" t="n">
        <v>227.79</v>
      </c>
      <c r="K13" s="128" t="n">
        <v>12223.18</v>
      </c>
      <c r="L13" s="129" t="n">
        <f aca="false">AVERAGE(C13:E13)</f>
        <v>-9.15</v>
      </c>
      <c r="M13" s="130" t="n">
        <f aca="false">AVERAGE(C13:J13)</f>
        <v>128.78375</v>
      </c>
      <c r="N13" s="130" t="n">
        <f aca="false">RANK(I13,I:I)</f>
        <v>5</v>
      </c>
      <c r="O13" s="127" t="n">
        <f aca="false">RANK(L13,L:L)</f>
        <v>107</v>
      </c>
      <c r="P13" s="128" t="s">
        <v>372</v>
      </c>
      <c r="Q13" s="127" t="n">
        <f aca="false">RANK(M13,M:M)</f>
        <v>15</v>
      </c>
      <c r="R13" s="128" t="s">
        <v>372</v>
      </c>
      <c r="S13" s="136" t="str">
        <f aca="false">IF(ISNUMBER(MATCH(U13,$U$21:$U$38,0)),U13,"")</f>
        <v/>
      </c>
      <c r="T13" s="130" t="n">
        <v>7</v>
      </c>
      <c r="U13" s="137" t="str">
        <f aca="false">VLOOKUP(T13,O:P,2,FALSE())</f>
        <v>RELIANCE</v>
      </c>
      <c r="V13" s="138" t="n">
        <f aca="false">VLOOKUP(U13,'Data 2'!$A$2:$K$2250,2,FALSE())</f>
        <v>1409.2</v>
      </c>
      <c r="W13" s="139" t="n">
        <f aca="false">INDEX('Data 2'!$L$2:$L$2250,MATCH(U13,'Data 2'!$A$2:$A$2250,0))</f>
        <v>-11.3766666666667</v>
      </c>
      <c r="X13" s="140" t="n">
        <f aca="false">VLOOKUP(U13,'Data 2'!$A$2:$K$2250,11,FALSE())</f>
        <v>1380.5</v>
      </c>
    </row>
    <row r="14" customFormat="false" ht="15.75" hidden="false" customHeight="true" outlineLevel="0" collapsed="false">
      <c r="A14" s="128" t="s">
        <v>473</v>
      </c>
      <c r="B14" s="128" t="n">
        <v>12611</v>
      </c>
      <c r="C14" s="128" t="n">
        <v>-66.67</v>
      </c>
      <c r="D14" s="128" t="n">
        <v>-84.04</v>
      </c>
      <c r="E14" s="128" t="n">
        <v>-44.01</v>
      </c>
      <c r="F14" s="128" t="n">
        <v>30.94</v>
      </c>
      <c r="G14" s="128" t="n">
        <v>82.19</v>
      </c>
      <c r="H14" s="128" t="n">
        <v>114.29</v>
      </c>
      <c r="I14" s="128" t="n">
        <v>39.44</v>
      </c>
      <c r="J14" s="128" t="n">
        <v>-0.392</v>
      </c>
      <c r="K14" s="128" t="n">
        <v>11949.03</v>
      </c>
      <c r="L14" s="129" t="n">
        <f aca="false">AVERAGE(C14:E14)</f>
        <v>-64.9066666666667</v>
      </c>
      <c r="M14" s="130" t="n">
        <f aca="false">AVERAGE(C14:J14)</f>
        <v>8.9685</v>
      </c>
      <c r="N14" s="130" t="n">
        <f aca="false">RANK(I14,I:I)</f>
        <v>139</v>
      </c>
      <c r="O14" s="127" t="n">
        <f aca="false">RANK(L14,L:L)</f>
        <v>351</v>
      </c>
      <c r="P14" s="128" t="s">
        <v>158</v>
      </c>
      <c r="Q14" s="127" t="n">
        <f aca="false">RANK(M14,M:M)</f>
        <v>206</v>
      </c>
      <c r="R14" s="128" t="s">
        <v>158</v>
      </c>
      <c r="S14" s="136" t="str">
        <f aca="false">IF(ISNUMBER(MATCH(U14,$U$21:$U$38,0)),U14,"")</f>
        <v/>
      </c>
      <c r="T14" s="130" t="n">
        <v>8</v>
      </c>
      <c r="U14" s="137" t="str">
        <f aca="false">VLOOKUP(T14,O:P,2,FALSE())</f>
        <v>NUVAMA</v>
      </c>
      <c r="V14" s="138" t="n">
        <f aca="false">VLOOKUP(U14,'Data 2'!$A$2:$K$2250,2,FALSE())</f>
        <v>6980.5</v>
      </c>
      <c r="W14" s="139" t="n">
        <f aca="false">INDEX('Data 2'!$L$2:$L$2250,MATCH(U14,'Data 2'!$A$2:$A$2250,0))</f>
        <v>85.6533333333334</v>
      </c>
      <c r="X14" s="140" t="n">
        <f aca="false">VLOOKUP(U14,'Data 2'!$A$2:$K$2250,11,FALSE())</f>
        <v>7274.01</v>
      </c>
    </row>
    <row r="15" customFormat="false" ht="15.75" hidden="false" customHeight="true" outlineLevel="0" collapsed="false">
      <c r="A15" s="128" t="s">
        <v>671</v>
      </c>
      <c r="B15" s="128" t="n">
        <v>12300</v>
      </c>
      <c r="C15" s="128" t="n">
        <v>-66.67</v>
      </c>
      <c r="D15" s="128" t="n">
        <v>-123.01</v>
      </c>
      <c r="E15" s="128" t="n">
        <v>7.17</v>
      </c>
      <c r="F15" s="128" t="n">
        <v>84.59</v>
      </c>
      <c r="G15" s="128" t="n">
        <v>21.95</v>
      </c>
      <c r="H15" s="128" t="n">
        <v>-15.23</v>
      </c>
      <c r="I15" s="128" t="n">
        <v>-44.86</v>
      </c>
      <c r="J15" s="128" t="n">
        <v>-44.53</v>
      </c>
      <c r="K15" s="128" t="n">
        <v>11515.11</v>
      </c>
      <c r="L15" s="129" t="n">
        <f aca="false">AVERAGE(C15:E15)</f>
        <v>-60.8366666666667</v>
      </c>
      <c r="M15" s="130" t="n">
        <f aca="false">AVERAGE(C15:J15)</f>
        <v>-22.57375</v>
      </c>
      <c r="N15" s="130" t="n">
        <f aca="false">RANK(I15,I:I)</f>
        <v>304</v>
      </c>
      <c r="O15" s="127" t="n">
        <f aca="false">RANK(L15,L:L)</f>
        <v>305</v>
      </c>
      <c r="P15" s="128" t="s">
        <v>127</v>
      </c>
      <c r="Q15" s="127" t="n">
        <f aca="false">RANK(M15,M:M)</f>
        <v>311</v>
      </c>
      <c r="R15" s="128" t="s">
        <v>127</v>
      </c>
      <c r="S15" s="136" t="str">
        <f aca="false">IF(ISNUMBER(MATCH(U15,$U$21:$U$38,0)),U15,"")</f>
        <v/>
      </c>
      <c r="T15" s="130" t="n">
        <v>9</v>
      </c>
      <c r="U15" s="137" t="str">
        <f aca="false">VLOOKUP(T15,O:P,2,FALSE())</f>
        <v>AXISBANK</v>
      </c>
      <c r="V15" s="138" t="n">
        <f aca="false">VLOOKUP(U15,'Data 2'!$A$2:$K$2250,2,FALSE())</f>
        <v>1070.9</v>
      </c>
      <c r="W15" s="139" t="n">
        <f aca="false">INDEX('Data 2'!$L$2:$L$2250,MATCH(U15,'Data 2'!$A$2:$A$2250,0))</f>
        <v>-70.3533333333333</v>
      </c>
      <c r="X15" s="140" t="n">
        <f aca="false">VLOOKUP(U15,'Data 2'!$A$2:$K$2250,11,FALSE())</f>
        <v>1100.97</v>
      </c>
    </row>
    <row r="16" customFormat="false" ht="15.75" hidden="false" customHeight="true" outlineLevel="0" collapsed="false">
      <c r="A16" s="128" t="s">
        <v>127</v>
      </c>
      <c r="B16" s="128" t="n">
        <v>12237</v>
      </c>
      <c r="C16" s="128" t="n">
        <v>66.67</v>
      </c>
      <c r="D16" s="128" t="n">
        <v>91.78</v>
      </c>
      <c r="E16" s="128" t="n">
        <v>112.48</v>
      </c>
      <c r="F16" s="128" t="n">
        <v>131.42</v>
      </c>
      <c r="G16" s="128" t="n">
        <v>159.03</v>
      </c>
      <c r="H16" s="128" t="n">
        <v>155.07</v>
      </c>
      <c r="I16" s="128" t="n">
        <v>159.75</v>
      </c>
      <c r="J16" s="128" t="n">
        <v>158.01</v>
      </c>
      <c r="K16" s="128" t="n">
        <v>11346.13</v>
      </c>
      <c r="L16" s="129" t="n">
        <f aca="false">AVERAGE(C16:E16)</f>
        <v>90.31</v>
      </c>
      <c r="M16" s="130" t="n">
        <f aca="false">AVERAGE(C16:J16)</f>
        <v>129.27625</v>
      </c>
      <c r="N16" s="130" t="n">
        <f aca="false">RANK(I16,I:I)</f>
        <v>41</v>
      </c>
      <c r="O16" s="127" t="n">
        <f aca="false">RANK(L16,L:L)</f>
        <v>15</v>
      </c>
      <c r="P16" s="128" t="s">
        <v>671</v>
      </c>
      <c r="Q16" s="127" t="n">
        <f aca="false">RANK(M16,M:M)</f>
        <v>14</v>
      </c>
      <c r="R16" s="128" t="s">
        <v>671</v>
      </c>
      <c r="S16" s="136" t="str">
        <f aca="false">IF(ISNUMBER(MATCH(U16,$U$21:$U$38,0)),U16,"")</f>
        <v>BAYERCROP</v>
      </c>
      <c r="T16" s="130" t="n">
        <v>10</v>
      </c>
      <c r="U16" s="137" t="str">
        <f aca="false">VLOOKUP(T16,O:P,2,FALSE())</f>
        <v>BAYERCROP</v>
      </c>
      <c r="V16" s="138" t="n">
        <f aca="false">VLOOKUP(U16,'Data 2'!$A$2:$K$2250,2,FALSE())</f>
        <v>5515</v>
      </c>
      <c r="W16" s="139" t="n">
        <f aca="false">INDEX('Data 2'!$L$2:$L$2250,MATCH(U16,'Data 2'!$A$2:$A$2250,0))</f>
        <v>-80.0066666666667</v>
      </c>
      <c r="X16" s="140" t="n">
        <f aca="false">VLOOKUP(U16,'Data 2'!$A$2:$K$2250,11,FALSE())</f>
        <v>5872.05</v>
      </c>
    </row>
    <row r="17" customFormat="false" ht="15.75" hidden="false" customHeight="true" outlineLevel="0" collapsed="false">
      <c r="A17" s="128" t="s">
        <v>325</v>
      </c>
      <c r="B17" s="128" t="n">
        <v>12198</v>
      </c>
      <c r="C17" s="128" t="n">
        <v>-66.67</v>
      </c>
      <c r="D17" s="128" t="n">
        <v>-124.15</v>
      </c>
      <c r="E17" s="128" t="n">
        <v>54.2</v>
      </c>
      <c r="F17" s="128" t="n">
        <v>58.3</v>
      </c>
      <c r="G17" s="128" t="n">
        <v>82.95</v>
      </c>
      <c r="H17" s="128" t="n">
        <v>101.7</v>
      </c>
      <c r="I17" s="128" t="n">
        <v>113.35</v>
      </c>
      <c r="J17" s="128" t="n">
        <v>125.98</v>
      </c>
      <c r="K17" s="128" t="n">
        <v>11283.95</v>
      </c>
      <c r="L17" s="129" t="n">
        <f aca="false">AVERAGE(C17:E17)</f>
        <v>-45.54</v>
      </c>
      <c r="M17" s="130" t="n">
        <f aca="false">AVERAGE(C17:J17)</f>
        <v>43.2075</v>
      </c>
      <c r="N17" s="130" t="n">
        <f aca="false">RANK(I17,I:I)</f>
        <v>69</v>
      </c>
      <c r="O17" s="127" t="n">
        <f aca="false">RANK(L17,L:L)</f>
        <v>218</v>
      </c>
      <c r="P17" s="128" t="s">
        <v>325</v>
      </c>
      <c r="Q17" s="127" t="n">
        <f aca="false">RANK(M17,M:M)</f>
        <v>109</v>
      </c>
      <c r="R17" s="128" t="s">
        <v>325</v>
      </c>
      <c r="S17" s="136" t="str">
        <f aca="false">IF(ISNUMBER(MATCH(U17,$U$21:$U$38,0)),U17,"")</f>
        <v/>
      </c>
      <c r="T17" s="130" t="n">
        <v>11</v>
      </c>
      <c r="U17" s="137" t="str">
        <f aca="false">VLOOKUP(T17,O:P,2,FALSE())</f>
        <v>AMBER</v>
      </c>
      <c r="V17" s="138" t="n">
        <f aca="false">VLOOKUP(U17,'Data 2'!$A$2:$K$2250,2,FALSE())</f>
        <v>7260.5</v>
      </c>
      <c r="W17" s="139" t="n">
        <f aca="false">INDEX('Data 2'!$L$2:$L$2250,MATCH(U17,'Data 2'!$A$2:$A$2250,0))</f>
        <v>-55.6233333333333</v>
      </c>
      <c r="X17" s="140" t="n">
        <f aca="false">VLOOKUP(U17,'Data 2'!$A$2:$K$2250,11,FALSE())</f>
        <v>7512.77</v>
      </c>
    </row>
    <row r="18" customFormat="false" ht="15.75" hidden="false" customHeight="true" outlineLevel="0" collapsed="false">
      <c r="A18" s="128" t="s">
        <v>158</v>
      </c>
      <c r="B18" s="128" t="n">
        <v>11698</v>
      </c>
      <c r="C18" s="128" t="n">
        <v>-66.67</v>
      </c>
      <c r="D18" s="128" t="n">
        <v>-36.96</v>
      </c>
      <c r="E18" s="128" t="n">
        <v>38.16</v>
      </c>
      <c r="F18" s="128" t="n">
        <v>68.36</v>
      </c>
      <c r="G18" s="128" t="n">
        <v>-39.37</v>
      </c>
      <c r="H18" s="128" t="n">
        <v>-12.19</v>
      </c>
      <c r="I18" s="128" t="n">
        <v>14.28</v>
      </c>
      <c r="J18" s="128" t="n">
        <v>-6.66</v>
      </c>
      <c r="K18" s="128" t="n">
        <v>11366.92</v>
      </c>
      <c r="L18" s="129" t="n">
        <f aca="false">AVERAGE(C18:E18)</f>
        <v>-21.8233333333333</v>
      </c>
      <c r="M18" s="130" t="n">
        <f aca="false">AVERAGE(C18:J18)</f>
        <v>-5.13125</v>
      </c>
      <c r="N18" s="130" t="n">
        <f aca="false">RANK(I18,I:I)</f>
        <v>179</v>
      </c>
      <c r="O18" s="127" t="n">
        <f aca="false">RANK(L18,L:L)</f>
        <v>138</v>
      </c>
      <c r="P18" s="128" t="s">
        <v>440</v>
      </c>
      <c r="Q18" s="127" t="n">
        <f aca="false">RANK(M18,M:M)</f>
        <v>249</v>
      </c>
      <c r="R18" s="128" t="s">
        <v>440</v>
      </c>
      <c r="S18" s="136" t="str">
        <f aca="false">IF(ISNUMBER(MATCH(U18,$U$21:$U$38,0)),U18,"")</f>
        <v>DEEPAKNTR</v>
      </c>
      <c r="T18" s="130" t="n">
        <v>12</v>
      </c>
      <c r="U18" s="137" t="str">
        <f aca="false">VLOOKUP(T18,O:P,2,FALSE())</f>
        <v>DEEPAKNTR</v>
      </c>
      <c r="V18" s="138" t="n">
        <f aca="false">VLOOKUP(U18,'Data 2'!$A$2:$K$2250,2,FALSE())</f>
        <v>1805.2</v>
      </c>
      <c r="W18" s="139" t="n">
        <f aca="false">INDEX('Data 2'!$L$2:$L$2250,MATCH(U18,'Data 2'!$A$2:$A$2250,0))</f>
        <v>-73.2266666666667</v>
      </c>
      <c r="X18" s="140" t="n">
        <f aca="false">VLOOKUP(U18,'Data 2'!$A$2:$K$2250,11,FALSE())</f>
        <v>1881.12</v>
      </c>
    </row>
    <row r="19" customFormat="false" ht="15.75" hidden="false" customHeight="true" outlineLevel="0" collapsed="false">
      <c r="A19" s="128" t="s">
        <v>140</v>
      </c>
      <c r="B19" s="128" t="n">
        <v>9112</v>
      </c>
      <c r="C19" s="128" t="n">
        <v>-66.67</v>
      </c>
      <c r="D19" s="128" t="n">
        <v>-125.52</v>
      </c>
      <c r="E19" s="128" t="n">
        <v>6.62</v>
      </c>
      <c r="F19" s="128" t="n">
        <v>78.64</v>
      </c>
      <c r="G19" s="128" t="n">
        <v>124.19</v>
      </c>
      <c r="H19" s="128" t="n">
        <v>104.31</v>
      </c>
      <c r="I19" s="128" t="n">
        <v>113.56</v>
      </c>
      <c r="J19" s="128" t="n">
        <v>135.67</v>
      </c>
      <c r="K19" s="128" t="n">
        <v>8843.59</v>
      </c>
      <c r="L19" s="129" t="n">
        <f aca="false">AVERAGE(C19:E19)</f>
        <v>-61.8566666666667</v>
      </c>
      <c r="M19" s="130" t="n">
        <f aca="false">AVERAGE(C19:J19)</f>
        <v>46.35</v>
      </c>
      <c r="N19" s="130" t="n">
        <f aca="false">RANK(I19,I:I)</f>
        <v>68</v>
      </c>
      <c r="O19" s="127" t="n">
        <f aca="false">RANK(L19,L:L)</f>
        <v>317</v>
      </c>
      <c r="P19" s="128" t="s">
        <v>140</v>
      </c>
      <c r="Q19" s="127" t="n">
        <f aca="false">RANK(M19,M:M)</f>
        <v>101</v>
      </c>
      <c r="R19" s="128" t="s">
        <v>140</v>
      </c>
      <c r="S19" s="136" t="str">
        <f aca="false">IF(ISNUMBER(MATCH(U19,$U$21:$U$38,0)),U19,"")</f>
        <v/>
      </c>
      <c r="T19" s="130" t="n">
        <v>13</v>
      </c>
      <c r="U19" s="137" t="str">
        <f aca="false">VLOOKUP(T19,O:P,2,FALSE())</f>
        <v>ACE</v>
      </c>
      <c r="V19" s="138" t="n">
        <f aca="false">VLOOKUP(U19,'Data 2'!$A$2:$K$2250,2,FALSE())</f>
        <v>985.4</v>
      </c>
      <c r="W19" s="139" t="n">
        <f aca="false">INDEX('Data 2'!$L$2:$L$2250,MATCH(U19,'Data 2'!$A$2:$A$2250,0))</f>
        <v>-45.7866666666667</v>
      </c>
      <c r="X19" s="140" t="n">
        <f aca="false">VLOOKUP(U19,'Data 2'!$A$2:$K$2250,11,FALSE())</f>
        <v>1016.85</v>
      </c>
    </row>
    <row r="20" customFormat="false" ht="15.75" hidden="false" customHeight="true" outlineLevel="0" collapsed="false">
      <c r="A20" s="128" t="s">
        <v>311</v>
      </c>
      <c r="B20" s="128" t="n">
        <v>8725</v>
      </c>
      <c r="C20" s="128" t="n">
        <v>-66.67</v>
      </c>
      <c r="D20" s="128" t="n">
        <v>-115.05</v>
      </c>
      <c r="E20" s="128" t="n">
        <v>14.94</v>
      </c>
      <c r="F20" s="128" t="n">
        <v>77.82</v>
      </c>
      <c r="G20" s="128" t="n">
        <v>117.42</v>
      </c>
      <c r="H20" s="128" t="n">
        <v>147.47</v>
      </c>
      <c r="I20" s="128" t="n">
        <v>171.48</v>
      </c>
      <c r="J20" s="128" t="n">
        <v>183.58</v>
      </c>
      <c r="K20" s="128" t="n">
        <v>8114.51</v>
      </c>
      <c r="L20" s="129" t="n">
        <f aca="false">AVERAGE(C20:E20)</f>
        <v>-55.5933333333333</v>
      </c>
      <c r="M20" s="130" t="n">
        <f aca="false">AVERAGE(C20:J20)</f>
        <v>66.37375</v>
      </c>
      <c r="N20" s="130" t="n">
        <f aca="false">RANK(I20,I:I)</f>
        <v>33</v>
      </c>
      <c r="O20" s="127" t="n">
        <f aca="false">RANK(L20,L:L)</f>
        <v>267</v>
      </c>
      <c r="P20" s="128" t="s">
        <v>311</v>
      </c>
      <c r="Q20" s="127" t="n">
        <f aca="false">RANK(M20,M:M)</f>
        <v>65</v>
      </c>
      <c r="R20" s="128" t="s">
        <v>311</v>
      </c>
      <c r="S20" s="136" t="str">
        <f aca="false">IF(ISNUMBER(MATCH(U20,$U$21:$U$38,0)),U20,"")</f>
        <v/>
      </c>
      <c r="T20" s="130" t="n">
        <v>14</v>
      </c>
      <c r="U20" s="137" t="str">
        <f aca="false">VLOOKUP(T20,O:P,2,FALSE())</f>
        <v>NLCINDIA</v>
      </c>
      <c r="V20" s="138" t="n">
        <f aca="false">VLOOKUP(U20,'Data 2'!$A$2:$K$2250,2,FALSE())</f>
        <v>234.7</v>
      </c>
      <c r="W20" s="139" t="n">
        <f aca="false">INDEX('Data 2'!$L$2:$L$2250,MATCH(U20,'Data 2'!$A$2:$A$2250,0))</f>
        <v>-84.06</v>
      </c>
      <c r="X20" s="140" t="n">
        <f aca="false">VLOOKUP(U20,'Data 2'!$A$2:$K$2250,11,FALSE())</f>
        <v>246.75</v>
      </c>
    </row>
    <row r="21" customFormat="false" ht="15.75" hidden="false" customHeight="true" outlineLevel="0" collapsed="false">
      <c r="A21" s="128" t="s">
        <v>54</v>
      </c>
      <c r="B21" s="128" t="n">
        <v>8604</v>
      </c>
      <c r="C21" s="128" t="n">
        <v>-66.67</v>
      </c>
      <c r="D21" s="128" t="n">
        <v>46.69</v>
      </c>
      <c r="E21" s="128" t="n">
        <v>104</v>
      </c>
      <c r="F21" s="128" t="n">
        <v>203.16</v>
      </c>
      <c r="G21" s="128" t="n">
        <v>42.56</v>
      </c>
      <c r="H21" s="128" t="n">
        <v>-32.33</v>
      </c>
      <c r="I21" s="128" t="n">
        <v>-51.05</v>
      </c>
      <c r="J21" s="128" t="n">
        <v>-65.67</v>
      </c>
      <c r="K21" s="128" t="n">
        <v>8047.05</v>
      </c>
      <c r="L21" s="129" t="n">
        <f aca="false">AVERAGE(C21:E21)</f>
        <v>28.0066666666667</v>
      </c>
      <c r="M21" s="130" t="n">
        <f aca="false">AVERAGE(C21:J21)</f>
        <v>22.58625</v>
      </c>
      <c r="N21" s="130" t="n">
        <f aca="false">RANK(I21,I:I)</f>
        <v>331</v>
      </c>
      <c r="O21" s="127" t="n">
        <f aca="false">RANK(L21,L:L)</f>
        <v>48</v>
      </c>
      <c r="P21" s="128" t="s">
        <v>406</v>
      </c>
      <c r="Q21" s="127" t="n">
        <f aca="false">RANK(M21,M:M)</f>
        <v>160</v>
      </c>
      <c r="R21" s="128" t="s">
        <v>406</v>
      </c>
      <c r="S21" s="136" t="str">
        <f aca="false">IF(ISNUMBER(MATCH(U21,$U$23:$U$38,0)),U21,"")</f>
        <v>NEULANDLAB</v>
      </c>
      <c r="T21" s="141" t="n">
        <v>15</v>
      </c>
      <c r="U21" s="137" t="str">
        <f aca="false">VLOOKUP(T21,O:P,2,FALSE())</f>
        <v>NEULANDLAB</v>
      </c>
      <c r="V21" s="138" t="n">
        <f aca="false">VLOOKUP(U21,'Data 2'!$A$2:$K$2250,2,FALSE())</f>
        <v>13888</v>
      </c>
      <c r="W21" s="139" t="n">
        <f aca="false">INDEX('Data 2'!$L$2:$L$2250,MATCH(U21,'Data 2'!$A$2:$A$2250,0))</f>
        <v>87.2033333333333</v>
      </c>
      <c r="X21" s="140" t="n">
        <f aca="false">VLOOKUP(U21,'Data 2'!$A$2:$K$2250,11,FALSE())</f>
        <v>13907.56</v>
      </c>
    </row>
    <row r="22" customFormat="false" ht="15.75" hidden="false" customHeight="true" outlineLevel="0" collapsed="false">
      <c r="A22" s="128" t="s">
        <v>406</v>
      </c>
      <c r="B22" s="128" t="n">
        <v>8167</v>
      </c>
      <c r="C22" s="128" t="n">
        <v>-66.67</v>
      </c>
      <c r="D22" s="128" t="n">
        <v>-48.36</v>
      </c>
      <c r="E22" s="128" t="n">
        <v>62.29</v>
      </c>
      <c r="F22" s="128" t="n">
        <v>93.12</v>
      </c>
      <c r="G22" s="128" t="n">
        <v>-2.64</v>
      </c>
      <c r="H22" s="128" t="n">
        <v>-48.82</v>
      </c>
      <c r="I22" s="128" t="n">
        <v>-67.45</v>
      </c>
      <c r="J22" s="128" t="n">
        <v>-73.71</v>
      </c>
      <c r="K22" s="128" t="n">
        <v>7675.65</v>
      </c>
      <c r="L22" s="129" t="n">
        <f aca="false">AVERAGE(C22:E22)</f>
        <v>-17.58</v>
      </c>
      <c r="M22" s="130" t="n">
        <f aca="false">AVERAGE(C22:J22)</f>
        <v>-19.03</v>
      </c>
      <c r="N22" s="130" t="n">
        <f aca="false">RANK(I22,I:I)</f>
        <v>386</v>
      </c>
      <c r="O22" s="127" t="n">
        <f aca="false">RANK(L22,L:L)</f>
        <v>127</v>
      </c>
      <c r="P22" s="128" t="s">
        <v>131</v>
      </c>
      <c r="Q22" s="127" t="n">
        <f aca="false">RANK(M22,M:M)</f>
        <v>300</v>
      </c>
      <c r="R22" s="128" t="s">
        <v>131</v>
      </c>
      <c r="S22" s="128"/>
      <c r="T22" s="142"/>
      <c r="U22" s="142"/>
      <c r="V22" s="143"/>
      <c r="W22" s="143"/>
      <c r="X22" s="142"/>
    </row>
    <row r="23" customFormat="false" ht="15.75" hidden="false" customHeight="true" outlineLevel="0" collapsed="false">
      <c r="A23" s="128" t="s">
        <v>131</v>
      </c>
      <c r="B23" s="128" t="n">
        <v>8034</v>
      </c>
      <c r="C23" s="128" t="n">
        <v>-66.67</v>
      </c>
      <c r="D23" s="128" t="n">
        <v>-96.46</v>
      </c>
      <c r="E23" s="128" t="n">
        <v>35.86</v>
      </c>
      <c r="F23" s="128" t="n">
        <v>72.98</v>
      </c>
      <c r="G23" s="128" t="n">
        <v>-8.81</v>
      </c>
      <c r="H23" s="128" t="n">
        <v>-39.03</v>
      </c>
      <c r="I23" s="128" t="n">
        <v>-65.71</v>
      </c>
      <c r="J23" s="128" t="n">
        <v>-71.28</v>
      </c>
      <c r="K23" s="128" t="n">
        <v>7689.34</v>
      </c>
      <c r="L23" s="129" t="n">
        <f aca="false">AVERAGE(C23:E23)</f>
        <v>-42.4233333333333</v>
      </c>
      <c r="M23" s="130" t="n">
        <f aca="false">AVERAGE(C23:J23)</f>
        <v>-29.89</v>
      </c>
      <c r="N23" s="130" t="n">
        <f aca="false">RANK(I23,I:I)</f>
        <v>373</v>
      </c>
      <c r="O23" s="127" t="n">
        <f aca="false">RANK(L23,L:L)</f>
        <v>208</v>
      </c>
      <c r="P23" s="128" t="s">
        <v>54</v>
      </c>
      <c r="Q23" s="127" t="n">
        <f aca="false">RANK(M23,M:M)</f>
        <v>346</v>
      </c>
      <c r="R23" s="128" t="s">
        <v>54</v>
      </c>
      <c r="S23" s="136"/>
      <c r="T23" s="144" t="s">
        <v>30</v>
      </c>
      <c r="U23" s="145" t="s">
        <v>24</v>
      </c>
      <c r="V23" s="145" t="s">
        <v>31</v>
      </c>
      <c r="W23" s="134" t="s">
        <v>52</v>
      </c>
      <c r="X23" s="135" t="s">
        <v>33</v>
      </c>
    </row>
    <row r="24" customFormat="false" ht="15.75" hidden="false" customHeight="true" outlineLevel="0" collapsed="false">
      <c r="A24" s="128" t="s">
        <v>410</v>
      </c>
      <c r="B24" s="128" t="n">
        <v>8020.5</v>
      </c>
      <c r="C24" s="128" t="n">
        <v>-66.67</v>
      </c>
      <c r="D24" s="128" t="n">
        <v>44.72</v>
      </c>
      <c r="E24" s="128" t="n">
        <v>111.42</v>
      </c>
      <c r="F24" s="128" t="n">
        <v>138.07</v>
      </c>
      <c r="G24" s="128" t="n">
        <v>159.56</v>
      </c>
      <c r="H24" s="128" t="n">
        <v>192.95</v>
      </c>
      <c r="I24" s="128" t="n">
        <v>202.41</v>
      </c>
      <c r="J24" s="128" t="n">
        <v>165.23</v>
      </c>
      <c r="K24" s="128" t="n">
        <v>7292.81</v>
      </c>
      <c r="L24" s="129" t="n">
        <f aca="false">AVERAGE(C24:E24)</f>
        <v>29.8233333333333</v>
      </c>
      <c r="M24" s="130" t="n">
        <f aca="false">AVERAGE(C24:J24)</f>
        <v>118.46125</v>
      </c>
      <c r="N24" s="130" t="n">
        <f aca="false">RANK(I24,I:I)</f>
        <v>22</v>
      </c>
      <c r="O24" s="127" t="n">
        <f aca="false">RANK(L24,L:L)</f>
        <v>45</v>
      </c>
      <c r="P24" s="128" t="s">
        <v>129</v>
      </c>
      <c r="Q24" s="127" t="n">
        <f aca="false">RANK(M24,M:M)</f>
        <v>18</v>
      </c>
      <c r="R24" s="128" t="s">
        <v>129</v>
      </c>
      <c r="S24" s="136"/>
      <c r="T24" s="146" t="n">
        <v>1</v>
      </c>
      <c r="U24" s="147" t="str">
        <f aca="false">VLOOKUP(T24,Q:R,2,FALSE())</f>
        <v>PNB</v>
      </c>
      <c r="V24" s="138" t="n">
        <f aca="false">VLOOKUP(U24,'Data 2'!$A$2:$K$2250,2,FALSE())</f>
        <v>105.29</v>
      </c>
      <c r="W24" s="139" t="n">
        <f aca="false">INDEX('Data 2'!$M$2:$M$2250,MATCH(U24,'Data 2'!$A$2:$A$2250,0))</f>
        <v>-30.45</v>
      </c>
      <c r="X24" s="140" t="n">
        <f aca="false">VLOOKUP(U24,'Data 2'!$A$2:$K$2250,11,FALSE())</f>
        <v>108.94</v>
      </c>
    </row>
    <row r="25" customFormat="false" ht="15.75" hidden="false" customHeight="true" outlineLevel="0" collapsed="false">
      <c r="A25" s="128" t="s">
        <v>85</v>
      </c>
      <c r="B25" s="128" t="n">
        <v>7390</v>
      </c>
      <c r="C25" s="128" t="n">
        <v>66.67</v>
      </c>
      <c r="D25" s="128" t="n">
        <v>57.22</v>
      </c>
      <c r="E25" s="128" t="n">
        <v>100.39</v>
      </c>
      <c r="F25" s="128" t="n">
        <v>14.19</v>
      </c>
      <c r="G25" s="128" t="n">
        <v>-36.54</v>
      </c>
      <c r="H25" s="128" t="n">
        <v>-66.62</v>
      </c>
      <c r="I25" s="128" t="n">
        <v>-78.44</v>
      </c>
      <c r="J25" s="128" t="n">
        <v>-57.63</v>
      </c>
      <c r="K25" s="128" t="n">
        <v>6526.18</v>
      </c>
      <c r="L25" s="129" t="n">
        <f aca="false">AVERAGE(C25:E25)</f>
        <v>74.76</v>
      </c>
      <c r="M25" s="130" t="n">
        <f aca="false">AVERAGE(C25:J25)</f>
        <v>-0.0949999999999989</v>
      </c>
      <c r="N25" s="130" t="n">
        <f aca="false">RANK(I25,I:I)</f>
        <v>416</v>
      </c>
      <c r="O25" s="127" t="n">
        <f aca="false">RANK(L25,L:L)</f>
        <v>26</v>
      </c>
      <c r="P25" s="128" t="s">
        <v>46</v>
      </c>
      <c r="Q25" s="127" t="n">
        <f aca="false">RANK(M25,M:M)</f>
        <v>232</v>
      </c>
      <c r="R25" s="128" t="s">
        <v>46</v>
      </c>
      <c r="S25" s="136"/>
      <c r="T25" s="130" t="n">
        <v>2</v>
      </c>
      <c r="U25" s="147" t="str">
        <f aca="false">VLOOKUP(T25,Q:R,2,FALSE())</f>
        <v>TATACOMM</v>
      </c>
      <c r="V25" s="138" t="n">
        <f aca="false">VLOOKUP(U25,'Data 2'!$A$2:$K$2250,2,FALSE())</f>
        <v>1604.5</v>
      </c>
      <c r="W25" s="139" t="n">
        <f aca="false">INDEX('Data 2'!$M$2:$M$2250,MATCH(U25,'Data 2'!$A$2:$A$2250,0))</f>
        <v>-96.975</v>
      </c>
      <c r="X25" s="140" t="n">
        <f aca="false">VLOOKUP(U25,'Data 2'!$A$2:$K$2250,11,FALSE())</f>
        <v>1692.48</v>
      </c>
    </row>
    <row r="26" customFormat="false" ht="15.75" hidden="false" customHeight="true" outlineLevel="0" collapsed="false">
      <c r="A26" s="128" t="s">
        <v>46</v>
      </c>
      <c r="B26" s="128" t="n">
        <v>7038.5</v>
      </c>
      <c r="C26" s="128" t="n">
        <v>-66.67</v>
      </c>
      <c r="D26" s="128" t="n">
        <v>36.26</v>
      </c>
      <c r="E26" s="128" t="n">
        <v>85.76</v>
      </c>
      <c r="F26" s="128" t="n">
        <v>91.01</v>
      </c>
      <c r="G26" s="128" t="n">
        <v>-3.38</v>
      </c>
      <c r="H26" s="128" t="n">
        <v>-44.7</v>
      </c>
      <c r="I26" s="128" t="n">
        <v>-62.31</v>
      </c>
      <c r="J26" s="128" t="n">
        <v>-77.18</v>
      </c>
      <c r="K26" s="128" t="n">
        <v>6482.71</v>
      </c>
      <c r="L26" s="129" t="n">
        <f aca="false">AVERAGE(C26:E26)</f>
        <v>18.45</v>
      </c>
      <c r="M26" s="130" t="n">
        <f aca="false">AVERAGE(C26:J26)</f>
        <v>-5.15125</v>
      </c>
      <c r="N26" s="130" t="n">
        <f aca="false">RANK(I26,I:I)</f>
        <v>367</v>
      </c>
      <c r="O26" s="127" t="n">
        <f aca="false">RANK(L26,L:L)</f>
        <v>58</v>
      </c>
      <c r="P26" s="128" t="s">
        <v>410</v>
      </c>
      <c r="Q26" s="127" t="n">
        <f aca="false">RANK(M26,M:M)</f>
        <v>250</v>
      </c>
      <c r="R26" s="128" t="s">
        <v>410</v>
      </c>
      <c r="S26" s="136"/>
      <c r="T26" s="130" t="n">
        <v>3</v>
      </c>
      <c r="U26" s="147" t="str">
        <f aca="false">VLOOKUP(T26,Q:R,2,FALSE())</f>
        <v>DEEPAKNTR</v>
      </c>
      <c r="V26" s="138" t="n">
        <f aca="false">VLOOKUP(U26,'Data 2'!$A$2:$K$2250,2,FALSE())</f>
        <v>1805.2</v>
      </c>
      <c r="W26" s="139" t="n">
        <f aca="false">INDEX('Data 2'!$M$2:$M$2250,MATCH(U26,'Data 2'!$A$2:$A$2250,0))</f>
        <v>-106.525</v>
      </c>
      <c r="X26" s="140" t="n">
        <f aca="false">VLOOKUP(U26,'Data 2'!$A$2:$K$2250,11,FALSE())</f>
        <v>1881.12</v>
      </c>
    </row>
    <row r="27" customFormat="false" ht="15.75" hidden="false" customHeight="true" outlineLevel="0" collapsed="false">
      <c r="A27" s="128" t="s">
        <v>129</v>
      </c>
      <c r="B27" s="128" t="n">
        <v>6953</v>
      </c>
      <c r="C27" s="128" t="n">
        <v>-66.67</v>
      </c>
      <c r="D27" s="128" t="n">
        <v>-133.33</v>
      </c>
      <c r="E27" s="128" t="n">
        <v>15</v>
      </c>
      <c r="F27" s="128" t="n">
        <v>99.68</v>
      </c>
      <c r="G27" s="128" t="n">
        <v>115.48</v>
      </c>
      <c r="H27" s="128" t="n">
        <v>58.26</v>
      </c>
      <c r="I27" s="128" t="n">
        <v>44.92</v>
      </c>
      <c r="J27" s="128" t="n">
        <v>40.33</v>
      </c>
      <c r="K27" s="128" t="n">
        <v>6813.48</v>
      </c>
      <c r="L27" s="129" t="n">
        <f aca="false">AVERAGE(C27:E27)</f>
        <v>-61.6666666666667</v>
      </c>
      <c r="M27" s="130" t="n">
        <f aca="false">AVERAGE(C27:J27)</f>
        <v>21.70875</v>
      </c>
      <c r="N27" s="130" t="n">
        <f aca="false">RANK(I27,I:I)</f>
        <v>130</v>
      </c>
      <c r="O27" s="127" t="n">
        <f aca="false">RANK(L27,L:L)</f>
        <v>314</v>
      </c>
      <c r="P27" s="128" t="s">
        <v>85</v>
      </c>
      <c r="Q27" s="127" t="n">
        <f aca="false">RANK(M27,M:M)</f>
        <v>164</v>
      </c>
      <c r="R27" s="128" t="s">
        <v>85</v>
      </c>
      <c r="S27" s="136"/>
      <c r="T27" s="130" t="n">
        <v>4</v>
      </c>
      <c r="U27" s="147" t="str">
        <f aca="false">VLOOKUP(T27,Q:R,2,FALSE())</f>
        <v>GODREJCP</v>
      </c>
      <c r="V27" s="138" t="n">
        <f aca="false">VLOOKUP(U27,'Data 2'!$A$2:$K$2250,2,FALSE())</f>
        <v>1257.2</v>
      </c>
      <c r="W27" s="139" t="n">
        <f aca="false">INDEX('Data 2'!$M$2:$M$2250,MATCH(U27,'Data 2'!$A$2:$A$2250,0))</f>
        <v>80.93875</v>
      </c>
      <c r="X27" s="140" t="n">
        <f aca="false">VLOOKUP(U27,'Data 2'!$A$2:$K$2250,11,FALSE())</f>
        <v>1192.23</v>
      </c>
    </row>
    <row r="28" customFormat="false" ht="15.75" hidden="false" customHeight="true" outlineLevel="0" collapsed="false">
      <c r="A28" s="128" t="s">
        <v>284</v>
      </c>
      <c r="B28" s="128" t="n">
        <v>6414.5</v>
      </c>
      <c r="C28" s="128" t="n">
        <v>66.67</v>
      </c>
      <c r="D28" s="128" t="n">
        <v>103.54</v>
      </c>
      <c r="E28" s="128" t="n">
        <v>119.72</v>
      </c>
      <c r="F28" s="128" t="n">
        <v>207.03</v>
      </c>
      <c r="G28" s="128" t="n">
        <v>145.11</v>
      </c>
      <c r="H28" s="128" t="n">
        <v>25.28</v>
      </c>
      <c r="I28" s="128" t="n">
        <v>-11.64</v>
      </c>
      <c r="J28" s="128" t="n">
        <v>-31.77</v>
      </c>
      <c r="K28" s="128" t="n">
        <v>5618.54</v>
      </c>
      <c r="L28" s="129" t="n">
        <f aca="false">AVERAGE(C28:E28)</f>
        <v>96.6433333333333</v>
      </c>
      <c r="M28" s="130" t="n">
        <f aca="false">AVERAGE(C28:J28)</f>
        <v>77.9925</v>
      </c>
      <c r="N28" s="130" t="n">
        <f aca="false">RANK(I28,I:I)</f>
        <v>222</v>
      </c>
      <c r="O28" s="127" t="n">
        <f aca="false">RANK(L28,L:L)</f>
        <v>11</v>
      </c>
      <c r="P28" s="128" t="s">
        <v>296</v>
      </c>
      <c r="Q28" s="127" t="n">
        <f aca="false">RANK(M28,M:M)</f>
        <v>51</v>
      </c>
      <c r="R28" s="128" t="s">
        <v>296</v>
      </c>
      <c r="S28" s="136"/>
      <c r="T28" s="130" t="n">
        <v>5</v>
      </c>
      <c r="U28" s="147" t="str">
        <f aca="false">VLOOKUP(T28,Q:R,2,FALSE())</f>
        <v>INTELLECT</v>
      </c>
      <c r="V28" s="138" t="n">
        <f aca="false">VLOOKUP(U28,'Data 2'!$A$2:$K$2250,2,FALSE())</f>
        <v>967.9</v>
      </c>
      <c r="W28" s="139" t="n">
        <f aca="false">INDEX('Data 2'!$M$2:$M$2250,MATCH(U28,'Data 2'!$A$2:$A$2250,0))</f>
        <v>-9.74875</v>
      </c>
      <c r="X28" s="140" t="n">
        <f aca="false">VLOOKUP(U28,'Data 2'!$A$2:$K$2250,11,FALSE())</f>
        <v>994.64</v>
      </c>
    </row>
    <row r="29" customFormat="false" ht="15.75" hidden="false" customHeight="true" outlineLevel="0" collapsed="false">
      <c r="A29" s="128" t="s">
        <v>398</v>
      </c>
      <c r="B29" s="128" t="n">
        <v>6403.5</v>
      </c>
      <c r="C29" s="128" t="n">
        <v>-66.67</v>
      </c>
      <c r="D29" s="128" t="n">
        <v>-133.33</v>
      </c>
      <c r="E29" s="128" t="n">
        <v>49.17</v>
      </c>
      <c r="F29" s="128" t="n">
        <v>91.17</v>
      </c>
      <c r="G29" s="128" t="n">
        <v>107.93</v>
      </c>
      <c r="H29" s="128" t="n">
        <v>89.42</v>
      </c>
      <c r="I29" s="128" t="n">
        <v>8.9</v>
      </c>
      <c r="J29" s="128" t="n">
        <v>-28.67</v>
      </c>
      <c r="K29" s="128" t="n">
        <v>5951.81</v>
      </c>
      <c r="L29" s="129" t="n">
        <f aca="false">AVERAGE(C29:E29)</f>
        <v>-50.2766666666667</v>
      </c>
      <c r="M29" s="130" t="n">
        <f aca="false">AVERAGE(C29:J29)</f>
        <v>14.74</v>
      </c>
      <c r="N29" s="130" t="n">
        <f aca="false">RANK(I29,I:I)</f>
        <v>188</v>
      </c>
      <c r="O29" s="127" t="n">
        <f aca="false">RANK(L29,L:L)</f>
        <v>238</v>
      </c>
      <c r="P29" s="128" t="s">
        <v>456</v>
      </c>
      <c r="Q29" s="127" t="n">
        <f aca="false">RANK(M29,M:M)</f>
        <v>186</v>
      </c>
      <c r="R29" s="128" t="s">
        <v>456</v>
      </c>
      <c r="S29" s="136"/>
      <c r="T29" s="130" t="n">
        <v>6</v>
      </c>
      <c r="U29" s="147" t="str">
        <f aca="false">VLOOKUP(T29,Q:R,2,FALSE())</f>
        <v>TRENT</v>
      </c>
      <c r="V29" s="138" t="n">
        <f aca="false">VLOOKUP(U29,'Data 2'!$A$2:$K$2250,2,FALSE())</f>
        <v>5418</v>
      </c>
      <c r="W29" s="139" t="n">
        <f aca="false">INDEX('Data 2'!$M$2:$M$2250,MATCH(U29,'Data 2'!$A$2:$A$2250,0))</f>
        <v>-16.265</v>
      </c>
      <c r="X29" s="140" t="n">
        <f aca="false">VLOOKUP(U29,'Data 2'!$A$2:$K$2250,11,FALSE())</f>
        <v>5273.57</v>
      </c>
    </row>
    <row r="30" customFormat="false" ht="15.75" hidden="false" customHeight="true" outlineLevel="0" collapsed="false">
      <c r="A30" s="128" t="s">
        <v>330</v>
      </c>
      <c r="B30" s="128" t="n">
        <v>6401.5</v>
      </c>
      <c r="C30" s="128" t="n">
        <v>-66.67</v>
      </c>
      <c r="D30" s="128" t="n">
        <v>-105.36</v>
      </c>
      <c r="E30" s="128" t="n">
        <v>16.21</v>
      </c>
      <c r="F30" s="128" t="n">
        <v>79.75</v>
      </c>
      <c r="G30" s="128" t="n">
        <v>61.8</v>
      </c>
      <c r="H30" s="128" t="n">
        <v>-1.01</v>
      </c>
      <c r="I30" s="128" t="n">
        <v>-35.26</v>
      </c>
      <c r="J30" s="128" t="n">
        <v>-52.26</v>
      </c>
      <c r="K30" s="128" t="n">
        <v>6079.25</v>
      </c>
      <c r="L30" s="129" t="n">
        <f aca="false">AVERAGE(C30:E30)</f>
        <v>-51.94</v>
      </c>
      <c r="M30" s="130" t="n">
        <f aca="false">AVERAGE(C30:J30)</f>
        <v>-12.85</v>
      </c>
      <c r="N30" s="130" t="n">
        <f aca="false">RANK(I30,I:I)</f>
        <v>273</v>
      </c>
      <c r="O30" s="127" t="n">
        <f aca="false">RANK(L30,L:L)</f>
        <v>249</v>
      </c>
      <c r="P30" s="128" t="s">
        <v>398</v>
      </c>
      <c r="Q30" s="127" t="n">
        <f aca="false">RANK(M30,M:M)</f>
        <v>276</v>
      </c>
      <c r="R30" s="128" t="s">
        <v>398</v>
      </c>
      <c r="S30" s="136"/>
      <c r="T30" s="130" t="n">
        <v>7</v>
      </c>
      <c r="U30" s="147" t="str">
        <f aca="false">VLOOKUP(T30,Q:R,2,FALSE())</f>
        <v>BAYERCROP</v>
      </c>
      <c r="V30" s="138" t="n">
        <f aca="false">VLOOKUP(U30,'Data 2'!$A$2:$K$2250,2,FALSE())</f>
        <v>5515</v>
      </c>
      <c r="W30" s="139" t="n">
        <f aca="false">INDEX('Data 2'!$M$2:$M$2250,MATCH(U30,'Data 2'!$A$2:$A$2250,0))</f>
        <v>-47.76375</v>
      </c>
      <c r="X30" s="140" t="n">
        <f aca="false">VLOOKUP(U30,'Data 2'!$A$2:$K$2250,11,FALSE())</f>
        <v>5872.05</v>
      </c>
    </row>
    <row r="31" customFormat="false" ht="15.75" hidden="false" customHeight="true" outlineLevel="0" collapsed="false">
      <c r="A31" s="128" t="s">
        <v>296</v>
      </c>
      <c r="B31" s="128" t="n">
        <v>6394</v>
      </c>
      <c r="C31" s="128" t="n">
        <v>-66.67</v>
      </c>
      <c r="D31" s="128" t="n">
        <v>-91.99</v>
      </c>
      <c r="E31" s="128" t="n">
        <v>-85.8</v>
      </c>
      <c r="F31" s="128" t="n">
        <v>-89.45</v>
      </c>
      <c r="G31" s="128" t="n">
        <v>-17.21</v>
      </c>
      <c r="H31" s="128" t="n">
        <v>-39.5</v>
      </c>
      <c r="I31" s="128" t="n">
        <v>-20.76</v>
      </c>
      <c r="J31" s="128" t="n">
        <v>12.61</v>
      </c>
      <c r="K31" s="128" t="n">
        <v>6915.05</v>
      </c>
      <c r="L31" s="129" t="n">
        <f aca="false">AVERAGE(C31:E31)</f>
        <v>-81.4866666666667</v>
      </c>
      <c r="M31" s="130" t="n">
        <f aca="false">AVERAGE(C31:J31)</f>
        <v>-49.84625</v>
      </c>
      <c r="N31" s="130" t="n">
        <f aca="false">RANK(I31,I:I)</f>
        <v>241</v>
      </c>
      <c r="O31" s="127" t="n">
        <f aca="false">RANK(L31,L:L)</f>
        <v>442</v>
      </c>
      <c r="P31" s="128" t="s">
        <v>330</v>
      </c>
      <c r="Q31" s="127" t="n">
        <f aca="false">RANK(M31,M:M)</f>
        <v>410</v>
      </c>
      <c r="R31" s="128" t="s">
        <v>330</v>
      </c>
      <c r="S31" s="136"/>
      <c r="T31" s="130" t="n">
        <v>8</v>
      </c>
      <c r="U31" s="147" t="str">
        <f aca="false">VLOOKUP(T31,Q:R,2,FALSE())</f>
        <v>BAJAJFINSV</v>
      </c>
      <c r="V31" s="138" t="n">
        <f aca="false">VLOOKUP(U31,'Data 2'!$A$2:$K$2250,2,FALSE())</f>
        <v>1965.9</v>
      </c>
      <c r="W31" s="139" t="n">
        <f aca="false">INDEX('Data 2'!$M$2:$M$2250,MATCH(U31,'Data 2'!$A$2:$A$2250,0))</f>
        <v>-20.43125</v>
      </c>
      <c r="X31" s="140" t="n">
        <f aca="false">VLOOKUP(U31,'Data 2'!$A$2:$K$2250,11,FALSE())</f>
        <v>1908.18</v>
      </c>
    </row>
    <row r="32" customFormat="false" ht="15.75" hidden="false" customHeight="true" outlineLevel="0" collapsed="false">
      <c r="A32" s="128" t="s">
        <v>232</v>
      </c>
      <c r="B32" s="128" t="n">
        <v>6303.5</v>
      </c>
      <c r="C32" s="128" t="n">
        <v>-66.67</v>
      </c>
      <c r="D32" s="128" t="n">
        <v>-25.61</v>
      </c>
      <c r="E32" s="128" t="n">
        <v>70.53</v>
      </c>
      <c r="F32" s="128" t="n">
        <v>107.21</v>
      </c>
      <c r="G32" s="128" t="n">
        <v>139.7</v>
      </c>
      <c r="H32" s="128" t="n">
        <v>156.29</v>
      </c>
      <c r="I32" s="128" t="n">
        <v>157</v>
      </c>
      <c r="J32" s="128" t="n">
        <v>150.62</v>
      </c>
      <c r="K32" s="128" t="n">
        <v>5858.91</v>
      </c>
      <c r="L32" s="129" t="n">
        <f aca="false">AVERAGE(C32:E32)</f>
        <v>-7.25</v>
      </c>
      <c r="M32" s="130" t="n">
        <f aca="false">AVERAGE(C32:J32)</f>
        <v>86.13375</v>
      </c>
      <c r="N32" s="130" t="n">
        <f aca="false">RANK(I32,I:I)</f>
        <v>42</v>
      </c>
      <c r="O32" s="127" t="n">
        <f aca="false">RANK(L32,L:L)</f>
        <v>101</v>
      </c>
      <c r="P32" s="128" t="s">
        <v>364</v>
      </c>
      <c r="Q32" s="127" t="n">
        <f aca="false">RANK(M32,M:M)</f>
        <v>41</v>
      </c>
      <c r="R32" s="128" t="s">
        <v>364</v>
      </c>
      <c r="S32" s="136"/>
      <c r="T32" s="130" t="n">
        <v>9</v>
      </c>
      <c r="U32" s="147" t="str">
        <f aca="false">VLOOKUP(T32,Q:R,2,FALSE())</f>
        <v>TATACONSUM</v>
      </c>
      <c r="V32" s="138" t="n">
        <f aca="false">VLOOKUP(U32,'Data 2'!$A$2:$K$2250,2,FALSE())</f>
        <v>1084.1</v>
      </c>
      <c r="W32" s="139" t="n">
        <f aca="false">INDEX('Data 2'!$M$2:$M$2250,MATCH(U32,'Data 2'!$A$2:$A$2250,0))</f>
        <v>0.0824999999999978</v>
      </c>
      <c r="X32" s="140" t="n">
        <f aca="false">VLOOKUP(U32,'Data 2'!$A$2:$K$2250,11,FALSE())</f>
        <v>1050.62</v>
      </c>
    </row>
    <row r="33" customFormat="false" ht="15.75" hidden="false" customHeight="true" outlineLevel="0" collapsed="false">
      <c r="A33" s="128" t="s">
        <v>487</v>
      </c>
      <c r="B33" s="128" t="n">
        <v>6268</v>
      </c>
      <c r="C33" s="128" t="n">
        <v>66.67</v>
      </c>
      <c r="D33" s="128" t="n">
        <v>133.33</v>
      </c>
      <c r="E33" s="128" t="n">
        <v>101.24</v>
      </c>
      <c r="F33" s="128" t="n">
        <v>95.58</v>
      </c>
      <c r="G33" s="128" t="n">
        <v>145.1</v>
      </c>
      <c r="H33" s="128" t="n">
        <v>40.59</v>
      </c>
      <c r="I33" s="128" t="n">
        <v>9.61</v>
      </c>
      <c r="J33" s="128" t="n">
        <v>-2.7</v>
      </c>
      <c r="K33" s="128" t="n">
        <v>5575.27</v>
      </c>
      <c r="L33" s="129" t="n">
        <f aca="false">AVERAGE(C33:E33)</f>
        <v>100.413333333333</v>
      </c>
      <c r="M33" s="130" t="n">
        <f aca="false">AVERAGE(C33:J33)</f>
        <v>73.6775</v>
      </c>
      <c r="N33" s="130" t="n">
        <f aca="false">RANK(I33,I:I)</f>
        <v>186</v>
      </c>
      <c r="O33" s="127" t="n">
        <f aca="false">RANK(L33,L:L)</f>
        <v>8</v>
      </c>
      <c r="P33" s="128" t="s">
        <v>487</v>
      </c>
      <c r="Q33" s="127" t="n">
        <f aca="false">RANK(M33,M:M)</f>
        <v>56</v>
      </c>
      <c r="R33" s="128" t="s">
        <v>487</v>
      </c>
      <c r="S33" s="136"/>
      <c r="T33" s="130" t="n">
        <v>10</v>
      </c>
      <c r="U33" s="147" t="str">
        <f aca="false">VLOOKUP(T33,Q:R,2,FALSE())</f>
        <v>LTIM</v>
      </c>
      <c r="V33" s="138" t="n">
        <f aca="false">VLOOKUP(U33,'Data 2'!$A$2:$K$2250,2,FALSE())</f>
        <v>5224.5</v>
      </c>
      <c r="W33" s="139" t="n">
        <f aca="false">INDEX('Data 2'!$M$2:$M$2250,MATCH(U33,'Data 2'!$A$2:$A$2250,0))</f>
        <v>63.67125</v>
      </c>
      <c r="X33" s="140" t="n">
        <f aca="false">VLOOKUP(U33,'Data 2'!$A$2:$K$2250,11,FALSE())</f>
        <v>5239.21</v>
      </c>
    </row>
    <row r="34" customFormat="false" ht="15.75" hidden="false" customHeight="true" outlineLevel="0" collapsed="false">
      <c r="A34" s="128" t="s">
        <v>456</v>
      </c>
      <c r="B34" s="128" t="n">
        <v>6128.5</v>
      </c>
      <c r="C34" s="128" t="n">
        <v>-66.67</v>
      </c>
      <c r="D34" s="128" t="n">
        <v>-133.33</v>
      </c>
      <c r="E34" s="128" t="n">
        <v>-79.7</v>
      </c>
      <c r="F34" s="128" t="n">
        <v>-60.93</v>
      </c>
      <c r="G34" s="128" t="n">
        <v>32.75</v>
      </c>
      <c r="H34" s="128" t="n">
        <v>-17.29</v>
      </c>
      <c r="I34" s="128" t="n">
        <v>-40.92</v>
      </c>
      <c r="J34" s="128" t="n">
        <v>-56.39</v>
      </c>
      <c r="K34" s="128" t="n">
        <v>5972.63</v>
      </c>
      <c r="L34" s="129" t="n">
        <f aca="false">AVERAGE(C34:E34)</f>
        <v>-93.2333333333334</v>
      </c>
      <c r="M34" s="130" t="n">
        <f aca="false">AVERAGE(C34:J34)</f>
        <v>-52.81</v>
      </c>
      <c r="N34" s="130" t="n">
        <f aca="false">RANK(I34,I:I)</f>
        <v>291</v>
      </c>
      <c r="O34" s="127" t="n">
        <f aca="false">RANK(L34,L:L)</f>
        <v>467</v>
      </c>
      <c r="P34" s="128" t="s">
        <v>90</v>
      </c>
      <c r="Q34" s="127" t="n">
        <f aca="false">RANK(M34,M:M)</f>
        <v>415</v>
      </c>
      <c r="R34" s="128" t="s">
        <v>90</v>
      </c>
      <c r="S34" s="136"/>
      <c r="T34" s="130" t="n">
        <v>11</v>
      </c>
      <c r="U34" s="147" t="str">
        <f aca="false">VLOOKUP(T34,Q:R,2,FALSE())</f>
        <v>FINPIPE</v>
      </c>
      <c r="V34" s="138" t="n">
        <f aca="false">VLOOKUP(U34,'Data 2'!$A$2:$K$2250,2,FALSE())</f>
        <v>211.72</v>
      </c>
      <c r="W34" s="139" t="n">
        <f aca="false">INDEX('Data 2'!$M$2:$M$2250,MATCH(U34,'Data 2'!$A$2:$A$2250,0))</f>
        <v>65.40375</v>
      </c>
      <c r="X34" s="140" t="n">
        <f aca="false">VLOOKUP(U34,'Data 2'!$A$2:$K$2250,11,FALSE())</f>
        <v>195.13</v>
      </c>
    </row>
    <row r="35" customFormat="false" ht="15.75" hidden="false" customHeight="true" outlineLevel="0" collapsed="false">
      <c r="A35" s="128" t="s">
        <v>27</v>
      </c>
      <c r="B35" s="128" t="n">
        <v>6052.5</v>
      </c>
      <c r="C35" s="128" t="n">
        <v>-66.67</v>
      </c>
      <c r="D35" s="128" t="n">
        <v>9.64</v>
      </c>
      <c r="E35" s="128" t="n">
        <v>80.3</v>
      </c>
      <c r="F35" s="128" t="n">
        <v>162.97</v>
      </c>
      <c r="G35" s="128" t="n">
        <v>140.31</v>
      </c>
      <c r="H35" s="128" t="n">
        <v>74.13</v>
      </c>
      <c r="I35" s="128" t="n">
        <v>41.05</v>
      </c>
      <c r="J35" s="128" t="n">
        <v>34.13</v>
      </c>
      <c r="K35" s="128" t="n">
        <v>5642.38</v>
      </c>
      <c r="L35" s="129" t="n">
        <f aca="false">AVERAGE(C35:E35)</f>
        <v>7.75666666666667</v>
      </c>
      <c r="M35" s="130" t="n">
        <f aca="false">AVERAGE(C35:J35)</f>
        <v>59.4825</v>
      </c>
      <c r="N35" s="130" t="n">
        <f aca="false">RANK(I35,I:I)</f>
        <v>137</v>
      </c>
      <c r="O35" s="127" t="n">
        <f aca="false">RANK(L35,L:L)</f>
        <v>72</v>
      </c>
      <c r="P35" s="128" t="s">
        <v>232</v>
      </c>
      <c r="Q35" s="127" t="n">
        <f aca="false">RANK(M35,M:M)</f>
        <v>72</v>
      </c>
      <c r="R35" s="128" t="s">
        <v>232</v>
      </c>
      <c r="S35" s="136"/>
      <c r="T35" s="130" t="n">
        <v>12</v>
      </c>
      <c r="U35" s="147" t="str">
        <f aca="false">VLOOKUP(T35,Q:R,2,FALSE())</f>
        <v>CGCL</v>
      </c>
      <c r="V35" s="138" t="n">
        <f aca="false">VLOOKUP(U35,'Data 2'!$A$2:$K$2250,2,FALSE())</f>
        <v>187.96</v>
      </c>
      <c r="W35" s="139" t="n">
        <f aca="false">INDEX('Data 2'!$M$2:$M$2250,MATCH(U35,'Data 2'!$A$2:$A$2250,0))</f>
        <v>63.405</v>
      </c>
      <c r="X35" s="140" t="n">
        <f aca="false">VLOOKUP(U35,'Data 2'!$A$2:$K$2250,11,FALSE())</f>
        <v>178.61</v>
      </c>
    </row>
    <row r="36" customFormat="false" ht="15.75" hidden="false" customHeight="true" outlineLevel="0" collapsed="false">
      <c r="A36" s="128" t="s">
        <v>90</v>
      </c>
      <c r="B36" s="128" t="n">
        <v>6012.5</v>
      </c>
      <c r="C36" s="128" t="n">
        <v>-66.67</v>
      </c>
      <c r="D36" s="128" t="n">
        <v>42.63</v>
      </c>
      <c r="E36" s="128" t="n">
        <v>98.88</v>
      </c>
      <c r="F36" s="128" t="n">
        <v>152.13</v>
      </c>
      <c r="G36" s="128" t="n">
        <v>130.36</v>
      </c>
      <c r="H36" s="128" t="n">
        <v>125.99</v>
      </c>
      <c r="I36" s="128" t="n">
        <v>109.59</v>
      </c>
      <c r="J36" s="128" t="n">
        <v>102.83</v>
      </c>
      <c r="K36" s="128" t="n">
        <v>5581.46</v>
      </c>
      <c r="L36" s="129" t="n">
        <f aca="false">AVERAGE(C36:E36)</f>
        <v>24.9466666666667</v>
      </c>
      <c r="M36" s="130" t="n">
        <f aca="false">AVERAGE(C36:J36)</f>
        <v>86.9675</v>
      </c>
      <c r="N36" s="130" t="n">
        <f aca="false">RANK(I36,I:I)</f>
        <v>74</v>
      </c>
      <c r="O36" s="127" t="n">
        <f aca="false">RANK(L36,L:L)</f>
        <v>49</v>
      </c>
      <c r="P36" s="128" t="s">
        <v>284</v>
      </c>
      <c r="Q36" s="127" t="n">
        <f aca="false">RANK(M36,M:M)</f>
        <v>40</v>
      </c>
      <c r="R36" s="128" t="s">
        <v>284</v>
      </c>
      <c r="S36" s="136"/>
      <c r="T36" s="130" t="n">
        <v>13</v>
      </c>
      <c r="U36" s="147" t="str">
        <f aca="false">VLOOKUP(T36,Q:R,2,FALSE())</f>
        <v>CYIENT</v>
      </c>
      <c r="V36" s="138" t="n">
        <f aca="false">VLOOKUP(U36,'Data 2'!$A$2:$K$2250,2,FALSE())</f>
        <v>1230.1</v>
      </c>
      <c r="W36" s="139" t="n">
        <f aca="false">INDEX('Data 2'!$M$2:$M$2250,MATCH(U36,'Data 2'!$A$2:$A$2250,0))</f>
        <v>-12.21375</v>
      </c>
      <c r="X36" s="140" t="n">
        <f aca="false">VLOOKUP(U36,'Data 2'!$A$2:$K$2250,11,FALSE())</f>
        <v>1182.02</v>
      </c>
    </row>
    <row r="37" customFormat="false" ht="15.75" hidden="false" customHeight="true" outlineLevel="0" collapsed="false">
      <c r="A37" s="128" t="s">
        <v>240</v>
      </c>
      <c r="B37" s="128" t="n">
        <v>5612.5</v>
      </c>
      <c r="C37" s="128" t="n">
        <v>-66.67</v>
      </c>
      <c r="D37" s="128" t="n">
        <v>37.4</v>
      </c>
      <c r="E37" s="128" t="n">
        <v>97.74</v>
      </c>
      <c r="F37" s="128" t="n">
        <v>128.31</v>
      </c>
      <c r="G37" s="128" t="n">
        <v>12.07</v>
      </c>
      <c r="H37" s="128" t="n">
        <v>-30.4</v>
      </c>
      <c r="I37" s="128" t="n">
        <v>-54.33</v>
      </c>
      <c r="J37" s="128" t="n">
        <v>-70.6</v>
      </c>
      <c r="K37" s="128" t="n">
        <v>5236.43</v>
      </c>
      <c r="L37" s="129" t="n">
        <f aca="false">AVERAGE(C37:E37)</f>
        <v>22.8233333333333</v>
      </c>
      <c r="M37" s="130" t="n">
        <f aca="false">AVERAGE(C37:J37)</f>
        <v>6.69</v>
      </c>
      <c r="N37" s="130" t="n">
        <f aca="false">RANK(I37,I:I)</f>
        <v>341</v>
      </c>
      <c r="O37" s="127" t="n">
        <f aca="false">RANK(L37,L:L)</f>
        <v>50</v>
      </c>
      <c r="P37" s="128" t="s">
        <v>73</v>
      </c>
      <c r="Q37" s="127" t="n">
        <f aca="false">RANK(M37,M:M)</f>
        <v>214</v>
      </c>
      <c r="R37" s="128" t="s">
        <v>73</v>
      </c>
      <c r="S37" s="136"/>
      <c r="T37" s="130" t="n">
        <v>14</v>
      </c>
      <c r="U37" s="147" t="str">
        <f aca="false">VLOOKUP(T37,Q:R,2,FALSE())</f>
        <v>NEULANDLAB</v>
      </c>
      <c r="V37" s="138" t="n">
        <f aca="false">VLOOKUP(U37,'Data 2'!$A$2:$K$2250,2,FALSE())</f>
        <v>13888</v>
      </c>
      <c r="W37" s="139" t="n">
        <f aca="false">INDEX('Data 2'!$M$2:$M$2250,MATCH(U37,'Data 2'!$A$2:$A$2250,0))</f>
        <v>88.0675</v>
      </c>
      <c r="X37" s="140" t="n">
        <f aca="false">VLOOKUP(U37,'Data 2'!$A$2:$K$2250,11,FALSE())</f>
        <v>13907.56</v>
      </c>
    </row>
    <row r="38" customFormat="false" ht="15.75" hidden="false" customHeight="true" outlineLevel="0" collapsed="false">
      <c r="A38" s="128" t="s">
        <v>73</v>
      </c>
      <c r="B38" s="128" t="n">
        <v>5575.5</v>
      </c>
      <c r="C38" s="128" t="n">
        <v>-66.67</v>
      </c>
      <c r="D38" s="128" t="n">
        <v>-113.24</v>
      </c>
      <c r="E38" s="128" t="n">
        <v>-2.93</v>
      </c>
      <c r="F38" s="128" t="n">
        <v>84.19</v>
      </c>
      <c r="G38" s="128" t="n">
        <v>111.35</v>
      </c>
      <c r="H38" s="128" t="n">
        <v>139.27</v>
      </c>
      <c r="I38" s="128" t="n">
        <v>163.78</v>
      </c>
      <c r="J38" s="128" t="n">
        <v>184.94</v>
      </c>
      <c r="K38" s="128" t="n">
        <v>5456.11</v>
      </c>
      <c r="L38" s="129" t="n">
        <f aca="false">AVERAGE(C38:E38)</f>
        <v>-60.9466666666667</v>
      </c>
      <c r="M38" s="130" t="n">
        <f aca="false">AVERAGE(C38:J38)</f>
        <v>62.58625</v>
      </c>
      <c r="N38" s="130" t="n">
        <f aca="false">RANK(I38,I:I)</f>
        <v>38</v>
      </c>
      <c r="O38" s="127" t="n">
        <f aca="false">RANK(L38,L:L)</f>
        <v>306</v>
      </c>
      <c r="P38" s="128" t="s">
        <v>153</v>
      </c>
      <c r="Q38" s="127" t="n">
        <f aca="false">RANK(M38,M:M)</f>
        <v>69</v>
      </c>
      <c r="R38" s="128" t="s">
        <v>153</v>
      </c>
      <c r="S38" s="136"/>
      <c r="T38" s="141" t="n">
        <v>15</v>
      </c>
      <c r="U38" s="147" t="str">
        <f aca="false">VLOOKUP(T38,Q:R,2,FALSE())</f>
        <v>POWERINDIA</v>
      </c>
      <c r="V38" s="138" t="n">
        <f aca="false">VLOOKUP(U38,'Data 2'!$A$2:$K$2250,2,FALSE())</f>
        <v>19875</v>
      </c>
      <c r="W38" s="139" t="n">
        <f aca="false">INDEX('Data 2'!$M$2:$M$2250,MATCH(U38,'Data 2'!$A$2:$A$2250,0))</f>
        <v>20.765</v>
      </c>
      <c r="X38" s="140" t="n">
        <f aca="false">VLOOKUP(U38,'Data 2'!$A$2:$K$2250,11,FALSE())</f>
        <v>19389.64</v>
      </c>
    </row>
    <row r="39" customFormat="false" ht="15.75" hidden="false" customHeight="true" outlineLevel="0" collapsed="false">
      <c r="A39" s="128" t="s">
        <v>468</v>
      </c>
      <c r="B39" s="128" t="n">
        <v>5573.9</v>
      </c>
      <c r="C39" s="128" t="n">
        <v>-66.67</v>
      </c>
      <c r="D39" s="128" t="n">
        <v>-130.82</v>
      </c>
      <c r="E39" s="128" t="n">
        <v>10.5</v>
      </c>
      <c r="F39" s="128" t="n">
        <v>103.07</v>
      </c>
      <c r="G39" s="128" t="n">
        <v>149.67</v>
      </c>
      <c r="H39" s="128" t="n">
        <v>16</v>
      </c>
      <c r="I39" s="128" t="n">
        <v>9.5</v>
      </c>
      <c r="J39" s="128" t="n">
        <v>12.14</v>
      </c>
      <c r="K39" s="128" t="n">
        <v>5266.3</v>
      </c>
      <c r="L39" s="129" t="n">
        <f aca="false">AVERAGE(C39:E39)</f>
        <v>-62.33</v>
      </c>
      <c r="M39" s="130" t="n">
        <f aca="false">AVERAGE(C39:J39)</f>
        <v>12.92375</v>
      </c>
      <c r="N39" s="130" t="n">
        <f aca="false">RANK(I39,I:I)</f>
        <v>187</v>
      </c>
      <c r="O39" s="127" t="n">
        <f aca="false">RANK(L39,L:L)</f>
        <v>319</v>
      </c>
      <c r="P39" s="128" t="s">
        <v>27</v>
      </c>
      <c r="Q39" s="127" t="n">
        <f aca="false">RANK(M39,M:M)</f>
        <v>191</v>
      </c>
      <c r="R39" s="128" t="s">
        <v>27</v>
      </c>
      <c r="S39" s="127"/>
      <c r="T39" s="127"/>
      <c r="U39" s="127"/>
      <c r="V39" s="127"/>
      <c r="W39" s="127"/>
      <c r="X39" s="127"/>
    </row>
    <row r="40" customFormat="false" ht="15.75" hidden="false" customHeight="true" outlineLevel="0" collapsed="false">
      <c r="A40" s="128" t="s">
        <v>282</v>
      </c>
      <c r="B40" s="128" t="n">
        <v>5539.5</v>
      </c>
      <c r="C40" s="128" t="n">
        <v>-66.67</v>
      </c>
      <c r="D40" s="128" t="n">
        <v>65.03</v>
      </c>
      <c r="E40" s="128" t="n">
        <v>124.97</v>
      </c>
      <c r="F40" s="128" t="n">
        <v>12.79</v>
      </c>
      <c r="G40" s="128" t="n">
        <v>-55.68</v>
      </c>
      <c r="H40" s="128" t="n">
        <v>-69.22</v>
      </c>
      <c r="I40" s="128" t="n">
        <v>-85.86</v>
      </c>
      <c r="J40" s="128" t="n">
        <v>-103.76</v>
      </c>
      <c r="K40" s="128" t="n">
        <v>4803.05</v>
      </c>
      <c r="L40" s="129" t="n">
        <f aca="false">AVERAGE(C40:E40)</f>
        <v>41.11</v>
      </c>
      <c r="M40" s="130" t="n">
        <f aca="false">AVERAGE(C40:J40)</f>
        <v>-22.3</v>
      </c>
      <c r="N40" s="130" t="n">
        <f aca="false">RANK(I40,I:I)</f>
        <v>432</v>
      </c>
      <c r="O40" s="127" t="n">
        <f aca="false">RANK(L40,L:L)</f>
        <v>34</v>
      </c>
      <c r="P40" s="128" t="s">
        <v>144</v>
      </c>
      <c r="Q40" s="127" t="n">
        <f aca="false">RANK(M40,M:M)</f>
        <v>309</v>
      </c>
      <c r="R40" s="128" t="s">
        <v>144</v>
      </c>
      <c r="S40" s="127"/>
      <c r="T40" s="127"/>
      <c r="U40" s="127"/>
      <c r="V40" s="127"/>
      <c r="W40" s="127"/>
      <c r="X40" s="127"/>
    </row>
    <row r="41" customFormat="false" ht="15.75" hidden="false" customHeight="true" outlineLevel="0" collapsed="false">
      <c r="A41" s="128" t="s">
        <v>173</v>
      </c>
      <c r="B41" s="128" t="n">
        <v>5507</v>
      </c>
      <c r="C41" s="128" t="n">
        <v>-66.67</v>
      </c>
      <c r="D41" s="128" t="n">
        <v>-79.61</v>
      </c>
      <c r="E41" s="128" t="n">
        <v>64.89</v>
      </c>
      <c r="F41" s="128" t="n">
        <v>147.05</v>
      </c>
      <c r="G41" s="128" t="n">
        <v>30.53</v>
      </c>
      <c r="H41" s="128" t="n">
        <v>-36.44</v>
      </c>
      <c r="I41" s="128" t="n">
        <v>-54.49</v>
      </c>
      <c r="J41" s="128" t="n">
        <v>-70.42</v>
      </c>
      <c r="K41" s="128" t="n">
        <v>5120.36</v>
      </c>
      <c r="L41" s="129" t="n">
        <f aca="false">AVERAGE(C41:E41)</f>
        <v>-27.13</v>
      </c>
      <c r="M41" s="130" t="n">
        <f aca="false">AVERAGE(C41:J41)</f>
        <v>-8.145</v>
      </c>
      <c r="N41" s="130" t="n">
        <f aca="false">RANK(I41,I:I)</f>
        <v>343</v>
      </c>
      <c r="O41" s="127" t="n">
        <f aca="false">RANK(L41,L:L)</f>
        <v>152</v>
      </c>
      <c r="P41" s="128" t="s">
        <v>282</v>
      </c>
      <c r="Q41" s="127" t="n">
        <f aca="false">RANK(M41,M:M)</f>
        <v>259</v>
      </c>
      <c r="R41" s="128" t="s">
        <v>282</v>
      </c>
      <c r="S41" s="127"/>
      <c r="T41" s="127"/>
      <c r="U41" s="127"/>
      <c r="V41" s="127"/>
      <c r="W41" s="127"/>
      <c r="X41" s="127"/>
    </row>
    <row r="42" customFormat="false" ht="15.75" hidden="false" customHeight="true" outlineLevel="0" collapsed="false">
      <c r="A42" s="128" t="s">
        <v>65</v>
      </c>
      <c r="B42" s="128" t="n">
        <v>5499</v>
      </c>
      <c r="C42" s="128" t="n">
        <v>-66.67</v>
      </c>
      <c r="D42" s="128" t="n">
        <v>-133.33</v>
      </c>
      <c r="E42" s="128" t="n">
        <v>27.99</v>
      </c>
      <c r="F42" s="128" t="n">
        <v>63.1</v>
      </c>
      <c r="G42" s="128" t="n">
        <v>38</v>
      </c>
      <c r="H42" s="128" t="n">
        <v>-35.94</v>
      </c>
      <c r="I42" s="128" t="n">
        <v>-56.5</v>
      </c>
      <c r="J42" s="128" t="n">
        <v>-71.62</v>
      </c>
      <c r="K42" s="128" t="n">
        <v>5226.38</v>
      </c>
      <c r="L42" s="129" t="n">
        <f aca="false">AVERAGE(C42:E42)</f>
        <v>-57.3366666666667</v>
      </c>
      <c r="M42" s="130" t="n">
        <f aca="false">AVERAGE(C42:J42)</f>
        <v>-29.37125</v>
      </c>
      <c r="N42" s="130" t="n">
        <f aca="false">RANK(I42,I:I)</f>
        <v>352</v>
      </c>
      <c r="O42" s="127" t="n">
        <f aca="false">RANK(L42,L:L)</f>
        <v>280</v>
      </c>
      <c r="P42" s="128" t="s">
        <v>65</v>
      </c>
      <c r="Q42" s="127" t="n">
        <f aca="false">RANK(M42,M:M)</f>
        <v>343</v>
      </c>
      <c r="R42" s="128" t="s">
        <v>65</v>
      </c>
      <c r="S42" s="127"/>
      <c r="T42" s="127"/>
      <c r="U42" s="127"/>
      <c r="V42" s="127"/>
      <c r="W42" s="127"/>
      <c r="X42" s="127"/>
    </row>
    <row r="43" customFormat="false" ht="15.75" hidden="false" customHeight="true" outlineLevel="0" collapsed="false">
      <c r="A43" s="128" t="s">
        <v>364</v>
      </c>
      <c r="B43" s="128" t="n">
        <v>5471.5</v>
      </c>
      <c r="C43" s="128" t="n">
        <v>-66.67</v>
      </c>
      <c r="D43" s="128" t="n">
        <v>-129.01</v>
      </c>
      <c r="E43" s="128" t="n">
        <v>-61.17</v>
      </c>
      <c r="F43" s="128" t="n">
        <v>-2.78</v>
      </c>
      <c r="G43" s="128" t="n">
        <v>-49.41</v>
      </c>
      <c r="H43" s="128" t="n">
        <v>-71.48</v>
      </c>
      <c r="I43" s="128" t="n">
        <v>-91.46</v>
      </c>
      <c r="J43" s="128" t="n">
        <v>-108.3</v>
      </c>
      <c r="K43" s="128" t="n">
        <v>5334.62</v>
      </c>
      <c r="L43" s="129" t="n">
        <f aca="false">AVERAGE(C43:E43)</f>
        <v>-85.6166666666667</v>
      </c>
      <c r="M43" s="130" t="n">
        <f aca="false">AVERAGE(C43:J43)</f>
        <v>-72.535</v>
      </c>
      <c r="N43" s="130" t="n">
        <f aca="false">RANK(I43,I:I)</f>
        <v>440</v>
      </c>
      <c r="O43" s="127" t="n">
        <f aca="false">RANK(L43,L:L)</f>
        <v>453</v>
      </c>
      <c r="P43" s="128" t="s">
        <v>173</v>
      </c>
      <c r="Q43" s="127" t="n">
        <f aca="false">RANK(M43,M:M)</f>
        <v>460</v>
      </c>
      <c r="R43" s="128" t="s">
        <v>173</v>
      </c>
      <c r="S43" s="127"/>
      <c r="T43" s="127"/>
      <c r="U43" s="127"/>
      <c r="V43" s="127"/>
      <c r="W43" s="127"/>
      <c r="X43" s="127"/>
    </row>
    <row r="44" customFormat="false" ht="15.75" hidden="false" customHeight="true" outlineLevel="0" collapsed="false">
      <c r="A44" s="128" t="s">
        <v>153</v>
      </c>
      <c r="B44" s="128" t="n">
        <v>5420.5</v>
      </c>
      <c r="C44" s="128" t="n">
        <v>-66.67</v>
      </c>
      <c r="D44" s="128" t="n">
        <v>-67</v>
      </c>
      <c r="E44" s="128" t="n">
        <v>27.91</v>
      </c>
      <c r="F44" s="128" t="n">
        <v>102.45</v>
      </c>
      <c r="G44" s="128" t="n">
        <v>157.33</v>
      </c>
      <c r="H44" s="128" t="n">
        <v>211</v>
      </c>
      <c r="I44" s="128" t="n">
        <v>148.31</v>
      </c>
      <c r="J44" s="128" t="n">
        <v>37.33</v>
      </c>
      <c r="K44" s="128" t="n">
        <v>5176.83</v>
      </c>
      <c r="L44" s="129" t="n">
        <f aca="false">AVERAGE(C44:E44)</f>
        <v>-35.2533333333333</v>
      </c>
      <c r="M44" s="130" t="n">
        <f aca="false">AVERAGE(C44:J44)</f>
        <v>68.8325</v>
      </c>
      <c r="N44" s="130" t="n">
        <f aca="false">RANK(I44,I:I)</f>
        <v>44</v>
      </c>
      <c r="O44" s="127" t="n">
        <f aca="false">RANK(L44,L:L)</f>
        <v>179</v>
      </c>
      <c r="P44" s="128" t="s">
        <v>240</v>
      </c>
      <c r="Q44" s="127" t="n">
        <f aca="false">RANK(M44,M:M)</f>
        <v>61</v>
      </c>
      <c r="R44" s="128" t="s">
        <v>240</v>
      </c>
      <c r="S44" s="127"/>
      <c r="T44" s="127"/>
      <c r="U44" s="127"/>
      <c r="V44" s="127"/>
      <c r="W44" s="127"/>
      <c r="X44" s="127"/>
    </row>
    <row r="45" customFormat="false" ht="15.75" hidden="false" customHeight="true" outlineLevel="0" collapsed="false">
      <c r="A45" s="128" t="s">
        <v>144</v>
      </c>
      <c r="B45" s="128" t="n">
        <v>5313.5</v>
      </c>
      <c r="C45" s="128" t="n">
        <v>-66.67</v>
      </c>
      <c r="D45" s="128" t="n">
        <v>-133.33</v>
      </c>
      <c r="E45" s="128" t="n">
        <v>-9.04</v>
      </c>
      <c r="F45" s="128" t="n">
        <v>90.04</v>
      </c>
      <c r="G45" s="128" t="n">
        <v>115.64</v>
      </c>
      <c r="H45" s="128" t="n">
        <v>150.39</v>
      </c>
      <c r="I45" s="128" t="n">
        <v>178.09</v>
      </c>
      <c r="J45" s="128" t="n">
        <v>176.35</v>
      </c>
      <c r="K45" s="128" t="n">
        <v>5144.04</v>
      </c>
      <c r="L45" s="129" t="n">
        <f aca="false">AVERAGE(C45:E45)</f>
        <v>-69.68</v>
      </c>
      <c r="M45" s="130" t="n">
        <f aca="false">AVERAGE(C45:J45)</f>
        <v>62.68375</v>
      </c>
      <c r="N45" s="130" t="n">
        <f aca="false">RANK(I45,I:I)</f>
        <v>31</v>
      </c>
      <c r="O45" s="127" t="n">
        <f aca="false">RANK(L45,L:L)</f>
        <v>391</v>
      </c>
      <c r="P45" s="128" t="s">
        <v>57</v>
      </c>
      <c r="Q45" s="127" t="n">
        <f aca="false">RANK(M45,M:M)</f>
        <v>68</v>
      </c>
      <c r="R45" s="128" t="s">
        <v>57</v>
      </c>
      <c r="S45" s="127"/>
      <c r="T45" s="127"/>
      <c r="U45" s="127"/>
      <c r="V45" s="127"/>
      <c r="W45" s="127"/>
      <c r="X45" s="127"/>
    </row>
    <row r="46" customFormat="false" ht="15.75" hidden="false" customHeight="true" outlineLevel="0" collapsed="false">
      <c r="A46" s="128" t="s">
        <v>339</v>
      </c>
      <c r="B46" s="128" t="n">
        <v>5277</v>
      </c>
      <c r="C46" s="128" t="n">
        <v>66.67</v>
      </c>
      <c r="D46" s="128" t="n">
        <v>38.11</v>
      </c>
      <c r="E46" s="128" t="n">
        <v>63.75</v>
      </c>
      <c r="F46" s="128" t="n">
        <v>143.82</v>
      </c>
      <c r="G46" s="128" t="n">
        <v>224.28</v>
      </c>
      <c r="H46" s="128" t="n">
        <v>279.51</v>
      </c>
      <c r="I46" s="128" t="n">
        <v>249.24</v>
      </c>
      <c r="J46" s="128" t="n">
        <v>163</v>
      </c>
      <c r="K46" s="128" t="n">
        <v>4807.84</v>
      </c>
      <c r="L46" s="129" t="n">
        <f aca="false">AVERAGE(C46:E46)</f>
        <v>56.1766666666667</v>
      </c>
      <c r="M46" s="130" t="n">
        <f aca="false">AVERAGE(C46:J46)</f>
        <v>153.5475</v>
      </c>
      <c r="N46" s="130" t="n">
        <f aca="false">RANK(I46,I:I)</f>
        <v>8</v>
      </c>
      <c r="O46" s="127" t="n">
        <f aca="false">RANK(L46,L:L)</f>
        <v>32</v>
      </c>
      <c r="P46" s="128" t="s">
        <v>38</v>
      </c>
      <c r="Q46" s="127" t="n">
        <f aca="false">RANK(M46,M:M)</f>
        <v>6</v>
      </c>
      <c r="R46" s="128" t="s">
        <v>38</v>
      </c>
      <c r="S46" s="127"/>
      <c r="T46" s="127"/>
      <c r="U46" s="127"/>
      <c r="V46" s="127"/>
      <c r="W46" s="127"/>
      <c r="X46" s="127"/>
    </row>
    <row r="47" customFormat="false" ht="15.75" hidden="false" customHeight="true" outlineLevel="0" collapsed="false">
      <c r="A47" s="128" t="s">
        <v>149</v>
      </c>
      <c r="B47" s="128" t="n">
        <v>5273.5</v>
      </c>
      <c r="C47" s="128" t="n">
        <v>66.67</v>
      </c>
      <c r="D47" s="128" t="n">
        <v>72.14</v>
      </c>
      <c r="E47" s="128" t="n">
        <v>110.77</v>
      </c>
      <c r="F47" s="128" t="n">
        <v>40.58</v>
      </c>
      <c r="G47" s="128" t="n">
        <v>-29.56</v>
      </c>
      <c r="H47" s="128" t="n">
        <v>-61.51</v>
      </c>
      <c r="I47" s="128" t="n">
        <v>-76.47</v>
      </c>
      <c r="J47" s="128" t="n">
        <v>-71.45</v>
      </c>
      <c r="K47" s="128" t="n">
        <v>4623.43</v>
      </c>
      <c r="L47" s="129" t="n">
        <f aca="false">AVERAGE(C47:E47)</f>
        <v>83.1933333333333</v>
      </c>
      <c r="M47" s="130" t="n">
        <f aca="false">AVERAGE(C47:J47)</f>
        <v>6.39625</v>
      </c>
      <c r="N47" s="130" t="n">
        <f aca="false">RANK(I47,I:I)</f>
        <v>409</v>
      </c>
      <c r="O47" s="127" t="n">
        <f aca="false">RANK(L47,L:L)</f>
        <v>22</v>
      </c>
      <c r="P47" s="128" t="s">
        <v>137</v>
      </c>
      <c r="Q47" s="127" t="n">
        <f aca="false">RANK(M47,M:M)</f>
        <v>215</v>
      </c>
      <c r="R47" s="128" t="s">
        <v>137</v>
      </c>
      <c r="S47" s="127"/>
      <c r="T47" s="127"/>
      <c r="U47" s="127"/>
      <c r="V47" s="127"/>
      <c r="W47" s="127"/>
      <c r="X47" s="127"/>
    </row>
    <row r="48" customFormat="false" ht="15.75" hidden="false" customHeight="true" outlineLevel="0" collapsed="false">
      <c r="A48" s="128" t="s">
        <v>57</v>
      </c>
      <c r="B48" s="128" t="n">
        <v>5245.3</v>
      </c>
      <c r="C48" s="128" t="n">
        <v>66.67</v>
      </c>
      <c r="D48" s="128" t="n">
        <v>81.36</v>
      </c>
      <c r="E48" s="128" t="n">
        <v>147.19</v>
      </c>
      <c r="F48" s="128" t="n">
        <v>129.79</v>
      </c>
      <c r="G48" s="128" t="n">
        <v>173.91</v>
      </c>
      <c r="H48" s="128" t="n">
        <v>212.02</v>
      </c>
      <c r="I48" s="128" t="n">
        <v>195.1</v>
      </c>
      <c r="J48" s="128" t="n">
        <v>204.69</v>
      </c>
      <c r="K48" s="128" t="n">
        <v>4832.96</v>
      </c>
      <c r="L48" s="129" t="n">
        <f aca="false">AVERAGE(C48:E48)</f>
        <v>98.4066666666667</v>
      </c>
      <c r="M48" s="130" t="n">
        <f aca="false">AVERAGE(C48:J48)</f>
        <v>151.34125</v>
      </c>
      <c r="N48" s="130" t="n">
        <f aca="false">RANK(I48,I:I)</f>
        <v>27</v>
      </c>
      <c r="O48" s="127" t="n">
        <f aca="false">RANK(L48,L:L)</f>
        <v>10</v>
      </c>
      <c r="P48" s="128" t="s">
        <v>305</v>
      </c>
      <c r="Q48" s="127" t="n">
        <f aca="false">RANK(M48,M:M)</f>
        <v>7</v>
      </c>
      <c r="R48" s="128" t="s">
        <v>305</v>
      </c>
      <c r="S48" s="127"/>
      <c r="T48" s="127"/>
      <c r="U48" s="127"/>
      <c r="V48" s="127"/>
      <c r="W48" s="127"/>
      <c r="X48" s="127"/>
    </row>
    <row r="49" customFormat="false" ht="15.75" hidden="false" customHeight="true" outlineLevel="0" collapsed="false">
      <c r="A49" s="128" t="s">
        <v>38</v>
      </c>
      <c r="B49" s="128" t="n">
        <v>5145</v>
      </c>
      <c r="C49" s="128" t="n">
        <v>-66.67</v>
      </c>
      <c r="D49" s="128" t="n">
        <v>-133.33</v>
      </c>
      <c r="E49" s="128" t="n">
        <v>37.44</v>
      </c>
      <c r="F49" s="128" t="n">
        <v>11.26</v>
      </c>
      <c r="G49" s="128" t="n">
        <v>-6.62</v>
      </c>
      <c r="H49" s="128" t="n">
        <v>-50.4</v>
      </c>
      <c r="I49" s="128" t="n">
        <v>-66.81</v>
      </c>
      <c r="J49" s="128" t="n">
        <v>-81.55</v>
      </c>
      <c r="K49" s="128" t="n">
        <v>4787.73</v>
      </c>
      <c r="L49" s="129" t="n">
        <f aca="false">AVERAGE(C49:E49)</f>
        <v>-54.1866666666667</v>
      </c>
      <c r="M49" s="130" t="n">
        <f aca="false">AVERAGE(C49:J49)</f>
        <v>-44.585</v>
      </c>
      <c r="N49" s="130" t="n">
        <f aca="false">RANK(I49,I:I)</f>
        <v>380</v>
      </c>
      <c r="O49" s="127" t="n">
        <f aca="false">RANK(L49,L:L)</f>
        <v>261</v>
      </c>
      <c r="P49" s="128" t="s">
        <v>149</v>
      </c>
      <c r="Q49" s="127" t="n">
        <f aca="false">RANK(M49,M:M)</f>
        <v>393</v>
      </c>
      <c r="R49" s="128" t="s">
        <v>149</v>
      </c>
      <c r="S49" s="127"/>
      <c r="T49" s="127"/>
      <c r="U49" s="127"/>
      <c r="V49" s="127"/>
      <c r="W49" s="127"/>
      <c r="X49" s="127"/>
    </row>
    <row r="50" customFormat="false" ht="15.75" hidden="false" customHeight="true" outlineLevel="0" collapsed="false">
      <c r="A50" s="128" t="s">
        <v>137</v>
      </c>
      <c r="B50" s="128" t="n">
        <v>5033.5</v>
      </c>
      <c r="C50" s="128" t="n">
        <v>-66.67</v>
      </c>
      <c r="D50" s="128" t="n">
        <v>-37.09</v>
      </c>
      <c r="E50" s="128" t="n">
        <v>58.31</v>
      </c>
      <c r="F50" s="128" t="n">
        <v>115.66</v>
      </c>
      <c r="G50" s="128" t="n">
        <v>100.48</v>
      </c>
      <c r="H50" s="128" t="n">
        <v>12.69</v>
      </c>
      <c r="I50" s="128" t="n">
        <v>-19.59</v>
      </c>
      <c r="J50" s="128" t="n">
        <v>-44.02</v>
      </c>
      <c r="K50" s="128" t="n">
        <v>4909.46</v>
      </c>
      <c r="L50" s="129" t="n">
        <f aca="false">AVERAGE(C50:E50)</f>
        <v>-15.15</v>
      </c>
      <c r="M50" s="130" t="n">
        <f aca="false">AVERAGE(C50:J50)</f>
        <v>14.97125</v>
      </c>
      <c r="N50" s="130" t="n">
        <f aca="false">RANK(I50,I:I)</f>
        <v>238</v>
      </c>
      <c r="O50" s="127" t="n">
        <f aca="false">RANK(L50,L:L)</f>
        <v>124</v>
      </c>
      <c r="P50" s="128" t="s">
        <v>339</v>
      </c>
      <c r="Q50" s="127" t="n">
        <f aca="false">RANK(M50,M:M)</f>
        <v>185</v>
      </c>
      <c r="R50" s="128" t="s">
        <v>339</v>
      </c>
      <c r="S50" s="127"/>
      <c r="T50" s="127"/>
      <c r="U50" s="127"/>
      <c r="V50" s="127"/>
      <c r="W50" s="127"/>
      <c r="X50" s="127"/>
    </row>
    <row r="51" customFormat="false" ht="15.75" hidden="false" customHeight="true" outlineLevel="0" collapsed="false">
      <c r="A51" s="128" t="s">
        <v>305</v>
      </c>
      <c r="B51" s="128" t="n">
        <v>4897.4</v>
      </c>
      <c r="C51" s="128" t="n">
        <v>-66.67</v>
      </c>
      <c r="D51" s="128" t="n">
        <v>-85.24</v>
      </c>
      <c r="E51" s="128" t="n">
        <v>14.25</v>
      </c>
      <c r="F51" s="128" t="n">
        <v>38.48</v>
      </c>
      <c r="G51" s="128" t="n">
        <v>30.99</v>
      </c>
      <c r="H51" s="128" t="n">
        <v>-36.98</v>
      </c>
      <c r="I51" s="128" t="n">
        <v>-55.11</v>
      </c>
      <c r="J51" s="128" t="n">
        <v>-69.13</v>
      </c>
      <c r="K51" s="128" t="n">
        <v>4600.04</v>
      </c>
      <c r="L51" s="129" t="n">
        <f aca="false">AVERAGE(C51:E51)</f>
        <v>-45.8866666666667</v>
      </c>
      <c r="M51" s="130" t="n">
        <f aca="false">AVERAGE(C51:J51)</f>
        <v>-28.67625</v>
      </c>
      <c r="N51" s="130" t="n">
        <f aca="false">RANK(I51,I:I)</f>
        <v>346</v>
      </c>
      <c r="O51" s="127" t="n">
        <f aca="false">RANK(L51,L:L)</f>
        <v>220</v>
      </c>
      <c r="P51" s="128" t="s">
        <v>377</v>
      </c>
      <c r="Q51" s="127" t="n">
        <f aca="false">RANK(M51,M:M)</f>
        <v>339</v>
      </c>
      <c r="R51" s="128" t="s">
        <v>377</v>
      </c>
      <c r="S51" s="127"/>
      <c r="T51" s="127"/>
      <c r="U51" s="127"/>
      <c r="V51" s="127"/>
      <c r="W51" s="127"/>
      <c r="X51" s="127"/>
    </row>
    <row r="52" customFormat="false" ht="15.75" hidden="false" customHeight="true" outlineLevel="0" collapsed="false">
      <c r="A52" s="128" t="s">
        <v>377</v>
      </c>
      <c r="B52" s="128" t="n">
        <v>4779.6</v>
      </c>
      <c r="C52" s="128" t="n">
        <v>-66.67</v>
      </c>
      <c r="D52" s="128" t="n">
        <v>-51.96</v>
      </c>
      <c r="E52" s="128" t="n">
        <v>53.81</v>
      </c>
      <c r="F52" s="128" t="n">
        <v>28.78</v>
      </c>
      <c r="G52" s="128" t="n">
        <v>63.77</v>
      </c>
      <c r="H52" s="128" t="n">
        <v>16.05</v>
      </c>
      <c r="I52" s="128" t="n">
        <v>2.62</v>
      </c>
      <c r="J52" s="128" t="n">
        <v>-33.79</v>
      </c>
      <c r="K52" s="128" t="n">
        <v>4389.87</v>
      </c>
      <c r="L52" s="129" t="n">
        <f aca="false">AVERAGE(C52:E52)</f>
        <v>-21.6066666666667</v>
      </c>
      <c r="M52" s="130" t="n">
        <f aca="false">AVERAGE(C52:J52)</f>
        <v>1.57625</v>
      </c>
      <c r="N52" s="130" t="n">
        <f aca="false">RANK(I52,I:I)</f>
        <v>199</v>
      </c>
      <c r="O52" s="127" t="n">
        <f aca="false">RANK(L52,L:L)</f>
        <v>136</v>
      </c>
      <c r="P52" s="128" t="s">
        <v>468</v>
      </c>
      <c r="Q52" s="127" t="n">
        <f aca="false">RANK(M52,M:M)</f>
        <v>226</v>
      </c>
      <c r="R52" s="128" t="s">
        <v>468</v>
      </c>
      <c r="S52" s="127"/>
      <c r="T52" s="127"/>
      <c r="U52" s="127"/>
      <c r="V52" s="127"/>
      <c r="W52" s="127"/>
      <c r="X52" s="127"/>
    </row>
    <row r="53" customFormat="false" ht="15.75" hidden="false" customHeight="true" outlineLevel="0" collapsed="false">
      <c r="A53" s="128" t="s">
        <v>316</v>
      </c>
      <c r="B53" s="128" t="n">
        <v>4524.9</v>
      </c>
      <c r="C53" s="128" t="n">
        <v>-66.67</v>
      </c>
      <c r="D53" s="128" t="n">
        <v>-133.33</v>
      </c>
      <c r="E53" s="128" t="n">
        <v>-16.48</v>
      </c>
      <c r="F53" s="128" t="n">
        <v>16.46</v>
      </c>
      <c r="G53" s="128" t="n">
        <v>41</v>
      </c>
      <c r="H53" s="128" t="n">
        <v>-37.51</v>
      </c>
      <c r="I53" s="128" t="n">
        <v>-56.5</v>
      </c>
      <c r="J53" s="128" t="n">
        <v>-68.08</v>
      </c>
      <c r="K53" s="128" t="n">
        <v>4298.09</v>
      </c>
      <c r="L53" s="129" t="n">
        <f aca="false">AVERAGE(C53:E53)</f>
        <v>-72.16</v>
      </c>
      <c r="M53" s="130" t="n">
        <f aca="false">AVERAGE(C53:J53)</f>
        <v>-40.13875</v>
      </c>
      <c r="N53" s="130" t="n">
        <f aca="false">RANK(I53,I:I)</f>
        <v>352</v>
      </c>
      <c r="O53" s="127" t="n">
        <f aca="false">RANK(L53,L:L)</f>
        <v>404</v>
      </c>
      <c r="P53" s="128" t="s">
        <v>316</v>
      </c>
      <c r="Q53" s="127" t="n">
        <f aca="false">RANK(M53,M:M)</f>
        <v>381</v>
      </c>
      <c r="R53" s="128" t="s">
        <v>316</v>
      </c>
      <c r="S53" s="127"/>
      <c r="T53" s="127"/>
      <c r="U53" s="127"/>
      <c r="V53" s="127"/>
      <c r="W53" s="127"/>
      <c r="X53" s="127"/>
    </row>
    <row r="54" customFormat="false" ht="15.75" hidden="false" customHeight="true" outlineLevel="0" collapsed="false">
      <c r="A54" s="128" t="s">
        <v>317</v>
      </c>
      <c r="B54" s="128" t="n">
        <v>4524.7</v>
      </c>
      <c r="C54" s="128" t="n">
        <v>-66.67</v>
      </c>
      <c r="D54" s="128" t="n">
        <v>-133.33</v>
      </c>
      <c r="E54" s="128" t="n">
        <v>37.63</v>
      </c>
      <c r="F54" s="128" t="n">
        <v>116.54</v>
      </c>
      <c r="G54" s="128" t="n">
        <v>-6.11</v>
      </c>
      <c r="H54" s="128" t="n">
        <v>-47.25</v>
      </c>
      <c r="I54" s="128" t="n">
        <v>-66.4</v>
      </c>
      <c r="J54" s="128" t="n">
        <v>-56.95</v>
      </c>
      <c r="K54" s="128" t="n">
        <v>4376.74</v>
      </c>
      <c r="L54" s="129" t="n">
        <f aca="false">AVERAGE(C54:E54)</f>
        <v>-54.1233333333333</v>
      </c>
      <c r="M54" s="130" t="n">
        <f aca="false">AVERAGE(C54:J54)</f>
        <v>-27.8175</v>
      </c>
      <c r="N54" s="130" t="n">
        <f aca="false">RANK(I54,I:I)</f>
        <v>378</v>
      </c>
      <c r="O54" s="127" t="n">
        <f aca="false">RANK(L54,L:L)</f>
        <v>259</v>
      </c>
      <c r="P54" s="128" t="s">
        <v>317</v>
      </c>
      <c r="Q54" s="127" t="n">
        <f aca="false">RANK(M54,M:M)</f>
        <v>335</v>
      </c>
      <c r="R54" s="128" t="s">
        <v>317</v>
      </c>
      <c r="S54" s="127"/>
      <c r="T54" s="127"/>
      <c r="U54" s="127"/>
      <c r="V54" s="127"/>
      <c r="W54" s="127"/>
      <c r="X54" s="127"/>
    </row>
    <row r="55" customFormat="false" ht="15.75" hidden="false" customHeight="true" outlineLevel="0" collapsed="false">
      <c r="A55" s="128" t="s">
        <v>87</v>
      </c>
      <c r="B55" s="128" t="n">
        <v>4498.3</v>
      </c>
      <c r="C55" s="128" t="n">
        <v>-66.67</v>
      </c>
      <c r="D55" s="128" t="n">
        <v>46.62</v>
      </c>
      <c r="E55" s="128" t="n">
        <v>112.53</v>
      </c>
      <c r="F55" s="128" t="n">
        <v>49.86</v>
      </c>
      <c r="G55" s="128" t="n">
        <v>-49.4</v>
      </c>
      <c r="H55" s="128" t="n">
        <v>-75.86</v>
      </c>
      <c r="I55" s="128" t="n">
        <v>-100.85</v>
      </c>
      <c r="J55" s="128" t="n">
        <v>-124.41</v>
      </c>
      <c r="K55" s="128" t="n">
        <v>4116.51</v>
      </c>
      <c r="L55" s="129" t="n">
        <f aca="false">AVERAGE(C55:E55)</f>
        <v>30.8266666666667</v>
      </c>
      <c r="M55" s="130" t="n">
        <f aca="false">AVERAGE(C55:J55)</f>
        <v>-26.0225</v>
      </c>
      <c r="N55" s="130" t="n">
        <f aca="false">RANK(I55,I:I)</f>
        <v>457</v>
      </c>
      <c r="O55" s="127" t="n">
        <f aca="false">RANK(L55,L:L)</f>
        <v>41</v>
      </c>
      <c r="P55" s="128" t="s">
        <v>133</v>
      </c>
      <c r="Q55" s="127" t="n">
        <f aca="false">RANK(M55,M:M)</f>
        <v>328</v>
      </c>
      <c r="R55" s="128" t="s">
        <v>133</v>
      </c>
      <c r="S55" s="127"/>
      <c r="T55" s="127"/>
      <c r="U55" s="127"/>
      <c r="V55" s="127"/>
      <c r="W55" s="127"/>
      <c r="X55" s="127"/>
    </row>
    <row r="56" customFormat="false" ht="15.75" hidden="false" customHeight="true" outlineLevel="0" collapsed="false">
      <c r="A56" s="128" t="s">
        <v>191</v>
      </c>
      <c r="B56" s="128" t="n">
        <v>4448.7</v>
      </c>
      <c r="C56" s="128" t="n">
        <v>66.67</v>
      </c>
      <c r="D56" s="128" t="n">
        <v>111.87</v>
      </c>
      <c r="E56" s="128" t="n">
        <v>142.43</v>
      </c>
      <c r="F56" s="128" t="n">
        <v>200.25</v>
      </c>
      <c r="G56" s="128" t="n">
        <v>176.18</v>
      </c>
      <c r="H56" s="128" t="n">
        <v>129.51</v>
      </c>
      <c r="I56" s="128" t="n">
        <v>142.48</v>
      </c>
      <c r="J56" s="128" t="n">
        <v>157.7</v>
      </c>
      <c r="K56" s="128" t="n">
        <v>4046.56</v>
      </c>
      <c r="L56" s="129" t="n">
        <f aca="false">AVERAGE(C56:E56)</f>
        <v>106.99</v>
      </c>
      <c r="M56" s="130" t="n">
        <f aca="false">AVERAGE(C56:J56)</f>
        <v>140.88625</v>
      </c>
      <c r="N56" s="130" t="n">
        <f aca="false">RANK(I56,I:I)</f>
        <v>45</v>
      </c>
      <c r="O56" s="127" t="n">
        <f aca="false">RANK(L56,L:L)</f>
        <v>3</v>
      </c>
      <c r="P56" s="128" t="s">
        <v>87</v>
      </c>
      <c r="Q56" s="127" t="n">
        <f aca="false">RANK(M56,M:M)</f>
        <v>10</v>
      </c>
      <c r="R56" s="128" t="s">
        <v>87</v>
      </c>
      <c r="S56" s="127"/>
      <c r="T56" s="127"/>
      <c r="U56" s="127"/>
      <c r="V56" s="127"/>
      <c r="W56" s="127"/>
      <c r="X56" s="127"/>
    </row>
    <row r="57" customFormat="false" ht="15.75" hidden="false" customHeight="true" outlineLevel="0" collapsed="false">
      <c r="A57" s="128" t="s">
        <v>108</v>
      </c>
      <c r="B57" s="128" t="n">
        <v>4382.5</v>
      </c>
      <c r="C57" s="128" t="n">
        <v>-66.67</v>
      </c>
      <c r="D57" s="128" t="n">
        <v>-99.06</v>
      </c>
      <c r="E57" s="128" t="n">
        <v>55.76</v>
      </c>
      <c r="F57" s="128" t="n">
        <v>147.27</v>
      </c>
      <c r="G57" s="128" t="n">
        <v>213.22</v>
      </c>
      <c r="H57" s="128" t="n">
        <v>157.16</v>
      </c>
      <c r="I57" s="128" t="n">
        <v>109.95</v>
      </c>
      <c r="J57" s="128" t="n">
        <v>82.33</v>
      </c>
      <c r="K57" s="128" t="n">
        <v>4190.18</v>
      </c>
      <c r="L57" s="129" t="n">
        <f aca="false">AVERAGE(C57:E57)</f>
        <v>-36.6566666666667</v>
      </c>
      <c r="M57" s="130" t="n">
        <f aca="false">AVERAGE(C57:J57)</f>
        <v>74.995</v>
      </c>
      <c r="N57" s="130" t="n">
        <f aca="false">RANK(I57,I:I)</f>
        <v>73</v>
      </c>
      <c r="O57" s="127" t="n">
        <f aca="false">RANK(L57,L:L)</f>
        <v>187</v>
      </c>
      <c r="P57" s="128" t="s">
        <v>246</v>
      </c>
      <c r="Q57" s="127" t="n">
        <f aca="false">RANK(M57,M:M)</f>
        <v>55</v>
      </c>
      <c r="R57" s="128" t="s">
        <v>246</v>
      </c>
      <c r="S57" s="127"/>
      <c r="T57" s="127"/>
      <c r="U57" s="127"/>
      <c r="V57" s="127"/>
      <c r="W57" s="127"/>
      <c r="X57" s="127"/>
    </row>
    <row r="58" customFormat="false" ht="15.75" hidden="false" customHeight="true" outlineLevel="0" collapsed="false">
      <c r="A58" s="128" t="s">
        <v>246</v>
      </c>
      <c r="B58" s="128" t="n">
        <v>4375.2</v>
      </c>
      <c r="C58" s="128" t="n">
        <v>-66.67</v>
      </c>
      <c r="D58" s="128" t="n">
        <v>-67.13</v>
      </c>
      <c r="E58" s="128" t="n">
        <v>54.26</v>
      </c>
      <c r="F58" s="128" t="n">
        <v>126.48</v>
      </c>
      <c r="G58" s="128" t="n">
        <v>159.39</v>
      </c>
      <c r="H58" s="128" t="n">
        <v>192.69</v>
      </c>
      <c r="I58" s="128" t="n">
        <v>221.22</v>
      </c>
      <c r="J58" s="128" t="n">
        <v>91.43</v>
      </c>
      <c r="K58" s="128" t="n">
        <v>4185.01</v>
      </c>
      <c r="L58" s="129" t="n">
        <f aca="false">AVERAGE(C58:E58)</f>
        <v>-26.5133333333333</v>
      </c>
      <c r="M58" s="130" t="n">
        <f aca="false">AVERAGE(C58:J58)</f>
        <v>88.95875</v>
      </c>
      <c r="N58" s="130" t="n">
        <f aca="false">RANK(I58,I:I)</f>
        <v>17</v>
      </c>
      <c r="O58" s="127" t="n">
        <f aca="false">RANK(L58,L:L)</f>
        <v>148</v>
      </c>
      <c r="P58" s="128" t="s">
        <v>192</v>
      </c>
      <c r="Q58" s="127" t="n">
        <f aca="false">RANK(M58,M:M)</f>
        <v>36</v>
      </c>
      <c r="R58" s="128" t="s">
        <v>192</v>
      </c>
      <c r="S58" s="127"/>
      <c r="T58" s="127"/>
      <c r="U58" s="127"/>
      <c r="V58" s="127"/>
      <c r="W58" s="127"/>
      <c r="X58" s="127"/>
    </row>
    <row r="59" customFormat="false" ht="15.75" hidden="false" customHeight="true" outlineLevel="0" collapsed="false">
      <c r="A59" s="128" t="s">
        <v>133</v>
      </c>
      <c r="B59" s="128" t="n">
        <v>4256.1</v>
      </c>
      <c r="C59" s="128" t="n">
        <v>-66.67</v>
      </c>
      <c r="D59" s="128" t="n">
        <v>-121.85</v>
      </c>
      <c r="E59" s="128" t="n">
        <v>-23.61</v>
      </c>
      <c r="F59" s="128" t="n">
        <v>-74.93</v>
      </c>
      <c r="G59" s="128" t="n">
        <v>-93.81</v>
      </c>
      <c r="H59" s="128" t="n">
        <v>-118.79</v>
      </c>
      <c r="I59" s="128" t="n">
        <v>-135.48</v>
      </c>
      <c r="J59" s="128" t="n">
        <v>-152.11</v>
      </c>
      <c r="K59" s="128" t="n">
        <v>4491.82</v>
      </c>
      <c r="L59" s="129" t="n">
        <f aca="false">AVERAGE(C59:E59)</f>
        <v>-70.71</v>
      </c>
      <c r="M59" s="130" t="n">
        <f aca="false">AVERAGE(C59:J59)</f>
        <v>-98.40625</v>
      </c>
      <c r="N59" s="130" t="n">
        <f aca="false">RANK(I59,I:I)</f>
        <v>482</v>
      </c>
      <c r="O59" s="127" t="n">
        <f aca="false">RANK(L59,L:L)</f>
        <v>397</v>
      </c>
      <c r="P59" s="128" t="s">
        <v>493</v>
      </c>
      <c r="Q59" s="127" t="n">
        <f aca="false">RANK(M59,M:M)</f>
        <v>488</v>
      </c>
      <c r="R59" s="128" t="s">
        <v>493</v>
      </c>
      <c r="S59" s="127"/>
      <c r="T59" s="127"/>
      <c r="U59" s="127"/>
      <c r="V59" s="127"/>
      <c r="W59" s="127"/>
      <c r="X59" s="127"/>
    </row>
    <row r="60" customFormat="false" ht="15.75" hidden="false" customHeight="true" outlineLevel="0" collapsed="false">
      <c r="A60" s="128" t="s">
        <v>493</v>
      </c>
      <c r="B60" s="128" t="n">
        <v>4248.9</v>
      </c>
      <c r="C60" s="128" t="n">
        <v>-66.67</v>
      </c>
      <c r="D60" s="128" t="n">
        <v>34.15</v>
      </c>
      <c r="E60" s="128" t="n">
        <v>91.88</v>
      </c>
      <c r="F60" s="128" t="n">
        <v>156.3</v>
      </c>
      <c r="G60" s="128" t="n">
        <v>45.51</v>
      </c>
      <c r="H60" s="128" t="n">
        <v>-33.84</v>
      </c>
      <c r="I60" s="128" t="n">
        <v>-54.26</v>
      </c>
      <c r="J60" s="128" t="n">
        <v>-71.67</v>
      </c>
      <c r="K60" s="128" t="n">
        <v>4014.49</v>
      </c>
      <c r="L60" s="129" t="n">
        <f aca="false">AVERAGE(C60:E60)</f>
        <v>19.7866666666667</v>
      </c>
      <c r="M60" s="130" t="n">
        <f aca="false">AVERAGE(C60:J60)</f>
        <v>12.675</v>
      </c>
      <c r="N60" s="130" t="n">
        <f aca="false">RANK(I60,I:I)</f>
        <v>340</v>
      </c>
      <c r="O60" s="127" t="n">
        <f aca="false">RANK(L60,L:L)</f>
        <v>55</v>
      </c>
      <c r="P60" s="128" t="s">
        <v>191</v>
      </c>
      <c r="Q60" s="127" t="n">
        <f aca="false">RANK(M60,M:M)</f>
        <v>193</v>
      </c>
      <c r="R60" s="128" t="s">
        <v>191</v>
      </c>
      <c r="S60" s="127"/>
      <c r="T60" s="127"/>
      <c r="U60" s="127"/>
      <c r="V60" s="127"/>
      <c r="W60" s="127"/>
      <c r="X60" s="127"/>
    </row>
    <row r="61" customFormat="false" ht="15.75" hidden="false" customHeight="true" outlineLevel="0" collapsed="false">
      <c r="A61" s="128" t="s">
        <v>192</v>
      </c>
      <c r="B61" s="128" t="n">
        <v>4196.4</v>
      </c>
      <c r="C61" s="128" t="n">
        <v>-66.67</v>
      </c>
      <c r="D61" s="128" t="n">
        <v>-133.33</v>
      </c>
      <c r="E61" s="128" t="n">
        <v>6.64</v>
      </c>
      <c r="F61" s="128" t="n">
        <v>57.82</v>
      </c>
      <c r="G61" s="128" t="n">
        <v>99.75</v>
      </c>
      <c r="H61" s="128" t="n">
        <v>69.09</v>
      </c>
      <c r="I61" s="128" t="n">
        <v>43.27</v>
      </c>
      <c r="J61" s="128" t="n">
        <v>29.5</v>
      </c>
      <c r="K61" s="128" t="n">
        <v>4015.98</v>
      </c>
      <c r="L61" s="129" t="n">
        <f aca="false">AVERAGE(C61:E61)</f>
        <v>-64.4533333333333</v>
      </c>
      <c r="M61" s="130" t="n">
        <f aca="false">AVERAGE(C61:J61)</f>
        <v>13.25875</v>
      </c>
      <c r="N61" s="130" t="n">
        <f aca="false">RANK(I61,I:I)</f>
        <v>132</v>
      </c>
      <c r="O61" s="127" t="n">
        <f aca="false">RANK(L61,L:L)</f>
        <v>346</v>
      </c>
      <c r="P61" s="128" t="s">
        <v>108</v>
      </c>
      <c r="Q61" s="127" t="n">
        <f aca="false">RANK(M61,M:M)</f>
        <v>189</v>
      </c>
      <c r="R61" s="128" t="s">
        <v>108</v>
      </c>
      <c r="S61" s="127"/>
      <c r="T61" s="127"/>
      <c r="U61" s="127"/>
      <c r="V61" s="127"/>
      <c r="W61" s="127"/>
      <c r="X61" s="127"/>
    </row>
    <row r="62" customFormat="false" ht="15.75" hidden="false" customHeight="true" outlineLevel="0" collapsed="false">
      <c r="A62" s="128" t="s">
        <v>367</v>
      </c>
      <c r="B62" s="128" t="n">
        <v>3977.9</v>
      </c>
      <c r="C62" s="128" t="n">
        <v>-66.67</v>
      </c>
      <c r="D62" s="128" t="n">
        <v>-133.33</v>
      </c>
      <c r="E62" s="128" t="n">
        <v>30.67</v>
      </c>
      <c r="F62" s="128" t="n">
        <v>39.07</v>
      </c>
      <c r="G62" s="128" t="n">
        <v>85.87</v>
      </c>
      <c r="H62" s="128" t="n">
        <v>27.15</v>
      </c>
      <c r="I62" s="128" t="n">
        <v>2.89</v>
      </c>
      <c r="J62" s="128" t="n">
        <v>-20.47</v>
      </c>
      <c r="K62" s="128" t="n">
        <v>3653.93</v>
      </c>
      <c r="L62" s="129" t="n">
        <f aca="false">AVERAGE(C62:E62)</f>
        <v>-56.4433333333333</v>
      </c>
      <c r="M62" s="130" t="n">
        <f aca="false">AVERAGE(C62:J62)</f>
        <v>-4.3525</v>
      </c>
      <c r="N62" s="130" t="n">
        <f aca="false">RANK(I62,I:I)</f>
        <v>198</v>
      </c>
      <c r="O62" s="127" t="n">
        <f aca="false">RANK(L62,L:L)</f>
        <v>275</v>
      </c>
      <c r="P62" s="128" t="s">
        <v>437</v>
      </c>
      <c r="Q62" s="127" t="n">
        <f aca="false">RANK(M62,M:M)</f>
        <v>247</v>
      </c>
      <c r="R62" s="128" t="s">
        <v>437</v>
      </c>
      <c r="S62" s="127"/>
      <c r="T62" s="127"/>
      <c r="U62" s="127"/>
      <c r="V62" s="127"/>
      <c r="W62" s="127"/>
      <c r="X62" s="127"/>
    </row>
    <row r="63" customFormat="false" ht="15.75" hidden="false" customHeight="true" outlineLevel="0" collapsed="false">
      <c r="A63" s="128" t="s">
        <v>208</v>
      </c>
      <c r="B63" s="128" t="n">
        <v>3938.1</v>
      </c>
      <c r="C63" s="128" t="n">
        <v>-66.67</v>
      </c>
      <c r="D63" s="128" t="n">
        <v>-133.33</v>
      </c>
      <c r="E63" s="128" t="n">
        <v>40.53</v>
      </c>
      <c r="F63" s="128" t="n">
        <v>109.63</v>
      </c>
      <c r="G63" s="128" t="n">
        <v>125.87</v>
      </c>
      <c r="H63" s="128" t="n">
        <v>-0.392</v>
      </c>
      <c r="I63" s="128" t="n">
        <v>-23.07</v>
      </c>
      <c r="J63" s="128" t="n">
        <v>-33.85</v>
      </c>
      <c r="K63" s="128" t="n">
        <v>3737.1</v>
      </c>
      <c r="L63" s="129" t="n">
        <f aca="false">AVERAGE(C63:E63)</f>
        <v>-53.1566666666667</v>
      </c>
      <c r="M63" s="130" t="n">
        <f aca="false">AVERAGE(C63:J63)</f>
        <v>2.33975</v>
      </c>
      <c r="N63" s="130" t="n">
        <f aca="false">RANK(I63,I:I)</f>
        <v>245</v>
      </c>
      <c r="O63" s="127" t="n">
        <f aca="false">RANK(L63,L:L)</f>
        <v>254</v>
      </c>
      <c r="P63" s="128" t="s">
        <v>367</v>
      </c>
      <c r="Q63" s="127" t="n">
        <f aca="false">RANK(M63,M:M)</f>
        <v>221</v>
      </c>
      <c r="R63" s="128" t="s">
        <v>367</v>
      </c>
      <c r="S63" s="127"/>
      <c r="T63" s="127"/>
      <c r="U63" s="127"/>
      <c r="V63" s="127"/>
      <c r="W63" s="127"/>
      <c r="X63" s="127"/>
    </row>
    <row r="64" customFormat="false" ht="15.75" hidden="false" customHeight="true" outlineLevel="0" collapsed="false">
      <c r="A64" s="128" t="s">
        <v>139</v>
      </c>
      <c r="B64" s="128" t="n">
        <v>3895.5</v>
      </c>
      <c r="C64" s="128" t="n">
        <v>-66.67</v>
      </c>
      <c r="D64" s="128" t="n">
        <v>9.55</v>
      </c>
      <c r="E64" s="128" t="n">
        <v>74.83</v>
      </c>
      <c r="F64" s="128" t="n">
        <v>139.17</v>
      </c>
      <c r="G64" s="128" t="n">
        <v>27.12</v>
      </c>
      <c r="H64" s="128" t="n">
        <v>-13.59</v>
      </c>
      <c r="I64" s="128" t="n">
        <v>-46.28</v>
      </c>
      <c r="J64" s="128" t="n">
        <v>-60.98</v>
      </c>
      <c r="K64" s="128" t="n">
        <v>3666.21</v>
      </c>
      <c r="L64" s="129" t="n">
        <f aca="false">AVERAGE(C64:E64)</f>
        <v>5.90333333333333</v>
      </c>
      <c r="M64" s="130" t="n">
        <f aca="false">AVERAGE(C64:J64)</f>
        <v>7.89375</v>
      </c>
      <c r="N64" s="130" t="n">
        <f aca="false">RANK(I64,I:I)</f>
        <v>309</v>
      </c>
      <c r="O64" s="127" t="n">
        <f aca="false">RANK(L64,L:L)</f>
        <v>75</v>
      </c>
      <c r="P64" s="128" t="s">
        <v>208</v>
      </c>
      <c r="Q64" s="127" t="n">
        <f aca="false">RANK(M64,M:M)</f>
        <v>210</v>
      </c>
      <c r="R64" s="128" t="s">
        <v>208</v>
      </c>
      <c r="S64" s="127"/>
      <c r="T64" s="127"/>
      <c r="U64" s="127"/>
      <c r="V64" s="127"/>
      <c r="W64" s="127"/>
      <c r="X64" s="127"/>
    </row>
    <row r="65" customFormat="false" ht="15.75" hidden="false" customHeight="true" outlineLevel="0" collapsed="false">
      <c r="A65" s="128" t="s">
        <v>437</v>
      </c>
      <c r="B65" s="128" t="n">
        <v>3876.7</v>
      </c>
      <c r="C65" s="128" t="n">
        <v>-66.67</v>
      </c>
      <c r="D65" s="128" t="n">
        <v>-111.12</v>
      </c>
      <c r="E65" s="128" t="n">
        <v>-39.7</v>
      </c>
      <c r="F65" s="128" t="n">
        <v>73.58</v>
      </c>
      <c r="G65" s="128" t="n">
        <v>36.9</v>
      </c>
      <c r="H65" s="128" t="n">
        <v>-37.24</v>
      </c>
      <c r="I65" s="128" t="n">
        <v>-57.72</v>
      </c>
      <c r="J65" s="128" t="n">
        <v>-70.94</v>
      </c>
      <c r="K65" s="128" t="n">
        <v>3709.25</v>
      </c>
      <c r="L65" s="129" t="n">
        <f aca="false">AVERAGE(C65:E65)</f>
        <v>-72.4966666666667</v>
      </c>
      <c r="M65" s="130" t="n">
        <f aca="false">AVERAGE(C65:J65)</f>
        <v>-34.11375</v>
      </c>
      <c r="N65" s="130" t="n">
        <f aca="false">RANK(I65,I:I)</f>
        <v>359</v>
      </c>
      <c r="O65" s="127" t="n">
        <f aca="false">RANK(L65,L:L)</f>
        <v>405</v>
      </c>
      <c r="P65" s="128" t="s">
        <v>139</v>
      </c>
      <c r="Q65" s="127" t="n">
        <f aca="false">RANK(M65,M:M)</f>
        <v>361</v>
      </c>
      <c r="R65" s="128" t="s">
        <v>139</v>
      </c>
      <c r="S65" s="127"/>
      <c r="T65" s="127"/>
      <c r="U65" s="127"/>
      <c r="V65" s="127"/>
      <c r="W65" s="127"/>
      <c r="X65" s="127"/>
    </row>
    <row r="66" customFormat="false" ht="15.75" hidden="false" customHeight="true" outlineLevel="0" collapsed="false">
      <c r="A66" s="128" t="s">
        <v>148</v>
      </c>
      <c r="B66" s="128" t="n">
        <v>3583.9</v>
      </c>
      <c r="C66" s="128" t="n">
        <v>-66.67</v>
      </c>
      <c r="D66" s="128" t="n">
        <v>-117.66</v>
      </c>
      <c r="E66" s="128" t="n">
        <v>-2.54</v>
      </c>
      <c r="F66" s="128" t="n">
        <v>84.17</v>
      </c>
      <c r="G66" s="128" t="n">
        <v>93.34</v>
      </c>
      <c r="H66" s="128" t="n">
        <v>45.16</v>
      </c>
      <c r="I66" s="128" t="n">
        <v>-15.59</v>
      </c>
      <c r="J66" s="128" t="n">
        <v>-37.07</v>
      </c>
      <c r="K66" s="128" t="n">
        <v>3419.39</v>
      </c>
      <c r="L66" s="129" t="n">
        <f aca="false">AVERAGE(C66:E66)</f>
        <v>-62.29</v>
      </c>
      <c r="M66" s="130" t="n">
        <f aca="false">AVERAGE(C66:J66)</f>
        <v>-2.1075</v>
      </c>
      <c r="N66" s="130" t="n">
        <f aca="false">RANK(I66,I:I)</f>
        <v>227</v>
      </c>
      <c r="O66" s="127" t="n">
        <f aca="false">RANK(L66,L:L)</f>
        <v>318</v>
      </c>
      <c r="P66" s="128" t="s">
        <v>135</v>
      </c>
      <c r="Q66" s="127" t="n">
        <f aca="false">RANK(M66,M:M)</f>
        <v>238</v>
      </c>
      <c r="R66" s="128" t="s">
        <v>135</v>
      </c>
      <c r="S66" s="127"/>
      <c r="T66" s="127"/>
      <c r="U66" s="127"/>
      <c r="V66" s="127"/>
      <c r="W66" s="127"/>
      <c r="X66" s="127"/>
    </row>
    <row r="67" customFormat="false" ht="15.75" hidden="false" customHeight="true" outlineLevel="0" collapsed="false">
      <c r="A67" s="128" t="s">
        <v>226</v>
      </c>
      <c r="B67" s="128" t="n">
        <v>3477.8</v>
      </c>
      <c r="C67" s="128" t="n">
        <v>-66.67</v>
      </c>
      <c r="D67" s="128" t="n">
        <v>-98.18</v>
      </c>
      <c r="E67" s="128" t="n">
        <v>60.8</v>
      </c>
      <c r="F67" s="128" t="n">
        <v>88.5</v>
      </c>
      <c r="G67" s="128" t="n">
        <v>-17.09</v>
      </c>
      <c r="H67" s="128" t="n">
        <v>-55.68</v>
      </c>
      <c r="I67" s="128" t="n">
        <v>-71.71</v>
      </c>
      <c r="J67" s="128" t="n">
        <v>-85.67</v>
      </c>
      <c r="K67" s="128" t="n">
        <v>3222.14</v>
      </c>
      <c r="L67" s="129" t="n">
        <f aca="false">AVERAGE(C67:E67)</f>
        <v>-34.6833333333333</v>
      </c>
      <c r="M67" s="130" t="n">
        <f aca="false">AVERAGE(C67:J67)</f>
        <v>-30.7125</v>
      </c>
      <c r="N67" s="130" t="n">
        <f aca="false">RANK(I67,I:I)</f>
        <v>397</v>
      </c>
      <c r="O67" s="127" t="n">
        <f aca="false">RANK(L67,L:L)</f>
        <v>174</v>
      </c>
      <c r="P67" s="128" t="s">
        <v>462</v>
      </c>
      <c r="Q67" s="127" t="n">
        <f aca="false">RANK(M67,M:M)</f>
        <v>350</v>
      </c>
      <c r="R67" s="128" t="s">
        <v>462</v>
      </c>
      <c r="S67" s="127"/>
      <c r="T67" s="127"/>
      <c r="U67" s="127"/>
      <c r="V67" s="127"/>
      <c r="W67" s="127"/>
      <c r="X67" s="127"/>
    </row>
    <row r="68" customFormat="false" ht="15.75" hidden="false" customHeight="true" outlineLevel="0" collapsed="false">
      <c r="A68" s="128" t="s">
        <v>135</v>
      </c>
      <c r="B68" s="128" t="n">
        <v>3448</v>
      </c>
      <c r="C68" s="128" t="n">
        <v>66.67</v>
      </c>
      <c r="D68" s="128" t="n">
        <v>103.15</v>
      </c>
      <c r="E68" s="128" t="n">
        <v>146.26</v>
      </c>
      <c r="F68" s="128" t="n">
        <v>-4.29</v>
      </c>
      <c r="G68" s="128" t="n">
        <v>-61.63</v>
      </c>
      <c r="H68" s="128" t="n">
        <v>-84.26</v>
      </c>
      <c r="I68" s="128" t="n">
        <v>-108.05</v>
      </c>
      <c r="J68" s="128" t="n">
        <v>-131.37</v>
      </c>
      <c r="K68" s="128" t="n">
        <v>3245.03</v>
      </c>
      <c r="L68" s="129" t="n">
        <f aca="false">AVERAGE(C68:E68)</f>
        <v>105.36</v>
      </c>
      <c r="M68" s="130" t="n">
        <f aca="false">AVERAGE(C68:J68)</f>
        <v>-9.19</v>
      </c>
      <c r="N68" s="130" t="n">
        <f aca="false">RANK(I68,I:I)</f>
        <v>472</v>
      </c>
      <c r="O68" s="127" t="n">
        <f aca="false">RANK(L68,L:L)</f>
        <v>4</v>
      </c>
      <c r="P68" s="128" t="s">
        <v>148</v>
      </c>
      <c r="Q68" s="127" t="n">
        <f aca="false">RANK(M68,M:M)</f>
        <v>264</v>
      </c>
      <c r="R68" s="128" t="s">
        <v>148</v>
      </c>
      <c r="S68" s="127"/>
      <c r="T68" s="127"/>
      <c r="U68" s="127"/>
      <c r="V68" s="127"/>
      <c r="W68" s="127"/>
      <c r="X68" s="127"/>
    </row>
    <row r="69" customFormat="false" ht="15.75" hidden="false" customHeight="true" outlineLevel="0" collapsed="false">
      <c r="A69" s="128" t="s">
        <v>462</v>
      </c>
      <c r="B69" s="128" t="n">
        <v>3444</v>
      </c>
      <c r="C69" s="128" t="n">
        <v>-66.67</v>
      </c>
      <c r="D69" s="128" t="n">
        <v>-9.07</v>
      </c>
      <c r="E69" s="128" t="n">
        <v>69.54</v>
      </c>
      <c r="F69" s="128" t="n">
        <v>39.12</v>
      </c>
      <c r="G69" s="128" t="n">
        <v>43.2</v>
      </c>
      <c r="H69" s="128" t="n">
        <v>-29.28</v>
      </c>
      <c r="I69" s="128" t="n">
        <v>-52.35</v>
      </c>
      <c r="J69" s="128" t="n">
        <v>-65.87</v>
      </c>
      <c r="K69" s="128" t="n">
        <v>3207.67</v>
      </c>
      <c r="L69" s="129" t="n">
        <f aca="false">AVERAGE(C69:E69)</f>
        <v>-2.06666666666667</v>
      </c>
      <c r="M69" s="130" t="n">
        <f aca="false">AVERAGE(C69:J69)</f>
        <v>-8.9225</v>
      </c>
      <c r="N69" s="130" t="n">
        <f aca="false">RANK(I69,I:I)</f>
        <v>337</v>
      </c>
      <c r="O69" s="127" t="n">
        <f aca="false">RANK(L69,L:L)</f>
        <v>93</v>
      </c>
      <c r="P69" s="128" t="s">
        <v>115</v>
      </c>
      <c r="Q69" s="127" t="n">
        <f aca="false">RANK(M69,M:M)</f>
        <v>263</v>
      </c>
      <c r="R69" s="128" t="s">
        <v>115</v>
      </c>
      <c r="S69" s="127"/>
      <c r="T69" s="127"/>
      <c r="U69" s="127"/>
      <c r="V69" s="127"/>
      <c r="W69" s="127"/>
      <c r="X69" s="127"/>
    </row>
    <row r="70" customFormat="false" ht="15.75" hidden="false" customHeight="true" outlineLevel="0" collapsed="false">
      <c r="A70" s="128" t="s">
        <v>142</v>
      </c>
      <c r="B70" s="128" t="n">
        <v>3365.2</v>
      </c>
      <c r="C70" s="128" t="n">
        <v>-66.67</v>
      </c>
      <c r="D70" s="128" t="n">
        <v>49.2</v>
      </c>
      <c r="E70" s="128" t="n">
        <v>85.93</v>
      </c>
      <c r="F70" s="128" t="n">
        <v>143.22</v>
      </c>
      <c r="G70" s="128" t="n">
        <v>80.26</v>
      </c>
      <c r="H70" s="128" t="n">
        <v>48.92</v>
      </c>
      <c r="I70" s="128" t="n">
        <v>51.93</v>
      </c>
      <c r="J70" s="128" t="n">
        <v>15.36</v>
      </c>
      <c r="K70" s="128" t="n">
        <v>3180.9</v>
      </c>
      <c r="L70" s="129" t="n">
        <f aca="false">AVERAGE(C70:E70)</f>
        <v>22.82</v>
      </c>
      <c r="M70" s="130" t="n">
        <f aca="false">AVERAGE(C70:J70)</f>
        <v>51.01875</v>
      </c>
      <c r="N70" s="130" t="n">
        <f aca="false">RANK(I70,I:I)</f>
        <v>121</v>
      </c>
      <c r="O70" s="127" t="n">
        <f aca="false">RANK(L70,L:L)</f>
        <v>51</v>
      </c>
      <c r="P70" s="128" t="s">
        <v>226</v>
      </c>
      <c r="Q70" s="127" t="n">
        <f aca="false">RANK(M70,M:M)</f>
        <v>88</v>
      </c>
      <c r="R70" s="128" t="s">
        <v>226</v>
      </c>
      <c r="S70" s="127"/>
      <c r="T70" s="127"/>
      <c r="U70" s="127"/>
      <c r="V70" s="127"/>
      <c r="W70" s="127"/>
      <c r="X70" s="127"/>
    </row>
    <row r="71" customFormat="false" ht="15.75" hidden="false" customHeight="true" outlineLevel="0" collapsed="false">
      <c r="A71" s="128" t="s">
        <v>55</v>
      </c>
      <c r="B71" s="128" t="n">
        <v>3333.7</v>
      </c>
      <c r="C71" s="128" t="n">
        <v>-66.67</v>
      </c>
      <c r="D71" s="128" t="n">
        <v>-89.81</v>
      </c>
      <c r="E71" s="128" t="n">
        <v>45.22</v>
      </c>
      <c r="F71" s="128" t="n">
        <v>97.4</v>
      </c>
      <c r="G71" s="128" t="n">
        <v>74.85</v>
      </c>
      <c r="H71" s="128" t="n">
        <v>46.16</v>
      </c>
      <c r="I71" s="128" t="n">
        <v>10.02</v>
      </c>
      <c r="J71" s="128" t="n">
        <v>-23.88</v>
      </c>
      <c r="K71" s="128" t="n">
        <v>3156.32</v>
      </c>
      <c r="L71" s="129" t="n">
        <f aca="false">AVERAGE(C71:E71)</f>
        <v>-37.0866666666667</v>
      </c>
      <c r="M71" s="130" t="n">
        <f aca="false">AVERAGE(C71:J71)</f>
        <v>11.66125</v>
      </c>
      <c r="N71" s="130" t="n">
        <f aca="false">RANK(I71,I:I)</f>
        <v>185</v>
      </c>
      <c r="O71" s="127" t="n">
        <f aca="false">RANK(L71,L:L)</f>
        <v>190</v>
      </c>
      <c r="P71" s="128" t="s">
        <v>276</v>
      </c>
      <c r="Q71" s="127" t="n">
        <f aca="false">RANK(M71,M:M)</f>
        <v>198</v>
      </c>
      <c r="R71" s="128" t="s">
        <v>276</v>
      </c>
      <c r="S71" s="127"/>
      <c r="T71" s="127"/>
      <c r="U71" s="127"/>
      <c r="V71" s="127"/>
      <c r="W71" s="127"/>
      <c r="X71" s="127"/>
    </row>
    <row r="72" customFormat="false" ht="15.75" hidden="false" customHeight="true" outlineLevel="0" collapsed="false">
      <c r="A72" s="128" t="s">
        <v>93</v>
      </c>
      <c r="B72" s="128" t="n">
        <v>3272.1</v>
      </c>
      <c r="C72" s="128" t="n">
        <v>-66.67</v>
      </c>
      <c r="D72" s="128" t="n">
        <v>-22.32</v>
      </c>
      <c r="E72" s="128" t="n">
        <v>61.99</v>
      </c>
      <c r="F72" s="128" t="n">
        <v>-8.04</v>
      </c>
      <c r="G72" s="128" t="n">
        <v>-15.8</v>
      </c>
      <c r="H72" s="128" t="n">
        <v>-53.55</v>
      </c>
      <c r="I72" s="128" t="n">
        <v>-73.58</v>
      </c>
      <c r="J72" s="128" t="n">
        <v>-86.9</v>
      </c>
      <c r="K72" s="128" t="n">
        <v>3083.96</v>
      </c>
      <c r="L72" s="129" t="n">
        <f aca="false">AVERAGE(C72:E72)</f>
        <v>-9</v>
      </c>
      <c r="M72" s="130" t="n">
        <f aca="false">AVERAGE(C72:J72)</f>
        <v>-33.10875</v>
      </c>
      <c r="N72" s="130" t="n">
        <f aca="false">RANK(I72,I:I)</f>
        <v>401</v>
      </c>
      <c r="O72" s="127" t="n">
        <f aca="false">RANK(L72,L:L)</f>
        <v>106</v>
      </c>
      <c r="P72" s="128" t="s">
        <v>93</v>
      </c>
      <c r="Q72" s="127" t="n">
        <f aca="false">RANK(M72,M:M)</f>
        <v>354</v>
      </c>
      <c r="R72" s="128" t="s">
        <v>93</v>
      </c>
      <c r="S72" s="127"/>
      <c r="T72" s="127"/>
      <c r="U72" s="127"/>
      <c r="V72" s="127"/>
      <c r="W72" s="127"/>
      <c r="X72" s="127"/>
    </row>
    <row r="73" customFormat="false" ht="15.75" hidden="false" customHeight="true" outlineLevel="0" collapsed="false">
      <c r="A73" s="128" t="s">
        <v>115</v>
      </c>
      <c r="B73" s="128" t="n">
        <v>3238.9</v>
      </c>
      <c r="C73" s="128" t="n">
        <v>-66.67</v>
      </c>
      <c r="D73" s="128" t="n">
        <v>-57.52</v>
      </c>
      <c r="E73" s="128" t="n">
        <v>26.38</v>
      </c>
      <c r="F73" s="128" t="n">
        <v>60.69</v>
      </c>
      <c r="G73" s="128" t="n">
        <v>66.93</v>
      </c>
      <c r="H73" s="128" t="n">
        <v>23.91</v>
      </c>
      <c r="I73" s="128" t="n">
        <v>23.46</v>
      </c>
      <c r="J73" s="128" t="n">
        <v>-3.84</v>
      </c>
      <c r="K73" s="128" t="n">
        <v>3120.71</v>
      </c>
      <c r="L73" s="129" t="n">
        <f aca="false">AVERAGE(C73:E73)</f>
        <v>-32.6033333333333</v>
      </c>
      <c r="M73" s="130" t="n">
        <f aca="false">AVERAGE(C73:J73)</f>
        <v>9.1675</v>
      </c>
      <c r="N73" s="130" t="n">
        <f aca="false">RANK(I73,I:I)</f>
        <v>166</v>
      </c>
      <c r="O73" s="127" t="n">
        <f aca="false">RANK(L73,L:L)</f>
        <v>165</v>
      </c>
      <c r="P73" s="128" t="s">
        <v>55</v>
      </c>
      <c r="Q73" s="127" t="n">
        <f aca="false">RANK(M73,M:M)</f>
        <v>203</v>
      </c>
      <c r="R73" s="128" t="s">
        <v>55</v>
      </c>
      <c r="S73" s="127"/>
      <c r="T73" s="127"/>
      <c r="U73" s="127"/>
      <c r="V73" s="127"/>
      <c r="W73" s="127"/>
      <c r="X73" s="127"/>
    </row>
    <row r="74" customFormat="false" ht="15.75" hidden="false" customHeight="true" outlineLevel="0" collapsed="false">
      <c r="A74" s="128" t="s">
        <v>438</v>
      </c>
      <c r="B74" s="128" t="n">
        <v>3194.2</v>
      </c>
      <c r="C74" s="128" t="n">
        <v>-66.67</v>
      </c>
      <c r="D74" s="128" t="n">
        <v>-133.33</v>
      </c>
      <c r="E74" s="128" t="n">
        <v>23.43</v>
      </c>
      <c r="F74" s="128" t="n">
        <v>-36.4</v>
      </c>
      <c r="G74" s="128" t="n">
        <v>-4.05</v>
      </c>
      <c r="H74" s="128" t="n">
        <v>-27.17</v>
      </c>
      <c r="I74" s="128" t="n">
        <v>-50.46</v>
      </c>
      <c r="J74" s="128" t="n">
        <v>-67.18</v>
      </c>
      <c r="K74" s="128" t="n">
        <v>2992.62</v>
      </c>
      <c r="L74" s="129" t="n">
        <f aca="false">AVERAGE(C74:E74)</f>
        <v>-58.8566666666667</v>
      </c>
      <c r="M74" s="130" t="n">
        <f aca="false">AVERAGE(C74:J74)</f>
        <v>-45.22875</v>
      </c>
      <c r="N74" s="130" t="n">
        <f aca="false">RANK(I74,I:I)</f>
        <v>328</v>
      </c>
      <c r="O74" s="127" t="n">
        <f aca="false">RANK(L74,L:L)</f>
        <v>290</v>
      </c>
      <c r="P74" s="128" t="s">
        <v>142</v>
      </c>
      <c r="Q74" s="127" t="n">
        <f aca="false">RANK(M74,M:M)</f>
        <v>395</v>
      </c>
      <c r="R74" s="128" t="s">
        <v>142</v>
      </c>
      <c r="S74" s="127"/>
      <c r="T74" s="127"/>
      <c r="U74" s="127"/>
      <c r="V74" s="127"/>
      <c r="W74" s="127"/>
      <c r="X74" s="127"/>
    </row>
    <row r="75" customFormat="false" ht="15.75" hidden="false" customHeight="true" outlineLevel="0" collapsed="false">
      <c r="A75" s="128" t="s">
        <v>276</v>
      </c>
      <c r="B75" s="128" t="n">
        <v>3177.2</v>
      </c>
      <c r="C75" s="128" t="n">
        <v>66.67</v>
      </c>
      <c r="D75" s="128" t="n">
        <v>89.75</v>
      </c>
      <c r="E75" s="128" t="n">
        <v>36.22</v>
      </c>
      <c r="F75" s="128" t="n">
        <v>-42.77</v>
      </c>
      <c r="G75" s="128" t="n">
        <v>-66.19</v>
      </c>
      <c r="H75" s="128" t="n">
        <v>-93.96</v>
      </c>
      <c r="I75" s="128" t="n">
        <v>-112.1</v>
      </c>
      <c r="J75" s="128" t="n">
        <v>-95.87</v>
      </c>
      <c r="K75" s="128" t="n">
        <v>3344.88</v>
      </c>
      <c r="L75" s="129" t="n">
        <f aca="false">AVERAGE(C75:E75)</f>
        <v>64.2133333333333</v>
      </c>
      <c r="M75" s="130" t="n">
        <f aca="false">AVERAGE(C75:J75)</f>
        <v>-27.28125</v>
      </c>
      <c r="N75" s="130" t="n">
        <f aca="false">RANK(I75,I:I)</f>
        <v>474</v>
      </c>
      <c r="O75" s="127" t="n">
        <f aca="false">RANK(L75,L:L)</f>
        <v>31</v>
      </c>
      <c r="P75" s="128" t="s">
        <v>438</v>
      </c>
      <c r="Q75" s="127" t="n">
        <f aca="false">RANK(M75,M:M)</f>
        <v>333</v>
      </c>
      <c r="R75" s="128" t="s">
        <v>438</v>
      </c>
      <c r="S75" s="127"/>
      <c r="T75" s="127"/>
      <c r="U75" s="127"/>
      <c r="V75" s="127"/>
      <c r="W75" s="127"/>
      <c r="X75" s="127"/>
    </row>
    <row r="76" customFormat="false" ht="15.75" hidden="false" customHeight="true" outlineLevel="0" collapsed="false">
      <c r="A76" s="128" t="s">
        <v>318</v>
      </c>
      <c r="B76" s="128" t="n">
        <v>3049.9</v>
      </c>
      <c r="C76" s="128" t="n">
        <v>-66.67</v>
      </c>
      <c r="D76" s="128" t="n">
        <v>-133.33</v>
      </c>
      <c r="E76" s="128" t="n">
        <v>-23.25</v>
      </c>
      <c r="F76" s="128" t="n">
        <v>53.84</v>
      </c>
      <c r="G76" s="128" t="n">
        <v>31.92</v>
      </c>
      <c r="H76" s="128" t="n">
        <v>-25.76</v>
      </c>
      <c r="I76" s="128" t="n">
        <v>-48.33</v>
      </c>
      <c r="J76" s="128" t="n">
        <v>-62.9</v>
      </c>
      <c r="K76" s="128" t="n">
        <v>2826.83</v>
      </c>
      <c r="L76" s="129" t="n">
        <f aca="false">AVERAGE(C76:E76)</f>
        <v>-74.4166666666667</v>
      </c>
      <c r="M76" s="130" t="n">
        <f aca="false">AVERAGE(C76:J76)</f>
        <v>-34.31</v>
      </c>
      <c r="N76" s="130" t="n">
        <f aca="false">RANK(I76,I:I)</f>
        <v>318</v>
      </c>
      <c r="O76" s="127" t="n">
        <f aca="false">RANK(L76,L:L)</f>
        <v>419</v>
      </c>
      <c r="P76" s="128" t="s">
        <v>79</v>
      </c>
      <c r="Q76" s="127" t="n">
        <f aca="false">RANK(M76,M:M)</f>
        <v>362</v>
      </c>
      <c r="R76" s="128" t="s">
        <v>79</v>
      </c>
      <c r="S76" s="127"/>
      <c r="T76" s="127"/>
      <c r="U76" s="127"/>
      <c r="V76" s="127"/>
      <c r="W76" s="127"/>
      <c r="X76" s="127"/>
    </row>
    <row r="77" customFormat="false" ht="15.75" hidden="false" customHeight="true" outlineLevel="0" collapsed="false">
      <c r="A77" s="128" t="s">
        <v>355</v>
      </c>
      <c r="B77" s="128" t="n">
        <v>3034.5</v>
      </c>
      <c r="C77" s="128" t="n">
        <v>-66.67</v>
      </c>
      <c r="D77" s="128" t="n">
        <v>36.54</v>
      </c>
      <c r="E77" s="128" t="n">
        <v>63.61</v>
      </c>
      <c r="F77" s="128" t="n">
        <v>118.35</v>
      </c>
      <c r="G77" s="128" t="n">
        <v>122.58</v>
      </c>
      <c r="H77" s="128" t="n">
        <v>64.99</v>
      </c>
      <c r="I77" s="128" t="n">
        <v>61.55</v>
      </c>
      <c r="J77" s="128" t="n">
        <v>59.85</v>
      </c>
      <c r="K77" s="128" t="n">
        <v>2826.23</v>
      </c>
      <c r="L77" s="129" t="n">
        <f aca="false">AVERAGE(C77:E77)</f>
        <v>11.16</v>
      </c>
      <c r="M77" s="130" t="n">
        <f aca="false">AVERAGE(C77:J77)</f>
        <v>57.6</v>
      </c>
      <c r="N77" s="130" t="n">
        <f aca="false">RANK(I77,I:I)</f>
        <v>108</v>
      </c>
      <c r="O77" s="127" t="n">
        <f aca="false">RANK(L77,L:L)</f>
        <v>68</v>
      </c>
      <c r="P77" s="128" t="s">
        <v>101</v>
      </c>
      <c r="Q77" s="127" t="n">
        <f aca="false">RANK(M77,M:M)</f>
        <v>75</v>
      </c>
      <c r="R77" s="128" t="s">
        <v>101</v>
      </c>
      <c r="S77" s="127"/>
      <c r="T77" s="127"/>
      <c r="U77" s="127"/>
      <c r="V77" s="127"/>
      <c r="W77" s="127"/>
      <c r="X77" s="127"/>
    </row>
    <row r="78" customFormat="false" ht="15.75" hidden="false" customHeight="true" outlineLevel="0" collapsed="false">
      <c r="A78" s="128" t="s">
        <v>79</v>
      </c>
      <c r="B78" s="128" t="n">
        <v>3011.2</v>
      </c>
      <c r="C78" s="128" t="n">
        <v>-66.67</v>
      </c>
      <c r="D78" s="128" t="n">
        <v>-84.24</v>
      </c>
      <c r="E78" s="128" t="n">
        <v>34.23</v>
      </c>
      <c r="F78" s="128" t="n">
        <v>108.93</v>
      </c>
      <c r="G78" s="128" t="n">
        <v>150.53</v>
      </c>
      <c r="H78" s="128" t="n">
        <v>120.95</v>
      </c>
      <c r="I78" s="128" t="n">
        <v>57.83</v>
      </c>
      <c r="J78" s="128" t="n">
        <v>20.68</v>
      </c>
      <c r="K78" s="128" t="n">
        <v>2923.46</v>
      </c>
      <c r="L78" s="129" t="n">
        <f aca="false">AVERAGE(C78:E78)</f>
        <v>-38.8933333333333</v>
      </c>
      <c r="M78" s="130" t="n">
        <f aca="false">AVERAGE(C78:J78)</f>
        <v>42.78</v>
      </c>
      <c r="N78" s="130" t="n">
        <f aca="false">RANK(I78,I:I)</f>
        <v>117</v>
      </c>
      <c r="O78" s="127" t="n">
        <f aca="false">RANK(L78,L:L)</f>
        <v>194</v>
      </c>
      <c r="P78" s="128" t="s">
        <v>318</v>
      </c>
      <c r="Q78" s="127" t="n">
        <f aca="false">RANK(M78,M:M)</f>
        <v>111</v>
      </c>
      <c r="R78" s="128" t="s">
        <v>318</v>
      </c>
      <c r="S78" s="127"/>
      <c r="T78" s="127"/>
      <c r="U78" s="127"/>
      <c r="V78" s="127"/>
      <c r="W78" s="127"/>
      <c r="X78" s="127"/>
    </row>
    <row r="79" customFormat="false" ht="15.75" hidden="false" customHeight="true" outlineLevel="0" collapsed="false">
      <c r="A79" s="128" t="s">
        <v>203</v>
      </c>
      <c r="B79" s="128" t="n">
        <v>2968.1</v>
      </c>
      <c r="C79" s="128" t="n">
        <v>-66.67</v>
      </c>
      <c r="D79" s="128" t="n">
        <v>-82.83</v>
      </c>
      <c r="E79" s="128" t="n">
        <v>27.21</v>
      </c>
      <c r="F79" s="128" t="n">
        <v>55.52</v>
      </c>
      <c r="G79" s="128" t="n">
        <v>87.61</v>
      </c>
      <c r="H79" s="128" t="n">
        <v>84.53</v>
      </c>
      <c r="I79" s="128" t="n">
        <v>96.14</v>
      </c>
      <c r="J79" s="128" t="n">
        <v>113.02</v>
      </c>
      <c r="K79" s="128" t="n">
        <v>2802.98</v>
      </c>
      <c r="L79" s="129" t="n">
        <f aca="false">AVERAGE(C79:E79)</f>
        <v>-40.7633333333333</v>
      </c>
      <c r="M79" s="130" t="n">
        <f aca="false">AVERAGE(C79:J79)</f>
        <v>39.31625</v>
      </c>
      <c r="N79" s="130" t="n">
        <f aca="false">RANK(I79,I:I)</f>
        <v>83</v>
      </c>
      <c r="O79" s="127" t="n">
        <f aca="false">RANK(L79,L:L)</f>
        <v>205</v>
      </c>
      <c r="P79" s="128" t="s">
        <v>203</v>
      </c>
      <c r="Q79" s="127" t="n">
        <f aca="false">RANK(M79,M:M)</f>
        <v>116</v>
      </c>
      <c r="R79" s="128" t="s">
        <v>203</v>
      </c>
      <c r="S79" s="127"/>
      <c r="T79" s="127"/>
      <c r="U79" s="127"/>
      <c r="V79" s="127"/>
      <c r="W79" s="127"/>
      <c r="X79" s="127"/>
    </row>
    <row r="80" customFormat="false" ht="15.75" hidden="false" customHeight="true" outlineLevel="0" collapsed="false">
      <c r="A80" s="128" t="s">
        <v>209</v>
      </c>
      <c r="B80" s="128" t="n">
        <v>2967.1</v>
      </c>
      <c r="C80" s="128" t="n">
        <v>-66.67</v>
      </c>
      <c r="D80" s="128" t="n">
        <v>-34.9</v>
      </c>
      <c r="E80" s="128" t="n">
        <v>70.75</v>
      </c>
      <c r="F80" s="128" t="n">
        <v>35.69</v>
      </c>
      <c r="G80" s="128" t="n">
        <v>-50.73</v>
      </c>
      <c r="H80" s="128" t="n">
        <v>-76.04</v>
      </c>
      <c r="I80" s="128" t="n">
        <v>-99.28</v>
      </c>
      <c r="J80" s="128" t="n">
        <v>-121.47</v>
      </c>
      <c r="K80" s="128" t="n">
        <v>2707.48</v>
      </c>
      <c r="L80" s="129" t="n">
        <f aca="false">AVERAGE(C80:E80)</f>
        <v>-10.2733333333333</v>
      </c>
      <c r="M80" s="130" t="n">
        <f aca="false">AVERAGE(C80:J80)</f>
        <v>-42.83125</v>
      </c>
      <c r="N80" s="130" t="n">
        <f aca="false">RANK(I80,I:I)</f>
        <v>455</v>
      </c>
      <c r="O80" s="127" t="n">
        <f aca="false">RANK(L80,L:L)</f>
        <v>111</v>
      </c>
      <c r="P80" s="128" t="s">
        <v>96</v>
      </c>
      <c r="Q80" s="127" t="n">
        <f aca="false">RANK(M80,M:M)</f>
        <v>388</v>
      </c>
      <c r="R80" s="128" t="s">
        <v>96</v>
      </c>
      <c r="S80" s="127"/>
      <c r="T80" s="127"/>
      <c r="U80" s="127"/>
      <c r="V80" s="127"/>
      <c r="W80" s="127"/>
      <c r="X80" s="127"/>
    </row>
    <row r="81" customFormat="false" ht="15.75" hidden="false" customHeight="true" outlineLevel="0" collapsed="false">
      <c r="A81" s="128" t="s">
        <v>206</v>
      </c>
      <c r="B81" s="128" t="n">
        <v>2911.2</v>
      </c>
      <c r="C81" s="128" t="n">
        <v>66.67</v>
      </c>
      <c r="D81" s="128" t="n">
        <v>133.33</v>
      </c>
      <c r="E81" s="128" t="n">
        <v>186.39</v>
      </c>
      <c r="F81" s="128" t="n">
        <v>181.32</v>
      </c>
      <c r="G81" s="128" t="n">
        <v>136.12</v>
      </c>
      <c r="H81" s="128" t="n">
        <v>57.87</v>
      </c>
      <c r="I81" s="128" t="n">
        <v>23.56</v>
      </c>
      <c r="J81" s="128" t="n">
        <v>-10.15</v>
      </c>
      <c r="K81" s="128" t="n">
        <v>2601.35</v>
      </c>
      <c r="L81" s="129" t="n">
        <f aca="false">AVERAGE(C81:E81)</f>
        <v>128.796666666667</v>
      </c>
      <c r="M81" s="130" t="n">
        <f aca="false">AVERAGE(C81:J81)</f>
        <v>96.88875</v>
      </c>
      <c r="N81" s="130" t="n">
        <f aca="false">RANK(I81,I:I)</f>
        <v>165</v>
      </c>
      <c r="O81" s="127" t="n">
        <f aca="false">RANK(L81,L:L)</f>
        <v>1</v>
      </c>
      <c r="P81" s="128" t="s">
        <v>355</v>
      </c>
      <c r="Q81" s="127" t="n">
        <f aca="false">RANK(M81,M:M)</f>
        <v>29</v>
      </c>
      <c r="R81" s="128" t="s">
        <v>355</v>
      </c>
      <c r="S81" s="127"/>
      <c r="T81" s="127"/>
      <c r="U81" s="127"/>
      <c r="V81" s="127"/>
      <c r="W81" s="127"/>
      <c r="X81" s="127"/>
    </row>
    <row r="82" customFormat="false" ht="15.75" hidden="false" customHeight="true" outlineLevel="0" collapsed="false">
      <c r="A82" s="128" t="s">
        <v>94</v>
      </c>
      <c r="B82" s="128" t="n">
        <v>2864.2</v>
      </c>
      <c r="C82" s="128" t="n">
        <v>-66.67</v>
      </c>
      <c r="D82" s="128" t="n">
        <v>24.4</v>
      </c>
      <c r="E82" s="128" t="n">
        <v>89.1</v>
      </c>
      <c r="F82" s="128" t="n">
        <v>134.65</v>
      </c>
      <c r="G82" s="128" t="n">
        <v>37.54</v>
      </c>
      <c r="H82" s="128" t="n">
        <v>4.43</v>
      </c>
      <c r="I82" s="128" t="n">
        <v>-4.01</v>
      </c>
      <c r="J82" s="128" t="n">
        <v>-14.35</v>
      </c>
      <c r="K82" s="128" t="n">
        <v>2687.9</v>
      </c>
      <c r="L82" s="129" t="n">
        <f aca="false">AVERAGE(C82:E82)</f>
        <v>15.61</v>
      </c>
      <c r="M82" s="130" t="n">
        <f aca="false">AVERAGE(C82:J82)</f>
        <v>25.63625</v>
      </c>
      <c r="N82" s="130" t="n">
        <f aca="false">RANK(I82,I:I)</f>
        <v>209</v>
      </c>
      <c r="O82" s="127" t="n">
        <f aca="false">RANK(L82,L:L)</f>
        <v>62</v>
      </c>
      <c r="P82" s="128" t="s">
        <v>379</v>
      </c>
      <c r="Q82" s="127" t="n">
        <f aca="false">RANK(M82,M:M)</f>
        <v>152</v>
      </c>
      <c r="R82" s="128" t="s">
        <v>379</v>
      </c>
      <c r="S82" s="127"/>
      <c r="T82" s="127"/>
      <c r="U82" s="127"/>
      <c r="V82" s="127"/>
      <c r="W82" s="127"/>
      <c r="X82" s="127"/>
    </row>
    <row r="83" customFormat="false" ht="15.75" hidden="false" customHeight="true" outlineLevel="0" collapsed="false">
      <c r="A83" s="128" t="s">
        <v>96</v>
      </c>
      <c r="B83" s="128" t="n">
        <v>2861.1</v>
      </c>
      <c r="C83" s="128" t="n">
        <v>-66.67</v>
      </c>
      <c r="D83" s="128" t="n">
        <v>-111.73</v>
      </c>
      <c r="E83" s="128" t="n">
        <v>-14.98</v>
      </c>
      <c r="F83" s="128" t="n">
        <v>-40.02</v>
      </c>
      <c r="G83" s="128" t="n">
        <v>3.23</v>
      </c>
      <c r="H83" s="128" t="n">
        <v>-40.89</v>
      </c>
      <c r="I83" s="128" t="n">
        <v>-57.26</v>
      </c>
      <c r="J83" s="128" t="n">
        <v>-70.58</v>
      </c>
      <c r="K83" s="128" t="n">
        <v>2680.36</v>
      </c>
      <c r="L83" s="129" t="n">
        <f aca="false">AVERAGE(C83:E83)</f>
        <v>-64.46</v>
      </c>
      <c r="M83" s="130" t="n">
        <f aca="false">AVERAGE(C83:J83)</f>
        <v>-49.8625</v>
      </c>
      <c r="N83" s="130" t="n">
        <f aca="false">RANK(I83,I:I)</f>
        <v>356</v>
      </c>
      <c r="O83" s="127" t="n">
        <f aca="false">RANK(L83,L:L)</f>
        <v>347</v>
      </c>
      <c r="P83" s="128" t="s">
        <v>241</v>
      </c>
      <c r="Q83" s="127" t="n">
        <f aca="false">RANK(M83,M:M)</f>
        <v>411</v>
      </c>
      <c r="R83" s="128" t="s">
        <v>241</v>
      </c>
      <c r="S83" s="127"/>
      <c r="T83" s="127"/>
      <c r="U83" s="127"/>
      <c r="V83" s="127"/>
      <c r="W83" s="127"/>
      <c r="X83" s="127"/>
    </row>
    <row r="84" customFormat="false" ht="15.75" hidden="false" customHeight="true" outlineLevel="0" collapsed="false">
      <c r="A84" s="128" t="s">
        <v>101</v>
      </c>
      <c r="B84" s="128" t="n">
        <v>2833.5</v>
      </c>
      <c r="C84" s="128" t="n">
        <v>-66.67</v>
      </c>
      <c r="D84" s="128" t="n">
        <v>-82.2</v>
      </c>
      <c r="E84" s="128" t="n">
        <v>31.92</v>
      </c>
      <c r="F84" s="128" t="n">
        <v>-62.14</v>
      </c>
      <c r="G84" s="128" t="n">
        <v>-70.39</v>
      </c>
      <c r="H84" s="128" t="n">
        <v>-75.84</v>
      </c>
      <c r="I84" s="128" t="n">
        <v>-86.78</v>
      </c>
      <c r="J84" s="128" t="n">
        <v>-99.75</v>
      </c>
      <c r="K84" s="128" t="n">
        <v>3158.14</v>
      </c>
      <c r="L84" s="129" t="n">
        <f aca="false">AVERAGE(C84:E84)</f>
        <v>-38.9833333333333</v>
      </c>
      <c r="M84" s="130" t="n">
        <f aca="false">AVERAGE(C84:J84)</f>
        <v>-63.98125</v>
      </c>
      <c r="N84" s="130" t="n">
        <f aca="false">RANK(I84,I:I)</f>
        <v>433</v>
      </c>
      <c r="O84" s="127" t="n">
        <f aca="false">RANK(L84,L:L)</f>
        <v>196</v>
      </c>
      <c r="P84" s="128" t="s">
        <v>359</v>
      </c>
      <c r="Q84" s="127" t="n">
        <f aca="false">RANK(M84,M:M)</f>
        <v>440</v>
      </c>
      <c r="R84" s="128" t="s">
        <v>359</v>
      </c>
      <c r="S84" s="127"/>
      <c r="T84" s="127"/>
      <c r="U84" s="127"/>
      <c r="V84" s="127"/>
      <c r="W84" s="127"/>
      <c r="X84" s="127"/>
    </row>
    <row r="85" customFormat="false" ht="15.75" hidden="false" customHeight="true" outlineLevel="0" collapsed="false">
      <c r="A85" s="128" t="s">
        <v>379</v>
      </c>
      <c r="B85" s="128" t="n">
        <v>2819</v>
      </c>
      <c r="C85" s="128" t="n">
        <v>-66.67</v>
      </c>
      <c r="D85" s="128" t="n">
        <v>-133.33</v>
      </c>
      <c r="E85" s="128" t="n">
        <v>18.42</v>
      </c>
      <c r="F85" s="128" t="n">
        <v>30.28</v>
      </c>
      <c r="G85" s="128" t="n">
        <v>71.31</v>
      </c>
      <c r="H85" s="128" t="n">
        <v>73.84</v>
      </c>
      <c r="I85" s="128" t="n">
        <v>55.58</v>
      </c>
      <c r="J85" s="128" t="n">
        <v>63.18</v>
      </c>
      <c r="K85" s="128" t="n">
        <v>2618.11</v>
      </c>
      <c r="L85" s="129" t="n">
        <f aca="false">AVERAGE(C85:E85)</f>
        <v>-60.5266666666667</v>
      </c>
      <c r="M85" s="130" t="n">
        <f aca="false">AVERAGE(C85:J85)</f>
        <v>14.07625</v>
      </c>
      <c r="N85" s="130" t="n">
        <f aca="false">RANK(I85,I:I)</f>
        <v>119</v>
      </c>
      <c r="O85" s="127" t="n">
        <f aca="false">RANK(L85,L:L)</f>
        <v>303</v>
      </c>
      <c r="P85" s="128" t="s">
        <v>209</v>
      </c>
      <c r="Q85" s="127" t="n">
        <f aca="false">RANK(M85,M:M)</f>
        <v>187</v>
      </c>
      <c r="R85" s="128" t="s">
        <v>209</v>
      </c>
      <c r="S85" s="127"/>
      <c r="T85" s="127"/>
      <c r="U85" s="127"/>
      <c r="V85" s="127"/>
      <c r="W85" s="127"/>
      <c r="X85" s="127"/>
    </row>
    <row r="86" customFormat="false" ht="15.75" hidden="false" customHeight="true" outlineLevel="0" collapsed="false">
      <c r="A86" s="128" t="s">
        <v>359</v>
      </c>
      <c r="B86" s="128" t="n">
        <v>2802.7</v>
      </c>
      <c r="C86" s="128" t="n">
        <v>-66.67</v>
      </c>
      <c r="D86" s="128" t="n">
        <v>-33.75</v>
      </c>
      <c r="E86" s="128" t="n">
        <v>2.34</v>
      </c>
      <c r="F86" s="128" t="n">
        <v>38.89</v>
      </c>
      <c r="G86" s="128" t="n">
        <v>71.83</v>
      </c>
      <c r="H86" s="128" t="n">
        <v>94.78</v>
      </c>
      <c r="I86" s="128" t="n">
        <v>110.47</v>
      </c>
      <c r="J86" s="128" t="n">
        <v>96.33</v>
      </c>
      <c r="K86" s="128" t="n">
        <v>2664.72</v>
      </c>
      <c r="L86" s="129" t="n">
        <f aca="false">AVERAGE(C86:E86)</f>
        <v>-32.6933333333333</v>
      </c>
      <c r="M86" s="130" t="n">
        <f aca="false">AVERAGE(C86:J86)</f>
        <v>39.2775</v>
      </c>
      <c r="N86" s="130" t="n">
        <f aca="false">RANK(I86,I:I)</f>
        <v>72</v>
      </c>
      <c r="O86" s="127" t="n">
        <f aca="false">RANK(L86,L:L)</f>
        <v>166</v>
      </c>
      <c r="P86" s="128" t="s">
        <v>81</v>
      </c>
      <c r="Q86" s="127" t="n">
        <f aca="false">RANK(M86,M:M)</f>
        <v>117</v>
      </c>
      <c r="R86" s="128" t="s">
        <v>81</v>
      </c>
      <c r="S86" s="127"/>
      <c r="T86" s="127"/>
      <c r="U86" s="127"/>
      <c r="V86" s="127"/>
      <c r="W86" s="127"/>
      <c r="X86" s="127"/>
    </row>
    <row r="87" customFormat="false" ht="15.75" hidden="false" customHeight="true" outlineLevel="0" collapsed="false">
      <c r="A87" s="128" t="s">
        <v>78</v>
      </c>
      <c r="B87" s="128" t="n">
        <v>2737.9</v>
      </c>
      <c r="C87" s="128" t="n">
        <v>-66.67</v>
      </c>
      <c r="D87" s="128" t="n">
        <v>-60.81</v>
      </c>
      <c r="E87" s="128" t="n">
        <v>62.07</v>
      </c>
      <c r="F87" s="128" t="n">
        <v>143.7</v>
      </c>
      <c r="G87" s="128" t="n">
        <v>171.96</v>
      </c>
      <c r="H87" s="128" t="n">
        <v>208.65</v>
      </c>
      <c r="I87" s="128" t="n">
        <v>233.56</v>
      </c>
      <c r="J87" s="128" t="n">
        <v>124.1</v>
      </c>
      <c r="K87" s="128" t="n">
        <v>2587.48</v>
      </c>
      <c r="L87" s="129" t="n">
        <f aca="false">AVERAGE(C87:E87)</f>
        <v>-21.8033333333333</v>
      </c>
      <c r="M87" s="130" t="n">
        <f aca="false">AVERAGE(C87:J87)</f>
        <v>102.07</v>
      </c>
      <c r="N87" s="130" t="n">
        <f aca="false">RANK(I87,I:I)</f>
        <v>12</v>
      </c>
      <c r="O87" s="127" t="n">
        <f aca="false">RANK(L87,L:L)</f>
        <v>137</v>
      </c>
      <c r="P87" s="128" t="s">
        <v>551</v>
      </c>
      <c r="Q87" s="127" t="n">
        <f aca="false">RANK(M87,M:M)</f>
        <v>27</v>
      </c>
      <c r="R87" s="128" t="s">
        <v>551</v>
      </c>
      <c r="S87" s="127"/>
      <c r="T87" s="127"/>
      <c r="U87" s="127"/>
      <c r="V87" s="127"/>
      <c r="W87" s="127"/>
      <c r="X87" s="127"/>
    </row>
    <row r="88" customFormat="false" ht="15.75" hidden="false" customHeight="true" outlineLevel="0" collapsed="false">
      <c r="A88" s="128" t="s">
        <v>81</v>
      </c>
      <c r="B88" s="128" t="n">
        <v>2734.8</v>
      </c>
      <c r="C88" s="128" t="n">
        <v>66.67</v>
      </c>
      <c r="D88" s="128" t="n">
        <v>-26.55</v>
      </c>
      <c r="E88" s="128" t="n">
        <v>28.23</v>
      </c>
      <c r="F88" s="128" t="n">
        <v>91.83</v>
      </c>
      <c r="G88" s="128" t="n">
        <v>149.19</v>
      </c>
      <c r="H88" s="128" t="n">
        <v>171.42</v>
      </c>
      <c r="I88" s="128" t="n">
        <v>131.22</v>
      </c>
      <c r="J88" s="128" t="n">
        <v>88.79</v>
      </c>
      <c r="K88" s="128" t="n">
        <v>2599.39</v>
      </c>
      <c r="L88" s="129" t="n">
        <f aca="false">AVERAGE(C88:E88)</f>
        <v>22.7833333333333</v>
      </c>
      <c r="M88" s="130" t="n">
        <f aca="false">AVERAGE(C88:J88)</f>
        <v>87.6</v>
      </c>
      <c r="N88" s="130" t="n">
        <f aca="false">RANK(I88,I:I)</f>
        <v>56</v>
      </c>
      <c r="O88" s="127" t="n">
        <f aca="false">RANK(L88,L:L)</f>
        <v>52</v>
      </c>
      <c r="P88" s="128" t="s">
        <v>94</v>
      </c>
      <c r="Q88" s="127" t="n">
        <f aca="false">RANK(M88,M:M)</f>
        <v>39</v>
      </c>
      <c r="R88" s="128" t="s">
        <v>94</v>
      </c>
      <c r="S88" s="127"/>
      <c r="T88" s="127"/>
      <c r="U88" s="127"/>
      <c r="V88" s="127"/>
      <c r="W88" s="127"/>
      <c r="X88" s="127"/>
    </row>
    <row r="89" customFormat="false" ht="15.75" hidden="false" customHeight="true" outlineLevel="0" collapsed="false">
      <c r="A89" s="128" t="s">
        <v>702</v>
      </c>
      <c r="B89" s="128" t="n">
        <v>2676.5</v>
      </c>
      <c r="C89" s="128" t="n">
        <v>-66.67</v>
      </c>
      <c r="D89" s="128" t="n">
        <v>-45.17</v>
      </c>
      <c r="E89" s="128" t="n">
        <v>58.47</v>
      </c>
      <c r="F89" s="128" t="n">
        <v>142.95</v>
      </c>
      <c r="G89" s="128" t="n">
        <v>214.72</v>
      </c>
      <c r="H89" s="128" t="n">
        <v>62.31</v>
      </c>
      <c r="I89" s="128" t="n">
        <v>26.76</v>
      </c>
      <c r="J89" s="128"/>
      <c r="K89" s="128" t="n">
        <v>2543.23</v>
      </c>
      <c r="L89" s="129" t="n">
        <f aca="false">AVERAGE(C89:E89)</f>
        <v>-17.79</v>
      </c>
      <c r="M89" s="130" t="n">
        <f aca="false">AVERAGE(C89:J89)</f>
        <v>56.1957142857143</v>
      </c>
      <c r="N89" s="130" t="n">
        <f aca="false">RANK(I89,I:I)</f>
        <v>161</v>
      </c>
      <c r="O89" s="127" t="n">
        <f aca="false">RANK(L89,L:L)</f>
        <v>129</v>
      </c>
      <c r="P89" s="128" t="s">
        <v>206</v>
      </c>
      <c r="Q89" s="127" t="n">
        <f aca="false">RANK(M89,M:M)</f>
        <v>79</v>
      </c>
      <c r="R89" s="128" t="s">
        <v>206</v>
      </c>
      <c r="S89" s="127"/>
      <c r="T89" s="127"/>
      <c r="U89" s="127"/>
      <c r="V89" s="127"/>
      <c r="W89" s="127"/>
      <c r="X89" s="127"/>
    </row>
    <row r="90" customFormat="false" ht="15.75" hidden="false" customHeight="true" outlineLevel="0" collapsed="false">
      <c r="A90" s="128" t="s">
        <v>289</v>
      </c>
      <c r="B90" s="128" t="n">
        <v>2676</v>
      </c>
      <c r="C90" s="128" t="n">
        <v>-66.67</v>
      </c>
      <c r="D90" s="128" t="n">
        <v>25.58</v>
      </c>
      <c r="E90" s="128" t="n">
        <v>76.72</v>
      </c>
      <c r="F90" s="128" t="n">
        <v>93.2</v>
      </c>
      <c r="G90" s="128" t="n">
        <v>81.27</v>
      </c>
      <c r="H90" s="128" t="n">
        <v>6.56</v>
      </c>
      <c r="I90" s="128" t="n">
        <v>-21.21</v>
      </c>
      <c r="J90" s="128" t="n">
        <v>-45.82</v>
      </c>
      <c r="K90" s="128" t="n">
        <v>2511.28</v>
      </c>
      <c r="L90" s="129" t="n">
        <f aca="false">AVERAGE(C90:E90)</f>
        <v>11.8766666666667</v>
      </c>
      <c r="M90" s="130" t="n">
        <f aca="false">AVERAGE(C90:J90)</f>
        <v>18.70375</v>
      </c>
      <c r="N90" s="130" t="n">
        <f aca="false">RANK(I90,I:I)</f>
        <v>242</v>
      </c>
      <c r="O90" s="127" t="n">
        <f aca="false">RANK(L90,L:L)</f>
        <v>65</v>
      </c>
      <c r="P90" s="128" t="s">
        <v>121</v>
      </c>
      <c r="Q90" s="127" t="n">
        <f aca="false">RANK(M90,M:M)</f>
        <v>174</v>
      </c>
      <c r="R90" s="128" t="s">
        <v>121</v>
      </c>
      <c r="S90" s="127"/>
      <c r="T90" s="127"/>
      <c r="U90" s="127"/>
      <c r="V90" s="127"/>
      <c r="W90" s="127"/>
      <c r="X90" s="127"/>
    </row>
    <row r="91" customFormat="false" ht="15.75" hidden="false" customHeight="true" outlineLevel="0" collapsed="false">
      <c r="A91" s="128" t="s">
        <v>121</v>
      </c>
      <c r="B91" s="128" t="n">
        <v>2671.4</v>
      </c>
      <c r="C91" s="128" t="n">
        <v>-66.67</v>
      </c>
      <c r="D91" s="128" t="n">
        <v>23.45</v>
      </c>
      <c r="E91" s="128" t="n">
        <v>92.14</v>
      </c>
      <c r="F91" s="128" t="n">
        <v>182.87</v>
      </c>
      <c r="G91" s="128" t="n">
        <v>101.41</v>
      </c>
      <c r="H91" s="128" t="n">
        <v>39.95</v>
      </c>
      <c r="I91" s="128" t="n">
        <v>6.12</v>
      </c>
      <c r="J91" s="128" t="n">
        <v>-34.66</v>
      </c>
      <c r="K91" s="128" t="n">
        <v>2526.57</v>
      </c>
      <c r="L91" s="129" t="n">
        <f aca="false">AVERAGE(C91:E91)</f>
        <v>16.3066666666667</v>
      </c>
      <c r="M91" s="130" t="n">
        <f aca="false">AVERAGE(C91:J91)</f>
        <v>43.07625</v>
      </c>
      <c r="N91" s="130" t="n">
        <f aca="false">RANK(I91,I:I)</f>
        <v>192</v>
      </c>
      <c r="O91" s="127" t="n">
        <f aca="false">RANK(L91,L:L)</f>
        <v>61</v>
      </c>
      <c r="P91" s="128" t="s">
        <v>407</v>
      </c>
      <c r="Q91" s="127" t="n">
        <f aca="false">RANK(M91,M:M)</f>
        <v>110</v>
      </c>
      <c r="R91" s="128" t="s">
        <v>407</v>
      </c>
      <c r="S91" s="127"/>
      <c r="T91" s="127"/>
      <c r="U91" s="127"/>
      <c r="V91" s="127"/>
      <c r="W91" s="127"/>
      <c r="X91" s="127"/>
    </row>
    <row r="92" customFormat="false" ht="15.75" hidden="false" customHeight="true" outlineLevel="0" collapsed="false">
      <c r="A92" s="128" t="s">
        <v>411</v>
      </c>
      <c r="B92" s="128" t="n">
        <v>2661.1</v>
      </c>
      <c r="C92" s="128" t="n">
        <v>-66.67</v>
      </c>
      <c r="D92" s="128" t="n">
        <v>-133.33</v>
      </c>
      <c r="E92" s="128" t="n">
        <v>4.43</v>
      </c>
      <c r="F92" s="128" t="n">
        <v>49.25</v>
      </c>
      <c r="G92" s="128" t="n">
        <v>96.57</v>
      </c>
      <c r="H92" s="128" t="n">
        <v>123.87</v>
      </c>
      <c r="I92" s="128" t="n">
        <v>138.75</v>
      </c>
      <c r="J92" s="128" t="n">
        <v>157.69</v>
      </c>
      <c r="K92" s="128" t="n">
        <v>2448.61</v>
      </c>
      <c r="L92" s="129" t="n">
        <f aca="false">AVERAGE(C92:E92)</f>
        <v>-65.19</v>
      </c>
      <c r="M92" s="130" t="n">
        <f aca="false">AVERAGE(C92:J92)</f>
        <v>46.32</v>
      </c>
      <c r="N92" s="130" t="n">
        <f aca="false">RANK(I92,I:I)</f>
        <v>48</v>
      </c>
      <c r="O92" s="127" t="n">
        <f aca="false">RANK(L92,L:L)</f>
        <v>355</v>
      </c>
      <c r="P92" s="128" t="s">
        <v>289</v>
      </c>
      <c r="Q92" s="127" t="n">
        <f aca="false">RANK(M92,M:M)</f>
        <v>102</v>
      </c>
      <c r="R92" s="128" t="s">
        <v>289</v>
      </c>
      <c r="S92" s="127"/>
      <c r="T92" s="127"/>
      <c r="U92" s="127"/>
      <c r="V92" s="127"/>
      <c r="W92" s="127"/>
      <c r="X92" s="127"/>
    </row>
    <row r="93" customFormat="false" ht="15.75" hidden="false" customHeight="true" outlineLevel="0" collapsed="false">
      <c r="A93" s="128" t="s">
        <v>241</v>
      </c>
      <c r="B93" s="128" t="n">
        <v>2573.9</v>
      </c>
      <c r="C93" s="128" t="n">
        <v>-66.67</v>
      </c>
      <c r="D93" s="128" t="n">
        <v>-112.15</v>
      </c>
      <c r="E93" s="128" t="n">
        <v>27.73</v>
      </c>
      <c r="F93" s="128" t="n">
        <v>-66.99</v>
      </c>
      <c r="G93" s="128" t="n">
        <v>-69.68</v>
      </c>
      <c r="H93" s="128" t="n">
        <v>-78.36</v>
      </c>
      <c r="I93" s="128" t="n">
        <v>-93.15</v>
      </c>
      <c r="J93" s="128" t="n">
        <v>-103.42</v>
      </c>
      <c r="K93" s="128" t="n">
        <v>2731.7</v>
      </c>
      <c r="L93" s="129" t="n">
        <f aca="false">AVERAGE(C93:E93)</f>
        <v>-50.3633333333333</v>
      </c>
      <c r="M93" s="130" t="n">
        <f aca="false">AVERAGE(C93:J93)</f>
        <v>-70.33625</v>
      </c>
      <c r="N93" s="130" t="n">
        <f aca="false">RANK(I93,I:I)</f>
        <v>445</v>
      </c>
      <c r="O93" s="127" t="n">
        <f aca="false">RANK(L93,L:L)</f>
        <v>239</v>
      </c>
      <c r="P93" s="128" t="s">
        <v>78</v>
      </c>
      <c r="Q93" s="127" t="n">
        <f aca="false">RANK(M93,M:M)</f>
        <v>456</v>
      </c>
      <c r="R93" s="128" t="s">
        <v>78</v>
      </c>
      <c r="S93" s="127"/>
      <c r="T93" s="127"/>
      <c r="U93" s="127"/>
      <c r="V93" s="127"/>
      <c r="W93" s="127"/>
      <c r="X93" s="127"/>
    </row>
    <row r="94" customFormat="false" ht="15.75" hidden="false" customHeight="true" outlineLevel="0" collapsed="false">
      <c r="A94" s="128" t="s">
        <v>551</v>
      </c>
      <c r="B94" s="128" t="n">
        <v>2563.6</v>
      </c>
      <c r="C94" s="128" t="n">
        <v>-66.67</v>
      </c>
      <c r="D94" s="128" t="n">
        <v>-56.36</v>
      </c>
      <c r="E94" s="128" t="n">
        <v>47.86</v>
      </c>
      <c r="F94" s="128" t="n">
        <v>-25.6</v>
      </c>
      <c r="G94" s="128" t="n">
        <v>-72.3</v>
      </c>
      <c r="H94" s="128" t="n">
        <v>-94.05</v>
      </c>
      <c r="I94" s="128" t="n">
        <v>-112.05</v>
      </c>
      <c r="J94" s="128" t="n">
        <v>-114.01</v>
      </c>
      <c r="K94" s="128" t="n">
        <v>2739.63</v>
      </c>
      <c r="L94" s="129" t="n">
        <f aca="false">AVERAGE(C94:E94)</f>
        <v>-25.0566666666667</v>
      </c>
      <c r="M94" s="130" t="n">
        <f aca="false">AVERAGE(C94:J94)</f>
        <v>-61.6475</v>
      </c>
      <c r="N94" s="130" t="n">
        <f aca="false">RANK(I94,I:I)</f>
        <v>473</v>
      </c>
      <c r="O94" s="127" t="n">
        <f aca="false">RANK(L94,L:L)</f>
        <v>144</v>
      </c>
      <c r="P94" s="128" t="s">
        <v>119</v>
      </c>
      <c r="Q94" s="127" t="n">
        <f aca="false">RANK(M94,M:M)</f>
        <v>435</v>
      </c>
      <c r="R94" s="128" t="s">
        <v>119</v>
      </c>
      <c r="S94" s="127"/>
      <c r="T94" s="127"/>
      <c r="U94" s="127"/>
      <c r="V94" s="127"/>
      <c r="W94" s="127"/>
      <c r="X94" s="127"/>
    </row>
    <row r="95" customFormat="false" ht="15.75" hidden="false" customHeight="true" outlineLevel="0" collapsed="false">
      <c r="A95" s="128" t="s">
        <v>407</v>
      </c>
      <c r="B95" s="128" t="n">
        <v>2557.5</v>
      </c>
      <c r="C95" s="128" t="n">
        <v>-66.67</v>
      </c>
      <c r="D95" s="128" t="n">
        <v>4.81</v>
      </c>
      <c r="E95" s="128" t="n">
        <v>56.67</v>
      </c>
      <c r="F95" s="128" t="n">
        <v>116.24</v>
      </c>
      <c r="G95" s="128" t="n">
        <v>127.17</v>
      </c>
      <c r="H95" s="128" t="n">
        <v>21.81</v>
      </c>
      <c r="I95" s="128" t="n">
        <v>12.93</v>
      </c>
      <c r="J95" s="128" t="n">
        <v>9.11</v>
      </c>
      <c r="K95" s="128" t="n">
        <v>2368.64</v>
      </c>
      <c r="L95" s="129" t="n">
        <f aca="false">AVERAGE(C95:E95)</f>
        <v>-1.73</v>
      </c>
      <c r="M95" s="130" t="n">
        <f aca="false">AVERAGE(C95:J95)</f>
        <v>35.25875</v>
      </c>
      <c r="N95" s="130" t="n">
        <f aca="false">RANK(I95,I:I)</f>
        <v>180</v>
      </c>
      <c r="O95" s="127" t="n">
        <f aca="false">RANK(L95,L:L)</f>
        <v>91</v>
      </c>
      <c r="P95" s="128" t="s">
        <v>411</v>
      </c>
      <c r="Q95" s="127" t="n">
        <f aca="false">RANK(M95,M:M)</f>
        <v>128</v>
      </c>
      <c r="R95" s="128" t="s">
        <v>411</v>
      </c>
      <c r="S95" s="127"/>
      <c r="T95" s="127"/>
      <c r="U95" s="127"/>
      <c r="V95" s="127"/>
      <c r="W95" s="127"/>
      <c r="X95" s="127"/>
    </row>
    <row r="96" customFormat="false" ht="15.75" hidden="false" customHeight="true" outlineLevel="0" collapsed="false">
      <c r="A96" s="128" t="s">
        <v>122</v>
      </c>
      <c r="B96" s="128" t="n">
        <v>2538.6</v>
      </c>
      <c r="C96" s="128" t="n">
        <v>66.67</v>
      </c>
      <c r="D96" s="128" t="n">
        <v>79.01</v>
      </c>
      <c r="E96" s="128" t="n">
        <v>105.12</v>
      </c>
      <c r="F96" s="128" t="n">
        <v>103.06</v>
      </c>
      <c r="G96" s="128" t="n">
        <v>10.37</v>
      </c>
      <c r="H96" s="128" t="n">
        <v>-29.43</v>
      </c>
      <c r="I96" s="128" t="n">
        <v>-50.5</v>
      </c>
      <c r="J96" s="128" t="n">
        <v>-69.43</v>
      </c>
      <c r="K96" s="128" t="n">
        <v>2237.82</v>
      </c>
      <c r="L96" s="129" t="n">
        <f aca="false">AVERAGE(C96:E96)</f>
        <v>83.6</v>
      </c>
      <c r="M96" s="130" t="n">
        <f aca="false">AVERAGE(C96:J96)</f>
        <v>26.85875</v>
      </c>
      <c r="N96" s="130" t="n">
        <f aca="false">RANK(I96,I:I)</f>
        <v>329</v>
      </c>
      <c r="O96" s="127" t="n">
        <f aca="false">RANK(L96,L:L)</f>
        <v>21</v>
      </c>
      <c r="P96" s="128" t="s">
        <v>464</v>
      </c>
      <c r="Q96" s="127" t="n">
        <f aca="false">RANK(M96,M:M)</f>
        <v>149</v>
      </c>
      <c r="R96" s="128" t="s">
        <v>464</v>
      </c>
      <c r="S96" s="127"/>
      <c r="T96" s="127"/>
      <c r="U96" s="127"/>
      <c r="V96" s="127"/>
      <c r="W96" s="127"/>
      <c r="X96" s="127"/>
    </row>
    <row r="97" customFormat="false" ht="15.75" hidden="false" customHeight="true" outlineLevel="0" collapsed="false">
      <c r="A97" s="128" t="s">
        <v>494</v>
      </c>
      <c r="B97" s="128" t="n">
        <v>2534.6</v>
      </c>
      <c r="C97" s="128" t="n">
        <v>66.67</v>
      </c>
      <c r="D97" s="128" t="n">
        <v>68.1</v>
      </c>
      <c r="E97" s="128" t="n">
        <v>82.12</v>
      </c>
      <c r="F97" s="128" t="n">
        <v>180.7</v>
      </c>
      <c r="G97" s="128" t="n">
        <v>176.69</v>
      </c>
      <c r="H97" s="128" t="n">
        <v>48.3</v>
      </c>
      <c r="I97" s="128" t="n">
        <v>7.99</v>
      </c>
      <c r="J97" s="128" t="n">
        <v>13.08</v>
      </c>
      <c r="K97" s="128" t="n">
        <v>2227.89</v>
      </c>
      <c r="L97" s="129" t="n">
        <f aca="false">AVERAGE(C97:E97)</f>
        <v>72.2966666666667</v>
      </c>
      <c r="M97" s="130" t="n">
        <f aca="false">AVERAGE(C97:J97)</f>
        <v>80.45625</v>
      </c>
      <c r="N97" s="130" t="n">
        <f aca="false">RANK(I97,I:I)</f>
        <v>190</v>
      </c>
      <c r="O97" s="127" t="n">
        <f aca="false">RANK(L97,L:L)</f>
        <v>29</v>
      </c>
      <c r="P97" s="128" t="s">
        <v>154</v>
      </c>
      <c r="Q97" s="127" t="n">
        <f aca="false">RANK(M97,M:M)</f>
        <v>47</v>
      </c>
      <c r="R97" s="128" t="s">
        <v>154</v>
      </c>
      <c r="S97" s="127"/>
      <c r="T97" s="127"/>
      <c r="U97" s="127"/>
      <c r="V97" s="127"/>
      <c r="W97" s="127"/>
      <c r="X97" s="127"/>
    </row>
    <row r="98" customFormat="false" ht="15.75" hidden="false" customHeight="true" outlineLevel="0" collapsed="false">
      <c r="A98" s="128" t="s">
        <v>464</v>
      </c>
      <c r="B98" s="128" t="n">
        <v>2529.9</v>
      </c>
      <c r="C98" s="128" t="n">
        <v>-66.67</v>
      </c>
      <c r="D98" s="128" t="n">
        <v>-131</v>
      </c>
      <c r="E98" s="128" t="n">
        <v>4.1</v>
      </c>
      <c r="F98" s="128" t="n">
        <v>-39.23</v>
      </c>
      <c r="G98" s="128" t="n">
        <v>-54.56</v>
      </c>
      <c r="H98" s="128" t="n">
        <v>-77.81</v>
      </c>
      <c r="I98" s="128" t="n">
        <v>-84.69</v>
      </c>
      <c r="J98" s="128" t="n">
        <v>-90.05</v>
      </c>
      <c r="K98" s="128" t="n">
        <v>2379.43</v>
      </c>
      <c r="L98" s="129" t="n">
        <f aca="false">AVERAGE(C98:E98)</f>
        <v>-64.5233333333333</v>
      </c>
      <c r="M98" s="130" t="n">
        <f aca="false">AVERAGE(C98:J98)</f>
        <v>-67.48875</v>
      </c>
      <c r="N98" s="130" t="n">
        <f aca="false">RANK(I98,I:I)</f>
        <v>430</v>
      </c>
      <c r="O98" s="127" t="n">
        <f aca="false">RANK(L98,L:L)</f>
        <v>348</v>
      </c>
      <c r="P98" s="128" t="s">
        <v>117</v>
      </c>
      <c r="Q98" s="127" t="n">
        <f aca="false">RANK(M98,M:M)</f>
        <v>450</v>
      </c>
      <c r="R98" s="128" t="s">
        <v>117</v>
      </c>
      <c r="S98" s="127"/>
      <c r="T98" s="127"/>
      <c r="U98" s="127"/>
      <c r="V98" s="127"/>
      <c r="W98" s="127"/>
      <c r="X98" s="127"/>
    </row>
    <row r="99" customFormat="false" ht="15.75" hidden="false" customHeight="true" outlineLevel="0" collapsed="false">
      <c r="A99" s="128" t="s">
        <v>154</v>
      </c>
      <c r="B99" s="128" t="n">
        <v>2518.2</v>
      </c>
      <c r="C99" s="128" t="n">
        <v>-66.67</v>
      </c>
      <c r="D99" s="128" t="n">
        <v>-55.69</v>
      </c>
      <c r="E99" s="128" t="n">
        <v>52.22</v>
      </c>
      <c r="F99" s="128" t="n">
        <v>25.61</v>
      </c>
      <c r="G99" s="128" t="n">
        <v>-39.97</v>
      </c>
      <c r="H99" s="128" t="n">
        <v>-70.35</v>
      </c>
      <c r="I99" s="128" t="n">
        <v>-92.02</v>
      </c>
      <c r="J99" s="128" t="n">
        <v>-101.97</v>
      </c>
      <c r="K99" s="128" t="n">
        <v>2393.36</v>
      </c>
      <c r="L99" s="129" t="n">
        <f aca="false">AVERAGE(C99:E99)</f>
        <v>-23.38</v>
      </c>
      <c r="M99" s="130" t="n">
        <f aca="false">AVERAGE(C99:J99)</f>
        <v>-43.605</v>
      </c>
      <c r="N99" s="130" t="n">
        <f aca="false">RANK(I99,I:I)</f>
        <v>442</v>
      </c>
      <c r="O99" s="127" t="n">
        <f aca="false">RANK(L99,L:L)</f>
        <v>141</v>
      </c>
      <c r="P99" s="128" t="s">
        <v>187</v>
      </c>
      <c r="Q99" s="127" t="n">
        <f aca="false">RANK(M99,M:M)</f>
        <v>389</v>
      </c>
      <c r="R99" s="128" t="s">
        <v>187</v>
      </c>
      <c r="S99" s="127"/>
      <c r="T99" s="127"/>
      <c r="U99" s="127"/>
      <c r="V99" s="127"/>
      <c r="W99" s="127"/>
      <c r="X99" s="127"/>
    </row>
    <row r="100" customFormat="false" ht="15.75" hidden="false" customHeight="true" outlineLevel="0" collapsed="false">
      <c r="A100" s="128" t="s">
        <v>340</v>
      </c>
      <c r="B100" s="128" t="n">
        <v>2441.8</v>
      </c>
      <c r="C100" s="128" t="n">
        <v>-66.67</v>
      </c>
      <c r="D100" s="128" t="n">
        <v>-133.33</v>
      </c>
      <c r="E100" s="128" t="n">
        <v>-17.7</v>
      </c>
      <c r="F100" s="128" t="n">
        <v>73</v>
      </c>
      <c r="G100" s="128" t="n">
        <v>103.41</v>
      </c>
      <c r="H100" s="128" t="n">
        <v>60.08</v>
      </c>
      <c r="I100" s="128" t="n">
        <v>59.78</v>
      </c>
      <c r="J100" s="128" t="n">
        <v>73.55</v>
      </c>
      <c r="K100" s="128" t="n">
        <v>2296.24</v>
      </c>
      <c r="L100" s="129" t="n">
        <f aca="false">AVERAGE(C100:E100)</f>
        <v>-72.5666666666667</v>
      </c>
      <c r="M100" s="130" t="n">
        <f aca="false">AVERAGE(C100:J100)</f>
        <v>19.015</v>
      </c>
      <c r="N100" s="130" t="n">
        <f aca="false">RANK(I100,I:I)</f>
        <v>115</v>
      </c>
      <c r="O100" s="127" t="n">
        <f aca="false">RANK(L100,L:L)</f>
        <v>407</v>
      </c>
      <c r="P100" s="128" t="s">
        <v>147</v>
      </c>
      <c r="Q100" s="127" t="n">
        <f aca="false">RANK(M100,M:M)</f>
        <v>172</v>
      </c>
      <c r="R100" s="128" t="s">
        <v>147</v>
      </c>
      <c r="S100" s="127"/>
      <c r="T100" s="127"/>
      <c r="U100" s="127"/>
      <c r="V100" s="127"/>
      <c r="W100" s="127"/>
      <c r="X100" s="127"/>
    </row>
    <row r="101" customFormat="false" ht="15.75" hidden="false" customHeight="true" outlineLevel="0" collapsed="false">
      <c r="A101" s="128" t="s">
        <v>119</v>
      </c>
      <c r="B101" s="128" t="n">
        <v>2431.6</v>
      </c>
      <c r="C101" s="128" t="n">
        <v>-66.67</v>
      </c>
      <c r="D101" s="128" t="n">
        <v>-45.6</v>
      </c>
      <c r="E101" s="128" t="n">
        <v>7.85</v>
      </c>
      <c r="F101" s="128" t="n">
        <v>97.51</v>
      </c>
      <c r="G101" s="128" t="n">
        <v>149.83</v>
      </c>
      <c r="H101" s="128" t="n">
        <v>177.23</v>
      </c>
      <c r="I101" s="128" t="n">
        <v>39.38</v>
      </c>
      <c r="J101" s="128" t="n">
        <v>-19.2</v>
      </c>
      <c r="K101" s="128" t="n">
        <v>2336.49</v>
      </c>
      <c r="L101" s="129" t="n">
        <f aca="false">AVERAGE(C101:E101)</f>
        <v>-34.8066666666667</v>
      </c>
      <c r="M101" s="130" t="n">
        <f aca="false">AVERAGE(C101:J101)</f>
        <v>42.54125</v>
      </c>
      <c r="N101" s="130" t="n">
        <f aca="false">RANK(I101,I:I)</f>
        <v>140</v>
      </c>
      <c r="O101" s="127" t="n">
        <f aca="false">RANK(L101,L:L)</f>
        <v>175</v>
      </c>
      <c r="P101" s="128" t="s">
        <v>340</v>
      </c>
      <c r="Q101" s="127" t="n">
        <f aca="false">RANK(M101,M:M)</f>
        <v>112</v>
      </c>
      <c r="R101" s="128" t="s">
        <v>340</v>
      </c>
      <c r="S101" s="127"/>
      <c r="T101" s="127"/>
      <c r="U101" s="127"/>
      <c r="V101" s="127"/>
      <c r="W101" s="127"/>
      <c r="X101" s="127"/>
    </row>
    <row r="102" customFormat="false" ht="15.75" hidden="false" customHeight="true" outlineLevel="0" collapsed="false">
      <c r="A102" s="128" t="s">
        <v>147</v>
      </c>
      <c r="B102" s="128" t="n">
        <v>2413.5</v>
      </c>
      <c r="C102" s="128" t="n">
        <v>-66.67</v>
      </c>
      <c r="D102" s="128" t="n">
        <v>-49.96</v>
      </c>
      <c r="E102" s="128" t="n">
        <v>49.3</v>
      </c>
      <c r="F102" s="128" t="n">
        <v>120.17</v>
      </c>
      <c r="G102" s="128" t="n">
        <v>187.45</v>
      </c>
      <c r="H102" s="128" t="n">
        <v>239.93</v>
      </c>
      <c r="I102" s="128" t="n">
        <v>267.51</v>
      </c>
      <c r="J102" s="128" t="n">
        <v>71.9</v>
      </c>
      <c r="K102" s="128" t="n">
        <v>2298.3</v>
      </c>
      <c r="L102" s="129" t="n">
        <f aca="false">AVERAGE(C102:E102)</f>
        <v>-22.4433333333333</v>
      </c>
      <c r="M102" s="130" t="n">
        <f aca="false">AVERAGE(C102:J102)</f>
        <v>102.45375</v>
      </c>
      <c r="N102" s="130" t="n">
        <f aca="false">RANK(I102,I:I)</f>
        <v>3</v>
      </c>
      <c r="O102" s="127" t="n">
        <f aca="false">RANK(L102,L:L)</f>
        <v>140</v>
      </c>
      <c r="P102" s="128" t="s">
        <v>100</v>
      </c>
      <c r="Q102" s="127" t="n">
        <f aca="false">RANK(M102,M:M)</f>
        <v>26</v>
      </c>
      <c r="R102" s="128" t="s">
        <v>100</v>
      </c>
      <c r="S102" s="127"/>
      <c r="T102" s="127"/>
      <c r="U102" s="127"/>
      <c r="V102" s="127"/>
      <c r="W102" s="127"/>
      <c r="X102" s="127"/>
    </row>
    <row r="103" customFormat="false" ht="15.75" hidden="false" customHeight="true" outlineLevel="0" collapsed="false">
      <c r="A103" s="128" t="s">
        <v>100</v>
      </c>
      <c r="B103" s="128" t="n">
        <v>2354.3</v>
      </c>
      <c r="C103" s="128" t="n">
        <v>-66.67</v>
      </c>
      <c r="D103" s="128" t="n">
        <v>-133.33</v>
      </c>
      <c r="E103" s="128" t="n">
        <v>-22.13</v>
      </c>
      <c r="F103" s="128" t="n">
        <v>48.85</v>
      </c>
      <c r="G103" s="128" t="n">
        <v>85.41</v>
      </c>
      <c r="H103" s="128" t="n">
        <v>29.63</v>
      </c>
      <c r="I103" s="128" t="n">
        <v>-15.2</v>
      </c>
      <c r="J103" s="128" t="n">
        <v>-39.42</v>
      </c>
      <c r="K103" s="128" t="n">
        <v>2272.01</v>
      </c>
      <c r="L103" s="129" t="n">
        <f aca="false">AVERAGE(C103:E103)</f>
        <v>-74.0433333333333</v>
      </c>
      <c r="M103" s="130" t="n">
        <f aca="false">AVERAGE(C103:J103)</f>
        <v>-14.1075</v>
      </c>
      <c r="N103" s="130" t="n">
        <f aca="false">RANK(I103,I:I)</f>
        <v>225</v>
      </c>
      <c r="O103" s="127" t="n">
        <f aca="false">RANK(L103,L:L)</f>
        <v>415</v>
      </c>
      <c r="P103" s="128" t="s">
        <v>229</v>
      </c>
      <c r="Q103" s="127" t="n">
        <f aca="false">RANK(M103,M:M)</f>
        <v>283</v>
      </c>
      <c r="R103" s="128" t="s">
        <v>229</v>
      </c>
      <c r="S103" s="127"/>
      <c r="T103" s="127"/>
      <c r="U103" s="127"/>
      <c r="V103" s="127"/>
      <c r="W103" s="127"/>
      <c r="X103" s="127"/>
    </row>
    <row r="104" customFormat="false" ht="15.75" hidden="false" customHeight="true" outlineLevel="0" collapsed="false">
      <c r="A104" s="128" t="s">
        <v>187</v>
      </c>
      <c r="B104" s="128" t="n">
        <v>2332.2</v>
      </c>
      <c r="C104" s="128" t="n">
        <v>-66.67</v>
      </c>
      <c r="D104" s="128" t="n">
        <v>-133.33</v>
      </c>
      <c r="E104" s="128" t="n">
        <v>-162.97</v>
      </c>
      <c r="F104" s="128" t="n">
        <v>51.43</v>
      </c>
      <c r="G104" s="128" t="n">
        <v>23.36</v>
      </c>
      <c r="H104" s="128" t="n">
        <v>3.45</v>
      </c>
      <c r="I104" s="128" t="n">
        <v>-28.91</v>
      </c>
      <c r="J104" s="128" t="n">
        <v>-51.94</v>
      </c>
      <c r="K104" s="128" t="n">
        <v>2296.01</v>
      </c>
      <c r="L104" s="129" t="n">
        <f aca="false">AVERAGE(C104:E104)</f>
        <v>-120.99</v>
      </c>
      <c r="M104" s="130" t="n">
        <f aca="false">AVERAGE(C104:J104)</f>
        <v>-45.6975</v>
      </c>
      <c r="N104" s="130" t="n">
        <f aca="false">RANK(I104,I:I)</f>
        <v>257</v>
      </c>
      <c r="O104" s="127" t="n">
        <f aca="false">RANK(L104,L:L)</f>
        <v>493</v>
      </c>
      <c r="P104" s="128" t="s">
        <v>122</v>
      </c>
      <c r="Q104" s="127" t="n">
        <f aca="false">RANK(M104,M:M)</f>
        <v>397</v>
      </c>
      <c r="R104" s="128" t="s">
        <v>122</v>
      </c>
      <c r="S104" s="127"/>
      <c r="T104" s="127"/>
      <c r="U104" s="127"/>
      <c r="V104" s="127"/>
      <c r="W104" s="127"/>
      <c r="X104" s="127"/>
    </row>
    <row r="105" customFormat="false" ht="15.75" hidden="false" customHeight="true" outlineLevel="0" collapsed="false">
      <c r="A105" s="128" t="s">
        <v>229</v>
      </c>
      <c r="B105" s="128" t="n">
        <v>2328.4</v>
      </c>
      <c r="C105" s="128" t="n">
        <v>-66.67</v>
      </c>
      <c r="D105" s="128" t="n">
        <v>-133.33</v>
      </c>
      <c r="E105" s="128" t="n">
        <v>2.81</v>
      </c>
      <c r="F105" s="128" t="n">
        <v>60.54</v>
      </c>
      <c r="G105" s="128" t="n">
        <v>69.45</v>
      </c>
      <c r="H105" s="128" t="n">
        <v>-15.44</v>
      </c>
      <c r="I105" s="128" t="n">
        <v>-38.79</v>
      </c>
      <c r="J105" s="128" t="n">
        <v>-49.98</v>
      </c>
      <c r="K105" s="128" t="n">
        <v>2231.63</v>
      </c>
      <c r="L105" s="129" t="n">
        <f aca="false">AVERAGE(C105:E105)</f>
        <v>-65.73</v>
      </c>
      <c r="M105" s="130" t="n">
        <f aca="false">AVERAGE(C105:J105)</f>
        <v>-21.42625</v>
      </c>
      <c r="N105" s="130" t="n">
        <f aca="false">RANK(I105,I:I)</f>
        <v>281</v>
      </c>
      <c r="O105" s="127" t="n">
        <f aca="false">RANK(L105,L:L)</f>
        <v>361</v>
      </c>
      <c r="P105" s="128" t="s">
        <v>702</v>
      </c>
      <c r="Q105" s="127" t="n">
        <f aca="false">RANK(M105,M:M)</f>
        <v>306</v>
      </c>
      <c r="R105" s="128" t="s">
        <v>702</v>
      </c>
      <c r="S105" s="127"/>
      <c r="T105" s="127"/>
      <c r="U105" s="127"/>
      <c r="V105" s="127"/>
      <c r="W105" s="127"/>
      <c r="X105" s="127"/>
    </row>
    <row r="106" customFormat="false" ht="15.75" hidden="false" customHeight="true" outlineLevel="0" collapsed="false">
      <c r="A106" s="128" t="s">
        <v>156</v>
      </c>
      <c r="B106" s="128" t="n">
        <v>2248.1</v>
      </c>
      <c r="C106" s="128" t="n">
        <v>-66.67</v>
      </c>
      <c r="D106" s="128" t="n">
        <v>-77.63</v>
      </c>
      <c r="E106" s="128" t="n">
        <v>62.97</v>
      </c>
      <c r="F106" s="128" t="n">
        <v>139.46</v>
      </c>
      <c r="G106" s="128" t="n">
        <v>158.27</v>
      </c>
      <c r="H106" s="128" t="n">
        <v>75.75</v>
      </c>
      <c r="I106" s="128" t="n">
        <v>32.1</v>
      </c>
      <c r="J106" s="128" t="n">
        <v>-20.58</v>
      </c>
      <c r="K106" s="128" t="n">
        <v>2091.94</v>
      </c>
      <c r="L106" s="129" t="n">
        <f aca="false">AVERAGE(C106:E106)</f>
        <v>-27.11</v>
      </c>
      <c r="M106" s="130" t="n">
        <f aca="false">AVERAGE(C106:J106)</f>
        <v>37.95875</v>
      </c>
      <c r="N106" s="130" t="n">
        <f aca="false">RANK(I106,I:I)</f>
        <v>154</v>
      </c>
      <c r="O106" s="127" t="n">
        <f aca="false">RANK(L106,L:L)</f>
        <v>151</v>
      </c>
      <c r="P106" s="128" t="s">
        <v>58</v>
      </c>
      <c r="Q106" s="127" t="n">
        <f aca="false">RANK(M106,M:M)</f>
        <v>118</v>
      </c>
      <c r="R106" s="128" t="s">
        <v>58</v>
      </c>
      <c r="S106" s="127"/>
      <c r="T106" s="127"/>
      <c r="U106" s="127"/>
      <c r="V106" s="127"/>
      <c r="W106" s="127"/>
      <c r="X106" s="127"/>
    </row>
    <row r="107" customFormat="false" ht="15.75" hidden="false" customHeight="true" outlineLevel="0" collapsed="false">
      <c r="A107" s="128" t="s">
        <v>58</v>
      </c>
      <c r="B107" s="128" t="n">
        <v>2204.4</v>
      </c>
      <c r="C107" s="128" t="n">
        <v>-66.67</v>
      </c>
      <c r="D107" s="128" t="n">
        <v>-96.43</v>
      </c>
      <c r="E107" s="128" t="n">
        <v>34.27</v>
      </c>
      <c r="F107" s="128" t="n">
        <v>87.29</v>
      </c>
      <c r="G107" s="128" t="n">
        <v>129.36</v>
      </c>
      <c r="H107" s="128" t="n">
        <v>155.58</v>
      </c>
      <c r="I107" s="128" t="n">
        <v>168.95</v>
      </c>
      <c r="J107" s="128" t="n">
        <v>196.52</v>
      </c>
      <c r="K107" s="128" t="n">
        <v>2131.6</v>
      </c>
      <c r="L107" s="129" t="n">
        <f aca="false">AVERAGE(C107:E107)</f>
        <v>-42.9433333333333</v>
      </c>
      <c r="M107" s="130" t="n">
        <f aca="false">AVERAGE(C107:J107)</f>
        <v>76.10875</v>
      </c>
      <c r="N107" s="130" t="n">
        <f aca="false">RANK(I107,I:I)</f>
        <v>34</v>
      </c>
      <c r="O107" s="127" t="n">
        <f aca="false">RANK(L107,L:L)</f>
        <v>210</v>
      </c>
      <c r="P107" s="128" t="s">
        <v>494</v>
      </c>
      <c r="Q107" s="127" t="n">
        <f aca="false">RANK(M107,M:M)</f>
        <v>54</v>
      </c>
      <c r="R107" s="128" t="s">
        <v>494</v>
      </c>
      <c r="S107" s="127"/>
      <c r="T107" s="127"/>
      <c r="U107" s="127"/>
      <c r="V107" s="127"/>
      <c r="W107" s="127"/>
      <c r="X107" s="127"/>
    </row>
    <row r="108" customFormat="false" ht="15.75" hidden="false" customHeight="true" outlineLevel="0" collapsed="false">
      <c r="A108" s="128" t="s">
        <v>327</v>
      </c>
      <c r="B108" s="128" t="n">
        <v>2201.5</v>
      </c>
      <c r="C108" s="128" t="n">
        <v>-66.67</v>
      </c>
      <c r="D108" s="128" t="n">
        <v>22.13</v>
      </c>
      <c r="E108" s="128" t="n">
        <v>76</v>
      </c>
      <c r="F108" s="128" t="n">
        <v>123.97</v>
      </c>
      <c r="G108" s="128" t="n">
        <v>147.84</v>
      </c>
      <c r="H108" s="128" t="n">
        <v>196.44</v>
      </c>
      <c r="I108" s="128" t="n">
        <v>227.25</v>
      </c>
      <c r="J108" s="128" t="n">
        <v>230.23</v>
      </c>
      <c r="K108" s="128" t="n">
        <v>1998.42</v>
      </c>
      <c r="L108" s="129" t="n">
        <f aca="false">AVERAGE(C108:E108)</f>
        <v>10.4866666666667</v>
      </c>
      <c r="M108" s="130" t="n">
        <f aca="false">AVERAGE(C108:J108)</f>
        <v>119.64875</v>
      </c>
      <c r="N108" s="130" t="n">
        <f aca="false">RANK(I108,I:I)</f>
        <v>14</v>
      </c>
      <c r="O108" s="127" t="n">
        <f aca="false">RANK(L108,L:L)</f>
        <v>70</v>
      </c>
      <c r="P108" s="128" t="s">
        <v>279</v>
      </c>
      <c r="Q108" s="127" t="n">
        <f aca="false">RANK(M108,M:M)</f>
        <v>17</v>
      </c>
      <c r="R108" s="128" t="s">
        <v>279</v>
      </c>
      <c r="S108" s="127"/>
      <c r="T108" s="127"/>
      <c r="U108" s="127"/>
      <c r="V108" s="127"/>
      <c r="W108" s="127"/>
      <c r="X108" s="127"/>
    </row>
    <row r="109" customFormat="false" ht="15.75" hidden="false" customHeight="true" outlineLevel="0" collapsed="false">
      <c r="A109" s="128" t="s">
        <v>480</v>
      </c>
      <c r="B109" s="128" t="n">
        <v>2172.9</v>
      </c>
      <c r="C109" s="128" t="n">
        <v>-66.67</v>
      </c>
      <c r="D109" s="128" t="n">
        <v>-117.49</v>
      </c>
      <c r="E109" s="128" t="n">
        <v>-90.54</v>
      </c>
      <c r="F109" s="128" t="n">
        <v>-55.1</v>
      </c>
      <c r="G109" s="128" t="n">
        <v>-92.15</v>
      </c>
      <c r="H109" s="128" t="n">
        <v>-91.37</v>
      </c>
      <c r="I109" s="128" t="n">
        <v>-103.04</v>
      </c>
      <c r="J109" s="128" t="n">
        <v>-123.26</v>
      </c>
      <c r="K109" s="128" t="n">
        <v>2021.07</v>
      </c>
      <c r="L109" s="129" t="n">
        <f aca="false">AVERAGE(C109:E109)</f>
        <v>-91.5666666666667</v>
      </c>
      <c r="M109" s="130" t="n">
        <f aca="false">AVERAGE(C109:J109)</f>
        <v>-92.4525</v>
      </c>
      <c r="N109" s="130" t="n">
        <f aca="false">RANK(I109,I:I)</f>
        <v>461</v>
      </c>
      <c r="O109" s="127" t="n">
        <f aca="false">RANK(L109,L:L)</f>
        <v>465</v>
      </c>
      <c r="P109" s="128" t="s">
        <v>327</v>
      </c>
      <c r="Q109" s="127" t="n">
        <f aca="false">RANK(M109,M:M)</f>
        <v>484</v>
      </c>
      <c r="R109" s="128" t="s">
        <v>327</v>
      </c>
      <c r="S109" s="127"/>
      <c r="T109" s="127"/>
      <c r="U109" s="127"/>
      <c r="V109" s="127"/>
      <c r="W109" s="127"/>
      <c r="X109" s="127"/>
    </row>
    <row r="110" customFormat="false" ht="15.75" hidden="false" customHeight="true" outlineLevel="0" collapsed="false">
      <c r="A110" s="128" t="s">
        <v>50</v>
      </c>
      <c r="B110" s="128" t="n">
        <v>2124.2</v>
      </c>
      <c r="C110" s="128" t="n">
        <v>-66.67</v>
      </c>
      <c r="D110" s="128" t="n">
        <v>-115.41</v>
      </c>
      <c r="E110" s="128" t="n">
        <v>6.83</v>
      </c>
      <c r="F110" s="128" t="n">
        <v>105.57</v>
      </c>
      <c r="G110" s="128" t="n">
        <v>106.34</v>
      </c>
      <c r="H110" s="128" t="n">
        <v>127.22</v>
      </c>
      <c r="I110" s="128" t="n">
        <v>140.3</v>
      </c>
      <c r="J110" s="128" t="n">
        <v>119.52</v>
      </c>
      <c r="K110" s="128" t="n">
        <v>2083.63</v>
      </c>
      <c r="L110" s="129" t="n">
        <f aca="false">AVERAGE(C110:E110)</f>
        <v>-58.4166666666667</v>
      </c>
      <c r="M110" s="130" t="n">
        <f aca="false">AVERAGE(C110:J110)</f>
        <v>52.9625</v>
      </c>
      <c r="N110" s="130" t="n">
        <f aca="false">RANK(I110,I:I)</f>
        <v>46</v>
      </c>
      <c r="O110" s="127" t="n">
        <f aca="false">RANK(L110,L:L)</f>
        <v>286</v>
      </c>
      <c r="P110" s="128" t="s">
        <v>287</v>
      </c>
      <c r="Q110" s="127" t="n">
        <f aca="false">RANK(M110,M:M)</f>
        <v>84</v>
      </c>
      <c r="R110" s="128" t="s">
        <v>287</v>
      </c>
      <c r="S110" s="127"/>
      <c r="T110" s="127"/>
      <c r="U110" s="127"/>
      <c r="V110" s="127"/>
      <c r="W110" s="127"/>
      <c r="X110" s="127"/>
    </row>
    <row r="111" customFormat="false" ht="15.75" hidden="false" customHeight="true" outlineLevel="0" collapsed="false">
      <c r="A111" s="128" t="s">
        <v>117</v>
      </c>
      <c r="B111" s="128" t="n">
        <v>2093.2</v>
      </c>
      <c r="C111" s="128" t="n">
        <v>-66.67</v>
      </c>
      <c r="D111" s="128" t="n">
        <v>-107.01</v>
      </c>
      <c r="E111" s="128" t="n">
        <v>-24.6</v>
      </c>
      <c r="F111" s="128" t="n">
        <v>-97.41</v>
      </c>
      <c r="G111" s="128" t="n">
        <v>-111.26</v>
      </c>
      <c r="H111" s="128" t="n">
        <v>-85.68</v>
      </c>
      <c r="I111" s="128" t="n">
        <v>-9.47</v>
      </c>
      <c r="J111" s="128" t="n">
        <v>8.05</v>
      </c>
      <c r="K111" s="128" t="n">
        <v>2284.15</v>
      </c>
      <c r="L111" s="129" t="n">
        <f aca="false">AVERAGE(C111:E111)</f>
        <v>-66.0933333333334</v>
      </c>
      <c r="M111" s="130" t="n">
        <f aca="false">AVERAGE(C111:J111)</f>
        <v>-61.75625</v>
      </c>
      <c r="N111" s="130" t="n">
        <f aca="false">RANK(I111,I:I)</f>
        <v>220</v>
      </c>
      <c r="O111" s="127" t="n">
        <f aca="false">RANK(L111,L:L)</f>
        <v>364</v>
      </c>
      <c r="P111" s="128" t="s">
        <v>480</v>
      </c>
      <c r="Q111" s="127" t="n">
        <f aca="false">RANK(M111,M:M)</f>
        <v>436</v>
      </c>
      <c r="R111" s="128" t="s">
        <v>480</v>
      </c>
      <c r="S111" s="127"/>
      <c r="T111" s="127"/>
      <c r="U111" s="127"/>
      <c r="V111" s="127"/>
      <c r="W111" s="127"/>
      <c r="X111" s="127"/>
    </row>
    <row r="112" customFormat="false" ht="15.75" hidden="false" customHeight="true" outlineLevel="0" collapsed="false">
      <c r="A112" s="128" t="s">
        <v>381</v>
      </c>
      <c r="B112" s="128" t="n">
        <v>2086.6</v>
      </c>
      <c r="C112" s="128" t="n">
        <v>-66.67</v>
      </c>
      <c r="D112" s="128" t="n">
        <v>-56.18</v>
      </c>
      <c r="E112" s="128" t="n">
        <v>69.53</v>
      </c>
      <c r="F112" s="128" t="n">
        <v>170.67</v>
      </c>
      <c r="G112" s="128" t="n">
        <v>122.87</v>
      </c>
      <c r="H112" s="128" t="n">
        <v>26.32</v>
      </c>
      <c r="I112" s="128" t="n">
        <v>2.25</v>
      </c>
      <c r="J112" s="128" t="n">
        <v>-11.82</v>
      </c>
      <c r="K112" s="128" t="n">
        <v>1918.13</v>
      </c>
      <c r="L112" s="129" t="n">
        <f aca="false">AVERAGE(C112:E112)</f>
        <v>-17.7733333333333</v>
      </c>
      <c r="M112" s="130" t="n">
        <f aca="false">AVERAGE(C112:J112)</f>
        <v>32.12125</v>
      </c>
      <c r="N112" s="130" t="n">
        <f aca="false">RANK(I112,I:I)</f>
        <v>201</v>
      </c>
      <c r="O112" s="127" t="n">
        <f aca="false">RANK(L112,L:L)</f>
        <v>128</v>
      </c>
      <c r="P112" s="128" t="s">
        <v>50</v>
      </c>
      <c r="Q112" s="127" t="n">
        <f aca="false">RANK(M112,M:M)</f>
        <v>135</v>
      </c>
      <c r="R112" s="128" t="s">
        <v>50</v>
      </c>
      <c r="S112" s="127"/>
      <c r="T112" s="127"/>
      <c r="U112" s="127"/>
      <c r="V112" s="127"/>
      <c r="W112" s="127"/>
      <c r="X112" s="127"/>
    </row>
    <row r="113" customFormat="false" ht="15.75" hidden="false" customHeight="true" outlineLevel="0" collapsed="false">
      <c r="A113" s="128" t="s">
        <v>165</v>
      </c>
      <c r="B113" s="128" t="n">
        <v>2085.3</v>
      </c>
      <c r="C113" s="128" t="n">
        <v>-66.67</v>
      </c>
      <c r="D113" s="128" t="n">
        <v>-30.1</v>
      </c>
      <c r="E113" s="128" t="n">
        <v>67.27</v>
      </c>
      <c r="F113" s="128" t="n">
        <v>42.5</v>
      </c>
      <c r="G113" s="128" t="n">
        <v>13.71</v>
      </c>
      <c r="H113" s="128" t="n">
        <v>-42.87</v>
      </c>
      <c r="I113" s="128" t="n">
        <v>-59.94</v>
      </c>
      <c r="J113" s="128" t="n">
        <v>-73.59</v>
      </c>
      <c r="K113" s="128" t="n">
        <v>2169.21</v>
      </c>
      <c r="L113" s="129" t="n">
        <f aca="false">AVERAGE(C113:E113)</f>
        <v>-9.83333333333334</v>
      </c>
      <c r="M113" s="130" t="n">
        <f aca="false">AVERAGE(C113:J113)</f>
        <v>-18.71125</v>
      </c>
      <c r="N113" s="130" t="n">
        <f aca="false">RANK(I113,I:I)</f>
        <v>363</v>
      </c>
      <c r="O113" s="127" t="n">
        <f aca="false">RANK(L113,L:L)</f>
        <v>110</v>
      </c>
      <c r="P113" s="128" t="s">
        <v>66</v>
      </c>
      <c r="Q113" s="127" t="n">
        <f aca="false">RANK(M113,M:M)</f>
        <v>297</v>
      </c>
      <c r="R113" s="128" t="s">
        <v>66</v>
      </c>
      <c r="S113" s="127"/>
      <c r="T113" s="127"/>
      <c r="U113" s="127"/>
      <c r="V113" s="127"/>
      <c r="W113" s="127"/>
      <c r="X113" s="127"/>
    </row>
    <row r="114" customFormat="false" ht="15.75" hidden="false" customHeight="true" outlineLevel="0" collapsed="false">
      <c r="A114" s="128" t="s">
        <v>136</v>
      </c>
      <c r="B114" s="128" t="n">
        <v>2045.5</v>
      </c>
      <c r="C114" s="128" t="n">
        <v>-66.67</v>
      </c>
      <c r="D114" s="128" t="n">
        <v>-122.72</v>
      </c>
      <c r="E114" s="128" t="n">
        <v>43.43</v>
      </c>
      <c r="F114" s="128" t="n">
        <v>120.23</v>
      </c>
      <c r="G114" s="128" t="n">
        <v>173.46</v>
      </c>
      <c r="H114" s="128" t="n">
        <v>162.29</v>
      </c>
      <c r="I114" s="128" t="n">
        <v>178.32</v>
      </c>
      <c r="J114" s="128" t="n">
        <v>169.34</v>
      </c>
      <c r="K114" s="128" t="n">
        <v>1970.74</v>
      </c>
      <c r="L114" s="129" t="n">
        <f aca="false">AVERAGE(C114:E114)</f>
        <v>-48.6533333333333</v>
      </c>
      <c r="M114" s="130" t="n">
        <f aca="false">AVERAGE(C114:J114)</f>
        <v>82.21</v>
      </c>
      <c r="N114" s="130" t="n">
        <f aca="false">RANK(I114,I:I)</f>
        <v>30</v>
      </c>
      <c r="O114" s="127" t="n">
        <f aca="false">RANK(L114,L:L)</f>
        <v>232</v>
      </c>
      <c r="P114" s="128" t="s">
        <v>165</v>
      </c>
      <c r="Q114" s="127" t="n">
        <f aca="false">RANK(M114,M:M)</f>
        <v>44</v>
      </c>
      <c r="R114" s="128" t="s">
        <v>165</v>
      </c>
      <c r="S114" s="127"/>
      <c r="T114" s="127"/>
      <c r="U114" s="127"/>
      <c r="V114" s="127"/>
      <c r="W114" s="127"/>
      <c r="X114" s="127"/>
    </row>
    <row r="115" customFormat="false" ht="15.75" hidden="false" customHeight="true" outlineLevel="0" collapsed="false">
      <c r="A115" s="128" t="s">
        <v>279</v>
      </c>
      <c r="B115" s="128" t="n">
        <v>2038.1</v>
      </c>
      <c r="C115" s="128" t="n">
        <v>-66.67</v>
      </c>
      <c r="D115" s="128" t="n">
        <v>-114.32</v>
      </c>
      <c r="E115" s="128" t="n">
        <v>-20.75</v>
      </c>
      <c r="F115" s="128" t="n">
        <v>45.16</v>
      </c>
      <c r="G115" s="128" t="n">
        <v>88.84</v>
      </c>
      <c r="H115" s="128" t="n">
        <v>127.6</v>
      </c>
      <c r="I115" s="128" t="n">
        <v>166.68</v>
      </c>
      <c r="J115" s="128" t="n">
        <v>180.58</v>
      </c>
      <c r="K115" s="128" t="n">
        <v>1950.54</v>
      </c>
      <c r="L115" s="129" t="n">
        <f aca="false">AVERAGE(C115:E115)</f>
        <v>-67.2466666666667</v>
      </c>
      <c r="M115" s="130" t="n">
        <f aca="false">AVERAGE(C115:J115)</f>
        <v>50.89</v>
      </c>
      <c r="N115" s="130" t="n">
        <f aca="false">RANK(I115,I:I)</f>
        <v>36</v>
      </c>
      <c r="O115" s="127" t="n">
        <f aca="false">RANK(L115,L:L)</f>
        <v>372</v>
      </c>
      <c r="P115" s="128" t="s">
        <v>156</v>
      </c>
      <c r="Q115" s="127" t="n">
        <f aca="false">RANK(M115,M:M)</f>
        <v>90</v>
      </c>
      <c r="R115" s="128" t="s">
        <v>156</v>
      </c>
      <c r="S115" s="127"/>
      <c r="T115" s="127"/>
      <c r="U115" s="127"/>
      <c r="V115" s="127"/>
      <c r="W115" s="127"/>
      <c r="X115" s="127"/>
    </row>
    <row r="116" customFormat="false" ht="15.75" hidden="false" customHeight="true" outlineLevel="0" collapsed="false">
      <c r="A116" s="128" t="s">
        <v>146</v>
      </c>
      <c r="B116" s="128" t="n">
        <v>2019.6</v>
      </c>
      <c r="C116" s="128" t="n">
        <v>-66.67</v>
      </c>
      <c r="D116" s="128" t="n">
        <v>-40.7</v>
      </c>
      <c r="E116" s="128" t="n">
        <v>61.37</v>
      </c>
      <c r="F116" s="128" t="n">
        <v>48.44</v>
      </c>
      <c r="G116" s="128" t="n">
        <v>33.28</v>
      </c>
      <c r="H116" s="128" t="n">
        <v>-20.55</v>
      </c>
      <c r="I116" s="128" t="n">
        <v>-27.12</v>
      </c>
      <c r="J116" s="128" t="n">
        <v>-42.93</v>
      </c>
      <c r="K116" s="128" t="n">
        <v>1918.56</v>
      </c>
      <c r="L116" s="129" t="n">
        <f aca="false">AVERAGE(C116:E116)</f>
        <v>-15.3333333333333</v>
      </c>
      <c r="M116" s="130" t="n">
        <f aca="false">AVERAGE(C116:J116)</f>
        <v>-6.86</v>
      </c>
      <c r="N116" s="130" t="n">
        <f aca="false">RANK(I116,I:I)</f>
        <v>254</v>
      </c>
      <c r="O116" s="127" t="n">
        <f aca="false">RANK(L116,L:L)</f>
        <v>125</v>
      </c>
      <c r="P116" s="128" t="s">
        <v>146</v>
      </c>
      <c r="Q116" s="127" t="n">
        <f aca="false">RANK(M116,M:M)</f>
        <v>256</v>
      </c>
      <c r="R116" s="128" t="s">
        <v>146</v>
      </c>
      <c r="S116" s="127"/>
      <c r="T116" s="127"/>
      <c r="U116" s="127"/>
      <c r="V116" s="127"/>
      <c r="W116" s="127"/>
      <c r="X116" s="127"/>
    </row>
    <row r="117" customFormat="false" ht="15.75" hidden="false" customHeight="true" outlineLevel="0" collapsed="false">
      <c r="A117" s="128" t="s">
        <v>370</v>
      </c>
      <c r="B117" s="128" t="n">
        <v>1980.3</v>
      </c>
      <c r="C117" s="128" t="n">
        <v>66.67</v>
      </c>
      <c r="D117" s="128" t="n">
        <v>120</v>
      </c>
      <c r="E117" s="128" t="n">
        <v>73.23</v>
      </c>
      <c r="F117" s="128" t="n">
        <v>151.99</v>
      </c>
      <c r="G117" s="128" t="n">
        <v>188.85</v>
      </c>
      <c r="H117" s="128" t="n">
        <v>224.16</v>
      </c>
      <c r="I117" s="128" t="n">
        <v>244.61</v>
      </c>
      <c r="J117" s="128" t="n">
        <v>121.99</v>
      </c>
      <c r="K117" s="128" t="n">
        <v>1721.93</v>
      </c>
      <c r="L117" s="129" t="n">
        <f aca="false">AVERAGE(C117:E117)</f>
        <v>86.6333333333333</v>
      </c>
      <c r="M117" s="130" t="n">
        <f aca="false">AVERAGE(C117:J117)</f>
        <v>148.9375</v>
      </c>
      <c r="N117" s="130" t="n">
        <f aca="false">RANK(I117,I:I)</f>
        <v>11</v>
      </c>
      <c r="O117" s="127" t="n">
        <f aca="false">RANK(L117,L:L)</f>
        <v>19</v>
      </c>
      <c r="P117" s="128" t="s">
        <v>136</v>
      </c>
      <c r="Q117" s="127" t="n">
        <f aca="false">RANK(M117,M:M)</f>
        <v>8</v>
      </c>
      <c r="R117" s="128" t="s">
        <v>136</v>
      </c>
      <c r="S117" s="127"/>
      <c r="T117" s="127"/>
      <c r="U117" s="127"/>
      <c r="V117" s="127"/>
      <c r="W117" s="127"/>
      <c r="X117" s="127"/>
    </row>
    <row r="118" customFormat="false" ht="15.75" hidden="false" customHeight="true" outlineLevel="0" collapsed="false">
      <c r="A118" s="128" t="s">
        <v>425</v>
      </c>
      <c r="B118" s="128" t="n">
        <v>1967</v>
      </c>
      <c r="C118" s="128" t="n">
        <v>-66.67</v>
      </c>
      <c r="D118" s="128" t="n">
        <v>-85.55</v>
      </c>
      <c r="E118" s="128" t="n">
        <v>15.33</v>
      </c>
      <c r="F118" s="128" t="n">
        <v>102.06</v>
      </c>
      <c r="G118" s="128" t="n">
        <v>172.16</v>
      </c>
      <c r="H118" s="128" t="n">
        <v>193.06</v>
      </c>
      <c r="I118" s="128" t="n">
        <v>197.06</v>
      </c>
      <c r="J118" s="128" t="n">
        <v>190.14</v>
      </c>
      <c r="K118" s="128" t="n">
        <v>1852.56</v>
      </c>
      <c r="L118" s="129" t="n">
        <f aca="false">AVERAGE(C118:E118)</f>
        <v>-45.63</v>
      </c>
      <c r="M118" s="130" t="n">
        <f aca="false">AVERAGE(C118:J118)</f>
        <v>89.69875</v>
      </c>
      <c r="N118" s="130" t="n">
        <f aca="false">RANK(I118,I:I)</f>
        <v>26</v>
      </c>
      <c r="O118" s="127" t="n">
        <f aca="false">RANK(L118,L:L)</f>
        <v>219</v>
      </c>
      <c r="P118" s="128" t="s">
        <v>349</v>
      </c>
      <c r="Q118" s="127" t="n">
        <f aca="false">RANK(M118,M:M)</f>
        <v>34</v>
      </c>
      <c r="R118" s="128" t="s">
        <v>349</v>
      </c>
      <c r="S118" s="127"/>
      <c r="T118" s="127"/>
      <c r="U118" s="127"/>
      <c r="V118" s="127"/>
      <c r="W118" s="127"/>
      <c r="X118" s="127"/>
    </row>
    <row r="119" customFormat="false" ht="15.75" hidden="false" customHeight="true" outlineLevel="0" collapsed="false">
      <c r="A119" s="128" t="s">
        <v>200</v>
      </c>
      <c r="B119" s="128" t="n">
        <v>1965.9</v>
      </c>
      <c r="C119" s="128" t="n">
        <v>66.67</v>
      </c>
      <c r="D119" s="128" t="n">
        <v>85.61</v>
      </c>
      <c r="E119" s="128" t="n">
        <v>135.66</v>
      </c>
      <c r="F119" s="128" t="n">
        <v>164.9</v>
      </c>
      <c r="G119" s="128" t="n">
        <v>204.63</v>
      </c>
      <c r="H119" s="128" t="n">
        <v>219.34</v>
      </c>
      <c r="I119" s="128" t="n">
        <v>205.08</v>
      </c>
      <c r="J119" s="128" t="n">
        <v>186.92</v>
      </c>
      <c r="K119" s="128" t="n">
        <v>1818.09</v>
      </c>
      <c r="L119" s="129" t="n">
        <f aca="false">AVERAGE(C119:E119)</f>
        <v>95.98</v>
      </c>
      <c r="M119" s="130" t="n">
        <f aca="false">AVERAGE(C119:J119)</f>
        <v>158.60125</v>
      </c>
      <c r="N119" s="130" t="n">
        <f aca="false">RANK(I119,I:I)</f>
        <v>19</v>
      </c>
      <c r="O119" s="127" t="n">
        <f aca="false">RANK(L119,L:L)</f>
        <v>12</v>
      </c>
      <c r="P119" s="128" t="s">
        <v>188</v>
      </c>
      <c r="Q119" s="127" t="n">
        <f aca="false">RANK(M119,M:M)</f>
        <v>3</v>
      </c>
      <c r="R119" s="128" t="s">
        <v>188</v>
      </c>
      <c r="S119" s="127"/>
      <c r="T119" s="127"/>
      <c r="U119" s="127"/>
      <c r="V119" s="127"/>
      <c r="W119" s="127"/>
      <c r="X119" s="127"/>
    </row>
    <row r="120" customFormat="false" ht="15.75" hidden="false" customHeight="true" outlineLevel="0" collapsed="false">
      <c r="A120" s="128" t="s">
        <v>188</v>
      </c>
      <c r="B120" s="128" t="n">
        <v>1961.3</v>
      </c>
      <c r="C120" s="128" t="n">
        <v>-66.67</v>
      </c>
      <c r="D120" s="128" t="n">
        <v>-133.33</v>
      </c>
      <c r="E120" s="128" t="n">
        <v>7.82</v>
      </c>
      <c r="F120" s="128" t="n">
        <v>-13.69</v>
      </c>
      <c r="G120" s="128" t="n">
        <v>-37.73</v>
      </c>
      <c r="H120" s="128" t="n">
        <v>-63.48</v>
      </c>
      <c r="I120" s="128" t="n">
        <v>-83.26</v>
      </c>
      <c r="J120" s="128" t="n">
        <v>-96.44</v>
      </c>
      <c r="K120" s="128" t="n">
        <v>1870.84</v>
      </c>
      <c r="L120" s="129" t="n">
        <f aca="false">AVERAGE(C120:E120)</f>
        <v>-64.06</v>
      </c>
      <c r="M120" s="130" t="n">
        <f aca="false">AVERAGE(C120:J120)</f>
        <v>-60.8475</v>
      </c>
      <c r="N120" s="130" t="n">
        <f aca="false">RANK(I120,I:I)</f>
        <v>428</v>
      </c>
      <c r="O120" s="127" t="n">
        <f aca="false">RANK(L120,L:L)</f>
        <v>338</v>
      </c>
      <c r="P120" s="128" t="s">
        <v>277</v>
      </c>
      <c r="Q120" s="127" t="n">
        <f aca="false">RANK(M120,M:M)</f>
        <v>433</v>
      </c>
      <c r="R120" s="128" t="s">
        <v>277</v>
      </c>
      <c r="S120" s="127"/>
      <c r="T120" s="127"/>
      <c r="U120" s="127"/>
      <c r="V120" s="127"/>
      <c r="W120" s="127"/>
      <c r="X120" s="127"/>
    </row>
    <row r="121" customFormat="false" ht="15.75" hidden="false" customHeight="true" outlineLevel="0" collapsed="false">
      <c r="A121" s="128" t="s">
        <v>66</v>
      </c>
      <c r="B121" s="128" t="n">
        <v>1938</v>
      </c>
      <c r="C121" s="128" t="n">
        <v>-66.67</v>
      </c>
      <c r="D121" s="128" t="n">
        <v>-133.33</v>
      </c>
      <c r="E121" s="128" t="n">
        <v>-123.22</v>
      </c>
      <c r="F121" s="128" t="n">
        <v>24.81</v>
      </c>
      <c r="G121" s="128" t="n">
        <v>42.18</v>
      </c>
      <c r="H121" s="128" t="n">
        <v>3.26</v>
      </c>
      <c r="I121" s="128" t="n">
        <v>-34.4</v>
      </c>
      <c r="J121" s="128" t="n">
        <v>-51.43</v>
      </c>
      <c r="K121" s="128" t="n">
        <v>2143.21</v>
      </c>
      <c r="L121" s="129" t="n">
        <f aca="false">AVERAGE(C121:E121)</f>
        <v>-107.74</v>
      </c>
      <c r="M121" s="130" t="n">
        <f aca="false">AVERAGE(C121:J121)</f>
        <v>-42.35</v>
      </c>
      <c r="N121" s="130" t="n">
        <f aca="false">RANK(I121,I:I)</f>
        <v>270</v>
      </c>
      <c r="O121" s="127" t="n">
        <f aca="false">RANK(L121,L:L)</f>
        <v>486</v>
      </c>
      <c r="P121" s="128" t="s">
        <v>336</v>
      </c>
      <c r="Q121" s="127" t="n">
        <f aca="false">RANK(M121,M:M)</f>
        <v>385</v>
      </c>
      <c r="R121" s="128" t="s">
        <v>336</v>
      </c>
      <c r="S121" s="127"/>
      <c r="T121" s="127"/>
      <c r="U121" s="127"/>
      <c r="V121" s="127"/>
      <c r="W121" s="127"/>
      <c r="X121" s="127"/>
    </row>
    <row r="122" customFormat="false" ht="15.75" hidden="false" customHeight="true" outlineLevel="0" collapsed="false">
      <c r="A122" s="128" t="s">
        <v>336</v>
      </c>
      <c r="B122" s="128" t="n">
        <v>1922.1</v>
      </c>
      <c r="C122" s="128" t="n">
        <v>-66.67</v>
      </c>
      <c r="D122" s="128" t="n">
        <v>-133.33</v>
      </c>
      <c r="E122" s="128" t="n">
        <v>-8.84</v>
      </c>
      <c r="F122" s="128" t="n">
        <v>4.14</v>
      </c>
      <c r="G122" s="128" t="n">
        <v>20.19</v>
      </c>
      <c r="H122" s="128" t="n">
        <v>-37.81</v>
      </c>
      <c r="I122" s="128" t="n">
        <v>-59.05</v>
      </c>
      <c r="J122" s="128" t="n">
        <v>-72.77</v>
      </c>
      <c r="K122" s="128" t="n">
        <v>2032.75</v>
      </c>
      <c r="L122" s="129" t="n">
        <f aca="false">AVERAGE(C122:E122)</f>
        <v>-69.6133333333333</v>
      </c>
      <c r="M122" s="130" t="n">
        <f aca="false">AVERAGE(C122:J122)</f>
        <v>-44.2675</v>
      </c>
      <c r="N122" s="130" t="n">
        <f aca="false">RANK(I122,I:I)</f>
        <v>360</v>
      </c>
      <c r="O122" s="127" t="n">
        <f aca="false">RANK(L122,L:L)</f>
        <v>390</v>
      </c>
      <c r="P122" s="128" t="s">
        <v>200</v>
      </c>
      <c r="Q122" s="127" t="n">
        <f aca="false">RANK(M122,M:M)</f>
        <v>391</v>
      </c>
      <c r="R122" s="128" t="s">
        <v>200</v>
      </c>
      <c r="S122" s="127"/>
      <c r="T122" s="127"/>
      <c r="U122" s="127"/>
      <c r="V122" s="127"/>
      <c r="W122" s="127"/>
      <c r="X122" s="127"/>
    </row>
    <row r="123" customFormat="false" ht="15.75" hidden="false" customHeight="true" outlineLevel="0" collapsed="false">
      <c r="A123" s="128" t="s">
        <v>277</v>
      </c>
      <c r="B123" s="128" t="n">
        <v>1918.6</v>
      </c>
      <c r="C123" s="128" t="n">
        <v>-66.67</v>
      </c>
      <c r="D123" s="128" t="n">
        <v>-71.06</v>
      </c>
      <c r="E123" s="128" t="n">
        <v>38.45</v>
      </c>
      <c r="F123" s="128" t="n">
        <v>22.7</v>
      </c>
      <c r="G123" s="128" t="n">
        <v>-32.3</v>
      </c>
      <c r="H123" s="128" t="n">
        <v>-54.1</v>
      </c>
      <c r="I123" s="128" t="n">
        <v>-65.79</v>
      </c>
      <c r="J123" s="128" t="n">
        <v>-77.96</v>
      </c>
      <c r="K123" s="128" t="n">
        <v>1770.56</v>
      </c>
      <c r="L123" s="129" t="n">
        <f aca="false">AVERAGE(C123:E123)</f>
        <v>-33.0933333333333</v>
      </c>
      <c r="M123" s="130" t="n">
        <f aca="false">AVERAGE(C123:J123)</f>
        <v>-38.34125</v>
      </c>
      <c r="N123" s="130" t="n">
        <f aca="false">RANK(I123,I:I)</f>
        <v>374</v>
      </c>
      <c r="O123" s="127" t="n">
        <f aca="false">RANK(L123,L:L)</f>
        <v>167</v>
      </c>
      <c r="P123" s="128" t="s">
        <v>425</v>
      </c>
      <c r="Q123" s="127" t="n">
        <f aca="false">RANK(M123,M:M)</f>
        <v>376</v>
      </c>
      <c r="R123" s="128" t="s">
        <v>425</v>
      </c>
      <c r="S123" s="127"/>
      <c r="T123" s="127"/>
      <c r="U123" s="127"/>
      <c r="V123" s="127"/>
      <c r="W123" s="127"/>
      <c r="X123" s="127"/>
    </row>
    <row r="124" customFormat="false" ht="15.75" hidden="false" customHeight="true" outlineLevel="0" collapsed="false">
      <c r="A124" s="128" t="s">
        <v>59</v>
      </c>
      <c r="B124" s="128" t="n">
        <v>1911.2</v>
      </c>
      <c r="C124" s="128" t="n">
        <v>-66.67</v>
      </c>
      <c r="D124" s="128" t="n">
        <v>-72.92</v>
      </c>
      <c r="E124" s="128" t="n">
        <v>36.4</v>
      </c>
      <c r="F124" s="128" t="n">
        <v>114.78</v>
      </c>
      <c r="G124" s="128" t="n">
        <v>170.32</v>
      </c>
      <c r="H124" s="128" t="n">
        <v>173.66</v>
      </c>
      <c r="I124" s="128" t="n">
        <v>173.44</v>
      </c>
      <c r="J124" s="128" t="n">
        <v>195.62</v>
      </c>
      <c r="K124" s="128" t="n">
        <v>1851.88</v>
      </c>
      <c r="L124" s="129" t="n">
        <f aca="false">AVERAGE(C124:E124)</f>
        <v>-34.3966666666667</v>
      </c>
      <c r="M124" s="130" t="n">
        <f aca="false">AVERAGE(C124:J124)</f>
        <v>90.57875</v>
      </c>
      <c r="N124" s="130" t="n">
        <f aca="false">RANK(I124,I:I)</f>
        <v>32</v>
      </c>
      <c r="O124" s="127" t="n">
        <f aca="false">RANK(L124,L:L)</f>
        <v>173</v>
      </c>
      <c r="P124" s="128" t="s">
        <v>298</v>
      </c>
      <c r="Q124" s="127" t="n">
        <f aca="false">RANK(M124,M:M)</f>
        <v>32</v>
      </c>
      <c r="R124" s="128" t="s">
        <v>298</v>
      </c>
      <c r="S124" s="127"/>
      <c r="T124" s="127"/>
      <c r="U124" s="127"/>
      <c r="V124" s="127"/>
      <c r="W124" s="127"/>
      <c r="X124" s="127"/>
    </row>
    <row r="125" customFormat="false" ht="15.75" hidden="false" customHeight="true" outlineLevel="0" collapsed="false">
      <c r="A125" s="128" t="s">
        <v>333</v>
      </c>
      <c r="B125" s="128" t="n">
        <v>1903.5</v>
      </c>
      <c r="C125" s="128" t="n">
        <v>-66.67</v>
      </c>
      <c r="D125" s="128" t="n">
        <v>-115.57</v>
      </c>
      <c r="E125" s="128" t="n">
        <v>31.79</v>
      </c>
      <c r="F125" s="128" t="n">
        <v>104.69</v>
      </c>
      <c r="G125" s="128" t="n">
        <v>28.6</v>
      </c>
      <c r="H125" s="128" t="n">
        <v>-14.75</v>
      </c>
      <c r="I125" s="128" t="n">
        <v>-47.65</v>
      </c>
      <c r="J125" s="128" t="n">
        <v>-61.72</v>
      </c>
      <c r="K125" s="128" t="n">
        <v>1801.93</v>
      </c>
      <c r="L125" s="129" t="n">
        <f aca="false">AVERAGE(C125:E125)</f>
        <v>-50.15</v>
      </c>
      <c r="M125" s="130" t="n">
        <f aca="false">AVERAGE(C125:J125)</f>
        <v>-17.66</v>
      </c>
      <c r="N125" s="130" t="n">
        <f aca="false">RANK(I125,I:I)</f>
        <v>314</v>
      </c>
      <c r="O125" s="127" t="n">
        <f aca="false">RANK(L125,L:L)</f>
        <v>236</v>
      </c>
      <c r="P125" s="128" t="s">
        <v>59</v>
      </c>
      <c r="Q125" s="127" t="n">
        <f aca="false">RANK(M125,M:M)</f>
        <v>293</v>
      </c>
      <c r="R125" s="128" t="s">
        <v>59</v>
      </c>
      <c r="S125" s="127"/>
      <c r="T125" s="127"/>
      <c r="U125" s="127"/>
      <c r="V125" s="127"/>
      <c r="W125" s="127"/>
      <c r="X125" s="127"/>
    </row>
    <row r="126" customFormat="false" ht="15.75" hidden="false" customHeight="true" outlineLevel="0" collapsed="false">
      <c r="A126" s="128" t="s">
        <v>746</v>
      </c>
      <c r="B126" s="128" t="n">
        <v>1884.6</v>
      </c>
      <c r="C126" s="128" t="n">
        <v>-66.67</v>
      </c>
      <c r="D126" s="128" t="n">
        <v>-133.33</v>
      </c>
      <c r="E126" s="128" t="n">
        <v>-3.19</v>
      </c>
      <c r="F126" s="128" t="n">
        <v>74.22</v>
      </c>
      <c r="G126" s="128" t="n">
        <v>50.03</v>
      </c>
      <c r="H126" s="128" t="n">
        <v>-14.66</v>
      </c>
      <c r="I126" s="128" t="n">
        <v>-34.37</v>
      </c>
      <c r="J126" s="128" t="n">
        <v>-54.09</v>
      </c>
      <c r="K126" s="128" t="n">
        <v>1720.05</v>
      </c>
      <c r="L126" s="129" t="n">
        <f aca="false">AVERAGE(C126:E126)</f>
        <v>-67.73</v>
      </c>
      <c r="M126" s="130" t="n">
        <f aca="false">AVERAGE(C126:J126)</f>
        <v>-22.7575</v>
      </c>
      <c r="N126" s="130" t="n">
        <f aca="false">RANK(I126,I:I)</f>
        <v>269</v>
      </c>
      <c r="O126" s="127" t="n">
        <f aca="false">RANK(L126,L:L)</f>
        <v>375</v>
      </c>
      <c r="P126" s="128" t="s">
        <v>199</v>
      </c>
      <c r="Q126" s="127" t="n">
        <f aca="false">RANK(M126,M:M)</f>
        <v>314</v>
      </c>
      <c r="R126" s="128" t="s">
        <v>199</v>
      </c>
      <c r="S126" s="127"/>
      <c r="T126" s="127"/>
      <c r="U126" s="127"/>
      <c r="V126" s="127"/>
      <c r="W126" s="127"/>
      <c r="X126" s="127"/>
    </row>
    <row r="127" customFormat="false" ht="15.75" hidden="false" customHeight="true" outlineLevel="0" collapsed="false">
      <c r="A127" s="128" t="s">
        <v>199</v>
      </c>
      <c r="B127" s="128" t="n">
        <v>1854.1</v>
      </c>
      <c r="C127" s="128" t="n">
        <v>-66.67</v>
      </c>
      <c r="D127" s="128" t="n">
        <v>6.38</v>
      </c>
      <c r="E127" s="128" t="n">
        <v>83.03</v>
      </c>
      <c r="F127" s="128" t="n">
        <v>133.39</v>
      </c>
      <c r="G127" s="128" t="n">
        <v>116.28</v>
      </c>
      <c r="H127" s="128" t="n">
        <v>64.58</v>
      </c>
      <c r="I127" s="128" t="n">
        <v>38.58</v>
      </c>
      <c r="J127" s="128" t="n">
        <v>-11.2</v>
      </c>
      <c r="K127" s="128" t="n">
        <v>1885.98</v>
      </c>
      <c r="L127" s="129" t="n">
        <f aca="false">AVERAGE(C127:E127)</f>
        <v>7.58</v>
      </c>
      <c r="M127" s="130" t="n">
        <f aca="false">AVERAGE(C127:J127)</f>
        <v>45.54625</v>
      </c>
      <c r="N127" s="130" t="n">
        <f aca="false">RANK(I127,I:I)</f>
        <v>142</v>
      </c>
      <c r="O127" s="127" t="n">
        <f aca="false">RANK(L127,L:L)</f>
        <v>73</v>
      </c>
      <c r="P127" s="128" t="s">
        <v>333</v>
      </c>
      <c r="Q127" s="127" t="n">
        <f aca="false">RANK(M127,M:M)</f>
        <v>104</v>
      </c>
      <c r="R127" s="128" t="s">
        <v>333</v>
      </c>
      <c r="S127" s="127"/>
      <c r="T127" s="127"/>
      <c r="U127" s="127"/>
      <c r="V127" s="127"/>
      <c r="W127" s="127"/>
      <c r="X127" s="127"/>
    </row>
    <row r="128" customFormat="false" ht="15.75" hidden="false" customHeight="true" outlineLevel="0" collapsed="false">
      <c r="A128" s="128" t="s">
        <v>123</v>
      </c>
      <c r="B128" s="128" t="n">
        <v>1817.2</v>
      </c>
      <c r="C128" s="128" t="n">
        <v>-66.67</v>
      </c>
      <c r="D128" s="128" t="n">
        <v>-133.33</v>
      </c>
      <c r="E128" s="128" t="n">
        <v>5.09</v>
      </c>
      <c r="F128" s="128" t="n">
        <v>98.47</v>
      </c>
      <c r="G128" s="128" t="n">
        <v>146.92</v>
      </c>
      <c r="H128" s="128" t="n">
        <v>185.33</v>
      </c>
      <c r="I128" s="128" t="n">
        <v>218.08</v>
      </c>
      <c r="J128" s="128" t="n">
        <v>206.52</v>
      </c>
      <c r="K128" s="128" t="n">
        <v>1767.91</v>
      </c>
      <c r="L128" s="129" t="n">
        <f aca="false">AVERAGE(C128:E128)</f>
        <v>-64.97</v>
      </c>
      <c r="M128" s="130" t="n">
        <f aca="false">AVERAGE(C128:J128)</f>
        <v>82.55125</v>
      </c>
      <c r="N128" s="130" t="n">
        <f aca="false">RANK(I128,I:I)</f>
        <v>18</v>
      </c>
      <c r="O128" s="127" t="n">
        <f aca="false">RANK(L128,L:L)</f>
        <v>352</v>
      </c>
      <c r="P128" s="128" t="s">
        <v>335</v>
      </c>
      <c r="Q128" s="127" t="n">
        <f aca="false">RANK(M128,M:M)</f>
        <v>43</v>
      </c>
      <c r="R128" s="128" t="s">
        <v>335</v>
      </c>
      <c r="S128" s="127"/>
      <c r="T128" s="127"/>
      <c r="U128" s="127"/>
      <c r="V128" s="127"/>
      <c r="W128" s="127"/>
      <c r="X128" s="127"/>
    </row>
    <row r="129" customFormat="false" ht="15.75" hidden="false" customHeight="true" outlineLevel="0" collapsed="false">
      <c r="A129" s="128" t="s">
        <v>294</v>
      </c>
      <c r="B129" s="128" t="n">
        <v>1808.4</v>
      </c>
      <c r="C129" s="128" t="n">
        <v>-66.67</v>
      </c>
      <c r="D129" s="128" t="n">
        <v>-115.71</v>
      </c>
      <c r="E129" s="128" t="n">
        <v>-5.47</v>
      </c>
      <c r="F129" s="128" t="n">
        <v>85.92</v>
      </c>
      <c r="G129" s="128" t="n">
        <v>113.24</v>
      </c>
      <c r="H129" s="128" t="n">
        <v>62.7</v>
      </c>
      <c r="I129" s="128" t="n">
        <v>0.859</v>
      </c>
      <c r="J129" s="128" t="n">
        <v>-30.25</v>
      </c>
      <c r="K129" s="128" t="n">
        <v>1696.31</v>
      </c>
      <c r="L129" s="129" t="n">
        <f aca="false">AVERAGE(C129:E129)</f>
        <v>-62.6166666666667</v>
      </c>
      <c r="M129" s="130" t="n">
        <f aca="false">AVERAGE(C129:J129)</f>
        <v>5.577375</v>
      </c>
      <c r="N129" s="130" t="n">
        <f aca="false">RANK(I129,I:I)</f>
        <v>204</v>
      </c>
      <c r="O129" s="127" t="n">
        <f aca="false">RANK(L129,L:L)</f>
        <v>320</v>
      </c>
      <c r="P129" s="128" t="s">
        <v>123</v>
      </c>
      <c r="Q129" s="127" t="n">
        <f aca="false">RANK(M129,M:M)</f>
        <v>218</v>
      </c>
      <c r="R129" s="128" t="s">
        <v>123</v>
      </c>
      <c r="S129" s="127"/>
      <c r="T129" s="127"/>
      <c r="U129" s="127"/>
      <c r="V129" s="127"/>
      <c r="W129" s="127"/>
      <c r="X129" s="127"/>
    </row>
    <row r="130" customFormat="false" ht="15.75" hidden="false" customHeight="true" outlineLevel="0" collapsed="false">
      <c r="A130" s="128" t="s">
        <v>349</v>
      </c>
      <c r="B130" s="128" t="n">
        <v>1806.7</v>
      </c>
      <c r="C130" s="128" t="n">
        <v>-66.67</v>
      </c>
      <c r="D130" s="128" t="n">
        <v>-133.33</v>
      </c>
      <c r="E130" s="128" t="n">
        <v>-72.14</v>
      </c>
      <c r="F130" s="128" t="n">
        <v>-99.04</v>
      </c>
      <c r="G130" s="128" t="n">
        <v>-104.68</v>
      </c>
      <c r="H130" s="128" t="n">
        <v>-90.34</v>
      </c>
      <c r="I130" s="128" t="n">
        <v>-98.62</v>
      </c>
      <c r="J130" s="128" t="n">
        <v>-90.58</v>
      </c>
      <c r="K130" s="128" t="n">
        <v>2028.99</v>
      </c>
      <c r="L130" s="129" t="n">
        <f aca="false">AVERAGE(C130:E130)</f>
        <v>-90.7133333333334</v>
      </c>
      <c r="M130" s="130" t="n">
        <f aca="false">AVERAGE(C130:J130)</f>
        <v>-94.425</v>
      </c>
      <c r="N130" s="130" t="n">
        <f aca="false">RANK(I130,I:I)</f>
        <v>452</v>
      </c>
      <c r="O130" s="127" t="n">
        <f aca="false">RANK(L130,L:L)</f>
        <v>461</v>
      </c>
      <c r="P130" s="128" t="s">
        <v>82</v>
      </c>
      <c r="Q130" s="127" t="n">
        <f aca="false">RANK(M130,M:M)</f>
        <v>485</v>
      </c>
      <c r="R130" s="128" t="s">
        <v>82</v>
      </c>
      <c r="S130" s="127"/>
      <c r="T130" s="127"/>
      <c r="U130" s="127"/>
      <c r="V130" s="127"/>
      <c r="W130" s="127"/>
      <c r="X130" s="127"/>
    </row>
    <row r="131" customFormat="false" ht="15.75" hidden="false" customHeight="true" outlineLevel="0" collapsed="false">
      <c r="A131" s="128" t="s">
        <v>335</v>
      </c>
      <c r="B131" s="128" t="n">
        <v>1796.3</v>
      </c>
      <c r="C131" s="128" t="n">
        <v>-66.67</v>
      </c>
      <c r="D131" s="128" t="n">
        <v>-132.92</v>
      </c>
      <c r="E131" s="128" t="n">
        <v>37.76</v>
      </c>
      <c r="F131" s="128" t="n">
        <v>97.18</v>
      </c>
      <c r="G131" s="128" t="n">
        <v>149.28</v>
      </c>
      <c r="H131" s="128" t="n">
        <v>174.22</v>
      </c>
      <c r="I131" s="128" t="n">
        <v>75.34</v>
      </c>
      <c r="J131" s="128" t="n">
        <v>1.72</v>
      </c>
      <c r="K131" s="128" t="n">
        <v>1663</v>
      </c>
      <c r="L131" s="129" t="n">
        <f aca="false">AVERAGE(C131:E131)</f>
        <v>-53.9433333333333</v>
      </c>
      <c r="M131" s="130" t="n">
        <f aca="false">AVERAGE(C131:J131)</f>
        <v>41.98875</v>
      </c>
      <c r="N131" s="130" t="n">
        <f aca="false">RANK(I131,I:I)</f>
        <v>98</v>
      </c>
      <c r="O131" s="127" t="n">
        <f aca="false">RANK(L131,L:L)</f>
        <v>257</v>
      </c>
      <c r="P131" s="128" t="s">
        <v>329</v>
      </c>
      <c r="Q131" s="127" t="n">
        <f aca="false">RANK(M131,M:M)</f>
        <v>113</v>
      </c>
      <c r="R131" s="128" t="s">
        <v>329</v>
      </c>
      <c r="S131" s="127"/>
      <c r="T131" s="127"/>
      <c r="U131" s="127"/>
      <c r="V131" s="127"/>
      <c r="W131" s="127"/>
      <c r="X131" s="127"/>
    </row>
    <row r="132" customFormat="false" ht="15.75" hidden="false" customHeight="true" outlineLevel="0" collapsed="false">
      <c r="A132" s="128" t="s">
        <v>329</v>
      </c>
      <c r="B132" s="128" t="n">
        <v>1788</v>
      </c>
      <c r="C132" s="128" t="n">
        <v>-66.67</v>
      </c>
      <c r="D132" s="128" t="n">
        <v>-100.63</v>
      </c>
      <c r="E132" s="128" t="n">
        <v>-3.81</v>
      </c>
      <c r="F132" s="128" t="n">
        <v>97.46</v>
      </c>
      <c r="G132" s="128" t="n">
        <v>106.09</v>
      </c>
      <c r="H132" s="128" t="n">
        <v>130.64</v>
      </c>
      <c r="I132" s="128" t="n">
        <v>160.5</v>
      </c>
      <c r="J132" s="128" t="n">
        <v>190.82</v>
      </c>
      <c r="K132" s="128" t="n">
        <v>1652.63</v>
      </c>
      <c r="L132" s="129" t="n">
        <f aca="false">AVERAGE(C132:E132)</f>
        <v>-57.0366666666667</v>
      </c>
      <c r="M132" s="130" t="n">
        <f aca="false">AVERAGE(C132:J132)</f>
        <v>64.3</v>
      </c>
      <c r="N132" s="130" t="n">
        <f aca="false">RANK(I132,I:I)</f>
        <v>40</v>
      </c>
      <c r="O132" s="127" t="n">
        <f aca="false">RANK(L132,L:L)</f>
        <v>277</v>
      </c>
      <c r="P132" s="128" t="s">
        <v>381</v>
      </c>
      <c r="Q132" s="127" t="n">
        <f aca="false">RANK(M132,M:M)</f>
        <v>67</v>
      </c>
      <c r="R132" s="128" t="s">
        <v>381</v>
      </c>
      <c r="S132" s="127"/>
      <c r="T132" s="127"/>
      <c r="U132" s="127"/>
      <c r="V132" s="127"/>
      <c r="W132" s="127"/>
      <c r="X132" s="127"/>
    </row>
    <row r="133" customFormat="false" ht="15.75" hidden="false" customHeight="true" outlineLevel="0" collapsed="false">
      <c r="A133" s="128" t="s">
        <v>82</v>
      </c>
      <c r="B133" s="128" t="n">
        <v>1787.4</v>
      </c>
      <c r="C133" s="128" t="n">
        <v>-66.67</v>
      </c>
      <c r="D133" s="128" t="n">
        <v>53.86</v>
      </c>
      <c r="E133" s="128" t="n">
        <v>102.38</v>
      </c>
      <c r="F133" s="128" t="n">
        <v>115.76</v>
      </c>
      <c r="G133" s="128" t="n">
        <v>119.61</v>
      </c>
      <c r="H133" s="128" t="n">
        <v>52.02</v>
      </c>
      <c r="I133" s="128" t="n">
        <v>37.97</v>
      </c>
      <c r="J133" s="128" t="n">
        <v>4.8</v>
      </c>
      <c r="K133" s="128" t="n">
        <v>1671.74</v>
      </c>
      <c r="L133" s="129" t="n">
        <f aca="false">AVERAGE(C133:E133)</f>
        <v>29.8566666666667</v>
      </c>
      <c r="M133" s="130" t="n">
        <f aca="false">AVERAGE(C133:J133)</f>
        <v>52.46625</v>
      </c>
      <c r="N133" s="130" t="n">
        <f aca="false">RANK(I133,I:I)</f>
        <v>143</v>
      </c>
      <c r="O133" s="127" t="n">
        <f aca="false">RANK(L133,L:L)</f>
        <v>44</v>
      </c>
      <c r="P133" s="128" t="s">
        <v>294</v>
      </c>
      <c r="Q133" s="127" t="n">
        <f aca="false">RANK(M133,M:M)</f>
        <v>85</v>
      </c>
      <c r="R133" s="128" t="s">
        <v>294</v>
      </c>
      <c r="S133" s="127"/>
      <c r="T133" s="127"/>
      <c r="U133" s="127"/>
      <c r="V133" s="127"/>
      <c r="W133" s="127"/>
      <c r="X133" s="127"/>
    </row>
    <row r="134" customFormat="false" ht="15.75" hidden="false" customHeight="true" outlineLevel="0" collapsed="false">
      <c r="A134" s="128" t="s">
        <v>298</v>
      </c>
      <c r="B134" s="128" t="n">
        <v>1759.4</v>
      </c>
      <c r="C134" s="128" t="n">
        <v>-66.67</v>
      </c>
      <c r="D134" s="128" t="n">
        <v>-93.95</v>
      </c>
      <c r="E134" s="128" t="n">
        <v>-49.07</v>
      </c>
      <c r="F134" s="128" t="n">
        <v>-34.23</v>
      </c>
      <c r="G134" s="128" t="n">
        <v>-73.49</v>
      </c>
      <c r="H134" s="128" t="n">
        <v>-88.97</v>
      </c>
      <c r="I134" s="128" t="n">
        <v>-104.42</v>
      </c>
      <c r="J134" s="128" t="n">
        <v>-125.4</v>
      </c>
      <c r="K134" s="128" t="n">
        <v>1707.24</v>
      </c>
      <c r="L134" s="129" t="n">
        <f aca="false">AVERAGE(C134:E134)</f>
        <v>-69.8966666666667</v>
      </c>
      <c r="M134" s="130" t="n">
        <f aca="false">AVERAGE(C134:J134)</f>
        <v>-79.525</v>
      </c>
      <c r="N134" s="130" t="n">
        <f aca="false">RANK(I134,I:I)</f>
        <v>464</v>
      </c>
      <c r="O134" s="127" t="n">
        <f aca="false">RANK(L134,L:L)</f>
        <v>392</v>
      </c>
      <c r="P134" s="128" t="s">
        <v>471</v>
      </c>
      <c r="Q134" s="127" t="n">
        <f aca="false">RANK(M134,M:M)</f>
        <v>467</v>
      </c>
      <c r="R134" s="128" t="s">
        <v>471</v>
      </c>
      <c r="S134" s="127"/>
      <c r="T134" s="127"/>
      <c r="U134" s="127"/>
      <c r="V134" s="127"/>
      <c r="W134" s="127"/>
      <c r="X134" s="127"/>
    </row>
    <row r="135" customFormat="false" ht="15.75" hidden="false" customHeight="true" outlineLevel="0" collapsed="false">
      <c r="A135" s="128" t="s">
        <v>105</v>
      </c>
      <c r="B135" s="128" t="n">
        <v>1753.1</v>
      </c>
      <c r="C135" s="128" t="n">
        <v>-66.67</v>
      </c>
      <c r="D135" s="128" t="n">
        <v>27.15</v>
      </c>
      <c r="E135" s="128" t="n">
        <v>85.19</v>
      </c>
      <c r="F135" s="128" t="n">
        <v>178.7</v>
      </c>
      <c r="G135" s="128" t="n">
        <v>86.23</v>
      </c>
      <c r="H135" s="128" t="n">
        <v>-9.35</v>
      </c>
      <c r="I135" s="128" t="n">
        <v>-36.09</v>
      </c>
      <c r="J135" s="128" t="n">
        <v>-52.79</v>
      </c>
      <c r="K135" s="128" t="n">
        <v>1619.66</v>
      </c>
      <c r="L135" s="129" t="n">
        <f aca="false">AVERAGE(C135:E135)</f>
        <v>15.2233333333333</v>
      </c>
      <c r="M135" s="130" t="n">
        <f aca="false">AVERAGE(C135:J135)</f>
        <v>26.54625</v>
      </c>
      <c r="N135" s="130" t="n">
        <f aca="false">RANK(I135,I:I)</f>
        <v>275</v>
      </c>
      <c r="O135" s="127" t="n">
        <f aca="false">RANK(L135,L:L)</f>
        <v>63</v>
      </c>
      <c r="P135" s="128" t="s">
        <v>746</v>
      </c>
      <c r="Q135" s="127" t="n">
        <f aca="false">RANK(M135,M:M)</f>
        <v>150</v>
      </c>
      <c r="R135" s="128" t="s">
        <v>746</v>
      </c>
      <c r="S135" s="127"/>
      <c r="T135" s="127"/>
      <c r="U135" s="127"/>
      <c r="V135" s="127"/>
      <c r="W135" s="127"/>
      <c r="X135" s="127"/>
    </row>
    <row r="136" customFormat="false" ht="15.75" hidden="false" customHeight="true" outlineLevel="0" collapsed="false">
      <c r="A136" s="128" t="s">
        <v>287</v>
      </c>
      <c r="B136" s="128" t="n">
        <v>1739.2</v>
      </c>
      <c r="C136" s="128" t="n">
        <v>-66.67</v>
      </c>
      <c r="D136" s="128" t="n">
        <v>-104.02</v>
      </c>
      <c r="E136" s="128" t="n">
        <v>-206.69</v>
      </c>
      <c r="F136" s="128" t="n">
        <v>-221.82</v>
      </c>
      <c r="G136" s="128" t="n">
        <v>-158.66</v>
      </c>
      <c r="H136" s="128" t="n">
        <v>-159.39</v>
      </c>
      <c r="I136" s="128" t="n">
        <v>-122.96</v>
      </c>
      <c r="J136" s="128" t="n">
        <v>-131.85</v>
      </c>
      <c r="K136" s="128" t="n">
        <v>2055.2</v>
      </c>
      <c r="L136" s="129" t="n">
        <f aca="false">AVERAGE(C136:E136)</f>
        <v>-125.793333333333</v>
      </c>
      <c r="M136" s="130" t="n">
        <f aca="false">AVERAGE(C136:J136)</f>
        <v>-146.5075</v>
      </c>
      <c r="N136" s="130" t="n">
        <f aca="false">RANK(I136,I:I)</f>
        <v>478</v>
      </c>
      <c r="O136" s="127" t="n">
        <f aca="false">RANK(L136,L:L)</f>
        <v>497</v>
      </c>
      <c r="P136" s="128" t="s">
        <v>584</v>
      </c>
      <c r="Q136" s="127" t="n">
        <f aca="false">RANK(M136,M:M)</f>
        <v>499</v>
      </c>
      <c r="R136" s="128" t="s">
        <v>584</v>
      </c>
      <c r="S136" s="127"/>
      <c r="T136" s="127"/>
      <c r="U136" s="127"/>
      <c r="V136" s="127"/>
      <c r="W136" s="127"/>
      <c r="X136" s="127"/>
    </row>
    <row r="137" customFormat="false" ht="15.75" hidden="false" customHeight="true" outlineLevel="0" collapsed="false">
      <c r="A137" s="128" t="s">
        <v>471</v>
      </c>
      <c r="B137" s="128" t="n">
        <v>1735.5</v>
      </c>
      <c r="C137" s="128" t="n">
        <v>-66.67</v>
      </c>
      <c r="D137" s="128" t="n">
        <v>-81.15</v>
      </c>
      <c r="E137" s="128" t="n">
        <v>52.75</v>
      </c>
      <c r="F137" s="128" t="n">
        <v>56.89</v>
      </c>
      <c r="G137" s="128" t="n">
        <v>-3.53</v>
      </c>
      <c r="H137" s="128" t="n">
        <v>-47.7</v>
      </c>
      <c r="I137" s="128" t="n">
        <v>-66.3</v>
      </c>
      <c r="J137" s="128" t="n">
        <v>-56.52</v>
      </c>
      <c r="K137" s="128" t="n">
        <v>1777.08</v>
      </c>
      <c r="L137" s="129" t="n">
        <f aca="false">AVERAGE(C137:E137)</f>
        <v>-31.69</v>
      </c>
      <c r="M137" s="130" t="n">
        <f aca="false">AVERAGE(C137:J137)</f>
        <v>-26.52875</v>
      </c>
      <c r="N137" s="130" t="n">
        <f aca="false">RANK(I137,I:I)</f>
        <v>376</v>
      </c>
      <c r="O137" s="127" t="n">
        <f aca="false">RANK(L137,L:L)</f>
        <v>163</v>
      </c>
      <c r="P137" s="128" t="s">
        <v>375</v>
      </c>
      <c r="Q137" s="127" t="n">
        <f aca="false">RANK(M137,M:M)</f>
        <v>330</v>
      </c>
      <c r="R137" s="128" t="s">
        <v>375</v>
      </c>
      <c r="S137" s="127"/>
      <c r="T137" s="127"/>
      <c r="U137" s="127"/>
      <c r="V137" s="127"/>
      <c r="W137" s="127"/>
      <c r="X137" s="127"/>
    </row>
    <row r="138" customFormat="false" ht="15.75" hidden="false" customHeight="true" outlineLevel="0" collapsed="false">
      <c r="A138" s="128" t="s">
        <v>704</v>
      </c>
      <c r="B138" s="128" t="n">
        <v>1724.6</v>
      </c>
      <c r="C138" s="128" t="n">
        <v>-66.67</v>
      </c>
      <c r="D138" s="128" t="n">
        <v>-118.01</v>
      </c>
      <c r="E138" s="128" t="n">
        <v>1.82</v>
      </c>
      <c r="F138" s="128" t="n">
        <v>63.26</v>
      </c>
      <c r="G138" s="128" t="n">
        <v>71.25</v>
      </c>
      <c r="H138" s="128" t="n">
        <v>34.12</v>
      </c>
      <c r="I138" s="128" t="n">
        <v>44.11</v>
      </c>
      <c r="J138" s="128" t="n">
        <v>38.48</v>
      </c>
      <c r="K138" s="128" t="n">
        <v>1639.95</v>
      </c>
      <c r="L138" s="129" t="n">
        <f aca="false">AVERAGE(C138:E138)</f>
        <v>-60.9533333333333</v>
      </c>
      <c r="M138" s="130" t="n">
        <f aca="false">AVERAGE(C138:J138)</f>
        <v>8.545</v>
      </c>
      <c r="N138" s="130" t="n">
        <f aca="false">RANK(I138,I:I)</f>
        <v>131</v>
      </c>
      <c r="O138" s="127" t="n">
        <f aca="false">RANK(L138,L:L)</f>
        <v>307</v>
      </c>
      <c r="P138" s="128" t="s">
        <v>370</v>
      </c>
      <c r="Q138" s="127" t="n">
        <f aca="false">RANK(M138,M:M)</f>
        <v>209</v>
      </c>
      <c r="R138" s="128" t="s">
        <v>370</v>
      </c>
      <c r="S138" s="127"/>
      <c r="T138" s="127"/>
      <c r="U138" s="127"/>
      <c r="V138" s="127"/>
      <c r="W138" s="127"/>
      <c r="X138" s="127"/>
    </row>
    <row r="139" customFormat="false" ht="15.75" hidden="false" customHeight="true" outlineLevel="0" collapsed="false">
      <c r="A139" s="128" t="s">
        <v>204</v>
      </c>
      <c r="B139" s="128" t="n">
        <v>1695.1</v>
      </c>
      <c r="C139" s="128" t="n">
        <v>66.67</v>
      </c>
      <c r="D139" s="128" t="n">
        <v>133.33</v>
      </c>
      <c r="E139" s="128" t="n">
        <v>163.46</v>
      </c>
      <c r="F139" s="128" t="n">
        <v>198.4</v>
      </c>
      <c r="G139" s="128" t="n">
        <v>269.54</v>
      </c>
      <c r="H139" s="128" t="n">
        <v>323.98</v>
      </c>
      <c r="I139" s="128" t="n">
        <v>265.31</v>
      </c>
      <c r="J139" s="128" t="n">
        <v>97.89</v>
      </c>
      <c r="K139" s="128" t="n">
        <v>1583.73</v>
      </c>
      <c r="L139" s="129" t="n">
        <f aca="false">AVERAGE(C139:E139)</f>
        <v>121.153333333333</v>
      </c>
      <c r="M139" s="130" t="n">
        <f aca="false">AVERAGE(C139:J139)</f>
        <v>189.8225</v>
      </c>
      <c r="N139" s="130" t="n">
        <f aca="false">RANK(I139,I:I)</f>
        <v>4</v>
      </c>
      <c r="O139" s="127" t="n">
        <f aca="false">RANK(L139,L:L)</f>
        <v>2</v>
      </c>
      <c r="P139" s="128" t="s">
        <v>71</v>
      </c>
      <c r="Q139" s="127" t="n">
        <f aca="false">RANK(M139,M:M)</f>
        <v>2</v>
      </c>
      <c r="R139" s="128" t="s">
        <v>71</v>
      </c>
      <c r="S139" s="127"/>
      <c r="T139" s="127"/>
      <c r="U139" s="127"/>
      <c r="V139" s="127"/>
      <c r="W139" s="127"/>
      <c r="X139" s="127"/>
    </row>
    <row r="140" customFormat="false" ht="15.75" hidden="false" customHeight="true" outlineLevel="0" collapsed="false">
      <c r="A140" s="128" t="s">
        <v>584</v>
      </c>
      <c r="B140" s="128" t="n">
        <v>1667.7</v>
      </c>
      <c r="C140" s="128" t="n">
        <v>-66.67</v>
      </c>
      <c r="D140" s="128" t="n">
        <v>-111.53</v>
      </c>
      <c r="E140" s="128" t="n">
        <v>32.77</v>
      </c>
      <c r="F140" s="128" t="n">
        <v>26.98</v>
      </c>
      <c r="G140" s="128" t="n">
        <v>-34.91</v>
      </c>
      <c r="H140" s="128" t="n">
        <v>-58.44</v>
      </c>
      <c r="I140" s="128" t="n">
        <v>-79.5</v>
      </c>
      <c r="J140" s="128"/>
      <c r="K140" s="128" t="n">
        <v>1723.77</v>
      </c>
      <c r="L140" s="129" t="n">
        <f aca="false">AVERAGE(C140:E140)</f>
        <v>-48.4766666666667</v>
      </c>
      <c r="M140" s="130" t="n">
        <f aca="false">AVERAGE(C140:J140)</f>
        <v>-41.6142857142857</v>
      </c>
      <c r="N140" s="130" t="n">
        <f aca="false">RANK(I140,I:I)</f>
        <v>418</v>
      </c>
      <c r="O140" s="127" t="n">
        <f aca="false">RANK(L140,L:L)</f>
        <v>231</v>
      </c>
      <c r="P140" s="128" t="s">
        <v>331</v>
      </c>
      <c r="Q140" s="127" t="n">
        <f aca="false">RANK(M140,M:M)</f>
        <v>384</v>
      </c>
      <c r="R140" s="128" t="s">
        <v>331</v>
      </c>
      <c r="S140" s="127"/>
      <c r="T140" s="127"/>
      <c r="U140" s="127"/>
      <c r="V140" s="127"/>
      <c r="W140" s="127"/>
      <c r="X140" s="127"/>
    </row>
    <row r="141" customFormat="false" ht="15.75" hidden="false" customHeight="true" outlineLevel="0" collapsed="false">
      <c r="A141" s="128" t="s">
        <v>331</v>
      </c>
      <c r="B141" s="128" t="n">
        <v>1629</v>
      </c>
      <c r="C141" s="128" t="n">
        <v>-66.67</v>
      </c>
      <c r="D141" s="128" t="n">
        <v>-80.81</v>
      </c>
      <c r="E141" s="128" t="n">
        <v>59.73</v>
      </c>
      <c r="F141" s="128" t="n">
        <v>72.44</v>
      </c>
      <c r="G141" s="128" t="n">
        <v>70.77</v>
      </c>
      <c r="H141" s="128" t="n">
        <v>45.67</v>
      </c>
      <c r="I141" s="128" t="n">
        <v>35.18</v>
      </c>
      <c r="J141" s="128" t="n">
        <v>22.21</v>
      </c>
      <c r="K141" s="128" t="n">
        <v>1534.06</v>
      </c>
      <c r="L141" s="129" t="n">
        <f aca="false">AVERAGE(C141:E141)</f>
        <v>-29.25</v>
      </c>
      <c r="M141" s="130" t="n">
        <f aca="false">AVERAGE(C141:J141)</f>
        <v>19.815</v>
      </c>
      <c r="N141" s="130" t="n">
        <f aca="false">RANK(I141,I:I)</f>
        <v>148</v>
      </c>
      <c r="O141" s="127" t="n">
        <f aca="false">RANK(L141,L:L)</f>
        <v>157</v>
      </c>
      <c r="P141" s="128" t="s">
        <v>404</v>
      </c>
      <c r="Q141" s="127" t="n">
        <f aca="false">RANK(M141,M:M)</f>
        <v>170</v>
      </c>
      <c r="R141" s="128" t="s">
        <v>404</v>
      </c>
      <c r="S141" s="127"/>
      <c r="T141" s="127"/>
      <c r="U141" s="127"/>
      <c r="V141" s="127"/>
      <c r="W141" s="127"/>
      <c r="X141" s="127"/>
    </row>
    <row r="142" customFormat="false" ht="15.75" hidden="false" customHeight="true" outlineLevel="0" collapsed="false">
      <c r="A142" s="128" t="s">
        <v>235</v>
      </c>
      <c r="B142" s="128" t="n">
        <v>1616.9</v>
      </c>
      <c r="C142" s="128" t="n">
        <v>-66.67</v>
      </c>
      <c r="D142" s="128" t="n">
        <v>-106.67</v>
      </c>
      <c r="E142" s="128" t="n">
        <v>62.29</v>
      </c>
      <c r="F142" s="128" t="n">
        <v>123.51</v>
      </c>
      <c r="G142" s="128" t="n">
        <v>158.29</v>
      </c>
      <c r="H142" s="128" t="n">
        <v>120.77</v>
      </c>
      <c r="I142" s="128" t="n">
        <v>127.43</v>
      </c>
      <c r="J142" s="128" t="n">
        <v>127.15</v>
      </c>
      <c r="K142" s="128" t="n">
        <v>1510.31</v>
      </c>
      <c r="L142" s="129" t="n">
        <f aca="false">AVERAGE(C142:E142)</f>
        <v>-37.0166666666667</v>
      </c>
      <c r="M142" s="130" t="n">
        <f aca="false">AVERAGE(C142:J142)</f>
        <v>68.2625</v>
      </c>
      <c r="N142" s="130" t="n">
        <f aca="false">RANK(I142,I:I)</f>
        <v>58</v>
      </c>
      <c r="O142" s="127" t="n">
        <f aca="false">RANK(L142,L:L)</f>
        <v>189</v>
      </c>
      <c r="P142" s="128" t="s">
        <v>442</v>
      </c>
      <c r="Q142" s="127" t="n">
        <f aca="false">RANK(M142,M:M)</f>
        <v>62</v>
      </c>
      <c r="R142" s="128" t="s">
        <v>442</v>
      </c>
      <c r="S142" s="127"/>
      <c r="T142" s="127"/>
      <c r="U142" s="127"/>
      <c r="V142" s="127"/>
      <c r="W142" s="127"/>
      <c r="X142" s="127"/>
    </row>
    <row r="143" customFormat="false" ht="15.75" hidden="false" customHeight="true" outlineLevel="0" collapsed="false">
      <c r="A143" s="128" t="s">
        <v>404</v>
      </c>
      <c r="B143" s="128" t="n">
        <v>1616.8</v>
      </c>
      <c r="C143" s="128" t="n">
        <v>-66.67</v>
      </c>
      <c r="D143" s="128" t="n">
        <v>-133.33</v>
      </c>
      <c r="E143" s="128" t="n">
        <v>-54.82</v>
      </c>
      <c r="F143" s="128" t="n">
        <v>21.08</v>
      </c>
      <c r="G143" s="128" t="n">
        <v>63.78</v>
      </c>
      <c r="H143" s="128" t="n">
        <v>62.41</v>
      </c>
      <c r="I143" s="128" t="n">
        <v>55.71</v>
      </c>
      <c r="J143" s="128" t="n">
        <v>39.36</v>
      </c>
      <c r="K143" s="128" t="n">
        <v>1559.94</v>
      </c>
      <c r="L143" s="129" t="n">
        <f aca="false">AVERAGE(C143:E143)</f>
        <v>-84.94</v>
      </c>
      <c r="M143" s="130" t="n">
        <f aca="false">AVERAGE(C143:J143)</f>
        <v>-1.56</v>
      </c>
      <c r="N143" s="130" t="n">
        <f aca="false">RANK(I143,I:I)</f>
        <v>118</v>
      </c>
      <c r="O143" s="127" t="n">
        <f aca="false">RANK(L143,L:L)</f>
        <v>452</v>
      </c>
      <c r="P143" s="128" t="s">
        <v>704</v>
      </c>
      <c r="Q143" s="127" t="n">
        <f aca="false">RANK(M143,M:M)</f>
        <v>236</v>
      </c>
      <c r="R143" s="128" t="s">
        <v>704</v>
      </c>
      <c r="S143" s="127"/>
      <c r="T143" s="127"/>
      <c r="U143" s="127"/>
      <c r="V143" s="127"/>
      <c r="W143" s="127"/>
      <c r="X143" s="127"/>
    </row>
    <row r="144" customFormat="false" ht="15.75" hidden="false" customHeight="true" outlineLevel="0" collapsed="false">
      <c r="A144" s="128" t="s">
        <v>53</v>
      </c>
      <c r="B144" s="128" t="n">
        <v>1606.2</v>
      </c>
      <c r="C144" s="128" t="n">
        <v>-66.67</v>
      </c>
      <c r="D144" s="128" t="n">
        <v>-133.33</v>
      </c>
      <c r="E144" s="128" t="n">
        <v>-1.05</v>
      </c>
      <c r="F144" s="128" t="n">
        <v>32.82</v>
      </c>
      <c r="G144" s="128" t="n">
        <v>-3.53</v>
      </c>
      <c r="H144" s="128" t="n">
        <v>-50.52</v>
      </c>
      <c r="I144" s="128" t="n">
        <v>-66.87</v>
      </c>
      <c r="J144" s="128" t="n">
        <v>-80.63</v>
      </c>
      <c r="K144" s="128" t="n">
        <v>1546.34</v>
      </c>
      <c r="L144" s="129" t="n">
        <f aca="false">AVERAGE(C144:E144)</f>
        <v>-67.0166666666667</v>
      </c>
      <c r="M144" s="130" t="n">
        <f aca="false">AVERAGE(C144:J144)</f>
        <v>-46.2225</v>
      </c>
      <c r="N144" s="130" t="n">
        <f aca="false">RANK(I144,I:I)</f>
        <v>381</v>
      </c>
      <c r="O144" s="127" t="n">
        <f aca="false">RANK(L144,L:L)</f>
        <v>369</v>
      </c>
      <c r="P144" s="128" t="s">
        <v>264</v>
      </c>
      <c r="Q144" s="127" t="n">
        <f aca="false">RANK(M144,M:M)</f>
        <v>401</v>
      </c>
      <c r="R144" s="128" t="s">
        <v>264</v>
      </c>
      <c r="S144" s="127"/>
      <c r="T144" s="127"/>
      <c r="U144" s="127"/>
      <c r="V144" s="127"/>
      <c r="W144" s="127"/>
      <c r="X144" s="127"/>
    </row>
    <row r="145" customFormat="false" ht="15.75" hidden="false" customHeight="true" outlineLevel="0" collapsed="false">
      <c r="A145" s="128" t="s">
        <v>288</v>
      </c>
      <c r="B145" s="128" t="n">
        <v>1603</v>
      </c>
      <c r="C145" s="128" t="n">
        <v>-66.67</v>
      </c>
      <c r="D145" s="128" t="n">
        <v>-58.86</v>
      </c>
      <c r="E145" s="128" t="n">
        <v>61.5</v>
      </c>
      <c r="F145" s="128" t="n">
        <v>60.41</v>
      </c>
      <c r="G145" s="128" t="n">
        <v>74.55</v>
      </c>
      <c r="H145" s="128" t="n">
        <v>5.48</v>
      </c>
      <c r="I145" s="128" t="n">
        <v>-4.9</v>
      </c>
      <c r="J145" s="128" t="n">
        <v>1.08</v>
      </c>
      <c r="K145" s="128" t="n">
        <v>1444.51</v>
      </c>
      <c r="L145" s="129" t="n">
        <f aca="false">AVERAGE(C145:E145)</f>
        <v>-21.3433333333333</v>
      </c>
      <c r="M145" s="130" t="n">
        <f aca="false">AVERAGE(C145:J145)</f>
        <v>9.07375</v>
      </c>
      <c r="N145" s="130" t="n">
        <f aca="false">RANK(I145,I:I)</f>
        <v>212</v>
      </c>
      <c r="O145" s="127" t="n">
        <f aca="false">RANK(L145,L:L)</f>
        <v>135</v>
      </c>
      <c r="P145" s="128" t="s">
        <v>105</v>
      </c>
      <c r="Q145" s="127" t="n">
        <f aca="false">RANK(M145,M:M)</f>
        <v>205</v>
      </c>
      <c r="R145" s="128" t="s">
        <v>105</v>
      </c>
      <c r="S145" s="127"/>
      <c r="T145" s="127"/>
      <c r="U145" s="127"/>
      <c r="V145" s="127"/>
      <c r="W145" s="127"/>
      <c r="X145" s="127"/>
    </row>
    <row r="146" customFormat="false" ht="15.75" hidden="false" customHeight="true" outlineLevel="0" collapsed="false">
      <c r="A146" s="128" t="s">
        <v>128</v>
      </c>
      <c r="B146" s="128" t="n">
        <v>1599.8</v>
      </c>
      <c r="C146" s="128" t="n">
        <v>-66.67</v>
      </c>
      <c r="D146" s="128" t="n">
        <v>-67.3</v>
      </c>
      <c r="E146" s="128" t="n">
        <v>13.01</v>
      </c>
      <c r="F146" s="128" t="n">
        <v>99.25</v>
      </c>
      <c r="G146" s="128" t="n">
        <v>94.68</v>
      </c>
      <c r="H146" s="128" t="n">
        <v>31.69</v>
      </c>
      <c r="I146" s="128" t="n">
        <v>4.12</v>
      </c>
      <c r="J146" s="128" t="n">
        <v>-31.92</v>
      </c>
      <c r="K146" s="128" t="n">
        <v>1543.41</v>
      </c>
      <c r="L146" s="129" t="n">
        <f aca="false">AVERAGE(C146:E146)</f>
        <v>-40.32</v>
      </c>
      <c r="M146" s="130" t="n">
        <f aca="false">AVERAGE(C146:J146)</f>
        <v>9.6075</v>
      </c>
      <c r="N146" s="130" t="n">
        <f aca="false">RANK(I146,I:I)</f>
        <v>195</v>
      </c>
      <c r="O146" s="127" t="n">
        <f aca="false">RANK(L146,L:L)</f>
        <v>203</v>
      </c>
      <c r="P146" s="128" t="s">
        <v>53</v>
      </c>
      <c r="Q146" s="127" t="n">
        <f aca="false">RANK(M146,M:M)</f>
        <v>200</v>
      </c>
      <c r="R146" s="128" t="s">
        <v>53</v>
      </c>
      <c r="S146" s="127"/>
      <c r="T146" s="127"/>
      <c r="U146" s="127"/>
      <c r="V146" s="127"/>
      <c r="W146" s="127"/>
      <c r="X146" s="127"/>
    </row>
    <row r="147" customFormat="false" ht="15.75" hidden="false" customHeight="true" outlineLevel="0" collapsed="false">
      <c r="A147" s="128" t="s">
        <v>211</v>
      </c>
      <c r="B147" s="128" t="n">
        <v>1594.2</v>
      </c>
      <c r="C147" s="128" t="n">
        <v>-66.67</v>
      </c>
      <c r="D147" s="128" t="n">
        <v>-133.33</v>
      </c>
      <c r="E147" s="128" t="n">
        <v>-8.78</v>
      </c>
      <c r="F147" s="128" t="n">
        <v>49.64</v>
      </c>
      <c r="G147" s="128" t="n">
        <v>36.86</v>
      </c>
      <c r="H147" s="128" t="n">
        <v>-30.75</v>
      </c>
      <c r="I147" s="128" t="n">
        <v>-43.1</v>
      </c>
      <c r="J147" s="128" t="n">
        <v>-47.44</v>
      </c>
      <c r="K147" s="128" t="n">
        <v>1492.28</v>
      </c>
      <c r="L147" s="129" t="n">
        <f aca="false">AVERAGE(C147:E147)</f>
        <v>-69.5933333333334</v>
      </c>
      <c r="M147" s="130" t="n">
        <f aca="false">AVERAGE(C147:J147)</f>
        <v>-30.44625</v>
      </c>
      <c r="N147" s="130" t="n">
        <f aca="false">RANK(I147,I:I)</f>
        <v>297</v>
      </c>
      <c r="O147" s="127" t="n">
        <f aca="false">RANK(L147,L:L)</f>
        <v>389</v>
      </c>
      <c r="P147" s="128" t="s">
        <v>204</v>
      </c>
      <c r="Q147" s="127" t="n">
        <f aca="false">RANK(M147,M:M)</f>
        <v>348</v>
      </c>
      <c r="R147" s="128" t="s">
        <v>204</v>
      </c>
      <c r="S147" s="127"/>
      <c r="T147" s="127"/>
      <c r="U147" s="127"/>
      <c r="V147" s="127"/>
      <c r="W147" s="127"/>
      <c r="X147" s="127"/>
    </row>
    <row r="148" customFormat="false" ht="15.75" hidden="false" customHeight="true" outlineLevel="0" collapsed="false">
      <c r="A148" s="128" t="s">
        <v>375</v>
      </c>
      <c r="B148" s="128" t="n">
        <v>1588</v>
      </c>
      <c r="C148" s="128" t="n">
        <v>-66.67</v>
      </c>
      <c r="D148" s="128" t="n">
        <v>-133.33</v>
      </c>
      <c r="E148" s="128" t="n">
        <v>-119.58</v>
      </c>
      <c r="F148" s="128" t="n">
        <v>-120.87</v>
      </c>
      <c r="G148" s="128" t="n">
        <v>-66.6</v>
      </c>
      <c r="H148" s="128" t="n">
        <v>-82.88</v>
      </c>
      <c r="I148" s="128" t="n">
        <v>-99.79</v>
      </c>
      <c r="J148" s="128" t="n">
        <v>-113.64</v>
      </c>
      <c r="K148" s="128" t="n">
        <v>1787.36</v>
      </c>
      <c r="L148" s="129" t="n">
        <f aca="false">AVERAGE(C148:E148)</f>
        <v>-106.526666666667</v>
      </c>
      <c r="M148" s="130" t="n">
        <f aca="false">AVERAGE(C148:J148)</f>
        <v>-100.42</v>
      </c>
      <c r="N148" s="130" t="n">
        <f aca="false">RANK(I148,I:I)</f>
        <v>456</v>
      </c>
      <c r="O148" s="127" t="n">
        <f aca="false">RANK(L148,L:L)</f>
        <v>484</v>
      </c>
      <c r="P148" s="128" t="s">
        <v>128</v>
      </c>
      <c r="Q148" s="127" t="n">
        <f aca="false">RANK(M148,M:M)</f>
        <v>489</v>
      </c>
      <c r="R148" s="128" t="s">
        <v>128</v>
      </c>
      <c r="S148" s="127"/>
      <c r="T148" s="127"/>
      <c r="U148" s="127"/>
      <c r="V148" s="127"/>
      <c r="W148" s="127"/>
      <c r="X148" s="127"/>
    </row>
    <row r="149" customFormat="false" ht="15.75" hidden="false" customHeight="true" outlineLevel="0" collapsed="false">
      <c r="A149" s="128" t="s">
        <v>312</v>
      </c>
      <c r="B149" s="128" t="n">
        <v>1584.9</v>
      </c>
      <c r="C149" s="128" t="n">
        <v>-66.67</v>
      </c>
      <c r="D149" s="128" t="n">
        <v>-133.33</v>
      </c>
      <c r="E149" s="128" t="n">
        <v>31.45</v>
      </c>
      <c r="F149" s="128" t="n">
        <v>120.91</v>
      </c>
      <c r="G149" s="128" t="n">
        <v>177.88</v>
      </c>
      <c r="H149" s="128" t="n">
        <v>165.05</v>
      </c>
      <c r="I149" s="128" t="n">
        <v>201.27</v>
      </c>
      <c r="J149" s="128" t="n">
        <v>207.89</v>
      </c>
      <c r="K149" s="128" t="n">
        <v>1473.32</v>
      </c>
      <c r="L149" s="129" t="n">
        <f aca="false">AVERAGE(C149:E149)</f>
        <v>-56.1833333333333</v>
      </c>
      <c r="M149" s="130" t="n">
        <f aca="false">AVERAGE(C149:J149)</f>
        <v>88.05625</v>
      </c>
      <c r="N149" s="130" t="n">
        <f aca="false">RANK(I149,I:I)</f>
        <v>24</v>
      </c>
      <c r="O149" s="127" t="n">
        <f aca="false">RANK(L149,L:L)</f>
        <v>272</v>
      </c>
      <c r="P149" s="128" t="s">
        <v>288</v>
      </c>
      <c r="Q149" s="127" t="n">
        <f aca="false">RANK(M149,M:M)</f>
        <v>37</v>
      </c>
      <c r="R149" s="128" t="s">
        <v>288</v>
      </c>
      <c r="S149" s="127"/>
      <c r="T149" s="127"/>
      <c r="U149" s="127"/>
      <c r="V149" s="127"/>
      <c r="W149" s="127"/>
      <c r="X149" s="127"/>
    </row>
    <row r="150" customFormat="false" ht="15.75" hidden="false" customHeight="true" outlineLevel="0" collapsed="false">
      <c r="A150" s="128" t="s">
        <v>75</v>
      </c>
      <c r="B150" s="128" t="n">
        <v>1578.2</v>
      </c>
      <c r="C150" s="128" t="n">
        <v>-66.67</v>
      </c>
      <c r="D150" s="128" t="n">
        <v>49.16</v>
      </c>
      <c r="E150" s="128" t="n">
        <v>111.42</v>
      </c>
      <c r="F150" s="128" t="n">
        <v>68.74</v>
      </c>
      <c r="G150" s="128" t="n">
        <v>-7.03</v>
      </c>
      <c r="H150" s="128" t="n">
        <v>-51.62</v>
      </c>
      <c r="I150" s="128" t="n">
        <v>-71.13</v>
      </c>
      <c r="J150" s="128" t="n">
        <v>-88.2</v>
      </c>
      <c r="K150" s="128" t="n">
        <v>1458.19</v>
      </c>
      <c r="L150" s="129" t="n">
        <f aca="false">AVERAGE(C150:E150)</f>
        <v>31.3033333333333</v>
      </c>
      <c r="M150" s="130" t="n">
        <f aca="false">AVERAGE(C150:J150)</f>
        <v>-6.91625</v>
      </c>
      <c r="N150" s="130" t="n">
        <f aca="false">RANK(I150,I:I)</f>
        <v>394</v>
      </c>
      <c r="O150" s="127" t="n">
        <f aca="false">RANK(L150,L:L)</f>
        <v>40</v>
      </c>
      <c r="P150" s="128" t="s">
        <v>211</v>
      </c>
      <c r="Q150" s="127" t="n">
        <f aca="false">RANK(M150,M:M)</f>
        <v>257</v>
      </c>
      <c r="R150" s="128" t="s">
        <v>211</v>
      </c>
      <c r="S150" s="127"/>
      <c r="T150" s="127"/>
      <c r="U150" s="127"/>
      <c r="V150" s="127"/>
      <c r="W150" s="127"/>
      <c r="X150" s="127"/>
    </row>
    <row r="151" customFormat="false" ht="15.75" hidden="false" customHeight="true" outlineLevel="0" collapsed="false">
      <c r="A151" s="128" t="s">
        <v>442</v>
      </c>
      <c r="B151" s="128" t="n">
        <v>1573.7</v>
      </c>
      <c r="C151" s="128" t="n">
        <v>-66.67</v>
      </c>
      <c r="D151" s="128" t="n">
        <v>-77.08</v>
      </c>
      <c r="E151" s="128" t="n">
        <v>-41.17</v>
      </c>
      <c r="F151" s="128" t="n">
        <v>-8.85</v>
      </c>
      <c r="G151" s="128" t="n">
        <v>-48.81</v>
      </c>
      <c r="H151" s="128" t="n">
        <v>-71.94</v>
      </c>
      <c r="I151" s="128" t="n">
        <v>-90.86</v>
      </c>
      <c r="J151" s="128" t="n">
        <v>-105.52</v>
      </c>
      <c r="K151" s="128" t="n">
        <v>1665.7</v>
      </c>
      <c r="L151" s="129" t="n">
        <f aca="false">AVERAGE(C151:E151)</f>
        <v>-61.64</v>
      </c>
      <c r="M151" s="130" t="n">
        <f aca="false">AVERAGE(C151:J151)</f>
        <v>-63.8625</v>
      </c>
      <c r="N151" s="130" t="n">
        <f aca="false">RANK(I151,I:I)</f>
        <v>439</v>
      </c>
      <c r="O151" s="127" t="n">
        <f aca="false">RANK(L151,L:L)</f>
        <v>313</v>
      </c>
      <c r="P151" s="128" t="s">
        <v>95</v>
      </c>
      <c r="Q151" s="127" t="n">
        <f aca="false">RANK(M151,M:M)</f>
        <v>438</v>
      </c>
      <c r="R151" s="128" t="s">
        <v>95</v>
      </c>
      <c r="S151" s="127"/>
      <c r="T151" s="127"/>
      <c r="U151" s="127"/>
      <c r="V151" s="127"/>
      <c r="W151" s="127"/>
      <c r="X151" s="127"/>
    </row>
    <row r="152" customFormat="false" ht="15.75" hidden="false" customHeight="true" outlineLevel="0" collapsed="false">
      <c r="A152" s="128" t="s">
        <v>71</v>
      </c>
      <c r="B152" s="128" t="n">
        <v>1569.6</v>
      </c>
      <c r="C152" s="128" t="n">
        <v>-66.67</v>
      </c>
      <c r="D152" s="128" t="n">
        <v>-133.33</v>
      </c>
      <c r="E152" s="128" t="n">
        <v>-21.31</v>
      </c>
      <c r="F152" s="128" t="n">
        <v>21.62</v>
      </c>
      <c r="G152" s="128" t="n">
        <v>44.85</v>
      </c>
      <c r="H152" s="128" t="n">
        <v>-14.1</v>
      </c>
      <c r="I152" s="128" t="n">
        <v>-39.26</v>
      </c>
      <c r="J152" s="128" t="n">
        <v>-60.28</v>
      </c>
      <c r="K152" s="128" t="n">
        <v>1499.58</v>
      </c>
      <c r="L152" s="129" t="n">
        <f aca="false">AVERAGE(C152:E152)</f>
        <v>-73.77</v>
      </c>
      <c r="M152" s="130" t="n">
        <f aca="false">AVERAGE(C152:J152)</f>
        <v>-33.56</v>
      </c>
      <c r="N152" s="130" t="n">
        <f aca="false">RANK(I152,I:I)</f>
        <v>283</v>
      </c>
      <c r="O152" s="127" t="n">
        <f aca="false">RANK(L152,L:L)</f>
        <v>414</v>
      </c>
      <c r="P152" s="128" t="s">
        <v>235</v>
      </c>
      <c r="Q152" s="127" t="n">
        <f aca="false">RANK(M152,M:M)</f>
        <v>357</v>
      </c>
      <c r="R152" s="128" t="s">
        <v>235</v>
      </c>
      <c r="S152" s="127"/>
      <c r="T152" s="127"/>
      <c r="U152" s="127"/>
      <c r="V152" s="127"/>
      <c r="W152" s="127"/>
      <c r="X152" s="127"/>
    </row>
    <row r="153" customFormat="false" ht="15.75" hidden="false" customHeight="true" outlineLevel="0" collapsed="false">
      <c r="A153" s="128" t="s">
        <v>49</v>
      </c>
      <c r="B153" s="128" t="n">
        <v>1547.4</v>
      </c>
      <c r="C153" s="128" t="n">
        <v>-66.67</v>
      </c>
      <c r="D153" s="128" t="n">
        <v>-51.2</v>
      </c>
      <c r="E153" s="128" t="n">
        <v>63.24</v>
      </c>
      <c r="F153" s="128" t="n">
        <v>131.84</v>
      </c>
      <c r="G153" s="128" t="n">
        <v>175.66</v>
      </c>
      <c r="H153" s="128" t="n">
        <v>81.28</v>
      </c>
      <c r="I153" s="128" t="n">
        <v>84.34</v>
      </c>
      <c r="J153" s="128" t="n">
        <v>69.11</v>
      </c>
      <c r="K153" s="128" t="n">
        <v>1484.76</v>
      </c>
      <c r="L153" s="129" t="n">
        <f aca="false">AVERAGE(C153:E153)</f>
        <v>-18.21</v>
      </c>
      <c r="M153" s="130" t="n">
        <f aca="false">AVERAGE(C153:J153)</f>
        <v>60.95</v>
      </c>
      <c r="N153" s="130" t="n">
        <f aca="false">RANK(I153,I:I)</f>
        <v>94</v>
      </c>
      <c r="O153" s="127" t="n">
        <f aca="false">RANK(L153,L:L)</f>
        <v>130</v>
      </c>
      <c r="P153" s="128" t="s">
        <v>506</v>
      </c>
      <c r="Q153" s="127" t="n">
        <f aca="false">RANK(M153,M:M)</f>
        <v>71</v>
      </c>
      <c r="R153" s="128" t="s">
        <v>506</v>
      </c>
      <c r="S153" s="127"/>
      <c r="T153" s="127"/>
      <c r="U153" s="127"/>
      <c r="V153" s="127"/>
      <c r="W153" s="127"/>
      <c r="X153" s="127"/>
    </row>
    <row r="154" customFormat="false" ht="15.75" hidden="false" customHeight="true" outlineLevel="0" collapsed="false">
      <c r="A154" s="128" t="s">
        <v>130</v>
      </c>
      <c r="B154" s="128" t="n">
        <v>1543.5</v>
      </c>
      <c r="C154" s="128" t="n">
        <v>-66.67</v>
      </c>
      <c r="D154" s="128" t="n">
        <v>-75.31</v>
      </c>
      <c r="E154" s="128" t="n">
        <v>-11.82</v>
      </c>
      <c r="F154" s="128" t="n">
        <v>55.23</v>
      </c>
      <c r="G154" s="128" t="n">
        <v>100.29</v>
      </c>
      <c r="H154" s="128" t="n">
        <v>114.76</v>
      </c>
      <c r="I154" s="128" t="n">
        <v>137.72</v>
      </c>
      <c r="J154" s="128" t="n">
        <v>99.82</v>
      </c>
      <c r="K154" s="128" t="n">
        <v>1474.6</v>
      </c>
      <c r="L154" s="129" t="n">
        <f aca="false">AVERAGE(C154:E154)</f>
        <v>-51.2666666666667</v>
      </c>
      <c r="M154" s="130" t="n">
        <f aca="false">AVERAGE(C154:J154)</f>
        <v>44.2525</v>
      </c>
      <c r="N154" s="130" t="n">
        <f aca="false">RANK(I154,I:I)</f>
        <v>50</v>
      </c>
      <c r="O154" s="127" t="n">
        <f aca="false">RANK(L154,L:L)</f>
        <v>244</v>
      </c>
      <c r="P154" s="128" t="s">
        <v>484</v>
      </c>
      <c r="Q154" s="127" t="n">
        <f aca="false">RANK(M154,M:M)</f>
        <v>107</v>
      </c>
      <c r="R154" s="128" t="s">
        <v>484</v>
      </c>
      <c r="S154" s="127"/>
      <c r="T154" s="127"/>
      <c r="U154" s="127"/>
      <c r="V154" s="127"/>
      <c r="W154" s="127"/>
      <c r="X154" s="127"/>
    </row>
    <row r="155" customFormat="false" ht="15.75" hidden="false" customHeight="true" outlineLevel="0" collapsed="false">
      <c r="A155" s="128" t="s">
        <v>264</v>
      </c>
      <c r="B155" s="128" t="n">
        <v>1538.6</v>
      </c>
      <c r="C155" s="128" t="n">
        <v>-66.67</v>
      </c>
      <c r="D155" s="128" t="n">
        <v>-133.33</v>
      </c>
      <c r="E155" s="128" t="n">
        <v>-73.62</v>
      </c>
      <c r="F155" s="128" t="n">
        <v>57.76</v>
      </c>
      <c r="G155" s="128" t="n">
        <v>91.35</v>
      </c>
      <c r="H155" s="128" t="n">
        <v>84.1</v>
      </c>
      <c r="I155" s="128" t="n">
        <v>37</v>
      </c>
      <c r="J155" s="128" t="n">
        <v>-6.52</v>
      </c>
      <c r="K155" s="128" t="n">
        <v>1488.76</v>
      </c>
      <c r="L155" s="129" t="n">
        <f aca="false">AVERAGE(C155:E155)</f>
        <v>-91.2066666666667</v>
      </c>
      <c r="M155" s="130" t="n">
        <f aca="false">AVERAGE(C155:J155)</f>
        <v>-1.24125</v>
      </c>
      <c r="N155" s="130" t="n">
        <f aca="false">RANK(I155,I:I)</f>
        <v>146</v>
      </c>
      <c r="O155" s="127" t="n">
        <f aca="false">RANK(L155,L:L)</f>
        <v>463</v>
      </c>
      <c r="P155" s="128" t="s">
        <v>356</v>
      </c>
      <c r="Q155" s="127" t="n">
        <f aca="false">RANK(M155,M:M)</f>
        <v>234</v>
      </c>
      <c r="R155" s="128" t="s">
        <v>356</v>
      </c>
      <c r="S155" s="127"/>
      <c r="T155" s="127"/>
      <c r="U155" s="127"/>
      <c r="V155" s="127"/>
      <c r="W155" s="127"/>
      <c r="X155" s="127"/>
    </row>
    <row r="156" customFormat="false" ht="15.75" hidden="false" customHeight="true" outlineLevel="0" collapsed="false">
      <c r="A156" s="128" t="s">
        <v>84</v>
      </c>
      <c r="B156" s="128" t="n">
        <v>1525.9</v>
      </c>
      <c r="C156" s="128" t="n">
        <v>-66.67</v>
      </c>
      <c r="D156" s="128" t="n">
        <v>24.8</v>
      </c>
      <c r="E156" s="128" t="n">
        <v>76.83</v>
      </c>
      <c r="F156" s="128" t="n">
        <v>109.79</v>
      </c>
      <c r="G156" s="128" t="n">
        <v>163.56</v>
      </c>
      <c r="H156" s="128" t="n">
        <v>157.59</v>
      </c>
      <c r="I156" s="128" t="n">
        <v>111.89</v>
      </c>
      <c r="J156" s="128" t="n">
        <v>41.53</v>
      </c>
      <c r="K156" s="128" t="n">
        <v>1445.33</v>
      </c>
      <c r="L156" s="129" t="n">
        <f aca="false">AVERAGE(C156:E156)</f>
        <v>11.6533333333333</v>
      </c>
      <c r="M156" s="130" t="n">
        <f aca="false">AVERAGE(C156:J156)</f>
        <v>77.415</v>
      </c>
      <c r="N156" s="130" t="n">
        <f aca="false">RANK(I156,I:I)</f>
        <v>70</v>
      </c>
      <c r="O156" s="127" t="n">
        <f aca="false">RANK(L156,L:L)</f>
        <v>67</v>
      </c>
      <c r="P156" s="128" t="s">
        <v>501</v>
      </c>
      <c r="Q156" s="127" t="n">
        <f aca="false">RANK(M156,M:M)</f>
        <v>52</v>
      </c>
      <c r="R156" s="128" t="s">
        <v>501</v>
      </c>
      <c r="S156" s="127"/>
      <c r="T156" s="127"/>
      <c r="U156" s="127"/>
      <c r="V156" s="127"/>
      <c r="W156" s="127"/>
      <c r="X156" s="127"/>
    </row>
    <row r="157" customFormat="false" ht="15.75" hidden="false" customHeight="true" outlineLevel="0" collapsed="false">
      <c r="A157" s="128" t="s">
        <v>506</v>
      </c>
      <c r="B157" s="128" t="n">
        <v>1500.6</v>
      </c>
      <c r="C157" s="128" t="n">
        <v>-66.67</v>
      </c>
      <c r="D157" s="128" t="n">
        <v>-108.35</v>
      </c>
      <c r="E157" s="128" t="n">
        <v>-55.23</v>
      </c>
      <c r="F157" s="128" t="n">
        <v>61.7</v>
      </c>
      <c r="G157" s="128" t="n">
        <v>70.95</v>
      </c>
      <c r="H157" s="128" t="n">
        <v>-1.4</v>
      </c>
      <c r="I157" s="128" t="n">
        <v>-17.24</v>
      </c>
      <c r="J157" s="128" t="n">
        <v>-34.53</v>
      </c>
      <c r="K157" s="128" t="n">
        <v>1418.82</v>
      </c>
      <c r="L157" s="129" t="n">
        <f aca="false">AVERAGE(C157:E157)</f>
        <v>-76.75</v>
      </c>
      <c r="M157" s="130" t="n">
        <f aca="false">AVERAGE(C157:J157)</f>
        <v>-18.84625</v>
      </c>
      <c r="N157" s="130" t="n">
        <f aca="false">RANK(I157,I:I)</f>
        <v>231</v>
      </c>
      <c r="O157" s="127" t="n">
        <f aca="false">RANK(L157,L:L)</f>
        <v>425</v>
      </c>
      <c r="P157" s="128" t="s">
        <v>49</v>
      </c>
      <c r="Q157" s="127" t="n">
        <f aca="false">RANK(M157,M:M)</f>
        <v>298</v>
      </c>
      <c r="R157" s="128" t="s">
        <v>49</v>
      </c>
      <c r="S157" s="127"/>
      <c r="T157" s="127"/>
      <c r="U157" s="127"/>
      <c r="V157" s="127"/>
      <c r="W157" s="127"/>
      <c r="X157" s="127"/>
    </row>
    <row r="158" customFormat="false" ht="15.75" hidden="false" customHeight="true" outlineLevel="0" collapsed="false">
      <c r="A158" s="128" t="s">
        <v>132</v>
      </c>
      <c r="B158" s="128" t="n">
        <v>1480.2</v>
      </c>
      <c r="C158" s="128" t="n">
        <v>66.67</v>
      </c>
      <c r="D158" s="128" t="n">
        <v>75.42</v>
      </c>
      <c r="E158" s="128" t="n">
        <v>125.1</v>
      </c>
      <c r="F158" s="128" t="n">
        <v>-34.6</v>
      </c>
      <c r="G158" s="128" t="n">
        <v>-84.93</v>
      </c>
      <c r="H158" s="128" t="n">
        <v>-113.14</v>
      </c>
      <c r="I158" s="128" t="n">
        <v>-143.66</v>
      </c>
      <c r="J158" s="128" t="n">
        <v>-172.3</v>
      </c>
      <c r="K158" s="128" t="n">
        <v>1494.37</v>
      </c>
      <c r="L158" s="129" t="n">
        <f aca="false">AVERAGE(C158:E158)</f>
        <v>89.0633333333333</v>
      </c>
      <c r="M158" s="130" t="n">
        <f aca="false">AVERAGE(C158:J158)</f>
        <v>-35.18</v>
      </c>
      <c r="N158" s="130" t="n">
        <f aca="false">RANK(I158,I:I)</f>
        <v>485</v>
      </c>
      <c r="O158" s="127" t="n">
        <f aca="false">RANK(L158,L:L)</f>
        <v>17</v>
      </c>
      <c r="P158" s="128" t="s">
        <v>312</v>
      </c>
      <c r="Q158" s="127" t="n">
        <f aca="false">RANK(M158,M:M)</f>
        <v>367</v>
      </c>
      <c r="R158" s="128" t="s">
        <v>312</v>
      </c>
      <c r="S158" s="127"/>
      <c r="T158" s="127"/>
      <c r="U158" s="127"/>
      <c r="V158" s="127"/>
      <c r="W158" s="127"/>
      <c r="X158" s="127"/>
    </row>
    <row r="159" customFormat="false" ht="15.75" hidden="false" customHeight="true" outlineLevel="0" collapsed="false">
      <c r="A159" s="128" t="s">
        <v>403</v>
      </c>
      <c r="B159" s="128" t="n">
        <v>1479.4</v>
      </c>
      <c r="C159" s="128" t="n">
        <v>-66.67</v>
      </c>
      <c r="D159" s="128" t="n">
        <v>-122.93</v>
      </c>
      <c r="E159" s="128" t="n">
        <v>44.33</v>
      </c>
      <c r="F159" s="128" t="n">
        <v>7.28</v>
      </c>
      <c r="G159" s="128" t="n">
        <v>-15.65</v>
      </c>
      <c r="H159" s="128" t="n">
        <v>-55.13</v>
      </c>
      <c r="I159" s="128" t="n">
        <v>-73.77</v>
      </c>
      <c r="J159" s="128" t="n">
        <v>-84.13</v>
      </c>
      <c r="K159" s="128" t="n">
        <v>1337.02</v>
      </c>
      <c r="L159" s="129" t="n">
        <f aca="false">AVERAGE(C159:E159)</f>
        <v>-48.4233333333333</v>
      </c>
      <c r="M159" s="130" t="n">
        <f aca="false">AVERAGE(C159:J159)</f>
        <v>-45.83375</v>
      </c>
      <c r="N159" s="130" t="n">
        <f aca="false">RANK(I159,I:I)</f>
        <v>402</v>
      </c>
      <c r="O159" s="127" t="n">
        <f aca="false">RANK(L159,L:L)</f>
        <v>230</v>
      </c>
      <c r="P159" s="128" t="s">
        <v>132</v>
      </c>
      <c r="Q159" s="127" t="n">
        <f aca="false">RANK(M159,M:M)</f>
        <v>399</v>
      </c>
      <c r="R159" s="128" t="s">
        <v>132</v>
      </c>
      <c r="S159" s="127"/>
      <c r="T159" s="127"/>
      <c r="U159" s="127"/>
      <c r="V159" s="127"/>
      <c r="W159" s="127"/>
      <c r="X159" s="127"/>
    </row>
    <row r="160" customFormat="false" ht="15.75" hidden="false" customHeight="true" outlineLevel="0" collapsed="false">
      <c r="A160" s="128" t="s">
        <v>395</v>
      </c>
      <c r="B160" s="128" t="n">
        <v>1468.2</v>
      </c>
      <c r="C160" s="128" t="n">
        <v>-66.67</v>
      </c>
      <c r="D160" s="128" t="n">
        <v>49.39</v>
      </c>
      <c r="E160" s="128" t="n">
        <v>114.85</v>
      </c>
      <c r="F160" s="128" t="n">
        <v>154.85</v>
      </c>
      <c r="G160" s="128" t="n">
        <v>155.99</v>
      </c>
      <c r="H160" s="128" t="n">
        <v>166.48</v>
      </c>
      <c r="I160" s="128" t="n">
        <v>133.49</v>
      </c>
      <c r="J160" s="128" t="n">
        <v>145.85</v>
      </c>
      <c r="K160" s="128" t="n">
        <v>1296.26</v>
      </c>
      <c r="L160" s="129" t="n">
        <f aca="false">AVERAGE(C160:E160)</f>
        <v>32.5233333333333</v>
      </c>
      <c r="M160" s="130" t="n">
        <f aca="false">AVERAGE(C160:J160)</f>
        <v>106.77875</v>
      </c>
      <c r="N160" s="130" t="n">
        <f aca="false">RANK(I160,I:I)</f>
        <v>54</v>
      </c>
      <c r="O160" s="127" t="n">
        <f aca="false">RANK(L160,L:L)</f>
        <v>38</v>
      </c>
      <c r="P160" s="128" t="s">
        <v>130</v>
      </c>
      <c r="Q160" s="127" t="n">
        <f aca="false">RANK(M160,M:M)</f>
        <v>22</v>
      </c>
      <c r="R160" s="128" t="s">
        <v>130</v>
      </c>
      <c r="S160" s="127"/>
      <c r="T160" s="127"/>
      <c r="U160" s="127"/>
      <c r="V160" s="127"/>
      <c r="W160" s="127"/>
      <c r="X160" s="127"/>
    </row>
    <row r="161" customFormat="false" ht="15.75" hidden="false" customHeight="true" outlineLevel="0" collapsed="false">
      <c r="A161" s="128" t="s">
        <v>760</v>
      </c>
      <c r="B161" s="128" t="n">
        <v>1467.2</v>
      </c>
      <c r="C161" s="128" t="n">
        <v>-66.67</v>
      </c>
      <c r="D161" s="128" t="n">
        <v>-20.04</v>
      </c>
      <c r="E161" s="128" t="n">
        <v>66.7</v>
      </c>
      <c r="F161" s="128" t="n">
        <v>-27.82</v>
      </c>
      <c r="G161" s="128" t="n">
        <v>-73.71</v>
      </c>
      <c r="H161" s="128"/>
      <c r="I161" s="128"/>
      <c r="J161" s="128"/>
      <c r="K161" s="128" t="n">
        <v>1535.86</v>
      </c>
      <c r="L161" s="129" t="n">
        <f aca="false">AVERAGE(C161:E161)</f>
        <v>-6.67</v>
      </c>
      <c r="M161" s="130" t="n">
        <f aca="false">AVERAGE(C161:J161)</f>
        <v>-24.308</v>
      </c>
      <c r="N161" s="130" t="e">
        <f aca="false">RANK(I161,I:I)</f>
        <v>#N/A</v>
      </c>
      <c r="O161" s="127" t="n">
        <f aca="false">RANK(L161,L:L)</f>
        <v>98</v>
      </c>
      <c r="P161" s="128" t="s">
        <v>84</v>
      </c>
      <c r="Q161" s="127" t="n">
        <f aca="false">RANK(M161,M:M)</f>
        <v>324</v>
      </c>
      <c r="R161" s="128" t="s">
        <v>84</v>
      </c>
      <c r="S161" s="127"/>
      <c r="T161" s="127"/>
      <c r="U161" s="127"/>
      <c r="V161" s="127"/>
      <c r="W161" s="127"/>
      <c r="X161" s="127"/>
    </row>
    <row r="162" customFormat="false" ht="15.75" hidden="false" customHeight="true" outlineLevel="0" collapsed="false">
      <c r="A162" s="128" t="s">
        <v>89</v>
      </c>
      <c r="B162" s="128" t="n">
        <v>1462</v>
      </c>
      <c r="C162" s="128" t="n">
        <v>-66.67</v>
      </c>
      <c r="D162" s="128" t="n">
        <v>37.32</v>
      </c>
      <c r="E162" s="128" t="n">
        <v>97.22</v>
      </c>
      <c r="F162" s="128" t="n">
        <v>55.4</v>
      </c>
      <c r="G162" s="128" t="n">
        <v>-40.58</v>
      </c>
      <c r="H162" s="128" t="n">
        <v>-69.88</v>
      </c>
      <c r="I162" s="128" t="n">
        <v>-95.76</v>
      </c>
      <c r="J162" s="128" t="n">
        <v>-118.71</v>
      </c>
      <c r="K162" s="128" t="n">
        <v>1331.93</v>
      </c>
      <c r="L162" s="129" t="n">
        <f aca="false">AVERAGE(C162:E162)</f>
        <v>22.6233333333333</v>
      </c>
      <c r="M162" s="130" t="n">
        <f aca="false">AVERAGE(C162:J162)</f>
        <v>-25.2075</v>
      </c>
      <c r="N162" s="130" t="n">
        <f aca="false">RANK(I162,I:I)</f>
        <v>450</v>
      </c>
      <c r="O162" s="127" t="n">
        <f aca="false">RANK(L162,L:L)</f>
        <v>53</v>
      </c>
      <c r="P162" s="128" t="s">
        <v>765</v>
      </c>
      <c r="Q162" s="127" t="n">
        <f aca="false">RANK(M162,M:M)</f>
        <v>327</v>
      </c>
      <c r="R162" s="128" t="s">
        <v>765</v>
      </c>
      <c r="S162" s="127"/>
      <c r="T162" s="127"/>
      <c r="U162" s="127"/>
      <c r="V162" s="127"/>
      <c r="W162" s="127"/>
      <c r="X162" s="127"/>
    </row>
    <row r="163" customFormat="false" ht="15.75" hidden="false" customHeight="true" outlineLevel="0" collapsed="false">
      <c r="A163" s="128" t="s">
        <v>484</v>
      </c>
      <c r="B163" s="128" t="n">
        <v>1459.5</v>
      </c>
      <c r="C163" s="128" t="n">
        <v>-66.67</v>
      </c>
      <c r="D163" s="128" t="n">
        <v>-133.33</v>
      </c>
      <c r="E163" s="128" t="n">
        <v>-103.3</v>
      </c>
      <c r="F163" s="128" t="n">
        <v>-86.13</v>
      </c>
      <c r="G163" s="128" t="n">
        <v>-68.33</v>
      </c>
      <c r="H163" s="128" t="n">
        <v>-61.49</v>
      </c>
      <c r="I163" s="128" t="n">
        <v>-74.82</v>
      </c>
      <c r="J163" s="128" t="n">
        <v>-91.42</v>
      </c>
      <c r="K163" s="128" t="n">
        <v>1584.39</v>
      </c>
      <c r="L163" s="129" t="n">
        <f aca="false">AVERAGE(C163:E163)</f>
        <v>-101.1</v>
      </c>
      <c r="M163" s="130" t="n">
        <f aca="false">AVERAGE(C163:J163)</f>
        <v>-85.68625</v>
      </c>
      <c r="N163" s="130" t="n">
        <f aca="false">RANK(I163,I:I)</f>
        <v>406</v>
      </c>
      <c r="O163" s="127" t="n">
        <f aca="false">RANK(L163,L:L)</f>
        <v>476</v>
      </c>
      <c r="P163" s="128" t="s">
        <v>75</v>
      </c>
      <c r="Q163" s="127" t="n">
        <f aca="false">RANK(M163,M:M)</f>
        <v>476</v>
      </c>
      <c r="R163" s="128" t="s">
        <v>75</v>
      </c>
      <c r="S163" s="127"/>
      <c r="T163" s="127"/>
      <c r="U163" s="127"/>
      <c r="V163" s="127"/>
      <c r="W163" s="127"/>
      <c r="X163" s="127"/>
    </row>
    <row r="164" customFormat="false" ht="15.75" hidden="false" customHeight="true" outlineLevel="0" collapsed="false">
      <c r="A164" s="128" t="s">
        <v>356</v>
      </c>
      <c r="B164" s="128" t="n">
        <v>1447.9</v>
      </c>
      <c r="C164" s="128" t="n">
        <v>-66.67</v>
      </c>
      <c r="D164" s="128" t="n">
        <v>-74.88</v>
      </c>
      <c r="E164" s="128" t="n">
        <v>36.85</v>
      </c>
      <c r="F164" s="128" t="n">
        <v>-66.62</v>
      </c>
      <c r="G164" s="128" t="n">
        <v>-82.62</v>
      </c>
      <c r="H164" s="128" t="n">
        <v>-90.95</v>
      </c>
      <c r="I164" s="128" t="n">
        <v>-105.95</v>
      </c>
      <c r="J164" s="128" t="n">
        <v>-121.24</v>
      </c>
      <c r="K164" s="128" t="n">
        <v>1587.4</v>
      </c>
      <c r="L164" s="129" t="n">
        <f aca="false">AVERAGE(C164:E164)</f>
        <v>-34.9</v>
      </c>
      <c r="M164" s="130" t="n">
        <f aca="false">AVERAGE(C164:J164)</f>
        <v>-71.51</v>
      </c>
      <c r="N164" s="130" t="n">
        <f aca="false">RANK(I164,I:I)</f>
        <v>467</v>
      </c>
      <c r="O164" s="127" t="n">
        <f aca="false">RANK(L164,L:L)</f>
        <v>176</v>
      </c>
      <c r="P164" s="128" t="s">
        <v>760</v>
      </c>
      <c r="Q164" s="127" t="n">
        <f aca="false">RANK(M164,M:M)</f>
        <v>457</v>
      </c>
      <c r="R164" s="128" t="s">
        <v>760</v>
      </c>
      <c r="S164" s="127"/>
      <c r="T164" s="127"/>
      <c r="U164" s="127"/>
      <c r="V164" s="127"/>
      <c r="W164" s="127"/>
      <c r="X164" s="127"/>
    </row>
    <row r="165" customFormat="false" ht="15.75" hidden="false" customHeight="true" outlineLevel="0" collapsed="false">
      <c r="A165" s="128" t="s">
        <v>120</v>
      </c>
      <c r="B165" s="128" t="n">
        <v>1419</v>
      </c>
      <c r="C165" s="128" t="n">
        <v>-66.67</v>
      </c>
      <c r="D165" s="128" t="n">
        <v>-100.65</v>
      </c>
      <c r="E165" s="128" t="n">
        <v>49.56</v>
      </c>
      <c r="F165" s="128" t="n">
        <v>50.75</v>
      </c>
      <c r="G165" s="128" t="n">
        <v>25.27</v>
      </c>
      <c r="H165" s="128" t="n">
        <v>-35.44</v>
      </c>
      <c r="I165" s="128" t="n">
        <v>-51.99</v>
      </c>
      <c r="J165" s="128" t="n">
        <v>-61.76</v>
      </c>
      <c r="K165" s="128" t="n">
        <v>1483.46</v>
      </c>
      <c r="L165" s="129" t="n">
        <f aca="false">AVERAGE(C165:E165)</f>
        <v>-39.2533333333333</v>
      </c>
      <c r="M165" s="130" t="n">
        <f aca="false">AVERAGE(C165:J165)</f>
        <v>-23.86625</v>
      </c>
      <c r="N165" s="130" t="n">
        <f aca="false">RANK(I165,I:I)</f>
        <v>335</v>
      </c>
      <c r="O165" s="127" t="n">
        <f aca="false">RANK(L165,L:L)</f>
        <v>199</v>
      </c>
      <c r="P165" s="128" t="s">
        <v>260</v>
      </c>
      <c r="Q165" s="127" t="n">
        <f aca="false">RANK(M165,M:M)</f>
        <v>321</v>
      </c>
      <c r="R165" s="128" t="s">
        <v>260</v>
      </c>
      <c r="S165" s="127"/>
      <c r="T165" s="127"/>
      <c r="U165" s="127"/>
      <c r="V165" s="127"/>
      <c r="W165" s="127"/>
      <c r="X165" s="127"/>
    </row>
    <row r="166" customFormat="false" ht="15.75" hidden="false" customHeight="true" outlineLevel="0" collapsed="false">
      <c r="A166" s="128" t="s">
        <v>765</v>
      </c>
      <c r="B166" s="128" t="n">
        <v>1416.1</v>
      </c>
      <c r="C166" s="128" t="n">
        <v>-66.67</v>
      </c>
      <c r="D166" s="128" t="n">
        <v>-109.65</v>
      </c>
      <c r="E166" s="128" t="n">
        <v>-149.23</v>
      </c>
      <c r="F166" s="128" t="n">
        <v>0.15</v>
      </c>
      <c r="G166" s="128" t="n">
        <v>3.19</v>
      </c>
      <c r="H166" s="128" t="n">
        <v>-48.24</v>
      </c>
      <c r="I166" s="128" t="n">
        <v>-64.82</v>
      </c>
      <c r="J166" s="128" t="n">
        <v>-77.33</v>
      </c>
      <c r="K166" s="128" t="n">
        <v>1339.32</v>
      </c>
      <c r="L166" s="129" t="n">
        <f aca="false">AVERAGE(C166:E166)</f>
        <v>-108.516666666667</v>
      </c>
      <c r="M166" s="130" t="n">
        <f aca="false">AVERAGE(C166:J166)</f>
        <v>-64.075</v>
      </c>
      <c r="N166" s="130" t="n">
        <f aca="false">RANK(I166,I:I)</f>
        <v>372</v>
      </c>
      <c r="O166" s="127" t="n">
        <f aca="false">RANK(L166,L:L)</f>
        <v>487</v>
      </c>
      <c r="P166" s="128" t="s">
        <v>167</v>
      </c>
      <c r="Q166" s="127" t="n">
        <f aca="false">RANK(M166,M:M)</f>
        <v>441</v>
      </c>
      <c r="R166" s="128" t="s">
        <v>167</v>
      </c>
      <c r="S166" s="127"/>
      <c r="T166" s="127"/>
      <c r="U166" s="127"/>
      <c r="V166" s="127"/>
      <c r="W166" s="127"/>
      <c r="X166" s="127"/>
    </row>
    <row r="167" customFormat="false" ht="15.75" hidden="false" customHeight="true" outlineLevel="0" collapsed="false">
      <c r="A167" s="128" t="s">
        <v>260</v>
      </c>
      <c r="B167" s="128" t="n">
        <v>1415.5</v>
      </c>
      <c r="C167" s="128" t="n">
        <v>-66.67</v>
      </c>
      <c r="D167" s="128" t="n">
        <v>-133.33</v>
      </c>
      <c r="E167" s="128" t="n">
        <v>-40.71</v>
      </c>
      <c r="F167" s="128" t="n">
        <v>28.81</v>
      </c>
      <c r="G167" s="128" t="n">
        <v>53.5</v>
      </c>
      <c r="H167" s="128" t="n">
        <v>10.89</v>
      </c>
      <c r="I167" s="128" t="n">
        <v>-4.98</v>
      </c>
      <c r="J167" s="128" t="n">
        <v>-26.1</v>
      </c>
      <c r="K167" s="128" t="n">
        <v>1330.83</v>
      </c>
      <c r="L167" s="129" t="n">
        <f aca="false">AVERAGE(C167:E167)</f>
        <v>-80.2366666666667</v>
      </c>
      <c r="M167" s="130" t="n">
        <f aca="false">AVERAGE(C167:J167)</f>
        <v>-22.32375</v>
      </c>
      <c r="N167" s="130" t="n">
        <f aca="false">RANK(I167,I:I)</f>
        <v>213</v>
      </c>
      <c r="O167" s="127" t="n">
        <f aca="false">RANK(L167,L$2:L$502)</f>
        <v>440</v>
      </c>
      <c r="P167" s="128" t="s">
        <v>120</v>
      </c>
      <c r="Q167" s="127" t="n">
        <f aca="false">RANK(M167,M:M)</f>
        <v>310</v>
      </c>
      <c r="R167" s="128" t="s">
        <v>120</v>
      </c>
      <c r="S167" s="127"/>
      <c r="T167" s="127"/>
      <c r="U167" s="127"/>
      <c r="V167" s="127"/>
      <c r="W167" s="127"/>
      <c r="X167" s="127"/>
    </row>
    <row r="168" customFormat="false" ht="15.75" hidden="false" customHeight="true" outlineLevel="0" collapsed="false">
      <c r="A168" s="128" t="s">
        <v>308</v>
      </c>
      <c r="B168" s="128" t="n">
        <v>1413.6</v>
      </c>
      <c r="C168" s="128" t="n">
        <v>-66.67</v>
      </c>
      <c r="D168" s="128" t="n">
        <v>-103.7</v>
      </c>
      <c r="E168" s="128" t="n">
        <v>34.46</v>
      </c>
      <c r="F168" s="128" t="n">
        <v>95.91</v>
      </c>
      <c r="G168" s="128" t="n">
        <v>124.86</v>
      </c>
      <c r="H168" s="128" t="n">
        <v>153.05</v>
      </c>
      <c r="I168" s="128" t="n">
        <v>162.47</v>
      </c>
      <c r="J168" s="128" t="n">
        <v>185.85</v>
      </c>
      <c r="K168" s="128" t="n">
        <v>1276.49</v>
      </c>
      <c r="L168" s="129" t="n">
        <f aca="false">AVERAGE(C168:E168)</f>
        <v>-45.3033333333333</v>
      </c>
      <c r="M168" s="130" t="n">
        <f aca="false">AVERAGE(C168:J168)</f>
        <v>73.27875</v>
      </c>
      <c r="N168" s="130" t="n">
        <f aca="false">RANK(I168,I:I)</f>
        <v>39</v>
      </c>
      <c r="O168" s="127" t="n">
        <f aca="false">RANK(L168,L:L)</f>
        <v>216</v>
      </c>
      <c r="P168" s="128" t="s">
        <v>403</v>
      </c>
      <c r="Q168" s="127" t="n">
        <f aca="false">RANK(M168,M:M)</f>
        <v>58</v>
      </c>
      <c r="R168" s="128" t="s">
        <v>403</v>
      </c>
      <c r="S168" s="127"/>
      <c r="T168" s="127"/>
      <c r="U168" s="127"/>
      <c r="V168" s="127"/>
      <c r="W168" s="127"/>
      <c r="X168" s="127"/>
    </row>
    <row r="169" customFormat="false" ht="15.75" hidden="false" customHeight="true" outlineLevel="0" collapsed="false">
      <c r="A169" s="128" t="s">
        <v>42</v>
      </c>
      <c r="B169" s="128" t="n">
        <v>1404.8</v>
      </c>
      <c r="C169" s="128" t="n">
        <v>-66.67</v>
      </c>
      <c r="D169" s="128" t="n">
        <v>-95.03</v>
      </c>
      <c r="E169" s="128" t="n">
        <v>45.21</v>
      </c>
      <c r="F169" s="128" t="n">
        <v>120.21</v>
      </c>
      <c r="G169" s="128" t="n">
        <v>152.93</v>
      </c>
      <c r="H169" s="128" t="n">
        <v>182.83</v>
      </c>
      <c r="I169" s="128" t="n">
        <v>199.81</v>
      </c>
      <c r="J169" s="128" t="n">
        <v>214.31</v>
      </c>
      <c r="K169" s="128" t="n">
        <v>1351.56</v>
      </c>
      <c r="L169" s="129" t="n">
        <f aca="false">AVERAGE(C169:E169)</f>
        <v>-38.83</v>
      </c>
      <c r="M169" s="130" t="n">
        <f aca="false">AVERAGE(C169:J169)</f>
        <v>94.2</v>
      </c>
      <c r="N169" s="130" t="n">
        <f aca="false">RANK(I169,I:I)</f>
        <v>25</v>
      </c>
      <c r="O169" s="127" t="n">
        <f aca="false">RANK(L169,L:L)</f>
        <v>193</v>
      </c>
      <c r="P169" s="128" t="s">
        <v>56</v>
      </c>
      <c r="Q169" s="127" t="n">
        <f aca="false">RANK(M169,M:M)</f>
        <v>31</v>
      </c>
      <c r="R169" s="128" t="s">
        <v>56</v>
      </c>
      <c r="S169" s="127"/>
      <c r="T169" s="127"/>
      <c r="U169" s="127"/>
      <c r="V169" s="127"/>
      <c r="W169" s="127"/>
      <c r="X169" s="127"/>
    </row>
    <row r="170" customFormat="false" ht="15.75" hidden="false" customHeight="true" outlineLevel="0" collapsed="false">
      <c r="A170" s="128" t="s">
        <v>767</v>
      </c>
      <c r="B170" s="128" t="n">
        <v>1397.6</v>
      </c>
      <c r="C170" s="128" t="n">
        <v>-66.67</v>
      </c>
      <c r="D170" s="128" t="n">
        <v>-35.42</v>
      </c>
      <c r="E170" s="128" t="n">
        <v>46</v>
      </c>
      <c r="F170" s="128" t="n">
        <v>36.45</v>
      </c>
      <c r="G170" s="128" t="n">
        <v>24.19</v>
      </c>
      <c r="H170" s="128" t="n">
        <v>15.27</v>
      </c>
      <c r="I170" s="128" t="n">
        <v>32.58</v>
      </c>
      <c r="J170" s="128" t="n">
        <v>52.71</v>
      </c>
      <c r="K170" s="128" t="n">
        <v>1278.27</v>
      </c>
      <c r="L170" s="129" t="n">
        <f aca="false">AVERAGE(C170:E170)</f>
        <v>-18.6966666666667</v>
      </c>
      <c r="M170" s="130" t="n">
        <f aca="false">AVERAGE(C170:J170)</f>
        <v>13.13875</v>
      </c>
      <c r="N170" s="130" t="n">
        <f aca="false">RANK(I170,I:I)</f>
        <v>151</v>
      </c>
      <c r="O170" s="127" t="n">
        <f aca="false">RANK(L170,L:L)</f>
        <v>131</v>
      </c>
      <c r="P170" s="128" t="s">
        <v>89</v>
      </c>
      <c r="Q170" s="127" t="n">
        <f aca="false">RANK(M170,M:M)</f>
        <v>190</v>
      </c>
      <c r="R170" s="128" t="s">
        <v>89</v>
      </c>
      <c r="S170" s="127"/>
      <c r="T170" s="127"/>
      <c r="U170" s="127"/>
      <c r="V170" s="127"/>
      <c r="W170" s="127"/>
      <c r="X170" s="127"/>
    </row>
    <row r="171" customFormat="false" ht="15.75" hidden="false" customHeight="true" outlineLevel="0" collapsed="false">
      <c r="A171" s="128" t="s">
        <v>501</v>
      </c>
      <c r="B171" s="128" t="n">
        <v>1397.1</v>
      </c>
      <c r="C171" s="128" t="n">
        <v>-66.67</v>
      </c>
      <c r="D171" s="128" t="n">
        <v>-133.33</v>
      </c>
      <c r="E171" s="128" t="n">
        <v>-147.07</v>
      </c>
      <c r="F171" s="128" t="n">
        <v>13.5</v>
      </c>
      <c r="G171" s="128" t="n">
        <v>40.92</v>
      </c>
      <c r="H171" s="128" t="n">
        <v>-11.59</v>
      </c>
      <c r="I171" s="128" t="n">
        <v>-38.09</v>
      </c>
      <c r="J171" s="128" t="n">
        <v>-33.63</v>
      </c>
      <c r="K171" s="128" t="n">
        <v>1395.62</v>
      </c>
      <c r="L171" s="129" t="n">
        <f aca="false">AVERAGE(C171:E171)</f>
        <v>-115.69</v>
      </c>
      <c r="M171" s="130" t="n">
        <f aca="false">AVERAGE(C171:J171)</f>
        <v>-46.995</v>
      </c>
      <c r="N171" s="130" t="n">
        <f aca="false">RANK(I171,I:I)</f>
        <v>276</v>
      </c>
      <c r="O171" s="127" t="n">
        <f aca="false">RANK(L171,L:L)</f>
        <v>492</v>
      </c>
      <c r="P171" s="128" t="s">
        <v>195</v>
      </c>
      <c r="Q171" s="127" t="n">
        <f aca="false">RANK(M171,M:M)</f>
        <v>403</v>
      </c>
      <c r="R171" s="128" t="s">
        <v>195</v>
      </c>
      <c r="S171" s="127"/>
      <c r="T171" s="127"/>
      <c r="U171" s="127"/>
      <c r="V171" s="127"/>
      <c r="W171" s="127"/>
      <c r="X171" s="127"/>
    </row>
    <row r="172" customFormat="false" ht="15.75" hidden="false" customHeight="true" outlineLevel="0" collapsed="false">
      <c r="A172" s="128" t="s">
        <v>95</v>
      </c>
      <c r="B172" s="128" t="n">
        <v>1360.7</v>
      </c>
      <c r="C172" s="128" t="n">
        <v>-66.67</v>
      </c>
      <c r="D172" s="128" t="n">
        <v>-73.59</v>
      </c>
      <c r="E172" s="128" t="n">
        <v>6.85</v>
      </c>
      <c r="F172" s="128" t="n">
        <v>-75.03</v>
      </c>
      <c r="G172" s="128" t="n">
        <v>-44.25</v>
      </c>
      <c r="H172" s="128" t="n">
        <v>-72.47</v>
      </c>
      <c r="I172" s="128" t="n">
        <v>-91.65</v>
      </c>
      <c r="J172" s="128" t="n">
        <v>-97.84</v>
      </c>
      <c r="K172" s="128" t="n">
        <v>1489.75</v>
      </c>
      <c r="L172" s="129" t="n">
        <f aca="false">AVERAGE(C172:E172)</f>
        <v>-44.47</v>
      </c>
      <c r="M172" s="130" t="n">
        <f aca="false">AVERAGE(C172:J172)</f>
        <v>-64.33125</v>
      </c>
      <c r="N172" s="130" t="n">
        <f aca="false">RANK(I172,I:I)</f>
        <v>441</v>
      </c>
      <c r="O172" s="127" t="n">
        <f aca="false">RANK(L172,L:L)</f>
        <v>213</v>
      </c>
      <c r="P172" s="128" t="s">
        <v>42</v>
      </c>
      <c r="Q172" s="127" t="n">
        <f aca="false">RANK(M172,M:M)</f>
        <v>443</v>
      </c>
      <c r="R172" s="128" t="s">
        <v>42</v>
      </c>
      <c r="S172" s="127"/>
      <c r="T172" s="127"/>
      <c r="U172" s="127"/>
      <c r="V172" s="127"/>
      <c r="W172" s="127"/>
      <c r="X172" s="127"/>
    </row>
    <row r="173" customFormat="false" ht="15.75" hidden="false" customHeight="true" outlineLevel="0" collapsed="false">
      <c r="A173" s="128" t="s">
        <v>195</v>
      </c>
      <c r="B173" s="128" t="n">
        <v>1343.6</v>
      </c>
      <c r="C173" s="128" t="n">
        <v>-66.67</v>
      </c>
      <c r="D173" s="128" t="n">
        <v>-90.54</v>
      </c>
      <c r="E173" s="128" t="n">
        <v>47.8</v>
      </c>
      <c r="F173" s="128" t="n">
        <v>116.13</v>
      </c>
      <c r="G173" s="128" t="n">
        <v>-0.783</v>
      </c>
      <c r="H173" s="128" t="n">
        <v>-46.1</v>
      </c>
      <c r="I173" s="128" t="n">
        <v>-64.18</v>
      </c>
      <c r="J173" s="128" t="n">
        <v>-76.45</v>
      </c>
      <c r="K173" s="128" t="n">
        <v>1283.88</v>
      </c>
      <c r="L173" s="129" t="n">
        <f aca="false">AVERAGE(C173:E173)</f>
        <v>-36.47</v>
      </c>
      <c r="M173" s="130" t="n">
        <f aca="false">AVERAGE(C173:J173)</f>
        <v>-22.599125</v>
      </c>
      <c r="N173" s="130" t="n">
        <f aca="false">RANK(I173,I:I)</f>
        <v>371</v>
      </c>
      <c r="O173" s="127" t="n">
        <f aca="false">RANK(L173,L:L)</f>
        <v>185</v>
      </c>
      <c r="P173" s="128" t="s">
        <v>395</v>
      </c>
      <c r="Q173" s="127" t="n">
        <f aca="false">RANK(M173,M:M)</f>
        <v>312</v>
      </c>
      <c r="R173" s="128" t="s">
        <v>395</v>
      </c>
      <c r="S173" s="127"/>
      <c r="T173" s="127"/>
      <c r="U173" s="127"/>
      <c r="V173" s="127"/>
      <c r="W173" s="127"/>
      <c r="X173" s="127"/>
    </row>
    <row r="174" customFormat="false" ht="15.75" hidden="false" customHeight="true" outlineLevel="0" collapsed="false">
      <c r="A174" s="128" t="s">
        <v>214</v>
      </c>
      <c r="B174" s="128" t="n">
        <v>1330.9</v>
      </c>
      <c r="C174" s="128" t="n">
        <v>-66.67</v>
      </c>
      <c r="D174" s="128" t="n">
        <v>-26.96</v>
      </c>
      <c r="E174" s="128" t="n">
        <v>71.15</v>
      </c>
      <c r="F174" s="128" t="n">
        <v>152.48</v>
      </c>
      <c r="G174" s="128" t="n">
        <v>126.28</v>
      </c>
      <c r="H174" s="128" t="n">
        <v>-16.17</v>
      </c>
      <c r="I174" s="128" t="n">
        <v>-33.34</v>
      </c>
      <c r="J174" s="128" t="n">
        <v>-42.01</v>
      </c>
      <c r="K174" s="128" t="n">
        <v>1241.3</v>
      </c>
      <c r="L174" s="129" t="n">
        <f aca="false">AVERAGE(C174:E174)</f>
        <v>-7.49333333333333</v>
      </c>
      <c r="M174" s="130" t="n">
        <f aca="false">AVERAGE(C174:J174)</f>
        <v>20.595</v>
      </c>
      <c r="N174" s="130" t="n">
        <f aca="false">RANK(I174,I:I)</f>
        <v>266</v>
      </c>
      <c r="O174" s="127" t="n">
        <f aca="false">RANK(L174,L:L)</f>
        <v>103</v>
      </c>
      <c r="P174" s="128" t="s">
        <v>308</v>
      </c>
      <c r="Q174" s="127" t="n">
        <f aca="false">RANK(M174,M:M)</f>
        <v>169</v>
      </c>
      <c r="R174" s="128" t="s">
        <v>308</v>
      </c>
      <c r="S174" s="127"/>
      <c r="T174" s="127"/>
      <c r="U174" s="127"/>
      <c r="V174" s="127"/>
      <c r="W174" s="127"/>
      <c r="X174" s="127"/>
    </row>
    <row r="175" customFormat="false" ht="15.75" hidden="false" customHeight="true" outlineLevel="0" collapsed="false">
      <c r="A175" s="128" t="s">
        <v>383</v>
      </c>
      <c r="B175" s="128" t="n">
        <v>1309.3</v>
      </c>
      <c r="C175" s="128" t="n">
        <v>66.67</v>
      </c>
      <c r="D175" s="128" t="n">
        <v>77.25</v>
      </c>
      <c r="E175" s="128" t="n">
        <v>75.24</v>
      </c>
      <c r="F175" s="128" t="n">
        <v>145.13</v>
      </c>
      <c r="G175" s="128" t="n">
        <v>197.66</v>
      </c>
      <c r="H175" s="128" t="n">
        <v>177.75</v>
      </c>
      <c r="I175" s="128" t="n">
        <v>89.22</v>
      </c>
      <c r="J175" s="128" t="n">
        <v>104.73</v>
      </c>
      <c r="K175" s="128" t="n">
        <v>1161.64</v>
      </c>
      <c r="L175" s="129" t="n">
        <f aca="false">AVERAGE(C175:E175)</f>
        <v>73.0533333333333</v>
      </c>
      <c r="M175" s="130" t="n">
        <f aca="false">AVERAGE(C175:J175)</f>
        <v>116.70625</v>
      </c>
      <c r="N175" s="130" t="n">
        <f aca="false">RANK(I175,I:I)</f>
        <v>88</v>
      </c>
      <c r="O175" s="127" t="n">
        <f aca="false">RANK(L175,L:L)</f>
        <v>27</v>
      </c>
      <c r="P175" s="128" t="s">
        <v>767</v>
      </c>
      <c r="Q175" s="127" t="n">
        <f aca="false">RANK(M175,M:M)</f>
        <v>19</v>
      </c>
      <c r="R175" s="128" t="s">
        <v>767</v>
      </c>
      <c r="S175" s="127"/>
      <c r="T175" s="127"/>
      <c r="U175" s="127"/>
      <c r="V175" s="127"/>
      <c r="W175" s="127"/>
      <c r="X175" s="127"/>
    </row>
    <row r="176" customFormat="false" ht="15.75" hidden="false" customHeight="true" outlineLevel="0" collapsed="false">
      <c r="A176" s="128" t="s">
        <v>222</v>
      </c>
      <c r="B176" s="128" t="n">
        <v>1305.1</v>
      </c>
      <c r="C176" s="128" t="n">
        <v>-66.67</v>
      </c>
      <c r="D176" s="128" t="n">
        <v>-21.68</v>
      </c>
      <c r="E176" s="128" t="n">
        <v>72.98</v>
      </c>
      <c r="F176" s="128" t="n">
        <v>146.9</v>
      </c>
      <c r="G176" s="128" t="n">
        <v>186.64</v>
      </c>
      <c r="H176" s="128" t="n">
        <v>73.51</v>
      </c>
      <c r="I176" s="128" t="n">
        <v>70.56</v>
      </c>
      <c r="J176" s="128" t="n">
        <v>74.57</v>
      </c>
      <c r="K176" s="128" t="n">
        <v>1205.13</v>
      </c>
      <c r="L176" s="129" t="n">
        <f aca="false">AVERAGE(C176:E176)</f>
        <v>-5.12333333333333</v>
      </c>
      <c r="M176" s="130" t="n">
        <f aca="false">AVERAGE(C176:J176)</f>
        <v>67.10125</v>
      </c>
      <c r="N176" s="130" t="n">
        <f aca="false">RANK(I176,I:I)</f>
        <v>99</v>
      </c>
      <c r="O176" s="127" t="n">
        <f aca="false">RANK(L176,L:L)</f>
        <v>97</v>
      </c>
      <c r="P176" s="128" t="s">
        <v>361</v>
      </c>
      <c r="Q176" s="127" t="n">
        <f aca="false">RANK(M176,M:M)</f>
        <v>63</v>
      </c>
      <c r="R176" s="128" t="s">
        <v>361</v>
      </c>
      <c r="S176" s="127"/>
      <c r="T176" s="127"/>
      <c r="U176" s="127"/>
      <c r="V176" s="127"/>
      <c r="W176" s="127"/>
      <c r="X176" s="127"/>
    </row>
    <row r="177" customFormat="false" ht="15.75" hidden="false" customHeight="true" outlineLevel="0" collapsed="false">
      <c r="A177" s="128" t="s">
        <v>162</v>
      </c>
      <c r="B177" s="128" t="n">
        <v>1300.4</v>
      </c>
      <c r="C177" s="128" t="n">
        <v>66.67</v>
      </c>
      <c r="D177" s="128" t="n">
        <v>128.51</v>
      </c>
      <c r="E177" s="128" t="n">
        <v>82.23</v>
      </c>
      <c r="F177" s="128" t="n">
        <v>121.31</v>
      </c>
      <c r="G177" s="128" t="n">
        <v>150.77</v>
      </c>
      <c r="H177" s="128" t="n">
        <v>161.18</v>
      </c>
      <c r="I177" s="128" t="n">
        <v>108.63</v>
      </c>
      <c r="J177" s="128" t="n">
        <v>21.95</v>
      </c>
      <c r="K177" s="128" t="n">
        <v>1234.29</v>
      </c>
      <c r="L177" s="129" t="n">
        <f aca="false">AVERAGE(C177:E177)</f>
        <v>92.47</v>
      </c>
      <c r="M177" s="130" t="n">
        <f aca="false">AVERAGE(C177:J177)</f>
        <v>105.15625</v>
      </c>
      <c r="N177" s="130" t="n">
        <f aca="false">RANK(I177,I:I)</f>
        <v>76</v>
      </c>
      <c r="O177" s="127" t="n">
        <f aca="false">RANK(L177,L:L)</f>
        <v>13</v>
      </c>
      <c r="P177" s="128" t="s">
        <v>280</v>
      </c>
      <c r="Q177" s="127" t="n">
        <f aca="false">RANK(M177,M:M)</f>
        <v>24</v>
      </c>
      <c r="R177" s="128" t="s">
        <v>280</v>
      </c>
      <c r="S177" s="127"/>
      <c r="T177" s="127"/>
      <c r="U177" s="127"/>
      <c r="V177" s="127"/>
      <c r="W177" s="127"/>
      <c r="X177" s="127"/>
    </row>
    <row r="178" customFormat="false" ht="15.75" hidden="false" customHeight="true" outlineLevel="0" collapsed="false">
      <c r="A178" s="128" t="s">
        <v>400</v>
      </c>
      <c r="B178" s="128" t="n">
        <v>1280.6</v>
      </c>
      <c r="C178" s="128" t="n">
        <v>-66.67</v>
      </c>
      <c r="D178" s="128" t="n">
        <v>-133.33</v>
      </c>
      <c r="E178" s="128" t="n">
        <v>35.46</v>
      </c>
      <c r="F178" s="128" t="n">
        <v>53.19</v>
      </c>
      <c r="G178" s="128" t="n">
        <v>87.45</v>
      </c>
      <c r="H178" s="128" t="n">
        <v>42.16</v>
      </c>
      <c r="I178" s="128" t="n">
        <v>67</v>
      </c>
      <c r="J178" s="128" t="n">
        <v>80.59</v>
      </c>
      <c r="K178" s="128" t="n">
        <v>1166.04</v>
      </c>
      <c r="L178" s="129" t="n">
        <f aca="false">AVERAGE(C178:E178)</f>
        <v>-54.8466666666667</v>
      </c>
      <c r="M178" s="130" t="n">
        <f aca="false">AVERAGE(C178:J178)</f>
        <v>20.73125</v>
      </c>
      <c r="N178" s="130" t="n">
        <f aca="false">RANK(I178,I:I)</f>
        <v>105</v>
      </c>
      <c r="O178" s="127" t="n">
        <f aca="false">RANK(L178,L:L)</f>
        <v>264</v>
      </c>
      <c r="P178" s="128" t="s">
        <v>324</v>
      </c>
      <c r="Q178" s="127" t="n">
        <f aca="false">RANK(M178,M:M)</f>
        <v>167</v>
      </c>
      <c r="R178" s="128" t="s">
        <v>324</v>
      </c>
      <c r="S178" s="127"/>
      <c r="T178" s="127"/>
      <c r="U178" s="127"/>
      <c r="V178" s="127"/>
      <c r="W178" s="127"/>
      <c r="X178" s="127"/>
    </row>
    <row r="179" customFormat="false" ht="15.75" hidden="false" customHeight="true" outlineLevel="0" collapsed="false">
      <c r="A179" s="128" t="s">
        <v>167</v>
      </c>
      <c r="B179" s="128" t="n">
        <v>1279.6</v>
      </c>
      <c r="C179" s="128" t="n">
        <v>-66.67</v>
      </c>
      <c r="D179" s="128" t="n">
        <v>-133.33</v>
      </c>
      <c r="E179" s="128" t="n">
        <v>1.7</v>
      </c>
      <c r="F179" s="128" t="n">
        <v>-58.56</v>
      </c>
      <c r="G179" s="128" t="n">
        <v>-42.12</v>
      </c>
      <c r="H179" s="128" t="n">
        <v>-15.88</v>
      </c>
      <c r="I179" s="128" t="n">
        <v>-8.57</v>
      </c>
      <c r="J179" s="128" t="n">
        <v>-43.35</v>
      </c>
      <c r="K179" s="128" t="n">
        <v>1375.17</v>
      </c>
      <c r="L179" s="129" t="n">
        <f aca="false">AVERAGE(C179:E179)</f>
        <v>-66.1</v>
      </c>
      <c r="M179" s="130" t="n">
        <f aca="false">AVERAGE(C179:J179)</f>
        <v>-45.8475</v>
      </c>
      <c r="N179" s="130" t="n">
        <f aca="false">RANK(I179,I:I)</f>
        <v>218</v>
      </c>
      <c r="O179" s="127" t="n">
        <f aca="false">RANK(L179,L:L)</f>
        <v>365</v>
      </c>
      <c r="P179" s="128" t="s">
        <v>373</v>
      </c>
      <c r="Q179" s="127" t="n">
        <f aca="false">RANK(M179,M:M)</f>
        <v>400</v>
      </c>
      <c r="R179" s="128" t="s">
        <v>373</v>
      </c>
      <c r="S179" s="127"/>
      <c r="T179" s="127"/>
      <c r="U179" s="127"/>
      <c r="V179" s="127"/>
      <c r="W179" s="127"/>
      <c r="X179" s="127"/>
    </row>
    <row r="180" customFormat="false" ht="15.75" hidden="false" customHeight="true" outlineLevel="0" collapsed="false">
      <c r="A180" s="128" t="s">
        <v>197</v>
      </c>
      <c r="B180" s="128" t="n">
        <v>1266.5</v>
      </c>
      <c r="C180" s="128" t="n">
        <v>66.67</v>
      </c>
      <c r="D180" s="128" t="n">
        <v>89.6</v>
      </c>
      <c r="E180" s="128" t="n">
        <v>149.81</v>
      </c>
      <c r="F180" s="128" t="n">
        <v>123.93</v>
      </c>
      <c r="G180" s="128" t="n">
        <v>171.14</v>
      </c>
      <c r="H180" s="128" t="n">
        <v>195.96</v>
      </c>
      <c r="I180" s="128" t="n">
        <v>133.56</v>
      </c>
      <c r="J180" s="128" t="n">
        <v>58.15</v>
      </c>
      <c r="K180" s="128" t="n">
        <v>1170.55</v>
      </c>
      <c r="L180" s="129" t="n">
        <f aca="false">AVERAGE(C180:E180)</f>
        <v>102.026666666667</v>
      </c>
      <c r="M180" s="130" t="n">
        <f aca="false">AVERAGE(C180:J180)</f>
        <v>123.6025</v>
      </c>
      <c r="N180" s="130" t="n">
        <f aca="false">RANK(I180,I:I)</f>
        <v>53</v>
      </c>
      <c r="O180" s="127" t="n">
        <f aca="false">RANK(L180,L:L)</f>
        <v>7</v>
      </c>
      <c r="P180" s="128" t="s">
        <v>162</v>
      </c>
      <c r="Q180" s="127" t="n">
        <f aca="false">RANK(M180,M:M)</f>
        <v>16</v>
      </c>
      <c r="R180" s="128" t="s">
        <v>162</v>
      </c>
      <c r="S180" s="127"/>
      <c r="T180" s="127"/>
      <c r="U180" s="127"/>
      <c r="V180" s="127"/>
      <c r="W180" s="127"/>
      <c r="X180" s="127"/>
    </row>
    <row r="181" customFormat="false" ht="15.75" hidden="false" customHeight="true" outlineLevel="0" collapsed="false">
      <c r="A181" s="128" t="s">
        <v>183</v>
      </c>
      <c r="B181" s="128" t="n">
        <v>1266.4</v>
      </c>
      <c r="C181" s="128" t="n">
        <v>66.67</v>
      </c>
      <c r="D181" s="128" t="n">
        <v>133.33</v>
      </c>
      <c r="E181" s="128" t="n">
        <v>115.98</v>
      </c>
      <c r="F181" s="128" t="n">
        <v>165.26</v>
      </c>
      <c r="G181" s="128" t="n">
        <v>195.83</v>
      </c>
      <c r="H181" s="128" t="n">
        <v>244.02</v>
      </c>
      <c r="I181" s="128" t="n">
        <v>167.21</v>
      </c>
      <c r="J181" s="128" t="n">
        <v>146.34</v>
      </c>
      <c r="K181" s="128" t="n">
        <v>1184.45</v>
      </c>
      <c r="L181" s="129" t="n">
        <f aca="false">AVERAGE(C181:E181)</f>
        <v>105.326666666667</v>
      </c>
      <c r="M181" s="130" t="n">
        <f aca="false">AVERAGE(C181:J181)</f>
        <v>154.33</v>
      </c>
      <c r="N181" s="130" t="n">
        <f aca="false">RANK(I181,I:I)</f>
        <v>35</v>
      </c>
      <c r="O181" s="127" t="n">
        <f aca="false">RANK(L181,L:L)</f>
        <v>5</v>
      </c>
      <c r="P181" s="128" t="s">
        <v>197</v>
      </c>
      <c r="Q181" s="127" t="n">
        <f aca="false">RANK(M181,M:M)</f>
        <v>4</v>
      </c>
      <c r="R181" s="128" t="s">
        <v>197</v>
      </c>
      <c r="S181" s="127"/>
      <c r="T181" s="127"/>
      <c r="U181" s="127"/>
      <c r="V181" s="127"/>
      <c r="W181" s="127"/>
      <c r="X181" s="127"/>
    </row>
    <row r="182" customFormat="false" ht="15.75" hidden="false" customHeight="true" outlineLevel="0" collapsed="false">
      <c r="A182" s="128" t="s">
        <v>228</v>
      </c>
      <c r="B182" s="128" t="n">
        <v>1261.8</v>
      </c>
      <c r="C182" s="128" t="n">
        <v>-66.67</v>
      </c>
      <c r="D182" s="128" t="n">
        <v>-98.42</v>
      </c>
      <c r="E182" s="128" t="n">
        <v>51.09</v>
      </c>
      <c r="F182" s="128" t="n">
        <v>109.3</v>
      </c>
      <c r="G182" s="128" t="n">
        <v>50.12</v>
      </c>
      <c r="H182" s="128" t="n">
        <v>-28.62</v>
      </c>
      <c r="I182" s="128" t="n">
        <v>-48.68</v>
      </c>
      <c r="J182" s="128" t="n">
        <v>-64.46</v>
      </c>
      <c r="K182" s="128" t="n">
        <v>1196.18</v>
      </c>
      <c r="L182" s="129" t="n">
        <f aca="false">AVERAGE(C182:E182)</f>
        <v>-38</v>
      </c>
      <c r="M182" s="130" t="n">
        <f aca="false">AVERAGE(C182:J182)</f>
        <v>-12.0425</v>
      </c>
      <c r="N182" s="130" t="n">
        <f aca="false">RANK(I182,I:I)</f>
        <v>320</v>
      </c>
      <c r="O182" s="127" t="n">
        <f aca="false">RANK(L182,L:L)</f>
        <v>191</v>
      </c>
      <c r="P182" s="128" t="s">
        <v>214</v>
      </c>
      <c r="Q182" s="127" t="n">
        <f aca="false">RANK(M182,M:M)</f>
        <v>273</v>
      </c>
      <c r="R182" s="128" t="s">
        <v>214</v>
      </c>
      <c r="S182" s="127"/>
      <c r="T182" s="127"/>
      <c r="U182" s="127"/>
      <c r="V182" s="127"/>
      <c r="W182" s="127"/>
      <c r="X182" s="127"/>
    </row>
    <row r="183" customFormat="false" ht="15.75" hidden="false" customHeight="true" outlineLevel="0" collapsed="false">
      <c r="A183" s="128" t="s">
        <v>518</v>
      </c>
      <c r="B183" s="128" t="n">
        <v>1254.7</v>
      </c>
      <c r="C183" s="128" t="n">
        <v>-66.67</v>
      </c>
      <c r="D183" s="128" t="n">
        <v>-77.88</v>
      </c>
      <c r="E183" s="128" t="n">
        <v>60.14</v>
      </c>
      <c r="F183" s="128" t="n">
        <v>92.13</v>
      </c>
      <c r="G183" s="128" t="n">
        <v>54.33</v>
      </c>
      <c r="H183" s="128" t="n">
        <v>-22.6</v>
      </c>
      <c r="I183" s="128" t="n">
        <v>-45.25</v>
      </c>
      <c r="J183" s="128" t="n">
        <v>-61.24</v>
      </c>
      <c r="K183" s="128" t="n">
        <v>1165.25</v>
      </c>
      <c r="L183" s="129" t="n">
        <f aca="false">AVERAGE(C183:E183)</f>
        <v>-28.1366666666667</v>
      </c>
      <c r="M183" s="130" t="n">
        <f aca="false">AVERAGE(C183:J183)</f>
        <v>-8.38</v>
      </c>
      <c r="N183" s="130" t="n">
        <f aca="false">RANK(I183,I:I)</f>
        <v>305</v>
      </c>
      <c r="O183" s="127" t="n">
        <f aca="false">RANK(L183,L:L)</f>
        <v>154</v>
      </c>
      <c r="P183" s="128" t="s">
        <v>183</v>
      </c>
      <c r="Q183" s="127" t="n">
        <f aca="false">RANK(M183,M:M)</f>
        <v>260</v>
      </c>
      <c r="R183" s="128" t="s">
        <v>183</v>
      </c>
      <c r="S183" s="127"/>
      <c r="T183" s="127"/>
      <c r="U183" s="127"/>
      <c r="V183" s="127"/>
      <c r="W183" s="127"/>
      <c r="X183" s="127"/>
    </row>
    <row r="184" customFormat="false" ht="15.75" hidden="false" customHeight="true" outlineLevel="0" collapsed="false">
      <c r="A184" s="128" t="s">
        <v>426</v>
      </c>
      <c r="B184" s="128" t="n">
        <v>1234.5</v>
      </c>
      <c r="C184" s="128" t="n">
        <v>-66.67</v>
      </c>
      <c r="D184" s="128" t="n">
        <v>-42.8</v>
      </c>
      <c r="E184" s="128" t="n">
        <v>61.49</v>
      </c>
      <c r="F184" s="128" t="n">
        <v>148.32</v>
      </c>
      <c r="G184" s="128" t="n">
        <v>249.5</v>
      </c>
      <c r="H184" s="128" t="n">
        <v>300.11</v>
      </c>
      <c r="I184" s="128" t="n">
        <v>251.12</v>
      </c>
      <c r="J184" s="128" t="n">
        <v>137.23</v>
      </c>
      <c r="K184" s="128" t="n">
        <v>1116.95</v>
      </c>
      <c r="L184" s="129" t="n">
        <f aca="false">AVERAGE(C184:E184)</f>
        <v>-15.9933333333333</v>
      </c>
      <c r="M184" s="130" t="n">
        <f aca="false">AVERAGE(C184:J184)</f>
        <v>129.7875</v>
      </c>
      <c r="N184" s="130" t="n">
        <f aca="false">RANK(I184,I:I)</f>
        <v>7</v>
      </c>
      <c r="O184" s="127" t="n">
        <f aca="false">RANK(L184,L:L)</f>
        <v>126</v>
      </c>
      <c r="P184" s="128" t="s">
        <v>233</v>
      </c>
      <c r="Q184" s="127" t="n">
        <f aca="false">RANK(M184,M:M)</f>
        <v>13</v>
      </c>
      <c r="R184" s="128" t="s">
        <v>233</v>
      </c>
      <c r="S184" s="127"/>
      <c r="T184" s="127"/>
      <c r="U184" s="127"/>
      <c r="V184" s="127"/>
      <c r="W184" s="127"/>
      <c r="X184" s="127"/>
    </row>
    <row r="185" customFormat="false" ht="15.75" hidden="false" customHeight="true" outlineLevel="0" collapsed="false">
      <c r="A185" s="128" t="s">
        <v>56</v>
      </c>
      <c r="B185" s="128" t="n">
        <v>1229.4</v>
      </c>
      <c r="C185" s="128" t="n">
        <v>-66.67</v>
      </c>
      <c r="D185" s="128" t="n">
        <v>-113.64</v>
      </c>
      <c r="E185" s="128" t="n">
        <v>-193.36</v>
      </c>
      <c r="F185" s="128" t="n">
        <v>-121.25</v>
      </c>
      <c r="G185" s="128" t="n">
        <v>-106.55</v>
      </c>
      <c r="H185" s="128" t="n">
        <v>-94.89</v>
      </c>
      <c r="I185" s="128" t="n">
        <v>-105.42</v>
      </c>
      <c r="J185" s="128" t="n">
        <v>-116.8</v>
      </c>
      <c r="K185" s="128" t="n">
        <v>1369.8</v>
      </c>
      <c r="L185" s="129" t="n">
        <f aca="false">AVERAGE(C185:E185)</f>
        <v>-124.556666666667</v>
      </c>
      <c r="M185" s="130" t="n">
        <f aca="false">AVERAGE(C185:J185)</f>
        <v>-114.8225</v>
      </c>
      <c r="N185" s="130" t="n">
        <f aca="false">RANK(I185,I:I)</f>
        <v>466</v>
      </c>
      <c r="O185" s="127" t="n">
        <f aca="false">RANK(L185,L:L)</f>
        <v>496</v>
      </c>
      <c r="P185" s="128" t="s">
        <v>400</v>
      </c>
      <c r="Q185" s="127" t="n">
        <f aca="false">RANK(M185,M:M)</f>
        <v>496</v>
      </c>
      <c r="R185" s="128" t="s">
        <v>400</v>
      </c>
      <c r="S185" s="127"/>
      <c r="T185" s="127"/>
      <c r="U185" s="127"/>
      <c r="V185" s="127"/>
      <c r="W185" s="127"/>
      <c r="X185" s="127"/>
    </row>
    <row r="186" customFormat="false" ht="15.75" hidden="false" customHeight="true" outlineLevel="0" collapsed="false">
      <c r="A186" s="128" t="s">
        <v>237</v>
      </c>
      <c r="B186" s="128" t="n">
        <v>1221</v>
      </c>
      <c r="C186" s="128" t="n">
        <v>-66.67</v>
      </c>
      <c r="D186" s="128" t="n">
        <v>27.05</v>
      </c>
      <c r="E186" s="128" t="n">
        <v>97.74</v>
      </c>
      <c r="F186" s="128" t="n">
        <v>-15.75</v>
      </c>
      <c r="G186" s="128" t="n">
        <v>-61.23</v>
      </c>
      <c r="H186" s="128" t="n">
        <v>-88.84</v>
      </c>
      <c r="I186" s="128" t="n">
        <v>-106.26</v>
      </c>
      <c r="J186" s="128" t="n">
        <v>-103.23</v>
      </c>
      <c r="K186" s="128" t="n">
        <v>1091.26</v>
      </c>
      <c r="L186" s="129" t="n">
        <f aca="false">AVERAGE(C186:E186)</f>
        <v>19.3733333333333</v>
      </c>
      <c r="M186" s="130" t="n">
        <f aca="false">AVERAGE(C186:J186)</f>
        <v>-39.64875</v>
      </c>
      <c r="N186" s="130" t="n">
        <f aca="false">RANK(I186,I:I)</f>
        <v>469</v>
      </c>
      <c r="O186" s="127" t="n">
        <f aca="false">RANK(L186,L:L)</f>
        <v>56</v>
      </c>
      <c r="P186" s="128" t="s">
        <v>176</v>
      </c>
      <c r="Q186" s="127" t="n">
        <f aca="false">RANK(M186,M:M)</f>
        <v>379</v>
      </c>
      <c r="R186" s="128" t="s">
        <v>176</v>
      </c>
      <c r="S186" s="127"/>
      <c r="T186" s="127"/>
      <c r="U186" s="127"/>
      <c r="V186" s="127"/>
      <c r="W186" s="127"/>
      <c r="X186" s="127"/>
    </row>
    <row r="187" customFormat="false" ht="15.75" hidden="false" customHeight="true" outlineLevel="0" collapsed="false">
      <c r="A187" s="128" t="s">
        <v>125</v>
      </c>
      <c r="B187" s="128" t="n">
        <v>1220.1</v>
      </c>
      <c r="C187" s="128" t="n">
        <v>-66.67</v>
      </c>
      <c r="D187" s="128" t="n">
        <v>16.82</v>
      </c>
      <c r="E187" s="128" t="n">
        <v>81.43</v>
      </c>
      <c r="F187" s="128" t="n">
        <v>129.95</v>
      </c>
      <c r="G187" s="128" t="n">
        <v>153.67</v>
      </c>
      <c r="H187" s="128" t="n">
        <v>69.13</v>
      </c>
      <c r="I187" s="128" t="n">
        <v>29.99</v>
      </c>
      <c r="J187" s="128" t="n">
        <v>-15.41</v>
      </c>
      <c r="K187" s="128" t="n">
        <v>1134.4</v>
      </c>
      <c r="L187" s="129" t="n">
        <f aca="false">AVERAGE(C187:E187)</f>
        <v>10.5266666666667</v>
      </c>
      <c r="M187" s="130" t="n">
        <f aca="false">AVERAGE(C187:J187)</f>
        <v>49.86375</v>
      </c>
      <c r="N187" s="130" t="n">
        <f aca="false">RANK(I187,I:I)</f>
        <v>158</v>
      </c>
      <c r="O187" s="127" t="n">
        <f aca="false">RANK(L187,L:L)</f>
        <v>69</v>
      </c>
      <c r="P187" s="128" t="s">
        <v>222</v>
      </c>
      <c r="Q187" s="127" t="n">
        <f aca="false">RANK(M187,M:M)</f>
        <v>93</v>
      </c>
      <c r="R187" s="128" t="s">
        <v>222</v>
      </c>
      <c r="S187" s="127"/>
      <c r="T187" s="127"/>
      <c r="U187" s="127"/>
      <c r="V187" s="127"/>
      <c r="W187" s="127"/>
      <c r="X187" s="127"/>
    </row>
    <row r="188" customFormat="false" ht="15.75" hidden="false" customHeight="true" outlineLevel="0" collapsed="false">
      <c r="A188" s="128" t="s">
        <v>470</v>
      </c>
      <c r="B188" s="128" t="n">
        <v>1219.6</v>
      </c>
      <c r="C188" s="128" t="n">
        <v>-66.67</v>
      </c>
      <c r="D188" s="128" t="n">
        <v>-106.73</v>
      </c>
      <c r="E188" s="128" t="n">
        <v>53.66</v>
      </c>
      <c r="F188" s="128" t="n">
        <v>139.81</v>
      </c>
      <c r="G188" s="128" t="n">
        <v>133.92</v>
      </c>
      <c r="H188" s="128" t="n">
        <v>34.19</v>
      </c>
      <c r="I188" s="128" t="n">
        <v>41.6</v>
      </c>
      <c r="J188" s="128" t="n">
        <v>55.79</v>
      </c>
      <c r="K188" s="128" t="n">
        <v>1088</v>
      </c>
      <c r="L188" s="129" t="n">
        <f aca="false">AVERAGE(C188:E188)</f>
        <v>-39.9133333333333</v>
      </c>
      <c r="M188" s="130" t="n">
        <f aca="false">AVERAGE(C188:J188)</f>
        <v>35.69625</v>
      </c>
      <c r="N188" s="130" t="n">
        <f aca="false">RANK(I188,I:I)</f>
        <v>135</v>
      </c>
      <c r="O188" s="127" t="n">
        <f aca="false">RANK(L188,L:L)</f>
        <v>201</v>
      </c>
      <c r="P188" s="128" t="s">
        <v>518</v>
      </c>
      <c r="Q188" s="127" t="n">
        <f aca="false">RANK(M188,M:M)</f>
        <v>127</v>
      </c>
      <c r="R188" s="128" t="s">
        <v>518</v>
      </c>
      <c r="S188" s="127"/>
      <c r="T188" s="127"/>
      <c r="U188" s="127"/>
      <c r="V188" s="127"/>
      <c r="W188" s="127"/>
      <c r="X188" s="127"/>
    </row>
    <row r="189" customFormat="false" ht="15.75" hidden="false" customHeight="true" outlineLevel="0" collapsed="false">
      <c r="A189" s="128" t="s">
        <v>361</v>
      </c>
      <c r="B189" s="128" t="n">
        <v>1215.1</v>
      </c>
      <c r="C189" s="128" t="n">
        <v>-66.67</v>
      </c>
      <c r="D189" s="128" t="n">
        <v>-116.16</v>
      </c>
      <c r="E189" s="128" t="n">
        <v>-147.8</v>
      </c>
      <c r="F189" s="128" t="n">
        <v>-15.58</v>
      </c>
      <c r="G189" s="128" t="n">
        <v>47.37</v>
      </c>
      <c r="H189" s="128" t="n">
        <v>73.12</v>
      </c>
      <c r="I189" s="128" t="n">
        <v>93.14</v>
      </c>
      <c r="J189" s="128" t="n">
        <v>111.91</v>
      </c>
      <c r="K189" s="128" t="n">
        <v>1154.6</v>
      </c>
      <c r="L189" s="129" t="n">
        <f aca="false">AVERAGE(C189:E189)</f>
        <v>-110.21</v>
      </c>
      <c r="M189" s="130" t="n">
        <f aca="false">AVERAGE(C189:J189)</f>
        <v>-2.58375</v>
      </c>
      <c r="N189" s="130" t="n">
        <f aca="false">RANK(I189,I:I)</f>
        <v>86</v>
      </c>
      <c r="O189" s="127" t="n">
        <f aca="false">RANK(L189,L:L)</f>
        <v>490</v>
      </c>
      <c r="P189" s="128" t="s">
        <v>383</v>
      </c>
      <c r="Q189" s="127" t="n">
        <f aca="false">RANK(M189,M:M)</f>
        <v>242</v>
      </c>
      <c r="R189" s="128" t="s">
        <v>383</v>
      </c>
      <c r="S189" s="127"/>
      <c r="T189" s="127"/>
      <c r="U189" s="127"/>
      <c r="V189" s="127"/>
      <c r="W189" s="127"/>
      <c r="X189" s="127"/>
    </row>
    <row r="190" customFormat="false" ht="15.75" hidden="false" customHeight="true" outlineLevel="0" collapsed="false">
      <c r="A190" s="128" t="s">
        <v>324</v>
      </c>
      <c r="B190" s="128" t="n">
        <v>1210.8</v>
      </c>
      <c r="C190" s="128" t="n">
        <v>-66.67</v>
      </c>
      <c r="D190" s="128" t="n">
        <v>-113.59</v>
      </c>
      <c r="E190" s="128" t="n">
        <v>-96.72</v>
      </c>
      <c r="F190" s="128" t="n">
        <v>-47.75</v>
      </c>
      <c r="G190" s="128" t="n">
        <v>-68.3</v>
      </c>
      <c r="H190" s="128" t="n">
        <v>-84.83</v>
      </c>
      <c r="I190" s="128" t="n">
        <v>-101.85</v>
      </c>
      <c r="J190" s="128" t="n">
        <v>-116.1</v>
      </c>
      <c r="K190" s="128" t="n">
        <v>1260.02</v>
      </c>
      <c r="L190" s="129" t="n">
        <f aca="false">AVERAGE(C190:E190)</f>
        <v>-92.3266666666667</v>
      </c>
      <c r="M190" s="130" t="n">
        <f aca="false">AVERAGE(C190:J190)</f>
        <v>-86.97625</v>
      </c>
      <c r="N190" s="130" t="n">
        <f aca="false">RANK(I190,I:I)</f>
        <v>459</v>
      </c>
      <c r="O190" s="127" t="n">
        <f aca="false">RANK(L190,L:L)</f>
        <v>466</v>
      </c>
      <c r="P190" s="128" t="s">
        <v>125</v>
      </c>
      <c r="Q190" s="127" t="n">
        <f aca="false">RANK(M190,M:M)</f>
        <v>477</v>
      </c>
      <c r="R190" s="128" t="s">
        <v>125</v>
      </c>
      <c r="S190" s="127"/>
      <c r="T190" s="127"/>
      <c r="U190" s="127"/>
      <c r="V190" s="127"/>
      <c r="W190" s="127"/>
      <c r="X190" s="127"/>
    </row>
    <row r="191" customFormat="false" ht="15.75" hidden="false" customHeight="true" outlineLevel="0" collapsed="false">
      <c r="A191" s="128" t="s">
        <v>489</v>
      </c>
      <c r="B191" s="128" t="n">
        <v>1207.4</v>
      </c>
      <c r="C191" s="128" t="n">
        <v>-66.67</v>
      </c>
      <c r="D191" s="128" t="n">
        <v>-133.33</v>
      </c>
      <c r="E191" s="128" t="n">
        <v>-3.67</v>
      </c>
      <c r="F191" s="128" t="n">
        <v>51.54</v>
      </c>
      <c r="G191" s="128" t="n">
        <v>3.09</v>
      </c>
      <c r="H191" s="128" t="n">
        <v>-38.78</v>
      </c>
      <c r="I191" s="128" t="n">
        <v>-61.81</v>
      </c>
      <c r="J191" s="128" t="n">
        <v>-78.93</v>
      </c>
      <c r="K191" s="128" t="n">
        <v>1114.6</v>
      </c>
      <c r="L191" s="129" t="n">
        <f aca="false">AVERAGE(C191:E191)</f>
        <v>-67.89</v>
      </c>
      <c r="M191" s="130" t="n">
        <f aca="false">AVERAGE(C191:J191)</f>
        <v>-41.07</v>
      </c>
      <c r="N191" s="130" t="n">
        <f aca="false">RANK(I191,I:I)</f>
        <v>366</v>
      </c>
      <c r="O191" s="127" t="n">
        <f aca="false">RANK(L191,L:L)</f>
        <v>377</v>
      </c>
      <c r="P191" s="128" t="s">
        <v>177</v>
      </c>
      <c r="Q191" s="127" t="n">
        <f aca="false">RANK(M191,M:M)</f>
        <v>383</v>
      </c>
      <c r="R191" s="128" t="s">
        <v>177</v>
      </c>
      <c r="S191" s="127"/>
      <c r="T191" s="127"/>
      <c r="U191" s="127"/>
      <c r="V191" s="127"/>
      <c r="W191" s="127"/>
      <c r="X191" s="127"/>
    </row>
    <row r="192" customFormat="false" ht="15.75" hidden="false" customHeight="true" outlineLevel="0" collapsed="false">
      <c r="A192" s="128" t="s">
        <v>280</v>
      </c>
      <c r="B192" s="128" t="n">
        <v>1203.3</v>
      </c>
      <c r="C192" s="128" t="n">
        <v>-66.67</v>
      </c>
      <c r="D192" s="128" t="n">
        <v>-133.33</v>
      </c>
      <c r="E192" s="128" t="n">
        <v>-104.1</v>
      </c>
      <c r="F192" s="128" t="n">
        <v>-16.7</v>
      </c>
      <c r="G192" s="128" t="n">
        <v>8.5</v>
      </c>
      <c r="H192" s="128" t="n">
        <v>-44.04</v>
      </c>
      <c r="I192" s="128" t="n">
        <v>-55.19</v>
      </c>
      <c r="J192" s="128" t="n">
        <v>-64.49</v>
      </c>
      <c r="K192" s="128" t="n">
        <v>1146.91</v>
      </c>
      <c r="L192" s="129" t="n">
        <f aca="false">AVERAGE(C192:E192)</f>
        <v>-101.366666666667</v>
      </c>
      <c r="M192" s="130" t="n">
        <f aca="false">AVERAGE(C192:J192)</f>
        <v>-59.5025</v>
      </c>
      <c r="N192" s="130" t="n">
        <f aca="false">RANK(I192,I:I)</f>
        <v>347</v>
      </c>
      <c r="O192" s="127" t="n">
        <f aca="false">RANK(L192,L:L)</f>
        <v>477</v>
      </c>
      <c r="P192" s="128" t="s">
        <v>489</v>
      </c>
      <c r="Q192" s="127" t="n">
        <f aca="false">RANK(M192,M:M)</f>
        <v>432</v>
      </c>
      <c r="R192" s="128" t="s">
        <v>489</v>
      </c>
      <c r="S192" s="127"/>
      <c r="T192" s="127"/>
      <c r="U192" s="127"/>
      <c r="V192" s="127"/>
      <c r="W192" s="127"/>
      <c r="X192" s="127"/>
    </row>
    <row r="193" customFormat="false" ht="15.75" hidden="false" customHeight="true" outlineLevel="0" collapsed="false">
      <c r="A193" s="128" t="s">
        <v>373</v>
      </c>
      <c r="B193" s="128" t="n">
        <v>1194.3</v>
      </c>
      <c r="C193" s="128" t="n">
        <v>-66.67</v>
      </c>
      <c r="D193" s="128" t="n">
        <v>-84.03</v>
      </c>
      <c r="E193" s="128" t="n">
        <v>31.11</v>
      </c>
      <c r="F193" s="128" t="n">
        <v>-13.19</v>
      </c>
      <c r="G193" s="128" t="n">
        <v>-58.93</v>
      </c>
      <c r="H193" s="128" t="n">
        <v>-81.82</v>
      </c>
      <c r="I193" s="128" t="n">
        <v>-94.38</v>
      </c>
      <c r="J193" s="128" t="n">
        <v>-102.97</v>
      </c>
      <c r="K193" s="128" t="n">
        <v>1262.89</v>
      </c>
      <c r="L193" s="129" t="n">
        <f aca="false">AVERAGE(C193:E193)</f>
        <v>-39.8633333333333</v>
      </c>
      <c r="M193" s="130" t="n">
        <f aca="false">AVERAGE(C193:J193)</f>
        <v>-58.86</v>
      </c>
      <c r="N193" s="130" t="n">
        <f aca="false">RANK(I193,I:I)</f>
        <v>447</v>
      </c>
      <c r="O193" s="127" t="n">
        <f aca="false">RANK(L193,L:L)</f>
        <v>200</v>
      </c>
      <c r="P193" s="128" t="s">
        <v>249</v>
      </c>
      <c r="Q193" s="127" t="n">
        <f aca="false">RANK(M193,M:M)</f>
        <v>430</v>
      </c>
      <c r="R193" s="128" t="s">
        <v>249</v>
      </c>
      <c r="S193" s="127"/>
      <c r="T193" s="127"/>
      <c r="U193" s="127"/>
      <c r="V193" s="127"/>
      <c r="W193" s="127"/>
      <c r="X193" s="127"/>
    </row>
    <row r="194" customFormat="false" ht="15.75" hidden="false" customHeight="true" outlineLevel="0" collapsed="false">
      <c r="A194" s="128" t="s">
        <v>176</v>
      </c>
      <c r="B194" s="128" t="n">
        <v>1193</v>
      </c>
      <c r="C194" s="128" t="n">
        <v>-66.67</v>
      </c>
      <c r="D194" s="128" t="n">
        <v>-133.33</v>
      </c>
      <c r="E194" s="128" t="n">
        <v>-14.23</v>
      </c>
      <c r="F194" s="128" t="n">
        <v>53.96</v>
      </c>
      <c r="G194" s="128" t="n">
        <v>98.25</v>
      </c>
      <c r="H194" s="128" t="n">
        <v>76.37</v>
      </c>
      <c r="I194" s="128" t="n">
        <v>25.08</v>
      </c>
      <c r="J194" s="128" t="n">
        <v>-14.06</v>
      </c>
      <c r="K194" s="128" t="n">
        <v>1142.95</v>
      </c>
      <c r="L194" s="129" t="n">
        <f aca="false">AVERAGE(C194:E194)</f>
        <v>-71.41</v>
      </c>
      <c r="M194" s="130" t="n">
        <f aca="false">AVERAGE(C194:J194)</f>
        <v>3.17125</v>
      </c>
      <c r="N194" s="130" t="n">
        <f aca="false">RANK(I194,I:I)</f>
        <v>163</v>
      </c>
      <c r="O194" s="127" t="n">
        <f aca="false">RANK(L194,L:L)</f>
        <v>400</v>
      </c>
      <c r="P194" s="128" t="s">
        <v>237</v>
      </c>
      <c r="Q194" s="127" t="n">
        <f aca="false">RANK(M194,M:M)</f>
        <v>220</v>
      </c>
      <c r="R194" s="128" t="s">
        <v>237</v>
      </c>
      <c r="S194" s="127"/>
      <c r="T194" s="127"/>
      <c r="U194" s="127"/>
      <c r="V194" s="127"/>
      <c r="W194" s="127"/>
      <c r="X194" s="127"/>
    </row>
    <row r="195" customFormat="false" ht="15.75" hidden="false" customHeight="true" outlineLevel="0" collapsed="false">
      <c r="A195" s="128" t="s">
        <v>177</v>
      </c>
      <c r="B195" s="128" t="n">
        <v>1174.8</v>
      </c>
      <c r="C195" s="128" t="n">
        <v>-66.67</v>
      </c>
      <c r="D195" s="128" t="n">
        <v>-19.99</v>
      </c>
      <c r="E195" s="128" t="n">
        <v>65.62</v>
      </c>
      <c r="F195" s="128" t="n">
        <v>74.85</v>
      </c>
      <c r="G195" s="128" t="n">
        <v>32.25</v>
      </c>
      <c r="H195" s="128" t="n">
        <v>-34.45</v>
      </c>
      <c r="I195" s="128" t="n">
        <v>-45.48</v>
      </c>
      <c r="J195" s="128" t="n">
        <v>-60.11</v>
      </c>
      <c r="K195" s="128" t="n">
        <v>1110.43</v>
      </c>
      <c r="L195" s="129" t="n">
        <f aca="false">AVERAGE(C195:E195)</f>
        <v>-7.01333333333333</v>
      </c>
      <c r="M195" s="130" t="n">
        <f aca="false">AVERAGE(C195:J195)</f>
        <v>-6.7475</v>
      </c>
      <c r="N195" s="130" t="n">
        <f aca="false">RANK(I195,I:I)</f>
        <v>307</v>
      </c>
      <c r="O195" s="127" t="n">
        <f aca="false">RANK(L195,L:L)</f>
        <v>99</v>
      </c>
      <c r="P195" s="128" t="s">
        <v>228</v>
      </c>
      <c r="Q195" s="127" t="n">
        <f aca="false">RANK(M195,M:M)</f>
        <v>255</v>
      </c>
      <c r="R195" s="128" t="s">
        <v>228</v>
      </c>
      <c r="S195" s="127"/>
      <c r="T195" s="127"/>
      <c r="U195" s="127"/>
      <c r="V195" s="127"/>
      <c r="W195" s="127"/>
      <c r="X195" s="127"/>
    </row>
    <row r="196" customFormat="false" ht="15.75" hidden="false" customHeight="true" outlineLevel="0" collapsed="false">
      <c r="A196" s="128" t="s">
        <v>233</v>
      </c>
      <c r="B196" s="128" t="n">
        <v>1170.8</v>
      </c>
      <c r="C196" s="128" t="n">
        <v>-66.67</v>
      </c>
      <c r="D196" s="128" t="n">
        <v>-131.18</v>
      </c>
      <c r="E196" s="128" t="n">
        <v>-68.79</v>
      </c>
      <c r="F196" s="128" t="n">
        <v>-97.84</v>
      </c>
      <c r="G196" s="128" t="n">
        <v>-103.63</v>
      </c>
      <c r="H196" s="128" t="n">
        <v>-90.41</v>
      </c>
      <c r="I196" s="128" t="n">
        <v>-100.88</v>
      </c>
      <c r="J196" s="128" t="n">
        <v>-117.93</v>
      </c>
      <c r="K196" s="128" t="n">
        <v>1135.73</v>
      </c>
      <c r="L196" s="129" t="n">
        <f aca="false">AVERAGE(C196:E196)</f>
        <v>-88.88</v>
      </c>
      <c r="M196" s="130" t="n">
        <f aca="false">AVERAGE(C196:J196)</f>
        <v>-97.16625</v>
      </c>
      <c r="N196" s="130" t="n">
        <f aca="false">RANK(I196,I:I)</f>
        <v>458</v>
      </c>
      <c r="O196" s="127" t="n">
        <f aca="false">RANK(L196,L:L)</f>
        <v>459</v>
      </c>
      <c r="P196" s="128" t="s">
        <v>517</v>
      </c>
      <c r="Q196" s="127" t="n">
        <f aca="false">RANK(M196,M:M)</f>
        <v>487</v>
      </c>
      <c r="R196" s="128" t="s">
        <v>517</v>
      </c>
      <c r="S196" s="127"/>
      <c r="T196" s="127"/>
      <c r="U196" s="127"/>
      <c r="V196" s="127"/>
      <c r="W196" s="127"/>
      <c r="X196" s="127"/>
    </row>
    <row r="197" customFormat="false" ht="15.75" hidden="false" customHeight="true" outlineLevel="0" collapsed="false">
      <c r="A197" s="128" t="s">
        <v>40</v>
      </c>
      <c r="B197" s="128" t="n">
        <v>1166.3</v>
      </c>
      <c r="C197" s="128" t="n">
        <v>-66.67</v>
      </c>
      <c r="D197" s="128" t="n">
        <v>-133.33</v>
      </c>
      <c r="E197" s="128" t="n">
        <v>6.77</v>
      </c>
      <c r="F197" s="128" t="n">
        <v>95.36</v>
      </c>
      <c r="G197" s="128" t="n">
        <v>148.69</v>
      </c>
      <c r="H197" s="128" t="n">
        <v>153.13</v>
      </c>
      <c r="I197" s="128" t="n">
        <v>97.34</v>
      </c>
      <c r="J197" s="128" t="n">
        <v>58.74</v>
      </c>
      <c r="K197" s="128" t="n">
        <v>1142.98</v>
      </c>
      <c r="L197" s="129" t="n">
        <f aca="false">AVERAGE(C197:E197)</f>
        <v>-64.41</v>
      </c>
      <c r="M197" s="130" t="n">
        <f aca="false">AVERAGE(C197:J197)</f>
        <v>45.00375</v>
      </c>
      <c r="N197" s="130" t="n">
        <f aca="false">RANK(I197,I:I)</f>
        <v>82</v>
      </c>
      <c r="O197" s="127" t="n">
        <f aca="false">RANK(L197,L:L)</f>
        <v>342</v>
      </c>
      <c r="P197" s="128" t="s">
        <v>522</v>
      </c>
      <c r="Q197" s="127" t="n">
        <f aca="false">RANK(M197,M:M)</f>
        <v>105</v>
      </c>
      <c r="R197" s="128" t="s">
        <v>522</v>
      </c>
      <c r="S197" s="127"/>
      <c r="T197" s="127"/>
      <c r="U197" s="127"/>
      <c r="V197" s="127"/>
      <c r="W197" s="127"/>
      <c r="X197" s="127"/>
    </row>
    <row r="198" customFormat="false" ht="15.75" hidden="false" customHeight="true" outlineLevel="0" collapsed="false">
      <c r="A198" s="128" t="s">
        <v>549</v>
      </c>
      <c r="B198" s="128" t="n">
        <v>1156.55</v>
      </c>
      <c r="C198" s="128" t="n">
        <v>66.67</v>
      </c>
      <c r="D198" s="128" t="n">
        <v>67.02</v>
      </c>
      <c r="E198" s="128" t="n">
        <v>167.22</v>
      </c>
      <c r="F198" s="128" t="n">
        <v>137.62</v>
      </c>
      <c r="G198" s="128" t="n">
        <v>66.73</v>
      </c>
      <c r="H198" s="128" t="n">
        <v>-28.4</v>
      </c>
      <c r="I198" s="128" t="n">
        <v>-49.46</v>
      </c>
      <c r="J198" s="128" t="n">
        <v>-68.71</v>
      </c>
      <c r="K198" s="128" t="n">
        <v>1024.81</v>
      </c>
      <c r="L198" s="129" t="n">
        <f aca="false">AVERAGE(C198:E198)</f>
        <v>100.303333333333</v>
      </c>
      <c r="M198" s="130" t="n">
        <f aca="false">AVERAGE(C198:J198)</f>
        <v>44.83625</v>
      </c>
      <c r="N198" s="130" t="n">
        <f aca="false">RANK(I198,I:I)</f>
        <v>324</v>
      </c>
      <c r="O198" s="127" t="n">
        <f aca="false">RANK(L198,L:L)</f>
        <v>9</v>
      </c>
      <c r="P198" s="128" t="s">
        <v>40</v>
      </c>
      <c r="Q198" s="127" t="n">
        <f aca="false">RANK(M198,M:M)</f>
        <v>106</v>
      </c>
      <c r="R198" s="128" t="s">
        <v>40</v>
      </c>
      <c r="S198" s="127"/>
      <c r="T198" s="127"/>
      <c r="U198" s="127"/>
      <c r="V198" s="127"/>
      <c r="W198" s="127"/>
      <c r="X198" s="127"/>
    </row>
    <row r="199" customFormat="false" ht="15.75" hidden="false" customHeight="true" outlineLevel="0" collapsed="false">
      <c r="A199" s="128" t="s">
        <v>99</v>
      </c>
      <c r="B199" s="128" t="n">
        <v>1155.7</v>
      </c>
      <c r="C199" s="128" t="n">
        <v>66.67</v>
      </c>
      <c r="D199" s="128" t="n">
        <v>94.34</v>
      </c>
      <c r="E199" s="128" t="n">
        <v>107.45</v>
      </c>
      <c r="F199" s="128" t="n">
        <v>115.11</v>
      </c>
      <c r="G199" s="128" t="n">
        <v>188.92</v>
      </c>
      <c r="H199" s="128" t="n">
        <v>209.37</v>
      </c>
      <c r="I199" s="128" t="n">
        <v>247.89</v>
      </c>
      <c r="J199" s="128" t="n">
        <v>137.82</v>
      </c>
      <c r="K199" s="128" t="n">
        <v>1069.26</v>
      </c>
      <c r="L199" s="129" t="n">
        <f aca="false">AVERAGE(C199:E199)</f>
        <v>89.4866666666667</v>
      </c>
      <c r="M199" s="130" t="n">
        <f aca="false">AVERAGE(C199:J199)</f>
        <v>145.94625</v>
      </c>
      <c r="N199" s="130" t="n">
        <f aca="false">RANK(I199,I:I)</f>
        <v>10</v>
      </c>
      <c r="O199" s="127" t="n">
        <f aca="false">RANK(L199,L:L)</f>
        <v>16</v>
      </c>
      <c r="P199" s="128" t="s">
        <v>99</v>
      </c>
      <c r="Q199" s="127" t="n">
        <f aca="false">RANK(M199,M:M)</f>
        <v>9</v>
      </c>
      <c r="R199" s="128" t="s">
        <v>99</v>
      </c>
      <c r="S199" s="127"/>
      <c r="T199" s="127"/>
      <c r="U199" s="127"/>
      <c r="V199" s="127"/>
      <c r="W199" s="127"/>
      <c r="X199" s="127"/>
    </row>
    <row r="200" customFormat="false" ht="15.75" hidden="false" customHeight="true" outlineLevel="0" collapsed="false">
      <c r="A200" s="128" t="s">
        <v>522</v>
      </c>
      <c r="B200" s="128" t="n">
        <v>1143.2</v>
      </c>
      <c r="C200" s="128" t="n">
        <v>-66.67</v>
      </c>
      <c r="D200" s="128" t="n">
        <v>-133.33</v>
      </c>
      <c r="E200" s="128" t="n">
        <v>-19.82</v>
      </c>
      <c r="F200" s="128" t="n">
        <v>34.59</v>
      </c>
      <c r="G200" s="128" t="n">
        <v>45.69</v>
      </c>
      <c r="H200" s="128" t="n">
        <v>47.66</v>
      </c>
      <c r="I200" s="128" t="n">
        <v>-3.24</v>
      </c>
      <c r="J200" s="128" t="n">
        <v>-11.71</v>
      </c>
      <c r="K200" s="128" t="n">
        <v>1065.91</v>
      </c>
      <c r="L200" s="129" t="n">
        <f aca="false">AVERAGE(C200:E200)</f>
        <v>-73.2733333333333</v>
      </c>
      <c r="M200" s="130" t="n">
        <f aca="false">AVERAGE(C200:J200)</f>
        <v>-13.35375</v>
      </c>
      <c r="N200" s="130" t="n">
        <f aca="false">RANK(I200,I:I)</f>
        <v>207</v>
      </c>
      <c r="O200" s="127" t="n">
        <f aca="false">RANK(L200,L:L)</f>
        <v>413</v>
      </c>
      <c r="P200" s="128" t="s">
        <v>362</v>
      </c>
      <c r="Q200" s="127" t="n">
        <f aca="false">RANK(M200,M:M)</f>
        <v>279</v>
      </c>
      <c r="R200" s="128" t="s">
        <v>362</v>
      </c>
      <c r="S200" s="127"/>
      <c r="T200" s="127"/>
      <c r="U200" s="127"/>
      <c r="V200" s="127"/>
      <c r="W200" s="127"/>
      <c r="X200" s="127"/>
    </row>
    <row r="201" customFormat="false" ht="15.75" hidden="false" customHeight="true" outlineLevel="0" collapsed="false">
      <c r="A201" s="128" t="s">
        <v>517</v>
      </c>
      <c r="B201" s="128" t="n">
        <v>1136.9</v>
      </c>
      <c r="C201" s="128" t="n">
        <v>-66.67</v>
      </c>
      <c r="D201" s="128" t="n">
        <v>-81.3</v>
      </c>
      <c r="E201" s="128" t="n">
        <v>42.97</v>
      </c>
      <c r="F201" s="128" t="n">
        <v>75.68</v>
      </c>
      <c r="G201" s="128" t="n">
        <v>16.43</v>
      </c>
      <c r="H201" s="128" t="n">
        <v>-19.83</v>
      </c>
      <c r="I201" s="128" t="n">
        <v>-41.54</v>
      </c>
      <c r="J201" s="128" t="n">
        <v>-61.97</v>
      </c>
      <c r="K201" s="128" t="n">
        <v>1088.59</v>
      </c>
      <c r="L201" s="129" t="n">
        <f aca="false">AVERAGE(C201:E201)</f>
        <v>-35</v>
      </c>
      <c r="M201" s="130" t="n">
        <f aca="false">AVERAGE(C201:J201)</f>
        <v>-17.02875</v>
      </c>
      <c r="N201" s="130" t="n">
        <f aca="false">RANK(I201,I:I)</f>
        <v>293</v>
      </c>
      <c r="O201" s="127" t="n">
        <f aca="false">RANK(L201,L:L)</f>
        <v>177</v>
      </c>
      <c r="P201" s="128" t="s">
        <v>525</v>
      </c>
      <c r="Q201" s="127" t="n">
        <f aca="false">RANK(M201,M:M)</f>
        <v>292</v>
      </c>
      <c r="R201" s="128" t="s">
        <v>525</v>
      </c>
      <c r="S201" s="127"/>
      <c r="T201" s="127"/>
      <c r="U201" s="127"/>
      <c r="V201" s="127"/>
      <c r="W201" s="127"/>
      <c r="X201" s="127"/>
    </row>
    <row r="202" customFormat="false" ht="15.75" hidden="false" customHeight="true" outlineLevel="0" collapsed="false">
      <c r="A202" s="128" t="s">
        <v>378</v>
      </c>
      <c r="B202" s="128" t="n">
        <v>1120.7</v>
      </c>
      <c r="C202" s="128" t="n">
        <v>-66.67</v>
      </c>
      <c r="D202" s="128" t="n">
        <v>-127.21</v>
      </c>
      <c r="E202" s="128" t="n">
        <v>39.96</v>
      </c>
      <c r="F202" s="128" t="n">
        <v>131.42</v>
      </c>
      <c r="G202" s="128" t="n">
        <v>154.57</v>
      </c>
      <c r="H202" s="128" t="n">
        <v>176.77</v>
      </c>
      <c r="I202" s="128" t="n">
        <v>204.29</v>
      </c>
      <c r="J202" s="128" t="n">
        <v>114.19</v>
      </c>
      <c r="K202" s="128" t="n">
        <v>1022.05</v>
      </c>
      <c r="L202" s="129" t="n">
        <f aca="false">AVERAGE(C202:E202)</f>
        <v>-51.3066666666667</v>
      </c>
      <c r="M202" s="130" t="n">
        <f aca="false">AVERAGE(C202:J202)</f>
        <v>78.415</v>
      </c>
      <c r="N202" s="130" t="n">
        <f aca="false">RANK(I202,I:I)</f>
        <v>20</v>
      </c>
      <c r="O202" s="127" t="n">
        <f aca="false">RANK(L202,L:L)</f>
        <v>246</v>
      </c>
      <c r="P202" s="128" t="s">
        <v>549</v>
      </c>
      <c r="Q202" s="127" t="n">
        <f aca="false">RANK(M202,M:M)</f>
        <v>49</v>
      </c>
      <c r="R202" s="128" t="s">
        <v>549</v>
      </c>
      <c r="S202" s="127"/>
      <c r="T202" s="127"/>
      <c r="U202" s="127"/>
      <c r="V202" s="127"/>
      <c r="W202" s="127"/>
      <c r="X202" s="127"/>
    </row>
    <row r="203" customFormat="false" ht="15.75" hidden="false" customHeight="true" outlineLevel="0" collapsed="false">
      <c r="A203" s="128" t="s">
        <v>529</v>
      </c>
      <c r="B203" s="128" t="n">
        <v>1101.4</v>
      </c>
      <c r="C203" s="128" t="n">
        <v>-66.67</v>
      </c>
      <c r="D203" s="128" t="n">
        <v>-133.33</v>
      </c>
      <c r="E203" s="128" t="n">
        <v>37.51</v>
      </c>
      <c r="F203" s="128" t="n">
        <v>100.27</v>
      </c>
      <c r="G203" s="128" t="n">
        <v>105.82</v>
      </c>
      <c r="H203" s="128" t="n">
        <v>-22.17</v>
      </c>
      <c r="I203" s="128" t="n">
        <v>-42.57</v>
      </c>
      <c r="J203" s="128" t="n">
        <v>-59.09</v>
      </c>
      <c r="K203" s="128" t="n">
        <v>968.21</v>
      </c>
      <c r="L203" s="129" t="n">
        <f aca="false">AVERAGE(C203:E203)</f>
        <v>-54.1633333333333</v>
      </c>
      <c r="M203" s="130" t="n">
        <f aca="false">AVERAGE(C203:J203)</f>
        <v>-10.02875</v>
      </c>
      <c r="N203" s="130" t="n">
        <f aca="false">RANK(I203,I:I)</f>
        <v>295</v>
      </c>
      <c r="O203" s="127" t="n">
        <f aca="false">RANK(L203,L:L)</f>
        <v>260</v>
      </c>
      <c r="P203" s="128" t="s">
        <v>800</v>
      </c>
      <c r="Q203" s="127" t="n">
        <f aca="false">RANK(M203,M:M)</f>
        <v>266</v>
      </c>
      <c r="R203" s="128" t="s">
        <v>800</v>
      </c>
      <c r="S203" s="127"/>
      <c r="T203" s="127"/>
      <c r="U203" s="127"/>
      <c r="V203" s="127"/>
      <c r="W203" s="127"/>
      <c r="X203" s="127"/>
    </row>
    <row r="204" customFormat="false" ht="15.75" hidden="false" customHeight="true" outlineLevel="0" collapsed="false">
      <c r="A204" s="128" t="s">
        <v>362</v>
      </c>
      <c r="B204" s="128" t="n">
        <v>1099</v>
      </c>
      <c r="C204" s="128" t="n">
        <v>-66.67</v>
      </c>
      <c r="D204" s="128" t="n">
        <v>-133.33</v>
      </c>
      <c r="E204" s="128" t="n">
        <v>-113.81</v>
      </c>
      <c r="F204" s="128" t="n">
        <v>-74.24</v>
      </c>
      <c r="G204" s="128" t="n">
        <v>38.23</v>
      </c>
      <c r="H204" s="128" t="n">
        <v>38.98</v>
      </c>
      <c r="I204" s="128" t="n">
        <v>48.2</v>
      </c>
      <c r="J204" s="128" t="n">
        <v>38.22</v>
      </c>
      <c r="K204" s="128" t="n">
        <v>1188.68</v>
      </c>
      <c r="L204" s="129" t="n">
        <f aca="false">AVERAGE(C204:E204)</f>
        <v>-104.603333333333</v>
      </c>
      <c r="M204" s="130" t="n">
        <f aca="false">AVERAGE(C204:J204)</f>
        <v>-28.0525</v>
      </c>
      <c r="N204" s="130" t="n">
        <f aca="false">RANK(I204,I:I)</f>
        <v>125</v>
      </c>
      <c r="O204" s="127" t="n">
        <f aca="false">RANK(L204,L:L)</f>
        <v>480</v>
      </c>
      <c r="P204" s="128" t="s">
        <v>535</v>
      </c>
      <c r="Q204" s="127" t="n">
        <f aca="false">RANK(M204,M:M)</f>
        <v>336</v>
      </c>
      <c r="R204" s="128" t="s">
        <v>535</v>
      </c>
      <c r="S204" s="127"/>
      <c r="T204" s="127"/>
      <c r="U204" s="127"/>
      <c r="V204" s="127"/>
      <c r="W204" s="127"/>
      <c r="X204" s="127"/>
    </row>
    <row r="205" customFormat="false" ht="15.75" hidden="false" customHeight="true" outlineLevel="0" collapsed="false">
      <c r="A205" s="128" t="s">
        <v>134</v>
      </c>
      <c r="B205" s="128" t="n">
        <v>1088.5</v>
      </c>
      <c r="C205" s="128" t="n">
        <v>-66.67</v>
      </c>
      <c r="D205" s="128" t="n">
        <v>-84.94</v>
      </c>
      <c r="E205" s="128" t="n">
        <v>51.63</v>
      </c>
      <c r="F205" s="128" t="n">
        <v>-1</v>
      </c>
      <c r="G205" s="128" t="n">
        <v>-8.61</v>
      </c>
      <c r="H205" s="128" t="n">
        <v>-49.45</v>
      </c>
      <c r="I205" s="128" t="n">
        <v>-70.13</v>
      </c>
      <c r="J205" s="128" t="n">
        <v>-81.07</v>
      </c>
      <c r="K205" s="128" t="n">
        <v>1007.09</v>
      </c>
      <c r="L205" s="129" t="n">
        <f aca="false">AVERAGE(C205:E205)</f>
        <v>-33.3266666666667</v>
      </c>
      <c r="M205" s="130" t="n">
        <f aca="false">AVERAGE(C205:J205)</f>
        <v>-38.78</v>
      </c>
      <c r="N205" s="130" t="n">
        <f aca="false">RANK(I205,I:I)</f>
        <v>392</v>
      </c>
      <c r="O205" s="127" t="n">
        <f aca="false">RANK(L205,L:L)</f>
        <v>168</v>
      </c>
      <c r="P205" s="128" t="s">
        <v>426</v>
      </c>
      <c r="Q205" s="127" t="n">
        <f aca="false">RANK(M205,M:M)</f>
        <v>377</v>
      </c>
      <c r="R205" s="128" t="s">
        <v>426</v>
      </c>
      <c r="S205" s="127"/>
      <c r="T205" s="127"/>
      <c r="U205" s="127"/>
      <c r="V205" s="127"/>
      <c r="W205" s="127"/>
      <c r="X205" s="127"/>
    </row>
    <row r="206" customFormat="false" ht="15.75" hidden="false" customHeight="true" outlineLevel="0" collapsed="false">
      <c r="A206" s="128" t="s">
        <v>459</v>
      </c>
      <c r="B206" s="128" t="n">
        <v>1081.7</v>
      </c>
      <c r="C206" s="128" t="n">
        <v>-66.67</v>
      </c>
      <c r="D206" s="128" t="n">
        <v>-56.07</v>
      </c>
      <c r="E206" s="128" t="n">
        <v>51.08</v>
      </c>
      <c r="F206" s="128" t="n">
        <v>67.98</v>
      </c>
      <c r="G206" s="128" t="n">
        <v>69.4</v>
      </c>
      <c r="H206" s="128" t="n">
        <v>-10.63</v>
      </c>
      <c r="I206" s="128" t="n">
        <v>-21.69</v>
      </c>
      <c r="J206" s="128" t="n">
        <v>-23.73</v>
      </c>
      <c r="K206" s="128" t="n">
        <v>992.68</v>
      </c>
      <c r="L206" s="129" t="n">
        <f aca="false">AVERAGE(C206:E206)</f>
        <v>-23.8866666666667</v>
      </c>
      <c r="M206" s="130" t="n">
        <f aca="false">AVERAGE(C206:J206)</f>
        <v>1.20875</v>
      </c>
      <c r="N206" s="130" t="n">
        <f aca="false">RANK(I206,I:I)</f>
        <v>244</v>
      </c>
      <c r="O206" s="127" t="n">
        <f aca="false">RANK(L206,L:L)</f>
        <v>142</v>
      </c>
      <c r="P206" s="128" t="s">
        <v>470</v>
      </c>
      <c r="Q206" s="127" t="n">
        <f aca="false">RANK(M206,M:M)</f>
        <v>228</v>
      </c>
      <c r="R206" s="128" t="s">
        <v>470</v>
      </c>
      <c r="S206" s="127"/>
      <c r="T206" s="127"/>
      <c r="U206" s="127"/>
      <c r="V206" s="127"/>
      <c r="W206" s="127"/>
      <c r="X206" s="127"/>
    </row>
    <row r="207" customFormat="false" ht="15.75" hidden="false" customHeight="true" outlineLevel="0" collapsed="false">
      <c r="A207" s="128" t="s">
        <v>535</v>
      </c>
      <c r="B207" s="128" t="n">
        <v>1075</v>
      </c>
      <c r="C207" s="128" t="n">
        <v>-66.67</v>
      </c>
      <c r="D207" s="128" t="n">
        <v>-118.1</v>
      </c>
      <c r="E207" s="128" t="n">
        <v>46.23</v>
      </c>
      <c r="F207" s="128" t="n">
        <v>86.5</v>
      </c>
      <c r="G207" s="128" t="n">
        <v>102.82</v>
      </c>
      <c r="H207" s="128" t="n">
        <v>-5.86</v>
      </c>
      <c r="I207" s="128" t="n">
        <v>-31.01</v>
      </c>
      <c r="J207" s="128" t="n">
        <v>-43.88</v>
      </c>
      <c r="K207" s="128" t="n">
        <v>1014.73</v>
      </c>
      <c r="L207" s="129" t="n">
        <f aca="false">AVERAGE(C207:E207)</f>
        <v>-46.18</v>
      </c>
      <c r="M207" s="130" t="n">
        <f aca="false">AVERAGE(C207:J207)</f>
        <v>-3.74625</v>
      </c>
      <c r="N207" s="130" t="n">
        <f aca="false">RANK(I207,I:I)</f>
        <v>262</v>
      </c>
      <c r="O207" s="127" t="n">
        <f aca="false">RANK(L207,L:L)</f>
        <v>223</v>
      </c>
      <c r="P207" s="128" t="s">
        <v>857</v>
      </c>
      <c r="Q207" s="127" t="n">
        <f aca="false">RANK(M207,M:M)</f>
        <v>244</v>
      </c>
      <c r="R207" s="128" t="s">
        <v>857</v>
      </c>
      <c r="S207" s="127"/>
      <c r="T207" s="127"/>
      <c r="U207" s="127"/>
      <c r="V207" s="127"/>
      <c r="W207" s="127"/>
      <c r="X207" s="127"/>
    </row>
    <row r="208" customFormat="false" ht="15.75" hidden="false" customHeight="true" outlineLevel="0" collapsed="false">
      <c r="A208" s="128" t="s">
        <v>249</v>
      </c>
      <c r="B208" s="128" t="n">
        <v>1067.4</v>
      </c>
      <c r="C208" s="128" t="n">
        <v>-66.67</v>
      </c>
      <c r="D208" s="128" t="n">
        <v>-133.33</v>
      </c>
      <c r="E208" s="128" t="n">
        <v>-48.22</v>
      </c>
      <c r="F208" s="128" t="n">
        <v>-1.11</v>
      </c>
      <c r="G208" s="128" t="n">
        <v>26.44</v>
      </c>
      <c r="H208" s="128" t="n">
        <v>-2.79</v>
      </c>
      <c r="I208" s="128" t="n">
        <v>11.41</v>
      </c>
      <c r="J208" s="128" t="n">
        <v>32.66</v>
      </c>
      <c r="K208" s="128" t="n">
        <v>1058.04</v>
      </c>
      <c r="L208" s="129" t="n">
        <f aca="false">AVERAGE(C208:E208)</f>
        <v>-82.74</v>
      </c>
      <c r="M208" s="130" t="n">
        <f aca="false">AVERAGE(C208:J208)</f>
        <v>-22.70125</v>
      </c>
      <c r="N208" s="130" t="n">
        <f aca="false">RANK(I208,I:I)</f>
        <v>183</v>
      </c>
      <c r="O208" s="127" t="n">
        <f aca="false">RANK(L208,L:L)</f>
        <v>448</v>
      </c>
      <c r="P208" s="128" t="s">
        <v>816</v>
      </c>
      <c r="Q208" s="127" t="n">
        <f aca="false">RANK(M208,M:M)</f>
        <v>313</v>
      </c>
      <c r="R208" s="128" t="s">
        <v>816</v>
      </c>
      <c r="S208" s="127"/>
      <c r="T208" s="127"/>
      <c r="U208" s="127"/>
      <c r="V208" s="127"/>
      <c r="W208" s="127"/>
      <c r="X208" s="127"/>
    </row>
    <row r="209" customFormat="false" ht="15.75" hidden="false" customHeight="true" outlineLevel="0" collapsed="false">
      <c r="A209" s="128" t="s">
        <v>486</v>
      </c>
      <c r="B209" s="128" t="n">
        <v>1055.65</v>
      </c>
      <c r="C209" s="128" t="n">
        <v>-66.67</v>
      </c>
      <c r="D209" s="128" t="n">
        <v>49.37</v>
      </c>
      <c r="E209" s="128" t="n">
        <v>133.7</v>
      </c>
      <c r="F209" s="128" t="n">
        <v>156.61</v>
      </c>
      <c r="G209" s="128" t="n">
        <v>108.63</v>
      </c>
      <c r="H209" s="128" t="n">
        <v>-30.36</v>
      </c>
      <c r="I209" s="128" t="n">
        <v>-40.29</v>
      </c>
      <c r="J209" s="128" t="n">
        <v>-52.15</v>
      </c>
      <c r="K209" s="128" t="n">
        <v>925.84</v>
      </c>
      <c r="L209" s="129" t="n">
        <f aca="false">AVERAGE(C209:E209)</f>
        <v>38.8</v>
      </c>
      <c r="M209" s="130" t="n">
        <f aca="false">AVERAGE(C209:J209)</f>
        <v>32.355</v>
      </c>
      <c r="N209" s="130" t="n">
        <f aca="false">RANK(I209,I:I)</f>
        <v>287</v>
      </c>
      <c r="O209" s="127" t="n">
        <f aca="false">RANK(L209,L:L)</f>
        <v>35</v>
      </c>
      <c r="P209" s="128" t="s">
        <v>459</v>
      </c>
      <c r="Q209" s="127" t="n">
        <f aca="false">RANK(M209,M:M)</f>
        <v>133</v>
      </c>
      <c r="R209" s="128" t="s">
        <v>459</v>
      </c>
      <c r="S209" s="127"/>
      <c r="T209" s="127"/>
      <c r="U209" s="127"/>
      <c r="V209" s="127"/>
      <c r="W209" s="127"/>
      <c r="X209" s="127"/>
    </row>
    <row r="210" customFormat="false" ht="15.75" hidden="false" customHeight="true" outlineLevel="0" collapsed="false">
      <c r="A210" s="128" t="s">
        <v>544</v>
      </c>
      <c r="B210" s="128" t="n">
        <v>1038.4</v>
      </c>
      <c r="C210" s="128" t="n">
        <v>-66.67</v>
      </c>
      <c r="D210" s="128" t="n">
        <v>-93.77</v>
      </c>
      <c r="E210" s="128" t="n">
        <v>6.05</v>
      </c>
      <c r="F210" s="128" t="n">
        <v>35.34</v>
      </c>
      <c r="G210" s="128" t="n">
        <v>39.06</v>
      </c>
      <c r="H210" s="128" t="n">
        <v>5.01</v>
      </c>
      <c r="I210" s="128" t="n">
        <v>-6.94</v>
      </c>
      <c r="J210" s="128" t="n">
        <v>13.04</v>
      </c>
      <c r="K210" s="128" t="n">
        <v>973.27</v>
      </c>
      <c r="L210" s="129" t="n">
        <f aca="false">AVERAGE(C210:E210)</f>
        <v>-51.4633333333333</v>
      </c>
      <c r="M210" s="130" t="n">
        <f aca="false">AVERAGE(C210:J210)</f>
        <v>-8.61</v>
      </c>
      <c r="N210" s="130" t="n">
        <f aca="false">RANK(I210,I:I)</f>
        <v>215</v>
      </c>
      <c r="O210" s="127" t="n">
        <f aca="false">RANK(L210,L:L)</f>
        <v>247</v>
      </c>
      <c r="P210" s="128" t="s">
        <v>430</v>
      </c>
      <c r="Q210" s="127" t="n">
        <f aca="false">RANK(M210,M:M)</f>
        <v>262</v>
      </c>
      <c r="R210" s="128" t="s">
        <v>430</v>
      </c>
      <c r="S210" s="127"/>
      <c r="T210" s="127"/>
      <c r="U210" s="127"/>
      <c r="V210" s="127"/>
      <c r="W210" s="127"/>
      <c r="X210" s="127"/>
    </row>
    <row r="211" customFormat="false" ht="15.75" hidden="false" customHeight="true" outlineLevel="0" collapsed="false">
      <c r="A211" s="128" t="s">
        <v>857</v>
      </c>
      <c r="B211" s="128" t="n">
        <v>1036.3</v>
      </c>
      <c r="C211" s="128" t="n">
        <v>-66.67</v>
      </c>
      <c r="D211" s="128" t="n">
        <v>-27.86</v>
      </c>
      <c r="E211" s="128" t="n">
        <v>72.07</v>
      </c>
      <c r="F211" s="128" t="n">
        <v>-9.48</v>
      </c>
      <c r="G211" s="128" t="n">
        <v>-33.35</v>
      </c>
      <c r="H211" s="128" t="n">
        <v>-30.14</v>
      </c>
      <c r="I211" s="128" t="n">
        <v>-41.48</v>
      </c>
      <c r="J211" s="128" t="n">
        <v>-51.47</v>
      </c>
      <c r="K211" s="128" t="n">
        <v>1093.65</v>
      </c>
      <c r="L211" s="129" t="n">
        <f aca="false">AVERAGE(C211:E211)</f>
        <v>-7.48666666666667</v>
      </c>
      <c r="M211" s="130" t="n">
        <f aca="false">AVERAGE(C211:J211)</f>
        <v>-23.5475</v>
      </c>
      <c r="N211" s="130" t="n">
        <f aca="false">RANK(I211,I:I)</f>
        <v>292</v>
      </c>
      <c r="O211" s="127" t="n">
        <f aca="false">RANK(L211,L:L)</f>
        <v>102</v>
      </c>
      <c r="P211" s="128" t="s">
        <v>378</v>
      </c>
      <c r="Q211" s="127" t="n">
        <f aca="false">RANK(M211,M:M)</f>
        <v>317</v>
      </c>
      <c r="R211" s="128" t="s">
        <v>378</v>
      </c>
      <c r="S211" s="127"/>
      <c r="T211" s="127"/>
      <c r="U211" s="127"/>
      <c r="V211" s="127"/>
      <c r="W211" s="127"/>
      <c r="X211" s="127"/>
    </row>
    <row r="212" customFormat="false" ht="15.75" hidden="false" customHeight="true" outlineLevel="0" collapsed="false">
      <c r="A212" s="128" t="s">
        <v>392</v>
      </c>
      <c r="B212" s="128" t="n">
        <v>1029.7</v>
      </c>
      <c r="C212" s="128" t="n">
        <v>-66.67</v>
      </c>
      <c r="D212" s="128" t="n">
        <v>-133.17</v>
      </c>
      <c r="E212" s="128" t="n">
        <v>23.26</v>
      </c>
      <c r="F212" s="128" t="n">
        <v>49.92</v>
      </c>
      <c r="G212" s="128" t="n">
        <v>-2.79</v>
      </c>
      <c r="H212" s="128" t="n">
        <v>-46.23</v>
      </c>
      <c r="I212" s="128" t="n">
        <v>-66.43</v>
      </c>
      <c r="J212" s="128" t="n">
        <v>-84.63</v>
      </c>
      <c r="K212" s="128" t="n">
        <v>946.5</v>
      </c>
      <c r="L212" s="129" t="n">
        <f aca="false">AVERAGE(C212:E212)</f>
        <v>-58.86</v>
      </c>
      <c r="M212" s="130" t="n">
        <f aca="false">AVERAGE(C212:J212)</f>
        <v>-40.8425</v>
      </c>
      <c r="N212" s="130" t="n">
        <f aca="false">RANK(I212,I:I)</f>
        <v>379</v>
      </c>
      <c r="O212" s="127" t="n">
        <f aca="false">RANK(L212,L:L)</f>
        <v>291</v>
      </c>
      <c r="P212" s="128" t="s">
        <v>43</v>
      </c>
      <c r="Q212" s="127" t="n">
        <f aca="false">RANK(M212,M:M)</f>
        <v>382</v>
      </c>
      <c r="R212" s="128" t="s">
        <v>43</v>
      </c>
      <c r="S212" s="127"/>
      <c r="T212" s="127"/>
      <c r="U212" s="127"/>
      <c r="V212" s="127"/>
      <c r="W212" s="127"/>
      <c r="X212" s="127"/>
    </row>
    <row r="213" customFormat="false" ht="15.75" hidden="false" customHeight="true" outlineLevel="0" collapsed="false">
      <c r="A213" s="128" t="s">
        <v>45</v>
      </c>
      <c r="B213" s="128" t="n">
        <v>1028.4</v>
      </c>
      <c r="C213" s="128" t="n">
        <v>-66.67</v>
      </c>
      <c r="D213" s="128" t="n">
        <v>-128.6</v>
      </c>
      <c r="E213" s="128" t="n">
        <v>57.25</v>
      </c>
      <c r="F213" s="128" t="n">
        <v>25.85</v>
      </c>
      <c r="G213" s="128" t="n">
        <v>74.44</v>
      </c>
      <c r="H213" s="128" t="n">
        <v>101.7</v>
      </c>
      <c r="I213" s="128" t="n">
        <v>114.02</v>
      </c>
      <c r="J213" s="128" t="n">
        <v>112.53</v>
      </c>
      <c r="K213" s="128" t="n">
        <v>972.78</v>
      </c>
      <c r="L213" s="129" t="n">
        <f aca="false">AVERAGE(C213:E213)</f>
        <v>-46.0066666666667</v>
      </c>
      <c r="M213" s="130" t="n">
        <f aca="false">AVERAGE(C213:J213)</f>
        <v>36.315</v>
      </c>
      <c r="N213" s="130" t="n">
        <f aca="false">RANK(I213,I:I)</f>
        <v>67</v>
      </c>
      <c r="O213" s="127" t="n">
        <f aca="false">RANK(L213,L:L)</f>
        <v>222</v>
      </c>
      <c r="P213" s="128" t="s">
        <v>278</v>
      </c>
      <c r="Q213" s="127" t="n">
        <f aca="false">RANK(M213,M:M)</f>
        <v>120</v>
      </c>
      <c r="R213" s="128" t="s">
        <v>278</v>
      </c>
      <c r="S213" s="127"/>
      <c r="T213" s="127"/>
      <c r="U213" s="127"/>
      <c r="V213" s="127"/>
      <c r="W213" s="127"/>
      <c r="X213" s="127"/>
    </row>
    <row r="214" customFormat="false" ht="15.75" hidden="false" customHeight="true" outlineLevel="0" collapsed="false">
      <c r="A214" s="128" t="s">
        <v>319</v>
      </c>
      <c r="B214" s="128" t="n">
        <v>1026</v>
      </c>
      <c r="C214" s="128" t="n">
        <v>-66.67</v>
      </c>
      <c r="D214" s="128" t="n">
        <v>-133.33</v>
      </c>
      <c r="E214" s="128" t="n">
        <v>18.2</v>
      </c>
      <c r="F214" s="128" t="n">
        <v>66.4</v>
      </c>
      <c r="G214" s="128" t="n">
        <v>22.11</v>
      </c>
      <c r="H214" s="128" t="n">
        <v>-33.56</v>
      </c>
      <c r="I214" s="128" t="n">
        <v>-57.63</v>
      </c>
      <c r="J214" s="128" t="n">
        <v>-74.42</v>
      </c>
      <c r="K214" s="128" t="n">
        <v>954.52</v>
      </c>
      <c r="L214" s="129" t="n">
        <f aca="false">AVERAGE(C214:E214)</f>
        <v>-60.6</v>
      </c>
      <c r="M214" s="130" t="n">
        <f aca="false">AVERAGE(C214:J214)</f>
        <v>-32.3625</v>
      </c>
      <c r="N214" s="130" t="n">
        <f aca="false">RANK(I214,I:I)</f>
        <v>358</v>
      </c>
      <c r="O214" s="127" t="n">
        <f aca="false">RANK(L214,L:L)</f>
        <v>304</v>
      </c>
      <c r="P214" s="128" t="s">
        <v>134</v>
      </c>
      <c r="Q214" s="127" t="n">
        <f aca="false">RANK(M214,M:M)</f>
        <v>352</v>
      </c>
      <c r="R214" s="128" t="s">
        <v>134</v>
      </c>
      <c r="S214" s="127"/>
      <c r="T214" s="127"/>
      <c r="U214" s="127"/>
      <c r="V214" s="127"/>
      <c r="W214" s="127"/>
      <c r="X214" s="127"/>
    </row>
    <row r="215" customFormat="false" ht="15.75" hidden="false" customHeight="true" outlineLevel="0" collapsed="false">
      <c r="A215" s="128" t="s">
        <v>525</v>
      </c>
      <c r="B215" s="128" t="n">
        <v>1023.5</v>
      </c>
      <c r="C215" s="128" t="n">
        <v>-66.67</v>
      </c>
      <c r="D215" s="128" t="n">
        <v>-133.33</v>
      </c>
      <c r="E215" s="128" t="n">
        <v>-169.29</v>
      </c>
      <c r="F215" s="128" t="n">
        <v>-111.59</v>
      </c>
      <c r="G215" s="128" t="n">
        <v>-110.26</v>
      </c>
      <c r="H215" s="128" t="n">
        <v>-128.73</v>
      </c>
      <c r="I215" s="128" t="n">
        <v>-164.09</v>
      </c>
      <c r="J215" s="128" t="n">
        <v>-191.06</v>
      </c>
      <c r="K215" s="128" t="n">
        <v>1164.02</v>
      </c>
      <c r="L215" s="129" t="n">
        <f aca="false">AVERAGE(C215:E215)</f>
        <v>-123.096666666667</v>
      </c>
      <c r="M215" s="130" t="n">
        <f aca="false">AVERAGE(C215:J215)</f>
        <v>-134.3775</v>
      </c>
      <c r="N215" s="130" t="n">
        <f aca="false">RANK(I215,I:I)</f>
        <v>488</v>
      </c>
      <c r="O215" s="127" t="n">
        <f aca="false">RANK(L215,L:L)</f>
        <v>495</v>
      </c>
      <c r="P215" s="128" t="s">
        <v>319</v>
      </c>
      <c r="Q215" s="127" t="n">
        <f aca="false">RANK(M215,M:M)</f>
        <v>497</v>
      </c>
      <c r="R215" s="128" t="s">
        <v>319</v>
      </c>
      <c r="S215" s="127"/>
      <c r="T215" s="127"/>
      <c r="U215" s="127"/>
      <c r="V215" s="127"/>
      <c r="W215" s="127"/>
      <c r="X215" s="127"/>
    </row>
    <row r="216" customFormat="false" ht="15.75" hidden="false" customHeight="true" outlineLevel="0" collapsed="false">
      <c r="A216" s="128" t="s">
        <v>290</v>
      </c>
      <c r="B216" s="128" t="n">
        <v>1023</v>
      </c>
      <c r="C216" s="128" t="n">
        <v>-66.67</v>
      </c>
      <c r="D216" s="128" t="n">
        <v>-89.67</v>
      </c>
      <c r="E216" s="128" t="n">
        <v>59.72</v>
      </c>
      <c r="F216" s="128" t="n">
        <v>125.5</v>
      </c>
      <c r="G216" s="128" t="n">
        <v>18.02</v>
      </c>
      <c r="H216" s="128" t="n">
        <v>-32.04</v>
      </c>
      <c r="I216" s="128" t="n">
        <v>-51.08</v>
      </c>
      <c r="J216" s="128" t="n">
        <v>-67.93</v>
      </c>
      <c r="K216" s="128" t="n">
        <v>952.38</v>
      </c>
      <c r="L216" s="129" t="n">
        <f aca="false">AVERAGE(C216:E216)</f>
        <v>-32.2066666666667</v>
      </c>
      <c r="M216" s="130" t="n">
        <f aca="false">AVERAGE(C216:J216)</f>
        <v>-13.01875</v>
      </c>
      <c r="N216" s="130" t="n">
        <f aca="false">RANK(I216,I:I)</f>
        <v>332</v>
      </c>
      <c r="O216" s="127" t="n">
        <f aca="false">RANK(L216,L:L)</f>
        <v>164</v>
      </c>
      <c r="P216" s="128" t="s">
        <v>392</v>
      </c>
      <c r="Q216" s="127" t="n">
        <f aca="false">RANK(M216,M:M)</f>
        <v>277</v>
      </c>
      <c r="R216" s="128" t="s">
        <v>392</v>
      </c>
      <c r="S216" s="127"/>
      <c r="T216" s="127"/>
      <c r="U216" s="127"/>
      <c r="V216" s="127"/>
      <c r="W216" s="127"/>
      <c r="X216" s="127"/>
    </row>
    <row r="217" customFormat="false" ht="15.75" hidden="false" customHeight="true" outlineLevel="0" collapsed="false">
      <c r="A217" s="128" t="s">
        <v>391</v>
      </c>
      <c r="B217" s="128" t="n">
        <v>1022.95</v>
      </c>
      <c r="C217" s="128" t="n">
        <v>-66.67</v>
      </c>
      <c r="D217" s="128" t="n">
        <v>-118.58</v>
      </c>
      <c r="E217" s="128" t="n">
        <v>-7.42</v>
      </c>
      <c r="F217" s="128" t="n">
        <v>84.84</v>
      </c>
      <c r="G217" s="128" t="n">
        <v>136</v>
      </c>
      <c r="H217" s="128" t="n">
        <v>75.7</v>
      </c>
      <c r="I217" s="128" t="n">
        <v>85.41</v>
      </c>
      <c r="J217" s="128" t="n">
        <v>99.93</v>
      </c>
      <c r="K217" s="128" t="n">
        <v>962.14</v>
      </c>
      <c r="L217" s="129" t="n">
        <f aca="false">AVERAGE(C217:E217)</f>
        <v>-64.2233333333333</v>
      </c>
      <c r="M217" s="130" t="n">
        <f aca="false">AVERAGE(C217:J217)</f>
        <v>36.15125</v>
      </c>
      <c r="N217" s="130" t="n">
        <f aca="false">RANK(I217,I:I)</f>
        <v>92</v>
      </c>
      <c r="O217" s="127" t="n">
        <f aca="false">RANK(L217,L:L)</f>
        <v>339</v>
      </c>
      <c r="P217" s="128" t="s">
        <v>529</v>
      </c>
      <c r="Q217" s="127" t="n">
        <f aca="false">RANK(M217,M:M)</f>
        <v>123</v>
      </c>
      <c r="R217" s="128" t="s">
        <v>529</v>
      </c>
      <c r="S217" s="127"/>
      <c r="T217" s="127"/>
      <c r="U217" s="127"/>
      <c r="V217" s="127"/>
      <c r="W217" s="127"/>
      <c r="X217" s="127"/>
    </row>
    <row r="218" customFormat="false" ht="15.75" hidden="false" customHeight="true" outlineLevel="0" collapsed="false">
      <c r="A218" s="128" t="s">
        <v>800</v>
      </c>
      <c r="B218" s="128" t="n">
        <v>1020.3</v>
      </c>
      <c r="C218" s="128" t="n">
        <v>-66.67</v>
      </c>
      <c r="D218" s="128" t="n">
        <v>-133.33</v>
      </c>
      <c r="E218" s="128" t="n">
        <v>-85.54</v>
      </c>
      <c r="F218" s="128" t="n">
        <v>-37.49</v>
      </c>
      <c r="G218" s="128" t="n">
        <v>-29.21</v>
      </c>
      <c r="H218" s="128" t="n">
        <v>-52.56</v>
      </c>
      <c r="I218" s="128" t="n">
        <v>-66.91</v>
      </c>
      <c r="J218" s="128" t="n">
        <v>-61.89</v>
      </c>
      <c r="K218" s="128" t="n">
        <v>990.03</v>
      </c>
      <c r="L218" s="129" t="n">
        <f aca="false">AVERAGE(C218:E218)</f>
        <v>-95.18</v>
      </c>
      <c r="M218" s="130" t="n">
        <f aca="false">AVERAGE(C218:J218)</f>
        <v>-66.7</v>
      </c>
      <c r="N218" s="130" t="n">
        <f aca="false">RANK(I218,I:I)</f>
        <v>382</v>
      </c>
      <c r="O218" s="127" t="n">
        <f aca="false">RANK(L218,L:L)</f>
        <v>470</v>
      </c>
      <c r="P218" s="128" t="s">
        <v>45</v>
      </c>
      <c r="Q218" s="127" t="n">
        <f aca="false">RANK(M218,M:M)</f>
        <v>449</v>
      </c>
      <c r="R218" s="128" t="s">
        <v>45</v>
      </c>
      <c r="S218" s="127"/>
      <c r="T218" s="127"/>
      <c r="U218" s="127"/>
      <c r="V218" s="127"/>
      <c r="W218" s="127"/>
      <c r="X218" s="127"/>
    </row>
    <row r="219" customFormat="false" ht="15.75" hidden="false" customHeight="true" outlineLevel="0" collapsed="false">
      <c r="A219" s="128" t="s">
        <v>430</v>
      </c>
      <c r="B219" s="128" t="n">
        <v>1014.9</v>
      </c>
      <c r="C219" s="128" t="n">
        <v>-66.67</v>
      </c>
      <c r="D219" s="128" t="n">
        <v>-123.78</v>
      </c>
      <c r="E219" s="128" t="n">
        <v>-27.42</v>
      </c>
      <c r="F219" s="128" t="n">
        <v>5.16</v>
      </c>
      <c r="G219" s="128" t="n">
        <v>62.23</v>
      </c>
      <c r="H219" s="128" t="n">
        <v>-0.33</v>
      </c>
      <c r="I219" s="128" t="n">
        <v>-31.91</v>
      </c>
      <c r="J219" s="128" t="n">
        <v>-46.89</v>
      </c>
      <c r="K219" s="128" t="n">
        <v>954.53</v>
      </c>
      <c r="L219" s="129" t="n">
        <f aca="false">AVERAGE(C219:E219)</f>
        <v>-72.6233333333333</v>
      </c>
      <c r="M219" s="130" t="n">
        <f aca="false">AVERAGE(C219:J219)</f>
        <v>-28.70125</v>
      </c>
      <c r="N219" s="130" t="n">
        <f aca="false">RANK(I219,I:I)</f>
        <v>264</v>
      </c>
      <c r="O219" s="127" t="n">
        <f aca="false">RANK(L219,L:L)</f>
        <v>408</v>
      </c>
      <c r="P219" s="128" t="s">
        <v>332</v>
      </c>
      <c r="Q219" s="127" t="n">
        <f aca="false">RANK(M219,M:M)</f>
        <v>340</v>
      </c>
      <c r="R219" s="128" t="s">
        <v>332</v>
      </c>
      <c r="S219" s="127"/>
      <c r="T219" s="127"/>
      <c r="U219" s="127"/>
      <c r="V219" s="127"/>
      <c r="W219" s="127"/>
      <c r="X219" s="127"/>
    </row>
    <row r="220" customFormat="false" ht="15.75" hidden="false" customHeight="true" outlineLevel="0" collapsed="false">
      <c r="A220" s="128" t="s">
        <v>816</v>
      </c>
      <c r="B220" s="128" t="n">
        <v>1011.8</v>
      </c>
      <c r="C220" s="128" t="n">
        <v>-66.67</v>
      </c>
      <c r="D220" s="128" t="n">
        <v>-133.33</v>
      </c>
      <c r="E220" s="128" t="n">
        <v>-113.93</v>
      </c>
      <c r="F220" s="128" t="n">
        <v>-77.19</v>
      </c>
      <c r="G220" s="128" t="n">
        <v>-74</v>
      </c>
      <c r="H220" s="128" t="n">
        <v>-73.01</v>
      </c>
      <c r="I220" s="128" t="n">
        <v>-88.49</v>
      </c>
      <c r="J220" s="128" t="n">
        <v>-104.68</v>
      </c>
      <c r="K220" s="128" t="n">
        <v>1094.69</v>
      </c>
      <c r="L220" s="129" t="n">
        <f aca="false">AVERAGE(C220:E220)</f>
        <v>-104.643333333333</v>
      </c>
      <c r="M220" s="130" t="n">
        <f aca="false">AVERAGE(C220:J220)</f>
        <v>-91.4125</v>
      </c>
      <c r="N220" s="130" t="n">
        <f aca="false">RANK(I220,I:I)</f>
        <v>436</v>
      </c>
      <c r="O220" s="127" t="n">
        <f aca="false">RANK(L220,L:L)</f>
        <v>481</v>
      </c>
      <c r="P220" s="128" t="s">
        <v>507</v>
      </c>
      <c r="Q220" s="127" t="n">
        <f aca="false">RANK(M220,M:M)</f>
        <v>482</v>
      </c>
      <c r="R220" s="128" t="s">
        <v>507</v>
      </c>
      <c r="S220" s="127"/>
      <c r="T220" s="127"/>
      <c r="U220" s="127"/>
      <c r="V220" s="127"/>
      <c r="W220" s="127"/>
      <c r="X220" s="127"/>
    </row>
    <row r="221" customFormat="false" ht="15.75" hidden="false" customHeight="true" outlineLevel="0" collapsed="false">
      <c r="A221" s="128" t="s">
        <v>850</v>
      </c>
      <c r="B221" s="128" t="n">
        <v>989.35</v>
      </c>
      <c r="C221" s="128" t="n">
        <v>-66.67</v>
      </c>
      <c r="D221" s="128" t="n">
        <v>-133.33</v>
      </c>
      <c r="E221" s="128" t="n">
        <v>42.28</v>
      </c>
      <c r="F221" s="128" t="n">
        <v>137.31</v>
      </c>
      <c r="G221" s="128" t="n">
        <v>88.44</v>
      </c>
      <c r="H221" s="128" t="n">
        <v>-16.88</v>
      </c>
      <c r="I221" s="128" t="n">
        <v>-29.9</v>
      </c>
      <c r="J221" s="128" t="n">
        <v>-33.97</v>
      </c>
      <c r="K221" s="128" t="n">
        <v>940.13</v>
      </c>
      <c r="L221" s="129" t="n">
        <f aca="false">AVERAGE(C221:E221)</f>
        <v>-52.5733333333333</v>
      </c>
      <c r="M221" s="130" t="n">
        <f aca="false">AVERAGE(C221:J221)</f>
        <v>-1.59</v>
      </c>
      <c r="N221" s="130" t="n">
        <f aca="false">RANK(I221,I:I)</f>
        <v>260</v>
      </c>
      <c r="O221" s="127" t="n">
        <f aca="false">RANK(L221,L:L)</f>
        <v>251</v>
      </c>
      <c r="P221" s="128" t="s">
        <v>62</v>
      </c>
      <c r="Q221" s="127" t="n">
        <f aca="false">RANK(M221,M:M)</f>
        <v>237</v>
      </c>
      <c r="R221" s="128" t="s">
        <v>62</v>
      </c>
      <c r="S221" s="127"/>
      <c r="T221" s="127"/>
      <c r="U221" s="127"/>
      <c r="V221" s="127"/>
      <c r="W221" s="127"/>
      <c r="X221" s="127"/>
    </row>
    <row r="222" customFormat="false" ht="15.75" hidden="false" customHeight="true" outlineLevel="0" collapsed="false">
      <c r="A222" s="128" t="s">
        <v>278</v>
      </c>
      <c r="B222" s="128" t="n">
        <v>989.2</v>
      </c>
      <c r="C222" s="128" t="n">
        <v>-66.67</v>
      </c>
      <c r="D222" s="128" t="n">
        <v>-121.84</v>
      </c>
      <c r="E222" s="128" t="n">
        <v>-62.19</v>
      </c>
      <c r="F222" s="128" t="n">
        <v>-51.93</v>
      </c>
      <c r="G222" s="128" t="n">
        <v>-55.1</v>
      </c>
      <c r="H222" s="128" t="n">
        <v>-72.77</v>
      </c>
      <c r="I222" s="128" t="n">
        <v>-75.91</v>
      </c>
      <c r="J222" s="128" t="n">
        <v>-85.86</v>
      </c>
      <c r="K222" s="128" t="n">
        <v>932.57</v>
      </c>
      <c r="L222" s="129" t="n">
        <f aca="false">AVERAGE(C222:E222)</f>
        <v>-83.5666666666667</v>
      </c>
      <c r="M222" s="130" t="n">
        <f aca="false">AVERAGE(C222:J222)</f>
        <v>-74.03375</v>
      </c>
      <c r="N222" s="130" t="n">
        <f aca="false">RANK(I222,I:I)</f>
        <v>408</v>
      </c>
      <c r="O222" s="127" t="n">
        <f aca="false">RANK(L222,L:L)</f>
        <v>450</v>
      </c>
      <c r="P222" s="128" t="s">
        <v>391</v>
      </c>
      <c r="Q222" s="127" t="n">
        <f aca="false">RANK(M222,M:M)</f>
        <v>461</v>
      </c>
      <c r="R222" s="128" t="s">
        <v>391</v>
      </c>
      <c r="S222" s="127"/>
      <c r="T222" s="127"/>
      <c r="U222" s="127"/>
      <c r="V222" s="127"/>
      <c r="W222" s="127"/>
      <c r="X222" s="127"/>
    </row>
    <row r="223" customFormat="false" ht="15.75" hidden="false" customHeight="true" outlineLevel="0" collapsed="false">
      <c r="A223" s="128" t="s">
        <v>43</v>
      </c>
      <c r="B223" s="128" t="n">
        <v>981.2</v>
      </c>
      <c r="C223" s="128" t="n">
        <v>-66.67</v>
      </c>
      <c r="D223" s="128" t="n">
        <v>-133.33</v>
      </c>
      <c r="E223" s="128" t="n">
        <v>-9.81</v>
      </c>
      <c r="F223" s="128" t="n">
        <v>46.2</v>
      </c>
      <c r="G223" s="128" t="n">
        <v>52.24</v>
      </c>
      <c r="H223" s="128" t="n">
        <v>-7.57</v>
      </c>
      <c r="I223" s="128" t="n">
        <v>-34.04</v>
      </c>
      <c r="J223" s="128" t="n">
        <v>-44.17</v>
      </c>
      <c r="K223" s="128" t="n">
        <v>955.12</v>
      </c>
      <c r="L223" s="129" t="n">
        <f aca="false">AVERAGE(C223:E223)</f>
        <v>-69.9366666666667</v>
      </c>
      <c r="M223" s="130" t="n">
        <f aca="false">AVERAGE(C223:J223)</f>
        <v>-24.64375</v>
      </c>
      <c r="N223" s="130" t="n">
        <f aca="false">RANK(I223,I:I)</f>
        <v>267</v>
      </c>
      <c r="O223" s="127" t="n">
        <f aca="false">RANK(L223,L:L)</f>
        <v>393</v>
      </c>
      <c r="P223" s="128" t="s">
        <v>290</v>
      </c>
      <c r="Q223" s="127" t="n">
        <f aca="false">RANK(M223,M:M)</f>
        <v>325</v>
      </c>
      <c r="R223" s="128" t="s">
        <v>290</v>
      </c>
      <c r="S223" s="127"/>
      <c r="T223" s="127"/>
      <c r="U223" s="127"/>
      <c r="V223" s="127"/>
      <c r="W223" s="127"/>
      <c r="X223" s="127"/>
    </row>
    <row r="224" customFormat="false" ht="15.75" hidden="false" customHeight="true" outlineLevel="0" collapsed="false">
      <c r="A224" s="128" t="s">
        <v>37</v>
      </c>
      <c r="B224" s="128" t="n">
        <v>980</v>
      </c>
      <c r="C224" s="128" t="n">
        <v>-66.67</v>
      </c>
      <c r="D224" s="128" t="n">
        <v>37.21</v>
      </c>
      <c r="E224" s="128" t="n">
        <v>87.23</v>
      </c>
      <c r="F224" s="128" t="n">
        <v>117.8</v>
      </c>
      <c r="G224" s="128" t="n">
        <v>9.29</v>
      </c>
      <c r="H224" s="128" t="n">
        <v>-43.48</v>
      </c>
      <c r="I224" s="128" t="n">
        <v>-59.1</v>
      </c>
      <c r="J224" s="128" t="n">
        <v>-71.88</v>
      </c>
      <c r="K224" s="128" t="n">
        <v>901.71</v>
      </c>
      <c r="L224" s="129" t="n">
        <f aca="false">AVERAGE(C224:E224)</f>
        <v>19.2566666666667</v>
      </c>
      <c r="M224" s="130" t="n">
        <f aca="false">AVERAGE(C224:J224)</f>
        <v>1.3</v>
      </c>
      <c r="N224" s="130" t="n">
        <f aca="false">RANK(I224,I:I)</f>
        <v>361</v>
      </c>
      <c r="O224" s="127" t="n">
        <f aca="false">RANK(L224,L:L)</f>
        <v>57</v>
      </c>
      <c r="P224" s="128" t="s">
        <v>544</v>
      </c>
      <c r="Q224" s="127" t="n">
        <f aca="false">RANK(M224,M:M)</f>
        <v>227</v>
      </c>
      <c r="R224" s="128" t="s">
        <v>544</v>
      </c>
      <c r="S224" s="127"/>
      <c r="T224" s="127"/>
      <c r="U224" s="127"/>
      <c r="V224" s="127"/>
      <c r="W224" s="127"/>
      <c r="X224" s="127"/>
    </row>
    <row r="225" customFormat="false" ht="15.75" hidden="false" customHeight="true" outlineLevel="0" collapsed="false">
      <c r="A225" s="128" t="s">
        <v>507</v>
      </c>
      <c r="B225" s="128" t="n">
        <v>972.6</v>
      </c>
      <c r="C225" s="128" t="n">
        <v>-66.67</v>
      </c>
      <c r="D225" s="128" t="n">
        <v>-133.33</v>
      </c>
      <c r="E225" s="128" t="n">
        <v>-34.41</v>
      </c>
      <c r="F225" s="128" t="n">
        <v>40.25</v>
      </c>
      <c r="G225" s="128" t="n">
        <v>-46.01</v>
      </c>
      <c r="H225" s="128" t="n">
        <v>-67.61</v>
      </c>
      <c r="I225" s="128" t="n">
        <v>-85.13</v>
      </c>
      <c r="J225" s="128" t="n">
        <v>-99.77</v>
      </c>
      <c r="K225" s="128" t="n">
        <v>934.85</v>
      </c>
      <c r="L225" s="129" t="n">
        <f aca="false">AVERAGE(C225:E225)</f>
        <v>-78.1366666666667</v>
      </c>
      <c r="M225" s="130" t="n">
        <f aca="false">AVERAGE(C225:J225)</f>
        <v>-61.585</v>
      </c>
      <c r="N225" s="130" t="n">
        <f aca="false">RANK(I225,I:I)</f>
        <v>431</v>
      </c>
      <c r="O225" s="127" t="n">
        <f aca="false">RANK(L225,L:L)</f>
        <v>434</v>
      </c>
      <c r="P225" s="128" t="s">
        <v>273</v>
      </c>
      <c r="Q225" s="127" t="n">
        <f aca="false">RANK(M225,M:M)</f>
        <v>434</v>
      </c>
      <c r="R225" s="128" t="s">
        <v>273</v>
      </c>
      <c r="S225" s="127"/>
      <c r="T225" s="127"/>
      <c r="U225" s="127"/>
      <c r="V225" s="127"/>
      <c r="W225" s="127"/>
      <c r="X225" s="127"/>
    </row>
    <row r="226" customFormat="false" ht="15.75" hidden="false" customHeight="true" outlineLevel="0" collapsed="false">
      <c r="A226" s="128" t="s">
        <v>497</v>
      </c>
      <c r="B226" s="128" t="n">
        <v>972.05</v>
      </c>
      <c r="C226" s="128" t="n">
        <v>-66.67</v>
      </c>
      <c r="D226" s="128" t="n">
        <v>-47.11</v>
      </c>
      <c r="E226" s="128" t="n">
        <v>68.64</v>
      </c>
      <c r="F226" s="128" t="n">
        <v>129.48</v>
      </c>
      <c r="G226" s="128" t="n">
        <v>-28.38</v>
      </c>
      <c r="H226" s="128" t="n">
        <v>-62.37</v>
      </c>
      <c r="I226" s="128" t="n">
        <v>-82.97</v>
      </c>
      <c r="J226" s="128" t="n">
        <v>-97.05</v>
      </c>
      <c r="K226" s="128" t="n">
        <v>906.94</v>
      </c>
      <c r="L226" s="129" t="n">
        <f aca="false">AVERAGE(C226:E226)</f>
        <v>-15.0466666666667</v>
      </c>
      <c r="M226" s="130" t="n">
        <f aca="false">AVERAGE(C226:J226)</f>
        <v>-23.30375</v>
      </c>
      <c r="N226" s="130" t="n">
        <f aca="false">RANK(I226,I:I)</f>
        <v>424</v>
      </c>
      <c r="O226" s="127" t="n">
        <f aca="false">RANK(L226,L:L)</f>
        <v>122</v>
      </c>
      <c r="P226" s="128" t="s">
        <v>497</v>
      </c>
      <c r="Q226" s="127" t="n">
        <f aca="false">RANK(M226,M:M)</f>
        <v>316</v>
      </c>
      <c r="R226" s="128" t="s">
        <v>497</v>
      </c>
      <c r="S226" s="127"/>
      <c r="T226" s="127"/>
      <c r="U226" s="127"/>
      <c r="V226" s="127"/>
      <c r="W226" s="127"/>
      <c r="X226" s="127"/>
    </row>
    <row r="227" customFormat="false" ht="15.75" hidden="false" customHeight="true" outlineLevel="0" collapsed="false">
      <c r="A227" s="128" t="s">
        <v>273</v>
      </c>
      <c r="B227" s="128" t="n">
        <v>971.7</v>
      </c>
      <c r="C227" s="128" t="n">
        <v>-66.67</v>
      </c>
      <c r="D227" s="128" t="n">
        <v>-79.87</v>
      </c>
      <c r="E227" s="128" t="n">
        <v>41.36</v>
      </c>
      <c r="F227" s="128" t="n">
        <v>90.33</v>
      </c>
      <c r="G227" s="128" t="n">
        <v>43.69</v>
      </c>
      <c r="H227" s="128" t="n">
        <v>-30.87</v>
      </c>
      <c r="I227" s="128" t="n">
        <v>-43.87</v>
      </c>
      <c r="J227" s="128" t="n">
        <v>-49.8</v>
      </c>
      <c r="K227" s="128" t="n">
        <v>905.95</v>
      </c>
      <c r="L227" s="129" t="n">
        <f aca="false">AVERAGE(C227:E227)</f>
        <v>-35.06</v>
      </c>
      <c r="M227" s="130" t="n">
        <f aca="false">AVERAGE(C227:J227)</f>
        <v>-11.9625</v>
      </c>
      <c r="N227" s="130" t="n">
        <f aca="false">RANK(I227,I:I)</f>
        <v>300</v>
      </c>
      <c r="O227" s="127" t="n">
        <f aca="false">RANK(L227,L:L)</f>
        <v>178</v>
      </c>
      <c r="P227" s="128" t="s">
        <v>453</v>
      </c>
      <c r="Q227" s="127" t="n">
        <f aca="false">RANK(M227,M:M)</f>
        <v>272</v>
      </c>
      <c r="R227" s="128" t="s">
        <v>453</v>
      </c>
      <c r="S227" s="127"/>
      <c r="T227" s="127"/>
      <c r="U227" s="127"/>
      <c r="V227" s="127"/>
      <c r="W227" s="127"/>
      <c r="X227" s="127"/>
    </row>
    <row r="228" customFormat="false" ht="15.75" hidden="false" customHeight="true" outlineLevel="0" collapsed="false">
      <c r="A228" s="128" t="s">
        <v>332</v>
      </c>
      <c r="B228" s="128" t="n">
        <v>971.7</v>
      </c>
      <c r="C228" s="128" t="n">
        <v>-66.67</v>
      </c>
      <c r="D228" s="128" t="n">
        <v>-133.33</v>
      </c>
      <c r="E228" s="128" t="n">
        <v>-16.23</v>
      </c>
      <c r="F228" s="128" t="n">
        <v>81.68</v>
      </c>
      <c r="G228" s="128" t="n">
        <v>134.49</v>
      </c>
      <c r="H228" s="128" t="n">
        <v>158.13</v>
      </c>
      <c r="I228" s="128" t="n">
        <v>132.92</v>
      </c>
      <c r="J228" s="128" t="n">
        <v>96.98</v>
      </c>
      <c r="K228" s="128" t="n">
        <v>921.29</v>
      </c>
      <c r="L228" s="129" t="n">
        <f aca="false">AVERAGE(C228:E228)</f>
        <v>-72.0766666666667</v>
      </c>
      <c r="M228" s="130" t="n">
        <f aca="false">AVERAGE(C228:J228)</f>
        <v>48.49625</v>
      </c>
      <c r="N228" s="130" t="n">
        <f aca="false">RANK(I228,I:I)</f>
        <v>55</v>
      </c>
      <c r="O228" s="127" t="n">
        <f aca="false">RANK(L228,L:L)</f>
        <v>402</v>
      </c>
      <c r="P228" s="128" t="s">
        <v>242</v>
      </c>
      <c r="Q228" s="127" t="n">
        <f aca="false">RANK(M228,M:M)</f>
        <v>96</v>
      </c>
      <c r="R228" s="128" t="s">
        <v>242</v>
      </c>
      <c r="S228" s="127"/>
      <c r="T228" s="127"/>
      <c r="U228" s="127"/>
      <c r="V228" s="127"/>
      <c r="W228" s="127"/>
      <c r="X228" s="127"/>
    </row>
    <row r="229" customFormat="false" ht="15.75" hidden="false" customHeight="true" outlineLevel="0" collapsed="false">
      <c r="A229" s="128" t="s">
        <v>62</v>
      </c>
      <c r="B229" s="128" t="n">
        <v>968.65</v>
      </c>
      <c r="C229" s="128" t="n">
        <v>-66.67</v>
      </c>
      <c r="D229" s="128" t="n">
        <v>-124.09</v>
      </c>
      <c r="E229" s="128" t="n">
        <v>-1.38</v>
      </c>
      <c r="F229" s="128" t="n">
        <v>83.77</v>
      </c>
      <c r="G229" s="128" t="n">
        <v>136.23</v>
      </c>
      <c r="H229" s="128" t="n">
        <v>78.06</v>
      </c>
      <c r="I229" s="128" t="n">
        <v>62.08</v>
      </c>
      <c r="J229" s="128" t="n">
        <v>80.53</v>
      </c>
      <c r="K229" s="128" t="n">
        <v>926.74</v>
      </c>
      <c r="L229" s="129" t="n">
        <f aca="false">AVERAGE(C229:E229)</f>
        <v>-64.0466666666667</v>
      </c>
      <c r="M229" s="130" t="n">
        <f aca="false">AVERAGE(C229:J229)</f>
        <v>31.06625</v>
      </c>
      <c r="N229" s="130" t="n">
        <f aca="false">RANK(I229,I:I)</f>
        <v>107</v>
      </c>
      <c r="O229" s="127" t="n">
        <f aca="false">RANK(L229,L:L)</f>
        <v>337</v>
      </c>
      <c r="P229" s="128" t="s">
        <v>301</v>
      </c>
      <c r="Q229" s="127" t="n">
        <f aca="false">RANK(M229,M:M)</f>
        <v>136</v>
      </c>
      <c r="R229" s="128" t="s">
        <v>301</v>
      </c>
      <c r="S229" s="127"/>
      <c r="T229" s="127"/>
      <c r="U229" s="127"/>
      <c r="V229" s="127"/>
      <c r="W229" s="127"/>
      <c r="X229" s="127"/>
    </row>
    <row r="230" customFormat="false" ht="15.75" hidden="false" customHeight="true" outlineLevel="0" collapsed="false">
      <c r="A230" s="128" t="s">
        <v>313</v>
      </c>
      <c r="B230" s="128" t="n">
        <v>945</v>
      </c>
      <c r="C230" s="128" t="n">
        <v>-66.67</v>
      </c>
      <c r="D230" s="128" t="n">
        <v>-133.33</v>
      </c>
      <c r="E230" s="128" t="n">
        <v>11.24</v>
      </c>
      <c r="F230" s="128" t="n">
        <v>28.37</v>
      </c>
      <c r="G230" s="128" t="n">
        <v>9.44</v>
      </c>
      <c r="H230" s="128" t="n">
        <v>-46.2</v>
      </c>
      <c r="I230" s="128" t="n">
        <v>-63.11</v>
      </c>
      <c r="J230" s="128" t="n">
        <v>-79.27</v>
      </c>
      <c r="K230" s="128" t="n">
        <v>875.35</v>
      </c>
      <c r="L230" s="129" t="n">
        <f aca="false">AVERAGE(C230:E230)</f>
        <v>-62.92</v>
      </c>
      <c r="M230" s="130" t="n">
        <f aca="false">AVERAGE(C230:J230)</f>
        <v>-42.44125</v>
      </c>
      <c r="N230" s="130" t="n">
        <f aca="false">RANK(I230,I:I)</f>
        <v>369</v>
      </c>
      <c r="O230" s="127" t="n">
        <f aca="false">RANK(L230,L:L)</f>
        <v>321</v>
      </c>
      <c r="P230" s="128" t="s">
        <v>313</v>
      </c>
      <c r="Q230" s="127" t="n">
        <f aca="false">RANK(M230,M:M)</f>
        <v>386</v>
      </c>
      <c r="R230" s="128" t="s">
        <v>313</v>
      </c>
      <c r="S230" s="127"/>
      <c r="T230" s="127"/>
      <c r="U230" s="127"/>
      <c r="V230" s="127"/>
      <c r="W230" s="127"/>
      <c r="X230" s="127"/>
    </row>
    <row r="231" customFormat="false" ht="15.75" hidden="false" customHeight="true" outlineLevel="0" collapsed="false">
      <c r="A231" s="128" t="s">
        <v>455</v>
      </c>
      <c r="B231" s="128" t="n">
        <v>923.35</v>
      </c>
      <c r="C231" s="128" t="n">
        <v>-66.67</v>
      </c>
      <c r="D231" s="128" t="n">
        <v>-129.47</v>
      </c>
      <c r="E231" s="128" t="n">
        <v>15.32</v>
      </c>
      <c r="F231" s="128" t="n">
        <v>101.46</v>
      </c>
      <c r="G231" s="128" t="n">
        <v>151.06</v>
      </c>
      <c r="H231" s="128" t="n">
        <v>33.55</v>
      </c>
      <c r="I231" s="128" t="n">
        <v>-11.03</v>
      </c>
      <c r="J231" s="128" t="n">
        <v>-33.75</v>
      </c>
      <c r="K231" s="128" t="n">
        <v>888.63</v>
      </c>
      <c r="L231" s="129" t="n">
        <f aca="false">AVERAGE(C231:E231)</f>
        <v>-60.2733333333333</v>
      </c>
      <c r="M231" s="130" t="n">
        <f aca="false">AVERAGE(C231:J231)</f>
        <v>7.55874999999999</v>
      </c>
      <c r="N231" s="130" t="n">
        <f aca="false">RANK(I231,I:I)</f>
        <v>221</v>
      </c>
      <c r="O231" s="127" t="n">
        <f aca="false">RANK(L231,L:L)</f>
        <v>299</v>
      </c>
      <c r="P231" s="128" t="s">
        <v>299</v>
      </c>
      <c r="Q231" s="127" t="n">
        <f aca="false">RANK(M231,M:M)</f>
        <v>212</v>
      </c>
      <c r="R231" s="128" t="s">
        <v>299</v>
      </c>
      <c r="S231" s="127"/>
      <c r="T231" s="127"/>
      <c r="U231" s="127"/>
      <c r="V231" s="127"/>
      <c r="W231" s="127"/>
      <c r="X231" s="127"/>
    </row>
    <row r="232" customFormat="false" ht="15.75" hidden="false" customHeight="true" outlineLevel="0" collapsed="false">
      <c r="A232" s="128" t="s">
        <v>238</v>
      </c>
      <c r="B232" s="128" t="n">
        <v>914.35</v>
      </c>
      <c r="C232" s="128" t="n">
        <v>-66.67</v>
      </c>
      <c r="D232" s="128" t="n">
        <v>-27.23</v>
      </c>
      <c r="E232" s="128" t="n">
        <v>56.9</v>
      </c>
      <c r="F232" s="128" t="n">
        <v>124.34</v>
      </c>
      <c r="G232" s="128" t="n">
        <v>148.09</v>
      </c>
      <c r="H232" s="128" t="n">
        <v>187.31</v>
      </c>
      <c r="I232" s="128" t="n">
        <v>137.25</v>
      </c>
      <c r="J232" s="128" t="n">
        <v>67.04</v>
      </c>
      <c r="K232" s="128" t="n">
        <v>865.74</v>
      </c>
      <c r="L232" s="129" t="n">
        <f aca="false">AVERAGE(C232:E232)</f>
        <v>-12.3333333333333</v>
      </c>
      <c r="M232" s="130" t="n">
        <f aca="false">AVERAGE(C232:J232)</f>
        <v>78.37875</v>
      </c>
      <c r="N232" s="130" t="n">
        <f aca="false">RANK(I232,I:I)</f>
        <v>51</v>
      </c>
      <c r="O232" s="127" t="n">
        <f aca="false">RANK(L232,L:L)</f>
        <v>115</v>
      </c>
      <c r="P232" s="128" t="s">
        <v>37</v>
      </c>
      <c r="Q232" s="127" t="n">
        <f aca="false">RANK(M232,M:M)</f>
        <v>50</v>
      </c>
      <c r="R232" s="128" t="s">
        <v>37</v>
      </c>
      <c r="S232" s="127"/>
      <c r="T232" s="127"/>
      <c r="U232" s="127"/>
      <c r="V232" s="127"/>
      <c r="W232" s="127"/>
      <c r="X232" s="127"/>
    </row>
    <row r="233" customFormat="false" ht="15.75" hidden="false" customHeight="true" outlineLevel="0" collapsed="false">
      <c r="A233" s="128" t="s">
        <v>242</v>
      </c>
      <c r="B233" s="128" t="n">
        <v>912.55</v>
      </c>
      <c r="C233" s="128" t="n">
        <v>-66.67</v>
      </c>
      <c r="D233" s="128" t="n">
        <v>-117.07</v>
      </c>
      <c r="E233" s="128" t="n">
        <v>-5.07</v>
      </c>
      <c r="F233" s="128" t="n">
        <v>28.8</v>
      </c>
      <c r="G233" s="128" t="n">
        <v>22.15</v>
      </c>
      <c r="H233" s="128" t="n">
        <v>-26.67</v>
      </c>
      <c r="I233" s="128" t="n">
        <v>-52.25</v>
      </c>
      <c r="J233" s="128" t="n">
        <v>-58.73</v>
      </c>
      <c r="K233" s="128" t="n">
        <v>874.22</v>
      </c>
      <c r="L233" s="129" t="n">
        <f aca="false">AVERAGE(C233:E233)</f>
        <v>-62.9366666666667</v>
      </c>
      <c r="M233" s="130" t="n">
        <f aca="false">AVERAGE(C233:J233)</f>
        <v>-34.43875</v>
      </c>
      <c r="N233" s="130" t="n">
        <f aca="false">RANK(I233,I:I)</f>
        <v>336</v>
      </c>
      <c r="O233" s="127" t="n">
        <f aca="false">RANK(L233,L:L)</f>
        <v>323</v>
      </c>
      <c r="P233" s="128" t="s">
        <v>292</v>
      </c>
      <c r="Q233" s="127" t="n">
        <f aca="false">RANK(M233,M:M)</f>
        <v>363</v>
      </c>
      <c r="R233" s="128" t="s">
        <v>292</v>
      </c>
      <c r="S233" s="127"/>
      <c r="T233" s="127"/>
      <c r="U233" s="127"/>
      <c r="V233" s="127"/>
      <c r="W233" s="127"/>
      <c r="X233" s="127"/>
    </row>
    <row r="234" customFormat="false" ht="15.75" hidden="false" customHeight="true" outlineLevel="0" collapsed="false">
      <c r="A234" s="128" t="s">
        <v>453</v>
      </c>
      <c r="B234" s="128" t="n">
        <v>910</v>
      </c>
      <c r="C234" s="128" t="n">
        <v>-66.67</v>
      </c>
      <c r="D234" s="128" t="n">
        <v>-23.62</v>
      </c>
      <c r="E234" s="128" t="n">
        <v>55.38</v>
      </c>
      <c r="F234" s="128" t="n">
        <v>82.03</v>
      </c>
      <c r="G234" s="128" t="n">
        <v>-3.71</v>
      </c>
      <c r="H234" s="128" t="n">
        <v>-41.05</v>
      </c>
      <c r="I234" s="128" t="n">
        <v>-59.5</v>
      </c>
      <c r="J234" s="128" t="n">
        <v>-73.1</v>
      </c>
      <c r="K234" s="128" t="n">
        <v>976.49</v>
      </c>
      <c r="L234" s="129" t="n">
        <f aca="false">AVERAGE(C234:E234)</f>
        <v>-11.6366666666667</v>
      </c>
      <c r="M234" s="130" t="n">
        <f aca="false">AVERAGE(C234:J234)</f>
        <v>-16.28</v>
      </c>
      <c r="N234" s="130" t="n">
        <f aca="false">RANK(I234,I:I)</f>
        <v>362</v>
      </c>
      <c r="O234" s="127" t="n">
        <f aca="false">RANK(L234,L:L)</f>
        <v>113</v>
      </c>
      <c r="P234" s="128" t="s">
        <v>850</v>
      </c>
      <c r="Q234" s="127" t="n">
        <f aca="false">RANK(M234,M:M)</f>
        <v>290</v>
      </c>
      <c r="R234" s="128" t="s">
        <v>850</v>
      </c>
      <c r="S234" s="127"/>
      <c r="T234" s="127"/>
      <c r="U234" s="127"/>
      <c r="V234" s="127"/>
      <c r="W234" s="127"/>
      <c r="X234" s="127"/>
    </row>
    <row r="235" customFormat="false" ht="15.75" hidden="false" customHeight="true" outlineLevel="0" collapsed="false">
      <c r="A235" s="128" t="s">
        <v>467</v>
      </c>
      <c r="B235" s="128" t="n">
        <v>892.05</v>
      </c>
      <c r="C235" s="128" t="n">
        <v>-66.67</v>
      </c>
      <c r="D235" s="128" t="n">
        <v>-133.33</v>
      </c>
      <c r="E235" s="128" t="n">
        <v>51.8</v>
      </c>
      <c r="F235" s="128" t="n">
        <v>-4.85</v>
      </c>
      <c r="G235" s="128" t="n">
        <v>-16.48</v>
      </c>
      <c r="H235" s="128" t="n">
        <v>-50.9</v>
      </c>
      <c r="I235" s="128" t="n">
        <v>-69.74</v>
      </c>
      <c r="J235" s="128" t="n">
        <v>-81.64</v>
      </c>
      <c r="K235" s="128" t="n">
        <v>806.88</v>
      </c>
      <c r="L235" s="129" t="n">
        <f aca="false">AVERAGE(C235:E235)</f>
        <v>-49.4</v>
      </c>
      <c r="M235" s="130" t="n">
        <f aca="false">AVERAGE(C235:J235)</f>
        <v>-46.47625</v>
      </c>
      <c r="N235" s="130" t="n">
        <f aca="false">RANK(I235,I:I)</f>
        <v>389</v>
      </c>
      <c r="O235" s="127" t="n">
        <f aca="false">RANK(L235,L:L)</f>
        <v>233</v>
      </c>
      <c r="P235" s="128" t="s">
        <v>486</v>
      </c>
      <c r="Q235" s="127" t="n">
        <f aca="false">RANK(M235,M:M)</f>
        <v>402</v>
      </c>
      <c r="R235" s="128" t="s">
        <v>486</v>
      </c>
      <c r="S235" s="127"/>
      <c r="T235" s="127"/>
      <c r="U235" s="127"/>
      <c r="V235" s="127"/>
      <c r="W235" s="127"/>
      <c r="X235" s="127"/>
    </row>
    <row r="236" customFormat="false" ht="15.75" hidden="false" customHeight="true" outlineLevel="0" collapsed="false">
      <c r="A236" s="128" t="s">
        <v>263</v>
      </c>
      <c r="B236" s="128" t="n">
        <v>891.8</v>
      </c>
      <c r="C236" s="128" t="n">
        <v>-66.67</v>
      </c>
      <c r="D236" s="128" t="n">
        <v>-133.33</v>
      </c>
      <c r="E236" s="128" t="n">
        <v>45.33</v>
      </c>
      <c r="F236" s="128" t="n">
        <v>16.73</v>
      </c>
      <c r="G236" s="128" t="n">
        <v>54.24</v>
      </c>
      <c r="H236" s="128" t="n">
        <v>14.69</v>
      </c>
      <c r="I236" s="128" t="n">
        <v>1.78</v>
      </c>
      <c r="J236" s="128" t="n">
        <v>-26.36</v>
      </c>
      <c r="K236" s="128" t="n">
        <v>837.43</v>
      </c>
      <c r="L236" s="129" t="n">
        <f aca="false">AVERAGE(C236:E236)</f>
        <v>-51.5566666666667</v>
      </c>
      <c r="M236" s="130" t="n">
        <f aca="false">AVERAGE(C236:J236)</f>
        <v>-11.69875</v>
      </c>
      <c r="N236" s="130" t="n">
        <f aca="false">RANK(I236,I:I)</f>
        <v>202</v>
      </c>
      <c r="O236" s="127" t="n">
        <f aca="false">RANK(L236,L:L)</f>
        <v>248</v>
      </c>
      <c r="P236" s="128" t="s">
        <v>109</v>
      </c>
      <c r="Q236" s="127" t="n">
        <f aca="false">RANK(M236,M:M)</f>
        <v>271</v>
      </c>
      <c r="R236" s="128" t="s">
        <v>109</v>
      </c>
      <c r="S236" s="127"/>
      <c r="T236" s="127"/>
      <c r="U236" s="127"/>
      <c r="V236" s="127"/>
      <c r="W236" s="127"/>
      <c r="X236" s="127"/>
    </row>
    <row r="237" customFormat="false" ht="15.75" hidden="false" customHeight="true" outlineLevel="0" collapsed="false">
      <c r="A237" s="128" t="s">
        <v>323</v>
      </c>
      <c r="B237" s="128" t="n">
        <v>889.25</v>
      </c>
      <c r="C237" s="128" t="n">
        <v>-66.67</v>
      </c>
      <c r="D237" s="128" t="n">
        <v>57.13</v>
      </c>
      <c r="E237" s="128" t="n">
        <v>135.29</v>
      </c>
      <c r="F237" s="128" t="n">
        <v>224.15</v>
      </c>
      <c r="G237" s="128" t="n">
        <v>-8.5</v>
      </c>
      <c r="H237" s="128" t="n">
        <v>-44.54</v>
      </c>
      <c r="I237" s="128" t="n">
        <v>-66.92</v>
      </c>
      <c r="J237" s="128" t="n">
        <v>-86.27</v>
      </c>
      <c r="K237" s="128" t="n">
        <v>809.55</v>
      </c>
      <c r="L237" s="129" t="n">
        <f aca="false">AVERAGE(C237:E237)</f>
        <v>41.9166666666667</v>
      </c>
      <c r="M237" s="130" t="n">
        <f aca="false">AVERAGE(C237:J237)</f>
        <v>17.95875</v>
      </c>
      <c r="N237" s="130" t="n">
        <f aca="false">RANK(I237,I:I)</f>
        <v>383</v>
      </c>
      <c r="O237" s="127" t="n">
        <f aca="false">RANK(L237,L:L)</f>
        <v>33</v>
      </c>
      <c r="P237" s="128" t="s">
        <v>238</v>
      </c>
      <c r="Q237" s="127" t="n">
        <f aca="false">RANK(M237,M:M)</f>
        <v>176</v>
      </c>
      <c r="R237" s="128" t="s">
        <v>238</v>
      </c>
      <c r="S237" s="127"/>
      <c r="T237" s="127"/>
      <c r="U237" s="127"/>
      <c r="V237" s="127"/>
      <c r="W237" s="127"/>
      <c r="X237" s="127"/>
    </row>
    <row r="238" customFormat="false" ht="15.75" hidden="false" customHeight="true" outlineLevel="0" collapsed="false">
      <c r="A238" s="128" t="s">
        <v>301</v>
      </c>
      <c r="B238" s="128" t="n">
        <v>886.7</v>
      </c>
      <c r="C238" s="128" t="n">
        <v>-66.67</v>
      </c>
      <c r="D238" s="128" t="n">
        <v>-133.33</v>
      </c>
      <c r="E238" s="128" t="n">
        <v>2.79</v>
      </c>
      <c r="F238" s="128" t="n">
        <v>-38.72</v>
      </c>
      <c r="G238" s="128" t="n">
        <v>-23.77</v>
      </c>
      <c r="H238" s="128" t="n">
        <v>-57.85</v>
      </c>
      <c r="I238" s="128" t="n">
        <v>-66.14</v>
      </c>
      <c r="J238" s="128" t="n">
        <v>-71.93</v>
      </c>
      <c r="K238" s="128" t="n">
        <v>854.02</v>
      </c>
      <c r="L238" s="129" t="n">
        <f aca="false">AVERAGE(C238:E238)</f>
        <v>-65.7366666666667</v>
      </c>
      <c r="M238" s="130" t="n">
        <f aca="false">AVERAGE(C238:J238)</f>
        <v>-56.9525</v>
      </c>
      <c r="N238" s="130" t="n">
        <f aca="false">RANK(I238,I:I)</f>
        <v>375</v>
      </c>
      <c r="O238" s="127" t="n">
        <f aca="false">RANK(L238,L:L)</f>
        <v>362</v>
      </c>
      <c r="P238" s="128" t="s">
        <v>581</v>
      </c>
      <c r="Q238" s="127" t="n">
        <f aca="false">RANK(M238,M:M)</f>
        <v>426</v>
      </c>
      <c r="R238" s="128" t="s">
        <v>581</v>
      </c>
      <c r="S238" s="127"/>
      <c r="T238" s="127"/>
      <c r="U238" s="127"/>
      <c r="V238" s="127"/>
      <c r="W238" s="127"/>
      <c r="X238" s="127"/>
    </row>
    <row r="239" customFormat="false" ht="15.75" hidden="false" customHeight="true" outlineLevel="0" collapsed="false">
      <c r="A239" s="128" t="s">
        <v>516</v>
      </c>
      <c r="B239" s="128" t="n">
        <v>886.1</v>
      </c>
      <c r="C239" s="128" t="n">
        <v>-66.67</v>
      </c>
      <c r="D239" s="128" t="n">
        <v>-132.88</v>
      </c>
      <c r="E239" s="128" t="n">
        <v>15.92</v>
      </c>
      <c r="F239" s="128" t="n">
        <v>72.21</v>
      </c>
      <c r="G239" s="128" t="n">
        <v>98.89</v>
      </c>
      <c r="H239" s="128" t="n">
        <v>131.18</v>
      </c>
      <c r="I239" s="128" t="n">
        <v>123.34</v>
      </c>
      <c r="J239" s="128" t="n">
        <v>86.59</v>
      </c>
      <c r="K239" s="128" t="n">
        <v>825.54</v>
      </c>
      <c r="L239" s="129" t="n">
        <f aca="false">AVERAGE(C239:E239)</f>
        <v>-61.21</v>
      </c>
      <c r="M239" s="130" t="n">
        <f aca="false">AVERAGE(C239:J239)</f>
        <v>41.0725</v>
      </c>
      <c r="N239" s="130" t="n">
        <f aca="false">RANK(I239,I:I)</f>
        <v>61</v>
      </c>
      <c r="O239" s="127" t="n">
        <f aca="false">RANK(L239,L:L)</f>
        <v>310</v>
      </c>
      <c r="P239" s="128" t="s">
        <v>516</v>
      </c>
      <c r="Q239" s="127" t="n">
        <f aca="false">RANK(M239,M:M)</f>
        <v>115</v>
      </c>
      <c r="R239" s="128" t="s">
        <v>516</v>
      </c>
      <c r="S239" s="127"/>
      <c r="T239" s="127"/>
      <c r="U239" s="127"/>
      <c r="V239" s="127"/>
      <c r="W239" s="127"/>
      <c r="X239" s="127"/>
    </row>
    <row r="240" customFormat="false" ht="15.75" hidden="false" customHeight="true" outlineLevel="0" collapsed="false">
      <c r="A240" s="128" t="s">
        <v>215</v>
      </c>
      <c r="B240" s="128" t="n">
        <v>875.65</v>
      </c>
      <c r="C240" s="128" t="n">
        <v>-66.67</v>
      </c>
      <c r="D240" s="128" t="n">
        <v>-32.65</v>
      </c>
      <c r="E240" s="128" t="n">
        <v>67.39</v>
      </c>
      <c r="F240" s="128" t="n">
        <v>116.29</v>
      </c>
      <c r="G240" s="128" t="n">
        <v>170.31</v>
      </c>
      <c r="H240" s="128" t="n">
        <v>47.44</v>
      </c>
      <c r="I240" s="128" t="n">
        <v>41.66</v>
      </c>
      <c r="J240" s="128" t="n">
        <v>60.73</v>
      </c>
      <c r="K240" s="128" t="n">
        <v>812.8</v>
      </c>
      <c r="L240" s="129" t="n">
        <f aca="false">AVERAGE(C240:E240)</f>
        <v>-10.6433333333333</v>
      </c>
      <c r="M240" s="130" t="n">
        <f aca="false">AVERAGE(C240:J240)</f>
        <v>50.5625</v>
      </c>
      <c r="N240" s="130" t="n">
        <f aca="false">RANK(I240,I:I)</f>
        <v>134</v>
      </c>
      <c r="O240" s="127" t="n">
        <f aca="false">RANK(L240,L:L)</f>
        <v>112</v>
      </c>
      <c r="P240" s="128" t="s">
        <v>163</v>
      </c>
      <c r="Q240" s="127" t="n">
        <f aca="false">RANK(M240,M:M)</f>
        <v>91</v>
      </c>
      <c r="R240" s="128" t="s">
        <v>163</v>
      </c>
      <c r="S240" s="127"/>
      <c r="T240" s="127"/>
      <c r="U240" s="127"/>
      <c r="V240" s="127"/>
      <c r="W240" s="127"/>
      <c r="X240" s="127"/>
    </row>
    <row r="241" customFormat="false" ht="15.75" hidden="false" customHeight="true" outlineLevel="0" collapsed="false">
      <c r="A241" s="128" t="s">
        <v>292</v>
      </c>
      <c r="B241" s="128" t="n">
        <v>875.45</v>
      </c>
      <c r="C241" s="128" t="n">
        <v>-66.67</v>
      </c>
      <c r="D241" s="128" t="n">
        <v>-2.4</v>
      </c>
      <c r="E241" s="128" t="n">
        <v>74.87</v>
      </c>
      <c r="F241" s="128" t="n">
        <v>16.02</v>
      </c>
      <c r="G241" s="128" t="n">
        <v>30.65</v>
      </c>
      <c r="H241" s="128" t="n">
        <v>-33.52</v>
      </c>
      <c r="I241" s="128" t="n">
        <v>-54.15</v>
      </c>
      <c r="J241" s="128" t="n">
        <v>-71.79</v>
      </c>
      <c r="K241" s="128" t="n">
        <v>834.99</v>
      </c>
      <c r="L241" s="129" t="n">
        <f aca="false">AVERAGE(C241:E241)</f>
        <v>1.93333333333333</v>
      </c>
      <c r="M241" s="130" t="n">
        <f aca="false">AVERAGE(C241:J241)</f>
        <v>-13.37375</v>
      </c>
      <c r="N241" s="130" t="n">
        <f aca="false">RANK(I241,I:I)</f>
        <v>339</v>
      </c>
      <c r="O241" s="127" t="n">
        <f aca="false">RANK(L241,L:L)</f>
        <v>82</v>
      </c>
      <c r="P241" s="128" t="s">
        <v>366</v>
      </c>
      <c r="Q241" s="127" t="n">
        <f aca="false">RANK(M241,M:M)</f>
        <v>280</v>
      </c>
      <c r="R241" s="128" t="s">
        <v>366</v>
      </c>
      <c r="S241" s="127"/>
      <c r="T241" s="127"/>
      <c r="U241" s="127"/>
      <c r="V241" s="127"/>
      <c r="W241" s="127"/>
      <c r="X241" s="127"/>
    </row>
    <row r="242" customFormat="false" ht="15.75" hidden="false" customHeight="true" outlineLevel="0" collapsed="false">
      <c r="A242" s="128" t="s">
        <v>581</v>
      </c>
      <c r="B242" s="128" t="n">
        <v>871.15</v>
      </c>
      <c r="C242" s="128" t="n">
        <v>-66.67</v>
      </c>
      <c r="D242" s="128" t="n">
        <v>-127.63</v>
      </c>
      <c r="E242" s="128" t="n">
        <v>-96.86</v>
      </c>
      <c r="F242" s="128" t="n">
        <v>-32.49</v>
      </c>
      <c r="G242" s="128" t="n">
        <v>40.9</v>
      </c>
      <c r="H242" s="128" t="n">
        <v>12.24</v>
      </c>
      <c r="I242" s="128" t="n">
        <v>41.1</v>
      </c>
      <c r="J242" s="128" t="n">
        <v>57.6</v>
      </c>
      <c r="K242" s="128" t="n">
        <v>838.15</v>
      </c>
      <c r="L242" s="129" t="n">
        <f aca="false">AVERAGE(C242:E242)</f>
        <v>-97.0533333333333</v>
      </c>
      <c r="M242" s="130" t="n">
        <f aca="false">AVERAGE(C242:J242)</f>
        <v>-21.47625</v>
      </c>
      <c r="N242" s="130" t="n">
        <f aca="false">RANK(I242,I:I)</f>
        <v>136</v>
      </c>
      <c r="O242" s="127" t="n">
        <f aca="false">RANK(L242,L:L)</f>
        <v>471</v>
      </c>
      <c r="P242" s="128" t="s">
        <v>467</v>
      </c>
      <c r="Q242" s="127" t="n">
        <f aca="false">RANK(M242,M:M)</f>
        <v>307</v>
      </c>
      <c r="R242" s="128" t="s">
        <v>467</v>
      </c>
      <c r="S242" s="127"/>
      <c r="T242" s="127"/>
      <c r="U242" s="127"/>
      <c r="V242" s="127"/>
      <c r="W242" s="127"/>
      <c r="X242" s="127"/>
    </row>
    <row r="243" customFormat="false" ht="15.75" hidden="false" customHeight="true" outlineLevel="0" collapsed="false">
      <c r="A243" s="128" t="s">
        <v>163</v>
      </c>
      <c r="B243" s="128" t="n">
        <v>867.55</v>
      </c>
      <c r="C243" s="128" t="n">
        <v>-66.67</v>
      </c>
      <c r="D243" s="128" t="n">
        <v>-133.33</v>
      </c>
      <c r="E243" s="128" t="n">
        <v>-38.19</v>
      </c>
      <c r="F243" s="128" t="n">
        <v>42.4</v>
      </c>
      <c r="G243" s="128" t="n">
        <v>87.74</v>
      </c>
      <c r="H243" s="128" t="n">
        <v>84.09</v>
      </c>
      <c r="I243" s="128" t="n">
        <v>98.83</v>
      </c>
      <c r="J243" s="128" t="n">
        <v>116.68</v>
      </c>
      <c r="K243" s="128" t="n">
        <v>857.85</v>
      </c>
      <c r="L243" s="129" t="n">
        <f aca="false">AVERAGE(C243:E243)</f>
        <v>-79.3966666666667</v>
      </c>
      <c r="M243" s="130" t="n">
        <f aca="false">AVERAGE(C243:J243)</f>
        <v>23.94375</v>
      </c>
      <c r="N243" s="130" t="n">
        <f aca="false">RANK(I243,I:I)</f>
        <v>81</v>
      </c>
      <c r="O243" s="127" t="n">
        <f aca="false">RANK(L243,L:L)</f>
        <v>437</v>
      </c>
      <c r="P243" s="128" t="s">
        <v>169</v>
      </c>
      <c r="Q243" s="127" t="n">
        <f aca="false">RANK(M243,M:M)</f>
        <v>159</v>
      </c>
      <c r="R243" s="128" t="s">
        <v>169</v>
      </c>
      <c r="S243" s="127"/>
      <c r="T243" s="127"/>
      <c r="U243" s="127"/>
      <c r="V243" s="127"/>
      <c r="W243" s="127"/>
      <c r="X243" s="127"/>
    </row>
    <row r="244" customFormat="false" ht="15.75" hidden="false" customHeight="true" outlineLevel="0" collapsed="false">
      <c r="A244" s="128" t="s">
        <v>299</v>
      </c>
      <c r="B244" s="128" t="n">
        <v>864.7</v>
      </c>
      <c r="C244" s="128" t="n">
        <v>-66.67</v>
      </c>
      <c r="D244" s="128" t="n">
        <v>-133.33</v>
      </c>
      <c r="E244" s="128" t="n">
        <v>-114.47</v>
      </c>
      <c r="F244" s="128" t="n">
        <v>-8.74</v>
      </c>
      <c r="G244" s="128" t="n">
        <v>-45.06</v>
      </c>
      <c r="H244" s="128" t="n">
        <v>-68.33</v>
      </c>
      <c r="I244" s="128" t="n">
        <v>-81.54</v>
      </c>
      <c r="J244" s="128" t="n">
        <v>-90.83</v>
      </c>
      <c r="K244" s="128" t="n">
        <v>816.78</v>
      </c>
      <c r="L244" s="129" t="n">
        <f aca="false">AVERAGE(C244:E244)</f>
        <v>-104.823333333333</v>
      </c>
      <c r="M244" s="130" t="n">
        <f aca="false">AVERAGE(C244:J244)</f>
        <v>-76.12125</v>
      </c>
      <c r="N244" s="130" t="n">
        <f aca="false">RANK(I244,I:I)</f>
        <v>421</v>
      </c>
      <c r="O244" s="127" t="n">
        <f aca="false">RANK(L244,L:L)</f>
        <v>482</v>
      </c>
      <c r="P244" s="128" t="s">
        <v>351</v>
      </c>
      <c r="Q244" s="127" t="n">
        <f aca="false">RANK(M244,M:M)</f>
        <v>465</v>
      </c>
      <c r="R244" s="128" t="s">
        <v>351</v>
      </c>
      <c r="S244" s="127"/>
      <c r="T244" s="127"/>
      <c r="U244" s="127"/>
      <c r="V244" s="127"/>
      <c r="W244" s="127"/>
      <c r="X244" s="127"/>
    </row>
    <row r="245" customFormat="false" ht="15.75" hidden="false" customHeight="true" outlineLevel="0" collapsed="false">
      <c r="A245" s="128" t="s">
        <v>109</v>
      </c>
      <c r="B245" s="128" t="n">
        <v>859.65</v>
      </c>
      <c r="C245" s="128" t="n">
        <v>-66.67</v>
      </c>
      <c r="D245" s="128" t="n">
        <v>23.01</v>
      </c>
      <c r="E245" s="128" t="n">
        <v>47.7</v>
      </c>
      <c r="F245" s="128" t="n">
        <v>-41.43</v>
      </c>
      <c r="G245" s="128" t="n">
        <v>-76.14</v>
      </c>
      <c r="H245" s="128" t="n">
        <v>-93.23</v>
      </c>
      <c r="I245" s="128" t="n">
        <v>-115.64</v>
      </c>
      <c r="J245" s="128" t="n">
        <v>-127.48</v>
      </c>
      <c r="K245" s="128" t="n">
        <v>912.85</v>
      </c>
      <c r="L245" s="129" t="n">
        <f aca="false">AVERAGE(C245:E245)</f>
        <v>1.34666666666667</v>
      </c>
      <c r="M245" s="130" t="n">
        <f aca="false">AVERAGE(C245:J245)</f>
        <v>-56.235</v>
      </c>
      <c r="N245" s="130" t="n">
        <f aca="false">RANK(I245,I:I)</f>
        <v>476</v>
      </c>
      <c r="O245" s="127" t="n">
        <f aca="false">RANK(L245,L:L)</f>
        <v>86</v>
      </c>
      <c r="P245" s="128" t="s">
        <v>455</v>
      </c>
      <c r="Q245" s="127" t="n">
        <f aca="false">RANK(M245,M:M)</f>
        <v>424</v>
      </c>
      <c r="R245" s="128" t="s">
        <v>455</v>
      </c>
      <c r="S245" s="127"/>
      <c r="T245" s="127"/>
      <c r="U245" s="127"/>
      <c r="V245" s="127"/>
      <c r="W245" s="127"/>
      <c r="X245" s="127"/>
    </row>
    <row r="246" customFormat="false" ht="15.75" hidden="false" customHeight="true" outlineLevel="0" collapsed="false">
      <c r="A246" s="128" t="s">
        <v>351</v>
      </c>
      <c r="B246" s="128" t="n">
        <v>858.95</v>
      </c>
      <c r="C246" s="128" t="n">
        <v>-66.67</v>
      </c>
      <c r="D246" s="128" t="n">
        <v>-133.33</v>
      </c>
      <c r="E246" s="128" t="n">
        <v>3.21</v>
      </c>
      <c r="F246" s="128" t="n">
        <v>77.81</v>
      </c>
      <c r="G246" s="128" t="n">
        <v>66.87</v>
      </c>
      <c r="H246" s="128" t="n">
        <v>-25.25</v>
      </c>
      <c r="I246" s="128" t="n">
        <v>-48.74</v>
      </c>
      <c r="J246" s="128" t="n">
        <v>-63.87</v>
      </c>
      <c r="K246" s="128" t="n">
        <v>782.89</v>
      </c>
      <c r="L246" s="129" t="n">
        <f aca="false">AVERAGE(C246:E246)</f>
        <v>-65.5966666666667</v>
      </c>
      <c r="M246" s="130" t="n">
        <f aca="false">AVERAGE(C246:J246)</f>
        <v>-23.74625</v>
      </c>
      <c r="N246" s="130" t="n">
        <f aca="false">RANK(I246,I:I)</f>
        <v>321</v>
      </c>
      <c r="O246" s="127" t="n">
        <f aca="false">RANK(L246,L:L)</f>
        <v>360</v>
      </c>
      <c r="P246" s="128" t="s">
        <v>286</v>
      </c>
      <c r="Q246" s="127" t="n">
        <f aca="false">RANK(M246,M:M)</f>
        <v>319</v>
      </c>
      <c r="R246" s="128" t="s">
        <v>286</v>
      </c>
      <c r="S246" s="127"/>
      <c r="T246" s="127"/>
      <c r="U246" s="127"/>
      <c r="V246" s="127"/>
      <c r="W246" s="127"/>
      <c r="X246" s="127"/>
    </row>
    <row r="247" customFormat="false" ht="15.75" hidden="false" customHeight="true" outlineLevel="0" collapsed="false">
      <c r="A247" s="128" t="s">
        <v>385</v>
      </c>
      <c r="B247" s="128" t="n">
        <v>845</v>
      </c>
      <c r="C247" s="128" t="n">
        <v>-66.67</v>
      </c>
      <c r="D247" s="128" t="n">
        <v>-86.95</v>
      </c>
      <c r="E247" s="128" t="n">
        <v>52.37</v>
      </c>
      <c r="F247" s="128" t="n">
        <v>117.76</v>
      </c>
      <c r="G247" s="128" t="n">
        <v>104.55</v>
      </c>
      <c r="H247" s="128" t="n">
        <v>44.16</v>
      </c>
      <c r="I247" s="128" t="n">
        <v>36.08</v>
      </c>
      <c r="J247" s="128" t="n">
        <v>41.89</v>
      </c>
      <c r="K247" s="128" t="n">
        <v>783.37</v>
      </c>
      <c r="L247" s="129" t="n">
        <f aca="false">AVERAGE(C247:E247)</f>
        <v>-33.75</v>
      </c>
      <c r="M247" s="130" t="n">
        <f aca="false">AVERAGE(C247:J247)</f>
        <v>30.39875</v>
      </c>
      <c r="N247" s="130" t="n">
        <f aca="false">RANK(I247,I:I)</f>
        <v>147</v>
      </c>
      <c r="O247" s="127" t="n">
        <f aca="false">RANK(L247,L:L)</f>
        <v>170</v>
      </c>
      <c r="P247" s="128" t="s">
        <v>546</v>
      </c>
      <c r="Q247" s="127" t="n">
        <f aca="false">RANK(M247,M:M)</f>
        <v>137</v>
      </c>
      <c r="R247" s="128" t="s">
        <v>546</v>
      </c>
      <c r="S247" s="127"/>
      <c r="T247" s="127"/>
      <c r="U247" s="127"/>
      <c r="V247" s="127"/>
      <c r="W247" s="127"/>
      <c r="X247" s="127"/>
    </row>
    <row r="248" customFormat="false" ht="15.75" hidden="false" customHeight="true" outlineLevel="0" collapsed="false">
      <c r="A248" s="128" t="s">
        <v>169</v>
      </c>
      <c r="B248" s="128" t="n">
        <v>826.45</v>
      </c>
      <c r="C248" s="128" t="n">
        <v>-66.67</v>
      </c>
      <c r="D248" s="128" t="n">
        <v>-126.06</v>
      </c>
      <c r="E248" s="128" t="n">
        <v>-29.41</v>
      </c>
      <c r="F248" s="128" t="n">
        <v>16.09</v>
      </c>
      <c r="G248" s="128" t="n">
        <v>-29.76</v>
      </c>
      <c r="H248" s="128" t="n">
        <v>-58.32</v>
      </c>
      <c r="I248" s="128" t="n">
        <v>-77.23</v>
      </c>
      <c r="J248" s="128" t="n">
        <v>-92.07</v>
      </c>
      <c r="K248" s="128" t="n">
        <v>817.24</v>
      </c>
      <c r="L248" s="129" t="n">
        <f aca="false">AVERAGE(C248:E248)</f>
        <v>-74.0466666666667</v>
      </c>
      <c r="M248" s="130" t="n">
        <f aca="false">AVERAGE(C248:J248)</f>
        <v>-57.92875</v>
      </c>
      <c r="N248" s="130" t="n">
        <f aca="false">RANK(I248,I:I)</f>
        <v>413</v>
      </c>
      <c r="O248" s="127" t="n">
        <f aca="false">RANK(L248,L:L)</f>
        <v>416</v>
      </c>
      <c r="P248" s="128" t="s">
        <v>263</v>
      </c>
      <c r="Q248" s="127" t="n">
        <f aca="false">RANK(M248,M:M)</f>
        <v>428</v>
      </c>
      <c r="R248" s="128" t="s">
        <v>263</v>
      </c>
      <c r="S248" s="127"/>
      <c r="T248" s="127"/>
      <c r="U248" s="127"/>
      <c r="V248" s="127"/>
      <c r="W248" s="127"/>
      <c r="X248" s="127"/>
    </row>
    <row r="249" customFormat="false" ht="15.75" hidden="false" customHeight="true" outlineLevel="0" collapsed="false">
      <c r="A249" s="128" t="s">
        <v>366</v>
      </c>
      <c r="B249" s="128" t="n">
        <v>825.55</v>
      </c>
      <c r="C249" s="128" t="n">
        <v>-66.67</v>
      </c>
      <c r="D249" s="128" t="n">
        <v>-102.02</v>
      </c>
      <c r="E249" s="128" t="n">
        <v>-26.31</v>
      </c>
      <c r="F249" s="128" t="n">
        <v>2.15</v>
      </c>
      <c r="G249" s="128" t="n">
        <v>63.21</v>
      </c>
      <c r="H249" s="128" t="n">
        <v>-5.71</v>
      </c>
      <c r="I249" s="128" t="n">
        <v>-19.75</v>
      </c>
      <c r="J249" s="128" t="n">
        <v>-29.2</v>
      </c>
      <c r="K249" s="128" t="n">
        <v>780.12</v>
      </c>
      <c r="L249" s="129" t="n">
        <f aca="false">AVERAGE(C249:E249)</f>
        <v>-65</v>
      </c>
      <c r="M249" s="130" t="n">
        <f aca="false">AVERAGE(C249:J249)</f>
        <v>-23.0375</v>
      </c>
      <c r="N249" s="130" t="n">
        <f aca="false">RANK(I249,I:I)</f>
        <v>239</v>
      </c>
      <c r="O249" s="127" t="n">
        <f aca="false">RANK(L249,L:L)</f>
        <v>353</v>
      </c>
      <c r="P249" s="128" t="s">
        <v>215</v>
      </c>
      <c r="Q249" s="127" t="n">
        <f aca="false">RANK(M249,M:M)</f>
        <v>315</v>
      </c>
      <c r="R249" s="128" t="s">
        <v>215</v>
      </c>
      <c r="S249" s="127"/>
      <c r="T249" s="127"/>
      <c r="U249" s="127"/>
      <c r="V249" s="127"/>
      <c r="W249" s="127"/>
      <c r="X249" s="127"/>
    </row>
    <row r="250" customFormat="false" ht="15.75" hidden="false" customHeight="true" outlineLevel="0" collapsed="false">
      <c r="A250" s="128" t="s">
        <v>47</v>
      </c>
      <c r="B250" s="128" t="n">
        <v>822.35</v>
      </c>
      <c r="C250" s="128" t="n">
        <v>66.67</v>
      </c>
      <c r="D250" s="128" t="n">
        <v>73.58</v>
      </c>
      <c r="E250" s="128" t="n">
        <v>75.81</v>
      </c>
      <c r="F250" s="128" t="n">
        <v>132.12</v>
      </c>
      <c r="G250" s="128" t="n">
        <v>-20.13</v>
      </c>
      <c r="H250" s="128" t="n">
        <v>-43.32</v>
      </c>
      <c r="I250" s="128" t="n">
        <v>-68.61</v>
      </c>
      <c r="J250" s="128" t="n">
        <v>-86.23</v>
      </c>
      <c r="K250" s="128" t="n">
        <v>728.42</v>
      </c>
      <c r="L250" s="129" t="n">
        <f aca="false">AVERAGE(C250:E250)</f>
        <v>72.02</v>
      </c>
      <c r="M250" s="130" t="n">
        <f aca="false">AVERAGE(C250:J250)</f>
        <v>16.23625</v>
      </c>
      <c r="N250" s="130" t="n">
        <f aca="false">RANK(I250,I:I)</f>
        <v>388</v>
      </c>
      <c r="O250" s="127" t="n">
        <f aca="false">RANK(L250,L:L)</f>
        <v>30</v>
      </c>
      <c r="P250" s="128" t="s">
        <v>543</v>
      </c>
      <c r="Q250" s="127" t="n">
        <f aca="false">RANK(M250,M:M)</f>
        <v>179</v>
      </c>
      <c r="R250" s="128" t="s">
        <v>543</v>
      </c>
      <c r="S250" s="127"/>
      <c r="T250" s="127"/>
      <c r="U250" s="127"/>
      <c r="V250" s="127"/>
      <c r="W250" s="127"/>
      <c r="X250" s="127"/>
    </row>
    <row r="251" customFormat="false" ht="15.75" hidden="false" customHeight="true" outlineLevel="0" collapsed="false">
      <c r="A251" s="128" t="s">
        <v>465</v>
      </c>
      <c r="B251" s="128" t="n">
        <v>799.9</v>
      </c>
      <c r="C251" s="128" t="n">
        <v>-66.67</v>
      </c>
      <c r="D251" s="128" t="n">
        <v>-133.33</v>
      </c>
      <c r="E251" s="128" t="n">
        <v>-13.23</v>
      </c>
      <c r="F251" s="128" t="n">
        <v>-70.83</v>
      </c>
      <c r="G251" s="128" t="n">
        <v>-109.28</v>
      </c>
      <c r="H251" s="128" t="n">
        <v>-97.08</v>
      </c>
      <c r="I251" s="128" t="n">
        <v>-106.57</v>
      </c>
      <c r="J251" s="128" t="n">
        <v>-109.79</v>
      </c>
      <c r="K251" s="128" t="n">
        <v>845.69</v>
      </c>
      <c r="L251" s="129" t="n">
        <f aca="false">AVERAGE(C251:E251)</f>
        <v>-71.0766666666667</v>
      </c>
      <c r="M251" s="130" t="n">
        <f aca="false">AVERAGE(C251:J251)</f>
        <v>-88.3475</v>
      </c>
      <c r="N251" s="130" t="n">
        <f aca="false">RANK(I251,I:I)</f>
        <v>470</v>
      </c>
      <c r="O251" s="127" t="n">
        <f aca="false">RANK(L251,L:L)</f>
        <v>399</v>
      </c>
      <c r="P251" s="128" t="s">
        <v>465</v>
      </c>
      <c r="Q251" s="127" t="n">
        <f aca="false">RANK(M251,M:M)</f>
        <v>479</v>
      </c>
      <c r="R251" s="128" t="s">
        <v>465</v>
      </c>
      <c r="S251" s="127"/>
      <c r="T251" s="127"/>
      <c r="U251" s="127"/>
      <c r="V251" s="127"/>
      <c r="W251" s="127"/>
      <c r="X251" s="127"/>
    </row>
    <row r="252" customFormat="false" ht="15.75" hidden="false" customHeight="true" outlineLevel="0" collapsed="false">
      <c r="A252" s="128" t="s">
        <v>159</v>
      </c>
      <c r="B252" s="128" t="n">
        <v>798.65</v>
      </c>
      <c r="C252" s="128" t="n">
        <v>-66.67</v>
      </c>
      <c r="D252" s="128" t="n">
        <v>-132.95</v>
      </c>
      <c r="E252" s="128" t="n">
        <v>31.86</v>
      </c>
      <c r="F252" s="128" t="n">
        <v>108.39</v>
      </c>
      <c r="G252" s="128" t="n">
        <v>141.62</v>
      </c>
      <c r="H252" s="128" t="n">
        <v>87.73</v>
      </c>
      <c r="I252" s="128" t="n">
        <v>32.83</v>
      </c>
      <c r="J252" s="128" t="n">
        <v>31.86</v>
      </c>
      <c r="K252" s="128" t="n">
        <v>773.07</v>
      </c>
      <c r="L252" s="129" t="n">
        <f aca="false">AVERAGE(C252:E252)</f>
        <v>-55.92</v>
      </c>
      <c r="M252" s="130" t="n">
        <f aca="false">AVERAGE(C252:J252)</f>
        <v>29.33375</v>
      </c>
      <c r="N252" s="130" t="n">
        <f aca="false">RANK(I252,I:I)</f>
        <v>150</v>
      </c>
      <c r="O252" s="127" t="n">
        <f aca="false">RANK(L252,L:L)</f>
        <v>269</v>
      </c>
      <c r="P252" s="128" t="s">
        <v>207</v>
      </c>
      <c r="Q252" s="127" t="n">
        <f aca="false">RANK(M252,M:M)</f>
        <v>143</v>
      </c>
      <c r="R252" s="128" t="s">
        <v>207</v>
      </c>
      <c r="S252" s="127"/>
      <c r="T252" s="127"/>
      <c r="U252" s="127"/>
      <c r="V252" s="127"/>
      <c r="W252" s="127"/>
      <c r="X252" s="127"/>
    </row>
    <row r="253" customFormat="false" ht="15.75" hidden="false" customHeight="true" outlineLevel="0" collapsed="false">
      <c r="A253" s="128" t="s">
        <v>401</v>
      </c>
      <c r="B253" s="128" t="n">
        <v>796.95</v>
      </c>
      <c r="C253" s="128" t="n">
        <v>-66.67</v>
      </c>
      <c r="D253" s="128" t="n">
        <v>-96.77</v>
      </c>
      <c r="E253" s="128" t="n">
        <v>42.65</v>
      </c>
      <c r="F253" s="128" t="n">
        <v>135.24</v>
      </c>
      <c r="G253" s="128" t="n">
        <v>174.48</v>
      </c>
      <c r="H253" s="128" t="n">
        <v>148.1</v>
      </c>
      <c r="I253" s="128" t="n">
        <v>155.51</v>
      </c>
      <c r="J253" s="128" t="n">
        <v>84.86</v>
      </c>
      <c r="K253" s="128" t="n">
        <v>739.32</v>
      </c>
      <c r="L253" s="129" t="n">
        <f aca="false">AVERAGE(C253:E253)</f>
        <v>-40.2633333333333</v>
      </c>
      <c r="M253" s="130" t="n">
        <f aca="false">AVERAGE(C253:J253)</f>
        <v>72.175</v>
      </c>
      <c r="N253" s="130" t="n">
        <f aca="false">RANK(I253,I:I)</f>
        <v>43</v>
      </c>
      <c r="O253" s="127" t="n">
        <f aca="false">RANK(L253,L:L)</f>
        <v>202</v>
      </c>
      <c r="P253" s="128" t="s">
        <v>323</v>
      </c>
      <c r="Q253" s="127" t="n">
        <f aca="false">RANK(M253,M:M)</f>
        <v>60</v>
      </c>
      <c r="R253" s="128" t="s">
        <v>323</v>
      </c>
      <c r="S253" s="127"/>
      <c r="T253" s="127"/>
      <c r="U253" s="127"/>
      <c r="V253" s="127"/>
      <c r="W253" s="127"/>
      <c r="X253" s="127"/>
    </row>
    <row r="254" customFormat="false" ht="15.75" hidden="false" customHeight="true" outlineLevel="0" collapsed="false">
      <c r="A254" s="128" t="s">
        <v>543</v>
      </c>
      <c r="B254" s="128" t="n">
        <v>793.55</v>
      </c>
      <c r="C254" s="128" t="n">
        <v>-66.67</v>
      </c>
      <c r="D254" s="128" t="n">
        <v>-133.33</v>
      </c>
      <c r="E254" s="128" t="n">
        <v>-44.93</v>
      </c>
      <c r="F254" s="128" t="n">
        <v>37.43</v>
      </c>
      <c r="G254" s="128" t="n">
        <v>-56.13</v>
      </c>
      <c r="H254" s="128" t="n">
        <v>-68.21</v>
      </c>
      <c r="I254" s="128" t="n">
        <v>-83.03</v>
      </c>
      <c r="J254" s="128" t="n">
        <v>-100.67</v>
      </c>
      <c r="K254" s="128" t="n">
        <v>851.76</v>
      </c>
      <c r="L254" s="129" t="n">
        <f aca="false">AVERAGE(C254:E254)</f>
        <v>-81.6433333333333</v>
      </c>
      <c r="M254" s="130" t="n">
        <f aca="false">AVERAGE(C254:J254)</f>
        <v>-64.4425</v>
      </c>
      <c r="N254" s="130" t="n">
        <f aca="false">RANK(I254,I:I)</f>
        <v>426</v>
      </c>
      <c r="O254" s="127" t="n">
        <f aca="false">RANK(L254,L:L)</f>
        <v>443</v>
      </c>
      <c r="P254" s="128" t="s">
        <v>150</v>
      </c>
      <c r="Q254" s="127" t="n">
        <f aca="false">RANK(M254,M:M)</f>
        <v>444</v>
      </c>
      <c r="R254" s="128" t="s">
        <v>150</v>
      </c>
      <c r="S254" s="127"/>
      <c r="T254" s="127"/>
      <c r="U254" s="127"/>
      <c r="V254" s="127"/>
      <c r="W254" s="127"/>
      <c r="X254" s="127"/>
    </row>
    <row r="255" customFormat="false" ht="15.75" hidden="false" customHeight="true" outlineLevel="0" collapsed="false">
      <c r="A255" s="128" t="s">
        <v>207</v>
      </c>
      <c r="B255" s="128" t="n">
        <v>791.2</v>
      </c>
      <c r="C255" s="128" t="n">
        <v>-66.67</v>
      </c>
      <c r="D255" s="128" t="n">
        <v>-133.33</v>
      </c>
      <c r="E255" s="128" t="n">
        <v>10.93</v>
      </c>
      <c r="F255" s="128" t="n">
        <v>57.16</v>
      </c>
      <c r="G255" s="128" t="n">
        <v>38.83</v>
      </c>
      <c r="H255" s="128" t="n">
        <v>-22.53</v>
      </c>
      <c r="I255" s="128" t="n">
        <v>-48.04</v>
      </c>
      <c r="J255" s="128" t="n">
        <v>-63.44</v>
      </c>
      <c r="K255" s="128" t="n">
        <v>771.18</v>
      </c>
      <c r="L255" s="129" t="n">
        <f aca="false">AVERAGE(C255:E255)</f>
        <v>-63.0233333333333</v>
      </c>
      <c r="M255" s="130" t="n">
        <f aca="false">AVERAGE(C255:J255)</f>
        <v>-28.38625</v>
      </c>
      <c r="N255" s="130" t="n">
        <f aca="false">RANK(I255,I:I)</f>
        <v>316</v>
      </c>
      <c r="O255" s="127" t="n">
        <f aca="false">RANK(L255,L:L)</f>
        <v>325</v>
      </c>
      <c r="P255" s="128" t="s">
        <v>530</v>
      </c>
      <c r="Q255" s="127" t="n">
        <f aca="false">RANK(M255,M:M)</f>
        <v>337</v>
      </c>
      <c r="R255" s="128" t="s">
        <v>530</v>
      </c>
      <c r="S255" s="127"/>
      <c r="T255" s="127"/>
      <c r="U255" s="127"/>
      <c r="V255" s="127"/>
      <c r="W255" s="127"/>
      <c r="X255" s="127"/>
    </row>
    <row r="256" customFormat="false" ht="15.75" hidden="false" customHeight="true" outlineLevel="0" collapsed="false">
      <c r="A256" s="128" t="s">
        <v>150</v>
      </c>
      <c r="B256" s="128" t="n">
        <v>786.35</v>
      </c>
      <c r="C256" s="128" t="n">
        <v>-66.67</v>
      </c>
      <c r="D256" s="128" t="n">
        <v>-120.46</v>
      </c>
      <c r="E256" s="128" t="n">
        <v>-72.12</v>
      </c>
      <c r="F256" s="128" t="n">
        <v>-11.57</v>
      </c>
      <c r="G256" s="128" t="n">
        <v>34.97</v>
      </c>
      <c r="H256" s="128" t="n">
        <v>-2.51</v>
      </c>
      <c r="I256" s="128" t="n">
        <v>11.5</v>
      </c>
      <c r="J256" s="128" t="n">
        <v>34.21</v>
      </c>
      <c r="K256" s="128" t="n">
        <v>770.52</v>
      </c>
      <c r="L256" s="129" t="n">
        <f aca="false">AVERAGE(C256:E256)</f>
        <v>-86.4166666666667</v>
      </c>
      <c r="M256" s="130" t="n">
        <f aca="false">AVERAGE(C256:J256)</f>
        <v>-24.08125</v>
      </c>
      <c r="N256" s="130" t="n">
        <f aca="false">RANK(I256,I:I)</f>
        <v>182</v>
      </c>
      <c r="O256" s="127" t="n">
        <f aca="false">RANK(L256,L:L)</f>
        <v>455</v>
      </c>
      <c r="P256" s="128" t="s">
        <v>159</v>
      </c>
      <c r="Q256" s="127" t="n">
        <f aca="false">RANK(M256,M:M)</f>
        <v>322</v>
      </c>
      <c r="R256" s="128" t="s">
        <v>159</v>
      </c>
      <c r="S256" s="127"/>
      <c r="T256" s="127"/>
      <c r="U256" s="127"/>
      <c r="V256" s="127"/>
      <c r="W256" s="127"/>
      <c r="X256" s="127"/>
    </row>
    <row r="257" customFormat="false" ht="15.75" hidden="false" customHeight="true" outlineLevel="0" collapsed="false">
      <c r="A257" s="128" t="s">
        <v>530</v>
      </c>
      <c r="B257" s="128" t="n">
        <v>778.55</v>
      </c>
      <c r="C257" s="128" t="n">
        <v>-66.67</v>
      </c>
      <c r="D257" s="128" t="n">
        <v>-82.72</v>
      </c>
      <c r="E257" s="128" t="n">
        <v>28</v>
      </c>
      <c r="F257" s="128" t="n">
        <v>39.82</v>
      </c>
      <c r="G257" s="128" t="n">
        <v>-11.83</v>
      </c>
      <c r="H257" s="128" t="n">
        <v>-52.3</v>
      </c>
      <c r="I257" s="128" t="n">
        <v>-70.25</v>
      </c>
      <c r="J257" s="128" t="n">
        <v>-86.54</v>
      </c>
      <c r="K257" s="128" t="n">
        <v>732.82</v>
      </c>
      <c r="L257" s="129" t="n">
        <f aca="false">AVERAGE(C257:E257)</f>
        <v>-40.4633333333333</v>
      </c>
      <c r="M257" s="130" t="n">
        <f aca="false">AVERAGE(C257:J257)</f>
        <v>-37.81125</v>
      </c>
      <c r="N257" s="130" t="n">
        <f aca="false">RANK(I257,I:I)</f>
        <v>393</v>
      </c>
      <c r="O257" s="127" t="n">
        <f aca="false">RANK(L257,L:L)</f>
        <v>204</v>
      </c>
      <c r="P257" s="128" t="s">
        <v>385</v>
      </c>
      <c r="Q257" s="127" t="n">
        <f aca="false">RANK(M257,M:M)</f>
        <v>375</v>
      </c>
      <c r="R257" s="128" t="s">
        <v>385</v>
      </c>
      <c r="S257" s="127"/>
      <c r="T257" s="127"/>
      <c r="U257" s="127"/>
      <c r="V257" s="127"/>
      <c r="W257" s="127"/>
      <c r="X257" s="127"/>
    </row>
    <row r="258" customFormat="false" ht="15.75" hidden="false" customHeight="true" outlineLevel="0" collapsed="false">
      <c r="A258" s="128" t="s">
        <v>286</v>
      </c>
      <c r="B258" s="128" t="n">
        <v>775.95</v>
      </c>
      <c r="C258" s="128" t="n">
        <v>-66.67</v>
      </c>
      <c r="D258" s="128" t="n">
        <v>-93.92</v>
      </c>
      <c r="E258" s="128" t="n">
        <v>-72.85</v>
      </c>
      <c r="F258" s="128" t="n">
        <v>-32.75</v>
      </c>
      <c r="G258" s="128" t="n">
        <v>20.79</v>
      </c>
      <c r="H258" s="128" t="n">
        <v>-12.31</v>
      </c>
      <c r="I258" s="128" t="n">
        <v>-28.18</v>
      </c>
      <c r="J258" s="128" t="n">
        <v>-10.41</v>
      </c>
      <c r="K258" s="128" t="n">
        <v>729.83</v>
      </c>
      <c r="L258" s="129" t="n">
        <f aca="false">AVERAGE(C258:E258)</f>
        <v>-77.8133333333333</v>
      </c>
      <c r="M258" s="130" t="n">
        <f aca="false">AVERAGE(C258:J258)</f>
        <v>-37.0375</v>
      </c>
      <c r="N258" s="130" t="n">
        <f aca="false">RANK(I258,I:I)</f>
        <v>255</v>
      </c>
      <c r="O258" s="127" t="n">
        <f aca="false">RANK(L258,L:L)</f>
        <v>431</v>
      </c>
      <c r="P258" s="128" t="s">
        <v>342</v>
      </c>
      <c r="Q258" s="127" t="n">
        <f aca="false">RANK(M258,M:M)</f>
        <v>372</v>
      </c>
      <c r="R258" s="128" t="s">
        <v>342</v>
      </c>
      <c r="S258" s="127"/>
      <c r="T258" s="127"/>
      <c r="U258" s="127"/>
      <c r="V258" s="127"/>
      <c r="W258" s="127"/>
      <c r="X258" s="127"/>
    </row>
    <row r="259" customFormat="false" ht="15.75" hidden="false" customHeight="true" outlineLevel="0" collapsed="false">
      <c r="A259" s="128" t="s">
        <v>412</v>
      </c>
      <c r="B259" s="128" t="n">
        <v>768.35</v>
      </c>
      <c r="C259" s="128" t="n">
        <v>-66.67</v>
      </c>
      <c r="D259" s="128" t="n">
        <v>21.05</v>
      </c>
      <c r="E259" s="128" t="n">
        <v>65</v>
      </c>
      <c r="F259" s="128" t="n">
        <v>79.62</v>
      </c>
      <c r="G259" s="128" t="n">
        <v>96.42</v>
      </c>
      <c r="H259" s="128" t="n">
        <v>118.65</v>
      </c>
      <c r="I259" s="128" t="n">
        <v>120.87</v>
      </c>
      <c r="J259" s="128" t="n">
        <v>99.48</v>
      </c>
      <c r="K259" s="128" t="n">
        <v>708.78</v>
      </c>
      <c r="L259" s="129" t="n">
        <f aca="false">AVERAGE(C259:E259)</f>
        <v>6.46</v>
      </c>
      <c r="M259" s="130" t="n">
        <f aca="false">AVERAGE(C259:J259)</f>
        <v>66.8025</v>
      </c>
      <c r="N259" s="130" t="n">
        <f aca="false">RANK(I259,I:I)</f>
        <v>64</v>
      </c>
      <c r="O259" s="127" t="n">
        <f aca="false">RANK(L259,L:L)</f>
        <v>74</v>
      </c>
      <c r="P259" s="128" t="s">
        <v>472</v>
      </c>
      <c r="Q259" s="127" t="n">
        <f aca="false">RANK(M259,M:M)</f>
        <v>64</v>
      </c>
      <c r="R259" s="128" t="s">
        <v>472</v>
      </c>
      <c r="S259" s="127"/>
      <c r="T259" s="127"/>
      <c r="U259" s="127"/>
      <c r="V259" s="127"/>
      <c r="W259" s="127"/>
      <c r="X259" s="127"/>
    </row>
    <row r="260" customFormat="false" ht="15.75" hidden="false" customHeight="true" outlineLevel="0" collapsed="false">
      <c r="A260" s="128" t="s">
        <v>441</v>
      </c>
      <c r="B260" s="128" t="n">
        <v>765.25</v>
      </c>
      <c r="C260" s="128" t="n">
        <v>-66.67</v>
      </c>
      <c r="D260" s="128" t="n">
        <v>-71.08</v>
      </c>
      <c r="E260" s="128" t="n">
        <v>44.62</v>
      </c>
      <c r="F260" s="128" t="n">
        <v>111.86</v>
      </c>
      <c r="G260" s="128" t="n">
        <v>63.78</v>
      </c>
      <c r="H260" s="128" t="n">
        <v>-9.12</v>
      </c>
      <c r="I260" s="128" t="n">
        <v>-3.75</v>
      </c>
      <c r="J260" s="128" t="n">
        <v>-21.25</v>
      </c>
      <c r="K260" s="128" t="n">
        <v>719.19</v>
      </c>
      <c r="L260" s="129" t="n">
        <f aca="false">AVERAGE(C260:E260)</f>
        <v>-31.0433333333333</v>
      </c>
      <c r="M260" s="130" t="n">
        <f aca="false">AVERAGE(C260:J260)</f>
        <v>6.04875</v>
      </c>
      <c r="N260" s="130" t="n">
        <f aca="false">RANK(I260,I:I)</f>
        <v>208</v>
      </c>
      <c r="O260" s="127" t="n">
        <f aca="false">RANK(L260,L:L)</f>
        <v>161</v>
      </c>
      <c r="P260" s="128" t="s">
        <v>412</v>
      </c>
      <c r="Q260" s="127" t="n">
        <f aca="false">RANK(M260,M:M)</f>
        <v>216</v>
      </c>
      <c r="R260" s="128" t="s">
        <v>412</v>
      </c>
      <c r="S260" s="127"/>
      <c r="T260" s="127"/>
      <c r="U260" s="127"/>
      <c r="V260" s="127"/>
      <c r="W260" s="127"/>
      <c r="X260" s="127"/>
    </row>
    <row r="261" customFormat="false" ht="15.75" hidden="false" customHeight="true" outlineLevel="0" collapsed="false">
      <c r="A261" s="128" t="s">
        <v>546</v>
      </c>
      <c r="B261" s="128" t="n">
        <v>756.8</v>
      </c>
      <c r="C261" s="128" t="n">
        <v>-66.67</v>
      </c>
      <c r="D261" s="128" t="n">
        <v>-102.62</v>
      </c>
      <c r="E261" s="128" t="n">
        <v>-59.53</v>
      </c>
      <c r="F261" s="128" t="n">
        <v>-95.26</v>
      </c>
      <c r="G261" s="128" t="n">
        <v>-26.61</v>
      </c>
      <c r="H261" s="128" t="n">
        <v>-36.47</v>
      </c>
      <c r="I261" s="128" t="n">
        <v>-18.25</v>
      </c>
      <c r="J261" s="128" t="n">
        <v>7.44</v>
      </c>
      <c r="K261" s="128" t="n">
        <v>858.93</v>
      </c>
      <c r="L261" s="129" t="n">
        <f aca="false">AVERAGE(C261:E261)</f>
        <v>-76.2733333333333</v>
      </c>
      <c r="M261" s="130" t="n">
        <f aca="false">AVERAGE(C261:J261)</f>
        <v>-49.74625</v>
      </c>
      <c r="N261" s="130" t="n">
        <f aca="false">RANK(I261,I:I)</f>
        <v>235</v>
      </c>
      <c r="O261" s="127" t="n">
        <f aca="false">RANK(L261,L:L)</f>
        <v>422</v>
      </c>
      <c r="P261" s="128" t="s">
        <v>157</v>
      </c>
      <c r="Q261" s="127" t="n">
        <f aca="false">RANK(M261,M:M)</f>
        <v>409</v>
      </c>
      <c r="R261" s="128" t="s">
        <v>157</v>
      </c>
      <c r="S261" s="127"/>
      <c r="T261" s="127"/>
      <c r="U261" s="127"/>
      <c r="V261" s="127"/>
      <c r="W261" s="127"/>
      <c r="X261" s="127"/>
    </row>
    <row r="262" customFormat="false" ht="15.75" hidden="false" customHeight="true" outlineLevel="0" collapsed="false">
      <c r="A262" s="128" t="s">
        <v>157</v>
      </c>
      <c r="B262" s="128" t="n">
        <v>751.85</v>
      </c>
      <c r="C262" s="128" t="n">
        <v>-66.67</v>
      </c>
      <c r="D262" s="128" t="n">
        <v>-133.33</v>
      </c>
      <c r="E262" s="128" t="n">
        <v>8.24</v>
      </c>
      <c r="F262" s="128" t="n">
        <v>100.28</v>
      </c>
      <c r="G262" s="128" t="n">
        <v>61.73</v>
      </c>
      <c r="H262" s="128" t="n">
        <v>18.13</v>
      </c>
      <c r="I262" s="128" t="n">
        <v>-15.22</v>
      </c>
      <c r="J262" s="128" t="n">
        <v>-40.66</v>
      </c>
      <c r="K262" s="128" t="n">
        <v>731.84</v>
      </c>
      <c r="L262" s="129" t="n">
        <f aca="false">AVERAGE(C262:E262)</f>
        <v>-63.92</v>
      </c>
      <c r="M262" s="130" t="n">
        <f aca="false">AVERAGE(C262:J262)</f>
        <v>-8.4375</v>
      </c>
      <c r="N262" s="130" t="n">
        <f aca="false">RANK(I262,I:I)</f>
        <v>226</v>
      </c>
      <c r="O262" s="127" t="n">
        <f aca="false">RANK(L262,L:L)</f>
        <v>335</v>
      </c>
      <c r="P262" s="128" t="s">
        <v>51</v>
      </c>
      <c r="Q262" s="127" t="n">
        <f aca="false">RANK(M262,M:M)</f>
        <v>261</v>
      </c>
      <c r="R262" s="128" t="s">
        <v>51</v>
      </c>
      <c r="S262" s="127"/>
      <c r="T262" s="127"/>
      <c r="U262" s="127"/>
      <c r="V262" s="127"/>
      <c r="W262" s="127"/>
      <c r="X262" s="127"/>
    </row>
    <row r="263" customFormat="false" ht="15.75" hidden="false" customHeight="true" outlineLevel="0" collapsed="false">
      <c r="A263" s="128" t="s">
        <v>347</v>
      </c>
      <c r="B263" s="128" t="n">
        <v>739.05</v>
      </c>
      <c r="C263" s="128" t="n">
        <v>-66.67</v>
      </c>
      <c r="D263" s="128" t="n">
        <v>-133.33</v>
      </c>
      <c r="E263" s="128" t="n">
        <v>37.87</v>
      </c>
      <c r="F263" s="128" t="n">
        <v>130.99</v>
      </c>
      <c r="G263" s="128" t="n">
        <v>10.17</v>
      </c>
      <c r="H263" s="128" t="n">
        <v>-32.94</v>
      </c>
      <c r="I263" s="128" t="n">
        <v>-50.44</v>
      </c>
      <c r="J263" s="128" t="n">
        <v>-65.73</v>
      </c>
      <c r="K263" s="128" t="n">
        <v>665.02</v>
      </c>
      <c r="L263" s="129" t="n">
        <f aca="false">AVERAGE(C263:E263)</f>
        <v>-54.0433333333333</v>
      </c>
      <c r="M263" s="130" t="n">
        <f aca="false">AVERAGE(C263:J263)</f>
        <v>-21.26</v>
      </c>
      <c r="N263" s="130" t="n">
        <f aca="false">RANK(I263,I:I)</f>
        <v>327</v>
      </c>
      <c r="O263" s="127" t="n">
        <f aca="false">RANK(L263,L:L)</f>
        <v>258</v>
      </c>
      <c r="P263" s="128" t="s">
        <v>548</v>
      </c>
      <c r="Q263" s="127" t="n">
        <f aca="false">RANK(M263,M:M)</f>
        <v>305</v>
      </c>
      <c r="R263" s="128" t="s">
        <v>548</v>
      </c>
      <c r="S263" s="127"/>
      <c r="T263" s="127"/>
      <c r="U263" s="127"/>
      <c r="V263" s="127"/>
      <c r="W263" s="127"/>
      <c r="X263" s="127"/>
    </row>
    <row r="264" customFormat="false" ht="15.75" hidden="false" customHeight="true" outlineLevel="0" collapsed="false">
      <c r="A264" s="128" t="s">
        <v>472</v>
      </c>
      <c r="B264" s="128" t="n">
        <v>734.85</v>
      </c>
      <c r="C264" s="128" t="n">
        <v>-66.67</v>
      </c>
      <c r="D264" s="128" t="n">
        <v>-133.33</v>
      </c>
      <c r="E264" s="128" t="n">
        <v>-8.68</v>
      </c>
      <c r="F264" s="128" t="n">
        <v>49.38</v>
      </c>
      <c r="G264" s="128" t="n">
        <v>16.22</v>
      </c>
      <c r="H264" s="128" t="n">
        <v>-37.08</v>
      </c>
      <c r="I264" s="128" t="n">
        <v>-60.03</v>
      </c>
      <c r="J264" s="128" t="n">
        <v>-75.77</v>
      </c>
      <c r="K264" s="128" t="n">
        <v>680.38</v>
      </c>
      <c r="L264" s="129" t="n">
        <f aca="false">AVERAGE(C264:E264)</f>
        <v>-69.56</v>
      </c>
      <c r="M264" s="130" t="n">
        <f aca="false">AVERAGE(C264:J264)</f>
        <v>-39.495</v>
      </c>
      <c r="N264" s="130" t="n">
        <f aca="false">RANK(I264,I:I)</f>
        <v>365</v>
      </c>
      <c r="O264" s="127" t="n">
        <f aca="false">RANK(L264,L:L)</f>
        <v>388</v>
      </c>
      <c r="P264" s="128" t="s">
        <v>47</v>
      </c>
      <c r="Q264" s="127" t="n">
        <f aca="false">RANK(M264,M:M)</f>
        <v>378</v>
      </c>
      <c r="R264" s="128" t="s">
        <v>47</v>
      </c>
      <c r="S264" s="127"/>
      <c r="T264" s="127"/>
      <c r="U264" s="127"/>
      <c r="V264" s="127"/>
      <c r="W264" s="127"/>
      <c r="X264" s="127"/>
    </row>
    <row r="265" customFormat="false" ht="15.75" hidden="false" customHeight="true" outlineLevel="0" collapsed="false">
      <c r="A265" s="128" t="s">
        <v>326</v>
      </c>
      <c r="B265" s="128" t="n">
        <v>728.85</v>
      </c>
      <c r="C265" s="128" t="n">
        <v>-66.67</v>
      </c>
      <c r="D265" s="128" t="n">
        <v>-50</v>
      </c>
      <c r="E265" s="128" t="n">
        <v>57.15</v>
      </c>
      <c r="F265" s="128" t="n">
        <v>125.5</v>
      </c>
      <c r="G265" s="128" t="n">
        <v>129.11</v>
      </c>
      <c r="H265" s="128" t="n">
        <v>61.46</v>
      </c>
      <c r="I265" s="128" t="n">
        <v>7.47</v>
      </c>
      <c r="J265" s="128" t="n">
        <v>-22.16</v>
      </c>
      <c r="K265" s="128" t="n">
        <v>676.41</v>
      </c>
      <c r="L265" s="129" t="n">
        <f aca="false">AVERAGE(C265:E265)</f>
        <v>-19.84</v>
      </c>
      <c r="M265" s="130" t="n">
        <f aca="false">AVERAGE(C265:J265)</f>
        <v>30.2325</v>
      </c>
      <c r="N265" s="130" t="n">
        <f aca="false">RANK(I265,I:I)</f>
        <v>191</v>
      </c>
      <c r="O265" s="127" t="n">
        <f aca="false">RANK(L265,L:L)</f>
        <v>134</v>
      </c>
      <c r="P265" s="128" t="s">
        <v>326</v>
      </c>
      <c r="Q265" s="127" t="n">
        <f aca="false">RANK(M265,M:M)</f>
        <v>138</v>
      </c>
      <c r="R265" s="128" t="s">
        <v>326</v>
      </c>
      <c r="S265" s="127"/>
      <c r="T265" s="127"/>
      <c r="U265" s="127"/>
      <c r="V265" s="127"/>
      <c r="W265" s="127"/>
      <c r="X265" s="127"/>
    </row>
    <row r="266" customFormat="false" ht="15.75" hidden="false" customHeight="true" outlineLevel="0" collapsed="false">
      <c r="A266" s="128" t="s">
        <v>469</v>
      </c>
      <c r="B266" s="128" t="n">
        <v>723.2</v>
      </c>
      <c r="C266" s="128" t="n">
        <v>-66.67</v>
      </c>
      <c r="D266" s="128" t="n">
        <v>-133.33</v>
      </c>
      <c r="E266" s="128" t="n">
        <v>31.37</v>
      </c>
      <c r="F266" s="128" t="n">
        <v>-18.02</v>
      </c>
      <c r="G266" s="128" t="n">
        <v>-40.33</v>
      </c>
      <c r="H266" s="128" t="n">
        <v>-61.44</v>
      </c>
      <c r="I266" s="128" t="n">
        <v>-76.63</v>
      </c>
      <c r="J266" s="128" t="n">
        <v>-93.77</v>
      </c>
      <c r="K266" s="128" t="n">
        <v>762.75</v>
      </c>
      <c r="L266" s="129" t="n">
        <f aca="false">AVERAGE(C266:E266)</f>
        <v>-56.21</v>
      </c>
      <c r="M266" s="130" t="n">
        <f aca="false">AVERAGE(C266:J266)</f>
        <v>-57.3525</v>
      </c>
      <c r="N266" s="130" t="n">
        <f aca="false">RANK(I266,I:I)</f>
        <v>412</v>
      </c>
      <c r="O266" s="127" t="n">
        <f aca="false">RANK(L266,L:L)</f>
        <v>273</v>
      </c>
      <c r="P266" s="128" t="s">
        <v>145</v>
      </c>
      <c r="Q266" s="127" t="n">
        <f aca="false">RANK(M266,M:M)</f>
        <v>427</v>
      </c>
      <c r="R266" s="128" t="s">
        <v>145</v>
      </c>
      <c r="S266" s="127"/>
      <c r="T266" s="127"/>
      <c r="U266" s="127"/>
      <c r="V266" s="127"/>
      <c r="W266" s="127"/>
      <c r="X266" s="127"/>
    </row>
    <row r="267" customFormat="false" ht="15.75" hidden="false" customHeight="true" outlineLevel="0" collapsed="false">
      <c r="A267" s="128" t="s">
        <v>346</v>
      </c>
      <c r="B267" s="128" t="n">
        <v>723.15</v>
      </c>
      <c r="C267" s="128" t="n">
        <v>-66.67</v>
      </c>
      <c r="D267" s="128" t="n">
        <v>-78.16</v>
      </c>
      <c r="E267" s="128" t="n">
        <v>34.16</v>
      </c>
      <c r="F267" s="128" t="n">
        <v>116.11</v>
      </c>
      <c r="G267" s="128" t="n">
        <v>132.02</v>
      </c>
      <c r="H267" s="128" t="n">
        <v>71.58</v>
      </c>
      <c r="I267" s="128" t="n">
        <v>3.12</v>
      </c>
      <c r="J267" s="128" t="n">
        <v>-20.28</v>
      </c>
      <c r="K267" s="128" t="n">
        <v>677.39</v>
      </c>
      <c r="L267" s="129" t="n">
        <f aca="false">AVERAGE(C267:E267)</f>
        <v>-36.89</v>
      </c>
      <c r="M267" s="130" t="n">
        <f aca="false">AVERAGE(C267:J267)</f>
        <v>23.985</v>
      </c>
      <c r="N267" s="130" t="n">
        <f aca="false">RANK(I267,I:I)</f>
        <v>197</v>
      </c>
      <c r="O267" s="127" t="n">
        <f aca="false">RANK(L267,L:L)</f>
        <v>188</v>
      </c>
      <c r="P267" s="128" t="s">
        <v>401</v>
      </c>
      <c r="Q267" s="127" t="n">
        <f aca="false">RANK(M267,M:M)</f>
        <v>158</v>
      </c>
      <c r="R267" s="128" t="s">
        <v>401</v>
      </c>
      <c r="S267" s="127"/>
      <c r="T267" s="127"/>
      <c r="U267" s="127"/>
      <c r="V267" s="127"/>
      <c r="W267" s="127"/>
      <c r="X267" s="127"/>
    </row>
    <row r="268" customFormat="false" ht="15.75" hidden="false" customHeight="true" outlineLevel="0" collapsed="false">
      <c r="A268" s="128" t="s">
        <v>548</v>
      </c>
      <c r="B268" s="128" t="n">
        <v>721.55</v>
      </c>
      <c r="C268" s="128" t="n">
        <v>-66.67</v>
      </c>
      <c r="D268" s="128" t="n">
        <v>-123.32</v>
      </c>
      <c r="E268" s="128" t="n">
        <v>50.01</v>
      </c>
      <c r="F268" s="128" t="n">
        <v>64.82</v>
      </c>
      <c r="G268" s="128" t="n">
        <v>-23.58</v>
      </c>
      <c r="H268" s="128" t="n">
        <v>-48.15</v>
      </c>
      <c r="I268" s="128" t="n">
        <v>-56.37</v>
      </c>
      <c r="J268" s="128" t="n">
        <v>-68.38</v>
      </c>
      <c r="K268" s="128" t="n">
        <v>738.51</v>
      </c>
      <c r="L268" s="129" t="n">
        <f aca="false">AVERAGE(C268:E268)</f>
        <v>-46.66</v>
      </c>
      <c r="M268" s="130" t="n">
        <f aca="false">AVERAGE(C268:J268)</f>
        <v>-33.955</v>
      </c>
      <c r="N268" s="130" t="n">
        <f aca="false">RANK(I268,I:I)</f>
        <v>350</v>
      </c>
      <c r="O268" s="127" t="n">
        <f aca="false">RANK(L268,L:L)</f>
        <v>224</v>
      </c>
      <c r="P268" s="128" t="s">
        <v>363</v>
      </c>
      <c r="Q268" s="127" t="n">
        <f aca="false">RANK(M268,M:M)</f>
        <v>359</v>
      </c>
      <c r="R268" s="128" t="s">
        <v>363</v>
      </c>
      <c r="S268" s="127"/>
      <c r="T268" s="127"/>
      <c r="U268" s="127"/>
      <c r="V268" s="127"/>
      <c r="W268" s="127"/>
      <c r="X268" s="127"/>
    </row>
    <row r="269" customFormat="false" ht="15.75" hidden="false" customHeight="true" outlineLevel="0" collapsed="false">
      <c r="A269" s="128" t="s">
        <v>363</v>
      </c>
      <c r="B269" s="128" t="n">
        <v>718.95</v>
      </c>
      <c r="C269" s="128" t="n">
        <v>-66.67</v>
      </c>
      <c r="D269" s="128" t="n">
        <v>-133.33</v>
      </c>
      <c r="E269" s="128" t="n">
        <v>-4.68</v>
      </c>
      <c r="F269" s="128" t="n">
        <v>35.95</v>
      </c>
      <c r="G269" s="128" t="n">
        <v>-42.7</v>
      </c>
      <c r="H269" s="128" t="n">
        <v>-65.03</v>
      </c>
      <c r="I269" s="128" t="n">
        <v>-71.2</v>
      </c>
      <c r="J269" s="128" t="n">
        <v>-82</v>
      </c>
      <c r="K269" s="128" t="n">
        <v>674.15</v>
      </c>
      <c r="L269" s="129" t="n">
        <f aca="false">AVERAGE(C269:E269)</f>
        <v>-68.2266666666667</v>
      </c>
      <c r="M269" s="130" t="n">
        <f aca="false">AVERAGE(C269:J269)</f>
        <v>-53.7075</v>
      </c>
      <c r="N269" s="130" t="n">
        <f aca="false">RANK(I269,I:I)</f>
        <v>395</v>
      </c>
      <c r="O269" s="127" t="n">
        <f aca="false">RANK(L269,L:L)</f>
        <v>379</v>
      </c>
      <c r="P269" s="128" t="s">
        <v>184</v>
      </c>
      <c r="Q269" s="127" t="n">
        <f aca="false">RANK(M269,M:M)</f>
        <v>419</v>
      </c>
      <c r="R269" s="128" t="s">
        <v>184</v>
      </c>
      <c r="S269" s="127"/>
      <c r="T269" s="127"/>
      <c r="U269" s="127"/>
      <c r="V269" s="127"/>
      <c r="W269" s="127"/>
      <c r="X269" s="127"/>
    </row>
    <row r="270" customFormat="false" ht="15.75" hidden="false" customHeight="true" outlineLevel="0" collapsed="false">
      <c r="A270" s="128" t="s">
        <v>63</v>
      </c>
      <c r="B270" s="128" t="n">
        <v>710.4</v>
      </c>
      <c r="C270" s="128" t="n">
        <v>-66.67</v>
      </c>
      <c r="D270" s="128" t="n">
        <v>27.08</v>
      </c>
      <c r="E270" s="128" t="n">
        <v>38.93</v>
      </c>
      <c r="F270" s="128" t="n">
        <v>102.03</v>
      </c>
      <c r="G270" s="128" t="n">
        <v>139.76</v>
      </c>
      <c r="H270" s="128" t="n">
        <v>174.98</v>
      </c>
      <c r="I270" s="128" t="n">
        <v>201.29</v>
      </c>
      <c r="J270" s="128" t="n">
        <v>155.42</v>
      </c>
      <c r="K270" s="128" t="n">
        <v>674.41</v>
      </c>
      <c r="L270" s="129" t="n">
        <f aca="false">AVERAGE(C270:E270)</f>
        <v>-0.220000000000004</v>
      </c>
      <c r="M270" s="130" t="n">
        <f aca="false">AVERAGE(C270:J270)</f>
        <v>96.6025</v>
      </c>
      <c r="N270" s="130" t="n">
        <f aca="false">RANK(I270,I:I)</f>
        <v>23</v>
      </c>
      <c r="O270" s="127" t="n">
        <f aca="false">RANK(L270,L:L)</f>
        <v>88</v>
      </c>
      <c r="P270" s="128" t="s">
        <v>869</v>
      </c>
      <c r="Q270" s="127" t="n">
        <f aca="false">RANK(M270,M:M)</f>
        <v>30</v>
      </c>
      <c r="R270" s="128" t="s">
        <v>869</v>
      </c>
      <c r="S270" s="127"/>
      <c r="T270" s="127"/>
      <c r="U270" s="127"/>
      <c r="V270" s="127"/>
      <c r="W270" s="127"/>
      <c r="X270" s="127"/>
    </row>
    <row r="271" customFormat="false" ht="15.75" hidden="false" customHeight="true" outlineLevel="0" collapsed="false">
      <c r="A271" s="128" t="s">
        <v>307</v>
      </c>
      <c r="B271" s="128" t="n">
        <v>704.75</v>
      </c>
      <c r="C271" s="128" t="n">
        <v>-66.67</v>
      </c>
      <c r="D271" s="128" t="n">
        <v>-90.72</v>
      </c>
      <c r="E271" s="128" t="n">
        <v>73.95</v>
      </c>
      <c r="F271" s="128" t="n">
        <v>154.12</v>
      </c>
      <c r="G271" s="128" t="n">
        <v>146.57</v>
      </c>
      <c r="H271" s="128" t="n">
        <v>64.38</v>
      </c>
      <c r="I271" s="128" t="n">
        <v>46.59</v>
      </c>
      <c r="J271" s="128" t="n">
        <v>24.16</v>
      </c>
      <c r="K271" s="128" t="n">
        <v>643.66</v>
      </c>
      <c r="L271" s="129" t="n">
        <f aca="false">AVERAGE(C271:E271)</f>
        <v>-27.8133333333333</v>
      </c>
      <c r="M271" s="130" t="n">
        <f aca="false">AVERAGE(C271:J271)</f>
        <v>44.0475</v>
      </c>
      <c r="N271" s="130" t="n">
        <f aca="false">RANK(I271,I:I)</f>
        <v>128</v>
      </c>
      <c r="O271" s="127" t="n">
        <f aca="false">RANK(L271,L:L)</f>
        <v>153</v>
      </c>
      <c r="P271" s="128" t="s">
        <v>63</v>
      </c>
      <c r="Q271" s="127" t="n">
        <f aca="false">RANK(M271,M:M)</f>
        <v>108</v>
      </c>
      <c r="R271" s="128" t="s">
        <v>63</v>
      </c>
      <c r="S271" s="127"/>
      <c r="T271" s="127"/>
      <c r="U271" s="127"/>
      <c r="V271" s="127"/>
      <c r="W271" s="127"/>
      <c r="X271" s="127"/>
    </row>
    <row r="272" customFormat="false" ht="15.75" hidden="false" customHeight="true" outlineLevel="0" collapsed="false">
      <c r="A272" s="128" t="s">
        <v>184</v>
      </c>
      <c r="B272" s="128" t="n">
        <v>704.55</v>
      </c>
      <c r="C272" s="128" t="n">
        <v>66.67</v>
      </c>
      <c r="D272" s="128" t="n">
        <v>-35.7</v>
      </c>
      <c r="E272" s="128" t="n">
        <v>30.39</v>
      </c>
      <c r="F272" s="128" t="n">
        <v>93.84</v>
      </c>
      <c r="G272" s="128" t="n">
        <v>125.09</v>
      </c>
      <c r="H272" s="128" t="n">
        <v>174.34</v>
      </c>
      <c r="I272" s="128" t="n">
        <v>124.16</v>
      </c>
      <c r="J272" s="128" t="n">
        <v>77.37</v>
      </c>
      <c r="K272" s="128" t="n">
        <v>674</v>
      </c>
      <c r="L272" s="129" t="n">
        <f aca="false">AVERAGE(C272:E272)</f>
        <v>20.4533333333333</v>
      </c>
      <c r="M272" s="130" t="n">
        <f aca="false">AVERAGE(C272:J272)</f>
        <v>82.02</v>
      </c>
      <c r="N272" s="130" t="n">
        <f aca="false">RANK(I272,I:I)</f>
        <v>60</v>
      </c>
      <c r="O272" s="127" t="n">
        <f aca="false">RANK(L272,L:L)</f>
        <v>54</v>
      </c>
      <c r="P272" s="128" t="s">
        <v>469</v>
      </c>
      <c r="Q272" s="127" t="n">
        <f aca="false">RANK(M272,M:M)</f>
        <v>45</v>
      </c>
      <c r="R272" s="128" t="s">
        <v>469</v>
      </c>
      <c r="S272" s="127"/>
      <c r="T272" s="127"/>
      <c r="U272" s="127"/>
      <c r="V272" s="127"/>
      <c r="W272" s="127"/>
      <c r="X272" s="127"/>
    </row>
    <row r="273" customFormat="false" ht="15.75" hidden="false" customHeight="true" outlineLevel="0" collapsed="false">
      <c r="A273" s="128" t="s">
        <v>357</v>
      </c>
      <c r="B273" s="128" t="n">
        <v>702</v>
      </c>
      <c r="C273" s="128" t="n">
        <v>66.67</v>
      </c>
      <c r="D273" s="128" t="n">
        <v>67.42</v>
      </c>
      <c r="E273" s="128" t="n">
        <v>92.79</v>
      </c>
      <c r="F273" s="128" t="n">
        <v>70.54</v>
      </c>
      <c r="G273" s="128" t="n">
        <v>-43.69</v>
      </c>
      <c r="H273" s="128" t="n">
        <v>-63.43</v>
      </c>
      <c r="I273" s="128" t="n">
        <v>-67.22</v>
      </c>
      <c r="J273" s="128" t="n">
        <v>-53.59</v>
      </c>
      <c r="K273" s="128" t="n">
        <v>712.93</v>
      </c>
      <c r="L273" s="129" t="n">
        <f aca="false">AVERAGE(C273:E273)</f>
        <v>75.6266666666667</v>
      </c>
      <c r="M273" s="130" t="n">
        <f aca="false">AVERAGE(C273:J273)</f>
        <v>8.68625</v>
      </c>
      <c r="N273" s="130" t="n">
        <f aca="false">RANK(I273,I:I)</f>
        <v>385</v>
      </c>
      <c r="O273" s="127" t="n">
        <f aca="false">RANK(L273,L:L)</f>
        <v>25</v>
      </c>
      <c r="P273" s="128" t="s">
        <v>357</v>
      </c>
      <c r="Q273" s="127" t="n">
        <f aca="false">RANK(M273,M:M)</f>
        <v>208</v>
      </c>
      <c r="R273" s="128" t="s">
        <v>357</v>
      </c>
      <c r="S273" s="127"/>
      <c r="T273" s="127"/>
      <c r="U273" s="127"/>
      <c r="V273" s="127"/>
      <c r="W273" s="127"/>
      <c r="X273" s="127"/>
    </row>
    <row r="274" customFormat="false" ht="15.75" hidden="false" customHeight="true" outlineLevel="0" collapsed="false">
      <c r="A274" s="128" t="s">
        <v>452</v>
      </c>
      <c r="B274" s="128" t="n">
        <v>695.65</v>
      </c>
      <c r="C274" s="128" t="n">
        <v>66.67</v>
      </c>
      <c r="D274" s="128" t="n">
        <v>75.67</v>
      </c>
      <c r="E274" s="128" t="n">
        <v>87.01</v>
      </c>
      <c r="F274" s="128" t="n">
        <v>86.12</v>
      </c>
      <c r="G274" s="128" t="n">
        <v>61.55</v>
      </c>
      <c r="H274" s="128" t="n">
        <v>-15.9</v>
      </c>
      <c r="I274" s="128" t="n">
        <v>-25.36</v>
      </c>
      <c r="J274" s="128" t="n">
        <v>-34.29</v>
      </c>
      <c r="K274" s="128" t="n">
        <v>607.29</v>
      </c>
      <c r="L274" s="129" t="n">
        <f aca="false">AVERAGE(C274:E274)</f>
        <v>76.45</v>
      </c>
      <c r="M274" s="130" t="n">
        <f aca="false">AVERAGE(C274:J274)</f>
        <v>37.68375</v>
      </c>
      <c r="N274" s="130" t="n">
        <f aca="false">RANK(I274,I:I)</f>
        <v>250</v>
      </c>
      <c r="O274" s="127" t="n">
        <f aca="false">RANK(L274,L:L)</f>
        <v>24</v>
      </c>
      <c r="P274" s="128" t="s">
        <v>152</v>
      </c>
      <c r="Q274" s="127" t="n">
        <f aca="false">RANK(M274,M:M)</f>
        <v>119</v>
      </c>
      <c r="R274" s="128" t="s">
        <v>152</v>
      </c>
      <c r="S274" s="127"/>
      <c r="T274" s="127"/>
      <c r="U274" s="127"/>
      <c r="V274" s="127"/>
      <c r="W274" s="127"/>
      <c r="X274" s="127"/>
    </row>
    <row r="275" customFormat="false" ht="15.75" hidden="false" customHeight="true" outlineLevel="0" collapsed="false">
      <c r="A275" s="128" t="s">
        <v>482</v>
      </c>
      <c r="B275" s="128" t="n">
        <v>694.9</v>
      </c>
      <c r="C275" s="128" t="n">
        <v>-66.67</v>
      </c>
      <c r="D275" s="128" t="n">
        <v>-68.37</v>
      </c>
      <c r="E275" s="128" t="n">
        <v>49.46</v>
      </c>
      <c r="F275" s="128" t="n">
        <v>148.06</v>
      </c>
      <c r="G275" s="128" t="n">
        <v>174.37</v>
      </c>
      <c r="H275" s="128" t="n">
        <v>-4.69</v>
      </c>
      <c r="I275" s="128" t="n">
        <v>-29.08</v>
      </c>
      <c r="J275" s="128" t="n">
        <v>-37.47</v>
      </c>
      <c r="K275" s="128" t="n">
        <v>682.87</v>
      </c>
      <c r="L275" s="129" t="n">
        <f aca="false">AVERAGE(C275:E275)</f>
        <v>-28.5266666666667</v>
      </c>
      <c r="M275" s="130" t="n">
        <f aca="false">AVERAGE(C275:J275)</f>
        <v>20.70125</v>
      </c>
      <c r="N275" s="130" t="n">
        <f aca="false">RANK(I275,I:I)</f>
        <v>259</v>
      </c>
      <c r="O275" s="127" t="n">
        <f aca="false">RANK(L275,L:L)</f>
        <v>155</v>
      </c>
      <c r="P275" s="128" t="s">
        <v>346</v>
      </c>
      <c r="Q275" s="127" t="n">
        <f aca="false">RANK(M275,M:M)</f>
        <v>168</v>
      </c>
      <c r="R275" s="128" t="s">
        <v>346</v>
      </c>
      <c r="S275" s="127"/>
      <c r="T275" s="127"/>
      <c r="U275" s="127"/>
      <c r="V275" s="127"/>
      <c r="W275" s="127"/>
      <c r="X275" s="127"/>
    </row>
    <row r="276" customFormat="false" ht="15.75" hidden="false" customHeight="true" outlineLevel="0" collapsed="false">
      <c r="A276" s="128" t="s">
        <v>145</v>
      </c>
      <c r="B276" s="128" t="n">
        <v>694.3</v>
      </c>
      <c r="C276" s="128" t="n">
        <v>-66.67</v>
      </c>
      <c r="D276" s="128" t="n">
        <v>-62.54</v>
      </c>
      <c r="E276" s="128" t="n">
        <v>36.6</v>
      </c>
      <c r="F276" s="128" t="n">
        <v>86.57</v>
      </c>
      <c r="G276" s="128" t="n">
        <v>74.67</v>
      </c>
      <c r="H276" s="128" t="n">
        <v>44.95</v>
      </c>
      <c r="I276" s="128" t="n">
        <v>60.23</v>
      </c>
      <c r="J276" s="128" t="n">
        <v>67.26</v>
      </c>
      <c r="K276" s="128" t="n">
        <v>659.92</v>
      </c>
      <c r="L276" s="129" t="n">
        <f aca="false">AVERAGE(C276:E276)</f>
        <v>-30.87</v>
      </c>
      <c r="M276" s="130" t="n">
        <f aca="false">AVERAGE(C276:J276)</f>
        <v>30.13375</v>
      </c>
      <c r="N276" s="130" t="n">
        <f aca="false">RANK(I276,I:I)</f>
        <v>112</v>
      </c>
      <c r="O276" s="127" t="n">
        <f aca="false">RANK(L276,L:L)</f>
        <v>160</v>
      </c>
      <c r="P276" s="128" t="s">
        <v>478</v>
      </c>
      <c r="Q276" s="127" t="n">
        <f aca="false">RANK(M276,M:M)</f>
        <v>139</v>
      </c>
      <c r="R276" s="128" t="s">
        <v>478</v>
      </c>
      <c r="S276" s="127"/>
      <c r="T276" s="127"/>
      <c r="U276" s="127"/>
      <c r="V276" s="127"/>
      <c r="W276" s="127"/>
      <c r="X276" s="127"/>
    </row>
    <row r="277" customFormat="false" ht="15.75" hidden="false" customHeight="true" outlineLevel="0" collapsed="false">
      <c r="A277" s="128" t="s">
        <v>458</v>
      </c>
      <c r="B277" s="128" t="n">
        <v>693.2</v>
      </c>
      <c r="C277" s="128" t="n">
        <v>-66.67</v>
      </c>
      <c r="D277" s="128" t="n">
        <v>-56.27</v>
      </c>
      <c r="E277" s="128" t="n">
        <v>63.73</v>
      </c>
      <c r="F277" s="128" t="n">
        <v>88.32</v>
      </c>
      <c r="G277" s="128" t="n">
        <v>-0.863</v>
      </c>
      <c r="H277" s="128" t="n">
        <v>-47.36</v>
      </c>
      <c r="I277" s="128" t="n">
        <v>-66.38</v>
      </c>
      <c r="J277" s="128" t="n">
        <v>-78.9</v>
      </c>
      <c r="K277" s="128" t="n">
        <v>665.85</v>
      </c>
      <c r="L277" s="129" t="n">
        <f aca="false">AVERAGE(C277:E277)</f>
        <v>-19.7366666666667</v>
      </c>
      <c r="M277" s="130" t="n">
        <f aca="false">AVERAGE(C277:J277)</f>
        <v>-20.549125</v>
      </c>
      <c r="N277" s="130" t="n">
        <f aca="false">RANK(I277,I:I)</f>
        <v>377</v>
      </c>
      <c r="O277" s="127" t="n">
        <f aca="false">RANK(L277,L:L)</f>
        <v>133</v>
      </c>
      <c r="P277" s="128" t="s">
        <v>285</v>
      </c>
      <c r="Q277" s="127" t="n">
        <f aca="false">RANK(M277,M:M)</f>
        <v>302</v>
      </c>
      <c r="R277" s="128" t="s">
        <v>285</v>
      </c>
      <c r="S277" s="127"/>
      <c r="T277" s="127"/>
      <c r="U277" s="127"/>
      <c r="V277" s="127"/>
      <c r="W277" s="127"/>
      <c r="X277" s="127"/>
    </row>
    <row r="278" customFormat="false" ht="15.75" hidden="false" customHeight="true" outlineLevel="0" collapsed="false">
      <c r="A278" s="128" t="s">
        <v>869</v>
      </c>
      <c r="B278" s="128" t="n">
        <v>687.7</v>
      </c>
      <c r="C278" s="128" t="n">
        <v>-66.67</v>
      </c>
      <c r="D278" s="128" t="n">
        <v>-133.33</v>
      </c>
      <c r="E278" s="128" t="n">
        <v>-41.39</v>
      </c>
      <c r="F278" s="128" t="n">
        <v>-63.67</v>
      </c>
      <c r="G278" s="128" t="n">
        <v>-24.94</v>
      </c>
      <c r="H278" s="128"/>
      <c r="I278" s="128"/>
      <c r="J278" s="128"/>
      <c r="K278" s="128" t="n">
        <v>631.99</v>
      </c>
      <c r="L278" s="129" t="n">
        <f aca="false">AVERAGE(C278:E278)</f>
        <v>-80.4633333333334</v>
      </c>
      <c r="M278" s="130" t="n">
        <f aca="false">AVERAGE(C278:J278)</f>
        <v>-66</v>
      </c>
      <c r="N278" s="130" t="e">
        <f aca="false">RANK(I278,I:I)</f>
        <v>#N/A</v>
      </c>
      <c r="O278" s="127" t="n">
        <f aca="false">RANK(L278,L:L)</f>
        <v>441</v>
      </c>
      <c r="P278" s="128" t="s">
        <v>350</v>
      </c>
      <c r="Q278" s="127" t="n">
        <f aca="false">RANK(M278,M:M)</f>
        <v>447</v>
      </c>
      <c r="R278" s="128" t="s">
        <v>350</v>
      </c>
      <c r="S278" s="127"/>
      <c r="T278" s="127"/>
      <c r="U278" s="127"/>
      <c r="V278" s="127"/>
      <c r="W278" s="127"/>
      <c r="X278" s="127"/>
    </row>
    <row r="279" customFormat="false" ht="15.75" hidden="false" customHeight="true" outlineLevel="0" collapsed="false">
      <c r="A279" s="128" t="s">
        <v>152</v>
      </c>
      <c r="B279" s="128" t="n">
        <v>678.75</v>
      </c>
      <c r="C279" s="128" t="n">
        <v>-66.67</v>
      </c>
      <c r="D279" s="128" t="n">
        <v>-133.33</v>
      </c>
      <c r="E279" s="128" t="n">
        <v>-63.86</v>
      </c>
      <c r="F279" s="128" t="n">
        <v>15.54</v>
      </c>
      <c r="G279" s="128" t="n">
        <v>-5.36</v>
      </c>
      <c r="H279" s="128" t="n">
        <v>-46.96</v>
      </c>
      <c r="I279" s="128" t="n">
        <v>-68.27</v>
      </c>
      <c r="J279" s="128" t="n">
        <v>-82.08</v>
      </c>
      <c r="K279" s="128" t="n">
        <v>718.83</v>
      </c>
      <c r="L279" s="129" t="n">
        <f aca="false">AVERAGE(C279:E279)</f>
        <v>-87.9533333333333</v>
      </c>
      <c r="M279" s="130" t="n">
        <f aca="false">AVERAGE(C279:J279)</f>
        <v>-56.37375</v>
      </c>
      <c r="N279" s="130" t="n">
        <f aca="false">RANK(I279,I:I)</f>
        <v>387</v>
      </c>
      <c r="O279" s="127" t="n">
        <f aca="false">RANK(L279,L:L)</f>
        <v>457</v>
      </c>
      <c r="P279" s="128" t="s">
        <v>35</v>
      </c>
      <c r="Q279" s="127" t="n">
        <f aca="false">RANK(M279,M:M)</f>
        <v>425</v>
      </c>
      <c r="R279" s="128" t="s">
        <v>35</v>
      </c>
      <c r="S279" s="127"/>
      <c r="T279" s="127"/>
      <c r="U279" s="127"/>
      <c r="V279" s="127"/>
      <c r="W279" s="127"/>
      <c r="X279" s="127"/>
    </row>
    <row r="280" customFormat="false" ht="15.75" hidden="false" customHeight="true" outlineLevel="0" collapsed="false">
      <c r="A280" s="128" t="s">
        <v>103</v>
      </c>
      <c r="B280" s="128" t="n">
        <v>676.85</v>
      </c>
      <c r="C280" s="128" t="n">
        <v>-66.67</v>
      </c>
      <c r="D280" s="128" t="n">
        <v>-115.7</v>
      </c>
      <c r="E280" s="128" t="n">
        <v>37.43</v>
      </c>
      <c r="F280" s="128" t="n">
        <v>114.32</v>
      </c>
      <c r="G280" s="128" t="n">
        <v>141.46</v>
      </c>
      <c r="H280" s="128" t="n">
        <v>170.69</v>
      </c>
      <c r="I280" s="128" t="n">
        <v>202.43</v>
      </c>
      <c r="J280" s="128" t="n">
        <v>231.07</v>
      </c>
      <c r="K280" s="128" t="n">
        <v>640.13</v>
      </c>
      <c r="L280" s="129" t="n">
        <f aca="false">AVERAGE(C280:E280)</f>
        <v>-48.3133333333333</v>
      </c>
      <c r="M280" s="130" t="n">
        <f aca="false">AVERAGE(C280:J280)</f>
        <v>89.37875</v>
      </c>
      <c r="N280" s="130" t="n">
        <f aca="false">RANK(I280,I:I)</f>
        <v>21</v>
      </c>
      <c r="O280" s="127" t="n">
        <f aca="false">RANK(L280,L:L)</f>
        <v>229</v>
      </c>
      <c r="P280" s="128" t="s">
        <v>496</v>
      </c>
      <c r="Q280" s="127" t="n">
        <f aca="false">RANK(M280,M:M)</f>
        <v>35</v>
      </c>
      <c r="R280" s="128" t="s">
        <v>496</v>
      </c>
      <c r="S280" s="127"/>
      <c r="T280" s="127"/>
      <c r="U280" s="127"/>
      <c r="V280" s="127"/>
      <c r="W280" s="127"/>
      <c r="X280" s="127"/>
    </row>
    <row r="281" customFormat="false" ht="15.75" hidden="false" customHeight="true" outlineLevel="0" collapsed="false">
      <c r="A281" s="128" t="s">
        <v>174</v>
      </c>
      <c r="B281" s="128" t="n">
        <v>675.15</v>
      </c>
      <c r="C281" s="128" t="n">
        <v>-66.67</v>
      </c>
      <c r="D281" s="128" t="n">
        <v>59.6</v>
      </c>
      <c r="E281" s="128" t="n">
        <v>108.97</v>
      </c>
      <c r="F281" s="128" t="n">
        <v>222.65</v>
      </c>
      <c r="G281" s="128" t="n">
        <v>252.65</v>
      </c>
      <c r="H281" s="128" t="n">
        <v>282.32</v>
      </c>
      <c r="I281" s="128" t="n">
        <v>263.86</v>
      </c>
      <c r="J281" s="128" t="n">
        <v>107.36</v>
      </c>
      <c r="K281" s="128" t="n">
        <v>605.94</v>
      </c>
      <c r="L281" s="129" t="n">
        <f aca="false">AVERAGE(C281:E281)</f>
        <v>33.9666666666667</v>
      </c>
      <c r="M281" s="130" t="n">
        <f aca="false">AVERAGE(C281:J281)</f>
        <v>153.8425</v>
      </c>
      <c r="N281" s="130" t="n">
        <f aca="false">RANK(I281,I:I)</f>
        <v>6</v>
      </c>
      <c r="O281" s="127" t="n">
        <f aca="false">RANK(L281,L:L)</f>
        <v>37</v>
      </c>
      <c r="P281" s="128" t="s">
        <v>441</v>
      </c>
      <c r="Q281" s="127" t="n">
        <f aca="false">RANK(M281,M:M)</f>
        <v>5</v>
      </c>
      <c r="R281" s="128" t="s">
        <v>441</v>
      </c>
      <c r="S281" s="127"/>
      <c r="T281" s="127"/>
      <c r="U281" s="127"/>
      <c r="V281" s="127"/>
      <c r="W281" s="127"/>
      <c r="X281" s="127"/>
    </row>
    <row r="282" customFormat="false" ht="15.75" hidden="false" customHeight="true" outlineLevel="0" collapsed="false">
      <c r="A282" s="128" t="s">
        <v>444</v>
      </c>
      <c r="B282" s="128" t="n">
        <v>675</v>
      </c>
      <c r="C282" s="128" t="n">
        <v>-66.67</v>
      </c>
      <c r="D282" s="128" t="n">
        <v>-133.33</v>
      </c>
      <c r="E282" s="128" t="n">
        <v>14.99</v>
      </c>
      <c r="F282" s="128" t="n">
        <v>93.42</v>
      </c>
      <c r="G282" s="128" t="n">
        <v>56.93</v>
      </c>
      <c r="H282" s="128" t="n">
        <v>-0.511</v>
      </c>
      <c r="I282" s="128" t="n">
        <v>-20.61</v>
      </c>
      <c r="J282" s="128" t="n">
        <v>-43.33</v>
      </c>
      <c r="K282" s="128" t="n">
        <v>618.25</v>
      </c>
      <c r="L282" s="129" t="n">
        <f aca="false">AVERAGE(C282:E282)</f>
        <v>-61.67</v>
      </c>
      <c r="M282" s="130" t="n">
        <f aca="false">AVERAGE(C282:J282)</f>
        <v>-12.388875</v>
      </c>
      <c r="N282" s="130" t="n">
        <f aca="false">RANK(I282,I:I)</f>
        <v>240</v>
      </c>
      <c r="O282" s="127" t="n">
        <f aca="false">RANK(L282,L:L)</f>
        <v>315</v>
      </c>
      <c r="P282" s="128" t="s">
        <v>307</v>
      </c>
      <c r="Q282" s="127" t="n">
        <f aca="false">RANK(M282,M:M)</f>
        <v>274</v>
      </c>
      <c r="R282" s="128" t="s">
        <v>307</v>
      </c>
      <c r="S282" s="127"/>
      <c r="T282" s="127"/>
      <c r="U282" s="127"/>
      <c r="V282" s="127"/>
      <c r="W282" s="127"/>
      <c r="X282" s="127"/>
    </row>
    <row r="283" customFormat="false" ht="15.75" hidden="false" customHeight="true" outlineLevel="0" collapsed="false">
      <c r="A283" s="128" t="s">
        <v>474</v>
      </c>
      <c r="B283" s="128" t="n">
        <v>674.55</v>
      </c>
      <c r="C283" s="128" t="n">
        <v>-66.67</v>
      </c>
      <c r="D283" s="128" t="n">
        <v>-73.06</v>
      </c>
      <c r="E283" s="128" t="n">
        <v>59.29</v>
      </c>
      <c r="F283" s="128" t="n">
        <v>118.27</v>
      </c>
      <c r="G283" s="128" t="n">
        <v>133.89</v>
      </c>
      <c r="H283" s="128" t="n">
        <v>149.29</v>
      </c>
      <c r="I283" s="128" t="n">
        <v>166.15</v>
      </c>
      <c r="J283" s="128" t="n">
        <v>166</v>
      </c>
      <c r="K283" s="128" t="n">
        <v>623.16</v>
      </c>
      <c r="L283" s="129" t="n">
        <f aca="false">AVERAGE(C283:E283)</f>
        <v>-26.8133333333333</v>
      </c>
      <c r="M283" s="130" t="n">
        <f aca="false">AVERAGE(C283:J283)</f>
        <v>81.645</v>
      </c>
      <c r="N283" s="130" t="n">
        <f aca="false">RANK(I283,I:I)</f>
        <v>37</v>
      </c>
      <c r="O283" s="127" t="n">
        <f aca="false">RANK(L283,L:L)</f>
        <v>150</v>
      </c>
      <c r="P283" s="128" t="s">
        <v>181</v>
      </c>
      <c r="Q283" s="127" t="n">
        <f aca="false">RANK(M283,M:M)</f>
        <v>46</v>
      </c>
      <c r="R283" s="128" t="s">
        <v>181</v>
      </c>
      <c r="S283" s="127"/>
      <c r="T283" s="127"/>
      <c r="U283" s="127"/>
      <c r="V283" s="127"/>
      <c r="W283" s="127"/>
      <c r="X283" s="127"/>
    </row>
    <row r="284" customFormat="false" ht="15.75" hidden="false" customHeight="true" outlineLevel="0" collapsed="false">
      <c r="A284" s="128" t="s">
        <v>478</v>
      </c>
      <c r="B284" s="128" t="n">
        <v>672.25</v>
      </c>
      <c r="C284" s="128" t="n">
        <v>-66.67</v>
      </c>
      <c r="D284" s="128" t="n">
        <v>-133.33</v>
      </c>
      <c r="E284" s="128" t="n">
        <v>-16.25</v>
      </c>
      <c r="F284" s="128" t="n">
        <v>-19.32</v>
      </c>
      <c r="G284" s="128" t="n">
        <v>48.78</v>
      </c>
      <c r="H284" s="128" t="n">
        <v>16.82</v>
      </c>
      <c r="I284" s="128" t="n">
        <v>19.72</v>
      </c>
      <c r="J284" s="128" t="n">
        <v>36.1</v>
      </c>
      <c r="K284" s="128" t="n">
        <v>723.22</v>
      </c>
      <c r="L284" s="129" t="n">
        <f aca="false">AVERAGE(C284:E284)</f>
        <v>-72.0833333333333</v>
      </c>
      <c r="M284" s="130" t="n">
        <f aca="false">AVERAGE(C284:J284)</f>
        <v>-14.26875</v>
      </c>
      <c r="N284" s="130" t="n">
        <f aca="false">RANK(I284,I:I)</f>
        <v>171</v>
      </c>
      <c r="O284" s="127" t="n">
        <f aca="false">RANK(L284,L:L)</f>
        <v>403</v>
      </c>
      <c r="P284" s="128" t="s">
        <v>70</v>
      </c>
      <c r="Q284" s="127" t="n">
        <f aca="false">RANK(M284,M:M)</f>
        <v>284</v>
      </c>
      <c r="R284" s="128" t="s">
        <v>70</v>
      </c>
      <c r="S284" s="127"/>
      <c r="T284" s="127"/>
      <c r="U284" s="127"/>
      <c r="V284" s="127"/>
      <c r="W284" s="127"/>
      <c r="X284" s="127"/>
    </row>
    <row r="285" customFormat="false" ht="15.75" hidden="false" customHeight="true" outlineLevel="0" collapsed="false">
      <c r="A285" s="128" t="s">
        <v>181</v>
      </c>
      <c r="B285" s="128" t="n">
        <v>661.85</v>
      </c>
      <c r="C285" s="128" t="n">
        <v>-66.67</v>
      </c>
      <c r="D285" s="128" t="n">
        <v>-91.67</v>
      </c>
      <c r="E285" s="128" t="n">
        <v>51.98</v>
      </c>
      <c r="F285" s="128" t="n">
        <v>99.34</v>
      </c>
      <c r="G285" s="128" t="n">
        <v>124.98</v>
      </c>
      <c r="H285" s="128" t="n">
        <v>98.8</v>
      </c>
      <c r="I285" s="128" t="n">
        <v>117.93</v>
      </c>
      <c r="J285" s="128" t="n">
        <v>133.89</v>
      </c>
      <c r="K285" s="128" t="n">
        <v>633.53</v>
      </c>
      <c r="L285" s="129" t="n">
        <f aca="false">AVERAGE(C285:E285)</f>
        <v>-35.4533333333333</v>
      </c>
      <c r="M285" s="130" t="n">
        <f aca="false">AVERAGE(C285:J285)</f>
        <v>58.5725</v>
      </c>
      <c r="N285" s="130" t="n">
        <f aca="false">RANK(I285,I:I)</f>
        <v>65</v>
      </c>
      <c r="O285" s="127" t="n">
        <f aca="false">RANK(L285,L:L)</f>
        <v>181</v>
      </c>
      <c r="P285" s="128" t="s">
        <v>103</v>
      </c>
      <c r="Q285" s="127" t="n">
        <f aca="false">RANK(M285,M:M)</f>
        <v>74</v>
      </c>
      <c r="R285" s="128" t="s">
        <v>103</v>
      </c>
      <c r="S285" s="127"/>
      <c r="T285" s="127"/>
      <c r="U285" s="127"/>
      <c r="V285" s="127"/>
      <c r="W285" s="127"/>
      <c r="X285" s="127"/>
    </row>
    <row r="286" customFormat="false" ht="15.75" hidden="false" customHeight="true" outlineLevel="0" collapsed="false">
      <c r="A286" s="128" t="s">
        <v>342</v>
      </c>
      <c r="B286" s="128" t="n">
        <v>656.7</v>
      </c>
      <c r="C286" s="128" t="n">
        <v>-66.67</v>
      </c>
      <c r="D286" s="128" t="n">
        <v>-133.33</v>
      </c>
      <c r="E286" s="128" t="n">
        <v>-133.11</v>
      </c>
      <c r="F286" s="128" t="n">
        <v>-133.3</v>
      </c>
      <c r="G286" s="128" t="n">
        <v>-97.14</v>
      </c>
      <c r="H286" s="128" t="n">
        <v>-94.44</v>
      </c>
      <c r="I286" s="128" t="n">
        <v>-105.13</v>
      </c>
      <c r="J286" s="128" t="n">
        <v>-120.51</v>
      </c>
      <c r="K286" s="128" t="n">
        <v>757.42</v>
      </c>
      <c r="L286" s="129" t="n">
        <f aca="false">AVERAGE(C286:E286)</f>
        <v>-111.036666666667</v>
      </c>
      <c r="M286" s="130" t="n">
        <f aca="false">AVERAGE(C286:J286)</f>
        <v>-110.45375</v>
      </c>
      <c r="N286" s="130" t="n">
        <f aca="false">RANK(I286,I:I)</f>
        <v>465</v>
      </c>
      <c r="O286" s="127" t="n">
        <f aca="false">RANK(L286,L:L)</f>
        <v>491</v>
      </c>
      <c r="P286" s="128" t="s">
        <v>458</v>
      </c>
      <c r="Q286" s="127" t="n">
        <f aca="false">RANK(M286,M:M)</f>
        <v>494</v>
      </c>
      <c r="R286" s="128" t="s">
        <v>458</v>
      </c>
      <c r="S286" s="127"/>
      <c r="T286" s="127"/>
      <c r="U286" s="127"/>
      <c r="V286" s="127"/>
      <c r="W286" s="127"/>
      <c r="X286" s="127"/>
    </row>
    <row r="287" customFormat="false" ht="15.75" hidden="false" customHeight="true" outlineLevel="0" collapsed="false">
      <c r="A287" s="128" t="s">
        <v>170</v>
      </c>
      <c r="B287" s="128" t="n">
        <v>655.25</v>
      </c>
      <c r="C287" s="128" t="n">
        <v>-66.67</v>
      </c>
      <c r="D287" s="128" t="n">
        <v>46.98</v>
      </c>
      <c r="E287" s="128" t="n">
        <v>109.94</v>
      </c>
      <c r="F287" s="128" t="n">
        <v>17.02</v>
      </c>
      <c r="G287" s="128" t="n">
        <v>-15.93</v>
      </c>
      <c r="H287" s="128" t="n">
        <v>-55.36</v>
      </c>
      <c r="I287" s="128" t="n">
        <v>-74.54</v>
      </c>
      <c r="J287" s="128" t="n">
        <v>-84.87</v>
      </c>
      <c r="K287" s="128" t="n">
        <v>611.47</v>
      </c>
      <c r="L287" s="129" t="n">
        <f aca="false">AVERAGE(C287:E287)</f>
        <v>30.0833333333333</v>
      </c>
      <c r="M287" s="130" t="n">
        <f aca="false">AVERAGE(C287:J287)</f>
        <v>-15.42875</v>
      </c>
      <c r="N287" s="130" t="n">
        <f aca="false">RANK(I287,I:I)</f>
        <v>403</v>
      </c>
      <c r="O287" s="127" t="n">
        <f aca="false">RANK(L287,L:L)</f>
        <v>43</v>
      </c>
      <c r="P287" s="128" t="s">
        <v>60</v>
      </c>
      <c r="Q287" s="127" t="n">
        <f aca="false">RANK(M287,M:M)</f>
        <v>288</v>
      </c>
      <c r="R287" s="128" t="s">
        <v>60</v>
      </c>
      <c r="S287" s="127"/>
      <c r="T287" s="127"/>
      <c r="U287" s="127"/>
      <c r="V287" s="127"/>
      <c r="W287" s="127"/>
      <c r="X287" s="127"/>
    </row>
    <row r="288" customFormat="false" ht="15.75" hidden="false" customHeight="true" outlineLevel="0" collapsed="false">
      <c r="A288" s="128" t="s">
        <v>70</v>
      </c>
      <c r="B288" s="128" t="n">
        <v>655.2</v>
      </c>
      <c r="C288" s="128" t="n">
        <v>-66.67</v>
      </c>
      <c r="D288" s="128" t="n">
        <v>-133.33</v>
      </c>
      <c r="E288" s="128" t="n">
        <v>-33.66</v>
      </c>
      <c r="F288" s="128" t="n">
        <v>18.35</v>
      </c>
      <c r="G288" s="128" t="n">
        <v>71.14</v>
      </c>
      <c r="H288" s="128" t="n">
        <v>96.02</v>
      </c>
      <c r="I288" s="128" t="n">
        <v>104.39</v>
      </c>
      <c r="J288" s="128" t="n">
        <v>69.1</v>
      </c>
      <c r="K288" s="128" t="n">
        <v>643.13</v>
      </c>
      <c r="L288" s="129" t="n">
        <f aca="false">AVERAGE(C288:E288)</f>
        <v>-77.8866666666667</v>
      </c>
      <c r="M288" s="130" t="n">
        <f aca="false">AVERAGE(C288:J288)</f>
        <v>15.6675</v>
      </c>
      <c r="N288" s="130" t="n">
        <f aca="false">RANK(I288,I:I)</f>
        <v>78</v>
      </c>
      <c r="O288" s="127" t="n">
        <f aca="false">RANK(L288,L:L)</f>
        <v>433</v>
      </c>
      <c r="P288" s="128" t="s">
        <v>452</v>
      </c>
      <c r="Q288" s="127" t="n">
        <f aca="false">RANK(M288,M:M)</f>
        <v>183</v>
      </c>
      <c r="R288" s="128" t="s">
        <v>452</v>
      </c>
      <c r="S288" s="127"/>
      <c r="T288" s="127"/>
      <c r="U288" s="127"/>
      <c r="V288" s="127"/>
      <c r="W288" s="127"/>
      <c r="X288" s="127"/>
    </row>
    <row r="289" customFormat="false" ht="15.75" hidden="false" customHeight="true" outlineLevel="0" collapsed="false">
      <c r="A289" s="128" t="s">
        <v>350</v>
      </c>
      <c r="B289" s="128" t="n">
        <v>654.65</v>
      </c>
      <c r="C289" s="128" t="n">
        <v>-66.67</v>
      </c>
      <c r="D289" s="128" t="n">
        <v>-126.41</v>
      </c>
      <c r="E289" s="128" t="n">
        <v>-72.92</v>
      </c>
      <c r="F289" s="128" t="n">
        <v>24.2</v>
      </c>
      <c r="G289" s="128" t="n">
        <v>58.94</v>
      </c>
      <c r="H289" s="128" t="n">
        <v>7.12</v>
      </c>
      <c r="I289" s="128" t="n">
        <v>0.893</v>
      </c>
      <c r="J289" s="128" t="n">
        <v>22.63</v>
      </c>
      <c r="K289" s="128" t="n">
        <v>626.68</v>
      </c>
      <c r="L289" s="129" t="n">
        <f aca="false">AVERAGE(C289:E289)</f>
        <v>-88.6666666666667</v>
      </c>
      <c r="M289" s="130" t="n">
        <f aca="false">AVERAGE(C289:J289)</f>
        <v>-19.027125</v>
      </c>
      <c r="N289" s="130" t="n">
        <f aca="false">RANK(I289,I:I)</f>
        <v>203</v>
      </c>
      <c r="O289" s="127" t="n">
        <f aca="false">RANK(L289,L:L)</f>
        <v>458</v>
      </c>
      <c r="P289" s="128" t="s">
        <v>369</v>
      </c>
      <c r="Q289" s="127" t="n">
        <f aca="false">RANK(M289,M:M)</f>
        <v>299</v>
      </c>
      <c r="R289" s="128" t="s">
        <v>369</v>
      </c>
      <c r="S289" s="127"/>
      <c r="T289" s="127"/>
      <c r="U289" s="127"/>
      <c r="V289" s="127"/>
      <c r="W289" s="127"/>
      <c r="X289" s="127"/>
    </row>
    <row r="290" customFormat="false" ht="15.75" hidden="false" customHeight="true" outlineLevel="0" collapsed="false">
      <c r="A290" s="128" t="s">
        <v>60</v>
      </c>
      <c r="B290" s="128" t="n">
        <v>653.55</v>
      </c>
      <c r="C290" s="128" t="n">
        <v>-66.67</v>
      </c>
      <c r="D290" s="128" t="n">
        <v>-133.33</v>
      </c>
      <c r="E290" s="128" t="n">
        <v>6.74</v>
      </c>
      <c r="F290" s="128" t="n">
        <v>-20.05</v>
      </c>
      <c r="G290" s="128" t="n">
        <v>-49.99</v>
      </c>
      <c r="H290" s="128" t="n">
        <v>-68.41</v>
      </c>
      <c r="I290" s="128" t="n">
        <v>-84.64</v>
      </c>
      <c r="J290" s="128" t="n">
        <v>-96.84</v>
      </c>
      <c r="K290" s="128" t="n">
        <v>629.31</v>
      </c>
      <c r="L290" s="129" t="n">
        <f aca="false">AVERAGE(C290:E290)</f>
        <v>-64.42</v>
      </c>
      <c r="M290" s="130" t="n">
        <f aca="false">AVERAGE(C290:J290)</f>
        <v>-64.14875</v>
      </c>
      <c r="N290" s="130" t="n">
        <f aca="false">RANK(I290,I:I)</f>
        <v>429</v>
      </c>
      <c r="O290" s="127" t="n">
        <f aca="false">RANK(L290,L:L)</f>
        <v>343</v>
      </c>
      <c r="P290" s="128" t="s">
        <v>513</v>
      </c>
      <c r="Q290" s="127" t="n">
        <f aca="false">RANK(M290,M:M)</f>
        <v>442</v>
      </c>
      <c r="R290" s="128" t="s">
        <v>513</v>
      </c>
      <c r="S290" s="127"/>
      <c r="T290" s="127"/>
      <c r="U290" s="127"/>
      <c r="V290" s="127"/>
      <c r="W290" s="127"/>
      <c r="X290" s="127"/>
    </row>
    <row r="291" customFormat="false" ht="15.75" hidden="false" customHeight="true" outlineLevel="0" collapsed="false">
      <c r="A291" s="128" t="s">
        <v>285</v>
      </c>
      <c r="B291" s="128" t="n">
        <v>642.3</v>
      </c>
      <c r="C291" s="128" t="n">
        <v>-66.67</v>
      </c>
      <c r="D291" s="128" t="n">
        <v>-122.87</v>
      </c>
      <c r="E291" s="128" t="n">
        <v>25.56</v>
      </c>
      <c r="F291" s="128" t="n">
        <v>58.03</v>
      </c>
      <c r="G291" s="128" t="n">
        <v>16.08</v>
      </c>
      <c r="H291" s="128" t="n">
        <v>-44.63</v>
      </c>
      <c r="I291" s="128" t="n">
        <v>-62.52</v>
      </c>
      <c r="J291" s="128" t="n">
        <v>-74.64</v>
      </c>
      <c r="K291" s="128" t="n">
        <v>600.4</v>
      </c>
      <c r="L291" s="129" t="n">
        <f aca="false">AVERAGE(C291:E291)</f>
        <v>-54.66</v>
      </c>
      <c r="M291" s="130" t="n">
        <f aca="false">AVERAGE(C291:J291)</f>
        <v>-33.9575</v>
      </c>
      <c r="N291" s="130" t="n">
        <f aca="false">RANK(I291,I:I)</f>
        <v>368</v>
      </c>
      <c r="O291" s="127" t="n">
        <f aca="false">RANK(L291,L:L)</f>
        <v>262</v>
      </c>
      <c r="P291" s="128" t="s">
        <v>444</v>
      </c>
      <c r="Q291" s="127" t="n">
        <f aca="false">RANK(M291,M:M)</f>
        <v>360</v>
      </c>
      <c r="R291" s="128" t="s">
        <v>444</v>
      </c>
      <c r="S291" s="127"/>
      <c r="T291" s="127"/>
      <c r="U291" s="127"/>
      <c r="V291" s="127"/>
      <c r="W291" s="127"/>
      <c r="X291" s="127"/>
    </row>
    <row r="292" customFormat="false" ht="15.75" hidden="false" customHeight="true" outlineLevel="0" collapsed="false">
      <c r="A292" s="128" t="s">
        <v>418</v>
      </c>
      <c r="B292" s="128" t="n">
        <v>640.2</v>
      </c>
      <c r="C292" s="128" t="n">
        <v>-66.67</v>
      </c>
      <c r="D292" s="128" t="n">
        <v>-94.14</v>
      </c>
      <c r="E292" s="128" t="n">
        <v>59.91</v>
      </c>
      <c r="F292" s="128" t="n">
        <v>150.97</v>
      </c>
      <c r="G292" s="128" t="n">
        <v>181.43</v>
      </c>
      <c r="H292" s="128" t="n">
        <v>33.47</v>
      </c>
      <c r="I292" s="128" t="n">
        <v>10.92</v>
      </c>
      <c r="J292" s="128" t="n">
        <v>4.43</v>
      </c>
      <c r="K292" s="128" t="n">
        <v>597.98</v>
      </c>
      <c r="L292" s="129" t="n">
        <f aca="false">AVERAGE(C292:E292)</f>
        <v>-33.6333333333333</v>
      </c>
      <c r="M292" s="130" t="n">
        <f aca="false">AVERAGE(C292:J292)</f>
        <v>35.04</v>
      </c>
      <c r="N292" s="130" t="n">
        <f aca="false">RANK(I292,I:I)</f>
        <v>184</v>
      </c>
      <c r="O292" s="127" t="n">
        <f aca="false">RANK(L292,L:L)</f>
        <v>169</v>
      </c>
      <c r="P292" s="128" t="s">
        <v>347</v>
      </c>
      <c r="Q292" s="127" t="n">
        <f aca="false">RANK(M292,M:M)</f>
        <v>130</v>
      </c>
      <c r="R292" s="128" t="s">
        <v>347</v>
      </c>
      <c r="S292" s="127"/>
      <c r="T292" s="127"/>
      <c r="U292" s="127"/>
      <c r="V292" s="127"/>
      <c r="W292" s="127"/>
      <c r="X292" s="127"/>
    </row>
    <row r="293" customFormat="false" ht="15.75" hidden="false" customHeight="true" outlineLevel="0" collapsed="false">
      <c r="A293" s="128" t="s">
        <v>35</v>
      </c>
      <c r="B293" s="128" t="n">
        <v>639.05</v>
      </c>
      <c r="C293" s="128" t="n">
        <v>-66.67</v>
      </c>
      <c r="D293" s="128" t="n">
        <v>-133.33</v>
      </c>
      <c r="E293" s="128" t="n">
        <v>-121.28</v>
      </c>
      <c r="F293" s="128" t="n">
        <v>25.74</v>
      </c>
      <c r="G293" s="128" t="n">
        <v>60.18</v>
      </c>
      <c r="H293" s="128" t="n">
        <v>13.05</v>
      </c>
      <c r="I293" s="128" t="n">
        <v>-26.56</v>
      </c>
      <c r="J293" s="128" t="n">
        <v>-46.2</v>
      </c>
      <c r="K293" s="128" t="n">
        <v>609.46</v>
      </c>
      <c r="L293" s="129" t="n">
        <f aca="false">AVERAGE(C293:E293)</f>
        <v>-107.093333333333</v>
      </c>
      <c r="M293" s="130" t="n">
        <f aca="false">AVERAGE(C293:J293)</f>
        <v>-36.88375</v>
      </c>
      <c r="N293" s="130" t="n">
        <f aca="false">RANK(I293,I:I)</f>
        <v>252</v>
      </c>
      <c r="O293" s="127" t="n">
        <f aca="false">RANK(L293,L:L)</f>
        <v>485</v>
      </c>
      <c r="P293" s="128" t="s">
        <v>334</v>
      </c>
      <c r="Q293" s="127" t="n">
        <f aca="false">RANK(M293,M:M)</f>
        <v>371</v>
      </c>
      <c r="R293" s="128" t="s">
        <v>334</v>
      </c>
      <c r="S293" s="127"/>
      <c r="T293" s="127"/>
      <c r="U293" s="127"/>
      <c r="V293" s="127"/>
      <c r="W293" s="127"/>
      <c r="X293" s="127"/>
    </row>
    <row r="294" customFormat="false" ht="15.75" hidden="false" customHeight="true" outlineLevel="0" collapsed="false">
      <c r="A294" s="128" t="s">
        <v>224</v>
      </c>
      <c r="B294" s="128" t="n">
        <v>633.1</v>
      </c>
      <c r="C294" s="128" t="n">
        <v>-66.67</v>
      </c>
      <c r="D294" s="128" t="n">
        <v>-123.27</v>
      </c>
      <c r="E294" s="128" t="n">
        <v>41.53</v>
      </c>
      <c r="F294" s="128" t="n">
        <v>45.32</v>
      </c>
      <c r="G294" s="128" t="n">
        <v>76.82</v>
      </c>
      <c r="H294" s="128" t="n">
        <v>-6.74</v>
      </c>
      <c r="I294" s="128" t="n">
        <v>-32.19</v>
      </c>
      <c r="J294" s="128" t="n">
        <v>-49.34</v>
      </c>
      <c r="K294" s="128" t="n">
        <v>591.51</v>
      </c>
      <c r="L294" s="129" t="n">
        <f aca="false">AVERAGE(C294:E294)</f>
        <v>-49.47</v>
      </c>
      <c r="M294" s="130" t="n">
        <f aca="false">AVERAGE(C294:J294)</f>
        <v>-14.3175</v>
      </c>
      <c r="N294" s="130" t="n">
        <f aca="false">RANK(I294,I:I)</f>
        <v>265</v>
      </c>
      <c r="O294" s="127" t="n">
        <f aca="false">RANK(L294,L:L)</f>
        <v>234</v>
      </c>
      <c r="P294" s="128" t="s">
        <v>170</v>
      </c>
      <c r="Q294" s="127" t="n">
        <f aca="false">RANK(M294,M:M)</f>
        <v>285</v>
      </c>
      <c r="R294" s="128" t="s">
        <v>170</v>
      </c>
      <c r="S294" s="127"/>
      <c r="T294" s="127"/>
      <c r="U294" s="127"/>
      <c r="V294" s="127"/>
      <c r="W294" s="127"/>
      <c r="X294" s="127"/>
    </row>
    <row r="295" customFormat="false" ht="15.75" hidden="false" customHeight="true" outlineLevel="0" collapsed="false">
      <c r="A295" s="128" t="s">
        <v>369</v>
      </c>
      <c r="B295" s="128" t="n">
        <v>631</v>
      </c>
      <c r="C295" s="128" t="n">
        <v>66.67</v>
      </c>
      <c r="D295" s="128" t="n">
        <v>67.85</v>
      </c>
      <c r="E295" s="128" t="n">
        <v>83.94</v>
      </c>
      <c r="F295" s="128" t="n">
        <v>81.5</v>
      </c>
      <c r="G295" s="128" t="n">
        <v>106.86</v>
      </c>
      <c r="H295" s="128" t="n">
        <v>98.8</v>
      </c>
      <c r="I295" s="128" t="n">
        <v>85.72</v>
      </c>
      <c r="J295" s="128" t="n">
        <v>-3.97</v>
      </c>
      <c r="K295" s="128" t="n">
        <v>573.37</v>
      </c>
      <c r="L295" s="129" t="n">
        <f aca="false">AVERAGE(C295:E295)</f>
        <v>72.82</v>
      </c>
      <c r="M295" s="130" t="n">
        <f aca="false">AVERAGE(C295:J295)</f>
        <v>73.42125</v>
      </c>
      <c r="N295" s="130" t="n">
        <f aca="false">RANK(I295,I:I)</f>
        <v>91</v>
      </c>
      <c r="O295" s="127" t="n">
        <f aca="false">RANK(L295,L:L)</f>
        <v>28</v>
      </c>
      <c r="P295" s="128" t="s">
        <v>210</v>
      </c>
      <c r="Q295" s="127" t="n">
        <f aca="false">RANK(M295,M:M)</f>
        <v>57</v>
      </c>
      <c r="R295" s="128" t="s">
        <v>210</v>
      </c>
      <c r="S295" s="127"/>
      <c r="T295" s="127"/>
      <c r="U295" s="127"/>
      <c r="V295" s="127"/>
      <c r="W295" s="127"/>
      <c r="X295" s="127"/>
    </row>
    <row r="296" customFormat="false" ht="15.75" hidden="false" customHeight="true" outlineLevel="0" collapsed="false">
      <c r="A296" s="128" t="s">
        <v>51</v>
      </c>
      <c r="B296" s="128" t="n">
        <v>630.1</v>
      </c>
      <c r="C296" s="128" t="n">
        <v>-66.67</v>
      </c>
      <c r="D296" s="128" t="n">
        <v>-87.98</v>
      </c>
      <c r="E296" s="128" t="n">
        <v>-172.73</v>
      </c>
      <c r="F296" s="128" t="n">
        <v>-207.43</v>
      </c>
      <c r="G296" s="128" t="n">
        <v>-192.22</v>
      </c>
      <c r="H296" s="128" t="n">
        <v>-126.14</v>
      </c>
      <c r="I296" s="128" t="n">
        <v>-126.18</v>
      </c>
      <c r="J296" s="128" t="n">
        <v>-143.69</v>
      </c>
      <c r="K296" s="128" t="n">
        <v>717.89</v>
      </c>
      <c r="L296" s="129" t="n">
        <f aca="false">AVERAGE(C296:E296)</f>
        <v>-109.126666666667</v>
      </c>
      <c r="M296" s="130" t="n">
        <f aca="false">AVERAGE(C296:J296)</f>
        <v>-140.38</v>
      </c>
      <c r="N296" s="130" t="n">
        <f aca="false">RANK(I296,I:I)</f>
        <v>479</v>
      </c>
      <c r="O296" s="127" t="n">
        <f aca="false">RANK(L296,L:L)</f>
        <v>488</v>
      </c>
      <c r="P296" s="128" t="s">
        <v>474</v>
      </c>
      <c r="Q296" s="127" t="n">
        <f aca="false">RANK(M296,M:M)</f>
        <v>498</v>
      </c>
      <c r="R296" s="128" t="s">
        <v>474</v>
      </c>
      <c r="S296" s="127"/>
      <c r="T296" s="127"/>
      <c r="U296" s="127"/>
      <c r="V296" s="127"/>
      <c r="W296" s="127"/>
      <c r="X296" s="127"/>
    </row>
    <row r="297" customFormat="false" ht="15.75" hidden="false" customHeight="true" outlineLevel="0" collapsed="false">
      <c r="A297" s="128" t="s">
        <v>138</v>
      </c>
      <c r="B297" s="128" t="n">
        <v>625.65</v>
      </c>
      <c r="C297" s="128" t="n">
        <v>-66.67</v>
      </c>
      <c r="D297" s="128" t="n">
        <v>-133.33</v>
      </c>
      <c r="E297" s="128" t="n">
        <v>2.38</v>
      </c>
      <c r="F297" s="128" t="n">
        <v>61.64</v>
      </c>
      <c r="G297" s="128" t="n">
        <v>81.87</v>
      </c>
      <c r="H297" s="128" t="n">
        <v>100.4</v>
      </c>
      <c r="I297" s="128" t="n">
        <v>108.88</v>
      </c>
      <c r="J297" s="128" t="n">
        <v>103.08</v>
      </c>
      <c r="K297" s="128" t="n">
        <v>592.08</v>
      </c>
      <c r="L297" s="129" t="n">
        <f aca="false">AVERAGE(C297:E297)</f>
        <v>-65.8733333333333</v>
      </c>
      <c r="M297" s="130" t="n">
        <f aca="false">AVERAGE(C297:J297)</f>
        <v>32.28125</v>
      </c>
      <c r="N297" s="130" t="n">
        <f aca="false">RANK(I297,I:I)</f>
        <v>75</v>
      </c>
      <c r="O297" s="127" t="n">
        <f aca="false">RANK(L297,L:L)</f>
        <v>363</v>
      </c>
      <c r="P297" s="128" t="s">
        <v>482</v>
      </c>
      <c r="Q297" s="127" t="n">
        <f aca="false">RANK(M297,M:M)</f>
        <v>134</v>
      </c>
      <c r="R297" s="128" t="s">
        <v>482</v>
      </c>
      <c r="S297" s="127"/>
      <c r="T297" s="127"/>
      <c r="U297" s="127"/>
      <c r="V297" s="127"/>
      <c r="W297" s="127"/>
      <c r="X297" s="127"/>
    </row>
    <row r="298" customFormat="false" ht="15.75" hidden="false" customHeight="true" outlineLevel="0" collapsed="false">
      <c r="A298" s="128" t="s">
        <v>72</v>
      </c>
      <c r="B298" s="128" t="n">
        <v>622.1</v>
      </c>
      <c r="C298" s="128" t="n">
        <v>-66.67</v>
      </c>
      <c r="D298" s="128" t="n">
        <v>-70.41</v>
      </c>
      <c r="E298" s="128" t="n">
        <v>58.14</v>
      </c>
      <c r="F298" s="128" t="n">
        <v>-46.18</v>
      </c>
      <c r="G298" s="128" t="n">
        <v>-17.2</v>
      </c>
      <c r="H298" s="128" t="n">
        <v>-3.72</v>
      </c>
      <c r="I298" s="128" t="n">
        <v>-23.24</v>
      </c>
      <c r="J298" s="128" t="n">
        <v>-45.45</v>
      </c>
      <c r="K298" s="128" t="n">
        <v>581.53</v>
      </c>
      <c r="L298" s="129" t="n">
        <f aca="false">AVERAGE(C298:E298)</f>
        <v>-26.3133333333333</v>
      </c>
      <c r="M298" s="130" t="n">
        <f aca="false">AVERAGE(C298:J298)</f>
        <v>-26.84125</v>
      </c>
      <c r="N298" s="130" t="n">
        <f aca="false">RANK(I298,I:I)</f>
        <v>248</v>
      </c>
      <c r="O298" s="127" t="n">
        <f aca="false">RANK(L298,L:L)</f>
        <v>147</v>
      </c>
      <c r="P298" s="128" t="s">
        <v>72</v>
      </c>
      <c r="Q298" s="127" t="n">
        <f aca="false">RANK(M298,M:M)</f>
        <v>331</v>
      </c>
      <c r="R298" s="128" t="s">
        <v>72</v>
      </c>
      <c r="S298" s="127"/>
      <c r="T298" s="127"/>
      <c r="U298" s="127"/>
      <c r="V298" s="127"/>
      <c r="W298" s="127"/>
      <c r="X298" s="127"/>
    </row>
    <row r="299" customFormat="false" ht="15.75" hidden="false" customHeight="true" outlineLevel="0" collapsed="false">
      <c r="A299" s="128" t="s">
        <v>334</v>
      </c>
      <c r="B299" s="128" t="n">
        <v>619.8</v>
      </c>
      <c r="C299" s="128" t="n">
        <v>-66.67</v>
      </c>
      <c r="D299" s="128" t="n">
        <v>-100.21</v>
      </c>
      <c r="E299" s="128" t="n">
        <v>38.87</v>
      </c>
      <c r="F299" s="128" t="n">
        <v>121.75</v>
      </c>
      <c r="G299" s="128" t="n">
        <v>158.97</v>
      </c>
      <c r="H299" s="128" t="n">
        <v>161.84</v>
      </c>
      <c r="I299" s="128" t="n">
        <v>60.49</v>
      </c>
      <c r="J299" s="128" t="n">
        <v>9.01</v>
      </c>
      <c r="K299" s="128" t="n">
        <v>589.5</v>
      </c>
      <c r="L299" s="129" t="n">
        <f aca="false">AVERAGE(C299:E299)</f>
        <v>-42.67</v>
      </c>
      <c r="M299" s="130" t="n">
        <f aca="false">AVERAGE(C299:J299)</f>
        <v>48.00625</v>
      </c>
      <c r="N299" s="130" t="n">
        <f aca="false">RANK(I299,I:I)</f>
        <v>111</v>
      </c>
      <c r="O299" s="127" t="n">
        <f aca="false">RANK(L299,L:L)</f>
        <v>209</v>
      </c>
      <c r="P299" s="128" t="s">
        <v>138</v>
      </c>
      <c r="Q299" s="127" t="n">
        <f aca="false">RANK(M299,M:M)</f>
        <v>99</v>
      </c>
      <c r="R299" s="128" t="s">
        <v>138</v>
      </c>
      <c r="S299" s="127"/>
      <c r="T299" s="127"/>
      <c r="U299" s="127"/>
      <c r="V299" s="127"/>
      <c r="W299" s="127"/>
      <c r="X299" s="127"/>
    </row>
    <row r="300" customFormat="false" ht="15.75" hidden="false" customHeight="true" outlineLevel="0" collapsed="false">
      <c r="A300" s="128" t="s">
        <v>338</v>
      </c>
      <c r="B300" s="128" t="n">
        <v>613.9</v>
      </c>
      <c r="C300" s="128" t="n">
        <v>-66.67</v>
      </c>
      <c r="D300" s="128" t="n">
        <v>-132.82</v>
      </c>
      <c r="E300" s="128" t="n">
        <v>18.24</v>
      </c>
      <c r="F300" s="128" t="n">
        <v>103.36</v>
      </c>
      <c r="G300" s="128" t="n">
        <v>61.02</v>
      </c>
      <c r="H300" s="128" t="n">
        <v>-15.44</v>
      </c>
      <c r="I300" s="128" t="n">
        <v>-38.81</v>
      </c>
      <c r="J300" s="128" t="n">
        <v>-47.78</v>
      </c>
      <c r="K300" s="128" t="n">
        <v>584.24</v>
      </c>
      <c r="L300" s="129" t="n">
        <f aca="false">AVERAGE(C300:E300)</f>
        <v>-60.4166666666667</v>
      </c>
      <c r="M300" s="130" t="n">
        <f aca="false">AVERAGE(C300:J300)</f>
        <v>-14.8625</v>
      </c>
      <c r="N300" s="130" t="n">
        <f aca="false">RANK(I300,I:I)</f>
        <v>282</v>
      </c>
      <c r="O300" s="127" t="n">
        <f aca="false">RANK(L300,L:L)</f>
        <v>301</v>
      </c>
      <c r="P300" s="128" t="s">
        <v>338</v>
      </c>
      <c r="Q300" s="127" t="n">
        <f aca="false">RANK(M300,M:M)</f>
        <v>286</v>
      </c>
      <c r="R300" s="128" t="s">
        <v>338</v>
      </c>
      <c r="S300" s="127"/>
      <c r="T300" s="127"/>
      <c r="U300" s="127"/>
      <c r="V300" s="127"/>
      <c r="W300" s="127"/>
      <c r="X300" s="127"/>
    </row>
    <row r="301" customFormat="false" ht="15.75" hidden="false" customHeight="true" outlineLevel="0" collapsed="false">
      <c r="A301" s="128" t="s">
        <v>513</v>
      </c>
      <c r="B301" s="128" t="n">
        <v>605.05</v>
      </c>
      <c r="C301" s="128" t="n">
        <v>-66.67</v>
      </c>
      <c r="D301" s="128" t="n">
        <v>-133.33</v>
      </c>
      <c r="E301" s="128" t="n">
        <v>-11.46</v>
      </c>
      <c r="F301" s="128" t="n">
        <v>-56.71</v>
      </c>
      <c r="G301" s="128" t="n">
        <v>-86.13</v>
      </c>
      <c r="H301" s="128" t="n">
        <v>-83.47</v>
      </c>
      <c r="I301" s="128" t="n">
        <v>-94.54</v>
      </c>
      <c r="J301" s="128" t="n">
        <v>-108.94</v>
      </c>
      <c r="K301" s="128" t="n">
        <v>652.99</v>
      </c>
      <c r="L301" s="129" t="n">
        <f aca="false">AVERAGE(C301:E301)</f>
        <v>-70.4866666666667</v>
      </c>
      <c r="M301" s="130" t="n">
        <f aca="false">AVERAGE(C301:J301)</f>
        <v>-80.15625</v>
      </c>
      <c r="N301" s="130" t="n">
        <f aca="false">RANK(I301,I:I)</f>
        <v>448</v>
      </c>
      <c r="O301" s="127" t="n">
        <f aca="false">RANK(L301,L:L)</f>
        <v>396</v>
      </c>
      <c r="P301" s="128" t="s">
        <v>423</v>
      </c>
      <c r="Q301" s="127" t="n">
        <f aca="false">RANK(M301,M:M)</f>
        <v>468</v>
      </c>
      <c r="R301" s="128" t="s">
        <v>423</v>
      </c>
      <c r="S301" s="127"/>
      <c r="T301" s="127"/>
      <c r="U301" s="127"/>
      <c r="V301" s="127"/>
      <c r="W301" s="127"/>
      <c r="X301" s="127"/>
    </row>
    <row r="302" customFormat="false" ht="15.75" hidden="false" customHeight="true" outlineLevel="0" collapsed="false">
      <c r="A302" s="128" t="s">
        <v>210</v>
      </c>
      <c r="B302" s="128" t="n">
        <v>600</v>
      </c>
      <c r="C302" s="128" t="n">
        <v>-66.67</v>
      </c>
      <c r="D302" s="128" t="n">
        <v>-133.33</v>
      </c>
      <c r="E302" s="128" t="n">
        <v>-15.13</v>
      </c>
      <c r="F302" s="128" t="n">
        <v>6.24</v>
      </c>
      <c r="G302" s="128" t="n">
        <v>15.54</v>
      </c>
      <c r="H302" s="128" t="n">
        <v>-42.21</v>
      </c>
      <c r="I302" s="128" t="n">
        <v>-56.29</v>
      </c>
      <c r="J302" s="128" t="n">
        <v>-70.89</v>
      </c>
      <c r="K302" s="128" t="n">
        <v>581.02</v>
      </c>
      <c r="L302" s="129" t="n">
        <f aca="false">AVERAGE(C302:E302)</f>
        <v>-71.71</v>
      </c>
      <c r="M302" s="130" t="n">
        <f aca="false">AVERAGE(C302:J302)</f>
        <v>-45.3425</v>
      </c>
      <c r="N302" s="130" t="n">
        <f aca="false">RANK(I302,I:I)</f>
        <v>349</v>
      </c>
      <c r="O302" s="127" t="n">
        <f aca="false">RANK(L302,L:L)</f>
        <v>401</v>
      </c>
      <c r="P302" s="128" t="s">
        <v>164</v>
      </c>
      <c r="Q302" s="127" t="n">
        <f aca="false">RANK(M302,M:M)</f>
        <v>396</v>
      </c>
      <c r="R302" s="128" t="s">
        <v>164</v>
      </c>
      <c r="S302" s="127"/>
      <c r="T302" s="127"/>
      <c r="U302" s="127"/>
      <c r="V302" s="127"/>
      <c r="W302" s="127"/>
      <c r="X302" s="127"/>
    </row>
    <row r="303" customFormat="false" ht="15.75" hidden="false" customHeight="true" outlineLevel="0" collapsed="false">
      <c r="A303" s="128" t="s">
        <v>186</v>
      </c>
      <c r="B303" s="128" t="n">
        <v>595.8</v>
      </c>
      <c r="C303" s="128" t="n">
        <v>-66.67</v>
      </c>
      <c r="D303" s="128" t="n">
        <v>-129.37</v>
      </c>
      <c r="E303" s="128" t="n">
        <v>52.53</v>
      </c>
      <c r="F303" s="128" t="n">
        <v>99.15</v>
      </c>
      <c r="G303" s="128" t="n">
        <v>82.53</v>
      </c>
      <c r="H303" s="128" t="n">
        <v>-2.66</v>
      </c>
      <c r="I303" s="128" t="n">
        <v>-34.2</v>
      </c>
      <c r="J303" s="128" t="n">
        <v>-54.54</v>
      </c>
      <c r="K303" s="128" t="n">
        <v>558.89</v>
      </c>
      <c r="L303" s="129" t="n">
        <f aca="false">AVERAGE(C303:E303)</f>
        <v>-47.8366666666667</v>
      </c>
      <c r="M303" s="130" t="n">
        <f aca="false">AVERAGE(C303:J303)</f>
        <v>-6.65375</v>
      </c>
      <c r="N303" s="130" t="n">
        <f aca="false">RANK(I303,I:I)</f>
        <v>268</v>
      </c>
      <c r="O303" s="127" t="n">
        <f aca="false">RANK(L303,L:L)</f>
        <v>227</v>
      </c>
      <c r="P303" s="128" t="s">
        <v>174</v>
      </c>
      <c r="Q303" s="127" t="n">
        <f aca="false">RANK(M303,M:M)</f>
        <v>254</v>
      </c>
      <c r="R303" s="128" t="s">
        <v>174</v>
      </c>
      <c r="S303" s="127"/>
      <c r="T303" s="127"/>
      <c r="U303" s="127"/>
      <c r="V303" s="127"/>
      <c r="W303" s="127"/>
      <c r="X303" s="127"/>
    </row>
    <row r="304" customFormat="false" ht="15.75" hidden="false" customHeight="true" outlineLevel="0" collapsed="false">
      <c r="A304" s="128" t="s">
        <v>164</v>
      </c>
      <c r="B304" s="128" t="n">
        <v>592.2</v>
      </c>
      <c r="C304" s="128" t="n">
        <v>-66.67</v>
      </c>
      <c r="D304" s="128" t="n">
        <v>-129.82</v>
      </c>
      <c r="E304" s="128" t="n">
        <v>21.6</v>
      </c>
      <c r="F304" s="128" t="n">
        <v>104.79</v>
      </c>
      <c r="G304" s="128" t="n">
        <v>118.17</v>
      </c>
      <c r="H304" s="128" t="n">
        <v>94.98</v>
      </c>
      <c r="I304" s="128" t="n">
        <v>37.39</v>
      </c>
      <c r="J304" s="128" t="n">
        <v>12.81</v>
      </c>
      <c r="K304" s="128" t="n">
        <v>574.05</v>
      </c>
      <c r="L304" s="129" t="n">
        <f aca="false">AVERAGE(C304:E304)</f>
        <v>-58.2966666666667</v>
      </c>
      <c r="M304" s="130" t="n">
        <f aca="false">AVERAGE(C304:J304)</f>
        <v>24.15625</v>
      </c>
      <c r="N304" s="130" t="n">
        <f aca="false">RANK(I304,I:I)</f>
        <v>144</v>
      </c>
      <c r="O304" s="127" t="n">
        <f aca="false">RANK(L304,L:L)</f>
        <v>285</v>
      </c>
      <c r="P304" s="128" t="s">
        <v>224</v>
      </c>
      <c r="Q304" s="127" t="n">
        <f aca="false">RANK(M304,M:M)</f>
        <v>156</v>
      </c>
      <c r="R304" s="128" t="s">
        <v>224</v>
      </c>
      <c r="S304" s="127"/>
      <c r="T304" s="127"/>
      <c r="U304" s="127"/>
      <c r="V304" s="127"/>
      <c r="W304" s="127"/>
      <c r="X304" s="127"/>
    </row>
    <row r="305" customFormat="false" ht="15.75" hidden="false" customHeight="true" outlineLevel="0" collapsed="false">
      <c r="A305" s="128" t="s">
        <v>423</v>
      </c>
      <c r="B305" s="128" t="n">
        <v>585.5</v>
      </c>
      <c r="C305" s="128" t="n">
        <v>-66.67</v>
      </c>
      <c r="D305" s="128" t="n">
        <v>-48.02</v>
      </c>
      <c r="E305" s="128" t="n">
        <v>56.96</v>
      </c>
      <c r="F305" s="128" t="n">
        <v>-42.35</v>
      </c>
      <c r="G305" s="128" t="n">
        <v>-95.37</v>
      </c>
      <c r="H305" s="128" t="n">
        <v>-133.86</v>
      </c>
      <c r="I305" s="128" t="n">
        <v>-159.89</v>
      </c>
      <c r="J305" s="128" t="n">
        <v>-165.94</v>
      </c>
      <c r="K305" s="128" t="n">
        <v>600.83</v>
      </c>
      <c r="L305" s="129" t="n">
        <f aca="false">AVERAGE(C305:E305)</f>
        <v>-19.2433333333333</v>
      </c>
      <c r="M305" s="130" t="n">
        <f aca="false">AVERAGE(C305:J305)</f>
        <v>-81.8925</v>
      </c>
      <c r="N305" s="130" t="n">
        <f aca="false">RANK(I305,I:I)</f>
        <v>487</v>
      </c>
      <c r="O305" s="127" t="n">
        <f aca="false">RANK(L305,L:L)</f>
        <v>132</v>
      </c>
      <c r="P305" s="128" t="s">
        <v>225</v>
      </c>
      <c r="Q305" s="127" t="n">
        <f aca="false">RANK(M305,M:M)</f>
        <v>472</v>
      </c>
      <c r="R305" s="128" t="s">
        <v>225</v>
      </c>
      <c r="S305" s="127"/>
      <c r="T305" s="127"/>
      <c r="U305" s="127"/>
      <c r="V305" s="127"/>
      <c r="W305" s="127"/>
      <c r="X305" s="127"/>
    </row>
    <row r="306" customFormat="false" ht="15.75" hidden="false" customHeight="true" outlineLevel="0" collapsed="false">
      <c r="A306" s="128" t="s">
        <v>322</v>
      </c>
      <c r="B306" s="128" t="n">
        <v>571.95</v>
      </c>
      <c r="C306" s="128" t="n">
        <v>-66.67</v>
      </c>
      <c r="D306" s="128" t="n">
        <v>-90.95</v>
      </c>
      <c r="E306" s="128" t="n">
        <v>64.27</v>
      </c>
      <c r="F306" s="128" t="n">
        <v>114.43</v>
      </c>
      <c r="G306" s="128" t="n">
        <v>132.24</v>
      </c>
      <c r="H306" s="128" t="n">
        <v>132.82</v>
      </c>
      <c r="I306" s="128" t="n">
        <v>86.7</v>
      </c>
      <c r="J306" s="128" t="n">
        <v>44.98</v>
      </c>
      <c r="K306" s="128" t="n">
        <v>537.59</v>
      </c>
      <c r="L306" s="129" t="n">
        <f aca="false">AVERAGE(C306:E306)</f>
        <v>-31.1166666666667</v>
      </c>
      <c r="M306" s="130" t="n">
        <f aca="false">AVERAGE(C306:J306)</f>
        <v>52.2275</v>
      </c>
      <c r="N306" s="130" t="n">
        <f aca="false">RANK(I306,I:I)</f>
        <v>90</v>
      </c>
      <c r="O306" s="127" t="n">
        <f aca="false">RANK(L306,L:L)</f>
        <v>162</v>
      </c>
      <c r="P306" s="128" t="s">
        <v>520</v>
      </c>
      <c r="Q306" s="127" t="n">
        <f aca="false">RANK(M306,M:M)</f>
        <v>86</v>
      </c>
      <c r="R306" s="128" t="s">
        <v>520</v>
      </c>
      <c r="S306" s="127"/>
      <c r="T306" s="127"/>
      <c r="U306" s="127"/>
      <c r="V306" s="127"/>
      <c r="W306" s="127"/>
      <c r="X306" s="127"/>
    </row>
    <row r="307" customFormat="false" ht="15.75" hidden="false" customHeight="true" outlineLevel="0" collapsed="false">
      <c r="A307" s="128" t="s">
        <v>225</v>
      </c>
      <c r="B307" s="128" t="n">
        <v>569.2</v>
      </c>
      <c r="C307" s="128" t="n">
        <v>-66.67</v>
      </c>
      <c r="D307" s="128" t="n">
        <v>-113.32</v>
      </c>
      <c r="E307" s="128" t="n">
        <v>27.76</v>
      </c>
      <c r="F307" s="128" t="n">
        <v>103.9</v>
      </c>
      <c r="G307" s="128" t="n">
        <v>145.62</v>
      </c>
      <c r="H307" s="128" t="n">
        <v>146.11</v>
      </c>
      <c r="I307" s="128" t="n">
        <v>85.05</v>
      </c>
      <c r="J307" s="128" t="n">
        <v>101.36</v>
      </c>
      <c r="K307" s="128" t="n">
        <v>540.21</v>
      </c>
      <c r="L307" s="129" t="n">
        <f aca="false">AVERAGE(C307:E307)</f>
        <v>-50.7433333333333</v>
      </c>
      <c r="M307" s="130" t="n">
        <f aca="false">AVERAGE(C307:J307)</f>
        <v>53.72625</v>
      </c>
      <c r="N307" s="130" t="n">
        <f aca="false">RANK(I307,I:I)</f>
        <v>93</v>
      </c>
      <c r="O307" s="127" t="n">
        <f aca="false">RANK(L307,L:L)</f>
        <v>242</v>
      </c>
      <c r="P307" s="128" t="s">
        <v>186</v>
      </c>
      <c r="Q307" s="127" t="n">
        <f aca="false">RANK(M307,M:M)</f>
        <v>83</v>
      </c>
      <c r="R307" s="128" t="s">
        <v>186</v>
      </c>
      <c r="S307" s="127"/>
      <c r="T307" s="127"/>
      <c r="U307" s="127"/>
      <c r="V307" s="127"/>
      <c r="W307" s="127"/>
      <c r="X307" s="127"/>
    </row>
    <row r="308" customFormat="false" ht="15.75" hidden="false" customHeight="true" outlineLevel="0" collapsed="false">
      <c r="A308" s="128" t="s">
        <v>435</v>
      </c>
      <c r="B308" s="128" t="n">
        <v>567.4</v>
      </c>
      <c r="C308" s="128" t="n">
        <v>-66.67</v>
      </c>
      <c r="D308" s="128" t="n">
        <v>-133.33</v>
      </c>
      <c r="E308" s="128" t="n">
        <v>-47.04</v>
      </c>
      <c r="F308" s="128" t="n">
        <v>46.42</v>
      </c>
      <c r="G308" s="128" t="n">
        <v>2.52</v>
      </c>
      <c r="H308" s="128" t="n">
        <v>-33.24</v>
      </c>
      <c r="I308" s="128" t="n">
        <v>-57.2</v>
      </c>
      <c r="J308" s="128" t="n">
        <v>-71.38</v>
      </c>
      <c r="K308" s="128" t="n">
        <v>525.01</v>
      </c>
      <c r="L308" s="129" t="n">
        <f aca="false">AVERAGE(C308:E308)</f>
        <v>-82.3466666666667</v>
      </c>
      <c r="M308" s="130" t="n">
        <f aca="false">AVERAGE(C308:J308)</f>
        <v>-44.99</v>
      </c>
      <c r="N308" s="130" t="n">
        <f aca="false">RANK(I308,I:I)</f>
        <v>355</v>
      </c>
      <c r="O308" s="127" t="n">
        <f aca="false">RANK(L308,L:L)</f>
        <v>445</v>
      </c>
      <c r="P308" s="128" t="s">
        <v>322</v>
      </c>
      <c r="Q308" s="127" t="n">
        <f aca="false">RANK(M308,M:M)</f>
        <v>394</v>
      </c>
      <c r="R308" s="128" t="s">
        <v>322</v>
      </c>
      <c r="S308" s="127"/>
      <c r="T308" s="127"/>
      <c r="U308" s="127"/>
      <c r="V308" s="127"/>
      <c r="W308" s="127"/>
      <c r="X308" s="127"/>
    </row>
    <row r="309" customFormat="false" ht="15.75" hidden="false" customHeight="true" outlineLevel="0" collapsed="false">
      <c r="A309" s="128" t="s">
        <v>239</v>
      </c>
      <c r="B309" s="128" t="n">
        <v>559.4</v>
      </c>
      <c r="C309" s="128" t="n">
        <v>-66.67</v>
      </c>
      <c r="D309" s="128" t="n">
        <v>-133.33</v>
      </c>
      <c r="E309" s="128" t="n">
        <v>18.47</v>
      </c>
      <c r="F309" s="128" t="n">
        <v>-53.93</v>
      </c>
      <c r="G309" s="128" t="n">
        <v>-93.23</v>
      </c>
      <c r="H309" s="128" t="n">
        <v>-108.19</v>
      </c>
      <c r="I309" s="128" t="n">
        <v>-115.86</v>
      </c>
      <c r="J309" s="128" t="n">
        <v>-120.11</v>
      </c>
      <c r="K309" s="128" t="n">
        <v>581.44</v>
      </c>
      <c r="L309" s="129" t="n">
        <f aca="false">AVERAGE(C309:E309)</f>
        <v>-60.51</v>
      </c>
      <c r="M309" s="130" t="n">
        <f aca="false">AVERAGE(C309:J309)</f>
        <v>-84.10625</v>
      </c>
      <c r="N309" s="130" t="n">
        <f aca="false">RANK(I309,I:I)</f>
        <v>477</v>
      </c>
      <c r="O309" s="127" t="n">
        <f aca="false">RANK(L309,L:L)</f>
        <v>302</v>
      </c>
      <c r="P309" s="128" t="s">
        <v>435</v>
      </c>
      <c r="Q309" s="127" t="n">
        <f aca="false">RANK(M309,M:M)</f>
        <v>474</v>
      </c>
      <c r="R309" s="128" t="s">
        <v>435</v>
      </c>
      <c r="S309" s="127"/>
      <c r="T309" s="127"/>
      <c r="U309" s="127"/>
      <c r="V309" s="127"/>
      <c r="W309" s="127"/>
      <c r="X309" s="127"/>
    </row>
    <row r="310" customFormat="false" ht="15.75" hidden="false" customHeight="true" outlineLevel="0" collapsed="false">
      <c r="A310" s="128" t="s">
        <v>77</v>
      </c>
      <c r="B310" s="128" t="n">
        <v>552.5</v>
      </c>
      <c r="C310" s="128" t="n">
        <v>-66.67</v>
      </c>
      <c r="D310" s="128" t="n">
        <v>-97.09</v>
      </c>
      <c r="E310" s="128" t="n">
        <v>25.91</v>
      </c>
      <c r="F310" s="128" t="n">
        <v>116.79</v>
      </c>
      <c r="G310" s="128" t="n">
        <v>198.7</v>
      </c>
      <c r="H310" s="128" t="n">
        <v>210.03</v>
      </c>
      <c r="I310" s="128" t="n">
        <v>221.68</v>
      </c>
      <c r="J310" s="128" t="n">
        <v>91.57</v>
      </c>
      <c r="K310" s="128" t="n">
        <v>543.74</v>
      </c>
      <c r="L310" s="129" t="n">
        <f aca="false">AVERAGE(C310:E310)</f>
        <v>-45.95</v>
      </c>
      <c r="M310" s="130" t="n">
        <f aca="false">AVERAGE(C310:J310)</f>
        <v>87.615</v>
      </c>
      <c r="N310" s="130" t="n">
        <f aca="false">RANK(I310,I:I)</f>
        <v>15</v>
      </c>
      <c r="O310" s="127" t="n">
        <f aca="false">RANK(L310,L:L)</f>
        <v>221</v>
      </c>
      <c r="P310" s="128" t="s">
        <v>418</v>
      </c>
      <c r="Q310" s="127" t="n">
        <f aca="false">RANK(M310,M:M)</f>
        <v>38</v>
      </c>
      <c r="R310" s="128" t="s">
        <v>418</v>
      </c>
      <c r="S310" s="127"/>
      <c r="T310" s="127"/>
      <c r="U310" s="127"/>
      <c r="V310" s="127"/>
      <c r="W310" s="127"/>
      <c r="X310" s="127"/>
    </row>
    <row r="311" customFormat="false" ht="15.75" hidden="false" customHeight="true" outlineLevel="0" collapsed="false">
      <c r="A311" s="128" t="s">
        <v>259</v>
      </c>
      <c r="B311" s="128" t="n">
        <v>549.35</v>
      </c>
      <c r="C311" s="128" t="n">
        <v>-66.67</v>
      </c>
      <c r="D311" s="128" t="n">
        <v>-133.33</v>
      </c>
      <c r="E311" s="128" t="n">
        <v>26.07</v>
      </c>
      <c r="F311" s="128" t="n">
        <v>116.35</v>
      </c>
      <c r="G311" s="128" t="n">
        <v>186.35</v>
      </c>
      <c r="H311" s="128" t="n">
        <v>171.29</v>
      </c>
      <c r="I311" s="128" t="n">
        <v>95.49</v>
      </c>
      <c r="J311" s="128" t="n">
        <v>21.41</v>
      </c>
      <c r="K311" s="128" t="n">
        <v>528.17</v>
      </c>
      <c r="L311" s="129" t="n">
        <f aca="false">AVERAGE(C311:E311)</f>
        <v>-57.9766666666667</v>
      </c>
      <c r="M311" s="130" t="n">
        <f aca="false">AVERAGE(C311:J311)</f>
        <v>52.12</v>
      </c>
      <c r="N311" s="130" t="n">
        <f aca="false">RANK(I311,I:I)</f>
        <v>84</v>
      </c>
      <c r="O311" s="127" t="n">
        <f aca="false">RANK(L311,L:L)</f>
        <v>283</v>
      </c>
      <c r="P311" s="128" t="s">
        <v>143</v>
      </c>
      <c r="Q311" s="127" t="n">
        <f aca="false">RANK(M311,M:M)</f>
        <v>87</v>
      </c>
      <c r="R311" s="128" t="s">
        <v>143</v>
      </c>
      <c r="S311" s="127"/>
      <c r="T311" s="127"/>
      <c r="U311" s="127"/>
      <c r="V311" s="127"/>
      <c r="W311" s="127"/>
      <c r="X311" s="127"/>
    </row>
    <row r="312" customFormat="false" ht="15.75" hidden="false" customHeight="true" outlineLevel="0" collapsed="false">
      <c r="A312" s="128" t="s">
        <v>143</v>
      </c>
      <c r="B312" s="128" t="n">
        <v>548.7</v>
      </c>
      <c r="C312" s="128" t="n">
        <v>-66.67</v>
      </c>
      <c r="D312" s="128" t="n">
        <v>-133.33</v>
      </c>
      <c r="E312" s="128" t="n">
        <v>-52.06</v>
      </c>
      <c r="F312" s="128" t="n">
        <v>68.11</v>
      </c>
      <c r="G312" s="128" t="n">
        <v>109.77</v>
      </c>
      <c r="H312" s="128" t="n">
        <v>83.44</v>
      </c>
      <c r="I312" s="128" t="n">
        <v>61.16</v>
      </c>
      <c r="J312" s="128" t="n">
        <v>23.24</v>
      </c>
      <c r="K312" s="128" t="n">
        <v>541.97</v>
      </c>
      <c r="L312" s="129" t="n">
        <f aca="false">AVERAGE(C312:E312)</f>
        <v>-84.02</v>
      </c>
      <c r="M312" s="130" t="n">
        <f aca="false">AVERAGE(C312:J312)</f>
        <v>11.7075</v>
      </c>
      <c r="N312" s="130" t="n">
        <f aca="false">RANK(I312,I:I)</f>
        <v>109</v>
      </c>
      <c r="O312" s="127" t="n">
        <f aca="false">RANK(L312,L:L)</f>
        <v>451</v>
      </c>
      <c r="P312" s="128" t="s">
        <v>219</v>
      </c>
      <c r="Q312" s="127" t="n">
        <f aca="false">RANK(M312,M:M)</f>
        <v>197</v>
      </c>
      <c r="R312" s="128" t="s">
        <v>219</v>
      </c>
      <c r="S312" s="127"/>
      <c r="T312" s="127"/>
      <c r="U312" s="127"/>
      <c r="V312" s="127"/>
      <c r="W312" s="127"/>
      <c r="X312" s="127"/>
    </row>
    <row r="313" customFormat="false" ht="15.75" hidden="false" customHeight="true" outlineLevel="0" collapsed="false">
      <c r="A313" s="128" t="s">
        <v>512</v>
      </c>
      <c r="B313" s="128" t="n">
        <v>546</v>
      </c>
      <c r="C313" s="128" t="n">
        <v>-66.67</v>
      </c>
      <c r="D313" s="128" t="n">
        <v>-91.25</v>
      </c>
      <c r="E313" s="128" t="n">
        <v>14.85</v>
      </c>
      <c r="F313" s="128" t="n">
        <v>106.66</v>
      </c>
      <c r="G313" s="128" t="n">
        <v>127</v>
      </c>
      <c r="H313" s="128" t="n">
        <v>109.32</v>
      </c>
      <c r="I313" s="128" t="n">
        <v>122.19</v>
      </c>
      <c r="J313" s="128" t="n">
        <v>72.16</v>
      </c>
      <c r="K313" s="128" t="n">
        <v>515.16</v>
      </c>
      <c r="L313" s="129" t="n">
        <f aca="false">AVERAGE(C313:E313)</f>
        <v>-47.69</v>
      </c>
      <c r="M313" s="130" t="n">
        <f aca="false">AVERAGE(C313:J313)</f>
        <v>49.2825</v>
      </c>
      <c r="N313" s="130" t="n">
        <f aca="false">RANK(I313,I:I)</f>
        <v>62</v>
      </c>
      <c r="O313" s="127" t="n">
        <f aca="false">RANK(L313,L:L)</f>
        <v>226</v>
      </c>
      <c r="P313" s="128" t="s">
        <v>239</v>
      </c>
      <c r="Q313" s="127" t="n">
        <f aca="false">RANK(M313,M:M)</f>
        <v>94</v>
      </c>
      <c r="R313" s="128" t="s">
        <v>239</v>
      </c>
      <c r="S313" s="127"/>
      <c r="T313" s="127"/>
      <c r="U313" s="127"/>
      <c r="V313" s="127"/>
      <c r="W313" s="127"/>
      <c r="X313" s="127"/>
    </row>
    <row r="314" customFormat="false" ht="15.75" hidden="false" customHeight="true" outlineLevel="0" collapsed="false">
      <c r="A314" s="128" t="s">
        <v>291</v>
      </c>
      <c r="B314" s="128" t="n">
        <v>530.6</v>
      </c>
      <c r="C314" s="128" t="n">
        <v>66.67</v>
      </c>
      <c r="D314" s="128" t="n">
        <v>76.54</v>
      </c>
      <c r="E314" s="128" t="n">
        <v>105.64</v>
      </c>
      <c r="F314" s="128" t="n">
        <v>119</v>
      </c>
      <c r="G314" s="128" t="n">
        <v>42.79</v>
      </c>
      <c r="H314" s="128" t="n">
        <v>-17.43</v>
      </c>
      <c r="I314" s="128" t="n">
        <v>-46.31</v>
      </c>
      <c r="J314" s="128" t="n">
        <v>-60.3</v>
      </c>
      <c r="K314" s="128" t="n">
        <v>458.87</v>
      </c>
      <c r="L314" s="129" t="n">
        <f aca="false">AVERAGE(C314:E314)</f>
        <v>82.95</v>
      </c>
      <c r="M314" s="130" t="n">
        <f aca="false">AVERAGE(C314:J314)</f>
        <v>35.825</v>
      </c>
      <c r="N314" s="130" t="n">
        <f aca="false">RANK(I314,I:I)</f>
        <v>310</v>
      </c>
      <c r="O314" s="127" t="n">
        <f aca="false">RANK(L314,L:L)</f>
        <v>23</v>
      </c>
      <c r="P314" s="128" t="s">
        <v>77</v>
      </c>
      <c r="Q314" s="127" t="n">
        <f aca="false">RANK(M314,M:M)</f>
        <v>124</v>
      </c>
      <c r="R314" s="128" t="s">
        <v>77</v>
      </c>
      <c r="S314" s="127"/>
      <c r="T314" s="127"/>
      <c r="U314" s="127"/>
      <c r="V314" s="127"/>
      <c r="W314" s="127"/>
      <c r="X314" s="127"/>
    </row>
    <row r="315" customFormat="false" ht="15.75" hidden="false" customHeight="true" outlineLevel="0" collapsed="false">
      <c r="A315" s="128" t="s">
        <v>219</v>
      </c>
      <c r="B315" s="128" t="n">
        <v>521.95</v>
      </c>
      <c r="C315" s="128" t="n">
        <v>-66.67</v>
      </c>
      <c r="D315" s="128" t="n">
        <v>-114.21</v>
      </c>
      <c r="E315" s="128" t="n">
        <v>-199.39</v>
      </c>
      <c r="F315" s="128" t="n">
        <v>-21.13</v>
      </c>
      <c r="G315" s="128" t="n">
        <v>9.33</v>
      </c>
      <c r="H315" s="128" t="n">
        <v>-38.31</v>
      </c>
      <c r="I315" s="128" t="n">
        <v>-56.63</v>
      </c>
      <c r="J315" s="128" t="n">
        <v>-71.53</v>
      </c>
      <c r="K315" s="128" t="n">
        <v>512.85</v>
      </c>
      <c r="L315" s="129" t="n">
        <f aca="false">AVERAGE(C315:E315)</f>
        <v>-126.756666666667</v>
      </c>
      <c r="M315" s="130" t="n">
        <f aca="false">AVERAGE(C315:J315)</f>
        <v>-69.8175</v>
      </c>
      <c r="N315" s="130" t="n">
        <f aca="false">RANK(I315,I:I)</f>
        <v>354</v>
      </c>
      <c r="O315" s="127" t="n">
        <f aca="false">RANK(L315,L:L)</f>
        <v>498</v>
      </c>
      <c r="P315" s="128" t="s">
        <v>259</v>
      </c>
      <c r="Q315" s="127" t="n">
        <f aca="false">RANK(M315,M:M)</f>
        <v>455</v>
      </c>
      <c r="R315" s="128" t="s">
        <v>259</v>
      </c>
      <c r="S315" s="127"/>
      <c r="T315" s="127"/>
      <c r="U315" s="127"/>
      <c r="V315" s="127"/>
      <c r="W315" s="127"/>
      <c r="X315" s="127"/>
    </row>
    <row r="316" customFormat="false" ht="15.75" hidden="false" customHeight="true" outlineLevel="0" collapsed="false">
      <c r="A316" s="128" t="s">
        <v>389</v>
      </c>
      <c r="B316" s="128" t="n">
        <v>517.75</v>
      </c>
      <c r="C316" s="128" t="n">
        <v>-66.67</v>
      </c>
      <c r="D316" s="128" t="n">
        <v>20.92</v>
      </c>
      <c r="E316" s="128" t="n">
        <v>86.07</v>
      </c>
      <c r="F316" s="128" t="n">
        <v>179.49</v>
      </c>
      <c r="G316" s="128" t="n">
        <v>128.02</v>
      </c>
      <c r="H316" s="128" t="n">
        <v>14.38</v>
      </c>
      <c r="I316" s="128" t="n">
        <v>-4.74</v>
      </c>
      <c r="J316" s="128" t="n">
        <v>-25.56</v>
      </c>
      <c r="K316" s="128" t="n">
        <v>472.74</v>
      </c>
      <c r="L316" s="129" t="n">
        <f aca="false">AVERAGE(C316:E316)</f>
        <v>13.44</v>
      </c>
      <c r="M316" s="130" t="n">
        <f aca="false">AVERAGE(C316:J316)</f>
        <v>41.48875</v>
      </c>
      <c r="N316" s="130" t="n">
        <f aca="false">RANK(I316,I:I)</f>
        <v>211</v>
      </c>
      <c r="O316" s="127" t="n">
        <f aca="false">RANK(L316,L:L)</f>
        <v>64</v>
      </c>
      <c r="P316" s="128" t="s">
        <v>495</v>
      </c>
      <c r="Q316" s="127" t="n">
        <f aca="false">RANK(M316,M:M)</f>
        <v>114</v>
      </c>
      <c r="R316" s="128" t="s">
        <v>495</v>
      </c>
      <c r="S316" s="127"/>
      <c r="T316" s="127"/>
      <c r="U316" s="127"/>
      <c r="V316" s="127"/>
      <c r="W316" s="127"/>
      <c r="X316" s="127"/>
    </row>
    <row r="317" customFormat="false" ht="15.75" hidden="false" customHeight="true" outlineLevel="0" collapsed="false">
      <c r="A317" s="128" t="s">
        <v>520</v>
      </c>
      <c r="B317" s="128" t="n">
        <v>512.8</v>
      </c>
      <c r="C317" s="128" t="n">
        <v>-66.67</v>
      </c>
      <c r="D317" s="128" t="n">
        <v>-107.48</v>
      </c>
      <c r="E317" s="128" t="n">
        <v>-226.88</v>
      </c>
      <c r="F317" s="128" t="n">
        <v>-40.51</v>
      </c>
      <c r="G317" s="128" t="n">
        <v>13.48</v>
      </c>
      <c r="H317" s="128" t="n">
        <v>18.57</v>
      </c>
      <c r="I317" s="128" t="n">
        <v>-2.4</v>
      </c>
      <c r="J317" s="128" t="n">
        <v>-17.55</v>
      </c>
      <c r="K317" s="128" t="n">
        <v>577</v>
      </c>
      <c r="L317" s="129" t="n">
        <f aca="false">AVERAGE(C317:E317)</f>
        <v>-133.676666666667</v>
      </c>
      <c r="M317" s="130" t="n">
        <f aca="false">AVERAGE(C317:J317)</f>
        <v>-53.68</v>
      </c>
      <c r="N317" s="130" t="n">
        <f aca="false">RANK(I317,I:I)</f>
        <v>206</v>
      </c>
      <c r="O317" s="127" t="n">
        <f aca="false">RANK(L317,L:L)</f>
        <v>500</v>
      </c>
      <c r="P317" s="128" t="s">
        <v>533</v>
      </c>
      <c r="Q317" s="127" t="n">
        <f aca="false">RANK(M317,M:M)</f>
        <v>418</v>
      </c>
      <c r="R317" s="128" t="s">
        <v>533</v>
      </c>
      <c r="S317" s="127"/>
      <c r="T317" s="127"/>
      <c r="U317" s="127"/>
      <c r="V317" s="127"/>
      <c r="W317" s="127"/>
      <c r="X317" s="127"/>
    </row>
    <row r="318" customFormat="false" ht="15.75" hidden="false" customHeight="true" outlineLevel="0" collapsed="false">
      <c r="A318" s="128" t="s">
        <v>422</v>
      </c>
      <c r="B318" s="128" t="n">
        <v>511.2</v>
      </c>
      <c r="C318" s="128" t="n">
        <v>-66.67</v>
      </c>
      <c r="D318" s="128" t="n">
        <v>-90.83</v>
      </c>
      <c r="E318" s="128" t="n">
        <v>4.13</v>
      </c>
      <c r="F318" s="128" t="n">
        <v>70.41</v>
      </c>
      <c r="G318" s="128" t="n">
        <v>39.59</v>
      </c>
      <c r="H318" s="128" t="n">
        <v>-18.47</v>
      </c>
      <c r="I318" s="128" t="n">
        <v>-35.6</v>
      </c>
      <c r="J318" s="128" t="n">
        <v>-48.62</v>
      </c>
      <c r="K318" s="128" t="n">
        <v>473.52</v>
      </c>
      <c r="L318" s="129" t="n">
        <f aca="false">AVERAGE(C318:E318)</f>
        <v>-51.1233333333333</v>
      </c>
      <c r="M318" s="130" t="n">
        <f aca="false">AVERAGE(C318:J318)</f>
        <v>-18.2575</v>
      </c>
      <c r="N318" s="130" t="n">
        <f aca="false">RANK(I318,I:I)</f>
        <v>274</v>
      </c>
      <c r="O318" s="127" t="n">
        <f aca="false">RANK(L318,L:L)</f>
        <v>243</v>
      </c>
      <c r="P318" s="128" t="s">
        <v>512</v>
      </c>
      <c r="Q318" s="127" t="n">
        <f aca="false">RANK(M318,M:M)</f>
        <v>296</v>
      </c>
      <c r="R318" s="128" t="s">
        <v>512</v>
      </c>
      <c r="S318" s="127"/>
      <c r="T318" s="127"/>
      <c r="U318" s="127"/>
      <c r="V318" s="127"/>
      <c r="W318" s="127"/>
      <c r="X318" s="127"/>
    </row>
    <row r="319" customFormat="false" ht="15.75" hidden="false" customHeight="true" outlineLevel="0" collapsed="false">
      <c r="A319" s="128" t="s">
        <v>1062</v>
      </c>
      <c r="B319" s="128" t="n">
        <v>510.55</v>
      </c>
      <c r="C319" s="128" t="n">
        <v>-66.67</v>
      </c>
      <c r="D319" s="128" t="n">
        <v>-116.07</v>
      </c>
      <c r="E319" s="128" t="n">
        <v>-125.02</v>
      </c>
      <c r="F319" s="128" t="n">
        <v>38.5</v>
      </c>
      <c r="G319" s="128" t="n">
        <v>86.75</v>
      </c>
      <c r="H319" s="128" t="n">
        <v>33.27</v>
      </c>
      <c r="I319" s="128" t="n">
        <v>40.11</v>
      </c>
      <c r="J319" s="128" t="n">
        <v>57.79</v>
      </c>
      <c r="K319" s="128" t="n">
        <v>501.6</v>
      </c>
      <c r="L319" s="129" t="n">
        <f aca="false">AVERAGE(C319:E319)</f>
        <v>-102.586666666667</v>
      </c>
      <c r="M319" s="130" t="n">
        <f aca="false">AVERAGE(C319:J319)</f>
        <v>-6.4175</v>
      </c>
      <c r="N319" s="130" t="n">
        <f aca="false">RANK(I319,I:I)</f>
        <v>138</v>
      </c>
      <c r="O319" s="127" t="n">
        <f aca="false">RANK(L319,L:L)</f>
        <v>479</v>
      </c>
      <c r="P319" s="128" t="s">
        <v>248</v>
      </c>
      <c r="Q319" s="127" t="n">
        <f aca="false">RANK(M319,M:M)</f>
        <v>252</v>
      </c>
      <c r="R319" s="128" t="s">
        <v>248</v>
      </c>
      <c r="S319" s="127"/>
      <c r="T319" s="127"/>
      <c r="U319" s="127"/>
      <c r="V319" s="127"/>
      <c r="W319" s="127"/>
      <c r="X319" s="127"/>
    </row>
    <row r="320" customFormat="false" ht="15.75" hidden="false" customHeight="true" outlineLevel="0" collapsed="false">
      <c r="A320" s="128" t="s">
        <v>533</v>
      </c>
      <c r="B320" s="128" t="n">
        <v>506.75</v>
      </c>
      <c r="C320" s="128" t="n">
        <v>-66.67</v>
      </c>
      <c r="D320" s="128" t="n">
        <v>-78.41</v>
      </c>
      <c r="E320" s="128" t="n">
        <v>9.09</v>
      </c>
      <c r="F320" s="128" t="n">
        <v>-60.89</v>
      </c>
      <c r="G320" s="128" t="n">
        <v>-82.42</v>
      </c>
      <c r="H320" s="128" t="n">
        <v>-82.18</v>
      </c>
      <c r="I320" s="128" t="n">
        <v>-99.1</v>
      </c>
      <c r="J320" s="128" t="n">
        <v>-116.74</v>
      </c>
      <c r="K320" s="128" t="n">
        <v>564.89</v>
      </c>
      <c r="L320" s="129" t="n">
        <f aca="false">AVERAGE(C320:E320)</f>
        <v>-45.33</v>
      </c>
      <c r="M320" s="130" t="n">
        <f aca="false">AVERAGE(C320:J320)</f>
        <v>-72.165</v>
      </c>
      <c r="N320" s="130" t="n">
        <f aca="false">RANK(I320,I:I)</f>
        <v>454</v>
      </c>
      <c r="O320" s="127" t="n">
        <f aca="false">RANK(L320,L:L)</f>
        <v>217</v>
      </c>
      <c r="P320" s="128" t="s">
        <v>216</v>
      </c>
      <c r="Q320" s="127" t="n">
        <f aca="false">RANK(M320,M:M)</f>
        <v>459</v>
      </c>
      <c r="R320" s="128" t="s">
        <v>216</v>
      </c>
      <c r="S320" s="127"/>
      <c r="T320" s="127"/>
      <c r="U320" s="127"/>
      <c r="V320" s="127"/>
      <c r="W320" s="127"/>
      <c r="X320" s="127"/>
    </row>
    <row r="321" customFormat="false" ht="15.75" hidden="false" customHeight="true" outlineLevel="0" collapsed="false">
      <c r="A321" s="128" t="s">
        <v>495</v>
      </c>
      <c r="B321" s="128" t="n">
        <v>505.35</v>
      </c>
      <c r="C321" s="128" t="n">
        <v>-66.67</v>
      </c>
      <c r="D321" s="128" t="n">
        <v>-133.33</v>
      </c>
      <c r="E321" s="128" t="n">
        <v>-23.18</v>
      </c>
      <c r="F321" s="128" t="n">
        <v>-56.05</v>
      </c>
      <c r="G321" s="128" t="n">
        <v>-64.22</v>
      </c>
      <c r="H321" s="128" t="n">
        <v>-70.66</v>
      </c>
      <c r="I321" s="128" t="n">
        <v>-88.01</v>
      </c>
      <c r="J321" s="128" t="n">
        <v>-106.5</v>
      </c>
      <c r="K321" s="128" t="n">
        <v>538.63</v>
      </c>
      <c r="L321" s="129" t="n">
        <f aca="false">AVERAGE(C321:E321)</f>
        <v>-74.3933333333333</v>
      </c>
      <c r="M321" s="130" t="n">
        <f aca="false">AVERAGE(C321:J321)</f>
        <v>-76.0775</v>
      </c>
      <c r="N321" s="130" t="n">
        <f aca="false">RANK(I321,I:I)</f>
        <v>435</v>
      </c>
      <c r="O321" s="127" t="n">
        <f aca="false">RANK(L321,L:L)</f>
        <v>418</v>
      </c>
      <c r="P321" s="128" t="s">
        <v>422</v>
      </c>
      <c r="Q321" s="127" t="n">
        <f aca="false">RANK(M321,M:M)</f>
        <v>464</v>
      </c>
      <c r="R321" s="128" t="s">
        <v>422</v>
      </c>
      <c r="S321" s="127"/>
      <c r="T321" s="127"/>
      <c r="U321" s="127"/>
      <c r="V321" s="127"/>
      <c r="W321" s="127"/>
      <c r="X321" s="127"/>
    </row>
    <row r="322" customFormat="false" ht="15.75" hidden="false" customHeight="true" outlineLevel="0" collapsed="false">
      <c r="A322" s="128" t="s">
        <v>310</v>
      </c>
      <c r="B322" s="128" t="n">
        <v>505.25</v>
      </c>
      <c r="C322" s="128" t="n">
        <v>-66.67</v>
      </c>
      <c r="D322" s="128" t="n">
        <v>-133.33</v>
      </c>
      <c r="E322" s="128" t="n">
        <v>35.54</v>
      </c>
      <c r="F322" s="128" t="n">
        <v>85.59</v>
      </c>
      <c r="G322" s="128" t="n">
        <v>104.95</v>
      </c>
      <c r="H322" s="128" t="n">
        <v>69.16</v>
      </c>
      <c r="I322" s="128" t="n">
        <v>77.58</v>
      </c>
      <c r="J322" s="128" t="n">
        <v>90.37</v>
      </c>
      <c r="K322" s="128" t="n">
        <v>467.87</v>
      </c>
      <c r="L322" s="129" t="n">
        <f aca="false">AVERAGE(C322:E322)</f>
        <v>-54.82</v>
      </c>
      <c r="M322" s="130" t="n">
        <f aca="false">AVERAGE(C322:J322)</f>
        <v>32.89875</v>
      </c>
      <c r="N322" s="130" t="n">
        <f aca="false">RANK(I322,I:I)</f>
        <v>96</v>
      </c>
      <c r="O322" s="127" t="n">
        <f aca="false">RANK(L322,L:L)</f>
        <v>263</v>
      </c>
      <c r="P322" s="128" t="s">
        <v>481</v>
      </c>
      <c r="Q322" s="127" t="n">
        <f aca="false">RANK(M322,M:M)</f>
        <v>132</v>
      </c>
      <c r="R322" s="128" t="s">
        <v>481</v>
      </c>
      <c r="S322" s="127"/>
      <c r="T322" s="127"/>
      <c r="U322" s="127"/>
      <c r="V322" s="127"/>
      <c r="W322" s="127"/>
      <c r="X322" s="127"/>
    </row>
    <row r="323" customFormat="false" ht="15.75" hidden="false" customHeight="true" outlineLevel="0" collapsed="false">
      <c r="A323" s="128" t="s">
        <v>481</v>
      </c>
      <c r="B323" s="128" t="n">
        <v>505.25</v>
      </c>
      <c r="C323" s="128" t="n">
        <v>-66.67</v>
      </c>
      <c r="D323" s="128" t="n">
        <v>-133.33</v>
      </c>
      <c r="E323" s="128" t="n">
        <v>-5.71</v>
      </c>
      <c r="F323" s="128" t="n">
        <v>-60.09</v>
      </c>
      <c r="G323" s="128" t="n">
        <v>-68.36</v>
      </c>
      <c r="H323" s="128" t="n">
        <v>-67.23</v>
      </c>
      <c r="I323" s="128" t="n">
        <v>-49.97</v>
      </c>
      <c r="J323" s="128" t="n">
        <v>-58.02</v>
      </c>
      <c r="K323" s="128" t="n">
        <v>529.1</v>
      </c>
      <c r="L323" s="129" t="n">
        <f aca="false">AVERAGE(C323:E323)</f>
        <v>-68.57</v>
      </c>
      <c r="M323" s="130" t="n">
        <f aca="false">AVERAGE(C323:J323)</f>
        <v>-63.6725</v>
      </c>
      <c r="N323" s="130" t="n">
        <f aca="false">RANK(I323,I:I)</f>
        <v>326</v>
      </c>
      <c r="O323" s="127" t="n">
        <f aca="false">RANK(L323,L:L)</f>
        <v>381</v>
      </c>
      <c r="P323" s="128" t="s">
        <v>310</v>
      </c>
      <c r="Q323" s="127" t="n">
        <f aca="false">RANK(M323,M:M)</f>
        <v>437</v>
      </c>
      <c r="R323" s="128" t="s">
        <v>310</v>
      </c>
      <c r="S323" s="127"/>
      <c r="T323" s="127"/>
      <c r="U323" s="127"/>
      <c r="V323" s="127"/>
      <c r="W323" s="127"/>
      <c r="X323" s="127"/>
    </row>
    <row r="324" customFormat="false" ht="15.75" hidden="false" customHeight="true" outlineLevel="0" collapsed="false">
      <c r="A324" s="128" t="s">
        <v>216</v>
      </c>
      <c r="B324" s="128" t="n">
        <v>501.25</v>
      </c>
      <c r="C324" s="128" t="n">
        <v>-66.67</v>
      </c>
      <c r="D324" s="128" t="n">
        <v>-133.33</v>
      </c>
      <c r="E324" s="128" t="n">
        <v>-72.52</v>
      </c>
      <c r="F324" s="128" t="n">
        <v>59.3</v>
      </c>
      <c r="G324" s="128" t="n">
        <v>51.29</v>
      </c>
      <c r="H324" s="128" t="n">
        <v>-28.59</v>
      </c>
      <c r="I324" s="128" t="n">
        <v>-46.9</v>
      </c>
      <c r="J324" s="128" t="n">
        <v>-61.5</v>
      </c>
      <c r="K324" s="128" t="n">
        <v>477.04</v>
      </c>
      <c r="L324" s="129" t="n">
        <f aca="false">AVERAGE(C324:E324)</f>
        <v>-90.84</v>
      </c>
      <c r="M324" s="130" t="n">
        <f aca="false">AVERAGE(C324:J324)</f>
        <v>-37.365</v>
      </c>
      <c r="N324" s="130" t="n">
        <f aca="false">RANK(I324,I:I)</f>
        <v>311</v>
      </c>
      <c r="O324" s="127" t="n">
        <f aca="false">RANK(L324,L:L)</f>
        <v>462</v>
      </c>
      <c r="P324" s="128" t="s">
        <v>1062</v>
      </c>
      <c r="Q324" s="127" t="n">
        <f aca="false">RANK(M324,M:M)</f>
        <v>373</v>
      </c>
      <c r="R324" s="128" t="s">
        <v>1062</v>
      </c>
      <c r="S324" s="127"/>
      <c r="T324" s="127"/>
      <c r="U324" s="127"/>
      <c r="V324" s="127"/>
      <c r="W324" s="127"/>
      <c r="X324" s="127"/>
    </row>
    <row r="325" customFormat="false" ht="15.75" hidden="false" customHeight="true" outlineLevel="0" collapsed="false">
      <c r="A325" s="128" t="s">
        <v>524</v>
      </c>
      <c r="B325" s="128" t="n">
        <v>489.75</v>
      </c>
      <c r="C325" s="128" t="n">
        <v>-66.67</v>
      </c>
      <c r="D325" s="128" t="n">
        <v>-133.33</v>
      </c>
      <c r="E325" s="128" t="n">
        <v>20.42</v>
      </c>
      <c r="F325" s="128" t="n">
        <v>88.93</v>
      </c>
      <c r="G325" s="128" t="n">
        <v>64.67</v>
      </c>
      <c r="H325" s="128" t="n">
        <v>-3.8</v>
      </c>
      <c r="I325" s="128" t="n">
        <v>-19.13</v>
      </c>
      <c r="J325" s="128" t="n">
        <v>3.34</v>
      </c>
      <c r="K325" s="128" t="n">
        <v>456.8</v>
      </c>
      <c r="L325" s="129" t="n">
        <f aca="false">AVERAGE(C325:E325)</f>
        <v>-59.86</v>
      </c>
      <c r="M325" s="130" t="n">
        <f aca="false">AVERAGE(C325:J325)</f>
        <v>-5.69625</v>
      </c>
      <c r="N325" s="130" t="n">
        <f aca="false">RANK(I325,I:I)</f>
        <v>237</v>
      </c>
      <c r="O325" s="127" t="n">
        <f aca="false">RANK(L325,L:L)</f>
        <v>297</v>
      </c>
      <c r="P325" s="128" t="s">
        <v>185</v>
      </c>
      <c r="Q325" s="127" t="n">
        <f aca="false">RANK(M325,M:M)</f>
        <v>251</v>
      </c>
      <c r="R325" s="128" t="s">
        <v>185</v>
      </c>
      <c r="S325" s="127"/>
      <c r="T325" s="127"/>
      <c r="U325" s="127"/>
      <c r="V325" s="127"/>
      <c r="W325" s="127"/>
      <c r="X325" s="127"/>
    </row>
    <row r="326" customFormat="false" ht="15.75" hidden="false" customHeight="true" outlineLevel="0" collapsed="false">
      <c r="A326" s="128" t="s">
        <v>185</v>
      </c>
      <c r="B326" s="128" t="n">
        <v>487.6</v>
      </c>
      <c r="C326" s="128" t="n">
        <v>-66.67</v>
      </c>
      <c r="D326" s="128" t="n">
        <v>-133.33</v>
      </c>
      <c r="E326" s="128" t="n">
        <v>-18.5</v>
      </c>
      <c r="F326" s="128" t="n">
        <v>12.63</v>
      </c>
      <c r="G326" s="128" t="n">
        <v>-47.87</v>
      </c>
      <c r="H326" s="128" t="n">
        <v>-75.07</v>
      </c>
      <c r="I326" s="128" t="n">
        <v>-95.49</v>
      </c>
      <c r="J326" s="128" t="n">
        <v>-101.29</v>
      </c>
      <c r="K326" s="128" t="n">
        <v>476</v>
      </c>
      <c r="L326" s="129" t="n">
        <f aca="false">AVERAGE(C326:E326)</f>
        <v>-72.8333333333333</v>
      </c>
      <c r="M326" s="130" t="n">
        <f aca="false">AVERAGE(C326:J326)</f>
        <v>-65.69875</v>
      </c>
      <c r="N326" s="130" t="n">
        <f aca="false">RANK(I326,I:I)</f>
        <v>449</v>
      </c>
      <c r="O326" s="127" t="n">
        <f aca="false">RANK(L326,L:L)</f>
        <v>410</v>
      </c>
      <c r="P326" s="128" t="s">
        <v>498</v>
      </c>
      <c r="Q326" s="127" t="n">
        <f aca="false">RANK(M326,M:M)</f>
        <v>446</v>
      </c>
      <c r="R326" s="128" t="s">
        <v>498</v>
      </c>
      <c r="S326" s="127"/>
      <c r="T326" s="127"/>
      <c r="U326" s="127"/>
      <c r="V326" s="127"/>
      <c r="W326" s="127"/>
      <c r="X326" s="127"/>
    </row>
    <row r="327" customFormat="false" ht="15.75" hidden="false" customHeight="true" outlineLevel="0" collapsed="false">
      <c r="A327" s="128" t="s">
        <v>126</v>
      </c>
      <c r="B327" s="128" t="n">
        <v>484.6</v>
      </c>
      <c r="C327" s="128" t="n">
        <v>-66.67</v>
      </c>
      <c r="D327" s="128" t="n">
        <v>2.59</v>
      </c>
      <c r="E327" s="128" t="n">
        <v>77.2</v>
      </c>
      <c r="F327" s="128" t="n">
        <v>-8.24</v>
      </c>
      <c r="G327" s="128" t="n">
        <v>-60.89</v>
      </c>
      <c r="H327" s="128" t="n">
        <v>-91.93</v>
      </c>
      <c r="I327" s="128" t="n">
        <v>-113.18</v>
      </c>
      <c r="J327" s="128" t="n">
        <v>-93.68</v>
      </c>
      <c r="K327" s="128" t="n">
        <v>462.7</v>
      </c>
      <c r="L327" s="129" t="n">
        <f aca="false">AVERAGE(C327:E327)</f>
        <v>4.37333333333334</v>
      </c>
      <c r="M327" s="130" t="n">
        <f aca="false">AVERAGE(C327:J327)</f>
        <v>-44.35</v>
      </c>
      <c r="N327" s="130" t="n">
        <f aca="false">RANK(I327,I:I)</f>
        <v>475</v>
      </c>
      <c r="O327" s="127" t="n">
        <f aca="false">RANK(L327,L:L)</f>
        <v>80</v>
      </c>
      <c r="P327" s="128" t="s">
        <v>967</v>
      </c>
      <c r="Q327" s="127" t="n">
        <f aca="false">RANK(M327,M:M)</f>
        <v>392</v>
      </c>
      <c r="R327" s="128" t="s">
        <v>967</v>
      </c>
      <c r="S327" s="127"/>
      <c r="T327" s="127"/>
      <c r="U327" s="127"/>
      <c r="V327" s="127"/>
      <c r="W327" s="127"/>
      <c r="X327" s="127"/>
    </row>
    <row r="328" customFormat="false" ht="15.75" hidden="false" customHeight="true" outlineLevel="0" collapsed="false">
      <c r="A328" s="128" t="s">
        <v>248</v>
      </c>
      <c r="B328" s="128" t="n">
        <v>482.7</v>
      </c>
      <c r="C328" s="128" t="n">
        <v>-66.67</v>
      </c>
      <c r="D328" s="128" t="n">
        <v>-133.33</v>
      </c>
      <c r="E328" s="128" t="n">
        <v>-104.16</v>
      </c>
      <c r="F328" s="128" t="n">
        <v>-104.66</v>
      </c>
      <c r="G328" s="128" t="n">
        <v>-24.64</v>
      </c>
      <c r="H328" s="128" t="n">
        <v>-58.43</v>
      </c>
      <c r="I328" s="128" t="n">
        <v>-71.94</v>
      </c>
      <c r="J328" s="128" t="n">
        <v>-83.36</v>
      </c>
      <c r="K328" s="128" t="n">
        <v>533.05</v>
      </c>
      <c r="L328" s="129" t="n">
        <f aca="false">AVERAGE(C328:E328)</f>
        <v>-101.386666666667</v>
      </c>
      <c r="M328" s="130" t="n">
        <f aca="false">AVERAGE(C328:J328)</f>
        <v>-80.89875</v>
      </c>
      <c r="N328" s="130" t="n">
        <f aca="false">RANK(I328,I:I)</f>
        <v>398</v>
      </c>
      <c r="O328" s="127" t="n">
        <f aca="false">RANK(L328,L:L)</f>
        <v>478</v>
      </c>
      <c r="P328" s="128" t="s">
        <v>996</v>
      </c>
      <c r="Q328" s="127" t="n">
        <f aca="false">RANK(M328,M:M)</f>
        <v>469</v>
      </c>
      <c r="R328" s="128" t="s">
        <v>996</v>
      </c>
      <c r="S328" s="127"/>
      <c r="T328" s="127"/>
      <c r="U328" s="127"/>
      <c r="V328" s="127"/>
      <c r="W328" s="127"/>
      <c r="X328" s="127"/>
    </row>
    <row r="329" customFormat="false" ht="15.75" hidden="false" customHeight="true" outlineLevel="0" collapsed="false">
      <c r="A329" s="128" t="s">
        <v>967</v>
      </c>
      <c r="B329" s="128" t="n">
        <v>479.15</v>
      </c>
      <c r="C329" s="128" t="n">
        <v>66.67</v>
      </c>
      <c r="D329" s="128" t="n">
        <v>-46.2</v>
      </c>
      <c r="E329" s="128" t="n">
        <v>-4.66</v>
      </c>
      <c r="F329" s="128" t="n">
        <v>21.42</v>
      </c>
      <c r="G329" s="128" t="n">
        <v>73.95</v>
      </c>
      <c r="H329" s="128" t="n">
        <v>53.16</v>
      </c>
      <c r="I329" s="128" t="n">
        <v>32.02</v>
      </c>
      <c r="J329" s="128" t="n">
        <v>5.07</v>
      </c>
      <c r="K329" s="128" t="n">
        <v>520.34</v>
      </c>
      <c r="L329" s="129" t="n">
        <f aca="false">AVERAGE(C329:E329)</f>
        <v>5.27</v>
      </c>
      <c r="M329" s="130" t="n">
        <f aca="false">AVERAGE(C329:J329)</f>
        <v>25.17875</v>
      </c>
      <c r="N329" s="130" t="n">
        <f aca="false">RANK(I329,I:I)</f>
        <v>155</v>
      </c>
      <c r="O329" s="127" t="n">
        <f aca="false">RANK(L329,L:L)</f>
        <v>77</v>
      </c>
      <c r="P329" s="128" t="s">
        <v>421</v>
      </c>
      <c r="Q329" s="127" t="n">
        <f aca="false">RANK(M329,M:M)</f>
        <v>154</v>
      </c>
      <c r="R329" s="128" t="s">
        <v>421</v>
      </c>
      <c r="S329" s="127"/>
      <c r="T329" s="127"/>
      <c r="U329" s="127"/>
      <c r="V329" s="127"/>
      <c r="W329" s="127"/>
      <c r="X329" s="127"/>
    </row>
    <row r="330" customFormat="false" ht="15.75" hidden="false" customHeight="true" outlineLevel="0" collapsed="false">
      <c r="A330" s="128" t="s">
        <v>996</v>
      </c>
      <c r="B330" s="128" t="n">
        <v>477.25</v>
      </c>
      <c r="C330" s="128" t="n">
        <v>-66.67</v>
      </c>
      <c r="D330" s="128" t="n">
        <v>-132.22</v>
      </c>
      <c r="E330" s="128" t="n">
        <v>-2.33</v>
      </c>
      <c r="F330" s="128" t="n">
        <v>-59.43</v>
      </c>
      <c r="G330" s="128" t="n">
        <v>-4.61</v>
      </c>
      <c r="H330" s="128" t="n">
        <v>11.65</v>
      </c>
      <c r="I330" s="128" t="n">
        <v>28.5</v>
      </c>
      <c r="J330" s="128" t="n">
        <v>30.82</v>
      </c>
      <c r="K330" s="128" t="n">
        <v>515.52</v>
      </c>
      <c r="L330" s="129" t="n">
        <f aca="false">AVERAGE(C330:E330)</f>
        <v>-67.0733333333333</v>
      </c>
      <c r="M330" s="130" t="n">
        <f aca="false">AVERAGE(C330:J330)</f>
        <v>-24.28625</v>
      </c>
      <c r="N330" s="130" t="n">
        <f aca="false">RANK(I330,I:I)</f>
        <v>159</v>
      </c>
      <c r="O330" s="127" t="n">
        <f aca="false">RANK(L330,L:L)</f>
        <v>370</v>
      </c>
      <c r="P330" s="128" t="s">
        <v>541</v>
      </c>
      <c r="Q330" s="127" t="n">
        <f aca="false">RANK(M330,M:M)</f>
        <v>323</v>
      </c>
      <c r="R330" s="128" t="s">
        <v>541</v>
      </c>
      <c r="S330" s="127"/>
      <c r="T330" s="127"/>
      <c r="U330" s="127"/>
      <c r="V330" s="127"/>
      <c r="W330" s="127"/>
      <c r="X330" s="127"/>
    </row>
    <row r="331" customFormat="false" ht="15.75" hidden="false" customHeight="true" outlineLevel="0" collapsed="false">
      <c r="A331" s="128" t="s">
        <v>527</v>
      </c>
      <c r="B331" s="128" t="n">
        <v>469.2</v>
      </c>
      <c r="C331" s="128" t="n">
        <v>-66.67</v>
      </c>
      <c r="D331" s="128" t="n">
        <v>-133.33</v>
      </c>
      <c r="E331" s="128" t="n">
        <v>-93.45</v>
      </c>
      <c r="F331" s="128" t="n">
        <v>-9.65</v>
      </c>
      <c r="G331" s="128" t="n">
        <v>-45.92</v>
      </c>
      <c r="H331" s="128" t="n">
        <v>-67.58</v>
      </c>
      <c r="I331" s="128" t="n">
        <v>-81.56</v>
      </c>
      <c r="J331" s="128" t="n">
        <v>-94.86</v>
      </c>
      <c r="K331" s="128" t="n">
        <v>435.61</v>
      </c>
      <c r="L331" s="129" t="n">
        <f aca="false">AVERAGE(C331:E331)</f>
        <v>-97.8166666666667</v>
      </c>
      <c r="M331" s="130" t="n">
        <f aca="false">AVERAGE(C331:J331)</f>
        <v>-74.1275</v>
      </c>
      <c r="N331" s="130" t="n">
        <f aca="false">RANK(I331,I:I)</f>
        <v>422</v>
      </c>
      <c r="O331" s="127" t="n">
        <f aca="false">RANK(L331,L:L)</f>
        <v>474</v>
      </c>
      <c r="P331" s="128" t="s">
        <v>415</v>
      </c>
      <c r="Q331" s="127" t="n">
        <f aca="false">RANK(M331,M:M)</f>
        <v>462</v>
      </c>
      <c r="R331" s="128" t="s">
        <v>415</v>
      </c>
      <c r="S331" s="127"/>
      <c r="T331" s="127"/>
      <c r="U331" s="127"/>
      <c r="V331" s="127"/>
      <c r="W331" s="127"/>
      <c r="X331" s="127"/>
    </row>
    <row r="332" customFormat="false" ht="15.75" hidden="false" customHeight="true" outlineLevel="0" collapsed="false">
      <c r="A332" s="128" t="s">
        <v>541</v>
      </c>
      <c r="B332" s="128" t="n">
        <v>464.7</v>
      </c>
      <c r="C332" s="128" t="n">
        <v>-66.67</v>
      </c>
      <c r="D332" s="128" t="n">
        <v>-133.33</v>
      </c>
      <c r="E332" s="128" t="n">
        <v>-38.65</v>
      </c>
      <c r="F332" s="128" t="n">
        <v>69.36</v>
      </c>
      <c r="G332" s="128" t="n">
        <v>98.34</v>
      </c>
      <c r="H332" s="128" t="n">
        <v>31.97</v>
      </c>
      <c r="I332" s="128" t="n">
        <v>22.46</v>
      </c>
      <c r="J332" s="128" t="n">
        <v>23.72</v>
      </c>
      <c r="K332" s="128" t="n">
        <v>442.27</v>
      </c>
      <c r="L332" s="129" t="n">
        <f aca="false">AVERAGE(C332:E332)</f>
        <v>-79.55</v>
      </c>
      <c r="M332" s="130" t="n">
        <f aca="false">AVERAGE(C332:J332)</f>
        <v>0.9</v>
      </c>
      <c r="N332" s="130" t="n">
        <f aca="false">RANK(I332,I:I)</f>
        <v>167</v>
      </c>
      <c r="O332" s="127" t="n">
        <f aca="false">RANK(L332,L:L)</f>
        <v>438</v>
      </c>
      <c r="P332" s="128" t="s">
        <v>126</v>
      </c>
      <c r="Q332" s="127" t="n">
        <f aca="false">RANK(M332,M:M)</f>
        <v>229</v>
      </c>
      <c r="R332" s="128" t="s">
        <v>126</v>
      </c>
      <c r="S332" s="127"/>
      <c r="T332" s="127"/>
      <c r="U332" s="127"/>
      <c r="V332" s="127"/>
      <c r="W332" s="127"/>
      <c r="X332" s="127"/>
    </row>
    <row r="333" customFormat="false" ht="15.75" hidden="false" customHeight="true" outlineLevel="0" collapsed="false">
      <c r="A333" s="128" t="s">
        <v>421</v>
      </c>
      <c r="B333" s="128" t="n">
        <v>464.1</v>
      </c>
      <c r="C333" s="128" t="n">
        <v>-66.67</v>
      </c>
      <c r="D333" s="128" t="n">
        <v>-125.01</v>
      </c>
      <c r="E333" s="128" t="n">
        <v>-44.42</v>
      </c>
      <c r="F333" s="128" t="n">
        <v>23.71</v>
      </c>
      <c r="G333" s="128" t="n">
        <v>79.57</v>
      </c>
      <c r="H333" s="128" t="n">
        <v>32.76</v>
      </c>
      <c r="I333" s="128" t="n">
        <v>26.44</v>
      </c>
      <c r="J333" s="128" t="n">
        <v>21.81</v>
      </c>
      <c r="K333" s="128" t="n">
        <v>437.17</v>
      </c>
      <c r="L333" s="129" t="n">
        <f aca="false">AVERAGE(C333:E333)</f>
        <v>-78.7</v>
      </c>
      <c r="M333" s="130" t="n">
        <f aca="false">AVERAGE(C333:J333)</f>
        <v>-6.47625</v>
      </c>
      <c r="N333" s="130" t="n">
        <f aca="false">RANK(I333,I:I)</f>
        <v>162</v>
      </c>
      <c r="O333" s="127" t="n">
        <f aca="false">RANK(L333,L:L)</f>
        <v>436</v>
      </c>
      <c r="P333" s="128" t="s">
        <v>194</v>
      </c>
      <c r="Q333" s="127" t="n">
        <f aca="false">RANK(M333,M:M)</f>
        <v>253</v>
      </c>
      <c r="R333" s="128" t="s">
        <v>194</v>
      </c>
      <c r="S333" s="127"/>
      <c r="T333" s="127"/>
      <c r="U333" s="127"/>
      <c r="V333" s="127"/>
      <c r="W333" s="127"/>
      <c r="X333" s="127"/>
    </row>
    <row r="334" customFormat="false" ht="15.75" hidden="false" customHeight="true" outlineLevel="0" collapsed="false">
      <c r="A334" s="128" t="s">
        <v>415</v>
      </c>
      <c r="B334" s="128" t="n">
        <v>461.9</v>
      </c>
      <c r="C334" s="128" t="n">
        <v>-66.67</v>
      </c>
      <c r="D334" s="128" t="n">
        <v>-133.33</v>
      </c>
      <c r="E334" s="128" t="n">
        <v>-33.61</v>
      </c>
      <c r="F334" s="128" t="n">
        <v>1.26</v>
      </c>
      <c r="G334" s="128" t="n">
        <v>30.62</v>
      </c>
      <c r="H334" s="128" t="n">
        <v>-23.33</v>
      </c>
      <c r="I334" s="128" t="n">
        <v>-39.44</v>
      </c>
      <c r="J334" s="128" t="n">
        <v>-55.68</v>
      </c>
      <c r="K334" s="128" t="n">
        <v>442.94</v>
      </c>
      <c r="L334" s="129" t="n">
        <f aca="false">AVERAGE(C334:E334)</f>
        <v>-77.87</v>
      </c>
      <c r="M334" s="130" t="n">
        <f aca="false">AVERAGE(C334:J334)</f>
        <v>-40.0225</v>
      </c>
      <c r="N334" s="130" t="n">
        <f aca="false">RANK(I334,I:I)</f>
        <v>284</v>
      </c>
      <c r="O334" s="127" t="n">
        <f aca="false">RANK(L334,L:L)</f>
        <v>432</v>
      </c>
      <c r="P334" s="128" t="s">
        <v>527</v>
      </c>
      <c r="Q334" s="127" t="n">
        <f aca="false">RANK(M334,M:M)</f>
        <v>380</v>
      </c>
      <c r="R334" s="128" t="s">
        <v>527</v>
      </c>
      <c r="S334" s="127"/>
      <c r="T334" s="127"/>
      <c r="U334" s="127"/>
      <c r="V334" s="127"/>
      <c r="W334" s="127"/>
      <c r="X334" s="127"/>
    </row>
    <row r="335" customFormat="false" ht="15.75" hidden="false" customHeight="true" outlineLevel="0" collapsed="false">
      <c r="A335" s="128" t="s">
        <v>86</v>
      </c>
      <c r="B335" s="128" t="n">
        <v>461.4</v>
      </c>
      <c r="C335" s="128" t="n">
        <v>-66.67</v>
      </c>
      <c r="D335" s="128" t="n">
        <v>10.26</v>
      </c>
      <c r="E335" s="128" t="n">
        <v>70.31</v>
      </c>
      <c r="F335" s="128" t="n">
        <v>153.07</v>
      </c>
      <c r="G335" s="128" t="n">
        <v>204.66</v>
      </c>
      <c r="H335" s="128" t="n">
        <v>33.29</v>
      </c>
      <c r="I335" s="128" t="n">
        <v>5.76</v>
      </c>
      <c r="J335" s="128" t="n">
        <v>-10.79</v>
      </c>
      <c r="K335" s="128" t="n">
        <v>431.8</v>
      </c>
      <c r="L335" s="129" t="n">
        <f aca="false">AVERAGE(C335:E335)</f>
        <v>4.63333333333334</v>
      </c>
      <c r="M335" s="130" t="n">
        <f aca="false">AVERAGE(C335:J335)</f>
        <v>49.98625</v>
      </c>
      <c r="N335" s="130" t="n">
        <f aca="false">RANK(I335,I:I)</f>
        <v>193</v>
      </c>
      <c r="O335" s="127" t="n">
        <f aca="false">RANK(L335,L:L)</f>
        <v>78</v>
      </c>
      <c r="P335" s="128" t="s">
        <v>275</v>
      </c>
      <c r="Q335" s="127" t="n">
        <f aca="false">RANK(M335,M:M)</f>
        <v>92</v>
      </c>
      <c r="R335" s="128" t="s">
        <v>275</v>
      </c>
      <c r="S335" s="127"/>
      <c r="T335" s="127"/>
      <c r="U335" s="127"/>
      <c r="V335" s="127"/>
      <c r="W335" s="127"/>
      <c r="X335" s="127"/>
    </row>
    <row r="336" customFormat="false" ht="15.75" hidden="false" customHeight="true" outlineLevel="0" collapsed="false">
      <c r="A336" s="128" t="s">
        <v>300</v>
      </c>
      <c r="B336" s="128" t="n">
        <v>458.6</v>
      </c>
      <c r="C336" s="128" t="n">
        <v>-66.67</v>
      </c>
      <c r="D336" s="128" t="n">
        <v>-124.35</v>
      </c>
      <c r="E336" s="128" t="n">
        <v>-15.78</v>
      </c>
      <c r="F336" s="128" t="n">
        <v>-53.96</v>
      </c>
      <c r="G336" s="128" t="n">
        <v>-73.67</v>
      </c>
      <c r="H336" s="128" t="n">
        <v>-72.3</v>
      </c>
      <c r="I336" s="128" t="n">
        <v>-92.07</v>
      </c>
      <c r="J336" s="128" t="n">
        <v>-112.16</v>
      </c>
      <c r="K336" s="128" t="n">
        <v>437.99</v>
      </c>
      <c r="L336" s="129" t="n">
        <f aca="false">AVERAGE(C336:E336)</f>
        <v>-68.9333333333333</v>
      </c>
      <c r="M336" s="130" t="n">
        <f aca="false">AVERAGE(C336:J336)</f>
        <v>-76.37</v>
      </c>
      <c r="N336" s="130" t="n">
        <f aca="false">RANK(I336,I:I)</f>
        <v>443</v>
      </c>
      <c r="O336" s="127" t="n">
        <f aca="false">RANK(L336,L:L)</f>
        <v>383</v>
      </c>
      <c r="P336" s="128" t="s">
        <v>1131</v>
      </c>
      <c r="Q336" s="127" t="n">
        <f aca="false">RANK(M336,M:M)</f>
        <v>466</v>
      </c>
      <c r="R336" s="128" t="s">
        <v>1131</v>
      </c>
      <c r="S336" s="127"/>
      <c r="T336" s="127"/>
      <c r="U336" s="127"/>
      <c r="V336" s="127"/>
      <c r="W336" s="127"/>
      <c r="X336" s="127"/>
    </row>
    <row r="337" customFormat="false" ht="15.75" hidden="false" customHeight="true" outlineLevel="0" collapsed="false">
      <c r="A337" s="128" t="s">
        <v>275</v>
      </c>
      <c r="B337" s="128" t="n">
        <v>456.75</v>
      </c>
      <c r="C337" s="128" t="n">
        <v>-66.67</v>
      </c>
      <c r="D337" s="128" t="n">
        <v>-133.33</v>
      </c>
      <c r="E337" s="128" t="n">
        <v>-99.75</v>
      </c>
      <c r="F337" s="128" t="n">
        <v>55.96</v>
      </c>
      <c r="G337" s="128" t="n">
        <v>107.44</v>
      </c>
      <c r="H337" s="128" t="n">
        <v>128.07</v>
      </c>
      <c r="I337" s="128" t="n">
        <v>125.96</v>
      </c>
      <c r="J337" s="128" t="n">
        <v>99.03</v>
      </c>
      <c r="K337" s="128" t="n">
        <v>438.08</v>
      </c>
      <c r="L337" s="129" t="n">
        <f aca="false">AVERAGE(C337:E337)</f>
        <v>-99.9166666666667</v>
      </c>
      <c r="M337" s="130" t="n">
        <f aca="false">AVERAGE(C337:J337)</f>
        <v>27.08875</v>
      </c>
      <c r="N337" s="130" t="n">
        <f aca="false">RANK(I337,I:I)</f>
        <v>59</v>
      </c>
      <c r="O337" s="127" t="n">
        <f aca="false">RANK(L337,L:L)</f>
        <v>475</v>
      </c>
      <c r="P337" s="128" t="s">
        <v>291</v>
      </c>
      <c r="Q337" s="127" t="n">
        <f aca="false">RANK(M337,M:M)</f>
        <v>148</v>
      </c>
      <c r="R337" s="128" t="s">
        <v>291</v>
      </c>
      <c r="S337" s="127"/>
      <c r="T337" s="127"/>
      <c r="U337" s="127"/>
      <c r="V337" s="127"/>
      <c r="W337" s="127"/>
      <c r="X337" s="127"/>
    </row>
    <row r="338" customFormat="false" ht="15.75" hidden="false" customHeight="true" outlineLevel="0" collapsed="false">
      <c r="A338" s="128" t="s">
        <v>424</v>
      </c>
      <c r="B338" s="128" t="n">
        <v>455.7</v>
      </c>
      <c r="C338" s="128" t="n">
        <v>-66.67</v>
      </c>
      <c r="D338" s="128" t="n">
        <v>-107.98</v>
      </c>
      <c r="E338" s="128" t="n">
        <v>2.54</v>
      </c>
      <c r="F338" s="128" t="n">
        <v>67.81</v>
      </c>
      <c r="G338" s="128" t="n">
        <v>30.02</v>
      </c>
      <c r="H338" s="128" t="n">
        <v>-33.83</v>
      </c>
      <c r="I338" s="128" t="n">
        <v>-51.97</v>
      </c>
      <c r="J338" s="128" t="n">
        <v>-68.49</v>
      </c>
      <c r="K338" s="128" t="n">
        <v>431.97</v>
      </c>
      <c r="L338" s="129" t="n">
        <f aca="false">AVERAGE(C338:E338)</f>
        <v>-57.37</v>
      </c>
      <c r="M338" s="130" t="n">
        <f aca="false">AVERAGE(C338:J338)</f>
        <v>-28.57125</v>
      </c>
      <c r="N338" s="130" t="n">
        <f aca="false">RANK(I338,I:I)</f>
        <v>334</v>
      </c>
      <c r="O338" s="127" t="n">
        <f aca="false">RANK(L338,L:L)</f>
        <v>281</v>
      </c>
      <c r="P338" s="128" t="s">
        <v>390</v>
      </c>
      <c r="Q338" s="127" t="n">
        <f aca="false">RANK(M338,M:M)</f>
        <v>338</v>
      </c>
      <c r="R338" s="128" t="s">
        <v>390</v>
      </c>
      <c r="S338" s="127"/>
      <c r="T338" s="127"/>
      <c r="U338" s="127"/>
      <c r="V338" s="127"/>
      <c r="W338" s="127"/>
      <c r="X338" s="127"/>
    </row>
    <row r="339" customFormat="false" ht="15.75" hidden="false" customHeight="true" outlineLevel="0" collapsed="false">
      <c r="A339" s="128" t="s">
        <v>390</v>
      </c>
      <c r="B339" s="128" t="n">
        <v>454.55</v>
      </c>
      <c r="C339" s="128" t="n">
        <v>-66.67</v>
      </c>
      <c r="D339" s="128" t="n">
        <v>-67.59</v>
      </c>
      <c r="E339" s="128" t="n">
        <v>48.35</v>
      </c>
      <c r="F339" s="128" t="n">
        <v>-13.18</v>
      </c>
      <c r="G339" s="128" t="n">
        <v>-44.78</v>
      </c>
      <c r="H339" s="128" t="n">
        <v>-71.98</v>
      </c>
      <c r="I339" s="128" t="n">
        <v>-90.59</v>
      </c>
      <c r="J339" s="128" t="n">
        <v>-100.65</v>
      </c>
      <c r="K339" s="128" t="n">
        <v>420.54</v>
      </c>
      <c r="L339" s="129" t="n">
        <f aca="false">AVERAGE(C339:E339)</f>
        <v>-28.6366666666667</v>
      </c>
      <c r="M339" s="130" t="n">
        <f aca="false">AVERAGE(C339:J339)</f>
        <v>-50.88625</v>
      </c>
      <c r="N339" s="130" t="n">
        <f aca="false">RANK(I339,I:I)</f>
        <v>438</v>
      </c>
      <c r="O339" s="127" t="n">
        <f aca="false">RANK(L339,L:L)</f>
        <v>156</v>
      </c>
      <c r="P339" s="128" t="s">
        <v>524</v>
      </c>
      <c r="Q339" s="127" t="n">
        <f aca="false">RANK(M339,M:M)</f>
        <v>413</v>
      </c>
      <c r="R339" s="128" t="s">
        <v>524</v>
      </c>
      <c r="S339" s="127"/>
      <c r="T339" s="127"/>
      <c r="U339" s="127"/>
      <c r="V339" s="127"/>
      <c r="W339" s="127"/>
      <c r="X339" s="127"/>
    </row>
    <row r="340" customFormat="false" ht="15.75" hidden="false" customHeight="true" outlineLevel="0" collapsed="false">
      <c r="A340" s="128" t="s">
        <v>250</v>
      </c>
      <c r="B340" s="128" t="n">
        <v>453.65</v>
      </c>
      <c r="C340" s="128" t="n">
        <v>-66.67</v>
      </c>
      <c r="D340" s="128" t="n">
        <v>-46.6</v>
      </c>
      <c r="E340" s="128" t="n">
        <v>38.42</v>
      </c>
      <c r="F340" s="128" t="n">
        <v>-26.8</v>
      </c>
      <c r="G340" s="128" t="n">
        <v>-78.74</v>
      </c>
      <c r="H340" s="128" t="n">
        <v>-94.18</v>
      </c>
      <c r="I340" s="128" t="n">
        <v>-92.24</v>
      </c>
      <c r="J340" s="128" t="n">
        <v>-102.23</v>
      </c>
      <c r="K340" s="128" t="n">
        <v>425.84</v>
      </c>
      <c r="L340" s="129" t="n">
        <f aca="false">AVERAGE(C340:E340)</f>
        <v>-24.95</v>
      </c>
      <c r="M340" s="130" t="n">
        <f aca="false">AVERAGE(C340:J340)</f>
        <v>-58.63</v>
      </c>
      <c r="N340" s="130" t="n">
        <f aca="false">RANK(I340,I:I)</f>
        <v>444</v>
      </c>
      <c r="O340" s="127" t="n">
        <f aca="false">RANK(L340,L:L)</f>
        <v>143</v>
      </c>
      <c r="P340" s="128" t="s">
        <v>300</v>
      </c>
      <c r="Q340" s="127" t="n">
        <f aca="false">RANK(M340,M:M)</f>
        <v>429</v>
      </c>
      <c r="R340" s="128" t="s">
        <v>300</v>
      </c>
      <c r="S340" s="127"/>
      <c r="T340" s="127"/>
      <c r="U340" s="127"/>
      <c r="V340" s="127"/>
      <c r="W340" s="127"/>
      <c r="X340" s="127"/>
    </row>
    <row r="341" customFormat="false" ht="15.75" hidden="false" customHeight="true" outlineLevel="0" collapsed="false">
      <c r="A341" s="128" t="s">
        <v>194</v>
      </c>
      <c r="B341" s="128" t="n">
        <v>452.55</v>
      </c>
      <c r="C341" s="128" t="n">
        <v>-66.67</v>
      </c>
      <c r="D341" s="128" t="n">
        <v>-133.33</v>
      </c>
      <c r="E341" s="128" t="n">
        <v>-22.93</v>
      </c>
      <c r="F341" s="128" t="n">
        <v>-72.73</v>
      </c>
      <c r="G341" s="128" t="n">
        <v>-91.15</v>
      </c>
      <c r="H341" s="128" t="n">
        <v>-101.22</v>
      </c>
      <c r="I341" s="128" t="n">
        <v>-126.22</v>
      </c>
      <c r="J341" s="128" t="n">
        <v>-151.13</v>
      </c>
      <c r="K341" s="128" t="n">
        <v>435.55</v>
      </c>
      <c r="L341" s="129" t="n">
        <f aca="false">AVERAGE(C341:E341)</f>
        <v>-74.31</v>
      </c>
      <c r="M341" s="130" t="n">
        <f aca="false">AVERAGE(C341:J341)</f>
        <v>-95.6725</v>
      </c>
      <c r="N341" s="130" t="n">
        <f aca="false">RANK(I341,I:I)</f>
        <v>480</v>
      </c>
      <c r="O341" s="127" t="n">
        <f aca="false">RANK(L341,L:L)</f>
        <v>417</v>
      </c>
      <c r="P341" s="128" t="s">
        <v>389</v>
      </c>
      <c r="Q341" s="127" t="n">
        <f aca="false">RANK(M341,M:M)</f>
        <v>486</v>
      </c>
      <c r="R341" s="128" t="s">
        <v>389</v>
      </c>
      <c r="S341" s="127"/>
      <c r="T341" s="127"/>
      <c r="U341" s="127"/>
      <c r="V341" s="127"/>
      <c r="W341" s="127"/>
      <c r="X341" s="127"/>
    </row>
    <row r="342" customFormat="false" ht="15.75" hidden="false" customHeight="true" outlineLevel="0" collapsed="false">
      <c r="A342" s="128" t="s">
        <v>202</v>
      </c>
      <c r="B342" s="128" t="n">
        <v>451.2</v>
      </c>
      <c r="C342" s="128" t="n">
        <v>-66.67</v>
      </c>
      <c r="D342" s="128" t="n">
        <v>-13.55</v>
      </c>
      <c r="E342" s="128" t="n">
        <v>70.36</v>
      </c>
      <c r="F342" s="128" t="n">
        <v>145.12</v>
      </c>
      <c r="G342" s="128" t="n">
        <v>81.03</v>
      </c>
      <c r="H342" s="128" t="n">
        <v>10.87</v>
      </c>
      <c r="I342" s="128" t="n">
        <v>-9.09</v>
      </c>
      <c r="J342" s="128" t="n">
        <v>-38.16</v>
      </c>
      <c r="K342" s="128" t="n">
        <v>417.04</v>
      </c>
      <c r="L342" s="129" t="n">
        <f aca="false">AVERAGE(C342:E342)</f>
        <v>-3.28666666666667</v>
      </c>
      <c r="M342" s="130" t="n">
        <f aca="false">AVERAGE(C342:J342)</f>
        <v>22.48875</v>
      </c>
      <c r="N342" s="130" t="n">
        <f aca="false">RANK(I342,I:I)</f>
        <v>219</v>
      </c>
      <c r="O342" s="127" t="n">
        <f aca="false">RANK(L342,L:L)</f>
        <v>95</v>
      </c>
      <c r="P342" s="128" t="s">
        <v>424</v>
      </c>
      <c r="Q342" s="127" t="n">
        <f aca="false">RANK(M342,M:M)</f>
        <v>161</v>
      </c>
      <c r="R342" s="128" t="s">
        <v>424</v>
      </c>
      <c r="S342" s="127"/>
      <c r="T342" s="127"/>
      <c r="U342" s="127"/>
      <c r="V342" s="127"/>
      <c r="W342" s="127"/>
      <c r="X342" s="127"/>
    </row>
    <row r="343" customFormat="false" ht="15.75" hidden="false" customHeight="true" outlineLevel="0" collapsed="false">
      <c r="A343" s="128" t="s">
        <v>371</v>
      </c>
      <c r="B343" s="128" t="n">
        <v>445</v>
      </c>
      <c r="C343" s="128" t="n">
        <v>-66.67</v>
      </c>
      <c r="D343" s="128" t="n">
        <v>-5.81</v>
      </c>
      <c r="E343" s="128" t="n">
        <v>64.9</v>
      </c>
      <c r="F343" s="128" t="n">
        <v>51.67</v>
      </c>
      <c r="G343" s="128" t="n">
        <v>74.28</v>
      </c>
      <c r="H343" s="128" t="n">
        <v>33.66</v>
      </c>
      <c r="I343" s="128" t="n">
        <v>-18.07</v>
      </c>
      <c r="J343" s="128" t="n">
        <v>-35.83</v>
      </c>
      <c r="K343" s="128" t="n">
        <v>411.78</v>
      </c>
      <c r="L343" s="129" t="n">
        <f aca="false">AVERAGE(C343:E343)</f>
        <v>-2.52666666666667</v>
      </c>
      <c r="M343" s="130" t="n">
        <f aca="false">AVERAGE(C343:J343)</f>
        <v>12.26625</v>
      </c>
      <c r="N343" s="130" t="n">
        <f aca="false">RANK(I343,I:I)</f>
        <v>234</v>
      </c>
      <c r="O343" s="127" t="n">
        <f aca="false">RANK(L343,L:L)</f>
        <v>94</v>
      </c>
      <c r="P343" s="128" t="s">
        <v>371</v>
      </c>
      <c r="Q343" s="127" t="n">
        <f aca="false">RANK(M343,M:M)</f>
        <v>195</v>
      </c>
      <c r="R343" s="128" t="s">
        <v>371</v>
      </c>
      <c r="S343" s="127"/>
      <c r="T343" s="127"/>
      <c r="U343" s="127"/>
      <c r="V343" s="127"/>
      <c r="W343" s="127"/>
      <c r="X343" s="127"/>
    </row>
    <row r="344" customFormat="false" ht="15.75" hidden="false" customHeight="true" outlineLevel="0" collapsed="false">
      <c r="A344" s="128" t="s">
        <v>498</v>
      </c>
      <c r="B344" s="128" t="n">
        <v>444</v>
      </c>
      <c r="C344" s="128" t="n">
        <v>-66.67</v>
      </c>
      <c r="D344" s="128" t="n">
        <v>-118.76</v>
      </c>
      <c r="E344" s="128" t="n">
        <v>-177.88</v>
      </c>
      <c r="F344" s="128" t="n">
        <v>-23.58</v>
      </c>
      <c r="G344" s="128" t="n">
        <v>5.79</v>
      </c>
      <c r="H344" s="128" t="n">
        <v>-30.53</v>
      </c>
      <c r="I344" s="128" t="n">
        <v>-57.61</v>
      </c>
      <c r="J344" s="128" t="n">
        <v>-71.3</v>
      </c>
      <c r="K344" s="128" t="n">
        <v>509.82</v>
      </c>
      <c r="L344" s="129" t="n">
        <f aca="false">AVERAGE(C344:E344)</f>
        <v>-121.103333333333</v>
      </c>
      <c r="M344" s="130" t="n">
        <f aca="false">AVERAGE(C344:J344)</f>
        <v>-67.5675</v>
      </c>
      <c r="N344" s="130" t="n">
        <f aca="false">RANK(I344,I:I)</f>
        <v>357</v>
      </c>
      <c r="O344" s="127" t="n">
        <f aca="false">RANK(L344,L:L)</f>
        <v>494</v>
      </c>
      <c r="P344" s="128" t="s">
        <v>250</v>
      </c>
      <c r="Q344" s="127" t="n">
        <f aca="false">RANK(M344,M:M)</f>
        <v>451</v>
      </c>
      <c r="R344" s="128" t="s">
        <v>250</v>
      </c>
      <c r="S344" s="127"/>
      <c r="T344" s="127"/>
      <c r="U344" s="127"/>
      <c r="V344" s="127"/>
      <c r="W344" s="127"/>
      <c r="X344" s="127"/>
    </row>
    <row r="345" customFormat="false" ht="15.75" hidden="false" customHeight="true" outlineLevel="0" collapsed="false">
      <c r="A345" s="128" t="s">
        <v>172</v>
      </c>
      <c r="B345" s="128" t="n">
        <v>428.95</v>
      </c>
      <c r="C345" s="128" t="n">
        <v>-66.67</v>
      </c>
      <c r="D345" s="128" t="n">
        <v>-77.72</v>
      </c>
      <c r="E345" s="128" t="n">
        <v>68.49</v>
      </c>
      <c r="F345" s="128" t="n">
        <v>166.13</v>
      </c>
      <c r="G345" s="128" t="n">
        <v>66.37</v>
      </c>
      <c r="H345" s="128" t="n">
        <v>62.1</v>
      </c>
      <c r="I345" s="128" t="n">
        <v>15.91</v>
      </c>
      <c r="J345" s="128" t="n">
        <v>-25.53</v>
      </c>
      <c r="K345" s="128" t="n">
        <v>397.94</v>
      </c>
      <c r="L345" s="129" t="n">
        <f aca="false">AVERAGE(C345:E345)</f>
        <v>-25.3</v>
      </c>
      <c r="M345" s="130" t="n">
        <f aca="false">AVERAGE(C345:J345)</f>
        <v>26.135</v>
      </c>
      <c r="N345" s="130" t="n">
        <f aca="false">RANK(I345,I:I)</f>
        <v>176</v>
      </c>
      <c r="O345" s="127" t="n">
        <f aca="false">RANK(L345,L:L)</f>
        <v>145</v>
      </c>
      <c r="P345" s="128" t="s">
        <v>178</v>
      </c>
      <c r="Q345" s="127" t="n">
        <f aca="false">RANK(M345,M:M)</f>
        <v>151</v>
      </c>
      <c r="R345" s="128" t="s">
        <v>178</v>
      </c>
      <c r="S345" s="127"/>
      <c r="T345" s="127"/>
      <c r="U345" s="127"/>
      <c r="V345" s="127"/>
      <c r="W345" s="127"/>
      <c r="X345" s="127"/>
    </row>
    <row r="346" customFormat="false" ht="15.75" hidden="false" customHeight="true" outlineLevel="0" collapsed="false">
      <c r="A346" s="128" t="s">
        <v>354</v>
      </c>
      <c r="B346" s="128" t="n">
        <v>428</v>
      </c>
      <c r="C346" s="128" t="n">
        <v>66.67</v>
      </c>
      <c r="D346" s="128" t="n">
        <v>112.48</v>
      </c>
      <c r="E346" s="128" t="n">
        <v>78.97</v>
      </c>
      <c r="F346" s="128" t="n">
        <v>84.75</v>
      </c>
      <c r="G346" s="128" t="n">
        <v>119.2</v>
      </c>
      <c r="H346" s="128" t="n">
        <v>42.72</v>
      </c>
      <c r="I346" s="128" t="n">
        <v>59.72</v>
      </c>
      <c r="J346" s="128" t="n">
        <v>75.52</v>
      </c>
      <c r="K346" s="128" t="n">
        <v>392.66</v>
      </c>
      <c r="L346" s="129" t="n">
        <f aca="false">AVERAGE(C346:E346)</f>
        <v>86.04</v>
      </c>
      <c r="M346" s="130" t="n">
        <f aca="false">AVERAGE(C346:J346)</f>
        <v>80.00375</v>
      </c>
      <c r="N346" s="130" t="n">
        <f aca="false">RANK(I346,I:I)</f>
        <v>116</v>
      </c>
      <c r="O346" s="127" t="n">
        <f aca="false">RANK(L346,L:L)</f>
        <v>20</v>
      </c>
      <c r="P346" s="128" t="s">
        <v>86</v>
      </c>
      <c r="Q346" s="127" t="n">
        <f aca="false">RANK(M346,M:M)</f>
        <v>48</v>
      </c>
      <c r="R346" s="128" t="s">
        <v>86</v>
      </c>
      <c r="S346" s="127"/>
      <c r="T346" s="127"/>
      <c r="U346" s="127"/>
      <c r="V346" s="127"/>
      <c r="W346" s="127"/>
      <c r="X346" s="127"/>
    </row>
    <row r="347" customFormat="false" ht="15.75" hidden="false" customHeight="true" outlineLevel="0" collapsed="false">
      <c r="A347" s="128" t="s">
        <v>178</v>
      </c>
      <c r="B347" s="128" t="n">
        <v>427.8</v>
      </c>
      <c r="C347" s="128" t="n">
        <v>-66.67</v>
      </c>
      <c r="D347" s="128" t="n">
        <v>-131.35</v>
      </c>
      <c r="E347" s="128" t="n">
        <v>39.38</v>
      </c>
      <c r="F347" s="128" t="n">
        <v>121.65</v>
      </c>
      <c r="G347" s="128" t="n">
        <v>54.01</v>
      </c>
      <c r="H347" s="128" t="n">
        <v>-8.88</v>
      </c>
      <c r="I347" s="128" t="n">
        <v>-35.09</v>
      </c>
      <c r="J347" s="128" t="n">
        <v>-53.77</v>
      </c>
      <c r="K347" s="128" t="n">
        <v>412.33</v>
      </c>
      <c r="L347" s="129" t="n">
        <f aca="false">AVERAGE(C347:E347)</f>
        <v>-52.88</v>
      </c>
      <c r="M347" s="130" t="n">
        <f aca="false">AVERAGE(C347:J347)</f>
        <v>-10.09</v>
      </c>
      <c r="N347" s="130" t="n">
        <f aca="false">RANK(I347,I:I)</f>
        <v>271</v>
      </c>
      <c r="O347" s="127" t="n">
        <f aca="false">RANK(L347,L:L)</f>
        <v>253</v>
      </c>
      <c r="P347" s="128" t="s">
        <v>201</v>
      </c>
      <c r="Q347" s="127" t="n">
        <f aca="false">RANK(M347,M:M)</f>
        <v>267</v>
      </c>
      <c r="R347" s="128" t="s">
        <v>201</v>
      </c>
      <c r="S347" s="127"/>
      <c r="T347" s="127"/>
      <c r="U347" s="127"/>
      <c r="V347" s="127"/>
      <c r="W347" s="127"/>
      <c r="X347" s="127"/>
    </row>
    <row r="348" customFormat="false" ht="15.75" hidden="false" customHeight="true" outlineLevel="0" collapsed="false">
      <c r="A348" s="128" t="s">
        <v>1131</v>
      </c>
      <c r="B348" s="128" t="n">
        <v>422.95</v>
      </c>
      <c r="C348" s="128" t="n">
        <v>-66.67</v>
      </c>
      <c r="D348" s="128" t="n">
        <v>-119</v>
      </c>
      <c r="E348" s="128" t="n">
        <v>-107.11</v>
      </c>
      <c r="F348" s="128" t="n">
        <v>-117.76</v>
      </c>
      <c r="G348" s="128" t="n">
        <v>-109.32</v>
      </c>
      <c r="H348" s="128" t="n">
        <v>-96.15</v>
      </c>
      <c r="I348" s="128"/>
      <c r="J348" s="128"/>
      <c r="K348" s="128" t="n">
        <v>465.09</v>
      </c>
      <c r="L348" s="129" t="n">
        <f aca="false">AVERAGE(C348:E348)</f>
        <v>-97.5933333333334</v>
      </c>
      <c r="M348" s="130" t="n">
        <f aca="false">AVERAGE(C348:J348)</f>
        <v>-102.668333333333</v>
      </c>
      <c r="N348" s="130" t="e">
        <f aca="false">RANK(I348,I:I)</f>
        <v>#N/A</v>
      </c>
      <c r="O348" s="127" t="n">
        <f aca="false">RANK(L348,L:L)</f>
        <v>472</v>
      </c>
      <c r="P348" s="128" t="s">
        <v>490</v>
      </c>
      <c r="Q348" s="127" t="n">
        <f aca="false">RANK(M348,M:M)</f>
        <v>491</v>
      </c>
      <c r="R348" s="128" t="s">
        <v>490</v>
      </c>
      <c r="S348" s="127"/>
      <c r="T348" s="127"/>
      <c r="U348" s="127"/>
      <c r="V348" s="127"/>
      <c r="W348" s="127"/>
      <c r="X348" s="127"/>
    </row>
    <row r="349" customFormat="false" ht="15.75" hidden="false" customHeight="true" outlineLevel="0" collapsed="false">
      <c r="A349" s="128" t="s">
        <v>196</v>
      </c>
      <c r="B349" s="128" t="n">
        <v>422.2</v>
      </c>
      <c r="C349" s="128" t="n">
        <v>-66.67</v>
      </c>
      <c r="D349" s="128" t="n">
        <v>-133.33</v>
      </c>
      <c r="E349" s="128" t="n">
        <v>16.95</v>
      </c>
      <c r="F349" s="128" t="n">
        <v>38.31</v>
      </c>
      <c r="G349" s="128" t="n">
        <v>51.21</v>
      </c>
      <c r="H349" s="128" t="n">
        <v>-27.04</v>
      </c>
      <c r="I349" s="128" t="n">
        <v>-48.54</v>
      </c>
      <c r="J349" s="128" t="n">
        <v>-64.3</v>
      </c>
      <c r="K349" s="128" t="n">
        <v>403.53</v>
      </c>
      <c r="L349" s="129" t="n">
        <f aca="false">AVERAGE(C349:E349)</f>
        <v>-61.0166666666667</v>
      </c>
      <c r="M349" s="130" t="n">
        <f aca="false">AVERAGE(C349:J349)</f>
        <v>-29.17625</v>
      </c>
      <c r="N349" s="130" t="n">
        <f aca="false">RANK(I349,I:I)</f>
        <v>319</v>
      </c>
      <c r="O349" s="127" t="n">
        <f aca="false">RANK(L349,L:L)</f>
        <v>308</v>
      </c>
      <c r="P349" s="128" t="s">
        <v>202</v>
      </c>
      <c r="Q349" s="127" t="n">
        <f aca="false">RANK(M349,M:M)</f>
        <v>342</v>
      </c>
      <c r="R349" s="128" t="s">
        <v>202</v>
      </c>
      <c r="S349" s="127"/>
      <c r="T349" s="127"/>
      <c r="U349" s="127"/>
      <c r="V349" s="127"/>
      <c r="W349" s="127"/>
      <c r="X349" s="127"/>
    </row>
    <row r="350" customFormat="false" ht="15.75" hidden="false" customHeight="true" outlineLevel="0" collapsed="false">
      <c r="A350" s="128" t="s">
        <v>532</v>
      </c>
      <c r="B350" s="128" t="n">
        <v>420.9</v>
      </c>
      <c r="C350" s="128" t="n">
        <v>-66.67</v>
      </c>
      <c r="D350" s="128" t="n">
        <v>43.25</v>
      </c>
      <c r="E350" s="128" t="n">
        <v>114.15</v>
      </c>
      <c r="F350" s="128" t="n">
        <v>177.51</v>
      </c>
      <c r="G350" s="128" t="n">
        <v>241.65</v>
      </c>
      <c r="H350" s="128" t="n">
        <v>62.45</v>
      </c>
      <c r="I350" s="128" t="n">
        <v>59.95</v>
      </c>
      <c r="J350" s="128" t="n">
        <v>29.86</v>
      </c>
      <c r="K350" s="128" t="n">
        <v>381.56</v>
      </c>
      <c r="L350" s="129" t="n">
        <f aca="false">AVERAGE(C350:E350)</f>
        <v>30.2433333333333</v>
      </c>
      <c r="M350" s="130" t="n">
        <f aca="false">AVERAGE(C350:J350)</f>
        <v>82.76875</v>
      </c>
      <c r="N350" s="130" t="n">
        <f aca="false">RANK(I350,I:I)</f>
        <v>114</v>
      </c>
      <c r="O350" s="127" t="n">
        <f aca="false">RANK(L350,L:L)</f>
        <v>42</v>
      </c>
      <c r="P350" s="128" t="s">
        <v>354</v>
      </c>
      <c r="Q350" s="127" t="n">
        <f aca="false">RANK(M350,M:M)</f>
        <v>42</v>
      </c>
      <c r="R350" s="128" t="s">
        <v>354</v>
      </c>
      <c r="S350" s="127"/>
      <c r="T350" s="127"/>
      <c r="U350" s="127"/>
      <c r="V350" s="127"/>
      <c r="W350" s="127"/>
      <c r="X350" s="127"/>
    </row>
    <row r="351" customFormat="false" ht="15.75" hidden="false" customHeight="true" outlineLevel="0" collapsed="false">
      <c r="A351" s="128" t="s">
        <v>523</v>
      </c>
      <c r="B351" s="128" t="n">
        <v>415.1</v>
      </c>
      <c r="C351" s="128" t="n">
        <v>-66.67</v>
      </c>
      <c r="D351" s="128" t="n">
        <v>-133.33</v>
      </c>
      <c r="E351" s="128" t="n">
        <v>-26.42</v>
      </c>
      <c r="F351" s="128" t="n">
        <v>-24.06</v>
      </c>
      <c r="G351" s="128" t="n">
        <v>-57.63</v>
      </c>
      <c r="H351" s="128" t="n">
        <v>-69.3</v>
      </c>
      <c r="I351" s="128" t="n">
        <v>-82.98</v>
      </c>
      <c r="J351" s="128" t="n">
        <v>-96.44</v>
      </c>
      <c r="K351" s="128" t="n">
        <v>390.11</v>
      </c>
      <c r="L351" s="129" t="n">
        <f aca="false">AVERAGE(C351:E351)</f>
        <v>-75.4733333333333</v>
      </c>
      <c r="M351" s="130" t="n">
        <f aca="false">AVERAGE(C351:J351)</f>
        <v>-69.60375</v>
      </c>
      <c r="N351" s="130" t="n">
        <f aca="false">RANK(I351,I:I)</f>
        <v>425</v>
      </c>
      <c r="O351" s="127" t="n">
        <f aca="false">RANK(L351,L:L)</f>
        <v>420</v>
      </c>
      <c r="P351" s="128" t="s">
        <v>196</v>
      </c>
      <c r="Q351" s="127" t="n">
        <f aca="false">RANK(M351,M:M)</f>
        <v>454</v>
      </c>
      <c r="R351" s="128" t="s">
        <v>196</v>
      </c>
      <c r="S351" s="127"/>
      <c r="T351" s="127"/>
      <c r="U351" s="127"/>
      <c r="V351" s="127"/>
      <c r="W351" s="127"/>
      <c r="X351" s="127"/>
    </row>
    <row r="352" customFormat="false" ht="15.75" hidden="false" customHeight="true" outlineLevel="0" collapsed="false">
      <c r="A352" s="128" t="s">
        <v>201</v>
      </c>
      <c r="B352" s="128" t="n">
        <v>415.05</v>
      </c>
      <c r="C352" s="128" t="n">
        <v>-66.67</v>
      </c>
      <c r="D352" s="128" t="n">
        <v>-133.33</v>
      </c>
      <c r="E352" s="128" t="n">
        <v>-7.63</v>
      </c>
      <c r="F352" s="128" t="n">
        <v>53.03</v>
      </c>
      <c r="G352" s="128" t="n">
        <v>92.05</v>
      </c>
      <c r="H352" s="128" t="n">
        <v>12.17</v>
      </c>
      <c r="I352" s="128" t="n">
        <v>-23.16</v>
      </c>
      <c r="J352" s="128" t="n">
        <v>-37.76</v>
      </c>
      <c r="K352" s="128" t="n">
        <v>398.64</v>
      </c>
      <c r="L352" s="129" t="n">
        <f aca="false">AVERAGE(C352:E352)</f>
        <v>-69.21</v>
      </c>
      <c r="M352" s="130" t="n">
        <f aca="false">AVERAGE(C352:J352)</f>
        <v>-13.9125</v>
      </c>
      <c r="N352" s="130" t="n">
        <f aca="false">RANK(I352,I:I)</f>
        <v>247</v>
      </c>
      <c r="O352" s="127" t="n">
        <f aca="false">RANK(L352,L:L)</f>
        <v>387</v>
      </c>
      <c r="P352" s="128" t="s">
        <v>523</v>
      </c>
      <c r="Q352" s="127" t="n">
        <f aca="false">RANK(M352,M:M)</f>
        <v>282</v>
      </c>
      <c r="R352" s="128" t="s">
        <v>523</v>
      </c>
      <c r="S352" s="127"/>
      <c r="T352" s="127"/>
      <c r="U352" s="127"/>
      <c r="V352" s="127"/>
      <c r="W352" s="127"/>
      <c r="X352" s="127"/>
    </row>
    <row r="353" customFormat="false" ht="15.75" hidden="false" customHeight="true" outlineLevel="0" collapsed="false">
      <c r="A353" s="128" t="s">
        <v>110</v>
      </c>
      <c r="B353" s="128" t="n">
        <v>413.3</v>
      </c>
      <c r="C353" s="128" t="n">
        <v>-66.67</v>
      </c>
      <c r="D353" s="128" t="n">
        <v>-30.08</v>
      </c>
      <c r="E353" s="128" t="n">
        <v>69.84</v>
      </c>
      <c r="F353" s="128" t="n">
        <v>-36.33</v>
      </c>
      <c r="G353" s="128" t="n">
        <v>-42.31</v>
      </c>
      <c r="H353" s="128" t="n">
        <v>-69.63</v>
      </c>
      <c r="I353" s="128" t="n">
        <v>-90.07</v>
      </c>
      <c r="J353" s="128" t="n">
        <v>-100.52</v>
      </c>
      <c r="K353" s="128" t="n">
        <v>387.53</v>
      </c>
      <c r="L353" s="129" t="n">
        <f aca="false">AVERAGE(C353:E353)</f>
        <v>-8.97</v>
      </c>
      <c r="M353" s="130" t="n">
        <f aca="false">AVERAGE(C353:J353)</f>
        <v>-45.72125</v>
      </c>
      <c r="N353" s="130" t="n">
        <f aca="false">RANK(I353,I:I)</f>
        <v>437</v>
      </c>
      <c r="O353" s="127" t="n">
        <f aca="false">RANK(L353,L:L)</f>
        <v>105</v>
      </c>
      <c r="P353" s="128" t="s">
        <v>161</v>
      </c>
      <c r="Q353" s="127" t="n">
        <f aca="false">RANK(M353,M:M)</f>
        <v>398</v>
      </c>
      <c r="R353" s="128" t="s">
        <v>161</v>
      </c>
      <c r="S353" s="127"/>
      <c r="T353" s="127"/>
      <c r="U353" s="127"/>
      <c r="V353" s="127"/>
      <c r="W353" s="127"/>
      <c r="X353" s="127"/>
    </row>
    <row r="354" customFormat="false" ht="15.75" hidden="false" customHeight="true" outlineLevel="0" collapsed="false">
      <c r="A354" s="128" t="s">
        <v>475</v>
      </c>
      <c r="B354" s="128" t="n">
        <v>402.9</v>
      </c>
      <c r="C354" s="128" t="n">
        <v>-66.67</v>
      </c>
      <c r="D354" s="128" t="n">
        <v>-10.11</v>
      </c>
      <c r="E354" s="128" t="n">
        <v>73.77</v>
      </c>
      <c r="F354" s="128" t="n">
        <v>158.21</v>
      </c>
      <c r="G354" s="128" t="n">
        <v>37.63</v>
      </c>
      <c r="H354" s="128" t="n">
        <v>-20.4</v>
      </c>
      <c r="I354" s="128" t="n">
        <v>-39.86</v>
      </c>
      <c r="J354" s="128" t="n">
        <v>-56.15</v>
      </c>
      <c r="K354" s="128" t="n">
        <v>377.59</v>
      </c>
      <c r="L354" s="129" t="n">
        <f aca="false">AVERAGE(C354:E354)</f>
        <v>-1.00333333333334</v>
      </c>
      <c r="M354" s="130" t="n">
        <f aca="false">AVERAGE(C354:J354)</f>
        <v>9.5525</v>
      </c>
      <c r="N354" s="130" t="n">
        <f aca="false">RANK(I354,I:I)</f>
        <v>286</v>
      </c>
      <c r="O354" s="127" t="n">
        <f aca="false">RANK(L354,L:L)</f>
        <v>90</v>
      </c>
      <c r="P354" s="128" t="s">
        <v>110</v>
      </c>
      <c r="Q354" s="127" t="n">
        <f aca="false">RANK(M354,M:M)</f>
        <v>201</v>
      </c>
      <c r="R354" s="128" t="s">
        <v>110</v>
      </c>
      <c r="S354" s="127"/>
      <c r="T354" s="127"/>
      <c r="U354" s="127"/>
      <c r="V354" s="127"/>
      <c r="W354" s="127"/>
      <c r="X354" s="127"/>
    </row>
    <row r="355" customFormat="false" ht="15.75" hidden="false" customHeight="true" outlineLevel="0" collapsed="false">
      <c r="A355" s="128" t="s">
        <v>236</v>
      </c>
      <c r="B355" s="128" t="n">
        <v>399.35</v>
      </c>
      <c r="C355" s="128" t="n">
        <v>-66.67</v>
      </c>
      <c r="D355" s="128" t="n">
        <v>-109.24</v>
      </c>
      <c r="E355" s="128" t="n">
        <v>58.38</v>
      </c>
      <c r="F355" s="128" t="n">
        <v>84.95</v>
      </c>
      <c r="G355" s="128" t="n">
        <v>39.63</v>
      </c>
      <c r="H355" s="128" t="n">
        <v>-24.89</v>
      </c>
      <c r="I355" s="128" t="n">
        <v>-49.51</v>
      </c>
      <c r="J355" s="128" t="n">
        <v>-65.92</v>
      </c>
      <c r="K355" s="128" t="n">
        <v>368.51</v>
      </c>
      <c r="L355" s="129" t="n">
        <f aca="false">AVERAGE(C355:E355)</f>
        <v>-39.1766666666667</v>
      </c>
      <c r="M355" s="130" t="n">
        <f aca="false">AVERAGE(C355:J355)</f>
        <v>-16.65875</v>
      </c>
      <c r="N355" s="130" t="n">
        <f aca="false">RANK(I355,I:I)</f>
        <v>325</v>
      </c>
      <c r="O355" s="127" t="n">
        <f aca="false">RANK(L355,L:L)</f>
        <v>198</v>
      </c>
      <c r="P355" s="128" t="s">
        <v>454</v>
      </c>
      <c r="Q355" s="127" t="n">
        <f aca="false">RANK(M355,M:M)</f>
        <v>291</v>
      </c>
      <c r="R355" s="128" t="s">
        <v>454</v>
      </c>
      <c r="S355" s="127"/>
      <c r="T355" s="127"/>
      <c r="U355" s="127"/>
      <c r="V355" s="127"/>
      <c r="W355" s="127"/>
      <c r="X355" s="127"/>
    </row>
    <row r="356" customFormat="false" ht="15.75" hidden="false" customHeight="true" outlineLevel="0" collapsed="false">
      <c r="A356" s="128" t="s">
        <v>443</v>
      </c>
      <c r="B356" s="128" t="n">
        <v>397.7</v>
      </c>
      <c r="C356" s="128" t="n">
        <v>-66.67</v>
      </c>
      <c r="D356" s="128" t="n">
        <v>-36.79</v>
      </c>
      <c r="E356" s="128" t="n">
        <v>59.25</v>
      </c>
      <c r="F356" s="128" t="n">
        <v>144.24</v>
      </c>
      <c r="G356" s="128" t="n">
        <v>36.26</v>
      </c>
      <c r="H356" s="128" t="n">
        <v>-21.75</v>
      </c>
      <c r="I356" s="128" t="n">
        <v>-43.32</v>
      </c>
      <c r="J356" s="128" t="n">
        <v>-66.77</v>
      </c>
      <c r="K356" s="128" t="n">
        <v>366.49</v>
      </c>
      <c r="L356" s="129" t="n">
        <f aca="false">AVERAGE(C356:E356)</f>
        <v>-14.7366666666667</v>
      </c>
      <c r="M356" s="130" t="n">
        <f aca="false">AVERAGE(C356:J356)</f>
        <v>0.55625</v>
      </c>
      <c r="N356" s="130" t="n">
        <f aca="false">RANK(I356,I:I)</f>
        <v>298</v>
      </c>
      <c r="O356" s="127" t="n">
        <f aca="false">RANK(L356,L:L)</f>
        <v>120</v>
      </c>
      <c r="P356" s="128" t="s">
        <v>532</v>
      </c>
      <c r="Q356" s="127" t="n">
        <f aca="false">RANK(M356,M:M)</f>
        <v>230</v>
      </c>
      <c r="R356" s="128" t="s">
        <v>532</v>
      </c>
      <c r="S356" s="127"/>
      <c r="T356" s="127"/>
      <c r="U356" s="127"/>
      <c r="V356" s="127"/>
      <c r="W356" s="127"/>
      <c r="X356" s="127"/>
    </row>
    <row r="357" customFormat="false" ht="15.75" hidden="false" customHeight="true" outlineLevel="0" collapsed="false">
      <c r="A357" s="128" t="s">
        <v>190</v>
      </c>
      <c r="B357" s="128" t="n">
        <v>397.35</v>
      </c>
      <c r="C357" s="128" t="n">
        <v>-66.67</v>
      </c>
      <c r="D357" s="128" t="n">
        <v>-81.75</v>
      </c>
      <c r="E357" s="128" t="n">
        <v>38.9</v>
      </c>
      <c r="F357" s="128" t="n">
        <v>118.45</v>
      </c>
      <c r="G357" s="128" t="n">
        <v>193.67</v>
      </c>
      <c r="H357" s="128" t="n">
        <v>224.46</v>
      </c>
      <c r="I357" s="128" t="n">
        <v>248.37</v>
      </c>
      <c r="J357" s="128" t="n">
        <v>158.14</v>
      </c>
      <c r="K357" s="128" t="n">
        <v>376.78</v>
      </c>
      <c r="L357" s="129" t="n">
        <f aca="false">AVERAGE(C357:E357)</f>
        <v>-36.5066666666667</v>
      </c>
      <c r="M357" s="130" t="n">
        <f aca="false">AVERAGE(C357:J357)</f>
        <v>104.19625</v>
      </c>
      <c r="N357" s="130" t="n">
        <f aca="false">RANK(I357,I:I)</f>
        <v>9</v>
      </c>
      <c r="O357" s="127" t="n">
        <f aca="false">RANK(L357,L:L)</f>
        <v>186</v>
      </c>
      <c r="P357" s="128" t="s">
        <v>1202</v>
      </c>
      <c r="Q357" s="127" t="n">
        <f aca="false">RANK(M357,M:M)</f>
        <v>25</v>
      </c>
      <c r="R357" s="128" t="s">
        <v>1202</v>
      </c>
      <c r="S357" s="127"/>
      <c r="T357" s="127"/>
      <c r="U357" s="127"/>
      <c r="V357" s="127"/>
      <c r="W357" s="127"/>
      <c r="X357" s="127"/>
    </row>
    <row r="358" customFormat="false" ht="15.75" hidden="false" customHeight="true" outlineLevel="0" collapsed="false">
      <c r="A358" s="128" t="s">
        <v>161</v>
      </c>
      <c r="B358" s="128" t="n">
        <v>393.15</v>
      </c>
      <c r="C358" s="128" t="n">
        <v>-66.67</v>
      </c>
      <c r="D358" s="128" t="n">
        <v>-133.33</v>
      </c>
      <c r="E358" s="128" t="n">
        <v>11.24</v>
      </c>
      <c r="F358" s="128" t="n">
        <v>30.08</v>
      </c>
      <c r="G358" s="128" t="n">
        <v>77.61</v>
      </c>
      <c r="H358" s="128" t="n">
        <v>81.3</v>
      </c>
      <c r="I358" s="128" t="n">
        <v>11.55</v>
      </c>
      <c r="J358" s="128" t="n">
        <v>-30.62</v>
      </c>
      <c r="K358" s="128" t="n">
        <v>373.91</v>
      </c>
      <c r="L358" s="129" t="n">
        <f aca="false">AVERAGE(C358:E358)</f>
        <v>-62.92</v>
      </c>
      <c r="M358" s="130" t="n">
        <f aca="false">AVERAGE(C358:J358)</f>
        <v>-2.355</v>
      </c>
      <c r="N358" s="130" t="n">
        <f aca="false">RANK(I358,I:I)</f>
        <v>181</v>
      </c>
      <c r="O358" s="127" t="n">
        <f aca="false">RANK(L358,L:L)</f>
        <v>321</v>
      </c>
      <c r="P358" s="128" t="s">
        <v>190</v>
      </c>
      <c r="Q358" s="127" t="n">
        <f aca="false">RANK(M358,M:M)</f>
        <v>241</v>
      </c>
      <c r="R358" s="128" t="s">
        <v>190</v>
      </c>
      <c r="S358" s="127"/>
      <c r="T358" s="127"/>
      <c r="U358" s="127"/>
      <c r="V358" s="127"/>
      <c r="W358" s="127"/>
      <c r="X358" s="127"/>
    </row>
    <row r="359" customFormat="false" ht="15.75" hidden="false" customHeight="true" outlineLevel="0" collapsed="false">
      <c r="A359" s="128" t="s">
        <v>92</v>
      </c>
      <c r="B359" s="128" t="n">
        <v>387.6</v>
      </c>
      <c r="C359" s="128" t="n">
        <v>-66.67</v>
      </c>
      <c r="D359" s="128" t="n">
        <v>-41.09</v>
      </c>
      <c r="E359" s="128" t="n">
        <v>62.64</v>
      </c>
      <c r="F359" s="128" t="n">
        <v>106.3</v>
      </c>
      <c r="G359" s="128" t="n">
        <v>143.55</v>
      </c>
      <c r="H359" s="128" t="n">
        <v>79.1</v>
      </c>
      <c r="I359" s="128" t="n">
        <v>16.82</v>
      </c>
      <c r="J359" s="128" t="n">
        <v>-14.16</v>
      </c>
      <c r="K359" s="128" t="n">
        <v>367.06</v>
      </c>
      <c r="L359" s="129" t="n">
        <f aca="false">AVERAGE(C359:E359)</f>
        <v>-15.04</v>
      </c>
      <c r="M359" s="130" t="n">
        <f aca="false">AVERAGE(C359:J359)</f>
        <v>35.81125</v>
      </c>
      <c r="N359" s="130" t="n">
        <f aca="false">RANK(I359,I:I)</f>
        <v>175</v>
      </c>
      <c r="O359" s="127" t="n">
        <f aca="false">RANK(L359,L:L)</f>
        <v>121</v>
      </c>
      <c r="P359" s="128" t="s">
        <v>172</v>
      </c>
      <c r="Q359" s="127" t="n">
        <f aca="false">RANK(M359,M:M)</f>
        <v>125</v>
      </c>
      <c r="R359" s="128" t="s">
        <v>172</v>
      </c>
      <c r="S359" s="127"/>
      <c r="T359" s="127"/>
      <c r="U359" s="127"/>
      <c r="V359" s="127"/>
      <c r="W359" s="127"/>
      <c r="X359" s="127"/>
    </row>
    <row r="360" customFormat="false" ht="15.75" hidden="false" customHeight="true" outlineLevel="0" collapsed="false">
      <c r="A360" s="128" t="s">
        <v>490</v>
      </c>
      <c r="B360" s="128" t="n">
        <v>387</v>
      </c>
      <c r="C360" s="128" t="n">
        <v>-66.67</v>
      </c>
      <c r="D360" s="128" t="n">
        <v>-111.64</v>
      </c>
      <c r="E360" s="128" t="n">
        <v>-140.85</v>
      </c>
      <c r="F360" s="128" t="n">
        <v>-66.27</v>
      </c>
      <c r="G360" s="128" t="n">
        <v>-12.51</v>
      </c>
      <c r="H360" s="128" t="n">
        <v>-30.11</v>
      </c>
      <c r="I360" s="128" t="n">
        <v>-43.73</v>
      </c>
      <c r="J360" s="128" t="n">
        <v>-61.05</v>
      </c>
      <c r="K360" s="128" t="n">
        <v>436.38</v>
      </c>
      <c r="L360" s="129" t="n">
        <f aca="false">AVERAGE(C360:E360)</f>
        <v>-106.386666666667</v>
      </c>
      <c r="M360" s="130" t="n">
        <f aca="false">AVERAGE(C360:J360)</f>
        <v>-66.60375</v>
      </c>
      <c r="N360" s="130" t="n">
        <f aca="false">RANK(I360,I:I)</f>
        <v>299</v>
      </c>
      <c r="O360" s="127" t="n">
        <f aca="false">RANK(L360,L:L)</f>
        <v>483</v>
      </c>
      <c r="P360" s="128" t="s">
        <v>92</v>
      </c>
      <c r="Q360" s="127" t="n">
        <f aca="false">RANK(M360,M:M)</f>
        <v>448</v>
      </c>
      <c r="R360" s="128" t="s">
        <v>92</v>
      </c>
      <c r="S360" s="127"/>
      <c r="T360" s="127"/>
      <c r="U360" s="127"/>
      <c r="V360" s="127"/>
      <c r="W360" s="127"/>
      <c r="X360" s="127"/>
    </row>
    <row r="361" customFormat="false" ht="15.75" hidden="false" customHeight="true" outlineLevel="0" collapsed="false">
      <c r="A361" s="128" t="s">
        <v>168</v>
      </c>
      <c r="B361" s="128" t="n">
        <v>386.05</v>
      </c>
      <c r="C361" s="128" t="n">
        <v>-66.67</v>
      </c>
      <c r="D361" s="128" t="n">
        <v>-22.96</v>
      </c>
      <c r="E361" s="128" t="n">
        <v>68.3</v>
      </c>
      <c r="F361" s="128" t="n">
        <v>19.86</v>
      </c>
      <c r="G361" s="128" t="n">
        <v>-59.1</v>
      </c>
      <c r="H361" s="128" t="n">
        <v>-83.98</v>
      </c>
      <c r="I361" s="128" t="n">
        <v>-105.97</v>
      </c>
      <c r="J361" s="128" t="n">
        <v>-127.72</v>
      </c>
      <c r="K361" s="128" t="n">
        <v>364.57</v>
      </c>
      <c r="L361" s="129" t="n">
        <f aca="false">AVERAGE(C361:E361)</f>
        <v>-7.11</v>
      </c>
      <c r="M361" s="130" t="n">
        <f aca="false">AVERAGE(C361:J361)</f>
        <v>-47.28</v>
      </c>
      <c r="N361" s="130" t="n">
        <f aca="false">RANK(I361,I:I)</f>
        <v>468</v>
      </c>
      <c r="O361" s="127" t="n">
        <f aca="false">RANK(L361,L:L)</f>
        <v>100</v>
      </c>
      <c r="P361" s="128" t="s">
        <v>98</v>
      </c>
      <c r="Q361" s="127" t="n">
        <f aca="false">RANK(M361,M:M)</f>
        <v>405</v>
      </c>
      <c r="R361" s="128" t="s">
        <v>98</v>
      </c>
      <c r="S361" s="127"/>
      <c r="T361" s="127"/>
      <c r="U361" s="127"/>
      <c r="V361" s="127"/>
      <c r="W361" s="127"/>
      <c r="X361" s="127"/>
    </row>
    <row r="362" customFormat="false" ht="15.75" hidden="false" customHeight="true" outlineLevel="0" collapsed="false">
      <c r="A362" s="128" t="s">
        <v>386</v>
      </c>
      <c r="B362" s="128" t="n">
        <v>383.8</v>
      </c>
      <c r="C362" s="128" t="n">
        <v>-66.67</v>
      </c>
      <c r="D362" s="128" t="n">
        <v>-64.96</v>
      </c>
      <c r="E362" s="128" t="n">
        <v>42.67</v>
      </c>
      <c r="F362" s="128" t="n">
        <v>92.88</v>
      </c>
      <c r="G362" s="128" t="n">
        <v>90.33</v>
      </c>
      <c r="H362" s="128" t="n">
        <v>17.12</v>
      </c>
      <c r="I362" s="128" t="n">
        <v>17.64</v>
      </c>
      <c r="J362" s="128" t="n">
        <v>11.5</v>
      </c>
      <c r="K362" s="128" t="n">
        <v>356.71</v>
      </c>
      <c r="L362" s="129" t="n">
        <f aca="false">AVERAGE(C362:E362)</f>
        <v>-29.6533333333333</v>
      </c>
      <c r="M362" s="130" t="n">
        <f aca="false">AVERAGE(C362:J362)</f>
        <v>17.56375</v>
      </c>
      <c r="N362" s="130" t="n">
        <f aca="false">RANK(I362,I:I)</f>
        <v>173</v>
      </c>
      <c r="O362" s="127" t="n">
        <f aca="false">RANK(L362,L:L)</f>
        <v>158</v>
      </c>
      <c r="P362" s="128" t="s">
        <v>193</v>
      </c>
      <c r="Q362" s="127" t="n">
        <f aca="false">RANK(M362,M:M)</f>
        <v>177</v>
      </c>
      <c r="R362" s="128" t="s">
        <v>193</v>
      </c>
      <c r="S362" s="127"/>
      <c r="T362" s="127"/>
      <c r="U362" s="127"/>
      <c r="V362" s="127"/>
      <c r="W362" s="127"/>
      <c r="X362" s="127"/>
    </row>
    <row r="363" customFormat="false" ht="15.75" hidden="false" customHeight="true" outlineLevel="0" collapsed="false">
      <c r="A363" s="128" t="s">
        <v>193</v>
      </c>
      <c r="B363" s="128" t="n">
        <v>380.7</v>
      </c>
      <c r="C363" s="128" t="n">
        <v>-66.67</v>
      </c>
      <c r="D363" s="128" t="n">
        <v>-126.62</v>
      </c>
      <c r="E363" s="128" t="n">
        <v>-37.09</v>
      </c>
      <c r="F363" s="128" t="n">
        <v>84.24</v>
      </c>
      <c r="G363" s="128" t="n">
        <v>125.8</v>
      </c>
      <c r="H363" s="128" t="n">
        <v>59.3</v>
      </c>
      <c r="I363" s="128" t="n">
        <v>48.49</v>
      </c>
      <c r="J363" s="128" t="n">
        <v>23.23</v>
      </c>
      <c r="K363" s="128" t="n">
        <v>363.3</v>
      </c>
      <c r="L363" s="129" t="n">
        <f aca="false">AVERAGE(C363:E363)</f>
        <v>-76.7933333333333</v>
      </c>
      <c r="M363" s="130" t="n">
        <f aca="false">AVERAGE(C363:J363)</f>
        <v>13.835</v>
      </c>
      <c r="N363" s="130" t="n">
        <f aca="false">RANK(I363,I:I)</f>
        <v>124</v>
      </c>
      <c r="O363" s="127" t="n">
        <f aca="false">RANK(L363,L:L)</f>
        <v>426</v>
      </c>
      <c r="P363" s="128" t="s">
        <v>475</v>
      </c>
      <c r="Q363" s="127" t="n">
        <f aca="false">RANK(M363,M:M)</f>
        <v>188</v>
      </c>
      <c r="R363" s="128" t="s">
        <v>475</v>
      </c>
      <c r="S363" s="127"/>
      <c r="T363" s="127"/>
      <c r="U363" s="127"/>
      <c r="V363" s="127"/>
      <c r="W363" s="127"/>
      <c r="X363" s="127"/>
    </row>
    <row r="364" customFormat="false" ht="15.75" hidden="false" customHeight="true" outlineLevel="0" collapsed="false">
      <c r="A364" s="128" t="s">
        <v>245</v>
      </c>
      <c r="B364" s="128" t="n">
        <v>380.4</v>
      </c>
      <c r="C364" s="128" t="n">
        <v>-66.67</v>
      </c>
      <c r="D364" s="128" t="n">
        <v>-133.33</v>
      </c>
      <c r="E364" s="128" t="n">
        <v>4.15</v>
      </c>
      <c r="F364" s="128" t="n">
        <v>93.61</v>
      </c>
      <c r="G364" s="128" t="n">
        <v>137.77</v>
      </c>
      <c r="H364" s="128" t="n">
        <v>185.1</v>
      </c>
      <c r="I364" s="128" t="n">
        <v>129.76</v>
      </c>
      <c r="J364" s="128" t="n">
        <v>92.98</v>
      </c>
      <c r="K364" s="128" t="n">
        <v>371.19</v>
      </c>
      <c r="L364" s="129" t="n">
        <f aca="false">AVERAGE(C364:E364)</f>
        <v>-65.2833333333334</v>
      </c>
      <c r="M364" s="130" t="n">
        <f aca="false">AVERAGE(C364:J364)</f>
        <v>55.42125</v>
      </c>
      <c r="N364" s="130" t="n">
        <f aca="false">RANK(I364,I:I)</f>
        <v>57</v>
      </c>
      <c r="O364" s="127" t="n">
        <f aca="false">RANK(L364,L:L)</f>
        <v>357</v>
      </c>
      <c r="P364" s="128" t="s">
        <v>386</v>
      </c>
      <c r="Q364" s="127" t="n">
        <f aca="false">RANK(M364,M:M)</f>
        <v>81</v>
      </c>
      <c r="R364" s="128" t="s">
        <v>386</v>
      </c>
      <c r="S364" s="127"/>
      <c r="T364" s="127"/>
      <c r="U364" s="127"/>
      <c r="V364" s="127"/>
      <c r="W364" s="127"/>
      <c r="X364" s="127"/>
    </row>
    <row r="365" customFormat="false" ht="15.75" hidden="false" customHeight="true" outlineLevel="0" collapsed="false">
      <c r="A365" s="128" t="s">
        <v>457</v>
      </c>
      <c r="B365" s="128" t="n">
        <v>376.7</v>
      </c>
      <c r="C365" s="128" t="n">
        <v>-66.67</v>
      </c>
      <c r="D365" s="128" t="n">
        <v>-127.27</v>
      </c>
      <c r="E365" s="128" t="n">
        <v>-9.99</v>
      </c>
      <c r="F365" s="128" t="n">
        <v>96.6</v>
      </c>
      <c r="G365" s="128" t="n">
        <v>57.82</v>
      </c>
      <c r="H365" s="128" t="n">
        <v>25.06</v>
      </c>
      <c r="I365" s="128" t="n">
        <v>-17.7</v>
      </c>
      <c r="J365" s="128" t="n">
        <v>-43.61</v>
      </c>
      <c r="K365" s="128" t="n">
        <v>355.71</v>
      </c>
      <c r="L365" s="129" t="n">
        <f aca="false">AVERAGE(C365:E365)</f>
        <v>-67.9766666666667</v>
      </c>
      <c r="M365" s="130" t="n">
        <f aca="false">AVERAGE(C365:J365)</f>
        <v>-10.72</v>
      </c>
      <c r="N365" s="130" t="n">
        <f aca="false">RANK(I365,I:I)</f>
        <v>233</v>
      </c>
      <c r="O365" s="127" t="n">
        <f aca="false">RANK(L365,L:L)</f>
        <v>378</v>
      </c>
      <c r="P365" s="128" t="s">
        <v>320</v>
      </c>
      <c r="Q365" s="127" t="n">
        <f aca="false">RANK(M365,M:M)</f>
        <v>268</v>
      </c>
      <c r="R365" s="128" t="s">
        <v>320</v>
      </c>
      <c r="S365" s="127"/>
      <c r="T365" s="127"/>
      <c r="U365" s="127"/>
      <c r="V365" s="127"/>
      <c r="W365" s="127"/>
      <c r="X365" s="127"/>
    </row>
    <row r="366" customFormat="false" ht="15.75" hidden="false" customHeight="true" outlineLevel="0" collapsed="false">
      <c r="A366" s="128" t="s">
        <v>454</v>
      </c>
      <c r="B366" s="128" t="n">
        <v>375.6</v>
      </c>
      <c r="C366" s="128" t="n">
        <v>-66.67</v>
      </c>
      <c r="D366" s="128" t="n">
        <v>-124.15</v>
      </c>
      <c r="E366" s="128" t="n">
        <v>-55.77</v>
      </c>
      <c r="F366" s="128" t="n">
        <v>49.31</v>
      </c>
      <c r="G366" s="128" t="n">
        <v>64.23</v>
      </c>
      <c r="H366" s="128" t="n">
        <v>-19.37</v>
      </c>
      <c r="I366" s="128" t="n">
        <v>-38.39</v>
      </c>
      <c r="J366" s="128" t="n">
        <v>-54.74</v>
      </c>
      <c r="K366" s="128" t="n">
        <v>347.77</v>
      </c>
      <c r="L366" s="129" t="n">
        <f aca="false">AVERAGE(C366:E366)</f>
        <v>-82.1966666666667</v>
      </c>
      <c r="M366" s="130" t="n">
        <f aca="false">AVERAGE(C366:J366)</f>
        <v>-30.69375</v>
      </c>
      <c r="N366" s="130" t="n">
        <f aca="false">RANK(I366,I:I)</f>
        <v>280</v>
      </c>
      <c r="O366" s="127" t="n">
        <f aca="false">RANK(L366,L:L)</f>
        <v>444</v>
      </c>
      <c r="P366" s="128" t="s">
        <v>74</v>
      </c>
      <c r="Q366" s="127" t="n">
        <f aca="false">RANK(M366,M:M)</f>
        <v>349</v>
      </c>
      <c r="R366" s="128" t="s">
        <v>74</v>
      </c>
      <c r="S366" s="127"/>
      <c r="T366" s="127"/>
      <c r="U366" s="127"/>
      <c r="V366" s="127"/>
      <c r="W366" s="127"/>
      <c r="X366" s="127"/>
    </row>
    <row r="367" customFormat="false" ht="15.75" hidden="false" customHeight="true" outlineLevel="0" collapsed="false">
      <c r="A367" s="128" t="s">
        <v>320</v>
      </c>
      <c r="B367" s="128" t="n">
        <v>371.55</v>
      </c>
      <c r="C367" s="128" t="n">
        <v>-66.67</v>
      </c>
      <c r="D367" s="128" t="n">
        <v>-123.63</v>
      </c>
      <c r="E367" s="128" t="n">
        <v>-41.55</v>
      </c>
      <c r="F367" s="128" t="n">
        <v>-2.11</v>
      </c>
      <c r="G367" s="128" t="n">
        <v>-24.35</v>
      </c>
      <c r="H367" s="128" t="n">
        <v>-59.77</v>
      </c>
      <c r="I367" s="128" t="n">
        <v>-67.13</v>
      </c>
      <c r="J367" s="128" t="n">
        <v>-57.65</v>
      </c>
      <c r="K367" s="128" t="n">
        <v>404.63</v>
      </c>
      <c r="L367" s="129" t="n">
        <f aca="false">AVERAGE(C367:E367)</f>
        <v>-77.2833333333334</v>
      </c>
      <c r="M367" s="130" t="n">
        <f aca="false">AVERAGE(C367:J367)</f>
        <v>-55.3575</v>
      </c>
      <c r="N367" s="130" t="n">
        <f aca="false">RANK(I367,I:I)</f>
        <v>384</v>
      </c>
      <c r="O367" s="127" t="n">
        <f aca="false">RANK(L367,L:L)</f>
        <v>428</v>
      </c>
      <c r="P367" s="128" t="s">
        <v>538</v>
      </c>
      <c r="Q367" s="127" t="n">
        <f aca="false">RANK(M367,M:M)</f>
        <v>421</v>
      </c>
      <c r="R367" s="128" t="s">
        <v>538</v>
      </c>
      <c r="S367" s="127"/>
      <c r="T367" s="127"/>
      <c r="U367" s="127"/>
      <c r="V367" s="127"/>
      <c r="W367" s="127"/>
      <c r="X367" s="127"/>
    </row>
    <row r="368" customFormat="false" ht="15.75" hidden="false" customHeight="true" outlineLevel="0" collapsed="false">
      <c r="A368" s="128" t="s">
        <v>98</v>
      </c>
      <c r="B368" s="128" t="n">
        <v>370.5</v>
      </c>
      <c r="C368" s="128" t="n">
        <v>-66.67</v>
      </c>
      <c r="D368" s="128" t="n">
        <v>-133.33</v>
      </c>
      <c r="E368" s="128" t="n">
        <v>-31.33</v>
      </c>
      <c r="F368" s="128" t="n">
        <v>69.58</v>
      </c>
      <c r="G368" s="128" t="n">
        <v>73.7</v>
      </c>
      <c r="H368" s="128" t="n">
        <v>-13.67</v>
      </c>
      <c r="I368" s="128" t="n">
        <v>-40.6</v>
      </c>
      <c r="J368" s="128" t="n">
        <v>-57.95</v>
      </c>
      <c r="K368" s="128" t="n">
        <v>356.52</v>
      </c>
      <c r="L368" s="129" t="n">
        <f aca="false">AVERAGE(C368:E368)</f>
        <v>-77.11</v>
      </c>
      <c r="M368" s="130" t="n">
        <f aca="false">AVERAGE(C368:J368)</f>
        <v>-25.03375</v>
      </c>
      <c r="N368" s="130" t="n">
        <f aca="false">RANK(I368,I:I)</f>
        <v>289</v>
      </c>
      <c r="O368" s="127" t="n">
        <f aca="false">RANK(L368,L:L)</f>
        <v>427</v>
      </c>
      <c r="P368" s="128" t="s">
        <v>168</v>
      </c>
      <c r="Q368" s="127" t="n">
        <f aca="false">RANK(M368,M:M)</f>
        <v>326</v>
      </c>
      <c r="R368" s="128" t="s">
        <v>168</v>
      </c>
      <c r="S368" s="127"/>
      <c r="T368" s="127"/>
      <c r="U368" s="127"/>
      <c r="V368" s="127"/>
      <c r="W368" s="127"/>
      <c r="X368" s="127"/>
    </row>
    <row r="369" customFormat="false" ht="15.75" hidden="false" customHeight="true" outlineLevel="0" collapsed="false">
      <c r="A369" s="128" t="s">
        <v>309</v>
      </c>
      <c r="B369" s="128" t="n">
        <v>366.2</v>
      </c>
      <c r="C369" s="128" t="n">
        <v>-66.67</v>
      </c>
      <c r="D369" s="128" t="n">
        <v>-40.87</v>
      </c>
      <c r="E369" s="128" t="n">
        <v>72.1</v>
      </c>
      <c r="F369" s="128" t="n">
        <v>179.31</v>
      </c>
      <c r="G369" s="128" t="n">
        <v>135.93</v>
      </c>
      <c r="H369" s="128" t="n">
        <v>12.82</v>
      </c>
      <c r="I369" s="128" t="n">
        <v>-17.06</v>
      </c>
      <c r="J369" s="128" t="n">
        <v>-38.63</v>
      </c>
      <c r="K369" s="128" t="n">
        <v>329.98</v>
      </c>
      <c r="L369" s="129" t="n">
        <f aca="false">AVERAGE(C369:E369)</f>
        <v>-11.8133333333333</v>
      </c>
      <c r="M369" s="130" t="n">
        <f aca="false">AVERAGE(C369:J369)</f>
        <v>29.61625</v>
      </c>
      <c r="N369" s="130" t="n">
        <f aca="false">RANK(I369,I:I)</f>
        <v>229</v>
      </c>
      <c r="O369" s="127" t="n">
        <f aca="false">RANK(L369,L:L)</f>
        <v>114</v>
      </c>
      <c r="P369" s="128" t="s">
        <v>443</v>
      </c>
      <c r="Q369" s="127" t="n">
        <f aca="false">RANK(M369,M:M)</f>
        <v>142</v>
      </c>
      <c r="R369" s="128" t="s">
        <v>443</v>
      </c>
      <c r="S369" s="127"/>
      <c r="T369" s="127"/>
      <c r="U369" s="127"/>
      <c r="V369" s="127"/>
      <c r="W369" s="127"/>
      <c r="X369" s="127"/>
    </row>
    <row r="370" customFormat="false" ht="15.75" hidden="false" customHeight="true" outlineLevel="0" collapsed="false">
      <c r="A370" s="128" t="s">
        <v>433</v>
      </c>
      <c r="B370" s="128" t="n">
        <v>361.2</v>
      </c>
      <c r="C370" s="128" t="n">
        <v>-66.67</v>
      </c>
      <c r="D370" s="128" t="n">
        <v>-133.33</v>
      </c>
      <c r="E370" s="128" t="n">
        <v>-4.72</v>
      </c>
      <c r="F370" s="128" t="n">
        <v>47.48</v>
      </c>
      <c r="G370" s="128" t="n">
        <v>-9.37</v>
      </c>
      <c r="H370" s="128" t="n">
        <v>-42.97</v>
      </c>
      <c r="I370" s="128" t="n">
        <v>-63.82</v>
      </c>
      <c r="J370" s="128" t="n">
        <v>-80.46</v>
      </c>
      <c r="K370" s="128" t="n">
        <v>341.3</v>
      </c>
      <c r="L370" s="129" t="n">
        <f aca="false">AVERAGE(C370:E370)</f>
        <v>-68.24</v>
      </c>
      <c r="M370" s="130" t="n">
        <f aca="false">AVERAGE(C370:J370)</f>
        <v>-44.2325</v>
      </c>
      <c r="N370" s="130" t="n">
        <f aca="false">RANK(I370,I:I)</f>
        <v>370</v>
      </c>
      <c r="O370" s="127" t="n">
        <f aca="false">RANK(L370,L:L)</f>
        <v>380</v>
      </c>
      <c r="P370" s="128" t="s">
        <v>245</v>
      </c>
      <c r="Q370" s="127" t="n">
        <f aca="false">RANK(M370,M:M)</f>
        <v>390</v>
      </c>
      <c r="R370" s="128" t="s">
        <v>245</v>
      </c>
      <c r="S370" s="127"/>
      <c r="T370" s="127"/>
      <c r="U370" s="127"/>
      <c r="V370" s="127"/>
      <c r="W370" s="127"/>
      <c r="X370" s="127"/>
    </row>
    <row r="371" customFormat="false" ht="15.75" hidden="false" customHeight="true" outlineLevel="0" collapsed="false">
      <c r="A371" s="128" t="s">
        <v>74</v>
      </c>
      <c r="B371" s="128" t="n">
        <v>356.45</v>
      </c>
      <c r="C371" s="128" t="n">
        <v>-66.67</v>
      </c>
      <c r="D371" s="128" t="n">
        <v>-133.33</v>
      </c>
      <c r="E371" s="128" t="n">
        <v>-57.51</v>
      </c>
      <c r="F371" s="128" t="n">
        <v>40.73</v>
      </c>
      <c r="G371" s="128" t="n">
        <v>87.75</v>
      </c>
      <c r="H371" s="128" t="n">
        <v>111.56</v>
      </c>
      <c r="I371" s="128" t="n">
        <v>39.09</v>
      </c>
      <c r="J371" s="128" t="n">
        <v>-4.68</v>
      </c>
      <c r="K371" s="128" t="n">
        <v>345.21</v>
      </c>
      <c r="L371" s="129" t="n">
        <f aca="false">AVERAGE(C371:E371)</f>
        <v>-85.8366666666667</v>
      </c>
      <c r="M371" s="130" t="n">
        <f aca="false">AVERAGE(C371:J371)</f>
        <v>2.1175</v>
      </c>
      <c r="N371" s="130" t="n">
        <f aca="false">RANK(I371,I:I)</f>
        <v>141</v>
      </c>
      <c r="O371" s="127" t="n">
        <f aca="false">RANK(L371,L:L)</f>
        <v>454</v>
      </c>
      <c r="P371" s="128" t="s">
        <v>236</v>
      </c>
      <c r="Q371" s="127" t="n">
        <f aca="false">RANK(M371,M:M)</f>
        <v>223</v>
      </c>
      <c r="R371" s="128" t="s">
        <v>236</v>
      </c>
      <c r="S371" s="127"/>
      <c r="T371" s="127"/>
      <c r="U371" s="127"/>
      <c r="V371" s="127"/>
      <c r="W371" s="127"/>
      <c r="X371" s="127"/>
    </row>
    <row r="372" customFormat="false" ht="15.75" hidden="false" customHeight="true" outlineLevel="0" collapsed="false">
      <c r="A372" s="128" t="s">
        <v>538</v>
      </c>
      <c r="B372" s="128" t="n">
        <v>356.4</v>
      </c>
      <c r="C372" s="128" t="n">
        <v>-66.67</v>
      </c>
      <c r="D372" s="128" t="n">
        <v>-83</v>
      </c>
      <c r="E372" s="128" t="n">
        <v>-43.67</v>
      </c>
      <c r="F372" s="128" t="n">
        <v>53.36</v>
      </c>
      <c r="G372" s="128" t="n">
        <v>24.71</v>
      </c>
      <c r="H372" s="128" t="n">
        <v>-32.43</v>
      </c>
      <c r="I372" s="128" t="n">
        <v>-53.59</v>
      </c>
      <c r="J372" s="128" t="n">
        <v>-69.99</v>
      </c>
      <c r="K372" s="128" t="n">
        <v>335.37</v>
      </c>
      <c r="L372" s="129" t="n">
        <f aca="false">AVERAGE(C372:E372)</f>
        <v>-64.4466666666667</v>
      </c>
      <c r="M372" s="130" t="n">
        <f aca="false">AVERAGE(C372:J372)</f>
        <v>-33.91</v>
      </c>
      <c r="N372" s="130" t="n">
        <f aca="false">RANK(I372,I:I)</f>
        <v>338</v>
      </c>
      <c r="O372" s="127" t="n">
        <f aca="false">RANK(L372,L:L)</f>
        <v>345</v>
      </c>
      <c r="P372" s="128" t="s">
        <v>1128</v>
      </c>
      <c r="Q372" s="127" t="n">
        <f aca="false">RANK(M372,M:M)</f>
        <v>358</v>
      </c>
      <c r="R372" s="128" t="s">
        <v>1128</v>
      </c>
      <c r="S372" s="127"/>
      <c r="T372" s="127"/>
      <c r="U372" s="127"/>
      <c r="V372" s="127"/>
      <c r="W372" s="127"/>
      <c r="X372" s="127"/>
    </row>
    <row r="373" customFormat="false" ht="15.75" hidden="false" customHeight="true" outlineLevel="0" collapsed="false">
      <c r="A373" s="128" t="s">
        <v>1128</v>
      </c>
      <c r="B373" s="128" t="n">
        <v>355.25</v>
      </c>
      <c r="C373" s="128" t="n">
        <v>-66.67</v>
      </c>
      <c r="D373" s="128" t="n">
        <v>-104.68</v>
      </c>
      <c r="E373" s="128" t="n">
        <v>21.25</v>
      </c>
      <c r="F373" s="128" t="n">
        <v>-5.74</v>
      </c>
      <c r="G373" s="128" t="n">
        <v>-29.66</v>
      </c>
      <c r="H373" s="128" t="n">
        <v>-64.52</v>
      </c>
      <c r="I373" s="128" t="n">
        <v>-69.78</v>
      </c>
      <c r="J373" s="128" t="n">
        <v>-81.94</v>
      </c>
      <c r="K373" s="128" t="n">
        <v>372.69</v>
      </c>
      <c r="L373" s="129" t="n">
        <f aca="false">AVERAGE(C373:E373)</f>
        <v>-50.0333333333333</v>
      </c>
      <c r="M373" s="130" t="n">
        <f aca="false">AVERAGE(C373:J373)</f>
        <v>-50.2175</v>
      </c>
      <c r="N373" s="130" t="n">
        <f aca="false">RANK(I373,I:I)</f>
        <v>390</v>
      </c>
      <c r="O373" s="127" t="n">
        <f aca="false">RANK(L373,L:L)</f>
        <v>235</v>
      </c>
      <c r="P373" s="128" t="s">
        <v>433</v>
      </c>
      <c r="Q373" s="127" t="n">
        <f aca="false">RANK(M373,M:M)</f>
        <v>412</v>
      </c>
      <c r="R373" s="128" t="s">
        <v>433</v>
      </c>
      <c r="S373" s="127"/>
      <c r="T373" s="127"/>
      <c r="U373" s="127"/>
      <c r="V373" s="127"/>
      <c r="W373" s="127"/>
      <c r="X373" s="127"/>
    </row>
    <row r="374" customFormat="false" ht="15.75" hidden="false" customHeight="true" outlineLevel="0" collapsed="false">
      <c r="A374" s="128" t="s">
        <v>496</v>
      </c>
      <c r="B374" s="128" t="n">
        <v>350.15</v>
      </c>
      <c r="C374" s="128" t="n">
        <v>-66.67</v>
      </c>
      <c r="D374" s="128" t="n">
        <v>-132.28</v>
      </c>
      <c r="E374" s="128" t="n">
        <v>-33.59</v>
      </c>
      <c r="F374" s="128" t="n">
        <v>-119.3</v>
      </c>
      <c r="G374" s="128" t="n">
        <v>-238.47</v>
      </c>
      <c r="H374" s="128" t="n">
        <v>-325.29</v>
      </c>
      <c r="I374" s="128" t="n">
        <v>-353.56</v>
      </c>
      <c r="J374" s="128" t="n">
        <v>-328.19</v>
      </c>
      <c r="K374" s="128" t="n">
        <v>445.25</v>
      </c>
      <c r="L374" s="129" t="n">
        <f aca="false">AVERAGE(C374:E374)</f>
        <v>-77.5133333333333</v>
      </c>
      <c r="M374" s="130" t="n">
        <f aca="false">AVERAGE(C374:J374)</f>
        <v>-199.66875</v>
      </c>
      <c r="N374" s="130" t="n">
        <f aca="false">RANK(I374,I:I)</f>
        <v>490</v>
      </c>
      <c r="O374" s="127" t="n">
        <f aca="false">RANK(L374,L:L)</f>
        <v>429</v>
      </c>
      <c r="P374" s="128" t="s">
        <v>457</v>
      </c>
      <c r="Q374" s="127" t="n">
        <f aca="false">RANK(M374,M:M)</f>
        <v>500</v>
      </c>
      <c r="R374" s="128" t="s">
        <v>457</v>
      </c>
      <c r="S374" s="127"/>
      <c r="T374" s="127"/>
      <c r="U374" s="127"/>
      <c r="V374" s="127"/>
      <c r="W374" s="127"/>
      <c r="X374" s="127"/>
    </row>
    <row r="375" customFormat="false" ht="15.75" hidden="false" customHeight="true" outlineLevel="0" collapsed="false">
      <c r="A375" s="128" t="s">
        <v>1202</v>
      </c>
      <c r="B375" s="128" t="n">
        <v>350.05</v>
      </c>
      <c r="C375" s="128" t="n">
        <v>-66.67</v>
      </c>
      <c r="D375" s="128" t="n">
        <v>-133.33</v>
      </c>
      <c r="E375" s="128" t="n">
        <v>8.35</v>
      </c>
      <c r="F375" s="128" t="n">
        <v>7.63</v>
      </c>
      <c r="G375" s="128" t="n">
        <v>-52.09</v>
      </c>
      <c r="H375" s="128"/>
      <c r="I375" s="128"/>
      <c r="J375" s="128"/>
      <c r="K375" s="128" t="n">
        <v>388.93</v>
      </c>
      <c r="L375" s="129" t="n">
        <f aca="false">AVERAGE(C375:E375)</f>
        <v>-63.8833333333334</v>
      </c>
      <c r="M375" s="130" t="n">
        <f aca="false">AVERAGE(C375:J375)</f>
        <v>-47.222</v>
      </c>
      <c r="N375" s="130" t="e">
        <f aca="false">RANK(I375,I:I)</f>
        <v>#N/A</v>
      </c>
      <c r="O375" s="127" t="n">
        <f aca="false">RANK(L375,L:L)</f>
        <v>334</v>
      </c>
      <c r="P375" s="128" t="s">
        <v>205</v>
      </c>
      <c r="Q375" s="127" t="n">
        <f aca="false">RANK(M375,M:M)</f>
        <v>404</v>
      </c>
      <c r="R375" s="128" t="s">
        <v>205</v>
      </c>
      <c r="S375" s="127"/>
      <c r="T375" s="127"/>
      <c r="U375" s="127"/>
      <c r="V375" s="127"/>
      <c r="W375" s="127"/>
      <c r="X375" s="127"/>
    </row>
    <row r="376" customFormat="false" ht="15.75" hidden="false" customHeight="true" outlineLevel="0" collapsed="false">
      <c r="A376" s="128" t="s">
        <v>399</v>
      </c>
      <c r="B376" s="128" t="n">
        <v>349.25</v>
      </c>
      <c r="C376" s="128" t="n">
        <v>-66.67</v>
      </c>
      <c r="D376" s="128" t="n">
        <v>-38.32</v>
      </c>
      <c r="E376" s="128" t="n">
        <v>65</v>
      </c>
      <c r="F376" s="128" t="n">
        <v>91.79</v>
      </c>
      <c r="G376" s="128" t="n">
        <v>44.44</v>
      </c>
      <c r="H376" s="128" t="n">
        <v>-7.87</v>
      </c>
      <c r="I376" s="128" t="n">
        <v>-18.64</v>
      </c>
      <c r="J376" s="128" t="n">
        <v>3.16</v>
      </c>
      <c r="K376" s="128" t="n">
        <v>319.65</v>
      </c>
      <c r="L376" s="129" t="n">
        <f aca="false">AVERAGE(C376:E376)</f>
        <v>-13.33</v>
      </c>
      <c r="M376" s="130" t="n">
        <f aca="false">AVERAGE(C376:J376)</f>
        <v>9.11125</v>
      </c>
      <c r="N376" s="130" t="n">
        <f aca="false">RANK(I376,I:I)</f>
        <v>236</v>
      </c>
      <c r="O376" s="127" t="n">
        <f aca="false">RANK(L376,L:L)</f>
        <v>117</v>
      </c>
      <c r="P376" s="128" t="s">
        <v>309</v>
      </c>
      <c r="Q376" s="127" t="n">
        <f aca="false">RANK(M376,M:M)</f>
        <v>204</v>
      </c>
      <c r="R376" s="128" t="s">
        <v>309</v>
      </c>
      <c r="S376" s="127"/>
      <c r="T376" s="127"/>
      <c r="U376" s="127"/>
      <c r="V376" s="127"/>
      <c r="W376" s="127"/>
      <c r="X376" s="127"/>
    </row>
    <row r="377" customFormat="false" ht="15.75" hidden="false" customHeight="true" outlineLevel="0" collapsed="false">
      <c r="A377" s="128" t="s">
        <v>1170</v>
      </c>
      <c r="B377" s="128" t="n">
        <v>339.05</v>
      </c>
      <c r="C377" s="128" t="n">
        <v>-66.67</v>
      </c>
      <c r="D377" s="128" t="n">
        <v>-130.34</v>
      </c>
      <c r="E377" s="128" t="n">
        <v>-9.88</v>
      </c>
      <c r="F377" s="128" t="n">
        <v>-70.5</v>
      </c>
      <c r="G377" s="128" t="n">
        <v>-91.79</v>
      </c>
      <c r="H377" s="128" t="n">
        <v>-84.51</v>
      </c>
      <c r="I377" s="128" t="n">
        <v>-98.82</v>
      </c>
      <c r="J377" s="128" t="n">
        <v>-109.13</v>
      </c>
      <c r="K377" s="128" t="n">
        <v>375.46</v>
      </c>
      <c r="L377" s="129" t="n">
        <f aca="false">AVERAGE(C377:E377)</f>
        <v>-68.9633333333333</v>
      </c>
      <c r="M377" s="130" t="n">
        <f aca="false">AVERAGE(C377:J377)</f>
        <v>-82.705</v>
      </c>
      <c r="N377" s="130" t="n">
        <f aca="false">RANK(I377,I:I)</f>
        <v>453</v>
      </c>
      <c r="O377" s="127" t="n">
        <f aca="false">RANK(L377,L:L)</f>
        <v>384</v>
      </c>
      <c r="P377" s="128" t="s">
        <v>1135</v>
      </c>
      <c r="Q377" s="127" t="n">
        <f aca="false">RANK(M377,M:M)</f>
        <v>473</v>
      </c>
      <c r="R377" s="128" t="s">
        <v>1135</v>
      </c>
      <c r="S377" s="127"/>
      <c r="T377" s="127"/>
      <c r="U377" s="127"/>
      <c r="V377" s="127"/>
      <c r="W377" s="127"/>
      <c r="X377" s="127"/>
    </row>
    <row r="378" customFormat="false" ht="15.75" hidden="false" customHeight="true" outlineLevel="0" collapsed="false">
      <c r="A378" s="128" t="s">
        <v>348</v>
      </c>
      <c r="B378" s="128" t="n">
        <v>337.9</v>
      </c>
      <c r="C378" s="128" t="n">
        <v>-66.67</v>
      </c>
      <c r="D378" s="128" t="n">
        <v>44.14</v>
      </c>
      <c r="E378" s="128" t="n">
        <v>106.7</v>
      </c>
      <c r="F378" s="128" t="n">
        <v>0.863</v>
      </c>
      <c r="G378" s="128" t="n">
        <v>-61.4</v>
      </c>
      <c r="H378" s="128" t="n">
        <v>-76.42</v>
      </c>
      <c r="I378" s="128" t="n">
        <v>-96.21</v>
      </c>
      <c r="J378" s="128" t="n">
        <v>-117.19</v>
      </c>
      <c r="K378" s="128" t="n">
        <v>300.71</v>
      </c>
      <c r="L378" s="129" t="n">
        <f aca="false">AVERAGE(C378:E378)</f>
        <v>28.0566666666667</v>
      </c>
      <c r="M378" s="130" t="n">
        <f aca="false">AVERAGE(C378:J378)</f>
        <v>-33.273375</v>
      </c>
      <c r="N378" s="130" t="n">
        <f aca="false">RANK(I378,I:I)</f>
        <v>451</v>
      </c>
      <c r="O378" s="127" t="n">
        <f aca="false">RANK(L378,L:L)</f>
        <v>47</v>
      </c>
      <c r="P378" s="128" t="s">
        <v>1170</v>
      </c>
      <c r="Q378" s="127" t="n">
        <f aca="false">RANK(M378,M:M)</f>
        <v>355</v>
      </c>
      <c r="R378" s="128" t="s">
        <v>1170</v>
      </c>
      <c r="S378" s="127"/>
      <c r="T378" s="127"/>
      <c r="U378" s="127"/>
      <c r="V378" s="127"/>
      <c r="W378" s="127"/>
      <c r="X378" s="127"/>
    </row>
    <row r="379" customFormat="false" ht="15.75" hidden="false" customHeight="true" outlineLevel="0" collapsed="false">
      <c r="A379" s="128" t="s">
        <v>205</v>
      </c>
      <c r="B379" s="128" t="n">
        <v>334.85</v>
      </c>
      <c r="C379" s="128" t="n">
        <v>-66.67</v>
      </c>
      <c r="D379" s="128" t="n">
        <v>-108.53</v>
      </c>
      <c r="E379" s="128" t="n">
        <v>-26.04</v>
      </c>
      <c r="F379" s="128" t="n">
        <v>-64.73</v>
      </c>
      <c r="G379" s="128" t="n">
        <v>-46.98</v>
      </c>
      <c r="H379" s="128" t="n">
        <v>-71.01</v>
      </c>
      <c r="I379" s="128" t="n">
        <v>-82.55</v>
      </c>
      <c r="J379" s="128" t="n">
        <v>-89.49</v>
      </c>
      <c r="K379" s="128" t="n">
        <v>320.38</v>
      </c>
      <c r="L379" s="129" t="n">
        <f aca="false">AVERAGE(C379:E379)</f>
        <v>-67.08</v>
      </c>
      <c r="M379" s="130" t="n">
        <f aca="false">AVERAGE(C379:J379)</f>
        <v>-69.5</v>
      </c>
      <c r="N379" s="130" t="n">
        <f aca="false">RANK(I379,I:I)</f>
        <v>423</v>
      </c>
      <c r="O379" s="127" t="n">
        <f aca="false">RANK(L379,L:L)</f>
        <v>371</v>
      </c>
      <c r="P379" s="128" t="s">
        <v>399</v>
      </c>
      <c r="Q379" s="127" t="n">
        <f aca="false">RANK(M379,M:M)</f>
        <v>453</v>
      </c>
      <c r="R379" s="128" t="s">
        <v>399</v>
      </c>
      <c r="S379" s="127"/>
      <c r="T379" s="127"/>
      <c r="U379" s="127"/>
      <c r="V379" s="127"/>
      <c r="W379" s="127"/>
      <c r="X379" s="127"/>
    </row>
    <row r="380" customFormat="false" ht="15.75" hidden="false" customHeight="true" outlineLevel="0" collapsed="false">
      <c r="A380" s="128" t="s">
        <v>304</v>
      </c>
      <c r="B380" s="128" t="n">
        <v>326.7</v>
      </c>
      <c r="C380" s="128" t="n">
        <v>-66.67</v>
      </c>
      <c r="D380" s="128" t="n">
        <v>-133.33</v>
      </c>
      <c r="E380" s="128" t="n">
        <v>40.19</v>
      </c>
      <c r="F380" s="128" t="n">
        <v>136.98</v>
      </c>
      <c r="G380" s="128" t="n">
        <v>161.43</v>
      </c>
      <c r="H380" s="128" t="n">
        <v>183.11</v>
      </c>
      <c r="I380" s="128" t="n">
        <v>102.4</v>
      </c>
      <c r="J380" s="128" t="n">
        <v>29.95</v>
      </c>
      <c r="K380" s="128" t="n">
        <v>310.76</v>
      </c>
      <c r="L380" s="129" t="n">
        <f aca="false">AVERAGE(C380:E380)</f>
        <v>-53.27</v>
      </c>
      <c r="M380" s="130" t="n">
        <f aca="false">AVERAGE(C380:J380)</f>
        <v>56.7575</v>
      </c>
      <c r="N380" s="130" t="n">
        <f aca="false">RANK(I380,I:I)</f>
        <v>79</v>
      </c>
      <c r="O380" s="127" t="n">
        <f aca="false">RANK(L380,L:L)</f>
        <v>255</v>
      </c>
      <c r="P380" s="128" t="s">
        <v>91</v>
      </c>
      <c r="Q380" s="127" t="n">
        <f aca="false">RANK(M380,M:M)</f>
        <v>77</v>
      </c>
      <c r="R380" s="128" t="s">
        <v>91</v>
      </c>
      <c r="S380" s="127"/>
      <c r="T380" s="127"/>
      <c r="U380" s="127"/>
      <c r="V380" s="127"/>
      <c r="W380" s="127"/>
      <c r="X380" s="127"/>
    </row>
    <row r="381" customFormat="false" ht="15.75" hidden="false" customHeight="true" outlineLevel="0" collapsed="false">
      <c r="A381" s="128" t="s">
        <v>511</v>
      </c>
      <c r="B381" s="128" t="n">
        <v>324.65</v>
      </c>
      <c r="C381" s="128" t="n">
        <v>-66.67</v>
      </c>
      <c r="D381" s="128" t="n">
        <v>-8.51</v>
      </c>
      <c r="E381" s="128" t="n">
        <v>79.7</v>
      </c>
      <c r="F381" s="128" t="n">
        <v>147.22</v>
      </c>
      <c r="G381" s="128" t="n">
        <v>130.69</v>
      </c>
      <c r="H381" s="128" t="n">
        <v>77.86</v>
      </c>
      <c r="I381" s="128" t="n">
        <v>69.62</v>
      </c>
      <c r="J381" s="128" t="n">
        <v>22.55</v>
      </c>
      <c r="K381" s="128" t="n">
        <v>301.85</v>
      </c>
      <c r="L381" s="129" t="n">
        <f aca="false">AVERAGE(C381:E381)</f>
        <v>1.50666666666667</v>
      </c>
      <c r="M381" s="130" t="n">
        <f aca="false">AVERAGE(C381:J381)</f>
        <v>56.5575</v>
      </c>
      <c r="N381" s="130" t="n">
        <f aca="false">RANK(I381,I:I)</f>
        <v>101</v>
      </c>
      <c r="O381" s="127" t="n">
        <f aca="false">RANK(L381,L:L)</f>
        <v>85</v>
      </c>
      <c r="P381" s="128" t="s">
        <v>348</v>
      </c>
      <c r="Q381" s="127" t="n">
        <f aca="false">RANK(M381,M:M)</f>
        <v>78</v>
      </c>
      <c r="R381" s="128" t="s">
        <v>348</v>
      </c>
      <c r="S381" s="127"/>
      <c r="T381" s="127"/>
      <c r="U381" s="127"/>
      <c r="V381" s="127"/>
      <c r="W381" s="127"/>
      <c r="X381" s="127"/>
    </row>
    <row r="382" customFormat="false" ht="15.75" hidden="false" customHeight="true" outlineLevel="0" collapsed="false">
      <c r="A382" s="128" t="s">
        <v>1135</v>
      </c>
      <c r="B382" s="128" t="n">
        <v>321.4</v>
      </c>
      <c r="C382" s="128" t="n">
        <v>-66.67</v>
      </c>
      <c r="D382" s="128" t="n">
        <v>-133.33</v>
      </c>
      <c r="E382" s="128" t="n">
        <v>-187.25</v>
      </c>
      <c r="F382" s="128" t="n">
        <v>-111.76</v>
      </c>
      <c r="G382" s="128" t="n">
        <v>-91.59</v>
      </c>
      <c r="H382" s="128" t="n">
        <v>-76.48</v>
      </c>
      <c r="I382" s="128"/>
      <c r="J382" s="128"/>
      <c r="K382" s="128" t="n">
        <v>362.21</v>
      </c>
      <c r="L382" s="129" t="n">
        <f aca="false">AVERAGE(C382:E382)</f>
        <v>-129.083333333333</v>
      </c>
      <c r="M382" s="130" t="n">
        <f aca="false">AVERAGE(C382:J382)</f>
        <v>-111.18</v>
      </c>
      <c r="N382" s="130" t="e">
        <f aca="false">RANK(I382,I:I)</f>
        <v>#N/A</v>
      </c>
      <c r="O382" s="127" t="n">
        <f aca="false">RANK(L382,L:L)</f>
        <v>499</v>
      </c>
      <c r="P382" s="128" t="s">
        <v>537</v>
      </c>
      <c r="Q382" s="127" t="n">
        <f aca="false">RANK(M382,M:M)</f>
        <v>495</v>
      </c>
      <c r="R382" s="128" t="s">
        <v>537</v>
      </c>
      <c r="S382" s="127"/>
      <c r="T382" s="127"/>
      <c r="U382" s="127"/>
      <c r="V382" s="127"/>
      <c r="W382" s="127"/>
      <c r="X382" s="127"/>
    </row>
    <row r="383" customFormat="false" ht="15.75" hidden="false" customHeight="true" outlineLevel="0" collapsed="false">
      <c r="A383" s="128" t="s">
        <v>303</v>
      </c>
      <c r="B383" s="128" t="n">
        <v>321.3</v>
      </c>
      <c r="C383" s="128" t="n">
        <v>-66.67</v>
      </c>
      <c r="D383" s="128" t="n">
        <v>-102.9</v>
      </c>
      <c r="E383" s="128" t="n">
        <v>62.51</v>
      </c>
      <c r="F383" s="128" t="n">
        <v>126.81</v>
      </c>
      <c r="G383" s="128" t="n">
        <v>58</v>
      </c>
      <c r="H383" s="128" t="n">
        <v>-6.06</v>
      </c>
      <c r="I383" s="128" t="n">
        <v>-28.58</v>
      </c>
      <c r="J383" s="128" t="n">
        <v>-50.35</v>
      </c>
      <c r="K383" s="128" t="n">
        <v>292.34</v>
      </c>
      <c r="L383" s="129" t="n">
        <f aca="false">AVERAGE(C383:E383)</f>
        <v>-35.6866666666667</v>
      </c>
      <c r="M383" s="130" t="n">
        <f aca="false">AVERAGE(C383:J383)</f>
        <v>-0.905000000000003</v>
      </c>
      <c r="N383" s="130" t="n">
        <f aca="false">RANK(I383,I:I)</f>
        <v>256</v>
      </c>
      <c r="O383" s="127" t="n">
        <f aca="false">RANK(L383,L:L)</f>
        <v>182</v>
      </c>
      <c r="P383" s="128" t="s">
        <v>304</v>
      </c>
      <c r="Q383" s="127" t="n">
        <f aca="false">RANK(M383,M:M)</f>
        <v>233</v>
      </c>
      <c r="R383" s="128" t="s">
        <v>304</v>
      </c>
      <c r="S383" s="127"/>
      <c r="T383" s="127"/>
      <c r="U383" s="127"/>
      <c r="V383" s="127"/>
      <c r="W383" s="127"/>
      <c r="X383" s="127"/>
    </row>
    <row r="384" customFormat="false" ht="15.75" hidden="false" customHeight="true" outlineLevel="0" collapsed="false">
      <c r="A384" s="128" t="s">
        <v>91</v>
      </c>
      <c r="B384" s="128" t="n">
        <v>311.85</v>
      </c>
      <c r="C384" s="128" t="n">
        <v>-66.67</v>
      </c>
      <c r="D384" s="128" t="n">
        <v>-133.33</v>
      </c>
      <c r="E384" s="128" t="n">
        <v>-93.2</v>
      </c>
      <c r="F384" s="128" t="n">
        <v>-119.21</v>
      </c>
      <c r="G384" s="128" t="n">
        <v>-95.56</v>
      </c>
      <c r="H384" s="128" t="n">
        <v>-111.77</v>
      </c>
      <c r="I384" s="128" t="n">
        <v>-107.01</v>
      </c>
      <c r="J384" s="128" t="n">
        <v>-113.9</v>
      </c>
      <c r="K384" s="128" t="n">
        <v>338.06</v>
      </c>
      <c r="L384" s="129" t="n">
        <f aca="false">AVERAGE(C384:E384)</f>
        <v>-97.7333333333334</v>
      </c>
      <c r="M384" s="130" t="n">
        <f aca="false">AVERAGE(C384:J384)</f>
        <v>-105.08125</v>
      </c>
      <c r="N384" s="130" t="n">
        <f aca="false">RANK(I384,I:I)</f>
        <v>471</v>
      </c>
      <c r="O384" s="127" t="n">
        <f aca="false">RANK(L384,L:L)</f>
        <v>473</v>
      </c>
      <c r="P384" s="128" t="s">
        <v>511</v>
      </c>
      <c r="Q384" s="127" t="n">
        <f aca="false">RANK(M384,M:M)</f>
        <v>492</v>
      </c>
      <c r="R384" s="128" t="s">
        <v>511</v>
      </c>
      <c r="S384" s="127"/>
      <c r="T384" s="127"/>
      <c r="U384" s="127"/>
      <c r="V384" s="127"/>
      <c r="W384" s="127"/>
      <c r="X384" s="127"/>
    </row>
    <row r="385" customFormat="false" ht="15.75" hidden="false" customHeight="true" outlineLevel="0" collapsed="false">
      <c r="A385" s="128" t="s">
        <v>519</v>
      </c>
      <c r="B385" s="128" t="n">
        <v>310.7</v>
      </c>
      <c r="C385" s="128" t="n">
        <v>-66.67</v>
      </c>
      <c r="D385" s="128" t="n">
        <v>-32.43</v>
      </c>
      <c r="E385" s="128" t="n">
        <v>70.39</v>
      </c>
      <c r="F385" s="128" t="n">
        <v>170.59</v>
      </c>
      <c r="G385" s="128" t="n">
        <v>103.13</v>
      </c>
      <c r="H385" s="128" t="n">
        <v>-10.71</v>
      </c>
      <c r="I385" s="128" t="n">
        <v>-38.12</v>
      </c>
      <c r="J385" s="128" t="n">
        <v>-57.38</v>
      </c>
      <c r="K385" s="128" t="n">
        <v>284.35</v>
      </c>
      <c r="L385" s="129" t="n">
        <f aca="false">AVERAGE(C385:E385)</f>
        <v>-9.57</v>
      </c>
      <c r="M385" s="130" t="n">
        <f aca="false">AVERAGE(C385:J385)</f>
        <v>17.35</v>
      </c>
      <c r="N385" s="130" t="n">
        <f aca="false">RANK(I385,I:I)</f>
        <v>277</v>
      </c>
      <c r="O385" s="127" t="n">
        <f aca="false">RANK(L385,L:L)</f>
        <v>109</v>
      </c>
      <c r="P385" s="128" t="s">
        <v>80</v>
      </c>
      <c r="Q385" s="127" t="n">
        <f aca="false">RANK(M385,M:M)</f>
        <v>178</v>
      </c>
      <c r="R385" s="128" t="s">
        <v>80</v>
      </c>
      <c r="S385" s="127"/>
      <c r="T385" s="127"/>
      <c r="U385" s="127"/>
      <c r="V385" s="127"/>
      <c r="W385" s="127"/>
      <c r="X385" s="127"/>
    </row>
    <row r="386" customFormat="false" ht="15.75" hidden="false" customHeight="true" outlineLevel="0" collapsed="false">
      <c r="A386" s="128" t="s">
        <v>446</v>
      </c>
      <c r="B386" s="128" t="n">
        <v>310</v>
      </c>
      <c r="C386" s="128" t="n">
        <v>-66.67</v>
      </c>
      <c r="D386" s="128" t="n">
        <v>8.22</v>
      </c>
      <c r="E386" s="128" t="n">
        <v>63.39</v>
      </c>
      <c r="F386" s="128" t="n">
        <v>128.96</v>
      </c>
      <c r="G386" s="128" t="n">
        <v>96.5</v>
      </c>
      <c r="H386" s="128" t="n">
        <v>-12.89</v>
      </c>
      <c r="I386" s="128" t="n">
        <v>-35.11</v>
      </c>
      <c r="J386" s="128" t="n">
        <v>-53.28</v>
      </c>
      <c r="K386" s="128" t="n">
        <v>284.47</v>
      </c>
      <c r="L386" s="129" t="n">
        <f aca="false">AVERAGE(C386:E386)</f>
        <v>1.64666666666667</v>
      </c>
      <c r="M386" s="130" t="n">
        <f aca="false">AVERAGE(C386:J386)</f>
        <v>16.14</v>
      </c>
      <c r="N386" s="130" t="n">
        <f aca="false">RANK(I386,I:I)</f>
        <v>272</v>
      </c>
      <c r="O386" s="127" t="n">
        <f aca="false">RANK(L386,L:L)</f>
        <v>84</v>
      </c>
      <c r="P386" s="128" t="s">
        <v>387</v>
      </c>
      <c r="Q386" s="127" t="n">
        <f aca="false">RANK(M386,M:M)</f>
        <v>180</v>
      </c>
      <c r="R386" s="128" t="s">
        <v>387</v>
      </c>
      <c r="S386" s="127"/>
      <c r="T386" s="127"/>
      <c r="U386" s="127"/>
      <c r="V386" s="127"/>
      <c r="W386" s="127"/>
      <c r="X386" s="127"/>
    </row>
    <row r="387" customFormat="false" ht="15.75" hidden="false" customHeight="true" outlineLevel="0" collapsed="false">
      <c r="A387" s="128" t="s">
        <v>189</v>
      </c>
      <c r="B387" s="128" t="n">
        <v>309.4</v>
      </c>
      <c r="C387" s="128" t="n">
        <v>-66.67</v>
      </c>
      <c r="D387" s="128" t="n">
        <v>-113.87</v>
      </c>
      <c r="E387" s="128" t="n">
        <v>50.57</v>
      </c>
      <c r="F387" s="128" t="n">
        <v>115.43</v>
      </c>
      <c r="G387" s="128" t="n">
        <v>96.71</v>
      </c>
      <c r="H387" s="128" t="n">
        <v>5.26</v>
      </c>
      <c r="I387" s="128" t="n">
        <v>-16.25</v>
      </c>
      <c r="J387" s="128" t="n">
        <v>-35.32</v>
      </c>
      <c r="K387" s="128" t="n">
        <v>291.73</v>
      </c>
      <c r="L387" s="129" t="n">
        <f aca="false">AVERAGE(C387:E387)</f>
        <v>-43.3233333333333</v>
      </c>
      <c r="M387" s="130" t="n">
        <f aca="false">AVERAGE(C387:J387)</f>
        <v>4.4825</v>
      </c>
      <c r="N387" s="130" t="n">
        <f aca="false">RANK(I387,I:I)</f>
        <v>228</v>
      </c>
      <c r="O387" s="127" t="n">
        <f aca="false">RANK(L387,L:L)</f>
        <v>212</v>
      </c>
      <c r="P387" s="128" t="s">
        <v>303</v>
      </c>
      <c r="Q387" s="127" t="n">
        <f aca="false">RANK(M387,M:M)</f>
        <v>219</v>
      </c>
      <c r="R387" s="128" t="s">
        <v>303</v>
      </c>
      <c r="S387" s="127"/>
      <c r="T387" s="127"/>
      <c r="U387" s="127"/>
      <c r="V387" s="127"/>
      <c r="W387" s="127"/>
      <c r="X387" s="127"/>
    </row>
    <row r="388" customFormat="false" ht="15.75" hidden="false" customHeight="true" outlineLevel="0" collapsed="false">
      <c r="A388" s="128" t="s">
        <v>417</v>
      </c>
      <c r="B388" s="128" t="n">
        <v>309.1</v>
      </c>
      <c r="C388" s="128" t="n">
        <v>-66.67</v>
      </c>
      <c r="D388" s="128" t="n">
        <v>-133.33</v>
      </c>
      <c r="E388" s="128" t="n">
        <v>19.04</v>
      </c>
      <c r="F388" s="128" t="n">
        <v>111.05</v>
      </c>
      <c r="G388" s="128" t="n">
        <v>99.72</v>
      </c>
      <c r="H388" s="128" t="n">
        <v>45.53</v>
      </c>
      <c r="I388" s="128" t="n">
        <v>8.47</v>
      </c>
      <c r="J388" s="128" t="n">
        <v>-9.13</v>
      </c>
      <c r="K388" s="128" t="n">
        <v>293.72</v>
      </c>
      <c r="L388" s="129" t="n">
        <f aca="false">AVERAGE(C388:E388)</f>
        <v>-60.32</v>
      </c>
      <c r="M388" s="130" t="n">
        <f aca="false">AVERAGE(C388:J388)</f>
        <v>9.335</v>
      </c>
      <c r="N388" s="130" t="n">
        <f aca="false">RANK(I388,I:I)</f>
        <v>189</v>
      </c>
      <c r="O388" s="127" t="n">
        <f aca="false">RANK(L388,L:L)</f>
        <v>300</v>
      </c>
      <c r="P388" s="128" t="s">
        <v>500</v>
      </c>
      <c r="Q388" s="127" t="n">
        <f aca="false">RANK(M388,M:M)</f>
        <v>202</v>
      </c>
      <c r="R388" s="128" t="s">
        <v>500</v>
      </c>
      <c r="S388" s="127"/>
      <c r="T388" s="127"/>
      <c r="U388" s="127"/>
      <c r="V388" s="127"/>
      <c r="W388" s="127"/>
      <c r="X388" s="127"/>
    </row>
    <row r="389" customFormat="false" ht="15.75" hidden="false" customHeight="true" outlineLevel="0" collapsed="false">
      <c r="A389" s="128" t="s">
        <v>80</v>
      </c>
      <c r="B389" s="128" t="n">
        <v>306.5</v>
      </c>
      <c r="C389" s="128" t="n">
        <v>-66.67</v>
      </c>
      <c r="D389" s="128" t="n">
        <v>-133.33</v>
      </c>
      <c r="E389" s="128" t="n">
        <v>3.92</v>
      </c>
      <c r="F389" s="128" t="n">
        <v>95.08</v>
      </c>
      <c r="G389" s="128" t="n">
        <v>117.79</v>
      </c>
      <c r="H389" s="128" t="n">
        <v>70.09</v>
      </c>
      <c r="I389" s="128" t="n">
        <v>31.8</v>
      </c>
      <c r="J389" s="128" t="n">
        <v>7.05</v>
      </c>
      <c r="K389" s="128" t="n">
        <v>294.27</v>
      </c>
      <c r="L389" s="129" t="n">
        <f aca="false">AVERAGE(C389:E389)</f>
        <v>-65.36</v>
      </c>
      <c r="M389" s="130" t="n">
        <f aca="false">AVERAGE(C389:J389)</f>
        <v>15.71625</v>
      </c>
      <c r="N389" s="130" t="n">
        <f aca="false">RANK(I389,I:I)</f>
        <v>156</v>
      </c>
      <c r="O389" s="127" t="n">
        <f aca="false">RANK(L389,L:L)</f>
        <v>358</v>
      </c>
      <c r="P389" s="128" t="s">
        <v>408</v>
      </c>
      <c r="Q389" s="127" t="n">
        <f aca="false">RANK(M389,M:M)</f>
        <v>182</v>
      </c>
      <c r="R389" s="128" t="s">
        <v>408</v>
      </c>
      <c r="S389" s="127"/>
      <c r="T389" s="127"/>
      <c r="U389" s="127"/>
      <c r="V389" s="127"/>
      <c r="W389" s="127"/>
      <c r="X389" s="127"/>
    </row>
    <row r="390" customFormat="false" ht="15.75" hidden="false" customHeight="true" outlineLevel="0" collapsed="false">
      <c r="A390" s="128" t="s">
        <v>247</v>
      </c>
      <c r="B390" s="128" t="n">
        <v>304.9</v>
      </c>
      <c r="C390" s="128" t="n">
        <v>66.67</v>
      </c>
      <c r="D390" s="128" t="n">
        <v>115.94</v>
      </c>
      <c r="E390" s="128" t="n">
        <v>83.33</v>
      </c>
      <c r="F390" s="128" t="n">
        <v>212.89</v>
      </c>
      <c r="G390" s="128" t="n">
        <v>84.31</v>
      </c>
      <c r="H390" s="128" t="n">
        <v>8.24</v>
      </c>
      <c r="I390" s="128" t="n">
        <v>-14.02</v>
      </c>
      <c r="J390" s="128" t="n">
        <v>-40.46</v>
      </c>
      <c r="K390" s="128" t="n">
        <v>272.35</v>
      </c>
      <c r="L390" s="129" t="n">
        <f aca="false">AVERAGE(C390:E390)</f>
        <v>88.6466666666667</v>
      </c>
      <c r="M390" s="130" t="n">
        <f aca="false">AVERAGE(C390:J390)</f>
        <v>64.6125</v>
      </c>
      <c r="N390" s="130" t="n">
        <f aca="false">RANK(I390,I:I)</f>
        <v>223</v>
      </c>
      <c r="O390" s="127" t="n">
        <f aca="false">RANK(L390,L:L)</f>
        <v>18</v>
      </c>
      <c r="P390" s="128" t="s">
        <v>436</v>
      </c>
      <c r="Q390" s="127" t="n">
        <f aca="false">RANK(M390,M:M)</f>
        <v>66</v>
      </c>
      <c r="R390" s="128" t="s">
        <v>436</v>
      </c>
      <c r="S390" s="127"/>
      <c r="T390" s="127"/>
      <c r="U390" s="127"/>
      <c r="V390" s="127"/>
      <c r="W390" s="127"/>
      <c r="X390" s="127"/>
    </row>
    <row r="391" customFormat="false" ht="15.75" hidden="false" customHeight="true" outlineLevel="0" collapsed="false">
      <c r="A391" s="128" t="s">
        <v>387</v>
      </c>
      <c r="B391" s="128" t="n">
        <v>303.55</v>
      </c>
      <c r="C391" s="128" t="n">
        <v>66.67</v>
      </c>
      <c r="D391" s="128" t="n">
        <v>-27.49</v>
      </c>
      <c r="E391" s="128" t="n">
        <v>-12.56</v>
      </c>
      <c r="F391" s="128" t="n">
        <v>12.83</v>
      </c>
      <c r="G391" s="128" t="n">
        <v>69.83</v>
      </c>
      <c r="H391" s="128" t="n">
        <v>35.8</v>
      </c>
      <c r="I391" s="128" t="n">
        <v>19.76</v>
      </c>
      <c r="J391" s="128" t="n">
        <v>2.73</v>
      </c>
      <c r="K391" s="128" t="n">
        <v>319.63</v>
      </c>
      <c r="L391" s="129" t="n">
        <f aca="false">AVERAGE(C391:E391)</f>
        <v>8.87333333333334</v>
      </c>
      <c r="M391" s="130" t="n">
        <f aca="false">AVERAGE(C391:J391)</f>
        <v>20.94625</v>
      </c>
      <c r="N391" s="130" t="n">
        <f aca="false">RANK(I391,I:I)</f>
        <v>170</v>
      </c>
      <c r="O391" s="127" t="n">
        <f aca="false">RANK(L391,L:L)</f>
        <v>71</v>
      </c>
      <c r="P391" s="128" t="s">
        <v>189</v>
      </c>
      <c r="Q391" s="127" t="n">
        <f aca="false">RANK(M391,M:M)</f>
        <v>165</v>
      </c>
      <c r="R391" s="128" t="s">
        <v>189</v>
      </c>
      <c r="S391" s="127"/>
      <c r="T391" s="127"/>
      <c r="U391" s="127"/>
      <c r="V391" s="127"/>
      <c r="W391" s="127"/>
      <c r="X391" s="127"/>
    </row>
    <row r="392" customFormat="false" ht="15.75" hidden="false" customHeight="true" outlineLevel="0" collapsed="false">
      <c r="A392" s="128" t="s">
        <v>500</v>
      </c>
      <c r="B392" s="128" t="n">
        <v>302</v>
      </c>
      <c r="C392" s="128" t="n">
        <v>-66.67</v>
      </c>
      <c r="D392" s="128" t="n">
        <v>-133.33</v>
      </c>
      <c r="E392" s="128" t="n">
        <v>-11.28</v>
      </c>
      <c r="F392" s="128" t="n">
        <v>23.69</v>
      </c>
      <c r="G392" s="128" t="n">
        <v>-27.35</v>
      </c>
      <c r="H392" s="128" t="n">
        <v>-57.29</v>
      </c>
      <c r="I392" s="128" t="n">
        <v>-77.28</v>
      </c>
      <c r="J392" s="128" t="n">
        <v>-94.07</v>
      </c>
      <c r="K392" s="128" t="n">
        <v>320.77</v>
      </c>
      <c r="L392" s="129" t="n">
        <f aca="false">AVERAGE(C392:E392)</f>
        <v>-70.4266666666667</v>
      </c>
      <c r="M392" s="130" t="n">
        <f aca="false">AVERAGE(C392:J392)</f>
        <v>-55.4475</v>
      </c>
      <c r="N392" s="130" t="n">
        <f aca="false">RANK(I392,I:I)</f>
        <v>414</v>
      </c>
      <c r="O392" s="127" t="n">
        <f aca="false">RANK(L392,L:L)</f>
        <v>395</v>
      </c>
      <c r="P392" s="128" t="s">
        <v>198</v>
      </c>
      <c r="Q392" s="127" t="n">
        <f aca="false">RANK(M392,M:M)</f>
        <v>422</v>
      </c>
      <c r="R392" s="128" t="s">
        <v>198</v>
      </c>
      <c r="S392" s="127"/>
      <c r="T392" s="127"/>
      <c r="U392" s="127"/>
      <c r="V392" s="127"/>
      <c r="W392" s="127"/>
      <c r="X392" s="127"/>
    </row>
    <row r="393" customFormat="false" ht="15.75" hidden="false" customHeight="true" outlineLevel="0" collapsed="false">
      <c r="A393" s="128" t="s">
        <v>408</v>
      </c>
      <c r="B393" s="128" t="n">
        <v>298.65</v>
      </c>
      <c r="C393" s="128" t="n">
        <v>66.67</v>
      </c>
      <c r="D393" s="128" t="n">
        <v>-19.64</v>
      </c>
      <c r="E393" s="128" t="n">
        <v>59.46</v>
      </c>
      <c r="F393" s="128" t="n">
        <v>49.43</v>
      </c>
      <c r="G393" s="128" t="n">
        <v>27.77</v>
      </c>
      <c r="H393" s="128" t="n">
        <v>-19.8</v>
      </c>
      <c r="I393" s="128" t="n">
        <v>-44.19</v>
      </c>
      <c r="J393" s="128" t="n">
        <v>-60.25</v>
      </c>
      <c r="K393" s="128" t="n">
        <v>276.94</v>
      </c>
      <c r="L393" s="129" t="n">
        <f aca="false">AVERAGE(C393:E393)</f>
        <v>35.4966666666667</v>
      </c>
      <c r="M393" s="130" t="n">
        <f aca="false">AVERAGE(C393:J393)</f>
        <v>7.43125</v>
      </c>
      <c r="N393" s="130" t="n">
        <f aca="false">RANK(I393,I:I)</f>
        <v>301</v>
      </c>
      <c r="O393" s="127" t="n">
        <f aca="false">RANK(L393,L:L)</f>
        <v>36</v>
      </c>
      <c r="P393" s="128" t="s">
        <v>160</v>
      </c>
      <c r="Q393" s="127" t="n">
        <f aca="false">RANK(M393,M:M)</f>
        <v>213</v>
      </c>
      <c r="R393" s="128" t="s">
        <v>160</v>
      </c>
      <c r="S393" s="127"/>
      <c r="T393" s="127"/>
      <c r="U393" s="127"/>
      <c r="V393" s="127"/>
      <c r="W393" s="127"/>
      <c r="X393" s="127"/>
    </row>
    <row r="394" customFormat="false" ht="15.75" hidden="false" customHeight="true" outlineLevel="0" collapsed="false">
      <c r="A394" s="128" t="s">
        <v>537</v>
      </c>
      <c r="B394" s="128" t="n">
        <v>298.2</v>
      </c>
      <c r="C394" s="128" t="n">
        <v>-66.67</v>
      </c>
      <c r="D394" s="128" t="n">
        <v>-130.1</v>
      </c>
      <c r="E394" s="128" t="n">
        <v>-130.84</v>
      </c>
      <c r="F394" s="128" t="n">
        <v>-118.9</v>
      </c>
      <c r="G394" s="128" t="n">
        <v>-89.19</v>
      </c>
      <c r="H394" s="128" t="n">
        <v>-98.32</v>
      </c>
      <c r="I394" s="128" t="n">
        <v>-101.87</v>
      </c>
      <c r="J394" s="128" t="n">
        <v>-114.88</v>
      </c>
      <c r="K394" s="128" t="n">
        <v>329.62</v>
      </c>
      <c r="L394" s="129" t="n">
        <f aca="false">AVERAGE(C394:E394)</f>
        <v>-109.203333333333</v>
      </c>
      <c r="M394" s="130" t="n">
        <f aca="false">AVERAGE(C394:J394)</f>
        <v>-106.34625</v>
      </c>
      <c r="N394" s="130" t="n">
        <f aca="false">RANK(I394,I:I)</f>
        <v>460</v>
      </c>
      <c r="O394" s="127" t="n">
        <f aca="false">RANK(L394,L:L)</f>
        <v>489</v>
      </c>
      <c r="P394" s="128" t="s">
        <v>283</v>
      </c>
      <c r="Q394" s="127" t="n">
        <f aca="false">RANK(M394,M:M)</f>
        <v>493</v>
      </c>
      <c r="R394" s="128" t="s">
        <v>283</v>
      </c>
      <c r="S394" s="127"/>
      <c r="T394" s="127"/>
      <c r="U394" s="127"/>
      <c r="V394" s="127"/>
      <c r="W394" s="127"/>
      <c r="X394" s="127"/>
    </row>
    <row r="395" customFormat="false" ht="15.75" hidden="false" customHeight="true" outlineLevel="0" collapsed="false">
      <c r="A395" s="128" t="s">
        <v>160</v>
      </c>
      <c r="B395" s="128" t="n">
        <v>297.6</v>
      </c>
      <c r="C395" s="128" t="n">
        <v>-66.67</v>
      </c>
      <c r="D395" s="128" t="n">
        <v>-107.25</v>
      </c>
      <c r="E395" s="128" t="n">
        <v>38.37</v>
      </c>
      <c r="F395" s="128" t="n">
        <v>66.74</v>
      </c>
      <c r="G395" s="128" t="n">
        <v>101.64</v>
      </c>
      <c r="H395" s="128" t="n">
        <v>92.31</v>
      </c>
      <c r="I395" s="128" t="n">
        <v>69.45</v>
      </c>
      <c r="J395" s="128" t="n">
        <v>82.59</v>
      </c>
      <c r="K395" s="128" t="n">
        <v>285.5</v>
      </c>
      <c r="L395" s="129" t="n">
        <f aca="false">AVERAGE(C395:E395)</f>
        <v>-45.1833333333333</v>
      </c>
      <c r="M395" s="130" t="n">
        <f aca="false">AVERAGE(C395:J395)</f>
        <v>34.6475</v>
      </c>
      <c r="N395" s="130" t="n">
        <f aca="false">RANK(I395,I:I)</f>
        <v>102</v>
      </c>
      <c r="O395" s="127" t="n">
        <f aca="false">RANK(L395,L:L)</f>
        <v>214</v>
      </c>
      <c r="P395" s="128" t="s">
        <v>247</v>
      </c>
      <c r="Q395" s="127" t="n">
        <f aca="false">RANK(M395,M:M)</f>
        <v>131</v>
      </c>
      <c r="R395" s="128" t="s">
        <v>247</v>
      </c>
      <c r="S395" s="127"/>
      <c r="T395" s="127"/>
      <c r="U395" s="127"/>
      <c r="V395" s="127"/>
      <c r="W395" s="127"/>
      <c r="X395" s="127"/>
    </row>
    <row r="396" customFormat="false" ht="15.75" hidden="false" customHeight="true" outlineLevel="0" collapsed="false">
      <c r="A396" s="128" t="s">
        <v>198</v>
      </c>
      <c r="B396" s="128" t="n">
        <v>295.7</v>
      </c>
      <c r="C396" s="128" t="n">
        <v>-66.67</v>
      </c>
      <c r="D396" s="128" t="n">
        <v>-126.07</v>
      </c>
      <c r="E396" s="128" t="n">
        <v>1.74</v>
      </c>
      <c r="F396" s="128" t="n">
        <v>93.97</v>
      </c>
      <c r="G396" s="128" t="n">
        <v>133.9</v>
      </c>
      <c r="H396" s="128" t="n">
        <v>105.02</v>
      </c>
      <c r="I396" s="128" t="n">
        <v>67.71</v>
      </c>
      <c r="J396" s="128" t="n">
        <v>16.79</v>
      </c>
      <c r="K396" s="128" t="n">
        <v>282.96</v>
      </c>
      <c r="L396" s="129" t="n">
        <f aca="false">AVERAGE(C396:E396)</f>
        <v>-63.6666666666667</v>
      </c>
      <c r="M396" s="130" t="n">
        <f aca="false">AVERAGE(C396:J396)</f>
        <v>28.29875</v>
      </c>
      <c r="N396" s="130" t="n">
        <f aca="false">RANK(I396,I:I)</f>
        <v>104</v>
      </c>
      <c r="O396" s="127" t="n">
        <f aca="false">RANK(L396,L:L)</f>
        <v>331</v>
      </c>
      <c r="P396" s="128" t="s">
        <v>446</v>
      </c>
      <c r="Q396" s="127" t="n">
        <f aca="false">RANK(M396,M:M)</f>
        <v>145</v>
      </c>
      <c r="R396" s="128" t="s">
        <v>446</v>
      </c>
      <c r="S396" s="127"/>
      <c r="T396" s="127"/>
      <c r="U396" s="127"/>
      <c r="V396" s="127"/>
      <c r="W396" s="127"/>
      <c r="X396" s="127"/>
    </row>
    <row r="397" customFormat="false" ht="15.75" hidden="false" customHeight="true" outlineLevel="0" collapsed="false">
      <c r="A397" s="128" t="s">
        <v>436</v>
      </c>
      <c r="B397" s="128" t="n">
        <v>287.8</v>
      </c>
      <c r="C397" s="128" t="n">
        <v>-66.67</v>
      </c>
      <c r="D397" s="128" t="n">
        <v>-22.68</v>
      </c>
      <c r="E397" s="128" t="n">
        <v>43.99</v>
      </c>
      <c r="F397" s="128" t="n">
        <v>98.55</v>
      </c>
      <c r="G397" s="128" t="n">
        <v>99.6</v>
      </c>
      <c r="H397" s="128" t="n">
        <v>-29.12</v>
      </c>
      <c r="I397" s="128" t="n">
        <v>-47.43</v>
      </c>
      <c r="J397" s="128" t="n">
        <v>-63</v>
      </c>
      <c r="K397" s="128" t="n">
        <v>265.55</v>
      </c>
      <c r="L397" s="129" t="n">
        <f aca="false">AVERAGE(C397:E397)</f>
        <v>-15.12</v>
      </c>
      <c r="M397" s="130" t="n">
        <f aca="false">AVERAGE(C397:J397)</f>
        <v>1.655</v>
      </c>
      <c r="N397" s="130" t="n">
        <f aca="false">RANK(I397,I:I)</f>
        <v>312</v>
      </c>
      <c r="O397" s="127" t="n">
        <f aca="false">RANK(L397,L:L)</f>
        <v>123</v>
      </c>
      <c r="P397" s="128" t="s">
        <v>491</v>
      </c>
      <c r="Q397" s="127" t="n">
        <f aca="false">RANK(M397,M:M)</f>
        <v>225</v>
      </c>
      <c r="R397" s="128" t="s">
        <v>491</v>
      </c>
      <c r="S397" s="127"/>
      <c r="T397" s="127"/>
      <c r="U397" s="127"/>
      <c r="V397" s="127"/>
      <c r="W397" s="127"/>
      <c r="X397" s="127"/>
    </row>
    <row r="398" customFormat="false" ht="15.75" hidden="false" customHeight="true" outlineLevel="0" collapsed="false">
      <c r="A398" s="128" t="s">
        <v>491</v>
      </c>
      <c r="B398" s="128" t="n">
        <v>274.8</v>
      </c>
      <c r="C398" s="128" t="n">
        <v>-66.67</v>
      </c>
      <c r="D398" s="128" t="n">
        <v>-133.33</v>
      </c>
      <c r="E398" s="128" t="n">
        <v>24.71</v>
      </c>
      <c r="F398" s="128" t="n">
        <v>83.57</v>
      </c>
      <c r="G398" s="128" t="n">
        <v>8.24</v>
      </c>
      <c r="H398" s="128" t="n">
        <v>-35.62</v>
      </c>
      <c r="I398" s="128" t="n">
        <v>-54.69</v>
      </c>
      <c r="J398" s="128" t="n">
        <v>-66.76</v>
      </c>
      <c r="K398" s="128" t="n">
        <v>283.59</v>
      </c>
      <c r="L398" s="129" t="n">
        <f aca="false">AVERAGE(C398:E398)</f>
        <v>-58.43</v>
      </c>
      <c r="M398" s="130" t="n">
        <f aca="false">AVERAGE(C398:J398)</f>
        <v>-30.06875</v>
      </c>
      <c r="N398" s="130" t="n">
        <f aca="false">RANK(I398,I:I)</f>
        <v>344</v>
      </c>
      <c r="O398" s="127" t="n">
        <f aca="false">RANK(L398,L:L)</f>
        <v>287</v>
      </c>
      <c r="P398" s="128" t="s">
        <v>417</v>
      </c>
      <c r="Q398" s="127" t="n">
        <f aca="false">RANK(M398,M:M)</f>
        <v>347</v>
      </c>
      <c r="R398" s="128" t="s">
        <v>417</v>
      </c>
      <c r="S398" s="127"/>
      <c r="T398" s="127"/>
      <c r="U398" s="127"/>
      <c r="V398" s="127"/>
      <c r="W398" s="127"/>
      <c r="X398" s="127"/>
    </row>
    <row r="399" customFormat="false" ht="15.75" hidden="false" customHeight="true" outlineLevel="0" collapsed="false">
      <c r="A399" s="128" t="s">
        <v>283</v>
      </c>
      <c r="B399" s="128" t="n">
        <v>273.95</v>
      </c>
      <c r="C399" s="128" t="n">
        <v>-66.67</v>
      </c>
      <c r="D399" s="128" t="n">
        <v>-133.33</v>
      </c>
      <c r="E399" s="128" t="n">
        <v>-74.07</v>
      </c>
      <c r="F399" s="128" t="n">
        <v>64.81</v>
      </c>
      <c r="G399" s="128" t="n">
        <v>106.51</v>
      </c>
      <c r="H399" s="128" t="n">
        <v>9.91</v>
      </c>
      <c r="I399" s="128" t="n">
        <v>-21.36</v>
      </c>
      <c r="J399" s="128" t="n">
        <v>-40.46</v>
      </c>
      <c r="K399" s="128" t="n">
        <v>263.25</v>
      </c>
      <c r="L399" s="129" t="n">
        <f aca="false">AVERAGE(C399:E399)</f>
        <v>-91.3566666666667</v>
      </c>
      <c r="M399" s="130" t="n">
        <f aca="false">AVERAGE(C399:J399)</f>
        <v>-19.3325</v>
      </c>
      <c r="N399" s="130" t="n">
        <f aca="false">RANK(I399,I:I)</f>
        <v>243</v>
      </c>
      <c r="O399" s="127" t="n">
        <f aca="false">RANK(L399,L:L)</f>
        <v>464</v>
      </c>
      <c r="P399" s="128" t="s">
        <v>116</v>
      </c>
      <c r="Q399" s="127" t="n">
        <f aca="false">RANK(M399,M:M)</f>
        <v>301</v>
      </c>
      <c r="R399" s="128" t="s">
        <v>116</v>
      </c>
      <c r="S399" s="127"/>
      <c r="T399" s="127"/>
      <c r="U399" s="127"/>
      <c r="V399" s="127"/>
      <c r="W399" s="127"/>
      <c r="X399" s="127"/>
    </row>
    <row r="400" customFormat="false" ht="15.75" hidden="false" customHeight="true" outlineLevel="0" collapsed="false">
      <c r="A400" s="128" t="s">
        <v>116</v>
      </c>
      <c r="B400" s="128" t="n">
        <v>264.6</v>
      </c>
      <c r="C400" s="128" t="n">
        <v>-66.67</v>
      </c>
      <c r="D400" s="128" t="n">
        <v>-99.24</v>
      </c>
      <c r="E400" s="128" t="n">
        <v>-41.65</v>
      </c>
      <c r="F400" s="128" t="n">
        <v>-60.79</v>
      </c>
      <c r="G400" s="128" t="n">
        <v>-82.52</v>
      </c>
      <c r="H400" s="128" t="n">
        <v>-76.28</v>
      </c>
      <c r="I400" s="128" t="n">
        <v>-74.74</v>
      </c>
      <c r="J400" s="128" t="n">
        <v>-72.41</v>
      </c>
      <c r="K400" s="128" t="n">
        <v>255.5</v>
      </c>
      <c r="L400" s="129" t="n">
        <f aca="false">AVERAGE(C400:E400)</f>
        <v>-69.1866666666667</v>
      </c>
      <c r="M400" s="130" t="n">
        <f aca="false">AVERAGE(C400:J400)</f>
        <v>-71.7875</v>
      </c>
      <c r="N400" s="130" t="n">
        <f aca="false">RANK(I400,I:I)</f>
        <v>405</v>
      </c>
      <c r="O400" s="127" t="n">
        <f aca="false">RANK(L400,L:L)</f>
        <v>386</v>
      </c>
      <c r="P400" s="128" t="s">
        <v>44</v>
      </c>
      <c r="Q400" s="127" t="n">
        <f aca="false">RANK(M400,M:M)</f>
        <v>458</v>
      </c>
      <c r="R400" s="128" t="s">
        <v>44</v>
      </c>
      <c r="S400" s="127"/>
      <c r="T400" s="127"/>
      <c r="U400" s="127"/>
      <c r="V400" s="127"/>
      <c r="W400" s="127"/>
      <c r="X400" s="127"/>
    </row>
    <row r="401" customFormat="false" ht="15.75" hidden="false" customHeight="true" outlineLevel="0" collapsed="false">
      <c r="A401" s="128" t="s">
        <v>44</v>
      </c>
      <c r="B401" s="128" t="n">
        <v>264.15</v>
      </c>
      <c r="C401" s="128" t="n">
        <v>-66.67</v>
      </c>
      <c r="D401" s="128" t="n">
        <v>-133.33</v>
      </c>
      <c r="E401" s="128" t="n">
        <v>20.55</v>
      </c>
      <c r="F401" s="128" t="n">
        <v>85.97</v>
      </c>
      <c r="G401" s="128" t="n">
        <v>57.7</v>
      </c>
      <c r="H401" s="128" t="n">
        <v>7.88</v>
      </c>
      <c r="I401" s="128" t="n">
        <v>-28.97</v>
      </c>
      <c r="J401" s="128" t="n">
        <v>-50.16</v>
      </c>
      <c r="K401" s="128" t="n">
        <v>253.81</v>
      </c>
      <c r="L401" s="129" t="n">
        <f aca="false">AVERAGE(C401:E401)</f>
        <v>-59.8166666666667</v>
      </c>
      <c r="M401" s="130" t="n">
        <f aca="false">AVERAGE(C401:J401)</f>
        <v>-13.37875</v>
      </c>
      <c r="N401" s="130" t="n">
        <f aca="false">RANK(I401,I:I)</f>
        <v>258</v>
      </c>
      <c r="O401" s="127" t="n">
        <f aca="false">RANK(L401,L:L)</f>
        <v>296</v>
      </c>
      <c r="P401" s="128" t="s">
        <v>48</v>
      </c>
      <c r="Q401" s="127" t="n">
        <f aca="false">RANK(M401,M:M)</f>
        <v>281</v>
      </c>
      <c r="R401" s="128" t="s">
        <v>48</v>
      </c>
      <c r="S401" s="127"/>
      <c r="T401" s="127"/>
      <c r="U401" s="127"/>
      <c r="V401" s="127"/>
      <c r="W401" s="127"/>
      <c r="X401" s="127"/>
    </row>
    <row r="402" customFormat="false" ht="15.75" hidden="false" customHeight="true" outlineLevel="0" collapsed="false">
      <c r="A402" s="128" t="s">
        <v>434</v>
      </c>
      <c r="B402" s="128" t="n">
        <v>264.07</v>
      </c>
      <c r="C402" s="128" t="n">
        <v>-66.67</v>
      </c>
      <c r="D402" s="128" t="n">
        <v>-133.33</v>
      </c>
      <c r="E402" s="128" t="n">
        <v>21.44</v>
      </c>
      <c r="F402" s="128" t="n">
        <v>95.11</v>
      </c>
      <c r="G402" s="128" t="n">
        <v>-4.96</v>
      </c>
      <c r="H402" s="128" t="n">
        <v>-49.96</v>
      </c>
      <c r="I402" s="128" t="n">
        <v>-47.53</v>
      </c>
      <c r="J402" s="128" t="n">
        <v>-35.4</v>
      </c>
      <c r="K402" s="128" t="n">
        <v>254.88</v>
      </c>
      <c r="L402" s="129" t="n">
        <f aca="false">AVERAGE(C402:E402)</f>
        <v>-59.52</v>
      </c>
      <c r="M402" s="130" t="n">
        <f aca="false">AVERAGE(C402:J402)</f>
        <v>-27.6625</v>
      </c>
      <c r="N402" s="130" t="n">
        <f aca="false">RANK(I402,I:I)</f>
        <v>313</v>
      </c>
      <c r="O402" s="127" t="n">
        <f aca="false">RANK(L402,L:L)</f>
        <v>294</v>
      </c>
      <c r="P402" s="128" t="s">
        <v>519</v>
      </c>
      <c r="Q402" s="127" t="n">
        <f aca="false">RANK(M402,M:M)</f>
        <v>334</v>
      </c>
      <c r="R402" s="128" t="s">
        <v>519</v>
      </c>
      <c r="S402" s="127"/>
      <c r="T402" s="127"/>
      <c r="U402" s="127"/>
      <c r="V402" s="127"/>
      <c r="W402" s="127"/>
      <c r="X402" s="127"/>
    </row>
    <row r="403" customFormat="false" ht="15.75" hidden="false" customHeight="true" outlineLevel="0" collapsed="false">
      <c r="A403" s="128" t="s">
        <v>466</v>
      </c>
      <c r="B403" s="128" t="n">
        <v>262.21</v>
      </c>
      <c r="C403" s="128" t="n">
        <v>-66.67</v>
      </c>
      <c r="D403" s="128" t="n">
        <v>-133.33</v>
      </c>
      <c r="E403" s="128" t="n">
        <v>33.73</v>
      </c>
      <c r="F403" s="128" t="n">
        <v>120.55</v>
      </c>
      <c r="G403" s="128" t="n">
        <v>176.45</v>
      </c>
      <c r="H403" s="128" t="n">
        <v>107.07</v>
      </c>
      <c r="I403" s="128" t="n">
        <v>45.44</v>
      </c>
      <c r="J403" s="128" t="n">
        <v>6.73</v>
      </c>
      <c r="K403" s="128" t="n">
        <v>248.07</v>
      </c>
      <c r="L403" s="129" t="n">
        <f aca="false">AVERAGE(C403:E403)</f>
        <v>-55.4233333333333</v>
      </c>
      <c r="M403" s="130" t="n">
        <f aca="false">AVERAGE(C403:J403)</f>
        <v>36.24625</v>
      </c>
      <c r="N403" s="130" t="n">
        <f aca="false">RANK(I403,I:I)</f>
        <v>129</v>
      </c>
      <c r="O403" s="127" t="n">
        <f aca="false">RANK(L403,L:L)</f>
        <v>266</v>
      </c>
      <c r="P403" s="128" t="s">
        <v>466</v>
      </c>
      <c r="Q403" s="127" t="n">
        <f aca="false">RANK(M403,M:M)</f>
        <v>122</v>
      </c>
      <c r="R403" s="128" t="s">
        <v>466</v>
      </c>
      <c r="S403" s="127"/>
      <c r="T403" s="127"/>
      <c r="U403" s="127"/>
      <c r="V403" s="127"/>
      <c r="W403" s="127"/>
      <c r="X403" s="127"/>
    </row>
    <row r="404" customFormat="false" ht="15.75" hidden="false" customHeight="true" outlineLevel="0" collapsed="false">
      <c r="A404" s="128" t="s">
        <v>451</v>
      </c>
      <c r="B404" s="128" t="n">
        <v>256.75</v>
      </c>
      <c r="C404" s="128" t="n">
        <v>-66.67</v>
      </c>
      <c r="D404" s="128" t="n">
        <v>-133.33</v>
      </c>
      <c r="E404" s="128" t="n">
        <v>-2.72</v>
      </c>
      <c r="F404" s="128" t="n">
        <v>-21.53</v>
      </c>
      <c r="G404" s="128" t="n">
        <v>34.08</v>
      </c>
      <c r="H404" s="128" t="n">
        <v>-8.21</v>
      </c>
      <c r="I404" s="128" t="n">
        <v>-38.33</v>
      </c>
      <c r="J404" s="128" t="n">
        <v>-55.81</v>
      </c>
      <c r="K404" s="128" t="n">
        <v>241.74</v>
      </c>
      <c r="L404" s="129" t="n">
        <f aca="false">AVERAGE(C404:E404)</f>
        <v>-67.5733333333333</v>
      </c>
      <c r="M404" s="130" t="n">
        <f aca="false">AVERAGE(C404:J404)</f>
        <v>-36.565</v>
      </c>
      <c r="N404" s="130" t="n">
        <f aca="false">RANK(I404,I:I)</f>
        <v>279</v>
      </c>
      <c r="O404" s="127" t="n">
        <f aca="false">RANK(L404,L:L)</f>
        <v>374</v>
      </c>
      <c r="P404" s="128" t="s">
        <v>434</v>
      </c>
      <c r="Q404" s="127" t="n">
        <f aca="false">RANK(M404,M:M)</f>
        <v>370</v>
      </c>
      <c r="R404" s="128" t="s">
        <v>434</v>
      </c>
      <c r="S404" s="127"/>
      <c r="T404" s="127"/>
      <c r="U404" s="127"/>
      <c r="V404" s="127"/>
      <c r="W404" s="127"/>
      <c r="X404" s="127"/>
    </row>
    <row r="405" customFormat="false" ht="15.75" hidden="false" customHeight="true" outlineLevel="0" collapsed="false">
      <c r="A405" s="128" t="s">
        <v>217</v>
      </c>
      <c r="B405" s="128" t="n">
        <v>253.05</v>
      </c>
      <c r="C405" s="128" t="n">
        <v>-66.67</v>
      </c>
      <c r="D405" s="128" t="n">
        <v>4.85</v>
      </c>
      <c r="E405" s="128" t="n">
        <v>77.64</v>
      </c>
      <c r="F405" s="128" t="n">
        <v>169.2</v>
      </c>
      <c r="G405" s="128" t="n">
        <v>166.33</v>
      </c>
      <c r="H405" s="128" t="n">
        <v>5.22</v>
      </c>
      <c r="I405" s="128" t="n">
        <v>-26.32</v>
      </c>
      <c r="J405" s="128" t="n">
        <v>-44.03</v>
      </c>
      <c r="K405" s="128" t="n">
        <v>239.04</v>
      </c>
      <c r="L405" s="129" t="n">
        <f aca="false">AVERAGE(C405:E405)</f>
        <v>5.27333333333333</v>
      </c>
      <c r="M405" s="130" t="n">
        <f aca="false">AVERAGE(C405:J405)</f>
        <v>35.7775</v>
      </c>
      <c r="N405" s="130" t="n">
        <f aca="false">RANK(I405,I:I)</f>
        <v>251</v>
      </c>
      <c r="O405" s="127" t="n">
        <f aca="false">RANK(L405,L:L)</f>
        <v>76</v>
      </c>
      <c r="P405" s="128" t="s">
        <v>451</v>
      </c>
      <c r="Q405" s="127" t="n">
        <f aca="false">RANK(M405,M:M)</f>
        <v>126</v>
      </c>
      <c r="R405" s="128" t="s">
        <v>451</v>
      </c>
      <c r="S405" s="127"/>
      <c r="T405" s="127"/>
      <c r="U405" s="127"/>
      <c r="V405" s="127"/>
      <c r="W405" s="127"/>
      <c r="X405" s="127"/>
    </row>
    <row r="406" customFormat="false" ht="15.75" hidden="false" customHeight="true" outlineLevel="0" collapsed="false">
      <c r="A406" s="128" t="s">
        <v>111</v>
      </c>
      <c r="B406" s="128" t="n">
        <v>246.79</v>
      </c>
      <c r="C406" s="128" t="n">
        <v>-66.67</v>
      </c>
      <c r="D406" s="128" t="n">
        <v>-116.56</v>
      </c>
      <c r="E406" s="128" t="n">
        <v>47.56</v>
      </c>
      <c r="F406" s="128" t="n">
        <v>111.79</v>
      </c>
      <c r="G406" s="128" t="n">
        <v>162.07</v>
      </c>
      <c r="H406" s="128" t="n">
        <v>115.52</v>
      </c>
      <c r="I406" s="128" t="n">
        <v>69.94</v>
      </c>
      <c r="J406" s="128" t="n">
        <v>64.19</v>
      </c>
      <c r="K406" s="128" t="n">
        <v>236.47</v>
      </c>
      <c r="L406" s="129" t="n">
        <f aca="false">AVERAGE(C406:E406)</f>
        <v>-45.2233333333333</v>
      </c>
      <c r="M406" s="130" t="n">
        <f aca="false">AVERAGE(C406:J406)</f>
        <v>48.48</v>
      </c>
      <c r="N406" s="130" t="n">
        <f aca="false">RANK(I406,I:I)</f>
        <v>100</v>
      </c>
      <c r="O406" s="127" t="n">
        <f aca="false">RANK(L406,L:L)</f>
        <v>215</v>
      </c>
      <c r="P406" s="128" t="s">
        <v>343</v>
      </c>
      <c r="Q406" s="127" t="n">
        <f aca="false">RANK(M406,M:M)</f>
        <v>97</v>
      </c>
      <c r="R406" s="128" t="s">
        <v>343</v>
      </c>
      <c r="S406" s="127"/>
      <c r="T406" s="127"/>
      <c r="U406" s="127"/>
      <c r="V406" s="127"/>
      <c r="W406" s="127"/>
      <c r="X406" s="127"/>
    </row>
    <row r="407" customFormat="false" ht="15.75" hidden="false" customHeight="true" outlineLevel="0" collapsed="false">
      <c r="A407" s="128" t="s">
        <v>166</v>
      </c>
      <c r="B407" s="128" t="n">
        <v>246.33</v>
      </c>
      <c r="C407" s="128" t="n">
        <v>-66.67</v>
      </c>
      <c r="D407" s="128" t="n">
        <v>-115.58</v>
      </c>
      <c r="E407" s="128" t="n">
        <v>52.57</v>
      </c>
      <c r="F407" s="128" t="n">
        <v>74.97</v>
      </c>
      <c r="G407" s="128" t="n">
        <v>57.36</v>
      </c>
      <c r="H407" s="128" t="n">
        <v>20.54</v>
      </c>
      <c r="I407" s="128" t="n">
        <v>-1.53</v>
      </c>
      <c r="J407" s="128" t="n">
        <v>-33.32</v>
      </c>
      <c r="K407" s="128" t="n">
        <v>231.14</v>
      </c>
      <c r="L407" s="129" t="n">
        <f aca="false">AVERAGE(C407:E407)</f>
        <v>-43.2266666666667</v>
      </c>
      <c r="M407" s="130" t="n">
        <f aca="false">AVERAGE(C407:J407)</f>
        <v>-1.4575</v>
      </c>
      <c r="N407" s="130" t="n">
        <f aca="false">RANK(I407,I:I)</f>
        <v>205</v>
      </c>
      <c r="O407" s="127" t="n">
        <f aca="false">RANK(L407,L:L)</f>
        <v>211</v>
      </c>
      <c r="P407" s="128" t="s">
        <v>111</v>
      </c>
      <c r="Q407" s="127" t="n">
        <f aca="false">RANK(M407,M:M)</f>
        <v>235</v>
      </c>
      <c r="R407" s="128" t="s">
        <v>111</v>
      </c>
      <c r="S407" s="127"/>
      <c r="T407" s="127"/>
      <c r="U407" s="127"/>
      <c r="V407" s="127"/>
      <c r="W407" s="127"/>
      <c r="X407" s="127"/>
    </row>
    <row r="408" customFormat="false" ht="15.75" hidden="false" customHeight="true" outlineLevel="0" collapsed="false">
      <c r="A408" s="128" t="s">
        <v>345</v>
      </c>
      <c r="B408" s="128" t="n">
        <v>245.44</v>
      </c>
      <c r="C408" s="128" t="n">
        <v>66.67</v>
      </c>
      <c r="D408" s="128" t="n">
        <v>71.52</v>
      </c>
      <c r="E408" s="128" t="n">
        <v>139.05</v>
      </c>
      <c r="F408" s="128" t="n">
        <v>96.73</v>
      </c>
      <c r="G408" s="128" t="n">
        <v>78.61</v>
      </c>
      <c r="H408" s="128" t="n">
        <v>99.51</v>
      </c>
      <c r="I408" s="128" t="n">
        <v>114.19</v>
      </c>
      <c r="J408" s="128" t="n">
        <v>127.05</v>
      </c>
      <c r="K408" s="128" t="n">
        <v>213.04</v>
      </c>
      <c r="L408" s="129" t="n">
        <f aca="false">AVERAGE(C408:E408)</f>
        <v>92.4133333333333</v>
      </c>
      <c r="M408" s="130" t="n">
        <f aca="false">AVERAGE(C408:J408)</f>
        <v>99.16625</v>
      </c>
      <c r="N408" s="130" t="n">
        <f aca="false">RANK(I408,I:I)</f>
        <v>66</v>
      </c>
      <c r="O408" s="127" t="n">
        <f aca="false">RANK(L408,L:L)</f>
        <v>14</v>
      </c>
      <c r="P408" s="128" t="s">
        <v>262</v>
      </c>
      <c r="Q408" s="127" t="n">
        <f aca="false">RANK(M408,M:M)</f>
        <v>28</v>
      </c>
      <c r="R408" s="128" t="s">
        <v>262</v>
      </c>
      <c r="S408" s="127"/>
      <c r="T408" s="127"/>
      <c r="U408" s="127"/>
      <c r="V408" s="127"/>
      <c r="W408" s="127"/>
      <c r="X408" s="127"/>
    </row>
    <row r="409" customFormat="false" ht="15.75" hidden="false" customHeight="true" outlineLevel="0" collapsed="false">
      <c r="A409" s="128" t="s">
        <v>343</v>
      </c>
      <c r="B409" s="128" t="n">
        <v>242.6</v>
      </c>
      <c r="C409" s="128" t="n">
        <v>-66.67</v>
      </c>
      <c r="D409" s="128" t="n">
        <v>-133.33</v>
      </c>
      <c r="E409" s="128" t="n">
        <v>24.29</v>
      </c>
      <c r="F409" s="128" t="n">
        <v>18.98</v>
      </c>
      <c r="G409" s="128" t="n">
        <v>-56.97</v>
      </c>
      <c r="H409" s="128" t="n">
        <v>-85.04</v>
      </c>
      <c r="I409" s="128" t="n">
        <v>-103.7</v>
      </c>
      <c r="J409" s="128" t="n">
        <v>-109.15</v>
      </c>
      <c r="K409" s="128" t="n">
        <v>251.04</v>
      </c>
      <c r="L409" s="129" t="n">
        <f aca="false">AVERAGE(C409:E409)</f>
        <v>-58.57</v>
      </c>
      <c r="M409" s="130" t="n">
        <f aca="false">AVERAGE(C409:J409)</f>
        <v>-63.94875</v>
      </c>
      <c r="N409" s="130" t="n">
        <f aca="false">RANK(I409,I:I)</f>
        <v>462</v>
      </c>
      <c r="O409" s="127" t="n">
        <f aca="false">RANK(L409,L:L)</f>
        <v>288</v>
      </c>
      <c r="P409" s="128" t="s">
        <v>97</v>
      </c>
      <c r="Q409" s="127" t="n">
        <f aca="false">RANK(M409,M:M)</f>
        <v>439</v>
      </c>
      <c r="R409" s="128" t="s">
        <v>97</v>
      </c>
      <c r="S409" s="127"/>
      <c r="T409" s="127"/>
      <c r="U409" s="127"/>
      <c r="V409" s="127"/>
      <c r="W409" s="127"/>
      <c r="X409" s="127"/>
    </row>
    <row r="410" customFormat="false" ht="15.75" hidden="false" customHeight="true" outlineLevel="0" collapsed="false">
      <c r="A410" s="128" t="s">
        <v>48</v>
      </c>
      <c r="B410" s="128" t="n">
        <v>240.9</v>
      </c>
      <c r="C410" s="128" t="n">
        <v>-66.67</v>
      </c>
      <c r="D410" s="128" t="n">
        <v>31.77</v>
      </c>
      <c r="E410" s="128" t="n">
        <v>29.6</v>
      </c>
      <c r="F410" s="128" t="n">
        <v>-75.25</v>
      </c>
      <c r="G410" s="128" t="n">
        <v>-105.82</v>
      </c>
      <c r="H410" s="128" t="n">
        <v>-141.29</v>
      </c>
      <c r="I410" s="128" t="n">
        <v>-168.52</v>
      </c>
      <c r="J410" s="128" t="n">
        <v>-158.89</v>
      </c>
      <c r="K410" s="128" t="n">
        <v>257.07</v>
      </c>
      <c r="L410" s="129" t="n">
        <f aca="false">AVERAGE(C410:E410)</f>
        <v>-1.76666666666667</v>
      </c>
      <c r="M410" s="130" t="n">
        <f aca="false">AVERAGE(C410:J410)</f>
        <v>-81.88375</v>
      </c>
      <c r="N410" s="130" t="n">
        <f aca="false">RANK(I410,I:I)</f>
        <v>489</v>
      </c>
      <c r="O410" s="127" t="n">
        <f aca="false">RANK(L410,L:L)</f>
        <v>92</v>
      </c>
      <c r="P410" s="128" t="s">
        <v>427</v>
      </c>
      <c r="Q410" s="127" t="n">
        <f aca="false">RANK(M410,M:M)</f>
        <v>471</v>
      </c>
      <c r="R410" s="128" t="s">
        <v>427</v>
      </c>
      <c r="S410" s="127"/>
      <c r="T410" s="127"/>
      <c r="U410" s="127"/>
      <c r="V410" s="127"/>
      <c r="W410" s="127"/>
      <c r="X410" s="127"/>
    </row>
    <row r="411" customFormat="false" ht="15.75" hidden="false" customHeight="true" outlineLevel="0" collapsed="false">
      <c r="A411" s="128" t="s">
        <v>262</v>
      </c>
      <c r="B411" s="128" t="n">
        <v>237.62</v>
      </c>
      <c r="C411" s="128" t="n">
        <v>-66.67</v>
      </c>
      <c r="D411" s="128" t="n">
        <v>-133.33</v>
      </c>
      <c r="E411" s="128" t="n">
        <v>0.343</v>
      </c>
      <c r="F411" s="128" t="n">
        <v>4.78</v>
      </c>
      <c r="G411" s="128" t="n">
        <v>66.25</v>
      </c>
      <c r="H411" s="128" t="n">
        <v>51.83</v>
      </c>
      <c r="I411" s="128" t="n">
        <v>14.33</v>
      </c>
      <c r="J411" s="128" t="n">
        <v>-11.82</v>
      </c>
      <c r="K411" s="128" t="n">
        <v>257.24</v>
      </c>
      <c r="L411" s="129" t="n">
        <f aca="false">AVERAGE(C411:E411)</f>
        <v>-66.5523333333334</v>
      </c>
      <c r="M411" s="130" t="n">
        <f aca="false">AVERAGE(C411:J411)</f>
        <v>-9.285875</v>
      </c>
      <c r="N411" s="130" t="n">
        <f aca="false">RANK(I411,I:I)</f>
        <v>178</v>
      </c>
      <c r="O411" s="127" t="n">
        <f aca="false">RANK(L411,L:L)</f>
        <v>368</v>
      </c>
      <c r="P411" s="128" t="s">
        <v>166</v>
      </c>
      <c r="Q411" s="127" t="n">
        <f aca="false">RANK(M411,M:M)</f>
        <v>265</v>
      </c>
      <c r="R411" s="128" t="s">
        <v>166</v>
      </c>
      <c r="S411" s="127"/>
      <c r="T411" s="127"/>
      <c r="U411" s="127"/>
      <c r="V411" s="127"/>
      <c r="W411" s="127"/>
      <c r="X411" s="127"/>
    </row>
    <row r="412" customFormat="false" ht="15.75" hidden="false" customHeight="true" outlineLevel="0" collapsed="false">
      <c r="A412" s="128" t="s">
        <v>427</v>
      </c>
      <c r="B412" s="128" t="n">
        <v>231.84</v>
      </c>
      <c r="C412" s="128" t="n">
        <v>-66.67</v>
      </c>
      <c r="D412" s="128" t="n">
        <v>-71.05</v>
      </c>
      <c r="E412" s="128" t="n">
        <v>12.77</v>
      </c>
      <c r="F412" s="128" t="n">
        <v>43.58</v>
      </c>
      <c r="G412" s="128" t="n">
        <v>81.7</v>
      </c>
      <c r="H412" s="128" t="n">
        <v>1.84</v>
      </c>
      <c r="I412" s="128" t="n">
        <v>-40.68</v>
      </c>
      <c r="J412" s="128" t="n">
        <v>-49.42</v>
      </c>
      <c r="K412" s="128" t="n">
        <v>215.57</v>
      </c>
      <c r="L412" s="129" t="n">
        <f aca="false">AVERAGE(C412:E412)</f>
        <v>-41.65</v>
      </c>
      <c r="M412" s="130" t="n">
        <f aca="false">AVERAGE(C412:J412)</f>
        <v>-10.99125</v>
      </c>
      <c r="N412" s="130" t="n">
        <f aca="false">RANK(I412,I:I)</f>
        <v>290</v>
      </c>
      <c r="O412" s="127" t="n">
        <f aca="false">RANK(L412,L:L)</f>
        <v>206</v>
      </c>
      <c r="P412" s="128" t="s">
        <v>461</v>
      </c>
      <c r="Q412" s="127" t="n">
        <f aca="false">RANK(M412,M:M)</f>
        <v>269</v>
      </c>
      <c r="R412" s="128" t="s">
        <v>461</v>
      </c>
      <c r="S412" s="127"/>
      <c r="T412" s="127"/>
      <c r="U412" s="127"/>
      <c r="V412" s="127"/>
      <c r="W412" s="127"/>
      <c r="X412" s="127"/>
    </row>
    <row r="413" customFormat="false" ht="15.75" hidden="false" customHeight="true" outlineLevel="0" collapsed="false">
      <c r="A413" s="128" t="s">
        <v>461</v>
      </c>
      <c r="B413" s="128" t="n">
        <v>231.26</v>
      </c>
      <c r="C413" s="128" t="n">
        <v>-66.67</v>
      </c>
      <c r="D413" s="128" t="n">
        <v>-33.89</v>
      </c>
      <c r="E413" s="128" t="n">
        <v>60.83</v>
      </c>
      <c r="F413" s="128" t="n">
        <v>55.81</v>
      </c>
      <c r="G413" s="128" t="n">
        <v>-23.39</v>
      </c>
      <c r="H413" s="128" t="n">
        <v>-56.06</v>
      </c>
      <c r="I413" s="128" t="n">
        <v>-76.61</v>
      </c>
      <c r="J413" s="128" t="n">
        <v>-95.03</v>
      </c>
      <c r="K413" s="128" t="n">
        <v>217.43</v>
      </c>
      <c r="L413" s="129" t="n">
        <f aca="false">AVERAGE(C413:E413)</f>
        <v>-13.2433333333333</v>
      </c>
      <c r="M413" s="130" t="n">
        <f aca="false">AVERAGE(C413:J413)</f>
        <v>-29.37625</v>
      </c>
      <c r="N413" s="130" t="n">
        <f aca="false">RANK(I413,I:I)</f>
        <v>411</v>
      </c>
      <c r="O413" s="127" t="n">
        <f aca="false">RANK(L413,L:L)</f>
        <v>116</v>
      </c>
      <c r="P413" s="128" t="s">
        <v>337</v>
      </c>
      <c r="Q413" s="127" t="n">
        <f aca="false">RANK(M413,M:M)</f>
        <v>344</v>
      </c>
      <c r="R413" s="128" t="s">
        <v>337</v>
      </c>
      <c r="S413" s="127"/>
      <c r="T413" s="127"/>
      <c r="U413" s="127"/>
      <c r="V413" s="127"/>
      <c r="W413" s="127"/>
      <c r="X413" s="127"/>
    </row>
    <row r="414" customFormat="false" ht="15.75" hidden="false" customHeight="true" outlineLevel="0" collapsed="false">
      <c r="A414" s="128" t="s">
        <v>499</v>
      </c>
      <c r="B414" s="128" t="n">
        <v>229.96</v>
      </c>
      <c r="C414" s="128" t="n">
        <v>-66.67</v>
      </c>
      <c r="D414" s="128" t="n">
        <v>-133.33</v>
      </c>
      <c r="E414" s="128" t="n">
        <v>6.84</v>
      </c>
      <c r="F414" s="128" t="n">
        <v>42.48</v>
      </c>
      <c r="G414" s="128" t="n">
        <v>38.18</v>
      </c>
      <c r="H414" s="128" t="n">
        <v>-27.04</v>
      </c>
      <c r="I414" s="128" t="n">
        <v>-49.07</v>
      </c>
      <c r="J414" s="128" t="n">
        <v>-67.65</v>
      </c>
      <c r="K414" s="128" t="n">
        <v>218.52</v>
      </c>
      <c r="L414" s="129" t="n">
        <f aca="false">AVERAGE(C414:E414)</f>
        <v>-64.3866666666667</v>
      </c>
      <c r="M414" s="130" t="n">
        <f aca="false">AVERAGE(C414:J414)</f>
        <v>-32.0325</v>
      </c>
      <c r="N414" s="130" t="n">
        <f aca="false">RANK(I414,I:I)</f>
        <v>323</v>
      </c>
      <c r="O414" s="127" t="n">
        <f aca="false">RANK(L414,L:L)</f>
        <v>341</v>
      </c>
      <c r="P414" s="128" t="s">
        <v>217</v>
      </c>
      <c r="Q414" s="127" t="n">
        <f aca="false">RANK(M414,M:M)</f>
        <v>351</v>
      </c>
      <c r="R414" s="128" t="s">
        <v>217</v>
      </c>
      <c r="S414" s="127"/>
      <c r="T414" s="127"/>
      <c r="U414" s="127"/>
      <c r="V414" s="127"/>
      <c r="W414" s="127"/>
      <c r="X414" s="127"/>
    </row>
    <row r="415" customFormat="false" ht="15.75" hidden="false" customHeight="true" outlineLevel="0" collapsed="false">
      <c r="A415" s="128" t="s">
        <v>656</v>
      </c>
      <c r="B415" s="128" t="n">
        <v>228.81</v>
      </c>
      <c r="C415" s="128" t="n">
        <v>-66.67</v>
      </c>
      <c r="D415" s="128" t="n">
        <v>-133.33</v>
      </c>
      <c r="E415" s="128" t="n">
        <v>31.94</v>
      </c>
      <c r="F415" s="128" t="n">
        <v>101.27</v>
      </c>
      <c r="G415" s="128" t="n">
        <v>86.09</v>
      </c>
      <c r="H415" s="128" t="n">
        <v>-6.6</v>
      </c>
      <c r="I415" s="128" t="n">
        <v>-30.39</v>
      </c>
      <c r="J415" s="128" t="n">
        <v>-44.97</v>
      </c>
      <c r="K415" s="128" t="n">
        <v>216.63</v>
      </c>
      <c r="L415" s="129" t="n">
        <f aca="false">AVERAGE(C415:E415)</f>
        <v>-56.02</v>
      </c>
      <c r="M415" s="130" t="n">
        <f aca="false">AVERAGE(C415:J415)</f>
        <v>-7.8325</v>
      </c>
      <c r="N415" s="130" t="n">
        <f aca="false">RANK(I415,I:I)</f>
        <v>261</v>
      </c>
      <c r="O415" s="127" t="n">
        <f aca="false">RANK(L415,L:L)</f>
        <v>270</v>
      </c>
      <c r="P415" s="128" t="s">
        <v>499</v>
      </c>
      <c r="Q415" s="127" t="n">
        <f aca="false">RANK(M415,M:M)</f>
        <v>258</v>
      </c>
      <c r="R415" s="128" t="s">
        <v>499</v>
      </c>
      <c r="S415" s="127"/>
      <c r="T415" s="127"/>
      <c r="U415" s="127"/>
      <c r="V415" s="127"/>
      <c r="W415" s="127"/>
      <c r="X415" s="127"/>
    </row>
    <row r="416" customFormat="false" ht="15.75" hidden="false" customHeight="true" outlineLevel="0" collapsed="false">
      <c r="A416" s="128" t="s">
        <v>97</v>
      </c>
      <c r="B416" s="128" t="n">
        <v>226.93</v>
      </c>
      <c r="C416" s="128" t="n">
        <v>-66.67</v>
      </c>
      <c r="D416" s="128" t="n">
        <v>-133.33</v>
      </c>
      <c r="E416" s="128" t="n">
        <v>-61.1</v>
      </c>
      <c r="F416" s="128" t="n">
        <v>9.9</v>
      </c>
      <c r="G416" s="128" t="n">
        <v>67.75</v>
      </c>
      <c r="H416" s="128" t="n">
        <v>102.08</v>
      </c>
      <c r="I416" s="128" t="n">
        <v>111.4</v>
      </c>
      <c r="J416" s="128" t="n">
        <v>119.87</v>
      </c>
      <c r="K416" s="128" t="n">
        <v>218.28</v>
      </c>
      <c r="L416" s="129" t="n">
        <f aca="false">AVERAGE(C416:E416)</f>
        <v>-87.0333333333334</v>
      </c>
      <c r="M416" s="130" t="n">
        <f aca="false">AVERAGE(C416:J416)</f>
        <v>18.7375</v>
      </c>
      <c r="N416" s="130" t="n">
        <f aca="false">RANK(I416,I:I)</f>
        <v>71</v>
      </c>
      <c r="O416" s="127" t="n">
        <f aca="false">RANK(L416,L:L)</f>
        <v>456</v>
      </c>
      <c r="P416" s="128" t="s">
        <v>550</v>
      </c>
      <c r="Q416" s="127" t="n">
        <f aca="false">RANK(M416,M:M)</f>
        <v>173</v>
      </c>
      <c r="R416" s="128" t="s">
        <v>550</v>
      </c>
      <c r="S416" s="127"/>
      <c r="T416" s="127"/>
      <c r="U416" s="127"/>
      <c r="V416" s="127"/>
      <c r="W416" s="127"/>
      <c r="X416" s="127"/>
    </row>
    <row r="417" customFormat="false" ht="15.75" hidden="false" customHeight="true" outlineLevel="0" collapsed="false">
      <c r="A417" s="128" t="s">
        <v>175</v>
      </c>
      <c r="B417" s="128" t="n">
        <v>225.04</v>
      </c>
      <c r="C417" s="128" t="n">
        <v>-66.67</v>
      </c>
      <c r="D417" s="128" t="n">
        <v>-4.27</v>
      </c>
      <c r="E417" s="128" t="n">
        <v>76.5</v>
      </c>
      <c r="F417" s="128" t="n">
        <v>164.23</v>
      </c>
      <c r="G417" s="128" t="n">
        <v>154.9</v>
      </c>
      <c r="H417" s="128" t="n">
        <v>113</v>
      </c>
      <c r="I417" s="128" t="n">
        <v>83.64</v>
      </c>
      <c r="J417" s="128" t="n">
        <v>62.36</v>
      </c>
      <c r="K417" s="128" t="n">
        <v>215.37</v>
      </c>
      <c r="L417" s="129" t="n">
        <f aca="false">AVERAGE(C417:E417)</f>
        <v>1.85333333333333</v>
      </c>
      <c r="M417" s="130" t="n">
        <f aca="false">AVERAGE(C417:J417)</f>
        <v>72.96125</v>
      </c>
      <c r="N417" s="130" t="n">
        <f aca="false">RANK(I417,I:I)</f>
        <v>95</v>
      </c>
      <c r="O417" s="127" t="n">
        <f aca="false">RANK(L417,L:L)</f>
        <v>83</v>
      </c>
      <c r="P417" s="128" t="s">
        <v>107</v>
      </c>
      <c r="Q417" s="127" t="n">
        <f aca="false">RANK(M417,M:M)</f>
        <v>59</v>
      </c>
      <c r="R417" s="128" t="s">
        <v>107</v>
      </c>
      <c r="S417" s="127"/>
      <c r="T417" s="127"/>
      <c r="U417" s="127"/>
      <c r="V417" s="127"/>
      <c r="W417" s="127"/>
      <c r="X417" s="127"/>
    </row>
    <row r="418" customFormat="false" ht="15.75" hidden="false" customHeight="true" outlineLevel="0" collapsed="false">
      <c r="A418" s="128" t="s">
        <v>107</v>
      </c>
      <c r="B418" s="128" t="n">
        <v>222.37</v>
      </c>
      <c r="C418" s="128" t="n">
        <v>-66.67</v>
      </c>
      <c r="D418" s="128" t="n">
        <v>-133.33</v>
      </c>
      <c r="E418" s="128" t="n">
        <v>9.16</v>
      </c>
      <c r="F418" s="128" t="n">
        <v>87.45</v>
      </c>
      <c r="G418" s="128" t="n">
        <v>128.57</v>
      </c>
      <c r="H418" s="128" t="n">
        <v>64.71</v>
      </c>
      <c r="I418" s="128" t="n">
        <v>21.35</v>
      </c>
      <c r="J418" s="128" t="n">
        <v>-8.99</v>
      </c>
      <c r="K418" s="128" t="n">
        <v>210.27</v>
      </c>
      <c r="L418" s="129" t="n">
        <f aca="false">AVERAGE(C418:E418)</f>
        <v>-63.6133333333333</v>
      </c>
      <c r="M418" s="130" t="n">
        <f aca="false">AVERAGE(C418:J418)</f>
        <v>12.78125</v>
      </c>
      <c r="N418" s="130" t="n">
        <f aca="false">RANK(I418,I:I)</f>
        <v>169</v>
      </c>
      <c r="O418" s="127" t="n">
        <f aca="false">RANK(L418,L:L)</f>
        <v>330</v>
      </c>
      <c r="P418" s="128" t="s">
        <v>315</v>
      </c>
      <c r="Q418" s="127" t="n">
        <f aca="false">RANK(M418,M:M)</f>
        <v>192</v>
      </c>
      <c r="R418" s="128" t="s">
        <v>315</v>
      </c>
      <c r="S418" s="127"/>
      <c r="T418" s="127"/>
      <c r="U418" s="127"/>
      <c r="V418" s="127"/>
      <c r="W418" s="127"/>
      <c r="X418" s="127"/>
    </row>
    <row r="419" customFormat="false" ht="15.75" hidden="false" customHeight="true" outlineLevel="0" collapsed="false">
      <c r="A419" s="128" t="s">
        <v>212</v>
      </c>
      <c r="B419" s="128" t="n">
        <v>220.24</v>
      </c>
      <c r="C419" s="128" t="n">
        <v>-66.67</v>
      </c>
      <c r="D419" s="128" t="n">
        <v>-133.33</v>
      </c>
      <c r="E419" s="128" t="n">
        <v>-13.13</v>
      </c>
      <c r="F419" s="128" t="n">
        <v>91.1</v>
      </c>
      <c r="G419" s="128" t="n">
        <v>110.98</v>
      </c>
      <c r="H419" s="128" t="n">
        <v>44.68</v>
      </c>
      <c r="I419" s="128" t="n">
        <v>33.85</v>
      </c>
      <c r="J419" s="128" t="n">
        <v>27.13</v>
      </c>
      <c r="K419" s="128" t="n">
        <v>213.29</v>
      </c>
      <c r="L419" s="129" t="n">
        <f aca="false">AVERAGE(C419:E419)</f>
        <v>-71.0433333333333</v>
      </c>
      <c r="M419" s="130" t="n">
        <f aca="false">AVERAGE(C419:J419)</f>
        <v>11.82625</v>
      </c>
      <c r="N419" s="130" t="n">
        <f aca="false">RANK(I419,I:I)</f>
        <v>149</v>
      </c>
      <c r="O419" s="127" t="n">
        <f aca="false">RANK(L419,L:L)</f>
        <v>398</v>
      </c>
      <c r="P419" s="128" t="s">
        <v>345</v>
      </c>
      <c r="Q419" s="127" t="n">
        <f aca="false">RANK(M419,M:M)</f>
        <v>196</v>
      </c>
      <c r="R419" s="128" t="s">
        <v>345</v>
      </c>
      <c r="S419" s="127"/>
      <c r="T419" s="127"/>
      <c r="U419" s="127"/>
      <c r="V419" s="127"/>
      <c r="W419" s="127"/>
      <c r="X419" s="127"/>
    </row>
    <row r="420" customFormat="false" ht="15.75" hidden="false" customHeight="true" outlineLevel="0" collapsed="false">
      <c r="A420" s="128" t="s">
        <v>337</v>
      </c>
      <c r="B420" s="128" t="n">
        <v>216.25</v>
      </c>
      <c r="C420" s="128" t="n">
        <v>-66.67</v>
      </c>
      <c r="D420" s="128" t="n">
        <v>-133.33</v>
      </c>
      <c r="E420" s="128" t="n">
        <v>-84.28</v>
      </c>
      <c r="F420" s="128" t="n">
        <v>-11.33</v>
      </c>
      <c r="G420" s="128" t="n">
        <v>10.02</v>
      </c>
      <c r="H420" s="128" t="n">
        <v>-39.19</v>
      </c>
      <c r="I420" s="128" t="n">
        <v>-59.96</v>
      </c>
      <c r="J420" s="128" t="n">
        <v>-61.33</v>
      </c>
      <c r="K420" s="128" t="n">
        <v>234.79</v>
      </c>
      <c r="L420" s="129" t="n">
        <f aca="false">AVERAGE(C420:E420)</f>
        <v>-94.76</v>
      </c>
      <c r="M420" s="130" t="n">
        <f aca="false">AVERAGE(C420:J420)</f>
        <v>-55.75875</v>
      </c>
      <c r="N420" s="130" t="n">
        <f aca="false">RANK(I420,I:I)</f>
        <v>364</v>
      </c>
      <c r="O420" s="127" t="n">
        <f aca="false">RANK(L420,L:L)</f>
        <v>469</v>
      </c>
      <c r="P420" s="128" t="s">
        <v>293</v>
      </c>
      <c r="Q420" s="127" t="n">
        <f aca="false">RANK(M420,M:M)</f>
        <v>423</v>
      </c>
      <c r="R420" s="128" t="s">
        <v>293</v>
      </c>
      <c r="S420" s="127"/>
      <c r="T420" s="127"/>
      <c r="U420" s="127"/>
      <c r="V420" s="127"/>
      <c r="W420" s="127"/>
      <c r="X420" s="127"/>
    </row>
    <row r="421" customFormat="false" ht="15.75" hidden="false" customHeight="true" outlineLevel="0" collapsed="false">
      <c r="A421" s="128" t="s">
        <v>315</v>
      </c>
      <c r="B421" s="128" t="n">
        <v>215.97</v>
      </c>
      <c r="C421" s="128" t="n">
        <v>-66.67</v>
      </c>
      <c r="D421" s="128" t="n">
        <v>-133.33</v>
      </c>
      <c r="E421" s="128" t="n">
        <v>-10.56</v>
      </c>
      <c r="F421" s="128" t="n">
        <v>66.37</v>
      </c>
      <c r="G421" s="128" t="n">
        <v>11.27</v>
      </c>
      <c r="H421" s="128" t="n">
        <v>-3.75</v>
      </c>
      <c r="I421" s="128" t="n">
        <v>-23.15</v>
      </c>
      <c r="J421" s="128" t="n">
        <v>-13.06</v>
      </c>
      <c r="K421" s="128" t="n">
        <v>207.48</v>
      </c>
      <c r="L421" s="129" t="n">
        <f aca="false">AVERAGE(C421:E421)</f>
        <v>-70.1866666666667</v>
      </c>
      <c r="M421" s="130" t="n">
        <f aca="false">AVERAGE(C421:J421)</f>
        <v>-21.61</v>
      </c>
      <c r="N421" s="130" t="n">
        <f aca="false">RANK(I421,I:I)</f>
        <v>246</v>
      </c>
      <c r="O421" s="127" t="n">
        <f aca="false">RANK(L421,L:L)</f>
        <v>394</v>
      </c>
      <c r="P421" s="128" t="s">
        <v>175</v>
      </c>
      <c r="Q421" s="127" t="n">
        <f aca="false">RANK(M421,M:M)</f>
        <v>308</v>
      </c>
      <c r="R421" s="128" t="s">
        <v>175</v>
      </c>
      <c r="S421" s="127"/>
      <c r="T421" s="127"/>
      <c r="U421" s="127"/>
      <c r="V421" s="127"/>
      <c r="W421" s="127"/>
      <c r="X421" s="127"/>
    </row>
    <row r="422" customFormat="false" ht="15.75" hidden="false" customHeight="true" outlineLevel="0" collapsed="false">
      <c r="A422" s="128" t="s">
        <v>41</v>
      </c>
      <c r="B422" s="128" t="n">
        <v>213.48</v>
      </c>
      <c r="C422" s="128" t="n">
        <v>-66.67</v>
      </c>
      <c r="D422" s="128" t="n">
        <v>-133.33</v>
      </c>
      <c r="E422" s="128" t="n">
        <v>31.25</v>
      </c>
      <c r="F422" s="128" t="n">
        <v>-4.46</v>
      </c>
      <c r="G422" s="128" t="n">
        <v>-28.88</v>
      </c>
      <c r="H422" s="128" t="n">
        <v>-61.14</v>
      </c>
      <c r="I422" s="128" t="n">
        <v>-72.9</v>
      </c>
      <c r="J422" s="128" t="n">
        <v>-79.26</v>
      </c>
      <c r="K422" s="128" t="n">
        <v>202.19</v>
      </c>
      <c r="L422" s="129" t="n">
        <f aca="false">AVERAGE(C422:E422)</f>
        <v>-56.25</v>
      </c>
      <c r="M422" s="130" t="n">
        <f aca="false">AVERAGE(C422:J422)</f>
        <v>-51.92375</v>
      </c>
      <c r="N422" s="130" t="n">
        <f aca="false">RANK(I422,I:I)</f>
        <v>399</v>
      </c>
      <c r="O422" s="127" t="n">
        <f aca="false">RANK(L422,L:L)</f>
        <v>274</v>
      </c>
      <c r="P422" s="128" t="s">
        <v>223</v>
      </c>
      <c r="Q422" s="127" t="n">
        <f aca="false">RANK(M422,M:M)</f>
        <v>414</v>
      </c>
      <c r="R422" s="128" t="s">
        <v>223</v>
      </c>
      <c r="S422" s="127"/>
      <c r="T422" s="127"/>
      <c r="U422" s="127"/>
      <c r="V422" s="127"/>
      <c r="W422" s="127"/>
      <c r="X422" s="127"/>
    </row>
    <row r="423" customFormat="false" ht="15.75" hidden="false" customHeight="true" outlineLevel="0" collapsed="false">
      <c r="A423" s="128" t="s">
        <v>1280</v>
      </c>
      <c r="B423" s="128" t="n">
        <v>212.27</v>
      </c>
      <c r="C423" s="128" t="n">
        <v>-66.67</v>
      </c>
      <c r="D423" s="128" t="n">
        <v>-58.34</v>
      </c>
      <c r="E423" s="128" t="n">
        <v>57.89</v>
      </c>
      <c r="F423" s="128" t="n">
        <v>137.68</v>
      </c>
      <c r="G423" s="128" t="n">
        <v>95.95</v>
      </c>
      <c r="H423" s="128" t="n">
        <v>14.24</v>
      </c>
      <c r="I423" s="128"/>
      <c r="J423" s="128"/>
      <c r="K423" s="128" t="n">
        <v>197.81</v>
      </c>
      <c r="L423" s="129" t="n">
        <f aca="false">AVERAGE(C423:E423)</f>
        <v>-22.3733333333333</v>
      </c>
      <c r="M423" s="130" t="n">
        <f aca="false">AVERAGE(C423:J423)</f>
        <v>30.125</v>
      </c>
      <c r="N423" s="130" t="e">
        <f aca="false">RANK(I423,I:I)</f>
        <v>#N/A</v>
      </c>
      <c r="O423" s="127" t="n">
        <f aca="false">RANK(L423,L:L)</f>
        <v>139</v>
      </c>
      <c r="P423" s="128" t="s">
        <v>212</v>
      </c>
      <c r="Q423" s="127" t="n">
        <f aca="false">RANK(M423,M:M)</f>
        <v>140</v>
      </c>
      <c r="R423" s="128" t="s">
        <v>212</v>
      </c>
      <c r="S423" s="127"/>
      <c r="T423" s="127"/>
      <c r="U423" s="127"/>
      <c r="V423" s="127"/>
      <c r="W423" s="127"/>
      <c r="X423" s="127"/>
    </row>
    <row r="424" customFormat="false" ht="15.75" hidden="false" customHeight="true" outlineLevel="0" collapsed="false">
      <c r="A424" s="128" t="s">
        <v>223</v>
      </c>
      <c r="B424" s="128" t="n">
        <v>211.77</v>
      </c>
      <c r="C424" s="128" t="n">
        <v>-66.67</v>
      </c>
      <c r="D424" s="128" t="n">
        <v>-133.33</v>
      </c>
      <c r="E424" s="128" t="n">
        <v>-34.42</v>
      </c>
      <c r="F424" s="128" t="n">
        <v>57.33</v>
      </c>
      <c r="G424" s="128" t="n">
        <v>39.43</v>
      </c>
      <c r="H424" s="128" t="n">
        <v>-26.82</v>
      </c>
      <c r="I424" s="128" t="n">
        <v>-51.01</v>
      </c>
      <c r="J424" s="128" t="n">
        <v>-65.88</v>
      </c>
      <c r="K424" s="128" t="n">
        <v>201.72</v>
      </c>
      <c r="L424" s="129" t="n">
        <f aca="false">AVERAGE(C424:E424)</f>
        <v>-78.14</v>
      </c>
      <c r="M424" s="130" t="n">
        <f aca="false">AVERAGE(C424:J424)</f>
        <v>-35.17125</v>
      </c>
      <c r="N424" s="130" t="n">
        <f aca="false">RANK(I424,I:I)</f>
        <v>330</v>
      </c>
      <c r="O424" s="127" t="n">
        <f aca="false">RANK(L424,L:L)</f>
        <v>435</v>
      </c>
      <c r="P424" s="128" t="s">
        <v>1280</v>
      </c>
      <c r="Q424" s="127" t="n">
        <f aca="false">RANK(M424,M:M)</f>
        <v>366</v>
      </c>
      <c r="R424" s="128" t="s">
        <v>1280</v>
      </c>
      <c r="S424" s="127"/>
      <c r="T424" s="127"/>
      <c r="U424" s="127"/>
      <c r="V424" s="127"/>
      <c r="W424" s="127"/>
      <c r="X424" s="127"/>
    </row>
    <row r="425" customFormat="false" ht="15.75" hidden="false" customHeight="true" outlineLevel="0" collapsed="false">
      <c r="A425" s="128" t="s">
        <v>293</v>
      </c>
      <c r="B425" s="128" t="n">
        <v>202.98</v>
      </c>
      <c r="C425" s="128" t="n">
        <v>-66.67</v>
      </c>
      <c r="D425" s="128" t="n">
        <v>-133.33</v>
      </c>
      <c r="E425" s="128" t="n">
        <v>10.3</v>
      </c>
      <c r="F425" s="128" t="n">
        <v>-46.32</v>
      </c>
      <c r="G425" s="128" t="n">
        <v>-17.74</v>
      </c>
      <c r="H425" s="128" t="n">
        <v>6.59</v>
      </c>
      <c r="I425" s="128" t="n">
        <v>3.42</v>
      </c>
      <c r="J425" s="128" t="n">
        <v>-23.02</v>
      </c>
      <c r="K425" s="128" t="n">
        <v>218.07</v>
      </c>
      <c r="L425" s="129" t="n">
        <f aca="false">AVERAGE(C425:E425)</f>
        <v>-63.2333333333333</v>
      </c>
      <c r="M425" s="130" t="n">
        <f aca="false">AVERAGE(C425:J425)</f>
        <v>-33.34625</v>
      </c>
      <c r="N425" s="130" t="n">
        <f aca="false">RANK(I425,I:I)</f>
        <v>196</v>
      </c>
      <c r="O425" s="127" t="n">
        <f aca="false">RANK(L425,L:L)</f>
        <v>327</v>
      </c>
      <c r="P425" s="128" t="s">
        <v>155</v>
      </c>
      <c r="Q425" s="127" t="n">
        <f aca="false">RANK(M425,M:M)</f>
        <v>356</v>
      </c>
      <c r="R425" s="128" t="s">
        <v>155</v>
      </c>
      <c r="S425" s="127"/>
      <c r="T425" s="127"/>
      <c r="U425" s="127"/>
      <c r="V425" s="127"/>
      <c r="W425" s="127"/>
      <c r="X425" s="127"/>
    </row>
    <row r="426" customFormat="false" ht="15.75" hidden="false" customHeight="true" outlineLevel="0" collapsed="false">
      <c r="A426" s="128" t="s">
        <v>155</v>
      </c>
      <c r="B426" s="128" t="n">
        <v>196.49</v>
      </c>
      <c r="C426" s="128" t="n">
        <v>-66.67</v>
      </c>
      <c r="D426" s="128" t="n">
        <v>-112.66</v>
      </c>
      <c r="E426" s="128" t="n">
        <v>27.77</v>
      </c>
      <c r="F426" s="128" t="n">
        <v>84.01</v>
      </c>
      <c r="G426" s="128" t="n">
        <v>129.1</v>
      </c>
      <c r="H426" s="128" t="n">
        <v>73.56</v>
      </c>
      <c r="I426" s="128" t="n">
        <v>24.15</v>
      </c>
      <c r="J426" s="128" t="n">
        <v>33.45</v>
      </c>
      <c r="K426" s="128" t="n">
        <v>190.61</v>
      </c>
      <c r="L426" s="129" t="n">
        <f aca="false">AVERAGE(C426:E426)</f>
        <v>-50.52</v>
      </c>
      <c r="M426" s="130" t="n">
        <f aca="false">AVERAGE(C426:J426)</f>
        <v>24.08875</v>
      </c>
      <c r="N426" s="130" t="n">
        <f aca="false">RANK(I426,I:I)</f>
        <v>164</v>
      </c>
      <c r="O426" s="127" t="n">
        <f aca="false">RANK(L426,L:L)</f>
        <v>241</v>
      </c>
      <c r="P426" s="128" t="s">
        <v>41</v>
      </c>
      <c r="Q426" s="127" t="n">
        <f aca="false">RANK(M426,M:M)</f>
        <v>157</v>
      </c>
      <c r="R426" s="128" t="s">
        <v>41</v>
      </c>
      <c r="S426" s="127"/>
      <c r="T426" s="127"/>
      <c r="U426" s="127"/>
      <c r="V426" s="127"/>
      <c r="W426" s="127"/>
      <c r="X426" s="127"/>
    </row>
    <row r="427" customFormat="false" ht="15.75" hidden="false" customHeight="true" outlineLevel="0" collapsed="false">
      <c r="A427" s="128" t="s">
        <v>409</v>
      </c>
      <c r="B427" s="128" t="n">
        <v>196.4</v>
      </c>
      <c r="C427" s="128" t="n">
        <v>-66.67</v>
      </c>
      <c r="D427" s="128" t="n">
        <v>-77.57</v>
      </c>
      <c r="E427" s="128" t="n">
        <v>37.98</v>
      </c>
      <c r="F427" s="128" t="n">
        <v>82.19</v>
      </c>
      <c r="G427" s="128" t="n">
        <v>125.1</v>
      </c>
      <c r="H427" s="128" t="n">
        <v>44.06</v>
      </c>
      <c r="I427" s="128" t="n">
        <v>30.14</v>
      </c>
      <c r="J427" s="128" t="n">
        <v>28.31</v>
      </c>
      <c r="K427" s="128" t="n">
        <v>210.98</v>
      </c>
      <c r="L427" s="129" t="n">
        <f aca="false">AVERAGE(C427:E427)</f>
        <v>-35.42</v>
      </c>
      <c r="M427" s="130" t="n">
        <f aca="false">AVERAGE(C427:J427)</f>
        <v>25.4425</v>
      </c>
      <c r="N427" s="130" t="n">
        <f aca="false">RANK(I427,I:I)</f>
        <v>157</v>
      </c>
      <c r="O427" s="127" t="n">
        <f aca="false">RANK(L427,L:L)</f>
        <v>180</v>
      </c>
      <c r="P427" s="128" t="s">
        <v>151</v>
      </c>
      <c r="Q427" s="127" t="n">
        <f aca="false">RANK(M427,M:M)</f>
        <v>153</v>
      </c>
      <c r="R427" s="128" t="s">
        <v>151</v>
      </c>
      <c r="S427" s="127"/>
      <c r="T427" s="127"/>
      <c r="U427" s="127"/>
      <c r="V427" s="127"/>
      <c r="W427" s="127"/>
      <c r="X427" s="127"/>
    </row>
    <row r="428" customFormat="false" ht="15.75" hidden="false" customHeight="true" outlineLevel="0" collapsed="false">
      <c r="A428" s="128" t="s">
        <v>69</v>
      </c>
      <c r="B428" s="128" t="n">
        <v>195.94</v>
      </c>
      <c r="C428" s="128" t="n">
        <v>-66.67</v>
      </c>
      <c r="D428" s="128" t="n">
        <v>-133.33</v>
      </c>
      <c r="E428" s="128" t="n">
        <v>16.32</v>
      </c>
      <c r="F428" s="128" t="n">
        <v>94.14</v>
      </c>
      <c r="G428" s="128" t="n">
        <v>128.03</v>
      </c>
      <c r="H428" s="128" t="n">
        <v>132.78</v>
      </c>
      <c r="I428" s="128" t="n">
        <v>88.32</v>
      </c>
      <c r="J428" s="128" t="n">
        <v>30.88</v>
      </c>
      <c r="K428" s="128" t="n">
        <v>188.79</v>
      </c>
      <c r="L428" s="129" t="n">
        <f aca="false">AVERAGE(C428:E428)</f>
        <v>-61.2266666666667</v>
      </c>
      <c r="M428" s="130" t="n">
        <f aca="false">AVERAGE(C428:J428)</f>
        <v>36.30875</v>
      </c>
      <c r="N428" s="130" t="n">
        <f aca="false">RANK(I428,I:I)</f>
        <v>89</v>
      </c>
      <c r="O428" s="127" t="n">
        <f aca="false">RANK(L428,L:L)</f>
        <v>311</v>
      </c>
      <c r="P428" s="128" t="s">
        <v>409</v>
      </c>
      <c r="Q428" s="127" t="n">
        <f aca="false">RANK(M428,M:M)</f>
        <v>121</v>
      </c>
      <c r="R428" s="128" t="s">
        <v>409</v>
      </c>
      <c r="S428" s="127"/>
      <c r="T428" s="127"/>
      <c r="U428" s="127"/>
      <c r="V428" s="127"/>
      <c r="W428" s="127"/>
      <c r="X428" s="127"/>
    </row>
    <row r="429" customFormat="false" ht="15.75" hidden="false" customHeight="true" outlineLevel="0" collapsed="false">
      <c r="A429" s="128" t="s">
        <v>243</v>
      </c>
      <c r="B429" s="128" t="n">
        <v>191.57</v>
      </c>
      <c r="C429" s="128" t="n">
        <v>-66.67</v>
      </c>
      <c r="D429" s="128" t="n">
        <v>-10.23</v>
      </c>
      <c r="E429" s="128" t="n">
        <v>52.68</v>
      </c>
      <c r="F429" s="128" t="n">
        <v>121.54</v>
      </c>
      <c r="G429" s="128" t="n">
        <v>183.73</v>
      </c>
      <c r="H429" s="128" t="n">
        <v>233.7</v>
      </c>
      <c r="I429" s="128" t="n">
        <v>221.64</v>
      </c>
      <c r="J429" s="128" t="n">
        <v>114.38</v>
      </c>
      <c r="K429" s="128" t="n">
        <v>177.91</v>
      </c>
      <c r="L429" s="129" t="n">
        <f aca="false">AVERAGE(C429:E429)</f>
        <v>-8.07333333333333</v>
      </c>
      <c r="M429" s="130" t="n">
        <f aca="false">AVERAGE(C429:J429)</f>
        <v>106.34625</v>
      </c>
      <c r="N429" s="130" t="n">
        <f aca="false">RANK(I429,I:I)</f>
        <v>16</v>
      </c>
      <c r="O429" s="127" t="n">
        <f aca="false">RANK(L429,L:L)</f>
        <v>104</v>
      </c>
      <c r="P429" s="128" t="s">
        <v>69</v>
      </c>
      <c r="Q429" s="127" t="n">
        <f aca="false">RANK(M429,M:M)</f>
        <v>23</v>
      </c>
      <c r="R429" s="128" t="s">
        <v>69</v>
      </c>
      <c r="S429" s="127"/>
      <c r="T429" s="127"/>
      <c r="U429" s="127"/>
      <c r="V429" s="127"/>
      <c r="W429" s="127"/>
      <c r="X429" s="127"/>
    </row>
    <row r="430" customFormat="false" ht="15.75" hidden="false" customHeight="true" outlineLevel="0" collapsed="false">
      <c r="A430" s="128" t="s">
        <v>76</v>
      </c>
      <c r="B430" s="128" t="n">
        <v>190.5</v>
      </c>
      <c r="C430" s="128" t="n">
        <v>66.67</v>
      </c>
      <c r="D430" s="128" t="n">
        <v>133.33</v>
      </c>
      <c r="E430" s="128" t="n">
        <v>107.27</v>
      </c>
      <c r="F430" s="128" t="n">
        <v>140.69</v>
      </c>
      <c r="G430" s="128" t="n">
        <v>173.97</v>
      </c>
      <c r="H430" s="128" t="n">
        <v>178.69</v>
      </c>
      <c r="I430" s="128" t="n">
        <v>182.4</v>
      </c>
      <c r="J430" s="128" t="n">
        <v>84.68</v>
      </c>
      <c r="K430" s="128" t="n">
        <v>180.5</v>
      </c>
      <c r="L430" s="129" t="n">
        <f aca="false">AVERAGE(C430:E430)</f>
        <v>102.423333333333</v>
      </c>
      <c r="M430" s="130" t="n">
        <f aca="false">AVERAGE(C430:J430)</f>
        <v>133.4625</v>
      </c>
      <c r="N430" s="130" t="n">
        <f aca="false">RANK(I430,I:I)</f>
        <v>29</v>
      </c>
      <c r="O430" s="127" t="n">
        <f aca="false">RANK(L430,L:L)</f>
        <v>6</v>
      </c>
      <c r="P430" s="128" t="s">
        <v>397</v>
      </c>
      <c r="Q430" s="127" t="n">
        <f aca="false">RANK(M430,M:M)</f>
        <v>11</v>
      </c>
      <c r="R430" s="128" t="s">
        <v>397</v>
      </c>
      <c r="S430" s="127"/>
      <c r="T430" s="127"/>
      <c r="U430" s="127"/>
      <c r="V430" s="127"/>
      <c r="W430" s="127"/>
      <c r="X430" s="127"/>
    </row>
    <row r="431" customFormat="false" ht="15.75" hidden="false" customHeight="true" outlineLevel="0" collapsed="false">
      <c r="A431" s="128" t="s">
        <v>112</v>
      </c>
      <c r="B431" s="128" t="n">
        <v>188.09</v>
      </c>
      <c r="C431" s="128" t="n">
        <v>-66.67</v>
      </c>
      <c r="D431" s="128" t="n">
        <v>5.48</v>
      </c>
      <c r="E431" s="128" t="n">
        <v>70.48</v>
      </c>
      <c r="F431" s="128" t="n">
        <v>141.28</v>
      </c>
      <c r="G431" s="128" t="n">
        <v>196.07</v>
      </c>
      <c r="H431" s="128" t="n">
        <v>235.38</v>
      </c>
      <c r="I431" s="128" t="n">
        <v>232.91</v>
      </c>
      <c r="J431" s="128" t="n">
        <v>102.44</v>
      </c>
      <c r="K431" s="128" t="n">
        <v>176.38</v>
      </c>
      <c r="L431" s="129" t="n">
        <f aca="false">AVERAGE(C431:E431)</f>
        <v>3.09666666666667</v>
      </c>
      <c r="M431" s="130" t="n">
        <f aca="false">AVERAGE(C431:J431)</f>
        <v>114.67125</v>
      </c>
      <c r="N431" s="130" t="n">
        <f aca="false">RANK(I431,I:I)</f>
        <v>13</v>
      </c>
      <c r="O431" s="127" t="n">
        <f aca="false">RANK(L431,L:L)</f>
        <v>81</v>
      </c>
      <c r="P431" s="128" t="s">
        <v>76</v>
      </c>
      <c r="Q431" s="127" t="n">
        <f aca="false">RANK(M431,M:M)</f>
        <v>20</v>
      </c>
      <c r="R431" s="128" t="s">
        <v>76</v>
      </c>
      <c r="S431" s="127"/>
      <c r="T431" s="127"/>
      <c r="U431" s="127"/>
      <c r="V431" s="127"/>
      <c r="W431" s="127"/>
      <c r="X431" s="127"/>
    </row>
    <row r="432" customFormat="false" ht="15.75" hidden="false" customHeight="true" outlineLevel="0" collapsed="false">
      <c r="A432" s="128" t="s">
        <v>180</v>
      </c>
      <c r="B432" s="128" t="n">
        <v>186.74</v>
      </c>
      <c r="C432" s="128" t="n">
        <v>-66.67</v>
      </c>
      <c r="D432" s="128" t="n">
        <v>-133.33</v>
      </c>
      <c r="E432" s="128" t="n">
        <v>31.92</v>
      </c>
      <c r="F432" s="128" t="n">
        <v>86.35</v>
      </c>
      <c r="G432" s="128" t="n">
        <v>128.16</v>
      </c>
      <c r="H432" s="128" t="n">
        <v>74.42</v>
      </c>
      <c r="I432" s="128" t="n">
        <v>32.54</v>
      </c>
      <c r="J432" s="128" t="n">
        <v>-6</v>
      </c>
      <c r="K432" s="128" t="n">
        <v>177.05</v>
      </c>
      <c r="L432" s="129" t="n">
        <f aca="false">AVERAGE(C432:E432)</f>
        <v>-56.0266666666667</v>
      </c>
      <c r="M432" s="130" t="n">
        <f aca="false">AVERAGE(C432:J432)</f>
        <v>18.42375</v>
      </c>
      <c r="N432" s="130" t="n">
        <f aca="false">RANK(I432,I:I)</f>
        <v>152</v>
      </c>
      <c r="O432" s="127" t="n">
        <f aca="false">RANK(L432,L:L)</f>
        <v>271</v>
      </c>
      <c r="P432" s="128" t="s">
        <v>243</v>
      </c>
      <c r="Q432" s="127" t="n">
        <f aca="false">RANK(M432,M:M)</f>
        <v>175</v>
      </c>
      <c r="R432" s="128" t="s">
        <v>243</v>
      </c>
      <c r="S432" s="127"/>
      <c r="T432" s="127"/>
      <c r="U432" s="127"/>
      <c r="V432" s="127"/>
      <c r="W432" s="127"/>
      <c r="X432" s="127"/>
    </row>
    <row r="433" customFormat="false" ht="15.75" hidden="false" customHeight="true" outlineLevel="0" collapsed="false">
      <c r="A433" s="128" t="s">
        <v>393</v>
      </c>
      <c r="B433" s="128" t="n">
        <v>179.37</v>
      </c>
      <c r="C433" s="128" t="n">
        <v>-66.67</v>
      </c>
      <c r="D433" s="128" t="n">
        <v>-133.33</v>
      </c>
      <c r="E433" s="128" t="n">
        <v>26.66</v>
      </c>
      <c r="F433" s="128" t="n">
        <v>117.72</v>
      </c>
      <c r="G433" s="128" t="n">
        <v>165.55</v>
      </c>
      <c r="H433" s="128" t="n">
        <v>57.7</v>
      </c>
      <c r="I433" s="128" t="n">
        <v>14.79</v>
      </c>
      <c r="J433" s="128" t="n">
        <v>-7.62</v>
      </c>
      <c r="K433" s="128" t="n">
        <v>166.35</v>
      </c>
      <c r="L433" s="129" t="n">
        <f aca="false">AVERAGE(C433:E433)</f>
        <v>-57.78</v>
      </c>
      <c r="M433" s="130" t="n">
        <f aca="false">AVERAGE(C433:J433)</f>
        <v>21.85</v>
      </c>
      <c r="N433" s="130" t="n">
        <f aca="false">RANK(I433,I:I)</f>
        <v>177</v>
      </c>
      <c r="O433" s="127" t="n">
        <f aca="false">RANK(L433,L:L)</f>
        <v>282</v>
      </c>
      <c r="P433" s="128" t="s">
        <v>112</v>
      </c>
      <c r="Q433" s="127" t="n">
        <f aca="false">RANK(M433,M:M)</f>
        <v>163</v>
      </c>
      <c r="R433" s="128" t="s">
        <v>112</v>
      </c>
      <c r="S433" s="127"/>
      <c r="T433" s="127"/>
      <c r="U433" s="127"/>
      <c r="V433" s="127"/>
      <c r="W433" s="127"/>
      <c r="X433" s="127"/>
    </row>
    <row r="434" customFormat="false" ht="15.75" hidden="false" customHeight="true" outlineLevel="0" collapsed="false">
      <c r="A434" s="128" t="s">
        <v>151</v>
      </c>
      <c r="B434" s="128" t="n">
        <v>178.2</v>
      </c>
      <c r="C434" s="128" t="n">
        <v>-66.67</v>
      </c>
      <c r="D434" s="128" t="n">
        <v>-133.33</v>
      </c>
      <c r="E434" s="128" t="n">
        <v>10.88</v>
      </c>
      <c r="F434" s="128" t="n">
        <v>-73.22</v>
      </c>
      <c r="G434" s="128" t="n">
        <v>-103.35</v>
      </c>
      <c r="H434" s="128" t="n">
        <v>-127.71</v>
      </c>
      <c r="I434" s="128" t="n">
        <v>-80.34</v>
      </c>
      <c r="J434" s="128" t="n">
        <v>-77.26</v>
      </c>
      <c r="K434" s="128" t="n">
        <v>195.66</v>
      </c>
      <c r="L434" s="129" t="n">
        <f aca="false">AVERAGE(C434:E434)</f>
        <v>-63.04</v>
      </c>
      <c r="M434" s="130" t="n">
        <f aca="false">AVERAGE(C434:J434)</f>
        <v>-81.375</v>
      </c>
      <c r="N434" s="130" t="n">
        <f aca="false">RANK(I434,I:I)</f>
        <v>419</v>
      </c>
      <c r="O434" s="127" t="n">
        <f aca="false">RANK(L434,L:L)</f>
        <v>326</v>
      </c>
      <c r="P434" s="128" t="s">
        <v>180</v>
      </c>
      <c r="Q434" s="127" t="n">
        <f aca="false">RANK(M434,M:M)</f>
        <v>470</v>
      </c>
      <c r="R434" s="128" t="s">
        <v>180</v>
      </c>
      <c r="S434" s="127"/>
      <c r="T434" s="127"/>
      <c r="U434" s="127"/>
      <c r="V434" s="127"/>
      <c r="W434" s="127"/>
      <c r="X434" s="127"/>
    </row>
    <row r="435" customFormat="false" ht="15.75" hidden="false" customHeight="true" outlineLevel="0" collapsed="false">
      <c r="A435" s="128" t="s">
        <v>102</v>
      </c>
      <c r="B435" s="128" t="n">
        <v>177.39</v>
      </c>
      <c r="C435" s="128" t="n">
        <v>-66.67</v>
      </c>
      <c r="D435" s="128" t="n">
        <v>-93.56</v>
      </c>
      <c r="E435" s="128" t="n">
        <v>43.42</v>
      </c>
      <c r="F435" s="128" t="n">
        <v>131.38</v>
      </c>
      <c r="G435" s="128" t="n">
        <v>124.64</v>
      </c>
      <c r="H435" s="128" t="n">
        <v>93.26</v>
      </c>
      <c r="I435" s="128" t="n">
        <v>68.06</v>
      </c>
      <c r="J435" s="128" t="n">
        <v>79.82</v>
      </c>
      <c r="K435" s="128" t="n">
        <v>164.2</v>
      </c>
      <c r="L435" s="129" t="n">
        <f aca="false">AVERAGE(C435:E435)</f>
        <v>-38.9366666666667</v>
      </c>
      <c r="M435" s="130" t="n">
        <f aca="false">AVERAGE(C435:J435)</f>
        <v>47.54375</v>
      </c>
      <c r="N435" s="130" t="n">
        <f aca="false">RANK(I435,I:I)</f>
        <v>103</v>
      </c>
      <c r="O435" s="127" t="n">
        <f aca="false">RANK(L435,L:L)</f>
        <v>195</v>
      </c>
      <c r="P435" s="128" t="s">
        <v>540</v>
      </c>
      <c r="Q435" s="127" t="n">
        <f aca="false">RANK(M435,M:M)</f>
        <v>100</v>
      </c>
      <c r="R435" s="128" t="s">
        <v>540</v>
      </c>
      <c r="S435" s="127"/>
      <c r="T435" s="127"/>
      <c r="U435" s="127"/>
      <c r="V435" s="127"/>
      <c r="W435" s="127"/>
      <c r="X435" s="127"/>
    </row>
    <row r="436" customFormat="false" ht="15.75" hidden="false" customHeight="true" outlineLevel="0" collapsed="false">
      <c r="A436" s="128" t="s">
        <v>540</v>
      </c>
      <c r="B436" s="128" t="n">
        <v>177.35</v>
      </c>
      <c r="C436" s="128" t="n">
        <v>-66.67</v>
      </c>
      <c r="D436" s="128" t="n">
        <v>-124.6</v>
      </c>
      <c r="E436" s="128" t="n">
        <v>-27.05</v>
      </c>
      <c r="F436" s="128" t="n">
        <v>75.59</v>
      </c>
      <c r="G436" s="128" t="n">
        <v>117.92</v>
      </c>
      <c r="H436" s="128" t="n">
        <v>91.88</v>
      </c>
      <c r="I436" s="128" t="n">
        <v>92.39</v>
      </c>
      <c r="J436" s="128" t="n">
        <v>71.3</v>
      </c>
      <c r="K436" s="128" t="n">
        <v>164.48</v>
      </c>
      <c r="L436" s="129" t="n">
        <f aca="false">AVERAGE(C436:E436)</f>
        <v>-72.7733333333333</v>
      </c>
      <c r="M436" s="130" t="n">
        <f aca="false">AVERAGE(C436:J436)</f>
        <v>28.845</v>
      </c>
      <c r="N436" s="130" t="n">
        <f aca="false">RANK(I436,I:I)</f>
        <v>87</v>
      </c>
      <c r="O436" s="127" t="n">
        <f aca="false">RANK(L436,L:L)</f>
        <v>409</v>
      </c>
      <c r="P436" s="128" t="s">
        <v>102</v>
      </c>
      <c r="Q436" s="127" t="n">
        <f aca="false">RANK(M436,M:M)</f>
        <v>144</v>
      </c>
      <c r="R436" s="128" t="s">
        <v>102</v>
      </c>
      <c r="S436" s="127"/>
      <c r="T436" s="127"/>
      <c r="U436" s="127"/>
      <c r="V436" s="127"/>
      <c r="W436" s="127"/>
      <c r="X436" s="127"/>
    </row>
    <row r="437" customFormat="false" ht="15.75" hidden="false" customHeight="true" outlineLevel="0" collapsed="false">
      <c r="A437" s="128" t="s">
        <v>384</v>
      </c>
      <c r="B437" s="128" t="n">
        <v>175.2</v>
      </c>
      <c r="C437" s="128" t="n">
        <v>-66.67</v>
      </c>
      <c r="D437" s="128" t="n">
        <v>24.22</v>
      </c>
      <c r="E437" s="128" t="n">
        <v>77.55</v>
      </c>
      <c r="F437" s="128" t="n">
        <v>156.19</v>
      </c>
      <c r="G437" s="128" t="n">
        <v>83.3</v>
      </c>
      <c r="H437" s="128" t="n">
        <v>37.77</v>
      </c>
      <c r="I437" s="128" t="n">
        <v>48.91</v>
      </c>
      <c r="J437" s="128" t="n">
        <v>22.88</v>
      </c>
      <c r="K437" s="128" t="n">
        <v>161.11</v>
      </c>
      <c r="L437" s="129" t="n">
        <f aca="false">AVERAGE(C437:E437)</f>
        <v>11.7</v>
      </c>
      <c r="M437" s="130" t="n">
        <f aca="false">AVERAGE(C437:J437)</f>
        <v>48.01875</v>
      </c>
      <c r="N437" s="130" t="n">
        <f aca="false">RANK(I437,I:I)</f>
        <v>123</v>
      </c>
      <c r="O437" s="127" t="n">
        <f aca="false">RANK(L437,L:L)</f>
        <v>66</v>
      </c>
      <c r="P437" s="128" t="s">
        <v>514</v>
      </c>
      <c r="Q437" s="127" t="n">
        <f aca="false">RANK(M437,M:M)</f>
        <v>98</v>
      </c>
      <c r="R437" s="128" t="s">
        <v>514</v>
      </c>
      <c r="S437" s="127"/>
      <c r="T437" s="127"/>
      <c r="U437" s="127"/>
      <c r="V437" s="127"/>
      <c r="W437" s="127"/>
      <c r="X437" s="127"/>
    </row>
    <row r="438" customFormat="false" ht="15.75" hidden="false" customHeight="true" outlineLevel="0" collapsed="false">
      <c r="A438" s="128" t="s">
        <v>514</v>
      </c>
      <c r="B438" s="128" t="n">
        <v>173.82</v>
      </c>
      <c r="C438" s="128" t="n">
        <v>-66.67</v>
      </c>
      <c r="D438" s="128" t="n">
        <v>-62.43</v>
      </c>
      <c r="E438" s="128" t="n">
        <v>21.35</v>
      </c>
      <c r="F438" s="128" t="n">
        <v>71.57</v>
      </c>
      <c r="G438" s="128" t="n">
        <v>39.16</v>
      </c>
      <c r="H438" s="128" t="n">
        <v>-19.44</v>
      </c>
      <c r="I438" s="128" t="n">
        <v>-45.46</v>
      </c>
      <c r="J438" s="128" t="n">
        <v>-63.57</v>
      </c>
      <c r="K438" s="128" t="n">
        <v>163.04</v>
      </c>
      <c r="L438" s="129" t="n">
        <f aca="false">AVERAGE(C438:E438)</f>
        <v>-35.9166666666667</v>
      </c>
      <c r="M438" s="130" t="n">
        <f aca="false">AVERAGE(C438:J438)</f>
        <v>-15.68625</v>
      </c>
      <c r="N438" s="130" t="n">
        <f aca="false">RANK(I438,I:I)</f>
        <v>306</v>
      </c>
      <c r="O438" s="127" t="n">
        <f aca="false">RANK(L438,L:L)</f>
        <v>183</v>
      </c>
      <c r="P438" s="128" t="s">
        <v>393</v>
      </c>
      <c r="Q438" s="127" t="n">
        <f aca="false">RANK(M438,M:M)</f>
        <v>289</v>
      </c>
      <c r="R438" s="128" t="s">
        <v>393</v>
      </c>
      <c r="S438" s="127"/>
      <c r="T438" s="127"/>
      <c r="U438" s="127"/>
      <c r="V438" s="127"/>
      <c r="W438" s="127"/>
      <c r="X438" s="127"/>
    </row>
    <row r="439" customFormat="false" ht="15.75" hidden="false" customHeight="true" outlineLevel="0" collapsed="false">
      <c r="A439" s="128" t="s">
        <v>118</v>
      </c>
      <c r="B439" s="128" t="n">
        <v>172.99</v>
      </c>
      <c r="C439" s="128" t="n">
        <v>-66.67</v>
      </c>
      <c r="D439" s="128" t="n">
        <v>-39.52</v>
      </c>
      <c r="E439" s="128" t="n">
        <v>64.33</v>
      </c>
      <c r="F439" s="128" t="n">
        <v>163.09</v>
      </c>
      <c r="G439" s="128" t="n">
        <v>203.77</v>
      </c>
      <c r="H439" s="128" t="n">
        <v>260.53</v>
      </c>
      <c r="I439" s="128" t="n">
        <v>307.51</v>
      </c>
      <c r="J439" s="128" t="n">
        <v>150.13</v>
      </c>
      <c r="K439" s="128" t="n">
        <v>166.57</v>
      </c>
      <c r="L439" s="129" t="n">
        <f aca="false">AVERAGE(C439:E439)</f>
        <v>-13.9533333333333</v>
      </c>
      <c r="M439" s="130" t="n">
        <f aca="false">AVERAGE(C439:J439)</f>
        <v>130.39625</v>
      </c>
      <c r="N439" s="130" t="n">
        <f aca="false">RANK(I439,I:I)</f>
        <v>2</v>
      </c>
      <c r="O439" s="127" t="n">
        <f aca="false">RANK(L439,L:L)</f>
        <v>118</v>
      </c>
      <c r="P439" s="128" t="s">
        <v>352</v>
      </c>
      <c r="Q439" s="127" t="n">
        <f aca="false">RANK(M439,M:M)</f>
        <v>12</v>
      </c>
      <c r="R439" s="128" t="s">
        <v>352</v>
      </c>
      <c r="S439" s="127"/>
      <c r="T439" s="127"/>
      <c r="U439" s="127"/>
      <c r="V439" s="127"/>
      <c r="W439" s="127"/>
      <c r="X439" s="127"/>
    </row>
    <row r="440" customFormat="false" ht="15.75" hidden="false" customHeight="true" outlineLevel="0" collapsed="false">
      <c r="A440" s="128" t="s">
        <v>439</v>
      </c>
      <c r="B440" s="128" t="n">
        <v>172.14</v>
      </c>
      <c r="C440" s="128" t="n">
        <v>-66.67</v>
      </c>
      <c r="D440" s="128" t="n">
        <v>4.73</v>
      </c>
      <c r="E440" s="128" t="n">
        <v>75.67</v>
      </c>
      <c r="F440" s="128" t="n">
        <v>106.47</v>
      </c>
      <c r="G440" s="128" t="n">
        <v>92.9</v>
      </c>
      <c r="H440" s="128" t="n">
        <v>48.53</v>
      </c>
      <c r="I440" s="128" t="n">
        <v>-7.56</v>
      </c>
      <c r="J440" s="128" t="n">
        <v>-34.12</v>
      </c>
      <c r="K440" s="128" t="n">
        <v>157.39</v>
      </c>
      <c r="L440" s="129" t="n">
        <f aca="false">AVERAGE(C440:E440)</f>
        <v>4.57666666666667</v>
      </c>
      <c r="M440" s="130" t="n">
        <f aca="false">AVERAGE(C440:J440)</f>
        <v>27.49375</v>
      </c>
      <c r="N440" s="130" t="n">
        <f aca="false">RANK(I440,I:I)</f>
        <v>216</v>
      </c>
      <c r="O440" s="127" t="n">
        <f aca="false">RANK(L440,L:L)</f>
        <v>79</v>
      </c>
      <c r="P440" s="128" t="s">
        <v>460</v>
      </c>
      <c r="Q440" s="127" t="n">
        <f aca="false">RANK(M440,M:M)</f>
        <v>147</v>
      </c>
      <c r="R440" s="128" t="s">
        <v>460</v>
      </c>
      <c r="S440" s="127"/>
      <c r="T440" s="127"/>
      <c r="U440" s="127"/>
      <c r="V440" s="127"/>
      <c r="W440" s="127"/>
      <c r="X440" s="127"/>
    </row>
    <row r="441" customFormat="false" ht="15.75" hidden="false" customHeight="true" outlineLevel="0" collapsed="false">
      <c r="A441" s="128" t="s">
        <v>397</v>
      </c>
      <c r="B441" s="128" t="n">
        <v>171.91</v>
      </c>
      <c r="C441" s="128" t="n">
        <v>-66.67</v>
      </c>
      <c r="D441" s="128" t="n">
        <v>-132.03</v>
      </c>
      <c r="E441" s="128" t="n">
        <v>-68.22</v>
      </c>
      <c r="F441" s="128" t="n">
        <v>-81.27</v>
      </c>
      <c r="G441" s="128" t="n">
        <v>-75.86</v>
      </c>
      <c r="H441" s="128" t="n">
        <v>-80.16</v>
      </c>
      <c r="I441" s="128" t="n">
        <v>-83.05</v>
      </c>
      <c r="J441" s="128" t="n">
        <v>-92.79</v>
      </c>
      <c r="K441" s="128" t="n">
        <v>187.55</v>
      </c>
      <c r="L441" s="129" t="n">
        <f aca="false">AVERAGE(C441:E441)</f>
        <v>-88.9733333333333</v>
      </c>
      <c r="M441" s="130" t="n">
        <f aca="false">AVERAGE(C441:J441)</f>
        <v>-85.00625</v>
      </c>
      <c r="N441" s="130" t="n">
        <f aca="false">RANK(I441,I:I)</f>
        <v>427</v>
      </c>
      <c r="O441" s="127" t="n">
        <f aca="false">RANK(L441,L:L)</f>
        <v>460</v>
      </c>
      <c r="P441" s="128" t="s">
        <v>382</v>
      </c>
      <c r="Q441" s="127" t="n">
        <f aca="false">RANK(M441,M:M)</f>
        <v>475</v>
      </c>
      <c r="R441" s="128" t="s">
        <v>382</v>
      </c>
      <c r="S441" s="127"/>
      <c r="T441" s="127"/>
      <c r="U441" s="127"/>
      <c r="V441" s="127"/>
      <c r="W441" s="127"/>
      <c r="X441" s="127"/>
    </row>
    <row r="442" customFormat="false" ht="15.75" hidden="false" customHeight="true" outlineLevel="0" collapsed="false">
      <c r="A442" s="128" t="s">
        <v>460</v>
      </c>
      <c r="B442" s="128" t="n">
        <v>168.53</v>
      </c>
      <c r="C442" s="128" t="n">
        <v>-66.67</v>
      </c>
      <c r="D442" s="128" t="n">
        <v>-94.21</v>
      </c>
      <c r="E442" s="128" t="n">
        <v>46.18</v>
      </c>
      <c r="F442" s="128" t="n">
        <v>115.4</v>
      </c>
      <c r="G442" s="128" t="n">
        <v>76.48</v>
      </c>
      <c r="H442" s="128" t="n">
        <v>-6.26</v>
      </c>
      <c r="I442" s="128" t="n">
        <v>-23.9</v>
      </c>
      <c r="J442" s="128" t="n">
        <v>-44.85</v>
      </c>
      <c r="K442" s="128" t="n">
        <v>158.25</v>
      </c>
      <c r="L442" s="129" t="n">
        <f aca="false">AVERAGE(C442:E442)</f>
        <v>-38.2333333333333</v>
      </c>
      <c r="M442" s="130" t="n">
        <f aca="false">AVERAGE(C442:J442)</f>
        <v>0.271250000000002</v>
      </c>
      <c r="N442" s="130" t="n">
        <f aca="false">RANK(I442,I:I)</f>
        <v>249</v>
      </c>
      <c r="O442" s="127" t="n">
        <f aca="false">RANK(L442,L:L)</f>
        <v>192</v>
      </c>
      <c r="P442" s="128" t="s">
        <v>244</v>
      </c>
      <c r="Q442" s="127" t="n">
        <f aca="false">RANK(M442,M:M)</f>
        <v>231</v>
      </c>
      <c r="R442" s="128" t="s">
        <v>244</v>
      </c>
      <c r="S442" s="127"/>
      <c r="T442" s="127"/>
      <c r="U442" s="127"/>
      <c r="V442" s="127"/>
      <c r="W442" s="127"/>
      <c r="X442" s="127"/>
    </row>
    <row r="443" customFormat="false" ht="15.75" hidden="false" customHeight="true" outlineLevel="0" collapsed="false">
      <c r="A443" s="128" t="s">
        <v>382</v>
      </c>
      <c r="B443" s="128" t="n">
        <v>167.55</v>
      </c>
      <c r="C443" s="128" t="n">
        <v>-66.67</v>
      </c>
      <c r="D443" s="128" t="n">
        <v>-133.33</v>
      </c>
      <c r="E443" s="128" t="n">
        <v>1.28</v>
      </c>
      <c r="F443" s="128" t="n">
        <v>70</v>
      </c>
      <c r="G443" s="128" t="n">
        <v>13.58</v>
      </c>
      <c r="H443" s="128" t="n">
        <v>-35.29</v>
      </c>
      <c r="I443" s="128" t="n">
        <v>-54.76</v>
      </c>
      <c r="J443" s="128" t="n">
        <v>-72.34</v>
      </c>
      <c r="K443" s="128" t="n">
        <v>159.11</v>
      </c>
      <c r="L443" s="129" t="n">
        <f aca="false">AVERAGE(C443:E443)</f>
        <v>-66.24</v>
      </c>
      <c r="M443" s="130" t="n">
        <f aca="false">AVERAGE(C443:J443)</f>
        <v>-34.69125</v>
      </c>
      <c r="N443" s="130" t="n">
        <f aca="false">RANK(I443,I:I)</f>
        <v>345</v>
      </c>
      <c r="O443" s="127" t="n">
        <f aca="false">RANK(L443,L:L)</f>
        <v>367</v>
      </c>
      <c r="P443" s="128" t="s">
        <v>118</v>
      </c>
      <c r="Q443" s="127" t="n">
        <f aca="false">RANK(M443,M:M)</f>
        <v>364</v>
      </c>
      <c r="R443" s="128" t="s">
        <v>118</v>
      </c>
      <c r="S443" s="127"/>
      <c r="T443" s="127"/>
      <c r="U443" s="127"/>
      <c r="V443" s="127"/>
      <c r="W443" s="127"/>
      <c r="X443" s="127"/>
    </row>
    <row r="444" customFormat="false" ht="15.75" hidden="false" customHeight="true" outlineLevel="0" collapsed="false">
      <c r="A444" s="128" t="s">
        <v>67</v>
      </c>
      <c r="B444" s="128" t="n">
        <v>165.45</v>
      </c>
      <c r="C444" s="128" t="n">
        <v>-66.67</v>
      </c>
      <c r="D444" s="128" t="n">
        <v>-115.2</v>
      </c>
      <c r="E444" s="128" t="n">
        <v>55.33</v>
      </c>
      <c r="F444" s="128" t="n">
        <v>146</v>
      </c>
      <c r="G444" s="128" t="n">
        <v>199.71</v>
      </c>
      <c r="H444" s="128" t="n">
        <v>154.58</v>
      </c>
      <c r="I444" s="128" t="n">
        <v>60.76</v>
      </c>
      <c r="J444" s="128" t="n">
        <v>11.2</v>
      </c>
      <c r="K444" s="128" t="n">
        <v>156.6</v>
      </c>
      <c r="L444" s="129" t="n">
        <f aca="false">AVERAGE(C444:E444)</f>
        <v>-42.18</v>
      </c>
      <c r="M444" s="130" t="n">
        <f aca="false">AVERAGE(C444:J444)</f>
        <v>55.71375</v>
      </c>
      <c r="N444" s="130" t="n">
        <f aca="false">RANK(I444,I:I)</f>
        <v>110</v>
      </c>
      <c r="O444" s="127" t="n">
        <f aca="false">RANK(L444,L:L)</f>
        <v>207</v>
      </c>
      <c r="P444" s="128" t="s">
        <v>67</v>
      </c>
      <c r="Q444" s="127" t="n">
        <f aca="false">RANK(M444,M:M)</f>
        <v>80</v>
      </c>
      <c r="R444" s="128" t="s">
        <v>67</v>
      </c>
      <c r="S444" s="127"/>
      <c r="T444" s="127"/>
      <c r="U444" s="127"/>
      <c r="V444" s="127"/>
      <c r="W444" s="127"/>
      <c r="X444" s="127"/>
    </row>
    <row r="445" customFormat="false" ht="15.75" hidden="false" customHeight="true" outlineLevel="0" collapsed="false">
      <c r="A445" s="128" t="s">
        <v>352</v>
      </c>
      <c r="B445" s="128" t="n">
        <v>160.65</v>
      </c>
      <c r="C445" s="128" t="n">
        <v>-66.67</v>
      </c>
      <c r="D445" s="128" t="n">
        <v>-132.89</v>
      </c>
      <c r="E445" s="128" t="n">
        <v>-3.06</v>
      </c>
      <c r="F445" s="128" t="n">
        <v>-24.87</v>
      </c>
      <c r="G445" s="128" t="n">
        <v>-50.83</v>
      </c>
      <c r="H445" s="128" t="n">
        <v>-75.42</v>
      </c>
      <c r="I445" s="128" t="n">
        <v>-86.87</v>
      </c>
      <c r="J445" s="128" t="n">
        <v>-100.43</v>
      </c>
      <c r="K445" s="128" t="n">
        <v>185.46</v>
      </c>
      <c r="L445" s="129" t="n">
        <f aca="false">AVERAGE(C445:E445)</f>
        <v>-67.54</v>
      </c>
      <c r="M445" s="130" t="n">
        <f aca="false">AVERAGE(C445:J445)</f>
        <v>-67.63</v>
      </c>
      <c r="N445" s="130" t="n">
        <f aca="false">RANK(I445,I:I)</f>
        <v>434</v>
      </c>
      <c r="O445" s="127" t="n">
        <f aca="false">RANK(L445,L:L)</f>
        <v>373</v>
      </c>
      <c r="P445" s="128" t="s">
        <v>39</v>
      </c>
      <c r="Q445" s="127" t="n">
        <f aca="false">RANK(M445,M:M)</f>
        <v>452</v>
      </c>
      <c r="R445" s="128" t="s">
        <v>39</v>
      </c>
      <c r="S445" s="127"/>
      <c r="T445" s="127"/>
      <c r="U445" s="127"/>
      <c r="V445" s="127"/>
      <c r="W445" s="127"/>
      <c r="X445" s="127"/>
    </row>
    <row r="446" customFormat="false" ht="15.75" hidden="false" customHeight="true" outlineLevel="0" collapsed="false">
      <c r="A446" s="128" t="s">
        <v>39</v>
      </c>
      <c r="B446" s="128" t="n">
        <v>156.5</v>
      </c>
      <c r="C446" s="128" t="n">
        <v>-66.67</v>
      </c>
      <c r="D446" s="128" t="n">
        <v>-131.4</v>
      </c>
      <c r="E446" s="128" t="n">
        <v>47.4</v>
      </c>
      <c r="F446" s="128" t="n">
        <v>-54.48</v>
      </c>
      <c r="G446" s="128" t="n">
        <v>-114.32</v>
      </c>
      <c r="H446" s="128" t="n">
        <v>-139.21</v>
      </c>
      <c r="I446" s="128" t="n">
        <v>-128.28</v>
      </c>
      <c r="J446" s="128" t="n">
        <v>-140.78</v>
      </c>
      <c r="K446" s="128" t="n">
        <v>163.12</v>
      </c>
      <c r="L446" s="129" t="n">
        <f aca="false">AVERAGE(C446:E446)</f>
        <v>-50.2233333333333</v>
      </c>
      <c r="M446" s="130" t="n">
        <f aca="false">AVERAGE(C446:J446)</f>
        <v>-90.9675</v>
      </c>
      <c r="N446" s="130" t="n">
        <f aca="false">RANK(I446,I:I)</f>
        <v>481</v>
      </c>
      <c r="O446" s="127" t="n">
        <f aca="false">RANK(L446,L:L)</f>
        <v>237</v>
      </c>
      <c r="P446" s="128" t="s">
        <v>432</v>
      </c>
      <c r="Q446" s="127" t="n">
        <f aca="false">RANK(M446,M:M)</f>
        <v>481</v>
      </c>
      <c r="R446" s="128" t="s">
        <v>432</v>
      </c>
      <c r="S446" s="127"/>
      <c r="T446" s="127"/>
      <c r="U446" s="127"/>
      <c r="V446" s="127"/>
      <c r="W446" s="127"/>
      <c r="X446" s="127"/>
    </row>
    <row r="447" customFormat="false" ht="15.75" hidden="false" customHeight="true" outlineLevel="0" collapsed="false">
      <c r="A447" s="128" t="s">
        <v>432</v>
      </c>
      <c r="B447" s="128" t="n">
        <v>156.36</v>
      </c>
      <c r="C447" s="128" t="n">
        <v>-66.67</v>
      </c>
      <c r="D447" s="128" t="n">
        <v>-133.33</v>
      </c>
      <c r="E447" s="128" t="n">
        <v>4.86</v>
      </c>
      <c r="F447" s="128" t="n">
        <v>36.79</v>
      </c>
      <c r="G447" s="128" t="n">
        <v>-21.32</v>
      </c>
      <c r="H447" s="128" t="n">
        <v>-52.77</v>
      </c>
      <c r="I447" s="128" t="n">
        <v>-73.34</v>
      </c>
      <c r="J447" s="128" t="n">
        <v>-91.26</v>
      </c>
      <c r="K447" s="128" t="n">
        <v>149.53</v>
      </c>
      <c r="L447" s="129" t="n">
        <f aca="false">AVERAGE(C447:E447)</f>
        <v>-65.0466666666667</v>
      </c>
      <c r="M447" s="130" t="n">
        <f aca="false">AVERAGE(C447:J447)</f>
        <v>-49.63</v>
      </c>
      <c r="N447" s="130" t="n">
        <f aca="false">RANK(I447,I:I)</f>
        <v>400</v>
      </c>
      <c r="O447" s="127" t="n">
        <f aca="false">RANK(L447,L:L)</f>
        <v>354</v>
      </c>
      <c r="P447" s="128" t="s">
        <v>439</v>
      </c>
      <c r="Q447" s="127" t="n">
        <f aca="false">RANK(M447,M:M)</f>
        <v>408</v>
      </c>
      <c r="R447" s="128" t="s">
        <v>439</v>
      </c>
      <c r="S447" s="127"/>
      <c r="T447" s="127"/>
      <c r="U447" s="127"/>
      <c r="V447" s="127"/>
      <c r="W447" s="127"/>
      <c r="X447" s="127"/>
    </row>
    <row r="448" customFormat="false" ht="15.75" hidden="false" customHeight="true" outlineLevel="0" collapsed="false">
      <c r="A448" s="128" t="s">
        <v>244</v>
      </c>
      <c r="B448" s="128" t="n">
        <v>153.96</v>
      </c>
      <c r="C448" s="128" t="n">
        <v>-66.67</v>
      </c>
      <c r="D448" s="128" t="n">
        <v>-133.33</v>
      </c>
      <c r="E448" s="128" t="n">
        <v>-47.77</v>
      </c>
      <c r="F448" s="128" t="n">
        <v>50.72</v>
      </c>
      <c r="G448" s="128" t="n">
        <v>93.67</v>
      </c>
      <c r="H448" s="128" t="n">
        <v>11.92</v>
      </c>
      <c r="I448" s="128" t="n">
        <v>-17.06</v>
      </c>
      <c r="J448" s="128" t="n">
        <v>-35.39</v>
      </c>
      <c r="K448" s="128" t="n">
        <v>148.79</v>
      </c>
      <c r="L448" s="129" t="n">
        <f aca="false">AVERAGE(C448:E448)</f>
        <v>-82.59</v>
      </c>
      <c r="M448" s="130" t="n">
        <f aca="false">AVERAGE(C448:J448)</f>
        <v>-17.98875</v>
      </c>
      <c r="N448" s="130" t="n">
        <f aca="false">RANK(I448,I:I)</f>
        <v>229</v>
      </c>
      <c r="O448" s="127" t="n">
        <f aca="false">RANK(L448,L:L)</f>
        <v>447</v>
      </c>
      <c r="P448" s="128" t="s">
        <v>384</v>
      </c>
      <c r="Q448" s="127" t="n">
        <f aca="false">RANK(M448,M:M)</f>
        <v>294</v>
      </c>
      <c r="R448" s="128" t="s">
        <v>384</v>
      </c>
      <c r="S448" s="127"/>
      <c r="T448" s="127"/>
      <c r="U448" s="127"/>
      <c r="V448" s="127"/>
      <c r="W448" s="127"/>
      <c r="X448" s="127"/>
    </row>
    <row r="449" customFormat="false" ht="15.75" hidden="false" customHeight="true" outlineLevel="0" collapsed="false">
      <c r="A449" s="128" t="s">
        <v>419</v>
      </c>
      <c r="B449" s="128" t="n">
        <v>141.34</v>
      </c>
      <c r="C449" s="128" t="n">
        <v>-66.67</v>
      </c>
      <c r="D449" s="128" t="n">
        <v>-133.33</v>
      </c>
      <c r="E449" s="128" t="n">
        <v>-17.65</v>
      </c>
      <c r="F449" s="128" t="n">
        <v>58.03</v>
      </c>
      <c r="G449" s="128" t="n">
        <v>36.58</v>
      </c>
      <c r="H449" s="128" t="n">
        <v>-35.85</v>
      </c>
      <c r="I449" s="128" t="n">
        <v>-55.5</v>
      </c>
      <c r="J449" s="128" t="n">
        <v>-71.12</v>
      </c>
      <c r="K449" s="128" t="n">
        <v>137.97</v>
      </c>
      <c r="L449" s="129" t="n">
        <f aca="false">AVERAGE(C449:E449)</f>
        <v>-72.55</v>
      </c>
      <c r="M449" s="130" t="n">
        <f aca="false">AVERAGE(C449:J449)</f>
        <v>-35.68875</v>
      </c>
      <c r="N449" s="130" t="n">
        <f aca="false">RANK(I449,I:I)</f>
        <v>348</v>
      </c>
      <c r="O449" s="127" t="n">
        <f aca="false">RANK(L449,L:L)</f>
        <v>406</v>
      </c>
      <c r="P449" s="128" t="s">
        <v>476</v>
      </c>
      <c r="Q449" s="127" t="n">
        <f aca="false">RANK(M449,M:M)</f>
        <v>368</v>
      </c>
      <c r="R449" s="128" t="s">
        <v>476</v>
      </c>
      <c r="S449" s="127"/>
      <c r="T449" s="127"/>
      <c r="U449" s="127"/>
      <c r="V449" s="127"/>
      <c r="W449" s="127"/>
      <c r="X449" s="127"/>
    </row>
    <row r="450" customFormat="false" ht="15.75" hidden="false" customHeight="true" outlineLevel="0" collapsed="false">
      <c r="A450" s="128" t="s">
        <v>476</v>
      </c>
      <c r="B450" s="128" t="n">
        <v>139.47</v>
      </c>
      <c r="C450" s="128" t="n">
        <v>-66.67</v>
      </c>
      <c r="D450" s="128" t="n">
        <v>-133.33</v>
      </c>
      <c r="E450" s="128" t="n">
        <v>-47.18</v>
      </c>
      <c r="F450" s="128" t="n">
        <v>54.16</v>
      </c>
      <c r="G450" s="128" t="n">
        <v>68.26</v>
      </c>
      <c r="H450" s="128" t="n">
        <v>15.36</v>
      </c>
      <c r="I450" s="128" t="n">
        <v>37.13</v>
      </c>
      <c r="J450" s="128" t="n">
        <v>54.35</v>
      </c>
      <c r="K450" s="128" t="n">
        <v>133.07</v>
      </c>
      <c r="L450" s="129" t="n">
        <f aca="false">AVERAGE(C450:E450)</f>
        <v>-82.3933333333333</v>
      </c>
      <c r="M450" s="130" t="n">
        <f aca="false">AVERAGE(C450:J450)</f>
        <v>-2.24</v>
      </c>
      <c r="N450" s="130" t="n">
        <f aca="false">RANK(I450,I:I)</f>
        <v>145</v>
      </c>
      <c r="O450" s="127" t="n">
        <f aca="false">RANK(L450,L:L)</f>
        <v>446</v>
      </c>
      <c r="P450" s="128" t="s">
        <v>419</v>
      </c>
      <c r="Q450" s="127" t="n">
        <f aca="false">RANK(M450,M:M)</f>
        <v>239</v>
      </c>
      <c r="R450" s="128" t="s">
        <v>419</v>
      </c>
      <c r="S450" s="127"/>
      <c r="T450" s="127"/>
      <c r="U450" s="127"/>
      <c r="V450" s="127"/>
      <c r="W450" s="127"/>
      <c r="X450" s="127"/>
    </row>
    <row r="451" customFormat="false" ht="15.75" hidden="false" customHeight="true" outlineLevel="0" collapsed="false">
      <c r="A451" s="128" t="s">
        <v>61</v>
      </c>
      <c r="B451" s="128" t="n">
        <v>138.85</v>
      </c>
      <c r="C451" s="128" t="n">
        <v>-66.67</v>
      </c>
      <c r="D451" s="128" t="n">
        <v>-15.5</v>
      </c>
      <c r="E451" s="128" t="n">
        <v>70.14</v>
      </c>
      <c r="F451" s="128" t="n">
        <v>-49.22</v>
      </c>
      <c r="G451" s="128" t="n">
        <v>-8.4</v>
      </c>
      <c r="H451" s="128" t="n">
        <v>7.2</v>
      </c>
      <c r="I451" s="128" t="n">
        <v>-8.37</v>
      </c>
      <c r="J451" s="128" t="n">
        <v>-31.05</v>
      </c>
      <c r="K451" s="128" t="n">
        <v>141.55</v>
      </c>
      <c r="L451" s="129" t="n">
        <f aca="false">AVERAGE(C451:E451)</f>
        <v>-4.01</v>
      </c>
      <c r="M451" s="130" t="n">
        <f aca="false">AVERAGE(C451:J451)</f>
        <v>-12.73375</v>
      </c>
      <c r="N451" s="130" t="n">
        <f aca="false">RANK(I451,I:I)</f>
        <v>217</v>
      </c>
      <c r="O451" s="127" t="n">
        <f aca="false">RANK(L451,L:L)</f>
        <v>96</v>
      </c>
      <c r="P451" s="128" t="s">
        <v>61</v>
      </c>
      <c r="Q451" s="127" t="n">
        <f aca="false">RANK(M451,M:M)</f>
        <v>275</v>
      </c>
      <c r="R451" s="128" t="s">
        <v>61</v>
      </c>
      <c r="S451" s="127"/>
      <c r="T451" s="127"/>
      <c r="U451" s="127"/>
      <c r="V451" s="127"/>
      <c r="W451" s="127"/>
      <c r="X451" s="127"/>
    </row>
    <row r="452" customFormat="false" ht="15.75" hidden="false" customHeight="true" outlineLevel="0" collapsed="false">
      <c r="A452" s="128" t="s">
        <v>405</v>
      </c>
      <c r="B452" s="128" t="n">
        <v>137.11</v>
      </c>
      <c r="C452" s="128" t="n">
        <v>-66.67</v>
      </c>
      <c r="D452" s="128" t="n">
        <v>-133.33</v>
      </c>
      <c r="E452" s="128" t="n">
        <v>5.3</v>
      </c>
      <c r="F452" s="128" t="n">
        <v>51.38</v>
      </c>
      <c r="G452" s="128" t="n">
        <v>90.62</v>
      </c>
      <c r="H452" s="128" t="n">
        <v>38.74</v>
      </c>
      <c r="I452" s="128" t="n">
        <v>4.69</v>
      </c>
      <c r="J452" s="128" t="n">
        <v>-24.83</v>
      </c>
      <c r="K452" s="128" t="n">
        <v>125.92</v>
      </c>
      <c r="L452" s="129" t="n">
        <f aca="false">AVERAGE(C452:E452)</f>
        <v>-64.9</v>
      </c>
      <c r="M452" s="130" t="n">
        <f aca="false">AVERAGE(C452:J452)</f>
        <v>-4.2625</v>
      </c>
      <c r="N452" s="130" t="n">
        <f aca="false">RANK(I452,I:I)</f>
        <v>194</v>
      </c>
      <c r="O452" s="127" t="n">
        <f aca="false">RANK(L452,L:L)</f>
        <v>350</v>
      </c>
      <c r="P452" s="128" t="s">
        <v>405</v>
      </c>
      <c r="Q452" s="127" t="n">
        <f aca="false">RANK(M452,M:M)</f>
        <v>246</v>
      </c>
      <c r="R452" s="128" t="s">
        <v>405</v>
      </c>
      <c r="S452" s="127"/>
      <c r="T452" s="127"/>
      <c r="U452" s="127"/>
      <c r="V452" s="127"/>
      <c r="W452" s="127"/>
      <c r="X452" s="127"/>
    </row>
    <row r="453" customFormat="false" ht="15.75" hidden="false" customHeight="true" outlineLevel="0" collapsed="false">
      <c r="A453" s="128" t="s">
        <v>503</v>
      </c>
      <c r="B453" s="128" t="n">
        <v>135.94</v>
      </c>
      <c r="C453" s="128" t="n">
        <v>-66.67</v>
      </c>
      <c r="D453" s="128" t="n">
        <v>-133.33</v>
      </c>
      <c r="E453" s="128" t="n">
        <v>23.3</v>
      </c>
      <c r="F453" s="128" t="n">
        <v>105.89</v>
      </c>
      <c r="G453" s="128" t="n">
        <v>23.32</v>
      </c>
      <c r="H453" s="128" t="n">
        <v>-29.05</v>
      </c>
      <c r="I453" s="128" t="n">
        <v>-48.02</v>
      </c>
      <c r="J453" s="128" t="n">
        <v>-65.54</v>
      </c>
      <c r="K453" s="128" t="n">
        <v>129.13</v>
      </c>
      <c r="L453" s="129" t="n">
        <f aca="false">AVERAGE(C453:E453)</f>
        <v>-58.9</v>
      </c>
      <c r="M453" s="130" t="n">
        <f aca="false">AVERAGE(C453:J453)</f>
        <v>-23.7625</v>
      </c>
      <c r="N453" s="130" t="n">
        <f aca="false">RANK(I453,I:I)</f>
        <v>315</v>
      </c>
      <c r="O453" s="127" t="n">
        <f aca="false">RANK(L453,L:L)</f>
        <v>292</v>
      </c>
      <c r="P453" s="128" t="s">
        <v>182</v>
      </c>
      <c r="Q453" s="127" t="n">
        <f aca="false">RANK(M453,M:M)</f>
        <v>320</v>
      </c>
      <c r="R453" s="128" t="s">
        <v>182</v>
      </c>
      <c r="S453" s="127"/>
      <c r="T453" s="127"/>
      <c r="U453" s="127"/>
      <c r="V453" s="127"/>
      <c r="W453" s="127"/>
      <c r="X453" s="127"/>
    </row>
    <row r="454" customFormat="false" ht="15.75" hidden="false" customHeight="true" outlineLevel="0" collapsed="false">
      <c r="A454" s="128" t="s">
        <v>182</v>
      </c>
      <c r="B454" s="128" t="n">
        <v>134.65</v>
      </c>
      <c r="C454" s="128" t="n">
        <v>-66.67</v>
      </c>
      <c r="D454" s="128" t="n">
        <v>-133.33</v>
      </c>
      <c r="E454" s="128" t="n">
        <v>16.85</v>
      </c>
      <c r="F454" s="128" t="n">
        <v>101.01</v>
      </c>
      <c r="G454" s="128" t="n">
        <v>128.96</v>
      </c>
      <c r="H454" s="128" t="n">
        <v>79.04</v>
      </c>
      <c r="I454" s="128" t="n">
        <v>42.67</v>
      </c>
      <c r="J454" s="128" t="n">
        <v>-14.32</v>
      </c>
      <c r="K454" s="128" t="n">
        <v>130.28</v>
      </c>
      <c r="L454" s="129" t="n">
        <f aca="false">AVERAGE(C454:E454)</f>
        <v>-61.05</v>
      </c>
      <c r="M454" s="130" t="n">
        <f aca="false">AVERAGE(C454:J454)</f>
        <v>19.27625</v>
      </c>
      <c r="N454" s="130" t="n">
        <f aca="false">RANK(I454,I:I)</f>
        <v>133</v>
      </c>
      <c r="O454" s="127" t="n">
        <f aca="false">RANK(L454,L:L)</f>
        <v>309</v>
      </c>
      <c r="P454" s="128" t="s">
        <v>230</v>
      </c>
      <c r="Q454" s="127" t="n">
        <f aca="false">RANK(M454,M:M)</f>
        <v>171</v>
      </c>
      <c r="R454" s="128" t="s">
        <v>230</v>
      </c>
      <c r="S454" s="127"/>
      <c r="T454" s="127"/>
      <c r="U454" s="127"/>
      <c r="V454" s="127"/>
      <c r="W454" s="127"/>
      <c r="X454" s="127"/>
    </row>
    <row r="455" customFormat="false" ht="15.75" hidden="false" customHeight="true" outlineLevel="0" collapsed="false">
      <c r="A455" s="128" t="s">
        <v>68</v>
      </c>
      <c r="B455" s="128" t="n">
        <v>133.71</v>
      </c>
      <c r="C455" s="128" t="n">
        <v>-66.67</v>
      </c>
      <c r="D455" s="128" t="n">
        <v>-42.5</v>
      </c>
      <c r="E455" s="128" t="n">
        <v>65.91</v>
      </c>
      <c r="F455" s="128" t="n">
        <v>87.37</v>
      </c>
      <c r="G455" s="128" t="n">
        <v>61.07</v>
      </c>
      <c r="H455" s="128" t="n">
        <v>-18.5</v>
      </c>
      <c r="I455" s="128" t="n">
        <v>-45.88</v>
      </c>
      <c r="J455" s="128" t="n">
        <v>-63.05</v>
      </c>
      <c r="K455" s="128" t="n">
        <v>123.86</v>
      </c>
      <c r="L455" s="129" t="n">
        <f aca="false">AVERAGE(C455:E455)</f>
        <v>-14.42</v>
      </c>
      <c r="M455" s="130" t="n">
        <f aca="false">AVERAGE(C455:J455)</f>
        <v>-2.78125</v>
      </c>
      <c r="N455" s="130" t="n">
        <f aca="false">RANK(I455,I:I)</f>
        <v>308</v>
      </c>
      <c r="O455" s="127" t="n">
        <f aca="false">RANK(L455,L:L)</f>
        <v>119</v>
      </c>
      <c r="P455" s="128" t="s">
        <v>547</v>
      </c>
      <c r="Q455" s="127" t="n">
        <f aca="false">RANK(M455,M:M)</f>
        <v>243</v>
      </c>
      <c r="R455" s="128" t="s">
        <v>547</v>
      </c>
      <c r="S455" s="127"/>
      <c r="T455" s="127"/>
      <c r="U455" s="127"/>
      <c r="V455" s="127"/>
      <c r="W455" s="127"/>
      <c r="X455" s="127"/>
    </row>
    <row r="456" customFormat="false" ht="15.75" hidden="false" customHeight="true" outlineLevel="0" collapsed="false">
      <c r="A456" s="128" t="s">
        <v>230</v>
      </c>
      <c r="B456" s="128" t="n">
        <v>128.8</v>
      </c>
      <c r="C456" s="128" t="n">
        <v>-66.67</v>
      </c>
      <c r="D456" s="128" t="n">
        <v>-121.85</v>
      </c>
      <c r="E456" s="128" t="n">
        <v>8.07</v>
      </c>
      <c r="F456" s="128" t="n">
        <v>60.4</v>
      </c>
      <c r="G456" s="128" t="n">
        <v>24.68</v>
      </c>
      <c r="H456" s="128" t="n">
        <v>-26.95</v>
      </c>
      <c r="I456" s="128" t="n">
        <v>-48.88</v>
      </c>
      <c r="J456" s="128" t="n">
        <v>-64.34</v>
      </c>
      <c r="K456" s="128" t="n">
        <v>124.55</v>
      </c>
      <c r="L456" s="129" t="n">
        <f aca="false">AVERAGE(C456:E456)</f>
        <v>-60.15</v>
      </c>
      <c r="M456" s="130" t="n">
        <f aca="false">AVERAGE(C456:J456)</f>
        <v>-29.4425</v>
      </c>
      <c r="N456" s="130" t="n">
        <f aca="false">RANK(I456,I:I)</f>
        <v>322</v>
      </c>
      <c r="O456" s="127" t="n">
        <f aca="false">RANK(L456,L:L)</f>
        <v>298</v>
      </c>
      <c r="P456" s="128" t="s">
        <v>1678</v>
      </c>
      <c r="Q456" s="127" t="n">
        <f aca="false">RANK(M456,M:M)</f>
        <v>345</v>
      </c>
      <c r="R456" s="128" t="s">
        <v>1678</v>
      </c>
      <c r="S456" s="127"/>
      <c r="T456" s="127"/>
      <c r="U456" s="127"/>
      <c r="V456" s="127"/>
      <c r="W456" s="127"/>
      <c r="X456" s="127"/>
    </row>
    <row r="457" customFormat="false" ht="15.75" hidden="false" customHeight="true" outlineLevel="0" collapsed="false">
      <c r="A457" s="128" t="s">
        <v>1678</v>
      </c>
      <c r="B457" s="128" t="n">
        <v>125.04</v>
      </c>
      <c r="C457" s="128" t="n">
        <v>-66.67</v>
      </c>
      <c r="D457" s="128" t="n">
        <v>-133.33</v>
      </c>
      <c r="E457" s="128" t="n">
        <v>-5.97</v>
      </c>
      <c r="F457" s="128" t="n">
        <v>74.41</v>
      </c>
      <c r="G457" s="128" t="n">
        <v>119.95</v>
      </c>
      <c r="H457" s="128" t="n">
        <v>87.78</v>
      </c>
      <c r="I457" s="128" t="n">
        <v>32.11</v>
      </c>
      <c r="J457" s="128" t="n">
        <v>-7.97</v>
      </c>
      <c r="K457" s="128" t="n">
        <v>122.47</v>
      </c>
      <c r="L457" s="129" t="n">
        <f aca="false">AVERAGE(C457:E457)</f>
        <v>-68.6566666666667</v>
      </c>
      <c r="M457" s="130" t="n">
        <f aca="false">AVERAGE(C457:J457)</f>
        <v>12.53875</v>
      </c>
      <c r="N457" s="130" t="n">
        <f aca="false">RANK(I457,I:I)</f>
        <v>153</v>
      </c>
      <c r="O457" s="127" t="n">
        <f aca="false">RANK(L457,L:L)</f>
        <v>382</v>
      </c>
      <c r="P457" s="128" t="s">
        <v>213</v>
      </c>
      <c r="Q457" s="127" t="n">
        <f aca="false">RANK(M457,M:M)</f>
        <v>194</v>
      </c>
      <c r="R457" s="128" t="s">
        <v>213</v>
      </c>
      <c r="S457" s="127"/>
      <c r="T457" s="127"/>
      <c r="U457" s="127"/>
      <c r="V457" s="127"/>
      <c r="W457" s="127"/>
      <c r="X457" s="127"/>
    </row>
    <row r="458" customFormat="false" ht="15.75" hidden="false" customHeight="true" outlineLevel="0" collapsed="false">
      <c r="A458" s="128" t="s">
        <v>213</v>
      </c>
      <c r="B458" s="128" t="n">
        <v>124.94</v>
      </c>
      <c r="C458" s="128" t="n">
        <v>-66.67</v>
      </c>
      <c r="D458" s="128" t="n">
        <v>-133.33</v>
      </c>
      <c r="E458" s="128" t="n">
        <v>15.19</v>
      </c>
      <c r="F458" s="128" t="n">
        <v>54.86</v>
      </c>
      <c r="G458" s="128" t="n">
        <v>104.14</v>
      </c>
      <c r="H458" s="128" t="n">
        <v>107.35</v>
      </c>
      <c r="I458" s="128" t="n">
        <v>99.45</v>
      </c>
      <c r="J458" s="128" t="n">
        <v>99.9</v>
      </c>
      <c r="K458" s="128" t="n">
        <v>130.23</v>
      </c>
      <c r="L458" s="129" t="n">
        <f aca="false">AVERAGE(C458:E458)</f>
        <v>-61.6033333333333</v>
      </c>
      <c r="M458" s="130" t="n">
        <f aca="false">AVERAGE(C458:J458)</f>
        <v>35.11125</v>
      </c>
      <c r="N458" s="130" t="n">
        <f aca="false">RANK(I458,I:I)</f>
        <v>80</v>
      </c>
      <c r="O458" s="127" t="n">
        <f aca="false">RANK(L458,L:L)</f>
        <v>312</v>
      </c>
      <c r="P458" s="128" t="s">
        <v>503</v>
      </c>
      <c r="Q458" s="127" t="n">
        <f aca="false">RANK(M458,M:M)</f>
        <v>129</v>
      </c>
      <c r="R458" s="128" t="s">
        <v>503</v>
      </c>
      <c r="S458" s="127"/>
      <c r="T458" s="127"/>
      <c r="U458" s="127"/>
      <c r="V458" s="127"/>
      <c r="W458" s="127"/>
      <c r="X458" s="127"/>
    </row>
    <row r="459" customFormat="false" ht="15.75" hidden="false" customHeight="true" outlineLevel="0" collapsed="false">
      <c r="A459" s="128" t="s">
        <v>547</v>
      </c>
      <c r="B459" s="128" t="n">
        <v>124.53</v>
      </c>
      <c r="C459" s="128" t="n">
        <v>-66.67</v>
      </c>
      <c r="D459" s="128" t="n">
        <v>-133.33</v>
      </c>
      <c r="E459" s="128" t="n">
        <v>-32.95</v>
      </c>
      <c r="F459" s="128" t="n">
        <v>-24.55</v>
      </c>
      <c r="G459" s="128" t="n">
        <v>-7.96</v>
      </c>
      <c r="H459" s="128" t="n">
        <v>-51.33</v>
      </c>
      <c r="I459" s="128" t="n">
        <v>-69.83</v>
      </c>
      <c r="J459" s="128" t="n">
        <v>-86.86</v>
      </c>
      <c r="K459" s="128" t="n">
        <v>117.44</v>
      </c>
      <c r="L459" s="129" t="n">
        <f aca="false">AVERAGE(C459:E459)</f>
        <v>-77.65</v>
      </c>
      <c r="M459" s="130" t="n">
        <f aca="false">AVERAGE(C459:J459)</f>
        <v>-59.185</v>
      </c>
      <c r="N459" s="130" t="n">
        <f aca="false">RANK(I459,I:I)</f>
        <v>391</v>
      </c>
      <c r="O459" s="127" t="n">
        <f aca="false">RANK(L459,L:L)</f>
        <v>430</v>
      </c>
      <c r="P459" s="128" t="s">
        <v>68</v>
      </c>
      <c r="Q459" s="127" t="n">
        <f aca="false">RANK(M459,M:M)</f>
        <v>431</v>
      </c>
      <c r="R459" s="128" t="s">
        <v>68</v>
      </c>
      <c r="S459" s="127"/>
      <c r="T459" s="127"/>
      <c r="U459" s="127"/>
      <c r="V459" s="127"/>
      <c r="W459" s="127"/>
      <c r="X459" s="127"/>
    </row>
    <row r="460" customFormat="false" ht="15.75" hidden="false" customHeight="true" outlineLevel="0" collapsed="false">
      <c r="A460" s="128" t="s">
        <v>509</v>
      </c>
      <c r="B460" s="128" t="n">
        <v>123.82</v>
      </c>
      <c r="C460" s="128" t="n">
        <v>-66.67</v>
      </c>
      <c r="D460" s="128" t="n">
        <v>-0.777</v>
      </c>
      <c r="E460" s="128" t="n">
        <v>71.22</v>
      </c>
      <c r="F460" s="128" t="n">
        <v>156.66</v>
      </c>
      <c r="G460" s="128" t="n">
        <v>29.07</v>
      </c>
      <c r="H460" s="128" t="n">
        <v>-24</v>
      </c>
      <c r="I460" s="128" t="n">
        <v>-44.46</v>
      </c>
      <c r="J460" s="128" t="n">
        <v>-60.06</v>
      </c>
      <c r="K460" s="128" t="n">
        <v>113.72</v>
      </c>
      <c r="L460" s="129" t="n">
        <f aca="false">AVERAGE(C460:E460)</f>
        <v>1.25766666666667</v>
      </c>
      <c r="M460" s="130" t="n">
        <f aca="false">AVERAGE(C460:J460)</f>
        <v>7.622875</v>
      </c>
      <c r="N460" s="130" t="n">
        <f aca="false">RANK(I460,I:I)</f>
        <v>302</v>
      </c>
      <c r="O460" s="127" t="n">
        <f aca="false">RANK(L460,L:L)</f>
        <v>87</v>
      </c>
      <c r="P460" s="128" t="s">
        <v>227</v>
      </c>
      <c r="Q460" s="127" t="n">
        <f aca="false">RANK(M460,M:M)</f>
        <v>211</v>
      </c>
      <c r="R460" s="128" t="s">
        <v>227</v>
      </c>
      <c r="S460" s="127"/>
      <c r="T460" s="127"/>
      <c r="U460" s="127"/>
      <c r="V460" s="127"/>
      <c r="W460" s="127"/>
      <c r="X460" s="127"/>
    </row>
    <row r="461" customFormat="false" ht="15.75" hidden="false" customHeight="true" outlineLevel="0" collapsed="false">
      <c r="A461" s="128" t="s">
        <v>227</v>
      </c>
      <c r="B461" s="128" t="n">
        <v>115.29</v>
      </c>
      <c r="C461" s="128" t="n">
        <v>-66.67</v>
      </c>
      <c r="D461" s="128" t="n">
        <v>-111.08</v>
      </c>
      <c r="E461" s="128" t="n">
        <v>19.83</v>
      </c>
      <c r="F461" s="128" t="n">
        <v>91.19</v>
      </c>
      <c r="G461" s="128" t="n">
        <v>123.89</v>
      </c>
      <c r="H461" s="128" t="n">
        <v>147.04</v>
      </c>
      <c r="I461" s="128" t="n">
        <v>122.17</v>
      </c>
      <c r="J461" s="128" t="n">
        <v>128.76</v>
      </c>
      <c r="K461" s="128" t="n">
        <v>109.7</v>
      </c>
      <c r="L461" s="129" t="n">
        <f aca="false">AVERAGE(C461:E461)</f>
        <v>-52.64</v>
      </c>
      <c r="M461" s="130" t="n">
        <f aca="false">AVERAGE(C461:J461)</f>
        <v>56.89125</v>
      </c>
      <c r="N461" s="130" t="n">
        <f aca="false">RANK(I461,I:I)</f>
        <v>63</v>
      </c>
      <c r="O461" s="127" t="n">
        <f aca="false">RANK(L461,L:L)</f>
        <v>252</v>
      </c>
      <c r="P461" s="128" t="s">
        <v>88</v>
      </c>
      <c r="Q461" s="127" t="n">
        <f aca="false">RANK(M461,M:M)</f>
        <v>76</v>
      </c>
      <c r="R461" s="128" t="s">
        <v>88</v>
      </c>
      <c r="S461" s="127"/>
      <c r="T461" s="127"/>
      <c r="U461" s="127"/>
      <c r="V461" s="127"/>
      <c r="W461" s="127"/>
      <c r="X461" s="127"/>
    </row>
    <row r="462" customFormat="false" ht="15.75" hidden="false" customHeight="true" outlineLevel="0" collapsed="false">
      <c r="A462" s="128" t="s">
        <v>88</v>
      </c>
      <c r="B462" s="128" t="n">
        <v>114.81</v>
      </c>
      <c r="C462" s="128" t="n">
        <v>-66.67</v>
      </c>
      <c r="D462" s="128" t="n">
        <v>-65.58</v>
      </c>
      <c r="E462" s="128" t="n">
        <v>54.87</v>
      </c>
      <c r="F462" s="128" t="n">
        <v>65.19</v>
      </c>
      <c r="G462" s="128" t="n">
        <v>107.12</v>
      </c>
      <c r="H462" s="128" t="n">
        <v>80.66</v>
      </c>
      <c r="I462" s="128" t="n">
        <v>47.59</v>
      </c>
      <c r="J462" s="128" t="n">
        <v>1.58</v>
      </c>
      <c r="K462" s="128" t="n">
        <v>107.12</v>
      </c>
      <c r="L462" s="129" t="n">
        <f aca="false">AVERAGE(C462:E462)</f>
        <v>-25.7933333333333</v>
      </c>
      <c r="M462" s="130" t="n">
        <f aca="false">AVERAGE(C462:J462)</f>
        <v>28.095</v>
      </c>
      <c r="N462" s="130" t="n">
        <f aca="false">RANK(I462,I:I)</f>
        <v>126</v>
      </c>
      <c r="O462" s="127" t="n">
        <f aca="false">RANK(L462,L:L)</f>
        <v>146</v>
      </c>
      <c r="P462" s="128" t="s">
        <v>509</v>
      </c>
      <c r="Q462" s="127" t="n">
        <f aca="false">RANK(M462,M:M)</f>
        <v>146</v>
      </c>
      <c r="R462" s="128" t="s">
        <v>509</v>
      </c>
      <c r="S462" s="127"/>
      <c r="T462" s="127"/>
      <c r="U462" s="127"/>
      <c r="V462" s="127"/>
      <c r="W462" s="127"/>
      <c r="X462" s="127"/>
    </row>
    <row r="463" customFormat="false" ht="15.75" hidden="false" customHeight="true" outlineLevel="0" collapsed="false">
      <c r="A463" s="128" t="s">
        <v>179</v>
      </c>
      <c r="B463" s="128" t="n">
        <v>108.23</v>
      </c>
      <c r="C463" s="128" t="n">
        <v>-66.67</v>
      </c>
      <c r="D463" s="128" t="n">
        <v>-133.33</v>
      </c>
      <c r="E463" s="128" t="n">
        <v>-29.26</v>
      </c>
      <c r="F463" s="128" t="n">
        <v>64.39</v>
      </c>
      <c r="G463" s="128" t="n">
        <v>85</v>
      </c>
      <c r="H463" s="128" t="n">
        <v>-9.49</v>
      </c>
      <c r="I463" s="128" t="n">
        <v>-31.28</v>
      </c>
      <c r="J463" s="128" t="n">
        <v>-48.12</v>
      </c>
      <c r="K463" s="128" t="n">
        <v>103.45</v>
      </c>
      <c r="L463" s="129" t="n">
        <f aca="false">AVERAGE(C463:E463)</f>
        <v>-76.42</v>
      </c>
      <c r="M463" s="130" t="n">
        <f aca="false">AVERAGE(C463:J463)</f>
        <v>-21.095</v>
      </c>
      <c r="N463" s="130" t="n">
        <f aca="false">RANK(I463,I:I)</f>
        <v>263</v>
      </c>
      <c r="O463" s="127" t="n">
        <f aca="false">RANK(L463,L:L)</f>
        <v>423</v>
      </c>
      <c r="P463" s="128" t="s">
        <v>1559</v>
      </c>
      <c r="Q463" s="127" t="n">
        <f aca="false">RANK(M463,M:M)</f>
        <v>303</v>
      </c>
      <c r="R463" s="128" t="s">
        <v>1559</v>
      </c>
      <c r="S463" s="127"/>
      <c r="T463" s="127"/>
      <c r="U463" s="127"/>
      <c r="V463" s="127"/>
      <c r="W463" s="127"/>
      <c r="X463" s="127"/>
    </row>
    <row r="464" customFormat="false" ht="15.75" hidden="false" customHeight="true" outlineLevel="0" collapsed="false">
      <c r="A464" s="128" t="s">
        <v>1559</v>
      </c>
      <c r="B464" s="128" t="n">
        <v>107.32</v>
      </c>
      <c r="C464" s="128" t="n">
        <v>-66.67</v>
      </c>
      <c r="D464" s="128" t="n">
        <v>-133.33</v>
      </c>
      <c r="E464" s="128" t="n">
        <v>-18.66</v>
      </c>
      <c r="F464" s="128" t="n">
        <v>65.1</v>
      </c>
      <c r="G464" s="128" t="n">
        <v>35.32</v>
      </c>
      <c r="H464" s="128"/>
      <c r="I464" s="128"/>
      <c r="J464" s="128"/>
      <c r="K464" s="128" t="n">
        <v>103.48</v>
      </c>
      <c r="L464" s="129" t="n">
        <f aca="false">AVERAGE(C464:E464)</f>
        <v>-72.8866666666667</v>
      </c>
      <c r="M464" s="130" t="n">
        <f aca="false">AVERAGE(C464:J464)</f>
        <v>-23.648</v>
      </c>
      <c r="N464" s="130" t="e">
        <f aca="false">RANK(I464,I:I)</f>
        <v>#N/A</v>
      </c>
      <c r="O464" s="127" t="n">
        <f aca="false">RANK(L464,L:L)</f>
        <v>411</v>
      </c>
      <c r="P464" s="128" t="s">
        <v>179</v>
      </c>
      <c r="Q464" s="127" t="n">
        <f aca="false">RANK(M464,M:M)</f>
        <v>318</v>
      </c>
      <c r="R464" s="128" t="s">
        <v>179</v>
      </c>
      <c r="S464" s="127"/>
      <c r="T464" s="127"/>
      <c r="U464" s="127"/>
      <c r="V464" s="127"/>
      <c r="W464" s="127"/>
      <c r="X464" s="127"/>
    </row>
    <row r="465" customFormat="false" ht="15.75" hidden="false" customHeight="true" outlineLevel="0" collapsed="false">
      <c r="A465" s="128" t="s">
        <v>508</v>
      </c>
      <c r="B465" s="128" t="n">
        <v>106.15</v>
      </c>
      <c r="C465" s="128" t="n">
        <v>-66.67</v>
      </c>
      <c r="D465" s="128" t="n">
        <v>34.56</v>
      </c>
      <c r="E465" s="128" t="n">
        <v>86.27</v>
      </c>
      <c r="F465" s="128" t="n">
        <v>180.74</v>
      </c>
      <c r="G465" s="128" t="n">
        <v>288.8</v>
      </c>
      <c r="H465" s="128" t="n">
        <v>354.22</v>
      </c>
      <c r="I465" s="128" t="n">
        <v>395.57</v>
      </c>
      <c r="J465" s="128" t="n">
        <v>369.46</v>
      </c>
      <c r="K465" s="128" t="n">
        <v>96.67</v>
      </c>
      <c r="L465" s="129" t="n">
        <f aca="false">AVERAGE(C465:E465)</f>
        <v>18.0533333333333</v>
      </c>
      <c r="M465" s="130" t="n">
        <f aca="false">AVERAGE(C465:J465)</f>
        <v>205.36875</v>
      </c>
      <c r="N465" s="130" t="n">
        <f aca="false">RANK(I465,I:I)</f>
        <v>1</v>
      </c>
      <c r="O465" s="127" t="n">
        <f aca="false">RANK(L465,L:L)</f>
        <v>59</v>
      </c>
      <c r="P465" s="128" t="s">
        <v>113</v>
      </c>
      <c r="Q465" s="127" t="n">
        <f aca="false">RANK(M465,M:M)</f>
        <v>1</v>
      </c>
      <c r="R465" s="128" t="s">
        <v>113</v>
      </c>
      <c r="S465" s="127"/>
      <c r="T465" s="127"/>
      <c r="U465" s="127"/>
      <c r="V465" s="127"/>
      <c r="W465" s="127"/>
      <c r="X465" s="127"/>
    </row>
    <row r="466" customFormat="false" ht="15.75" hidden="false" customHeight="true" outlineLevel="0" collapsed="false">
      <c r="A466" s="128" t="s">
        <v>1717</v>
      </c>
      <c r="B466" s="128" t="n">
        <v>103.38</v>
      </c>
      <c r="C466" s="128" t="n">
        <v>-66.67</v>
      </c>
      <c r="D466" s="128" t="n">
        <v>-133.33</v>
      </c>
      <c r="E466" s="128" t="n">
        <v>8.92</v>
      </c>
      <c r="F466" s="128" t="n">
        <v>77.61</v>
      </c>
      <c r="G466" s="128" t="n">
        <v>22</v>
      </c>
      <c r="H466" s="128" t="n">
        <v>-35.33</v>
      </c>
      <c r="I466" s="128"/>
      <c r="J466" s="128"/>
      <c r="K466" s="128" t="n">
        <v>98.93</v>
      </c>
      <c r="L466" s="129" t="n">
        <f aca="false">AVERAGE(C466:E466)</f>
        <v>-63.6933333333333</v>
      </c>
      <c r="M466" s="130" t="n">
        <f aca="false">AVERAGE(C466:J466)</f>
        <v>-21.1333333333333</v>
      </c>
      <c r="N466" s="130" t="e">
        <f aca="false">RANK(I466,I:I)</f>
        <v>#N/A</v>
      </c>
      <c r="O466" s="127" t="n">
        <f aca="false">RANK(L466,L:L)</f>
        <v>333</v>
      </c>
      <c r="P466" s="128" t="s">
        <v>1717</v>
      </c>
      <c r="Q466" s="127" t="n">
        <f aca="false">RANK(M466,M:M)</f>
        <v>304</v>
      </c>
      <c r="R466" s="128" t="s">
        <v>1717</v>
      </c>
      <c r="S466" s="127"/>
      <c r="T466" s="127"/>
      <c r="U466" s="127"/>
      <c r="V466" s="127"/>
      <c r="W466" s="127"/>
      <c r="X466" s="127"/>
    </row>
    <row r="467" customFormat="false" ht="15.75" hidden="false" customHeight="true" outlineLevel="0" collapsed="false">
      <c r="A467" s="128" t="s">
        <v>447</v>
      </c>
      <c r="B467" s="128" t="n">
        <v>102.46</v>
      </c>
      <c r="C467" s="128" t="n">
        <v>-66.67</v>
      </c>
      <c r="D467" s="128" t="n">
        <v>-133.33</v>
      </c>
      <c r="E467" s="128" t="n">
        <v>46.2</v>
      </c>
      <c r="F467" s="128" t="n">
        <v>110.51</v>
      </c>
      <c r="G467" s="128" t="n">
        <v>44.01</v>
      </c>
      <c r="H467" s="128" t="n">
        <v>-27.69</v>
      </c>
      <c r="I467" s="128" t="n">
        <v>-51.23</v>
      </c>
      <c r="J467" s="128" t="n">
        <v>-66.88</v>
      </c>
      <c r="K467" s="128" t="n">
        <v>93.51</v>
      </c>
      <c r="L467" s="129" t="n">
        <f aca="false">AVERAGE(C467:E467)</f>
        <v>-51.2666666666667</v>
      </c>
      <c r="M467" s="130" t="n">
        <f aca="false">AVERAGE(C467:J467)</f>
        <v>-18.135</v>
      </c>
      <c r="N467" s="130" t="n">
        <f aca="false">RANK(I467,I:I)</f>
        <v>333</v>
      </c>
      <c r="O467" s="127" t="n">
        <f aca="false">RANK(L467,L:L)</f>
        <v>244</v>
      </c>
      <c r="P467" s="128" t="s">
        <v>450</v>
      </c>
      <c r="Q467" s="127" t="n">
        <f aca="false">RANK(M467,M:M)</f>
        <v>295</v>
      </c>
      <c r="R467" s="128" t="s">
        <v>450</v>
      </c>
      <c r="S467" s="127"/>
      <c r="T467" s="127"/>
      <c r="U467" s="127"/>
      <c r="V467" s="127"/>
      <c r="W467" s="127"/>
      <c r="X467" s="127"/>
    </row>
    <row r="468" customFormat="false" ht="15.75" hidden="false" customHeight="true" outlineLevel="0" collapsed="false">
      <c r="A468" s="128" t="s">
        <v>113</v>
      </c>
      <c r="B468" s="128" t="n">
        <v>99.29</v>
      </c>
      <c r="C468" s="128" t="n">
        <v>-66.67</v>
      </c>
      <c r="D468" s="128" t="n">
        <v>-133.33</v>
      </c>
      <c r="E468" s="128" t="n">
        <v>14.94</v>
      </c>
      <c r="F468" s="128" t="n">
        <v>91.01</v>
      </c>
      <c r="G468" s="128" t="n">
        <v>100.37</v>
      </c>
      <c r="H468" s="128" t="n">
        <v>50.47</v>
      </c>
      <c r="I468" s="128" t="n">
        <v>19.41</v>
      </c>
      <c r="J468" s="128" t="n">
        <v>4.35</v>
      </c>
      <c r="K468" s="128" t="n">
        <v>96.79</v>
      </c>
      <c r="L468" s="129" t="n">
        <f aca="false">AVERAGE(C468:E468)</f>
        <v>-61.6866666666667</v>
      </c>
      <c r="M468" s="130" t="n">
        <f aca="false">AVERAGE(C468:J468)</f>
        <v>10.06875</v>
      </c>
      <c r="N468" s="130" t="n">
        <f aca="false">RANK(I468,I:I)</f>
        <v>172</v>
      </c>
      <c r="O468" s="127" t="n">
        <f aca="false">RANK(L468,L:L)</f>
        <v>316</v>
      </c>
      <c r="P468" s="128" t="s">
        <v>220</v>
      </c>
      <c r="Q468" s="127" t="n">
        <f aca="false">RANK(M468,M:M)</f>
        <v>199</v>
      </c>
      <c r="R468" s="128" t="s">
        <v>220</v>
      </c>
      <c r="S468" s="127"/>
      <c r="T468" s="127"/>
      <c r="U468" s="127"/>
      <c r="V468" s="127"/>
      <c r="W468" s="127"/>
      <c r="X468" s="127"/>
    </row>
    <row r="469" customFormat="false" ht="15.75" hidden="false" customHeight="true" outlineLevel="0" collapsed="false">
      <c r="A469" s="128" t="s">
        <v>450</v>
      </c>
      <c r="B469" s="128" t="n">
        <v>97.62</v>
      </c>
      <c r="C469" s="128" t="n">
        <v>-66.67</v>
      </c>
      <c r="D469" s="128" t="n">
        <v>-101.27</v>
      </c>
      <c r="E469" s="128" t="n">
        <v>-11.06</v>
      </c>
      <c r="F469" s="128" t="n">
        <v>56.37</v>
      </c>
      <c r="G469" s="128" t="n">
        <v>49.74</v>
      </c>
      <c r="H469" s="128" t="n">
        <v>46.41</v>
      </c>
      <c r="I469" s="128" t="n">
        <v>27.43</v>
      </c>
      <c r="J469" s="128" t="n">
        <v>14.37</v>
      </c>
      <c r="K469" s="128" t="n">
        <v>114.38</v>
      </c>
      <c r="L469" s="129" t="n">
        <f aca="false">AVERAGE(C469:E469)</f>
        <v>-59.6666666666667</v>
      </c>
      <c r="M469" s="130" t="n">
        <f aca="false">AVERAGE(C469:J469)</f>
        <v>1.915</v>
      </c>
      <c r="N469" s="130" t="n">
        <f aca="false">RANK(I469,I:I)</f>
        <v>160</v>
      </c>
      <c r="O469" s="127" t="n">
        <f aca="false">RANK(L469,L:L)</f>
        <v>295</v>
      </c>
      <c r="P469" s="128" t="s">
        <v>508</v>
      </c>
      <c r="Q469" s="127" t="n">
        <f aca="false">RANK(M469,M:M)</f>
        <v>224</v>
      </c>
      <c r="R469" s="128" t="s">
        <v>508</v>
      </c>
      <c r="S469" s="127"/>
      <c r="T469" s="127"/>
      <c r="U469" s="127"/>
      <c r="V469" s="127"/>
      <c r="W469" s="127"/>
      <c r="X469" s="127"/>
    </row>
    <row r="470" customFormat="false" ht="15.75" hidden="false" customHeight="true" outlineLevel="0" collapsed="false">
      <c r="A470" s="128" t="s">
        <v>220</v>
      </c>
      <c r="B470" s="128" t="n">
        <v>96.64</v>
      </c>
      <c r="C470" s="128" t="n">
        <v>-66.67</v>
      </c>
      <c r="D470" s="128" t="n">
        <v>-122.94</v>
      </c>
      <c r="E470" s="128" t="n">
        <v>33.46</v>
      </c>
      <c r="F470" s="128" t="n">
        <v>91.49</v>
      </c>
      <c r="G470" s="128" t="n">
        <v>100.3</v>
      </c>
      <c r="H470" s="128" t="n">
        <v>4.89</v>
      </c>
      <c r="I470" s="128" t="n">
        <v>-26.95</v>
      </c>
      <c r="J470" s="128" t="n">
        <v>-46.35</v>
      </c>
      <c r="K470" s="128" t="n">
        <v>91.57</v>
      </c>
      <c r="L470" s="129" t="n">
        <f aca="false">AVERAGE(C470:E470)</f>
        <v>-52.05</v>
      </c>
      <c r="M470" s="130" t="n">
        <f aca="false">AVERAGE(C470:J470)</f>
        <v>-4.09625</v>
      </c>
      <c r="N470" s="130" t="n">
        <f aca="false">RANK(I470,I:I)</f>
        <v>253</v>
      </c>
      <c r="O470" s="127" t="n">
        <f aca="false">RANK(L470,L:L)</f>
        <v>250</v>
      </c>
      <c r="P470" s="128" t="s">
        <v>447</v>
      </c>
      <c r="Q470" s="127" t="n">
        <f aca="false">RANK(M470,M:M)</f>
        <v>245</v>
      </c>
      <c r="R470" s="128" t="s">
        <v>447</v>
      </c>
      <c r="S470" s="127"/>
      <c r="T470" s="127"/>
      <c r="U470" s="127"/>
      <c r="V470" s="127"/>
      <c r="W470" s="127"/>
      <c r="X470" s="127"/>
    </row>
    <row r="471" customFormat="false" ht="15.75" hidden="false" customHeight="true" outlineLevel="0" collapsed="false">
      <c r="A471" s="128" t="s">
        <v>104</v>
      </c>
      <c r="B471" s="128" t="n">
        <v>96.53</v>
      </c>
      <c r="C471" s="128" t="n">
        <v>-66.67</v>
      </c>
      <c r="D471" s="128" t="n">
        <v>-133.33</v>
      </c>
      <c r="E471" s="128" t="n">
        <v>33.78</v>
      </c>
      <c r="F471" s="128" t="n">
        <v>116.74</v>
      </c>
      <c r="G471" s="128" t="n">
        <v>134.6</v>
      </c>
      <c r="H471" s="128" t="n">
        <v>57.26</v>
      </c>
      <c r="I471" s="128" t="n">
        <v>21.84</v>
      </c>
      <c r="J471" s="128" t="n">
        <v>2.14</v>
      </c>
      <c r="K471" s="128" t="n">
        <v>93.09</v>
      </c>
      <c r="L471" s="129" t="n">
        <f aca="false">AVERAGE(C471:E471)</f>
        <v>-55.4066666666667</v>
      </c>
      <c r="M471" s="130" t="n">
        <f aca="false">AVERAGE(C471:J471)</f>
        <v>20.795</v>
      </c>
      <c r="N471" s="130" t="n">
        <f aca="false">RANK(I471,I:I)</f>
        <v>168</v>
      </c>
      <c r="O471" s="127" t="n">
        <f aca="false">RANK(L471,L:L)</f>
        <v>265</v>
      </c>
      <c r="P471" s="128" t="s">
        <v>104</v>
      </c>
      <c r="Q471" s="127" t="n">
        <f aca="false">RANK(M471,M:M)</f>
        <v>166</v>
      </c>
      <c r="R471" s="128" t="s">
        <v>104</v>
      </c>
      <c r="S471" s="127"/>
      <c r="T471" s="127"/>
      <c r="U471" s="127"/>
      <c r="V471" s="127"/>
      <c r="W471" s="127"/>
      <c r="X471" s="127"/>
    </row>
    <row r="472" customFormat="false" ht="15.75" hidden="false" customHeight="true" outlineLevel="0" collapsed="false">
      <c r="A472" s="128" t="s">
        <v>261</v>
      </c>
      <c r="B472" s="128" t="n">
        <v>95.49</v>
      </c>
      <c r="C472" s="128" t="n">
        <v>-66.67</v>
      </c>
      <c r="D472" s="128" t="n">
        <v>-133.33</v>
      </c>
      <c r="E472" s="128" t="n">
        <v>22.65</v>
      </c>
      <c r="F472" s="128" t="n">
        <v>116.26</v>
      </c>
      <c r="G472" s="128" t="n">
        <v>121.45</v>
      </c>
      <c r="H472" s="128" t="n">
        <v>93.71</v>
      </c>
      <c r="I472" s="128" t="n">
        <v>66.9</v>
      </c>
      <c r="J472" s="128" t="n">
        <v>19.61</v>
      </c>
      <c r="K472" s="128" t="n">
        <v>90.8</v>
      </c>
      <c r="L472" s="129" t="n">
        <f aca="false">AVERAGE(C472:E472)</f>
        <v>-59.1166666666667</v>
      </c>
      <c r="M472" s="130" t="n">
        <f aca="false">AVERAGE(C472:J472)</f>
        <v>30.0725</v>
      </c>
      <c r="N472" s="130" t="n">
        <f aca="false">RANK(I472,I:I)</f>
        <v>106</v>
      </c>
      <c r="O472" s="127" t="n">
        <f aca="false">RANK(L472,L:L)</f>
        <v>293</v>
      </c>
      <c r="P472" s="128" t="s">
        <v>231</v>
      </c>
      <c r="Q472" s="127" t="n">
        <f aca="false">RANK(M472,M:M)</f>
        <v>141</v>
      </c>
      <c r="R472" s="128" t="s">
        <v>231</v>
      </c>
      <c r="S472" s="127"/>
      <c r="T472" s="127"/>
      <c r="U472" s="127"/>
      <c r="V472" s="127"/>
      <c r="W472" s="127"/>
      <c r="X472" s="127"/>
    </row>
    <row r="473" customFormat="false" ht="15.75" hidden="false" customHeight="true" outlineLevel="0" collapsed="false">
      <c r="A473" s="128" t="s">
        <v>231</v>
      </c>
      <c r="B473" s="128" t="n">
        <v>86.07</v>
      </c>
      <c r="C473" s="128" t="n">
        <v>-66.67</v>
      </c>
      <c r="D473" s="128" t="n">
        <v>-133.33</v>
      </c>
      <c r="E473" s="128" t="n">
        <v>8.97</v>
      </c>
      <c r="F473" s="128" t="n">
        <v>95.5</v>
      </c>
      <c r="G473" s="128" t="n">
        <v>132.09</v>
      </c>
      <c r="H473" s="128" t="n">
        <v>143.95</v>
      </c>
      <c r="I473" s="128" t="n">
        <v>138.29</v>
      </c>
      <c r="J473" s="128" t="n">
        <v>74.72</v>
      </c>
      <c r="K473" s="128" t="n">
        <v>83.25</v>
      </c>
      <c r="L473" s="129" t="n">
        <f aca="false">AVERAGE(C473:E473)</f>
        <v>-63.6766666666667</v>
      </c>
      <c r="M473" s="130" t="n">
        <f aca="false">AVERAGE(C473:J473)</f>
        <v>49.19</v>
      </c>
      <c r="N473" s="130" t="n">
        <f aca="false">RANK(I473,I:I)</f>
        <v>49</v>
      </c>
      <c r="O473" s="127" t="n">
        <f aca="false">RANK(L473,L:L)</f>
        <v>332</v>
      </c>
      <c r="P473" s="128" t="s">
        <v>297</v>
      </c>
      <c r="Q473" s="127" t="n">
        <f aca="false">RANK(M473,M:M)</f>
        <v>95</v>
      </c>
      <c r="R473" s="128" t="s">
        <v>297</v>
      </c>
      <c r="S473" s="127"/>
      <c r="T473" s="127"/>
      <c r="U473" s="127"/>
      <c r="V473" s="127"/>
      <c r="W473" s="127"/>
      <c r="X473" s="127"/>
    </row>
    <row r="474" customFormat="false" ht="15.75" hidden="false" customHeight="true" outlineLevel="0" collapsed="false">
      <c r="A474" s="128" t="s">
        <v>297</v>
      </c>
      <c r="B474" s="128" t="n">
        <v>85.5</v>
      </c>
      <c r="C474" s="128" t="n">
        <v>-66.67</v>
      </c>
      <c r="D474" s="128" t="n">
        <v>-76.71</v>
      </c>
      <c r="E474" s="128" t="n">
        <v>-8.09</v>
      </c>
      <c r="F474" s="128" t="n">
        <v>88.63</v>
      </c>
      <c r="G474" s="128" t="n">
        <v>151.86</v>
      </c>
      <c r="H474" s="128" t="n">
        <v>161.93</v>
      </c>
      <c r="I474" s="128" t="n">
        <v>140.12</v>
      </c>
      <c r="J474" s="128" t="n">
        <v>79.35</v>
      </c>
      <c r="K474" s="128" t="n">
        <v>82.52</v>
      </c>
      <c r="L474" s="129" t="n">
        <f aca="false">AVERAGE(C474:E474)</f>
        <v>-50.49</v>
      </c>
      <c r="M474" s="130" t="n">
        <f aca="false">AVERAGE(C474:J474)</f>
        <v>58.8025</v>
      </c>
      <c r="N474" s="130" t="n">
        <f aca="false">RANK(I474,I:I)</f>
        <v>47</v>
      </c>
      <c r="O474" s="127" t="n">
        <f aca="false">RANK(L474,L:L)</f>
        <v>240</v>
      </c>
      <c r="P474" s="128" t="s">
        <v>261</v>
      </c>
      <c r="Q474" s="127" t="n">
        <f aca="false">RANK(M474,M:M)</f>
        <v>73</v>
      </c>
      <c r="R474" s="128" t="s">
        <v>261</v>
      </c>
      <c r="S474" s="127"/>
      <c r="T474" s="127"/>
      <c r="U474" s="127"/>
      <c r="V474" s="127"/>
      <c r="W474" s="127"/>
      <c r="X474" s="127"/>
    </row>
    <row r="475" customFormat="false" ht="15.75" hidden="false" customHeight="true" outlineLevel="0" collapsed="false">
      <c r="A475" s="128" t="s">
        <v>1805</v>
      </c>
      <c r="B475" s="128" t="n">
        <v>84.62</v>
      </c>
      <c r="C475" s="128" t="n">
        <v>-66.67</v>
      </c>
      <c r="D475" s="128" t="n">
        <v>46.41</v>
      </c>
      <c r="E475" s="128" t="n">
        <v>115.09</v>
      </c>
      <c r="F475" s="128" t="n">
        <v>241.09</v>
      </c>
      <c r="G475" s="128" t="n">
        <v>193.68</v>
      </c>
      <c r="H475" s="128" t="n">
        <v>151.96</v>
      </c>
      <c r="I475" s="128"/>
      <c r="J475" s="128"/>
      <c r="K475" s="128" t="n">
        <v>77.92</v>
      </c>
      <c r="L475" s="129" t="n">
        <f aca="false">AVERAGE(C475:E475)</f>
        <v>31.61</v>
      </c>
      <c r="M475" s="130" t="n">
        <f aca="false">AVERAGE(C475:J475)</f>
        <v>113.593333333333</v>
      </c>
      <c r="N475" s="130" t="e">
        <f aca="false">RANK(I475,I:I)</f>
        <v>#N/A</v>
      </c>
      <c r="O475" s="127" t="n">
        <f aca="false">RANK(L475,L:L)</f>
        <v>39</v>
      </c>
      <c r="P475" s="128" t="s">
        <v>218</v>
      </c>
      <c r="Q475" s="127" t="n">
        <f aca="false">RANK(M475,M:M)</f>
        <v>21</v>
      </c>
      <c r="R475" s="128" t="s">
        <v>218</v>
      </c>
      <c r="S475" s="127"/>
      <c r="T475" s="127"/>
      <c r="U475" s="127"/>
      <c r="V475" s="127"/>
      <c r="W475" s="127"/>
      <c r="X475" s="127"/>
    </row>
    <row r="476" customFormat="false" ht="15.75" hidden="false" customHeight="true" outlineLevel="0" collapsed="false">
      <c r="A476" s="128" t="s">
        <v>218</v>
      </c>
      <c r="B476" s="128" t="n">
        <v>81.15</v>
      </c>
      <c r="C476" s="128" t="n">
        <v>-66.67</v>
      </c>
      <c r="D476" s="128" t="n">
        <v>-133.33</v>
      </c>
      <c r="E476" s="128" t="n">
        <v>5.85</v>
      </c>
      <c r="F476" s="128" t="n">
        <v>43.36</v>
      </c>
      <c r="G476" s="128" t="n">
        <v>-39.03</v>
      </c>
      <c r="H476" s="128" t="n">
        <v>-64.81</v>
      </c>
      <c r="I476" s="128" t="n">
        <v>-79.44</v>
      </c>
      <c r="J476" s="128" t="n">
        <v>-89.25</v>
      </c>
      <c r="K476" s="128" t="n">
        <v>77.95</v>
      </c>
      <c r="L476" s="129" t="n">
        <f aca="false">AVERAGE(C476:E476)</f>
        <v>-64.7166666666667</v>
      </c>
      <c r="M476" s="130" t="n">
        <f aca="false">AVERAGE(C476:J476)</f>
        <v>-52.915</v>
      </c>
      <c r="N476" s="130" t="n">
        <f aca="false">RANK(I476,I:I)</f>
        <v>417</v>
      </c>
      <c r="O476" s="127" t="n">
        <f aca="false">RANK(L476,L:L)</f>
        <v>349</v>
      </c>
      <c r="P476" s="128" t="s">
        <v>376</v>
      </c>
      <c r="Q476" s="127" t="n">
        <f aca="false">RANK(M476,M:M)</f>
        <v>416</v>
      </c>
      <c r="R476" s="128" t="s">
        <v>376</v>
      </c>
      <c r="S476" s="127"/>
      <c r="T476" s="127"/>
      <c r="U476" s="127"/>
      <c r="V476" s="127"/>
      <c r="W476" s="127"/>
      <c r="X476" s="127"/>
    </row>
    <row r="477" customFormat="false" ht="15.75" hidden="false" customHeight="true" outlineLevel="0" collapsed="false">
      <c r="A477" s="128" t="s">
        <v>376</v>
      </c>
      <c r="B477" s="128" t="n">
        <v>80.43</v>
      </c>
      <c r="C477" s="128" t="n">
        <v>-66.67</v>
      </c>
      <c r="D477" s="128" t="n">
        <v>-133.33</v>
      </c>
      <c r="E477" s="128" t="n">
        <v>-19.35</v>
      </c>
      <c r="F477" s="128" t="n">
        <v>71.2</v>
      </c>
      <c r="G477" s="128" t="n">
        <v>88.3</v>
      </c>
      <c r="H477" s="128" t="n">
        <v>92.01</v>
      </c>
      <c r="I477" s="128" t="n">
        <v>60.04</v>
      </c>
      <c r="J477" s="128" t="n">
        <v>31.78</v>
      </c>
      <c r="K477" s="128" t="n">
        <v>77.27</v>
      </c>
      <c r="L477" s="129" t="n">
        <f aca="false">AVERAGE(C477:E477)</f>
        <v>-73.1166666666667</v>
      </c>
      <c r="M477" s="130" t="n">
        <f aca="false">AVERAGE(C477:J477)</f>
        <v>15.4975</v>
      </c>
      <c r="N477" s="130" t="n">
        <f aca="false">RANK(I477,I:I)</f>
        <v>113</v>
      </c>
      <c r="O477" s="127" t="n">
        <f aca="false">RANK(L477,L:L)</f>
        <v>412</v>
      </c>
      <c r="P477" s="128" t="s">
        <v>1805</v>
      </c>
      <c r="Q477" s="127" t="n">
        <f aca="false">RANK(M477,M:M)</f>
        <v>184</v>
      </c>
      <c r="R477" s="128" t="s">
        <v>1805</v>
      </c>
      <c r="S477" s="127"/>
      <c r="T477" s="127"/>
      <c r="U477" s="127"/>
      <c r="V477" s="127"/>
      <c r="W477" s="127"/>
      <c r="X477" s="127"/>
    </row>
    <row r="478" customFormat="false" ht="15.75" hidden="false" customHeight="true" outlineLevel="0" collapsed="false">
      <c r="A478" s="128" t="s">
        <v>106</v>
      </c>
      <c r="B478" s="128" t="n">
        <v>66.08</v>
      </c>
      <c r="C478" s="128" t="n">
        <v>-66.67</v>
      </c>
      <c r="D478" s="128" t="n">
        <v>-96.7</v>
      </c>
      <c r="E478" s="128" t="n">
        <v>54.92</v>
      </c>
      <c r="F478" s="128" t="n">
        <v>145.67</v>
      </c>
      <c r="G478" s="128" t="n">
        <v>163.75</v>
      </c>
      <c r="H478" s="128" t="n">
        <v>140.66</v>
      </c>
      <c r="I478" s="128" t="n">
        <v>105.65</v>
      </c>
      <c r="J478" s="128" t="n">
        <v>44.6</v>
      </c>
      <c r="K478" s="128" t="n">
        <v>62.49</v>
      </c>
      <c r="L478" s="129" t="n">
        <f aca="false">AVERAGE(C478:E478)</f>
        <v>-36.15</v>
      </c>
      <c r="M478" s="130" t="n">
        <f aca="false">AVERAGE(C478:J478)</f>
        <v>61.485</v>
      </c>
      <c r="N478" s="130" t="n">
        <f aca="false">RANK(I478,I:I)</f>
        <v>77</v>
      </c>
      <c r="O478" s="127" t="n">
        <f aca="false">RANK(L478,L:L)</f>
        <v>184</v>
      </c>
      <c r="P478" s="128" t="s">
        <v>64</v>
      </c>
      <c r="Q478" s="127" t="n">
        <f aca="false">RANK(M478,M:M)</f>
        <v>70</v>
      </c>
      <c r="R478" s="128" t="s">
        <v>64</v>
      </c>
      <c r="S478" s="127"/>
      <c r="T478" s="127"/>
      <c r="U478" s="127"/>
      <c r="V478" s="127"/>
      <c r="W478" s="127"/>
      <c r="X478" s="127"/>
    </row>
    <row r="479" customFormat="false" ht="15.75" hidden="false" customHeight="true" outlineLevel="0" collapsed="false">
      <c r="A479" s="128" t="s">
        <v>64</v>
      </c>
      <c r="B479" s="128" t="n">
        <v>64.95</v>
      </c>
      <c r="C479" s="128" t="n">
        <v>-66.67</v>
      </c>
      <c r="D479" s="128" t="n">
        <v>-133.33</v>
      </c>
      <c r="E479" s="128" t="n">
        <v>9.98</v>
      </c>
      <c r="F479" s="128" t="n">
        <v>-17.18</v>
      </c>
      <c r="G479" s="128" t="n">
        <v>17.89</v>
      </c>
      <c r="H479" s="128" t="n">
        <v>-10.4</v>
      </c>
      <c r="I479" s="128" t="n">
        <v>-42.93</v>
      </c>
      <c r="J479" s="128" t="n">
        <v>-56.38</v>
      </c>
      <c r="K479" s="128" t="n">
        <v>62.9</v>
      </c>
      <c r="L479" s="129" t="n">
        <f aca="false">AVERAGE(C479:E479)</f>
        <v>-63.34</v>
      </c>
      <c r="M479" s="130" t="n">
        <f aca="false">AVERAGE(C479:J479)</f>
        <v>-37.3775</v>
      </c>
      <c r="N479" s="130" t="n">
        <f aca="false">RANK(I479,I:I)</f>
        <v>296</v>
      </c>
      <c r="O479" s="127" t="n">
        <f aca="false">RANK(L479,L:L)</f>
        <v>328</v>
      </c>
      <c r="P479" s="128" t="s">
        <v>106</v>
      </c>
      <c r="Q479" s="127" t="n">
        <f aca="false">RANK(M479,M:M)</f>
        <v>374</v>
      </c>
      <c r="R479" s="128" t="s">
        <v>106</v>
      </c>
      <c r="S479" s="127"/>
      <c r="T479" s="127"/>
      <c r="U479" s="127"/>
      <c r="V479" s="127"/>
      <c r="W479" s="127"/>
      <c r="X479" s="127"/>
    </row>
    <row r="480" customFormat="false" ht="15.75" hidden="false" customHeight="true" outlineLevel="0" collapsed="false">
      <c r="A480" s="128" t="s">
        <v>528</v>
      </c>
      <c r="B480" s="128" t="n">
        <v>58.83</v>
      </c>
      <c r="C480" s="128" t="n">
        <v>-66.67</v>
      </c>
      <c r="D480" s="128" t="n">
        <v>-133.33</v>
      </c>
      <c r="E480" s="128" t="n">
        <v>6.73</v>
      </c>
      <c r="F480" s="128" t="n">
        <v>2.56</v>
      </c>
      <c r="G480" s="128" t="n">
        <v>-53.14</v>
      </c>
      <c r="H480" s="128" t="n">
        <v>-75.07</v>
      </c>
      <c r="I480" s="128" t="n">
        <v>-94.33</v>
      </c>
      <c r="J480" s="128" t="n">
        <v>-107.45</v>
      </c>
      <c r="K480" s="128" t="n">
        <v>62</v>
      </c>
      <c r="L480" s="129" t="n">
        <f aca="false">AVERAGE(C480:E480)</f>
        <v>-64.4233333333333</v>
      </c>
      <c r="M480" s="130" t="n">
        <f aca="false">AVERAGE(C480:J480)</f>
        <v>-65.0875</v>
      </c>
      <c r="N480" s="130" t="n">
        <f aca="false">RANK(I480,I:I)</f>
        <v>446</v>
      </c>
      <c r="O480" s="127" t="n">
        <f aca="false">RANK(L480,L:L)</f>
        <v>344</v>
      </c>
      <c r="P480" s="128" t="s">
        <v>528</v>
      </c>
      <c r="Q480" s="127" t="n">
        <f aca="false">RANK(M480,M:M)</f>
        <v>445</v>
      </c>
      <c r="R480" s="128" t="s">
        <v>528</v>
      </c>
      <c r="S480" s="127"/>
      <c r="T480" s="127"/>
      <c r="U480" s="127"/>
      <c r="V480" s="127"/>
      <c r="W480" s="127"/>
      <c r="X480" s="127"/>
    </row>
    <row r="481" customFormat="false" ht="15.75" hidden="false" customHeight="true" outlineLevel="0" collapsed="false">
      <c r="A481" s="128" t="s">
        <v>344</v>
      </c>
      <c r="B481" s="128" t="n">
        <v>58.3</v>
      </c>
      <c r="C481" s="128" t="n">
        <v>-66.67</v>
      </c>
      <c r="D481" s="128" t="n">
        <v>-117.27</v>
      </c>
      <c r="E481" s="128" t="n">
        <v>43.92</v>
      </c>
      <c r="F481" s="128" t="n">
        <v>81.23</v>
      </c>
      <c r="G481" s="128" t="n">
        <v>110.19</v>
      </c>
      <c r="H481" s="128" t="n">
        <v>31.74</v>
      </c>
      <c r="I481" s="128" t="n">
        <v>-4.08</v>
      </c>
      <c r="J481" s="128" t="n">
        <v>-34.01</v>
      </c>
      <c r="K481" s="128" t="n">
        <v>53.8</v>
      </c>
      <c r="L481" s="129" t="n">
        <f aca="false">AVERAGE(C481:E481)</f>
        <v>-46.6733333333333</v>
      </c>
      <c r="M481" s="130" t="n">
        <f aca="false">AVERAGE(C481:J481)</f>
        <v>5.63125</v>
      </c>
      <c r="N481" s="130" t="n">
        <f aca="false">RANK(I481,I:I)</f>
        <v>210</v>
      </c>
      <c r="O481" s="127" t="n">
        <f aca="false">RANK(L481,L:L)</f>
        <v>225</v>
      </c>
      <c r="P481" s="128" t="s">
        <v>344</v>
      </c>
      <c r="Q481" s="127" t="n">
        <f aca="false">RANK(M481,M:M)</f>
        <v>217</v>
      </c>
      <c r="R481" s="128" t="s">
        <v>344</v>
      </c>
      <c r="S481" s="127"/>
      <c r="T481" s="127"/>
      <c r="U481" s="127"/>
      <c r="V481" s="127"/>
      <c r="W481" s="127"/>
      <c r="X481" s="127"/>
    </row>
    <row r="482" customFormat="false" ht="15.75" hidden="false" customHeight="true" outlineLevel="0" collapsed="false">
      <c r="A482" s="128" t="s">
        <v>477</v>
      </c>
      <c r="B482" s="128" t="n">
        <v>58.28</v>
      </c>
      <c r="C482" s="128" t="n">
        <v>-66.67</v>
      </c>
      <c r="D482" s="128" t="n">
        <v>39.85</v>
      </c>
      <c r="E482" s="128" t="n">
        <v>115.31</v>
      </c>
      <c r="F482" s="128" t="n">
        <v>194.28</v>
      </c>
      <c r="G482" s="128" t="n">
        <v>32.39</v>
      </c>
      <c r="H482" s="128" t="n">
        <v>-22.52</v>
      </c>
      <c r="I482" s="128" t="n">
        <v>-48.31</v>
      </c>
      <c r="J482" s="128" t="n">
        <v>-67.27</v>
      </c>
      <c r="K482" s="128" t="n">
        <v>52.2</v>
      </c>
      <c r="L482" s="129" t="n">
        <f aca="false">AVERAGE(C482:E482)</f>
        <v>29.4966666666667</v>
      </c>
      <c r="M482" s="130" t="n">
        <f aca="false">AVERAGE(C482:J482)</f>
        <v>22.1325</v>
      </c>
      <c r="N482" s="130" t="n">
        <f aca="false">RANK(I482,I:I)</f>
        <v>317</v>
      </c>
      <c r="O482" s="127" t="n">
        <f aca="false">RANK(L482,L:L)</f>
        <v>46</v>
      </c>
      <c r="P482" s="128" t="s">
        <v>1992</v>
      </c>
      <c r="Q482" s="127" t="n">
        <f aca="false">RANK(M482,M:M)</f>
        <v>162</v>
      </c>
      <c r="R482" s="128" t="s">
        <v>1992</v>
      </c>
      <c r="S482" s="127"/>
      <c r="T482" s="127"/>
      <c r="U482" s="127"/>
      <c r="V482" s="127"/>
      <c r="W482" s="127"/>
      <c r="X482" s="127"/>
    </row>
    <row r="483" customFormat="false" ht="15.75" hidden="false" customHeight="true" outlineLevel="0" collapsed="false">
      <c r="A483" s="128" t="s">
        <v>414</v>
      </c>
      <c r="B483" s="128" t="n">
        <v>55.59</v>
      </c>
      <c r="C483" s="128" t="n">
        <v>-66.67</v>
      </c>
      <c r="D483" s="128" t="n">
        <v>-15.53</v>
      </c>
      <c r="E483" s="128" t="n">
        <v>79.37</v>
      </c>
      <c r="F483" s="128" t="n">
        <v>127.84</v>
      </c>
      <c r="G483" s="128" t="n">
        <v>97.3</v>
      </c>
      <c r="H483" s="128" t="n">
        <v>26.7</v>
      </c>
      <c r="I483" s="128" t="n">
        <v>-14.85</v>
      </c>
      <c r="J483" s="128" t="n">
        <v>-36.83</v>
      </c>
      <c r="K483" s="128" t="n">
        <v>51.62</v>
      </c>
      <c r="L483" s="129" t="n">
        <f aca="false">AVERAGE(C483:E483)</f>
        <v>-0.943333333333333</v>
      </c>
      <c r="M483" s="130" t="n">
        <f aca="false">AVERAGE(C483:J483)</f>
        <v>24.66625</v>
      </c>
      <c r="N483" s="130" t="n">
        <f aca="false">RANK(I483,I:I)</f>
        <v>224</v>
      </c>
      <c r="O483" s="127" t="n">
        <f aca="false">RANK(L483,L:L)</f>
        <v>89</v>
      </c>
      <c r="P483" s="128" t="s">
        <v>414</v>
      </c>
      <c r="Q483" s="127" t="n">
        <f aca="false">RANK(M483,M:M)</f>
        <v>155</v>
      </c>
      <c r="R483" s="128" t="s">
        <v>414</v>
      </c>
      <c r="S483" s="127"/>
      <c r="T483" s="127"/>
      <c r="U483" s="127"/>
      <c r="V483" s="127"/>
      <c r="W483" s="127"/>
      <c r="X483" s="127"/>
    </row>
    <row r="484" customFormat="false" ht="15.75" hidden="false" customHeight="true" outlineLevel="0" collapsed="false">
      <c r="A484" s="128" t="s">
        <v>302</v>
      </c>
      <c r="B484" s="128" t="n">
        <v>50.01</v>
      </c>
      <c r="C484" s="128" t="n">
        <v>-66.67</v>
      </c>
      <c r="D484" s="128" t="n">
        <v>-103.13</v>
      </c>
      <c r="E484" s="128" t="n">
        <v>52.36</v>
      </c>
      <c r="F484" s="128" t="n">
        <v>140.58</v>
      </c>
      <c r="G484" s="128" t="n">
        <v>82.72</v>
      </c>
      <c r="H484" s="128" t="n">
        <v>17.8</v>
      </c>
      <c r="I484" s="128" t="n">
        <v>-17.63</v>
      </c>
      <c r="J484" s="128" t="n">
        <v>-34.51</v>
      </c>
      <c r="K484" s="128" t="n">
        <v>46.78</v>
      </c>
      <c r="L484" s="129" t="n">
        <f aca="false">AVERAGE(C484:E484)</f>
        <v>-39.1466666666667</v>
      </c>
      <c r="M484" s="130" t="n">
        <f aca="false">AVERAGE(C484:J484)</f>
        <v>8.94</v>
      </c>
      <c r="N484" s="130" t="n">
        <f aca="false">RANK(I484,I:I)</f>
        <v>232</v>
      </c>
      <c r="O484" s="127" t="n">
        <f aca="false">RANK(L484,L:L)</f>
        <v>197</v>
      </c>
      <c r="P484" s="128" t="s">
        <v>477</v>
      </c>
      <c r="Q484" s="127" t="n">
        <f aca="false">RANK(M484,M:M)</f>
        <v>207</v>
      </c>
      <c r="R484" s="128" t="s">
        <v>477</v>
      </c>
      <c r="S484" s="127"/>
      <c r="T484" s="127"/>
      <c r="U484" s="127"/>
      <c r="V484" s="127"/>
      <c r="W484" s="127"/>
      <c r="X484" s="127"/>
    </row>
    <row r="485" customFormat="false" ht="15.75" hidden="false" customHeight="true" outlineLevel="0" collapsed="false">
      <c r="A485" s="128" t="s">
        <v>1992</v>
      </c>
      <c r="B485" s="128" t="n">
        <v>49.86</v>
      </c>
      <c r="C485" s="128" t="n">
        <v>-66.67</v>
      </c>
      <c r="D485" s="128" t="n">
        <v>-133.33</v>
      </c>
      <c r="E485" s="128" t="n">
        <v>-49.76</v>
      </c>
      <c r="F485" s="128" t="n">
        <v>-70.24</v>
      </c>
      <c r="G485" s="128" t="n">
        <v>-79.1</v>
      </c>
      <c r="H485" s="128" t="n">
        <v>-86.25</v>
      </c>
      <c r="I485" s="128" t="n">
        <v>-104.03</v>
      </c>
      <c r="J485" s="128" t="n">
        <v>-113.09</v>
      </c>
      <c r="K485" s="128" t="n">
        <v>47.83</v>
      </c>
      <c r="L485" s="129" t="n">
        <f aca="false">AVERAGE(C485:E485)</f>
        <v>-83.2533333333333</v>
      </c>
      <c r="M485" s="130" t="n">
        <f aca="false">AVERAGE(C485:J485)</f>
        <v>-87.80875</v>
      </c>
      <c r="N485" s="130" t="n">
        <f aca="false">RANK(I485,I:I)</f>
        <v>463</v>
      </c>
      <c r="O485" s="127" t="n">
        <f aca="false">RANK(L485,L:L)</f>
        <v>449</v>
      </c>
      <c r="P485" s="128" t="s">
        <v>302</v>
      </c>
      <c r="Q485" s="127" t="n">
        <f aca="false">RANK(M485,M:M)</f>
        <v>478</v>
      </c>
      <c r="R485" s="128" t="s">
        <v>302</v>
      </c>
      <c r="S485" s="127"/>
      <c r="T485" s="127"/>
      <c r="U485" s="127"/>
      <c r="V485" s="127"/>
      <c r="W485" s="127"/>
      <c r="X485" s="127"/>
    </row>
    <row r="486" customFormat="false" ht="15.75" hidden="false" customHeight="true" outlineLevel="0" collapsed="false">
      <c r="A486" s="128" t="s">
        <v>221</v>
      </c>
      <c r="B486" s="128" t="n">
        <v>46.91</v>
      </c>
      <c r="C486" s="128" t="n">
        <v>-66.67</v>
      </c>
      <c r="D486" s="128" t="n">
        <v>-133.33</v>
      </c>
      <c r="E486" s="128" t="n">
        <v>11.14</v>
      </c>
      <c r="F486" s="128" t="n">
        <v>79.64</v>
      </c>
      <c r="G486" s="128" t="n">
        <v>-5.23</v>
      </c>
      <c r="H486" s="128" t="n">
        <v>-43.41</v>
      </c>
      <c r="I486" s="128" t="n">
        <v>-56.42</v>
      </c>
      <c r="J486" s="128" t="n">
        <v>-72.13</v>
      </c>
      <c r="K486" s="128" t="n">
        <v>44.59</v>
      </c>
      <c r="L486" s="129" t="n">
        <f aca="false">AVERAGE(C486:E486)</f>
        <v>-62.9533333333333</v>
      </c>
      <c r="M486" s="130" t="n">
        <f aca="false">AVERAGE(C486:J486)</f>
        <v>-35.80125</v>
      </c>
      <c r="N486" s="130" t="n">
        <f aca="false">RANK(I486,I:I)</f>
        <v>351</v>
      </c>
      <c r="O486" s="127" t="n">
        <f aca="false">RANK(L486,L:L)</f>
        <v>324</v>
      </c>
      <c r="P486" s="128" t="s">
        <v>221</v>
      </c>
      <c r="Q486" s="127" t="n">
        <f aca="false">RANK(M486,M:M)</f>
        <v>369</v>
      </c>
      <c r="R486" s="128" t="s">
        <v>221</v>
      </c>
      <c r="S486" s="127"/>
      <c r="T486" s="127"/>
      <c r="U486" s="127"/>
      <c r="V486" s="127"/>
      <c r="W486" s="127"/>
      <c r="X486" s="127"/>
    </row>
    <row r="487" customFormat="false" ht="15.75" hidden="false" customHeight="true" outlineLevel="0" collapsed="false">
      <c r="A487" s="128" t="s">
        <v>485</v>
      </c>
      <c r="B487" s="128" t="n">
        <v>43.69</v>
      </c>
      <c r="C487" s="128" t="n">
        <v>-66.67</v>
      </c>
      <c r="D487" s="128" t="n">
        <v>-133.33</v>
      </c>
      <c r="E487" s="128" t="n">
        <v>3.4</v>
      </c>
      <c r="F487" s="128" t="n">
        <v>15.26</v>
      </c>
      <c r="G487" s="128" t="n">
        <v>-38.02</v>
      </c>
      <c r="H487" s="128" t="n">
        <v>-61.58</v>
      </c>
      <c r="I487" s="128" t="n">
        <v>-71.46</v>
      </c>
      <c r="J487" s="128" t="n">
        <v>-84.93</v>
      </c>
      <c r="K487" s="128" t="n">
        <v>46.6</v>
      </c>
      <c r="L487" s="129" t="n">
        <f aca="false">AVERAGE(C487:E487)</f>
        <v>-65.5333333333334</v>
      </c>
      <c r="M487" s="130" t="n">
        <f aca="false">AVERAGE(C487:J487)</f>
        <v>-54.66625</v>
      </c>
      <c r="N487" s="130" t="n">
        <f aca="false">RANK(I487,I:I)</f>
        <v>396</v>
      </c>
      <c r="O487" s="127" t="n">
        <f aca="false">RANK(L487,L:L)</f>
        <v>359</v>
      </c>
      <c r="P487" s="128" t="s">
        <v>485</v>
      </c>
      <c r="Q487" s="127" t="n">
        <f aca="false">RANK(M487,M:M)</f>
        <v>420</v>
      </c>
      <c r="R487" s="128" t="s">
        <v>485</v>
      </c>
      <c r="S487" s="127"/>
      <c r="T487" s="127"/>
      <c r="U487" s="127"/>
      <c r="V487" s="127"/>
      <c r="W487" s="127"/>
      <c r="X487" s="127"/>
    </row>
    <row r="488" customFormat="false" ht="15.75" hidden="false" customHeight="true" outlineLevel="0" collapsed="false">
      <c r="A488" s="128" t="s">
        <v>429</v>
      </c>
      <c r="B488" s="128" t="n">
        <v>43.63</v>
      </c>
      <c r="C488" s="128" t="n">
        <v>-66.67</v>
      </c>
      <c r="D488" s="128" t="n">
        <v>-133.33</v>
      </c>
      <c r="E488" s="128" t="n">
        <v>23.74</v>
      </c>
      <c r="F488" s="128" t="n">
        <v>47.65</v>
      </c>
      <c r="G488" s="128" t="n">
        <v>-27.28</v>
      </c>
      <c r="H488" s="128" t="n">
        <v>-57.48</v>
      </c>
      <c r="I488" s="128" t="n">
        <v>-77.88</v>
      </c>
      <c r="J488" s="128" t="n">
        <v>-92.95</v>
      </c>
      <c r="K488" s="128" t="n">
        <v>41.15</v>
      </c>
      <c r="L488" s="129" t="n">
        <f aca="false">AVERAGE(C488:E488)</f>
        <v>-58.7533333333333</v>
      </c>
      <c r="M488" s="130" t="n">
        <f aca="false">AVERAGE(C488:J488)</f>
        <v>-48.025</v>
      </c>
      <c r="N488" s="130" t="n">
        <f aca="false">RANK(I488,I:I)</f>
        <v>415</v>
      </c>
      <c r="O488" s="127" t="n">
        <f aca="false">RANK(L488,L:L)</f>
        <v>289</v>
      </c>
      <c r="P488" s="128" t="s">
        <v>429</v>
      </c>
      <c r="Q488" s="127" t="n">
        <f aca="false">RANK(M488,M:M)</f>
        <v>406</v>
      </c>
      <c r="R488" s="128" t="s">
        <v>429</v>
      </c>
      <c r="S488" s="127"/>
      <c r="T488" s="127"/>
      <c r="U488" s="127"/>
      <c r="V488" s="127"/>
      <c r="W488" s="127"/>
      <c r="X488" s="127"/>
    </row>
    <row r="489" customFormat="false" ht="15.75" hidden="false" customHeight="true" outlineLevel="0" collapsed="false">
      <c r="A489" s="128" t="s">
        <v>505</v>
      </c>
      <c r="B489" s="128" t="n">
        <v>43.55</v>
      </c>
      <c r="C489" s="128" t="n">
        <v>-66.67</v>
      </c>
      <c r="D489" s="128" t="n">
        <v>-133.33</v>
      </c>
      <c r="E489" s="128" t="n">
        <v>25.35</v>
      </c>
      <c r="F489" s="128" t="n">
        <v>75.28</v>
      </c>
      <c r="G489" s="128" t="n">
        <v>-20.94</v>
      </c>
      <c r="H489" s="128" t="n">
        <v>-55.5</v>
      </c>
      <c r="I489" s="128" t="n">
        <v>-74.54</v>
      </c>
      <c r="J489" s="128" t="n">
        <v>-89.56</v>
      </c>
      <c r="K489" s="128" t="n">
        <v>40.78</v>
      </c>
      <c r="L489" s="129" t="n">
        <f aca="false">AVERAGE(C489:E489)</f>
        <v>-58.2166666666667</v>
      </c>
      <c r="M489" s="130" t="n">
        <f aca="false">AVERAGE(C489:J489)</f>
        <v>-42.48875</v>
      </c>
      <c r="N489" s="130" t="n">
        <f aca="false">RANK(I489,I:I)</f>
        <v>403</v>
      </c>
      <c r="O489" s="127" t="n">
        <f aca="false">RANK(L489,L:L)</f>
        <v>284</v>
      </c>
      <c r="P489" s="128" t="s">
        <v>583</v>
      </c>
      <c r="Q489" s="127" t="n">
        <f aca="false">RANK(M489,M:M)</f>
        <v>387</v>
      </c>
      <c r="R489" s="128" t="s">
        <v>583</v>
      </c>
      <c r="S489" s="127"/>
      <c r="T489" s="127"/>
      <c r="U489" s="127"/>
      <c r="V489" s="127"/>
      <c r="W489" s="127"/>
      <c r="X489" s="127"/>
    </row>
    <row r="490" customFormat="false" ht="15.75" hidden="false" customHeight="true" outlineLevel="0" collapsed="false">
      <c r="A490" s="128" t="s">
        <v>583</v>
      </c>
      <c r="B490" s="128" t="n">
        <v>41.36</v>
      </c>
      <c r="C490" s="128" t="n">
        <v>-66.67</v>
      </c>
      <c r="D490" s="128" t="n">
        <v>-108.89</v>
      </c>
      <c r="E490" s="128" t="n">
        <v>3.97</v>
      </c>
      <c r="F490" s="128" t="n">
        <v>62.19</v>
      </c>
      <c r="G490" s="128" t="n">
        <v>95.98</v>
      </c>
      <c r="H490" s="128" t="n">
        <v>52.55</v>
      </c>
      <c r="I490" s="128" t="n">
        <v>52.04</v>
      </c>
      <c r="J490" s="128" t="n">
        <v>36.11</v>
      </c>
      <c r="K490" s="128" t="n">
        <v>39.26</v>
      </c>
      <c r="L490" s="129" t="n">
        <f aca="false">AVERAGE(C490:E490)</f>
        <v>-57.1966666666667</v>
      </c>
      <c r="M490" s="130" t="n">
        <f aca="false">AVERAGE(C490:J490)</f>
        <v>15.91</v>
      </c>
      <c r="N490" s="130" t="n">
        <f aca="false">RANK(I490,I:I)</f>
        <v>120</v>
      </c>
      <c r="O490" s="127" t="n">
        <f aca="false">RANK(L490,L:L)</f>
        <v>279</v>
      </c>
      <c r="P490" s="128" t="s">
        <v>505</v>
      </c>
      <c r="Q490" s="127" t="n">
        <f aca="false">RANK(M490,M:M)</f>
        <v>181</v>
      </c>
      <c r="R490" s="128" t="s">
        <v>505</v>
      </c>
      <c r="S490" s="127"/>
      <c r="T490" s="127"/>
      <c r="U490" s="127"/>
      <c r="V490" s="127"/>
      <c r="W490" s="127"/>
      <c r="X490" s="127"/>
    </row>
    <row r="491" customFormat="false" ht="15.75" hidden="false" customHeight="true" outlineLevel="0" collapsed="false">
      <c r="A491" s="128" t="s">
        <v>1997</v>
      </c>
      <c r="B491" s="128" t="n">
        <v>40.87</v>
      </c>
      <c r="C491" s="128" t="n">
        <v>-66.67</v>
      </c>
      <c r="D491" s="128" t="n">
        <v>-131.54</v>
      </c>
      <c r="E491" s="128" t="n">
        <v>-29.44</v>
      </c>
      <c r="F491" s="128" t="n">
        <v>-50.83</v>
      </c>
      <c r="G491" s="128" t="n">
        <v>-79.71</v>
      </c>
      <c r="H491" s="128" t="n">
        <v>-89.77</v>
      </c>
      <c r="I491" s="128"/>
      <c r="J491" s="128"/>
      <c r="K491" s="128" t="n">
        <v>39.23</v>
      </c>
      <c r="L491" s="129" t="n">
        <f aca="false">AVERAGE(C491:E491)</f>
        <v>-75.8833333333333</v>
      </c>
      <c r="M491" s="130" t="n">
        <f aca="false">AVERAGE(C491:J491)</f>
        <v>-74.66</v>
      </c>
      <c r="N491" s="130" t="e">
        <f aca="false">RANK(I491,I:I)</f>
        <v>#N/A</v>
      </c>
      <c r="O491" s="127" t="n">
        <f aca="false">RANK(L491,L:L)</f>
        <v>421</v>
      </c>
      <c r="P491" s="128" t="s">
        <v>1997</v>
      </c>
      <c r="Q491" s="127" t="n">
        <f aca="false">RANK(M491,M:M)</f>
        <v>463</v>
      </c>
      <c r="R491" s="128" t="s">
        <v>1997</v>
      </c>
      <c r="S491" s="127"/>
      <c r="T491" s="127"/>
      <c r="U491" s="127"/>
      <c r="V491" s="127"/>
      <c r="W491" s="127"/>
      <c r="X491" s="127"/>
    </row>
    <row r="492" customFormat="false" ht="15.75" hidden="false" customHeight="true" outlineLevel="0" collapsed="false">
      <c r="A492" s="128" t="s">
        <v>380</v>
      </c>
      <c r="B492" s="128" t="n">
        <v>37.39</v>
      </c>
      <c r="C492" s="128" t="n">
        <v>-66.67</v>
      </c>
      <c r="D492" s="128" t="n">
        <v>-133.33</v>
      </c>
      <c r="E492" s="128" t="n">
        <v>30.5</v>
      </c>
      <c r="F492" s="128" t="n">
        <v>-44.43</v>
      </c>
      <c r="G492" s="128" t="n">
        <v>-95.57</v>
      </c>
      <c r="H492" s="128" t="n">
        <v>-117.4</v>
      </c>
      <c r="I492" s="128" t="n">
        <v>-137.11</v>
      </c>
      <c r="J492" s="128" t="n">
        <v>-157.7</v>
      </c>
      <c r="K492" s="128" t="n">
        <v>39.42</v>
      </c>
      <c r="L492" s="129" t="n">
        <f aca="false">AVERAGE(C492:E492)</f>
        <v>-56.5</v>
      </c>
      <c r="M492" s="130" t="n">
        <f aca="false">AVERAGE(C492:J492)</f>
        <v>-90.21375</v>
      </c>
      <c r="N492" s="130" t="n">
        <f aca="false">RANK(I492,I:I)</f>
        <v>483</v>
      </c>
      <c r="O492" s="127" t="n">
        <f aca="false">RANK(L492,L:L)</f>
        <v>276</v>
      </c>
      <c r="P492" s="128" t="s">
        <v>380</v>
      </c>
      <c r="Q492" s="127" t="n">
        <f aca="false">RANK(M492,M:M)</f>
        <v>480</v>
      </c>
      <c r="R492" s="128" t="s">
        <v>380</v>
      </c>
      <c r="S492" s="127"/>
      <c r="T492" s="127"/>
      <c r="U492" s="127"/>
      <c r="V492" s="127"/>
      <c r="W492" s="127"/>
      <c r="X492" s="127"/>
    </row>
    <row r="493" customFormat="false" ht="15.75" hidden="false" customHeight="true" outlineLevel="0" collapsed="false">
      <c r="A493" s="128" t="s">
        <v>360</v>
      </c>
      <c r="B493" s="128" t="n">
        <v>36.9</v>
      </c>
      <c r="C493" s="128" t="n">
        <v>-66.67</v>
      </c>
      <c r="D493" s="128" t="n">
        <v>-133.33</v>
      </c>
      <c r="E493" s="128" t="n">
        <v>33.12</v>
      </c>
      <c r="F493" s="128" t="n">
        <v>-50.47</v>
      </c>
      <c r="G493" s="128" t="n">
        <v>-102.36</v>
      </c>
      <c r="H493" s="128" t="n">
        <v>-121.41</v>
      </c>
      <c r="I493" s="128" t="n">
        <v>-138.6</v>
      </c>
      <c r="J493" s="128" t="n">
        <v>-159.64</v>
      </c>
      <c r="K493" s="128" t="n">
        <v>39.3</v>
      </c>
      <c r="L493" s="129" t="n">
        <f aca="false">AVERAGE(C493:E493)</f>
        <v>-55.6266666666667</v>
      </c>
      <c r="M493" s="130" t="n">
        <f aca="false">AVERAGE(C493:J493)</f>
        <v>-92.42</v>
      </c>
      <c r="N493" s="130" t="n">
        <f aca="false">RANK(I493,I:I)</f>
        <v>484</v>
      </c>
      <c r="O493" s="127" t="n">
        <f aca="false">RANK(L493,L:L)</f>
        <v>268</v>
      </c>
      <c r="P493" s="128" t="s">
        <v>360</v>
      </c>
      <c r="Q493" s="127" t="n">
        <f aca="false">RANK(M493,M:M)</f>
        <v>483</v>
      </c>
      <c r="R493" s="128" t="s">
        <v>360</v>
      </c>
      <c r="S493" s="127"/>
      <c r="T493" s="127"/>
      <c r="U493" s="127"/>
      <c r="V493" s="127"/>
      <c r="W493" s="127"/>
      <c r="X493" s="127"/>
    </row>
    <row r="494" customFormat="false" ht="15.75" hidden="false" customHeight="true" outlineLevel="0" collapsed="false">
      <c r="A494" s="128" t="s">
        <v>483</v>
      </c>
      <c r="B494" s="128" t="n">
        <v>35.35</v>
      </c>
      <c r="C494" s="128" t="n">
        <v>-66.67</v>
      </c>
      <c r="D494" s="128" t="n">
        <v>-133.33</v>
      </c>
      <c r="E494" s="128" t="n">
        <v>4.23</v>
      </c>
      <c r="F494" s="128" t="n">
        <v>52.72</v>
      </c>
      <c r="G494" s="128" t="n">
        <v>-24.55</v>
      </c>
      <c r="H494" s="128" t="n">
        <v>-57.46</v>
      </c>
      <c r="I494" s="128" t="n">
        <v>-76.49</v>
      </c>
      <c r="J494" s="128" t="n">
        <v>-87.77</v>
      </c>
      <c r="K494" s="128" t="n">
        <v>33.97</v>
      </c>
      <c r="L494" s="129" t="n">
        <f aca="false">AVERAGE(C494:E494)</f>
        <v>-65.2566666666667</v>
      </c>
      <c r="M494" s="130" t="n">
        <f aca="false">AVERAGE(C494:J494)</f>
        <v>-48.665</v>
      </c>
      <c r="N494" s="130" t="n">
        <f aca="false">RANK(I494,I:I)</f>
        <v>410</v>
      </c>
      <c r="O494" s="127" t="n">
        <f aca="false">RANK(L494,L:L)</f>
        <v>356</v>
      </c>
      <c r="P494" s="128" t="s">
        <v>483</v>
      </c>
      <c r="Q494" s="127" t="n">
        <f aca="false">RANK(M494,M:M)</f>
        <v>407</v>
      </c>
      <c r="R494" s="128" t="s">
        <v>483</v>
      </c>
      <c r="S494" s="127"/>
      <c r="T494" s="127"/>
      <c r="U494" s="127"/>
      <c r="V494" s="127"/>
      <c r="W494" s="127"/>
      <c r="X494" s="127"/>
    </row>
    <row r="495" customFormat="false" ht="15.75" hidden="false" customHeight="true" outlineLevel="0" collapsed="false">
      <c r="A495" s="128" t="s">
        <v>534</v>
      </c>
      <c r="B495" s="128" t="n">
        <v>30.45</v>
      </c>
      <c r="C495" s="128" t="n">
        <v>-66.67</v>
      </c>
      <c r="D495" s="128" t="n">
        <v>-133.33</v>
      </c>
      <c r="E495" s="128" t="n">
        <v>9.85</v>
      </c>
      <c r="F495" s="128" t="n">
        <v>-57.38</v>
      </c>
      <c r="G495" s="128" t="n">
        <v>-112.11</v>
      </c>
      <c r="H495" s="128" t="n">
        <v>-131.89</v>
      </c>
      <c r="I495" s="128" t="n">
        <v>-150.58</v>
      </c>
      <c r="J495" s="128" t="n">
        <v>-172.29</v>
      </c>
      <c r="K495" s="128" t="n">
        <v>32.34</v>
      </c>
      <c r="L495" s="129" t="n">
        <f aca="false">AVERAGE(C495:E495)</f>
        <v>-63.3833333333334</v>
      </c>
      <c r="M495" s="130" t="n">
        <f aca="false">AVERAGE(C495:J495)</f>
        <v>-101.8</v>
      </c>
      <c r="N495" s="130" t="n">
        <f aca="false">RANK(I495,I:I)</f>
        <v>486</v>
      </c>
      <c r="O495" s="127" t="n">
        <f aca="false">RANK(L495,L:L)</f>
        <v>329</v>
      </c>
      <c r="P495" s="128" t="s">
        <v>534</v>
      </c>
      <c r="Q495" s="127" t="n">
        <f aca="false">RANK(M495,M:M)</f>
        <v>490</v>
      </c>
      <c r="R495" s="128" t="s">
        <v>534</v>
      </c>
      <c r="S495" s="127"/>
      <c r="T495" s="127"/>
      <c r="U495" s="127"/>
      <c r="V495" s="127"/>
      <c r="W495" s="127"/>
      <c r="X495" s="127"/>
    </row>
    <row r="496" customFormat="false" ht="15.75" hidden="false" customHeight="true" outlineLevel="0" collapsed="false">
      <c r="A496" s="128" t="s">
        <v>515</v>
      </c>
      <c r="B496" s="128" t="n">
        <v>29.41</v>
      </c>
      <c r="C496" s="128" t="n">
        <v>-66.67</v>
      </c>
      <c r="D496" s="128" t="n">
        <v>-92.38</v>
      </c>
      <c r="E496" s="128" t="n">
        <v>56.84</v>
      </c>
      <c r="F496" s="128" t="n">
        <v>81.57</v>
      </c>
      <c r="G496" s="128" t="n">
        <v>-21.65</v>
      </c>
      <c r="H496" s="128" t="n">
        <v>-52.83</v>
      </c>
      <c r="I496" s="128" t="n">
        <v>-74.87</v>
      </c>
      <c r="J496" s="128" t="n">
        <v>-92.11</v>
      </c>
      <c r="K496" s="128" t="n">
        <v>27.3</v>
      </c>
      <c r="L496" s="129" t="n">
        <f aca="false">AVERAGE(C496:E496)</f>
        <v>-34.07</v>
      </c>
      <c r="M496" s="130" t="n">
        <f aca="false">AVERAGE(C496:J496)</f>
        <v>-32.7625</v>
      </c>
      <c r="N496" s="130" t="n">
        <f aca="false">RANK(I496,I:I)</f>
        <v>407</v>
      </c>
      <c r="O496" s="127" t="n">
        <f aca="false">RANK(L496,L:L)</f>
        <v>171</v>
      </c>
      <c r="P496" s="128" t="s">
        <v>515</v>
      </c>
      <c r="Q496" s="127" t="n">
        <f aca="false">RANK(M496,M:M)</f>
        <v>353</v>
      </c>
      <c r="R496" s="128" t="s">
        <v>515</v>
      </c>
      <c r="S496" s="127"/>
      <c r="T496" s="127"/>
      <c r="U496" s="127"/>
      <c r="V496" s="127"/>
      <c r="W496" s="127"/>
      <c r="X496" s="127"/>
    </row>
    <row r="497" customFormat="false" ht="15.75" hidden="false" customHeight="true" outlineLevel="0" collapsed="false">
      <c r="A497" s="128" t="s">
        <v>531</v>
      </c>
      <c r="B497" s="128" t="n">
        <v>27.89</v>
      </c>
      <c r="C497" s="128" t="n">
        <v>-66.67</v>
      </c>
      <c r="D497" s="128" t="n">
        <v>-123.18</v>
      </c>
      <c r="E497" s="128" t="n">
        <v>45.86</v>
      </c>
      <c r="F497" s="128" t="n">
        <v>132.34</v>
      </c>
      <c r="G497" s="128" t="n">
        <v>35.8</v>
      </c>
      <c r="H497" s="128" t="n">
        <v>-22.46</v>
      </c>
      <c r="I497" s="128" t="n">
        <v>-44.73</v>
      </c>
      <c r="J497" s="128" t="n">
        <v>-63.08</v>
      </c>
      <c r="K497" s="128" t="n">
        <v>26.2</v>
      </c>
      <c r="L497" s="129" t="n">
        <f aca="false">AVERAGE(C497:E497)</f>
        <v>-47.9966666666667</v>
      </c>
      <c r="M497" s="130" t="n">
        <f aca="false">AVERAGE(C497:J497)</f>
        <v>-13.265</v>
      </c>
      <c r="N497" s="130" t="n">
        <f aca="false">RANK(I497,I:I)</f>
        <v>303</v>
      </c>
      <c r="O497" s="127" t="n">
        <f aca="false">RANK(L497,L:L)</f>
        <v>228</v>
      </c>
      <c r="P497" s="128" t="s">
        <v>531</v>
      </c>
      <c r="Q497" s="127" t="n">
        <f aca="false">RANK(M497,M:M)</f>
        <v>278</v>
      </c>
      <c r="R497" s="128" t="s">
        <v>531</v>
      </c>
      <c r="S497" s="127"/>
      <c r="T497" s="127"/>
      <c r="U497" s="127"/>
      <c r="V497" s="127"/>
      <c r="W497" s="127"/>
      <c r="X497" s="127"/>
    </row>
    <row r="498" customFormat="false" ht="15.75" hidden="false" customHeight="true" outlineLevel="0" collapsed="false">
      <c r="A498" s="128" t="s">
        <v>234</v>
      </c>
      <c r="B498" s="128" t="n">
        <v>17.77</v>
      </c>
      <c r="C498" s="128" t="n">
        <v>-66.67</v>
      </c>
      <c r="D498" s="128" t="n">
        <v>-133.33</v>
      </c>
      <c r="E498" s="128" t="n">
        <v>-7.32</v>
      </c>
      <c r="F498" s="128" t="n">
        <v>82.9</v>
      </c>
      <c r="G498" s="128" t="n">
        <v>25.79</v>
      </c>
      <c r="H498" s="128" t="n">
        <v>-16.22</v>
      </c>
      <c r="I498" s="128" t="n">
        <v>-42.37</v>
      </c>
      <c r="J498" s="128" t="n">
        <v>-59.91</v>
      </c>
      <c r="K498" s="128" t="n">
        <v>17.53</v>
      </c>
      <c r="L498" s="129" t="n">
        <f aca="false">AVERAGE(C498:E498)</f>
        <v>-69.1066666666667</v>
      </c>
      <c r="M498" s="130" t="n">
        <f aca="false">AVERAGE(C498:J498)</f>
        <v>-27.14125</v>
      </c>
      <c r="N498" s="130" t="n">
        <f aca="false">RANK(I498,I:I)</f>
        <v>294</v>
      </c>
      <c r="O498" s="127" t="n">
        <f aca="false">RANK(L498,L:L)</f>
        <v>385</v>
      </c>
      <c r="P498" s="128" t="s">
        <v>234</v>
      </c>
      <c r="Q498" s="127" t="n">
        <f aca="false">RANK(M498,M:M)</f>
        <v>332</v>
      </c>
      <c r="R498" s="128" t="s">
        <v>234</v>
      </c>
      <c r="S498" s="127"/>
      <c r="T498" s="127"/>
      <c r="U498" s="127"/>
      <c r="V498" s="127"/>
      <c r="W498" s="127"/>
      <c r="X498" s="127"/>
    </row>
    <row r="499" customFormat="false" ht="15.75" hidden="false" customHeight="true" outlineLevel="0" collapsed="false">
      <c r="A499" s="128" t="s">
        <v>295</v>
      </c>
      <c r="B499" s="128" t="n">
        <v>17.35</v>
      </c>
      <c r="C499" s="128" t="n">
        <v>-66.67</v>
      </c>
      <c r="D499" s="128" t="n">
        <v>-133.33</v>
      </c>
      <c r="E499" s="128" t="n">
        <v>39.75</v>
      </c>
      <c r="F499" s="128" t="n">
        <v>124.91</v>
      </c>
      <c r="G499" s="128" t="n">
        <v>58.1</v>
      </c>
      <c r="H499" s="128" t="n">
        <v>-15.08</v>
      </c>
      <c r="I499" s="128" t="n">
        <v>-40.47</v>
      </c>
      <c r="J499" s="128" t="n">
        <v>-59.43</v>
      </c>
      <c r="K499" s="128" t="n">
        <v>16.65</v>
      </c>
      <c r="L499" s="129" t="n">
        <f aca="false">AVERAGE(C499:E499)</f>
        <v>-53.4166666666667</v>
      </c>
      <c r="M499" s="130" t="n">
        <f aca="false">AVERAGE(C499:J499)</f>
        <v>-11.5275</v>
      </c>
      <c r="N499" s="130" t="n">
        <f aca="false">RANK(I499,I:I)</f>
        <v>288</v>
      </c>
      <c r="O499" s="127" t="n">
        <f aca="false">RANK(L499,L:L)</f>
        <v>256</v>
      </c>
      <c r="P499" s="128" t="s">
        <v>295</v>
      </c>
      <c r="Q499" s="127" t="n">
        <f aca="false">RANK(M499,M:M)</f>
        <v>270</v>
      </c>
      <c r="R499" s="128" t="s">
        <v>295</v>
      </c>
      <c r="S499" s="127"/>
      <c r="T499" s="127"/>
      <c r="U499" s="127"/>
      <c r="V499" s="127"/>
      <c r="W499" s="127"/>
      <c r="X499" s="127"/>
    </row>
    <row r="500" customFormat="false" ht="15.75" hidden="false" customHeight="true" outlineLevel="0" collapsed="false">
      <c r="A500" s="128" t="s">
        <v>449</v>
      </c>
      <c r="B500" s="128" t="n">
        <v>15.06</v>
      </c>
      <c r="C500" s="128" t="n">
        <v>-66.67</v>
      </c>
      <c r="D500" s="128" t="n">
        <v>-133.33</v>
      </c>
      <c r="E500" s="128" t="n">
        <v>-30.02</v>
      </c>
      <c r="F500" s="128" t="n">
        <v>60.95</v>
      </c>
      <c r="G500" s="128" t="n">
        <v>67.11</v>
      </c>
      <c r="H500" s="128" t="n">
        <v>-14.68</v>
      </c>
      <c r="I500" s="128" t="n">
        <v>-38.12</v>
      </c>
      <c r="J500" s="128" t="n">
        <v>-55.03</v>
      </c>
      <c r="K500" s="128" t="n">
        <v>14.35</v>
      </c>
      <c r="L500" s="129" t="n">
        <f aca="false">AVERAGE(C500:E500)</f>
        <v>-76.6733333333334</v>
      </c>
      <c r="M500" s="130" t="n">
        <f aca="false">AVERAGE(C500:J500)</f>
        <v>-26.22375</v>
      </c>
      <c r="N500" s="130" t="n">
        <f aca="false">RANK(I500,I:I)</f>
        <v>277</v>
      </c>
      <c r="O500" s="127" t="n">
        <f aca="false">RANK(L500,L:L)</f>
        <v>424</v>
      </c>
      <c r="P500" s="128" t="s">
        <v>449</v>
      </c>
      <c r="Q500" s="127" t="n">
        <f aca="false">RANK(M500,M:M)</f>
        <v>329</v>
      </c>
      <c r="R500" s="128" t="s">
        <v>449</v>
      </c>
      <c r="S500" s="127"/>
      <c r="T500" s="127"/>
      <c r="U500" s="127"/>
      <c r="V500" s="127"/>
      <c r="W500" s="127"/>
      <c r="X500" s="127"/>
    </row>
    <row r="501" customFormat="false" ht="15.75" hidden="false" customHeight="true" outlineLevel="0" collapsed="false">
      <c r="A501" s="128" t="s">
        <v>353</v>
      </c>
      <c r="B501" s="128" t="n">
        <v>7.47</v>
      </c>
      <c r="C501" s="128" t="n">
        <v>-66.67</v>
      </c>
      <c r="D501" s="128" t="n">
        <v>-133.33</v>
      </c>
      <c r="E501" s="128" t="n">
        <v>28.42</v>
      </c>
      <c r="F501" s="128" t="n">
        <v>52.28</v>
      </c>
      <c r="G501" s="128" t="n">
        <v>-29.09</v>
      </c>
      <c r="H501" s="128" t="n">
        <v>-39.96</v>
      </c>
      <c r="I501" s="128" t="n">
        <v>-39.56</v>
      </c>
      <c r="J501" s="128" t="n">
        <v>-53.34</v>
      </c>
      <c r="K501" s="128" t="n">
        <v>7.05</v>
      </c>
      <c r="L501" s="129" t="n">
        <f aca="false">AVERAGE(C501:E501)</f>
        <v>-57.1933333333333</v>
      </c>
      <c r="M501" s="130" t="n">
        <f aca="false">AVERAGE(C501:J501)</f>
        <v>-35.15625</v>
      </c>
      <c r="N501" s="130" t="n">
        <f aca="false">RANK(I501,I:I)</f>
        <v>285</v>
      </c>
      <c r="O501" s="127" t="n">
        <f aca="false">RANK(L501,L:L)</f>
        <v>278</v>
      </c>
      <c r="P501" s="128" t="s">
        <v>353</v>
      </c>
      <c r="Q501" s="127" t="n">
        <f aca="false">RANK(M501,M:M)</f>
        <v>365</v>
      </c>
      <c r="R501" s="128" t="s">
        <v>353</v>
      </c>
      <c r="S501" s="127"/>
      <c r="T501" s="127"/>
      <c r="U501" s="127"/>
      <c r="V501" s="127"/>
      <c r="W501" s="127"/>
      <c r="X501" s="127"/>
    </row>
    <row r="502" customFormat="false" ht="15.75" hidden="false" customHeight="true" outlineLevel="0" collapsed="false">
      <c r="L502" s="148"/>
      <c r="M502" s="149"/>
      <c r="N502" s="149"/>
      <c r="O502" s="37"/>
      <c r="Q502" s="37"/>
      <c r="S502" s="37"/>
      <c r="T502" s="37"/>
      <c r="U502" s="37"/>
      <c r="V502" s="37"/>
      <c r="W502" s="37"/>
      <c r="X502" s="37"/>
    </row>
    <row r="503" customFormat="false" ht="15.75" hidden="false" customHeight="true" outlineLevel="0" collapsed="false">
      <c r="L503" s="148"/>
      <c r="M503" s="149"/>
      <c r="N503" s="149"/>
      <c r="O503" s="37"/>
      <c r="Q503" s="37"/>
      <c r="S503" s="37"/>
      <c r="T503" s="37"/>
      <c r="U503" s="37"/>
      <c r="V503" s="37"/>
      <c r="W503" s="37"/>
      <c r="X503" s="37"/>
    </row>
    <row r="504" customFormat="false" ht="15.75" hidden="false" customHeight="true" outlineLevel="0" collapsed="false">
      <c r="L504" s="148"/>
      <c r="M504" s="149"/>
      <c r="N504" s="149"/>
      <c r="O504" s="37"/>
      <c r="Q504" s="37"/>
      <c r="S504" s="37"/>
      <c r="T504" s="37"/>
      <c r="U504" s="37"/>
      <c r="V504" s="37"/>
      <c r="W504" s="37"/>
      <c r="X504" s="37"/>
    </row>
    <row r="505" customFormat="false" ht="15.75" hidden="false" customHeight="true" outlineLevel="0" collapsed="false">
      <c r="L505" s="148"/>
      <c r="M505" s="149"/>
      <c r="N505" s="149"/>
      <c r="O505" s="37"/>
      <c r="Q505" s="37"/>
      <c r="S505" s="37"/>
      <c r="T505" s="37"/>
      <c r="U505" s="37"/>
      <c r="V505" s="37"/>
      <c r="W505" s="37"/>
      <c r="X505" s="37"/>
    </row>
    <row r="506" customFormat="false" ht="15.75" hidden="false" customHeight="true" outlineLevel="0" collapsed="false">
      <c r="L506" s="148"/>
      <c r="M506" s="149"/>
      <c r="N506" s="149"/>
      <c r="O506" s="37"/>
      <c r="Q506" s="37"/>
      <c r="S506" s="37"/>
      <c r="T506" s="37"/>
      <c r="U506" s="37"/>
      <c r="V506" s="37"/>
      <c r="W506" s="37"/>
      <c r="X506" s="37"/>
    </row>
    <row r="507" customFormat="false" ht="15.75" hidden="false" customHeight="true" outlineLevel="0" collapsed="false">
      <c r="L507" s="148"/>
      <c r="M507" s="149"/>
      <c r="N507" s="149"/>
      <c r="O507" s="37"/>
      <c r="Q507" s="37"/>
      <c r="S507" s="37"/>
      <c r="T507" s="37"/>
      <c r="U507" s="37"/>
      <c r="V507" s="37"/>
      <c r="W507" s="37"/>
      <c r="X507" s="37"/>
    </row>
    <row r="508" customFormat="false" ht="15.75" hidden="false" customHeight="true" outlineLevel="0" collapsed="false">
      <c r="L508" s="148"/>
      <c r="M508" s="149"/>
      <c r="N508" s="149"/>
      <c r="O508" s="37"/>
      <c r="Q508" s="37"/>
      <c r="S508" s="37"/>
      <c r="T508" s="37"/>
      <c r="U508" s="37"/>
      <c r="V508" s="37"/>
      <c r="W508" s="37"/>
      <c r="X508" s="37"/>
    </row>
    <row r="509" customFormat="false" ht="15.75" hidden="false" customHeight="true" outlineLevel="0" collapsed="false">
      <c r="L509" s="148"/>
      <c r="M509" s="149"/>
      <c r="N509" s="149"/>
      <c r="O509" s="37"/>
      <c r="Q509" s="37"/>
      <c r="S509" s="37"/>
      <c r="T509" s="37"/>
      <c r="U509" s="37"/>
      <c r="V509" s="37"/>
      <c r="W509" s="37"/>
      <c r="X509" s="37"/>
    </row>
    <row r="510" customFormat="false" ht="15.75" hidden="false" customHeight="true" outlineLevel="0" collapsed="false">
      <c r="L510" s="148"/>
      <c r="M510" s="149"/>
      <c r="N510" s="149"/>
      <c r="O510" s="37"/>
      <c r="Q510" s="37"/>
      <c r="S510" s="37"/>
      <c r="T510" s="37"/>
      <c r="U510" s="37"/>
      <c r="V510" s="37"/>
      <c r="W510" s="37"/>
      <c r="X510" s="37"/>
    </row>
    <row r="511" customFormat="false" ht="15.75" hidden="false" customHeight="true" outlineLevel="0" collapsed="false">
      <c r="L511" s="148"/>
      <c r="M511" s="149"/>
      <c r="N511" s="149"/>
      <c r="O511" s="37"/>
      <c r="Q511" s="37"/>
      <c r="S511" s="37"/>
      <c r="T511" s="37"/>
      <c r="U511" s="37"/>
      <c r="V511" s="37"/>
      <c r="W511" s="37"/>
      <c r="X511" s="37"/>
    </row>
    <row r="512" customFormat="false" ht="15.75" hidden="false" customHeight="true" outlineLevel="0" collapsed="false">
      <c r="L512" s="148"/>
      <c r="M512" s="149"/>
      <c r="N512" s="149"/>
      <c r="O512" s="37"/>
      <c r="Q512" s="37"/>
      <c r="S512" s="37"/>
      <c r="T512" s="37"/>
      <c r="U512" s="37"/>
      <c r="V512" s="37"/>
      <c r="W512" s="37"/>
      <c r="X512" s="37"/>
    </row>
    <row r="513" customFormat="false" ht="15.75" hidden="false" customHeight="true" outlineLevel="0" collapsed="false">
      <c r="L513" s="148"/>
      <c r="M513" s="149"/>
      <c r="N513" s="149"/>
      <c r="O513" s="37"/>
      <c r="Q513" s="37"/>
      <c r="S513" s="37"/>
      <c r="T513" s="37"/>
      <c r="U513" s="37"/>
      <c r="V513" s="37"/>
      <c r="W513" s="37"/>
      <c r="X513" s="37"/>
    </row>
    <row r="514" customFormat="false" ht="15.75" hidden="false" customHeight="true" outlineLevel="0" collapsed="false">
      <c r="L514" s="148"/>
      <c r="M514" s="149"/>
      <c r="N514" s="149"/>
      <c r="O514" s="37"/>
      <c r="Q514" s="37"/>
      <c r="S514" s="37"/>
      <c r="T514" s="37"/>
      <c r="U514" s="37"/>
      <c r="V514" s="37"/>
      <c r="W514" s="37"/>
      <c r="X514" s="37"/>
    </row>
    <row r="515" customFormat="false" ht="15.75" hidden="false" customHeight="true" outlineLevel="0" collapsed="false">
      <c r="L515" s="148"/>
      <c r="M515" s="149"/>
      <c r="N515" s="149"/>
      <c r="O515" s="37"/>
      <c r="Q515" s="37"/>
      <c r="S515" s="37"/>
      <c r="T515" s="37"/>
      <c r="U515" s="37"/>
      <c r="V515" s="37"/>
      <c r="W515" s="37"/>
      <c r="X515" s="37"/>
    </row>
    <row r="516" customFormat="false" ht="15.75" hidden="false" customHeight="true" outlineLevel="0" collapsed="false">
      <c r="L516" s="148"/>
      <c r="M516" s="149"/>
      <c r="N516" s="149"/>
      <c r="O516" s="37"/>
      <c r="Q516" s="37"/>
      <c r="S516" s="37"/>
      <c r="T516" s="37"/>
      <c r="U516" s="37"/>
      <c r="V516" s="37"/>
      <c r="W516" s="37"/>
      <c r="X516" s="37"/>
    </row>
    <row r="517" customFormat="false" ht="15.75" hidden="false" customHeight="true" outlineLevel="0" collapsed="false">
      <c r="L517" s="148"/>
      <c r="M517" s="149"/>
      <c r="N517" s="149"/>
      <c r="O517" s="37"/>
      <c r="Q517" s="37"/>
      <c r="S517" s="37"/>
      <c r="T517" s="37"/>
      <c r="U517" s="37"/>
      <c r="V517" s="37"/>
      <c r="W517" s="37"/>
      <c r="X517" s="37"/>
    </row>
    <row r="518" customFormat="false" ht="15.75" hidden="false" customHeight="true" outlineLevel="0" collapsed="false">
      <c r="L518" s="148"/>
      <c r="M518" s="149"/>
      <c r="N518" s="149"/>
      <c r="O518" s="37"/>
      <c r="Q518" s="37"/>
      <c r="S518" s="37"/>
      <c r="T518" s="37"/>
      <c r="U518" s="37"/>
      <c r="V518" s="37"/>
      <c r="W518" s="37"/>
      <c r="X518" s="37"/>
    </row>
    <row r="519" customFormat="false" ht="15.75" hidden="false" customHeight="true" outlineLevel="0" collapsed="false">
      <c r="L519" s="148"/>
      <c r="M519" s="149"/>
      <c r="N519" s="149"/>
      <c r="O519" s="37"/>
      <c r="Q519" s="37"/>
      <c r="S519" s="37"/>
      <c r="T519" s="37"/>
      <c r="U519" s="37"/>
      <c r="V519" s="37"/>
      <c r="W519" s="37"/>
      <c r="X519" s="37"/>
    </row>
    <row r="520" customFormat="false" ht="15.75" hidden="false" customHeight="true" outlineLevel="0" collapsed="false">
      <c r="L520" s="148"/>
      <c r="M520" s="149"/>
      <c r="N520" s="149"/>
      <c r="O520" s="37"/>
      <c r="Q520" s="37"/>
      <c r="S520" s="37"/>
      <c r="T520" s="37"/>
      <c r="U520" s="37"/>
      <c r="V520" s="37"/>
      <c r="W520" s="37"/>
      <c r="X520" s="37"/>
    </row>
    <row r="521" customFormat="false" ht="15.75" hidden="false" customHeight="true" outlineLevel="0" collapsed="false">
      <c r="L521" s="148"/>
      <c r="M521" s="149"/>
      <c r="N521" s="149"/>
      <c r="O521" s="37"/>
      <c r="Q521" s="37"/>
      <c r="S521" s="37"/>
      <c r="T521" s="37"/>
      <c r="U521" s="37"/>
      <c r="V521" s="37"/>
      <c r="W521" s="37"/>
      <c r="X521" s="37"/>
    </row>
    <row r="522" customFormat="false" ht="15.75" hidden="false" customHeight="true" outlineLevel="0" collapsed="false">
      <c r="L522" s="148"/>
      <c r="M522" s="149"/>
      <c r="N522" s="149"/>
      <c r="O522" s="37"/>
      <c r="Q522" s="37"/>
      <c r="S522" s="37"/>
      <c r="T522" s="37"/>
      <c r="U522" s="37"/>
      <c r="V522" s="37"/>
      <c r="W522" s="37"/>
      <c r="X522" s="37"/>
    </row>
    <row r="523" customFormat="false" ht="15.75" hidden="false" customHeight="true" outlineLevel="0" collapsed="false">
      <c r="L523" s="148"/>
      <c r="M523" s="149"/>
      <c r="N523" s="149"/>
      <c r="O523" s="37"/>
      <c r="Q523" s="37"/>
      <c r="S523" s="37"/>
      <c r="T523" s="37"/>
      <c r="U523" s="37"/>
      <c r="V523" s="37"/>
      <c r="W523" s="37"/>
      <c r="X523" s="37"/>
    </row>
    <row r="524" customFormat="false" ht="15.75" hidden="false" customHeight="true" outlineLevel="0" collapsed="false">
      <c r="L524" s="148"/>
      <c r="M524" s="149"/>
      <c r="N524" s="149"/>
      <c r="O524" s="37"/>
      <c r="Q524" s="37"/>
      <c r="S524" s="37"/>
      <c r="T524" s="37"/>
      <c r="U524" s="37"/>
      <c r="V524" s="37"/>
      <c r="W524" s="37"/>
      <c r="X524" s="37"/>
    </row>
    <row r="525" customFormat="false" ht="15.75" hidden="false" customHeight="true" outlineLevel="0" collapsed="false">
      <c r="L525" s="148"/>
      <c r="M525" s="149"/>
      <c r="N525" s="149"/>
      <c r="O525" s="37"/>
      <c r="Q525" s="37"/>
      <c r="S525" s="37"/>
      <c r="T525" s="37"/>
      <c r="U525" s="37"/>
      <c r="V525" s="37"/>
      <c r="W525" s="37"/>
      <c r="X525" s="37"/>
    </row>
    <row r="526" customFormat="false" ht="15.75" hidden="false" customHeight="true" outlineLevel="0" collapsed="false">
      <c r="L526" s="148"/>
      <c r="M526" s="149"/>
      <c r="N526" s="149"/>
      <c r="O526" s="37"/>
      <c r="Q526" s="37"/>
      <c r="S526" s="37"/>
      <c r="T526" s="37"/>
      <c r="U526" s="37"/>
      <c r="V526" s="37"/>
      <c r="W526" s="37"/>
      <c r="X526" s="37"/>
    </row>
    <row r="527" customFormat="false" ht="15.75" hidden="false" customHeight="true" outlineLevel="0" collapsed="false">
      <c r="L527" s="148"/>
      <c r="M527" s="149"/>
      <c r="N527" s="149"/>
      <c r="O527" s="37"/>
      <c r="Q527" s="37"/>
      <c r="S527" s="37"/>
      <c r="T527" s="37"/>
      <c r="U527" s="37"/>
      <c r="V527" s="37"/>
      <c r="W527" s="37"/>
      <c r="X527" s="37"/>
    </row>
    <row r="528" customFormat="false" ht="15.75" hidden="false" customHeight="true" outlineLevel="0" collapsed="false">
      <c r="L528" s="148"/>
      <c r="M528" s="149"/>
      <c r="N528" s="149"/>
      <c r="O528" s="37"/>
      <c r="Q528" s="37"/>
      <c r="S528" s="37"/>
      <c r="T528" s="37"/>
      <c r="U528" s="37"/>
      <c r="V528" s="37"/>
      <c r="W528" s="37"/>
      <c r="X528" s="37"/>
    </row>
    <row r="529" customFormat="false" ht="15.75" hidden="false" customHeight="true" outlineLevel="0" collapsed="false">
      <c r="L529" s="148"/>
      <c r="M529" s="149"/>
      <c r="N529" s="149"/>
      <c r="O529" s="37"/>
      <c r="Q529" s="37"/>
      <c r="S529" s="37"/>
      <c r="T529" s="37"/>
      <c r="U529" s="37"/>
      <c r="V529" s="37"/>
      <c r="W529" s="37"/>
      <c r="X529" s="37"/>
    </row>
    <row r="530" customFormat="false" ht="15.75" hidden="false" customHeight="true" outlineLevel="0" collapsed="false">
      <c r="L530" s="148"/>
      <c r="M530" s="149"/>
      <c r="N530" s="149"/>
      <c r="O530" s="37"/>
      <c r="Q530" s="37"/>
      <c r="S530" s="37"/>
      <c r="T530" s="37"/>
      <c r="U530" s="37"/>
      <c r="V530" s="37"/>
      <c r="W530" s="37"/>
      <c r="X530" s="37"/>
    </row>
    <row r="531" customFormat="false" ht="15.75" hidden="false" customHeight="true" outlineLevel="0" collapsed="false">
      <c r="L531" s="148"/>
      <c r="M531" s="149"/>
      <c r="N531" s="149"/>
      <c r="O531" s="37"/>
      <c r="Q531" s="37"/>
      <c r="S531" s="37"/>
      <c r="T531" s="37"/>
      <c r="U531" s="37"/>
      <c r="V531" s="37"/>
      <c r="W531" s="37"/>
      <c r="X531" s="37"/>
    </row>
    <row r="532" customFormat="false" ht="15.75" hidden="false" customHeight="true" outlineLevel="0" collapsed="false">
      <c r="L532" s="148"/>
      <c r="M532" s="149"/>
      <c r="N532" s="149"/>
      <c r="O532" s="37"/>
      <c r="Q532" s="37"/>
      <c r="S532" s="37"/>
      <c r="T532" s="37"/>
      <c r="U532" s="37"/>
      <c r="V532" s="37"/>
      <c r="W532" s="37"/>
      <c r="X532" s="37"/>
    </row>
    <row r="533" customFormat="false" ht="15.75" hidden="false" customHeight="true" outlineLevel="0" collapsed="false">
      <c r="L533" s="148"/>
      <c r="M533" s="149"/>
      <c r="N533" s="149"/>
      <c r="O533" s="37"/>
      <c r="Q533" s="37"/>
      <c r="S533" s="37"/>
      <c r="T533" s="37"/>
      <c r="U533" s="37"/>
      <c r="V533" s="37"/>
      <c r="W533" s="37"/>
      <c r="X533" s="37"/>
    </row>
    <row r="534" customFormat="false" ht="15.75" hidden="false" customHeight="true" outlineLevel="0" collapsed="false">
      <c r="L534" s="148"/>
      <c r="M534" s="149"/>
      <c r="N534" s="149"/>
      <c r="O534" s="37"/>
      <c r="Q534" s="37"/>
      <c r="S534" s="37"/>
      <c r="T534" s="37"/>
      <c r="U534" s="37"/>
      <c r="V534" s="37"/>
      <c r="W534" s="37"/>
      <c r="X534" s="37"/>
    </row>
    <row r="535" customFormat="false" ht="15.75" hidden="false" customHeight="true" outlineLevel="0" collapsed="false">
      <c r="L535" s="148"/>
      <c r="M535" s="149"/>
      <c r="N535" s="149"/>
      <c r="O535" s="37"/>
      <c r="Q535" s="37"/>
      <c r="S535" s="37"/>
      <c r="T535" s="37"/>
      <c r="U535" s="37"/>
      <c r="V535" s="37"/>
      <c r="W535" s="37"/>
      <c r="X535" s="37"/>
    </row>
    <row r="536" customFormat="false" ht="15.75" hidden="false" customHeight="true" outlineLevel="0" collapsed="false">
      <c r="L536" s="148"/>
      <c r="M536" s="149"/>
      <c r="N536" s="149"/>
      <c r="O536" s="37"/>
      <c r="Q536" s="37"/>
      <c r="S536" s="37"/>
      <c r="T536" s="37"/>
      <c r="U536" s="37"/>
      <c r="V536" s="37"/>
      <c r="W536" s="37"/>
      <c r="X536" s="37"/>
    </row>
    <row r="537" customFormat="false" ht="15.75" hidden="false" customHeight="true" outlineLevel="0" collapsed="false">
      <c r="L537" s="148"/>
      <c r="M537" s="149"/>
      <c r="N537" s="149"/>
      <c r="O537" s="37"/>
      <c r="Q537" s="37"/>
      <c r="S537" s="37"/>
      <c r="T537" s="37"/>
      <c r="U537" s="37"/>
      <c r="V537" s="37"/>
      <c r="W537" s="37"/>
      <c r="X537" s="37"/>
    </row>
    <row r="538" customFormat="false" ht="15.75" hidden="false" customHeight="true" outlineLevel="0" collapsed="false">
      <c r="L538" s="148"/>
      <c r="M538" s="149"/>
      <c r="N538" s="149"/>
      <c r="O538" s="37"/>
      <c r="Q538" s="37"/>
      <c r="S538" s="37"/>
      <c r="T538" s="37"/>
      <c r="U538" s="37"/>
      <c r="V538" s="37"/>
      <c r="W538" s="37"/>
      <c r="X538" s="37"/>
    </row>
    <row r="539" customFormat="false" ht="15.75" hidden="false" customHeight="true" outlineLevel="0" collapsed="false">
      <c r="L539" s="148"/>
      <c r="M539" s="149"/>
      <c r="N539" s="149"/>
      <c r="O539" s="37"/>
      <c r="Q539" s="37"/>
      <c r="S539" s="37"/>
      <c r="T539" s="37"/>
      <c r="U539" s="37"/>
      <c r="V539" s="37"/>
      <c r="W539" s="37"/>
      <c r="X539" s="37"/>
    </row>
    <row r="540" customFormat="false" ht="15.75" hidden="false" customHeight="true" outlineLevel="0" collapsed="false">
      <c r="L540" s="148"/>
      <c r="M540" s="149"/>
      <c r="N540" s="149"/>
      <c r="O540" s="37"/>
      <c r="Q540" s="37"/>
      <c r="S540" s="37"/>
      <c r="T540" s="37"/>
      <c r="U540" s="37"/>
      <c r="V540" s="37"/>
      <c r="W540" s="37"/>
      <c r="X540" s="37"/>
    </row>
    <row r="541" customFormat="false" ht="15.75" hidden="false" customHeight="true" outlineLevel="0" collapsed="false">
      <c r="L541" s="148"/>
      <c r="M541" s="149"/>
      <c r="N541" s="149"/>
      <c r="O541" s="37"/>
      <c r="Q541" s="37"/>
      <c r="S541" s="37"/>
      <c r="T541" s="37"/>
      <c r="U541" s="37"/>
      <c r="V541" s="37"/>
      <c r="W541" s="37"/>
      <c r="X541" s="37"/>
    </row>
    <row r="542" customFormat="false" ht="15.75" hidden="false" customHeight="true" outlineLevel="0" collapsed="false">
      <c r="L542" s="148"/>
      <c r="M542" s="149"/>
      <c r="N542" s="149"/>
      <c r="O542" s="37"/>
      <c r="Q542" s="37"/>
      <c r="S542" s="37"/>
      <c r="T542" s="37"/>
      <c r="U542" s="37"/>
      <c r="V542" s="37"/>
      <c r="W542" s="37"/>
      <c r="X542" s="37"/>
    </row>
    <row r="543" customFormat="false" ht="15.75" hidden="false" customHeight="true" outlineLevel="0" collapsed="false">
      <c r="L543" s="148"/>
      <c r="M543" s="149"/>
      <c r="N543" s="149"/>
      <c r="O543" s="37"/>
      <c r="Q543" s="37"/>
      <c r="S543" s="37"/>
      <c r="T543" s="37"/>
      <c r="U543" s="37"/>
      <c r="V543" s="37"/>
      <c r="W543" s="37"/>
      <c r="X543" s="37"/>
    </row>
    <row r="544" customFormat="false" ht="15.75" hidden="false" customHeight="true" outlineLevel="0" collapsed="false">
      <c r="L544" s="148"/>
      <c r="M544" s="149"/>
      <c r="N544" s="149"/>
      <c r="O544" s="37"/>
      <c r="Q544" s="37"/>
      <c r="S544" s="37"/>
      <c r="T544" s="37"/>
      <c r="U544" s="37"/>
      <c r="V544" s="37"/>
      <c r="W544" s="37"/>
      <c r="X544" s="37"/>
    </row>
    <row r="545" customFormat="false" ht="15.75" hidden="false" customHeight="true" outlineLevel="0" collapsed="false">
      <c r="L545" s="148"/>
      <c r="M545" s="149"/>
      <c r="N545" s="149"/>
      <c r="O545" s="37"/>
      <c r="Q545" s="37"/>
      <c r="S545" s="37"/>
      <c r="T545" s="37"/>
      <c r="U545" s="37"/>
      <c r="V545" s="37"/>
      <c r="W545" s="37"/>
      <c r="X545" s="37"/>
    </row>
    <row r="546" customFormat="false" ht="15.75" hidden="false" customHeight="true" outlineLevel="0" collapsed="false">
      <c r="L546" s="148"/>
      <c r="M546" s="149"/>
      <c r="N546" s="149"/>
      <c r="O546" s="37"/>
      <c r="Q546" s="37"/>
      <c r="S546" s="37"/>
      <c r="T546" s="37"/>
      <c r="U546" s="37"/>
      <c r="V546" s="37"/>
      <c r="W546" s="37"/>
      <c r="X546" s="37"/>
    </row>
    <row r="547" customFormat="false" ht="15.75" hidden="false" customHeight="true" outlineLevel="0" collapsed="false">
      <c r="L547" s="148"/>
      <c r="M547" s="149"/>
      <c r="N547" s="149"/>
      <c r="O547" s="37"/>
      <c r="Q547" s="37"/>
      <c r="S547" s="37"/>
      <c r="T547" s="37"/>
      <c r="U547" s="37"/>
      <c r="V547" s="37"/>
      <c r="W547" s="37"/>
      <c r="X547" s="37"/>
    </row>
    <row r="548" customFormat="false" ht="15.75" hidden="false" customHeight="true" outlineLevel="0" collapsed="false">
      <c r="L548" s="148"/>
      <c r="M548" s="149"/>
      <c r="N548" s="149"/>
      <c r="O548" s="37"/>
      <c r="Q548" s="37"/>
      <c r="S548" s="37"/>
      <c r="T548" s="37"/>
      <c r="U548" s="37"/>
      <c r="V548" s="37"/>
      <c r="W548" s="37"/>
      <c r="X548" s="37"/>
    </row>
    <row r="549" customFormat="false" ht="15.75" hidden="false" customHeight="true" outlineLevel="0" collapsed="false">
      <c r="L549" s="148"/>
      <c r="M549" s="149"/>
      <c r="N549" s="149"/>
      <c r="O549" s="37"/>
      <c r="Q549" s="37"/>
      <c r="S549" s="37"/>
      <c r="T549" s="37"/>
      <c r="U549" s="37"/>
      <c r="V549" s="37"/>
      <c r="W549" s="37"/>
      <c r="X549" s="37"/>
    </row>
    <row r="550" customFormat="false" ht="15.75" hidden="false" customHeight="true" outlineLevel="0" collapsed="false">
      <c r="L550" s="148"/>
      <c r="M550" s="149"/>
      <c r="N550" s="149"/>
      <c r="O550" s="37"/>
      <c r="Q550" s="37"/>
      <c r="S550" s="37"/>
      <c r="T550" s="37"/>
      <c r="U550" s="37"/>
      <c r="V550" s="37"/>
      <c r="W550" s="37"/>
      <c r="X550" s="37"/>
    </row>
    <row r="551" customFormat="false" ht="15.75" hidden="false" customHeight="true" outlineLevel="0" collapsed="false">
      <c r="L551" s="148"/>
      <c r="M551" s="149"/>
      <c r="N551" s="149"/>
      <c r="O551" s="37"/>
      <c r="Q551" s="37"/>
      <c r="S551" s="37"/>
      <c r="T551" s="37"/>
      <c r="U551" s="37"/>
      <c r="V551" s="37"/>
      <c r="W551" s="37"/>
      <c r="X551" s="37"/>
    </row>
    <row r="552" customFormat="false" ht="15.75" hidden="false" customHeight="true" outlineLevel="0" collapsed="false">
      <c r="L552" s="148"/>
      <c r="M552" s="149"/>
      <c r="N552" s="149"/>
      <c r="O552" s="37"/>
      <c r="Q552" s="37"/>
      <c r="S552" s="37"/>
      <c r="T552" s="37"/>
      <c r="U552" s="37"/>
      <c r="V552" s="37"/>
      <c r="W552" s="37"/>
      <c r="X552" s="37"/>
    </row>
    <row r="553" customFormat="false" ht="15.75" hidden="false" customHeight="true" outlineLevel="0" collapsed="false">
      <c r="L553" s="148"/>
      <c r="M553" s="149"/>
      <c r="N553" s="149"/>
      <c r="O553" s="37"/>
      <c r="Q553" s="37"/>
      <c r="S553" s="37"/>
      <c r="T553" s="37"/>
      <c r="U553" s="37"/>
      <c r="V553" s="37"/>
      <c r="W553" s="37"/>
      <c r="X553" s="37"/>
    </row>
    <row r="554" customFormat="false" ht="15.75" hidden="false" customHeight="true" outlineLevel="0" collapsed="false">
      <c r="L554" s="148"/>
      <c r="M554" s="149"/>
      <c r="N554" s="149"/>
      <c r="O554" s="37"/>
      <c r="Q554" s="37"/>
      <c r="S554" s="37"/>
      <c r="T554" s="37"/>
      <c r="U554" s="37"/>
      <c r="V554" s="37"/>
      <c r="W554" s="37"/>
      <c r="X554" s="37"/>
    </row>
    <row r="555" customFormat="false" ht="15.75" hidden="false" customHeight="true" outlineLevel="0" collapsed="false">
      <c r="L555" s="148"/>
      <c r="M555" s="149"/>
      <c r="N555" s="149"/>
      <c r="O555" s="37"/>
      <c r="Q555" s="37"/>
      <c r="S555" s="37"/>
      <c r="T555" s="37"/>
      <c r="U555" s="37"/>
      <c r="V555" s="37"/>
      <c r="W555" s="37"/>
      <c r="X555" s="37"/>
    </row>
    <row r="556" customFormat="false" ht="15.75" hidden="false" customHeight="true" outlineLevel="0" collapsed="false">
      <c r="L556" s="148"/>
      <c r="M556" s="149"/>
      <c r="N556" s="149"/>
      <c r="O556" s="37"/>
      <c r="Q556" s="37"/>
      <c r="S556" s="37"/>
      <c r="T556" s="37"/>
      <c r="U556" s="37"/>
      <c r="V556" s="37"/>
      <c r="W556" s="37"/>
      <c r="X556" s="37"/>
    </row>
    <row r="557" customFormat="false" ht="15.75" hidden="false" customHeight="true" outlineLevel="0" collapsed="false">
      <c r="L557" s="148"/>
      <c r="M557" s="149"/>
      <c r="N557" s="149"/>
      <c r="O557" s="37"/>
      <c r="Q557" s="37"/>
      <c r="S557" s="37"/>
      <c r="T557" s="37"/>
      <c r="U557" s="37"/>
      <c r="V557" s="37"/>
      <c r="W557" s="37"/>
      <c r="X557" s="37"/>
    </row>
    <row r="558" customFormat="false" ht="15.75" hidden="false" customHeight="true" outlineLevel="0" collapsed="false">
      <c r="L558" s="148"/>
      <c r="M558" s="149"/>
      <c r="N558" s="149"/>
      <c r="O558" s="37"/>
      <c r="Q558" s="37"/>
      <c r="S558" s="37"/>
      <c r="T558" s="37"/>
      <c r="U558" s="37"/>
      <c r="V558" s="37"/>
      <c r="W558" s="37"/>
      <c r="X558" s="37"/>
    </row>
    <row r="559" customFormat="false" ht="15.75" hidden="false" customHeight="true" outlineLevel="0" collapsed="false">
      <c r="L559" s="148"/>
      <c r="M559" s="149"/>
      <c r="N559" s="149"/>
      <c r="O559" s="37"/>
      <c r="Q559" s="37"/>
      <c r="S559" s="37"/>
      <c r="T559" s="37"/>
      <c r="U559" s="37"/>
      <c r="V559" s="37"/>
      <c r="W559" s="37"/>
      <c r="X559" s="37"/>
    </row>
    <row r="560" customFormat="false" ht="15.75" hidden="false" customHeight="true" outlineLevel="0" collapsed="false">
      <c r="L560" s="148"/>
      <c r="M560" s="149"/>
      <c r="N560" s="149"/>
      <c r="O560" s="37"/>
      <c r="Q560" s="37"/>
      <c r="S560" s="37"/>
      <c r="T560" s="37"/>
      <c r="U560" s="37"/>
      <c r="V560" s="37"/>
      <c r="W560" s="37"/>
      <c r="X560" s="37"/>
    </row>
    <row r="561" customFormat="false" ht="15.75" hidden="false" customHeight="true" outlineLevel="0" collapsed="false">
      <c r="L561" s="148"/>
      <c r="M561" s="149"/>
      <c r="N561" s="149"/>
      <c r="O561" s="37"/>
      <c r="Q561" s="37"/>
      <c r="S561" s="37"/>
      <c r="T561" s="37"/>
      <c r="U561" s="37"/>
      <c r="V561" s="37"/>
      <c r="W561" s="37"/>
      <c r="X561" s="37"/>
    </row>
    <row r="562" customFormat="false" ht="15.75" hidden="false" customHeight="true" outlineLevel="0" collapsed="false">
      <c r="L562" s="148"/>
      <c r="M562" s="149"/>
      <c r="N562" s="149"/>
      <c r="O562" s="37"/>
      <c r="Q562" s="37"/>
      <c r="S562" s="37"/>
      <c r="T562" s="37"/>
      <c r="U562" s="37"/>
      <c r="V562" s="37"/>
      <c r="W562" s="37"/>
      <c r="X562" s="37"/>
    </row>
    <row r="563" customFormat="false" ht="15.75" hidden="false" customHeight="true" outlineLevel="0" collapsed="false">
      <c r="L563" s="148"/>
      <c r="M563" s="149"/>
      <c r="N563" s="149"/>
      <c r="O563" s="37"/>
      <c r="Q563" s="37"/>
      <c r="S563" s="37"/>
      <c r="T563" s="37"/>
      <c r="U563" s="37"/>
      <c r="V563" s="37"/>
      <c r="W563" s="37"/>
      <c r="X563" s="37"/>
    </row>
    <row r="564" customFormat="false" ht="15.75" hidden="false" customHeight="true" outlineLevel="0" collapsed="false">
      <c r="L564" s="148"/>
      <c r="M564" s="149"/>
      <c r="N564" s="149"/>
      <c r="O564" s="37"/>
      <c r="Q564" s="37"/>
      <c r="S564" s="37"/>
      <c r="T564" s="37"/>
      <c r="U564" s="37"/>
      <c r="V564" s="37"/>
      <c r="W564" s="37"/>
      <c r="X564" s="37"/>
    </row>
    <row r="565" customFormat="false" ht="15.75" hidden="false" customHeight="true" outlineLevel="0" collapsed="false">
      <c r="L565" s="148"/>
      <c r="M565" s="149"/>
      <c r="N565" s="149"/>
      <c r="O565" s="37"/>
      <c r="Q565" s="37"/>
      <c r="S565" s="37"/>
      <c r="T565" s="37"/>
      <c r="U565" s="37"/>
      <c r="V565" s="37"/>
      <c r="W565" s="37"/>
      <c r="X565" s="37"/>
    </row>
    <row r="566" customFormat="false" ht="15.75" hidden="false" customHeight="true" outlineLevel="0" collapsed="false">
      <c r="L566" s="148"/>
      <c r="M566" s="149"/>
      <c r="N566" s="149"/>
      <c r="O566" s="37"/>
      <c r="Q566" s="37"/>
      <c r="S566" s="37"/>
      <c r="T566" s="37"/>
      <c r="U566" s="37"/>
      <c r="V566" s="37"/>
      <c r="W566" s="37"/>
      <c r="X566" s="37"/>
    </row>
    <row r="567" customFormat="false" ht="15.75" hidden="false" customHeight="true" outlineLevel="0" collapsed="false">
      <c r="L567" s="148"/>
      <c r="M567" s="149"/>
      <c r="N567" s="149"/>
      <c r="O567" s="37"/>
      <c r="Q567" s="37"/>
      <c r="S567" s="37"/>
      <c r="T567" s="37"/>
      <c r="U567" s="37"/>
      <c r="V567" s="37"/>
      <c r="W567" s="37"/>
      <c r="X567" s="37"/>
    </row>
    <row r="568" customFormat="false" ht="15.75" hidden="false" customHeight="true" outlineLevel="0" collapsed="false">
      <c r="L568" s="148"/>
      <c r="M568" s="149"/>
      <c r="N568" s="149"/>
      <c r="O568" s="37"/>
      <c r="Q568" s="37"/>
      <c r="S568" s="37"/>
      <c r="T568" s="37"/>
      <c r="U568" s="37"/>
      <c r="V568" s="37"/>
      <c r="W568" s="37"/>
      <c r="X568" s="37"/>
    </row>
    <row r="569" customFormat="false" ht="15.75" hidden="false" customHeight="true" outlineLevel="0" collapsed="false">
      <c r="L569" s="148"/>
      <c r="M569" s="149"/>
      <c r="N569" s="149"/>
      <c r="O569" s="37"/>
      <c r="Q569" s="37"/>
      <c r="S569" s="37"/>
      <c r="T569" s="37"/>
      <c r="U569" s="37"/>
      <c r="V569" s="37"/>
      <c r="W569" s="37"/>
      <c r="X569" s="37"/>
    </row>
    <row r="570" customFormat="false" ht="15.75" hidden="false" customHeight="true" outlineLevel="0" collapsed="false">
      <c r="L570" s="148"/>
      <c r="M570" s="149"/>
      <c r="N570" s="149"/>
      <c r="O570" s="37"/>
      <c r="Q570" s="37"/>
      <c r="S570" s="37"/>
      <c r="T570" s="37"/>
      <c r="U570" s="37"/>
      <c r="V570" s="37"/>
      <c r="W570" s="37"/>
      <c r="X570" s="37"/>
    </row>
    <row r="571" customFormat="false" ht="15.75" hidden="false" customHeight="true" outlineLevel="0" collapsed="false">
      <c r="L571" s="148"/>
      <c r="M571" s="149"/>
      <c r="N571" s="149"/>
      <c r="O571" s="37"/>
      <c r="Q571" s="37"/>
      <c r="S571" s="37"/>
      <c r="T571" s="37"/>
      <c r="U571" s="37"/>
      <c r="V571" s="37"/>
      <c r="W571" s="37"/>
      <c r="X571" s="37"/>
    </row>
    <row r="572" customFormat="false" ht="15.75" hidden="false" customHeight="true" outlineLevel="0" collapsed="false">
      <c r="L572" s="148"/>
      <c r="M572" s="149"/>
      <c r="N572" s="149"/>
      <c r="O572" s="37"/>
      <c r="Q572" s="37"/>
      <c r="S572" s="37"/>
      <c r="T572" s="37"/>
      <c r="U572" s="37"/>
      <c r="V572" s="37"/>
      <c r="W572" s="37"/>
      <c r="X572" s="37"/>
    </row>
    <row r="573" customFormat="false" ht="15.75" hidden="false" customHeight="true" outlineLevel="0" collapsed="false">
      <c r="L573" s="148"/>
      <c r="M573" s="149"/>
      <c r="N573" s="149"/>
      <c r="O573" s="37"/>
      <c r="Q573" s="37"/>
      <c r="S573" s="37"/>
      <c r="T573" s="37"/>
      <c r="U573" s="37"/>
      <c r="V573" s="37"/>
      <c r="W573" s="37"/>
      <c r="X573" s="37"/>
    </row>
    <row r="574" customFormat="false" ht="15.75" hidden="false" customHeight="true" outlineLevel="0" collapsed="false">
      <c r="L574" s="148"/>
      <c r="M574" s="149"/>
      <c r="N574" s="149"/>
      <c r="O574" s="37"/>
      <c r="Q574" s="37"/>
      <c r="S574" s="37"/>
      <c r="T574" s="37"/>
      <c r="U574" s="37"/>
      <c r="V574" s="37"/>
      <c r="W574" s="37"/>
      <c r="X574" s="37"/>
    </row>
    <row r="575" customFormat="false" ht="15.75" hidden="false" customHeight="true" outlineLevel="0" collapsed="false">
      <c r="L575" s="148"/>
      <c r="M575" s="149"/>
      <c r="N575" s="149"/>
      <c r="O575" s="37"/>
      <c r="Q575" s="37"/>
      <c r="S575" s="37"/>
      <c r="T575" s="37"/>
      <c r="U575" s="37"/>
      <c r="V575" s="37"/>
      <c r="W575" s="37"/>
      <c r="X575" s="37"/>
    </row>
    <row r="576" customFormat="false" ht="15.75" hidden="false" customHeight="true" outlineLevel="0" collapsed="false">
      <c r="L576" s="148"/>
      <c r="M576" s="149"/>
      <c r="N576" s="149"/>
      <c r="O576" s="37"/>
      <c r="Q576" s="37"/>
      <c r="S576" s="37"/>
      <c r="T576" s="37"/>
      <c r="U576" s="37"/>
      <c r="V576" s="37"/>
      <c r="W576" s="37"/>
      <c r="X576" s="37"/>
    </row>
    <row r="577" customFormat="false" ht="15.75" hidden="false" customHeight="true" outlineLevel="0" collapsed="false">
      <c r="L577" s="148"/>
      <c r="M577" s="149"/>
      <c r="N577" s="149"/>
      <c r="O577" s="37"/>
      <c r="Q577" s="37"/>
      <c r="S577" s="37"/>
      <c r="T577" s="37"/>
      <c r="U577" s="37"/>
      <c r="V577" s="37"/>
      <c r="W577" s="37"/>
      <c r="X577" s="37"/>
    </row>
    <row r="578" customFormat="false" ht="15.75" hidden="false" customHeight="true" outlineLevel="0" collapsed="false">
      <c r="L578" s="148"/>
      <c r="M578" s="149"/>
      <c r="N578" s="149"/>
      <c r="O578" s="37"/>
      <c r="Q578" s="37"/>
      <c r="S578" s="37"/>
      <c r="T578" s="37"/>
      <c r="U578" s="37"/>
      <c r="V578" s="37"/>
      <c r="W578" s="37"/>
      <c r="X578" s="37"/>
    </row>
    <row r="579" customFormat="false" ht="15.75" hidden="false" customHeight="true" outlineLevel="0" collapsed="false">
      <c r="L579" s="148"/>
      <c r="M579" s="149"/>
      <c r="N579" s="149"/>
      <c r="O579" s="37"/>
      <c r="Q579" s="37"/>
      <c r="S579" s="37"/>
      <c r="T579" s="37"/>
      <c r="U579" s="37"/>
      <c r="V579" s="37"/>
      <c r="W579" s="37"/>
      <c r="X579" s="37"/>
    </row>
    <row r="580" customFormat="false" ht="15.75" hidden="false" customHeight="true" outlineLevel="0" collapsed="false">
      <c r="L580" s="148"/>
      <c r="M580" s="149"/>
      <c r="N580" s="149"/>
      <c r="O580" s="37"/>
      <c r="Q580" s="37"/>
      <c r="S580" s="37"/>
      <c r="T580" s="37"/>
      <c r="U580" s="37"/>
      <c r="V580" s="37"/>
      <c r="W580" s="37"/>
      <c r="X580" s="37"/>
    </row>
    <row r="581" customFormat="false" ht="15.75" hidden="false" customHeight="true" outlineLevel="0" collapsed="false">
      <c r="L581" s="148"/>
      <c r="M581" s="149"/>
      <c r="N581" s="149"/>
      <c r="O581" s="37"/>
      <c r="Q581" s="37"/>
      <c r="S581" s="37"/>
      <c r="T581" s="37"/>
      <c r="U581" s="37"/>
      <c r="V581" s="37"/>
      <c r="W581" s="37"/>
      <c r="X581" s="37"/>
    </row>
    <row r="582" customFormat="false" ht="15.75" hidden="false" customHeight="true" outlineLevel="0" collapsed="false">
      <c r="L582" s="148"/>
      <c r="M582" s="149"/>
      <c r="N582" s="149"/>
      <c r="O582" s="37"/>
      <c r="Q582" s="37"/>
      <c r="S582" s="37"/>
      <c r="T582" s="37"/>
      <c r="U582" s="37"/>
      <c r="V582" s="37"/>
      <c r="W582" s="37"/>
      <c r="X582" s="37"/>
    </row>
    <row r="583" customFormat="false" ht="15.75" hidden="false" customHeight="true" outlineLevel="0" collapsed="false">
      <c r="L583" s="148"/>
      <c r="M583" s="149"/>
      <c r="N583" s="149"/>
      <c r="O583" s="37"/>
      <c r="Q583" s="37"/>
      <c r="S583" s="37"/>
      <c r="T583" s="37"/>
      <c r="U583" s="37"/>
      <c r="V583" s="37"/>
      <c r="W583" s="37"/>
      <c r="X583" s="37"/>
    </row>
    <row r="584" customFormat="false" ht="15.75" hidden="false" customHeight="true" outlineLevel="0" collapsed="false">
      <c r="L584" s="148"/>
      <c r="M584" s="149"/>
      <c r="N584" s="149"/>
      <c r="O584" s="37"/>
      <c r="Q584" s="37"/>
      <c r="S584" s="37"/>
      <c r="T584" s="37"/>
      <c r="U584" s="37"/>
      <c r="V584" s="37"/>
      <c r="W584" s="37"/>
      <c r="X584" s="37"/>
    </row>
    <row r="585" customFormat="false" ht="15.75" hidden="false" customHeight="true" outlineLevel="0" collapsed="false">
      <c r="L585" s="148"/>
      <c r="M585" s="149"/>
      <c r="N585" s="149"/>
      <c r="O585" s="37"/>
      <c r="Q585" s="37"/>
      <c r="S585" s="37"/>
      <c r="T585" s="37"/>
      <c r="U585" s="37"/>
      <c r="V585" s="37"/>
      <c r="W585" s="37"/>
      <c r="X585" s="37"/>
    </row>
    <row r="586" customFormat="false" ht="15.75" hidden="false" customHeight="true" outlineLevel="0" collapsed="false">
      <c r="L586" s="148"/>
      <c r="M586" s="149"/>
      <c r="N586" s="149"/>
      <c r="O586" s="37"/>
      <c r="Q586" s="37"/>
      <c r="S586" s="37"/>
      <c r="T586" s="37"/>
      <c r="U586" s="37"/>
      <c r="V586" s="37"/>
      <c r="W586" s="37"/>
      <c r="X586" s="37"/>
    </row>
    <row r="587" customFormat="false" ht="15.75" hidden="false" customHeight="true" outlineLevel="0" collapsed="false">
      <c r="L587" s="148"/>
      <c r="M587" s="149"/>
      <c r="N587" s="149"/>
      <c r="O587" s="37"/>
      <c r="Q587" s="37"/>
      <c r="S587" s="37"/>
      <c r="T587" s="37"/>
      <c r="U587" s="37"/>
      <c r="V587" s="37"/>
      <c r="W587" s="37"/>
      <c r="X587" s="37"/>
    </row>
    <row r="588" customFormat="false" ht="15.75" hidden="false" customHeight="true" outlineLevel="0" collapsed="false">
      <c r="L588" s="148"/>
      <c r="M588" s="149"/>
      <c r="N588" s="149"/>
      <c r="O588" s="37"/>
      <c r="Q588" s="37"/>
      <c r="S588" s="37"/>
      <c r="T588" s="37"/>
      <c r="U588" s="37"/>
      <c r="V588" s="37"/>
      <c r="W588" s="37"/>
      <c r="X588" s="37"/>
    </row>
    <row r="589" customFormat="false" ht="15.75" hidden="false" customHeight="true" outlineLevel="0" collapsed="false">
      <c r="L589" s="148"/>
      <c r="M589" s="149"/>
      <c r="N589" s="149"/>
      <c r="O589" s="37"/>
      <c r="Q589" s="37"/>
      <c r="S589" s="37"/>
      <c r="T589" s="37"/>
      <c r="U589" s="37"/>
      <c r="V589" s="37"/>
      <c r="W589" s="37"/>
      <c r="X589" s="37"/>
    </row>
    <row r="590" customFormat="false" ht="15.75" hidden="false" customHeight="true" outlineLevel="0" collapsed="false">
      <c r="L590" s="148"/>
      <c r="M590" s="149"/>
      <c r="N590" s="149"/>
      <c r="O590" s="37"/>
      <c r="Q590" s="37"/>
      <c r="S590" s="37"/>
      <c r="T590" s="37"/>
      <c r="U590" s="37"/>
      <c r="V590" s="37"/>
      <c r="W590" s="37"/>
      <c r="X590" s="37"/>
    </row>
    <row r="591" customFormat="false" ht="15.75" hidden="false" customHeight="true" outlineLevel="0" collapsed="false">
      <c r="L591" s="148"/>
      <c r="M591" s="149"/>
      <c r="N591" s="149"/>
      <c r="O591" s="37"/>
      <c r="Q591" s="37"/>
      <c r="S591" s="37"/>
      <c r="T591" s="37"/>
      <c r="U591" s="37"/>
      <c r="V591" s="37"/>
      <c r="W591" s="37"/>
      <c r="X591" s="37"/>
    </row>
    <row r="592" customFormat="false" ht="15.75" hidden="false" customHeight="true" outlineLevel="0" collapsed="false">
      <c r="L592" s="148"/>
      <c r="M592" s="149"/>
      <c r="N592" s="149"/>
      <c r="O592" s="37"/>
      <c r="Q592" s="37"/>
      <c r="S592" s="37"/>
      <c r="T592" s="37"/>
      <c r="U592" s="37"/>
      <c r="V592" s="37"/>
      <c r="W592" s="37"/>
      <c r="X592" s="37"/>
    </row>
    <row r="593" customFormat="false" ht="15.75" hidden="false" customHeight="true" outlineLevel="0" collapsed="false">
      <c r="L593" s="148"/>
      <c r="M593" s="149"/>
      <c r="N593" s="149"/>
      <c r="O593" s="37"/>
      <c r="Q593" s="37"/>
      <c r="S593" s="37"/>
      <c r="T593" s="37"/>
      <c r="U593" s="37"/>
      <c r="V593" s="37"/>
      <c r="W593" s="37"/>
      <c r="X593" s="37"/>
    </row>
    <row r="594" customFormat="false" ht="15.75" hidden="false" customHeight="true" outlineLevel="0" collapsed="false">
      <c r="L594" s="148"/>
      <c r="M594" s="149"/>
      <c r="N594" s="149"/>
      <c r="O594" s="37"/>
      <c r="Q594" s="37"/>
      <c r="S594" s="37"/>
      <c r="T594" s="37"/>
      <c r="U594" s="37"/>
      <c r="V594" s="37"/>
      <c r="W594" s="37"/>
      <c r="X594" s="37"/>
    </row>
    <row r="595" customFormat="false" ht="15.75" hidden="false" customHeight="true" outlineLevel="0" collapsed="false">
      <c r="L595" s="148"/>
      <c r="M595" s="149"/>
      <c r="N595" s="149"/>
      <c r="O595" s="37"/>
      <c r="Q595" s="37"/>
      <c r="S595" s="37"/>
      <c r="T595" s="37"/>
      <c r="U595" s="37"/>
      <c r="V595" s="37"/>
      <c r="W595" s="37"/>
      <c r="X595" s="37"/>
    </row>
    <row r="596" customFormat="false" ht="15.75" hidden="false" customHeight="true" outlineLevel="0" collapsed="false">
      <c r="L596" s="148"/>
      <c r="M596" s="149"/>
      <c r="N596" s="149"/>
      <c r="O596" s="37"/>
      <c r="Q596" s="37"/>
      <c r="S596" s="37"/>
      <c r="T596" s="37"/>
      <c r="U596" s="37"/>
      <c r="V596" s="37"/>
      <c r="W596" s="37"/>
      <c r="X596" s="37"/>
    </row>
    <row r="597" customFormat="false" ht="15.75" hidden="false" customHeight="true" outlineLevel="0" collapsed="false">
      <c r="L597" s="148"/>
      <c r="M597" s="149"/>
      <c r="N597" s="149"/>
      <c r="O597" s="37"/>
      <c r="Q597" s="37"/>
      <c r="S597" s="37"/>
      <c r="T597" s="37"/>
      <c r="U597" s="37"/>
      <c r="V597" s="37"/>
      <c r="W597" s="37"/>
      <c r="X597" s="37"/>
    </row>
    <row r="598" customFormat="false" ht="15.75" hidden="false" customHeight="true" outlineLevel="0" collapsed="false">
      <c r="L598" s="148"/>
      <c r="M598" s="149"/>
      <c r="N598" s="149"/>
      <c r="O598" s="37"/>
      <c r="Q598" s="37"/>
      <c r="S598" s="37"/>
      <c r="T598" s="37"/>
      <c r="U598" s="37"/>
      <c r="V598" s="37"/>
      <c r="W598" s="37"/>
      <c r="X598" s="37"/>
    </row>
    <row r="599" customFormat="false" ht="15.75" hidden="false" customHeight="true" outlineLevel="0" collapsed="false">
      <c r="L599" s="148"/>
      <c r="M599" s="149"/>
      <c r="N599" s="149"/>
      <c r="O599" s="37"/>
      <c r="Q599" s="37"/>
      <c r="S599" s="37"/>
      <c r="T599" s="37"/>
      <c r="U599" s="37"/>
      <c r="V599" s="37"/>
      <c r="W599" s="37"/>
      <c r="X599" s="37"/>
    </row>
    <row r="600" customFormat="false" ht="15.75" hidden="false" customHeight="true" outlineLevel="0" collapsed="false">
      <c r="L600" s="148"/>
      <c r="M600" s="149"/>
      <c r="N600" s="149"/>
      <c r="O600" s="37"/>
      <c r="Q600" s="37"/>
      <c r="S600" s="37"/>
      <c r="T600" s="37"/>
      <c r="U600" s="37"/>
      <c r="V600" s="37"/>
      <c r="W600" s="37"/>
      <c r="X600" s="37"/>
    </row>
    <row r="601" customFormat="false" ht="15.75" hidden="false" customHeight="true" outlineLevel="0" collapsed="false">
      <c r="L601" s="148"/>
      <c r="M601" s="149"/>
      <c r="N601" s="149"/>
      <c r="O601" s="37"/>
      <c r="Q601" s="37"/>
      <c r="S601" s="37"/>
      <c r="T601" s="37"/>
      <c r="U601" s="37"/>
      <c r="V601" s="37"/>
      <c r="W601" s="37"/>
      <c r="X601" s="37"/>
    </row>
    <row r="602" customFormat="false" ht="15.75" hidden="false" customHeight="true" outlineLevel="0" collapsed="false">
      <c r="L602" s="148"/>
      <c r="M602" s="149"/>
      <c r="N602" s="149"/>
      <c r="O602" s="37"/>
      <c r="Q602" s="37"/>
      <c r="S602" s="37"/>
      <c r="T602" s="37"/>
      <c r="U602" s="37"/>
      <c r="V602" s="37"/>
      <c r="W602" s="37"/>
      <c r="X602" s="37"/>
    </row>
    <row r="603" customFormat="false" ht="15.75" hidden="false" customHeight="true" outlineLevel="0" collapsed="false">
      <c r="L603" s="148"/>
      <c r="M603" s="149"/>
      <c r="N603" s="149"/>
      <c r="O603" s="37"/>
      <c r="Q603" s="37"/>
      <c r="S603" s="37"/>
      <c r="T603" s="37"/>
      <c r="U603" s="37"/>
      <c r="V603" s="37"/>
      <c r="W603" s="37"/>
      <c r="X603" s="37"/>
    </row>
    <row r="604" customFormat="false" ht="15.75" hidden="false" customHeight="true" outlineLevel="0" collapsed="false">
      <c r="L604" s="148"/>
      <c r="M604" s="149"/>
      <c r="N604" s="149"/>
      <c r="O604" s="37"/>
      <c r="Q604" s="37"/>
      <c r="S604" s="37"/>
      <c r="T604" s="37"/>
      <c r="U604" s="37"/>
      <c r="V604" s="37"/>
      <c r="W604" s="37"/>
      <c r="X604" s="37"/>
    </row>
    <row r="605" customFormat="false" ht="15.75" hidden="false" customHeight="true" outlineLevel="0" collapsed="false">
      <c r="L605" s="148"/>
      <c r="M605" s="149"/>
      <c r="N605" s="149"/>
      <c r="O605" s="37"/>
      <c r="Q605" s="37"/>
      <c r="S605" s="37"/>
      <c r="T605" s="37"/>
      <c r="U605" s="37"/>
      <c r="V605" s="37"/>
      <c r="W605" s="37"/>
      <c r="X605" s="37"/>
    </row>
    <row r="606" customFormat="false" ht="15.75" hidden="false" customHeight="true" outlineLevel="0" collapsed="false">
      <c r="L606" s="148"/>
      <c r="M606" s="149"/>
      <c r="N606" s="149"/>
      <c r="O606" s="37"/>
      <c r="Q606" s="37"/>
      <c r="S606" s="37"/>
      <c r="T606" s="37"/>
      <c r="U606" s="37"/>
      <c r="V606" s="37"/>
      <c r="W606" s="37"/>
      <c r="X606" s="37"/>
    </row>
    <row r="607" customFormat="false" ht="15.75" hidden="false" customHeight="true" outlineLevel="0" collapsed="false">
      <c r="L607" s="148"/>
      <c r="M607" s="149"/>
      <c r="N607" s="149"/>
      <c r="O607" s="37"/>
      <c r="Q607" s="37"/>
      <c r="S607" s="37"/>
      <c r="T607" s="37"/>
      <c r="U607" s="37"/>
      <c r="V607" s="37"/>
      <c r="W607" s="37"/>
      <c r="X607" s="37"/>
    </row>
    <row r="608" customFormat="false" ht="15.75" hidden="false" customHeight="true" outlineLevel="0" collapsed="false">
      <c r="L608" s="148"/>
      <c r="M608" s="149"/>
      <c r="N608" s="149"/>
      <c r="O608" s="37"/>
      <c r="Q608" s="37"/>
      <c r="S608" s="37"/>
      <c r="T608" s="37"/>
      <c r="U608" s="37"/>
      <c r="V608" s="37"/>
      <c r="W608" s="37"/>
      <c r="X608" s="37"/>
    </row>
    <row r="609" customFormat="false" ht="15.75" hidden="false" customHeight="true" outlineLevel="0" collapsed="false">
      <c r="L609" s="148"/>
      <c r="M609" s="149"/>
      <c r="N609" s="149"/>
      <c r="O609" s="37"/>
      <c r="Q609" s="37"/>
      <c r="S609" s="37"/>
      <c r="T609" s="37"/>
      <c r="U609" s="37"/>
      <c r="V609" s="37"/>
      <c r="W609" s="37"/>
      <c r="X609" s="37"/>
    </row>
    <row r="610" customFormat="false" ht="15.75" hidden="false" customHeight="true" outlineLevel="0" collapsed="false">
      <c r="L610" s="148"/>
      <c r="M610" s="149"/>
      <c r="N610" s="149"/>
      <c r="O610" s="37"/>
      <c r="Q610" s="37"/>
      <c r="S610" s="37"/>
      <c r="T610" s="37"/>
      <c r="U610" s="37"/>
      <c r="V610" s="37"/>
      <c r="W610" s="37"/>
      <c r="X610" s="37"/>
    </row>
    <row r="611" customFormat="false" ht="15.75" hidden="false" customHeight="true" outlineLevel="0" collapsed="false">
      <c r="L611" s="148"/>
      <c r="M611" s="149"/>
      <c r="N611" s="149"/>
      <c r="O611" s="37"/>
      <c r="Q611" s="37"/>
      <c r="S611" s="37"/>
      <c r="T611" s="37"/>
      <c r="U611" s="37"/>
      <c r="V611" s="37"/>
      <c r="W611" s="37"/>
      <c r="X611" s="37"/>
    </row>
    <row r="612" customFormat="false" ht="15.75" hidden="false" customHeight="true" outlineLevel="0" collapsed="false">
      <c r="L612" s="148"/>
      <c r="M612" s="149"/>
      <c r="N612" s="149"/>
      <c r="O612" s="37"/>
      <c r="Q612" s="37"/>
      <c r="S612" s="37"/>
      <c r="T612" s="37"/>
      <c r="U612" s="37"/>
      <c r="V612" s="37"/>
      <c r="W612" s="37"/>
      <c r="X612" s="37"/>
    </row>
    <row r="613" customFormat="false" ht="15.75" hidden="false" customHeight="true" outlineLevel="0" collapsed="false">
      <c r="L613" s="148"/>
      <c r="M613" s="149"/>
      <c r="N613" s="149"/>
      <c r="O613" s="37"/>
      <c r="Q613" s="37"/>
      <c r="S613" s="37"/>
      <c r="T613" s="37"/>
      <c r="U613" s="37"/>
      <c r="V613" s="37"/>
      <c r="W613" s="37"/>
      <c r="X613" s="37"/>
    </row>
    <row r="614" customFormat="false" ht="15.75" hidden="false" customHeight="true" outlineLevel="0" collapsed="false">
      <c r="L614" s="148"/>
      <c r="M614" s="149"/>
      <c r="N614" s="149"/>
      <c r="O614" s="37"/>
      <c r="Q614" s="37"/>
      <c r="S614" s="37"/>
      <c r="T614" s="37"/>
      <c r="U614" s="37"/>
      <c r="V614" s="37"/>
      <c r="W614" s="37"/>
      <c r="X614" s="37"/>
    </row>
    <row r="615" customFormat="false" ht="15.75" hidden="false" customHeight="true" outlineLevel="0" collapsed="false">
      <c r="L615" s="148"/>
      <c r="M615" s="149"/>
      <c r="N615" s="149"/>
      <c r="O615" s="37"/>
      <c r="Q615" s="37"/>
      <c r="S615" s="37"/>
      <c r="T615" s="37"/>
      <c r="U615" s="37"/>
      <c r="V615" s="37"/>
      <c r="W615" s="37"/>
      <c r="X615" s="37"/>
    </row>
    <row r="616" customFormat="false" ht="15.75" hidden="false" customHeight="true" outlineLevel="0" collapsed="false">
      <c r="L616" s="148"/>
      <c r="M616" s="149"/>
      <c r="N616" s="149"/>
      <c r="O616" s="37"/>
      <c r="Q616" s="37"/>
      <c r="S616" s="37"/>
      <c r="T616" s="37"/>
      <c r="U616" s="37"/>
      <c r="V616" s="37"/>
      <c r="W616" s="37"/>
      <c r="X616" s="37"/>
    </row>
    <row r="617" customFormat="false" ht="15.75" hidden="false" customHeight="true" outlineLevel="0" collapsed="false">
      <c r="L617" s="148"/>
      <c r="M617" s="149"/>
      <c r="N617" s="149"/>
      <c r="O617" s="37"/>
      <c r="Q617" s="37"/>
      <c r="S617" s="37"/>
      <c r="T617" s="37"/>
      <c r="U617" s="37"/>
      <c r="V617" s="37"/>
      <c r="W617" s="37"/>
      <c r="X617" s="37"/>
    </row>
    <row r="618" customFormat="false" ht="15.75" hidden="false" customHeight="true" outlineLevel="0" collapsed="false">
      <c r="L618" s="148"/>
      <c r="M618" s="149"/>
      <c r="N618" s="149"/>
      <c r="O618" s="37"/>
      <c r="Q618" s="37"/>
      <c r="S618" s="37"/>
      <c r="T618" s="37"/>
      <c r="U618" s="37"/>
      <c r="V618" s="37"/>
      <c r="W618" s="37"/>
      <c r="X618" s="37"/>
    </row>
    <row r="619" customFormat="false" ht="15.75" hidden="false" customHeight="true" outlineLevel="0" collapsed="false">
      <c r="L619" s="148"/>
      <c r="M619" s="149"/>
      <c r="N619" s="149"/>
      <c r="O619" s="37"/>
      <c r="Q619" s="37"/>
      <c r="S619" s="37"/>
      <c r="T619" s="37"/>
      <c r="U619" s="37"/>
      <c r="V619" s="37"/>
      <c r="W619" s="37"/>
      <c r="X619" s="37"/>
    </row>
    <row r="620" customFormat="false" ht="15.75" hidden="false" customHeight="true" outlineLevel="0" collapsed="false">
      <c r="L620" s="148"/>
      <c r="M620" s="149"/>
      <c r="N620" s="149"/>
      <c r="O620" s="37"/>
      <c r="Q620" s="37"/>
      <c r="S620" s="37"/>
      <c r="T620" s="37"/>
      <c r="U620" s="37"/>
      <c r="V620" s="37"/>
      <c r="W620" s="37"/>
      <c r="X620" s="37"/>
    </row>
    <row r="621" customFormat="false" ht="15.75" hidden="false" customHeight="true" outlineLevel="0" collapsed="false">
      <c r="L621" s="148"/>
      <c r="M621" s="149"/>
      <c r="N621" s="149"/>
      <c r="O621" s="37"/>
      <c r="Q621" s="37"/>
      <c r="S621" s="37"/>
      <c r="T621" s="37"/>
      <c r="U621" s="37"/>
      <c r="V621" s="37"/>
      <c r="W621" s="37"/>
      <c r="X621" s="37"/>
    </row>
    <row r="622" customFormat="false" ht="15.75" hidden="false" customHeight="true" outlineLevel="0" collapsed="false">
      <c r="L622" s="148"/>
      <c r="M622" s="149"/>
      <c r="N622" s="149"/>
      <c r="O622" s="37"/>
      <c r="Q622" s="37"/>
      <c r="S622" s="37"/>
      <c r="T622" s="37"/>
      <c r="U622" s="37"/>
      <c r="V622" s="37"/>
      <c r="W622" s="37"/>
      <c r="X622" s="37"/>
    </row>
    <row r="623" customFormat="false" ht="15.75" hidden="false" customHeight="true" outlineLevel="0" collapsed="false">
      <c r="L623" s="148"/>
      <c r="M623" s="149"/>
      <c r="N623" s="149"/>
      <c r="O623" s="37"/>
      <c r="Q623" s="37"/>
      <c r="S623" s="37"/>
      <c r="T623" s="37"/>
      <c r="U623" s="37"/>
      <c r="V623" s="37"/>
      <c r="W623" s="37"/>
      <c r="X623" s="37"/>
    </row>
    <row r="624" customFormat="false" ht="15.75" hidden="false" customHeight="true" outlineLevel="0" collapsed="false">
      <c r="L624" s="148"/>
      <c r="M624" s="149"/>
      <c r="N624" s="149"/>
      <c r="O624" s="37"/>
      <c r="Q624" s="37"/>
      <c r="S624" s="37"/>
      <c r="T624" s="37"/>
      <c r="U624" s="37"/>
      <c r="V624" s="37"/>
      <c r="W624" s="37"/>
      <c r="X624" s="37"/>
    </row>
    <row r="625" customFormat="false" ht="15.75" hidden="false" customHeight="true" outlineLevel="0" collapsed="false">
      <c r="L625" s="148"/>
      <c r="M625" s="149"/>
      <c r="N625" s="149"/>
      <c r="O625" s="37"/>
      <c r="Q625" s="37"/>
      <c r="S625" s="37"/>
      <c r="T625" s="37"/>
      <c r="U625" s="37"/>
      <c r="V625" s="37"/>
      <c r="W625" s="37"/>
      <c r="X625" s="37"/>
    </row>
    <row r="626" customFormat="false" ht="15.75" hidden="false" customHeight="true" outlineLevel="0" collapsed="false">
      <c r="L626" s="148"/>
      <c r="M626" s="149"/>
      <c r="N626" s="149"/>
      <c r="O626" s="37"/>
      <c r="Q626" s="37"/>
      <c r="S626" s="37"/>
      <c r="T626" s="37"/>
      <c r="U626" s="37"/>
      <c r="V626" s="37"/>
      <c r="W626" s="37"/>
      <c r="X626" s="37"/>
    </row>
    <row r="627" customFormat="false" ht="15.75" hidden="false" customHeight="true" outlineLevel="0" collapsed="false">
      <c r="L627" s="148"/>
      <c r="M627" s="149"/>
      <c r="N627" s="149"/>
      <c r="O627" s="37"/>
      <c r="Q627" s="37"/>
      <c r="S627" s="37"/>
      <c r="T627" s="37"/>
      <c r="U627" s="37"/>
      <c r="V627" s="37"/>
      <c r="W627" s="37"/>
      <c r="X627" s="37"/>
    </row>
    <row r="628" customFormat="false" ht="15.75" hidden="false" customHeight="true" outlineLevel="0" collapsed="false">
      <c r="L628" s="148"/>
      <c r="M628" s="149"/>
      <c r="N628" s="149"/>
      <c r="O628" s="37"/>
      <c r="Q628" s="37"/>
      <c r="S628" s="37"/>
      <c r="T628" s="37"/>
      <c r="U628" s="37"/>
      <c r="V628" s="37"/>
      <c r="W628" s="37"/>
      <c r="X628" s="37"/>
    </row>
    <row r="629" customFormat="false" ht="15.75" hidden="false" customHeight="true" outlineLevel="0" collapsed="false">
      <c r="L629" s="148"/>
      <c r="M629" s="149"/>
      <c r="N629" s="149"/>
      <c r="O629" s="37"/>
      <c r="Q629" s="37"/>
      <c r="S629" s="37"/>
      <c r="T629" s="37"/>
      <c r="U629" s="37"/>
      <c r="V629" s="37"/>
      <c r="W629" s="37"/>
      <c r="X629" s="37"/>
    </row>
    <row r="630" customFormat="false" ht="15.75" hidden="false" customHeight="true" outlineLevel="0" collapsed="false">
      <c r="L630" s="148"/>
      <c r="M630" s="149"/>
      <c r="N630" s="149"/>
      <c r="O630" s="37"/>
      <c r="Q630" s="37"/>
      <c r="S630" s="37"/>
      <c r="T630" s="37"/>
      <c r="U630" s="37"/>
      <c r="V630" s="37"/>
      <c r="W630" s="37"/>
      <c r="X630" s="37"/>
    </row>
    <row r="631" customFormat="false" ht="15.75" hidden="false" customHeight="true" outlineLevel="0" collapsed="false">
      <c r="L631" s="148"/>
      <c r="M631" s="149"/>
      <c r="N631" s="149"/>
      <c r="O631" s="37"/>
      <c r="Q631" s="37"/>
      <c r="S631" s="37"/>
      <c r="T631" s="37"/>
      <c r="U631" s="37"/>
      <c r="V631" s="37"/>
      <c r="W631" s="37"/>
      <c r="X631" s="37"/>
    </row>
    <row r="632" customFormat="false" ht="15.75" hidden="false" customHeight="true" outlineLevel="0" collapsed="false">
      <c r="L632" s="148"/>
      <c r="M632" s="149"/>
      <c r="N632" s="149"/>
      <c r="O632" s="37"/>
      <c r="Q632" s="37"/>
      <c r="S632" s="37"/>
      <c r="T632" s="37"/>
      <c r="U632" s="37"/>
      <c r="V632" s="37"/>
      <c r="W632" s="37"/>
      <c r="X632" s="37"/>
    </row>
    <row r="633" customFormat="false" ht="15.75" hidden="false" customHeight="true" outlineLevel="0" collapsed="false">
      <c r="L633" s="148"/>
      <c r="M633" s="149"/>
      <c r="N633" s="149"/>
      <c r="O633" s="37"/>
      <c r="Q633" s="37"/>
      <c r="S633" s="37"/>
      <c r="T633" s="37"/>
      <c r="U633" s="37"/>
      <c r="V633" s="37"/>
      <c r="W633" s="37"/>
      <c r="X633" s="37"/>
    </row>
    <row r="634" customFormat="false" ht="15.75" hidden="false" customHeight="true" outlineLevel="0" collapsed="false">
      <c r="L634" s="148"/>
      <c r="M634" s="149"/>
      <c r="N634" s="149"/>
      <c r="O634" s="37"/>
      <c r="Q634" s="37"/>
      <c r="S634" s="37"/>
      <c r="T634" s="37"/>
      <c r="U634" s="37"/>
      <c r="V634" s="37"/>
      <c r="W634" s="37"/>
      <c r="X634" s="37"/>
    </row>
    <row r="635" customFormat="false" ht="15.75" hidden="false" customHeight="true" outlineLevel="0" collapsed="false">
      <c r="L635" s="148"/>
      <c r="M635" s="149"/>
      <c r="N635" s="149"/>
      <c r="O635" s="37"/>
      <c r="Q635" s="37"/>
      <c r="S635" s="37"/>
      <c r="T635" s="37"/>
      <c r="U635" s="37"/>
      <c r="V635" s="37"/>
      <c r="W635" s="37"/>
      <c r="X635" s="37"/>
    </row>
    <row r="636" customFormat="false" ht="15.75" hidden="false" customHeight="true" outlineLevel="0" collapsed="false">
      <c r="L636" s="148"/>
      <c r="M636" s="149"/>
      <c r="N636" s="149"/>
      <c r="O636" s="37"/>
      <c r="Q636" s="37"/>
      <c r="S636" s="37"/>
      <c r="T636" s="37"/>
      <c r="U636" s="37"/>
      <c r="V636" s="37"/>
      <c r="W636" s="37"/>
      <c r="X636" s="37"/>
    </row>
    <row r="637" customFormat="false" ht="15.75" hidden="false" customHeight="true" outlineLevel="0" collapsed="false">
      <c r="L637" s="148"/>
      <c r="M637" s="149"/>
      <c r="N637" s="149"/>
      <c r="O637" s="37"/>
      <c r="Q637" s="37"/>
      <c r="S637" s="37"/>
      <c r="T637" s="37"/>
      <c r="U637" s="37"/>
      <c r="V637" s="37"/>
      <c r="W637" s="37"/>
      <c r="X637" s="37"/>
    </row>
    <row r="638" customFormat="false" ht="15.75" hidden="false" customHeight="true" outlineLevel="0" collapsed="false">
      <c r="L638" s="148"/>
      <c r="M638" s="149"/>
      <c r="N638" s="149"/>
      <c r="O638" s="37"/>
      <c r="Q638" s="37"/>
      <c r="S638" s="37"/>
      <c r="T638" s="37"/>
      <c r="U638" s="37"/>
      <c r="V638" s="37"/>
      <c r="W638" s="37"/>
      <c r="X638" s="37"/>
    </row>
    <row r="639" customFormat="false" ht="15.75" hidden="false" customHeight="true" outlineLevel="0" collapsed="false">
      <c r="L639" s="148"/>
      <c r="M639" s="149"/>
      <c r="N639" s="149"/>
      <c r="O639" s="37"/>
      <c r="Q639" s="37"/>
      <c r="S639" s="37"/>
      <c r="T639" s="37"/>
      <c r="U639" s="37"/>
      <c r="V639" s="37"/>
      <c r="W639" s="37"/>
      <c r="X639" s="37"/>
    </row>
    <row r="640" customFormat="false" ht="15.75" hidden="false" customHeight="true" outlineLevel="0" collapsed="false">
      <c r="L640" s="148"/>
      <c r="M640" s="149"/>
      <c r="N640" s="149"/>
      <c r="O640" s="37"/>
      <c r="Q640" s="37"/>
      <c r="S640" s="37"/>
      <c r="T640" s="37"/>
      <c r="U640" s="37"/>
      <c r="V640" s="37"/>
      <c r="W640" s="37"/>
      <c r="X640" s="37"/>
    </row>
    <row r="641" customFormat="false" ht="15.75" hidden="false" customHeight="true" outlineLevel="0" collapsed="false">
      <c r="L641" s="148"/>
      <c r="M641" s="149"/>
      <c r="N641" s="149"/>
      <c r="O641" s="37"/>
      <c r="Q641" s="37"/>
      <c r="S641" s="37"/>
      <c r="T641" s="37"/>
      <c r="U641" s="37"/>
      <c r="V641" s="37"/>
      <c r="W641" s="37"/>
      <c r="X641" s="37"/>
    </row>
    <row r="642" customFormat="false" ht="15.75" hidden="false" customHeight="true" outlineLevel="0" collapsed="false">
      <c r="L642" s="148"/>
      <c r="M642" s="149"/>
      <c r="N642" s="149"/>
      <c r="O642" s="37"/>
      <c r="Q642" s="37"/>
      <c r="S642" s="37"/>
      <c r="T642" s="37"/>
      <c r="U642" s="37"/>
      <c r="V642" s="37"/>
      <c r="W642" s="37"/>
      <c r="X642" s="37"/>
    </row>
    <row r="643" customFormat="false" ht="15.75" hidden="false" customHeight="true" outlineLevel="0" collapsed="false">
      <c r="L643" s="148"/>
      <c r="M643" s="149"/>
      <c r="N643" s="149"/>
      <c r="O643" s="37"/>
      <c r="Q643" s="37"/>
      <c r="S643" s="37"/>
      <c r="T643" s="37"/>
      <c r="U643" s="37"/>
      <c r="V643" s="37"/>
      <c r="W643" s="37"/>
      <c r="X643" s="37"/>
    </row>
    <row r="644" customFormat="false" ht="15.75" hidden="false" customHeight="true" outlineLevel="0" collapsed="false">
      <c r="L644" s="148"/>
      <c r="M644" s="149"/>
      <c r="N644" s="149"/>
      <c r="O644" s="37"/>
      <c r="Q644" s="37"/>
      <c r="S644" s="37"/>
      <c r="T644" s="37"/>
      <c r="U644" s="37"/>
      <c r="V644" s="37"/>
      <c r="W644" s="37"/>
      <c r="X644" s="37"/>
    </row>
    <row r="645" customFormat="false" ht="15.75" hidden="false" customHeight="true" outlineLevel="0" collapsed="false">
      <c r="L645" s="148"/>
      <c r="M645" s="149"/>
      <c r="N645" s="149"/>
      <c r="O645" s="37"/>
      <c r="Q645" s="37"/>
      <c r="S645" s="37"/>
      <c r="T645" s="37"/>
      <c r="U645" s="37"/>
      <c r="V645" s="37"/>
      <c r="W645" s="37"/>
      <c r="X645" s="37"/>
    </row>
    <row r="646" customFormat="false" ht="15.75" hidden="false" customHeight="true" outlineLevel="0" collapsed="false">
      <c r="L646" s="148"/>
      <c r="M646" s="149"/>
      <c r="N646" s="149"/>
      <c r="O646" s="37"/>
      <c r="Q646" s="37"/>
      <c r="S646" s="37"/>
      <c r="T646" s="37"/>
      <c r="U646" s="37"/>
      <c r="V646" s="37"/>
      <c r="W646" s="37"/>
      <c r="X646" s="37"/>
    </row>
    <row r="647" customFormat="false" ht="15.75" hidden="false" customHeight="true" outlineLevel="0" collapsed="false">
      <c r="L647" s="148"/>
      <c r="M647" s="149"/>
      <c r="N647" s="149"/>
      <c r="O647" s="37"/>
      <c r="Q647" s="37"/>
      <c r="S647" s="37"/>
      <c r="T647" s="37"/>
      <c r="U647" s="37"/>
      <c r="V647" s="37"/>
      <c r="W647" s="37"/>
      <c r="X647" s="37"/>
    </row>
    <row r="648" customFormat="false" ht="15.75" hidden="false" customHeight="true" outlineLevel="0" collapsed="false">
      <c r="L648" s="148"/>
      <c r="M648" s="149"/>
      <c r="N648" s="149"/>
      <c r="O648" s="37"/>
      <c r="Q648" s="37"/>
      <c r="S648" s="37"/>
      <c r="T648" s="37"/>
      <c r="U648" s="37"/>
      <c r="V648" s="37"/>
      <c r="W648" s="37"/>
      <c r="X648" s="37"/>
    </row>
    <row r="649" customFormat="false" ht="15.75" hidden="false" customHeight="true" outlineLevel="0" collapsed="false">
      <c r="L649" s="148"/>
      <c r="M649" s="149"/>
      <c r="N649" s="149"/>
      <c r="O649" s="37"/>
      <c r="Q649" s="37"/>
      <c r="S649" s="37"/>
      <c r="T649" s="37"/>
      <c r="U649" s="37"/>
      <c r="V649" s="37"/>
      <c r="W649" s="37"/>
      <c r="X649" s="37"/>
    </row>
    <row r="650" customFormat="false" ht="15.75" hidden="false" customHeight="true" outlineLevel="0" collapsed="false">
      <c r="L650" s="148"/>
      <c r="M650" s="149"/>
      <c r="N650" s="149"/>
      <c r="O650" s="37"/>
      <c r="Q650" s="37"/>
      <c r="S650" s="37"/>
      <c r="T650" s="37"/>
      <c r="U650" s="37"/>
      <c r="V650" s="37"/>
      <c r="W650" s="37"/>
      <c r="X650" s="37"/>
    </row>
    <row r="651" customFormat="false" ht="15.75" hidden="false" customHeight="true" outlineLevel="0" collapsed="false">
      <c r="L651" s="148"/>
      <c r="M651" s="149"/>
      <c r="N651" s="149"/>
      <c r="O651" s="37"/>
      <c r="Q651" s="37"/>
      <c r="S651" s="37"/>
      <c r="T651" s="37"/>
      <c r="U651" s="37"/>
      <c r="V651" s="37"/>
      <c r="W651" s="37"/>
      <c r="X651" s="37"/>
    </row>
    <row r="652" customFormat="false" ht="15.75" hidden="false" customHeight="true" outlineLevel="0" collapsed="false">
      <c r="L652" s="148"/>
      <c r="M652" s="149"/>
      <c r="N652" s="149"/>
      <c r="O652" s="37"/>
      <c r="Q652" s="37"/>
      <c r="S652" s="37"/>
      <c r="T652" s="37"/>
      <c r="U652" s="37"/>
      <c r="V652" s="37"/>
      <c r="W652" s="37"/>
      <c r="X652" s="37"/>
    </row>
    <row r="653" customFormat="false" ht="15.75" hidden="false" customHeight="true" outlineLevel="0" collapsed="false">
      <c r="L653" s="148"/>
      <c r="M653" s="149"/>
      <c r="N653" s="149"/>
      <c r="O653" s="37"/>
      <c r="Q653" s="37"/>
      <c r="S653" s="37"/>
      <c r="T653" s="37"/>
      <c r="U653" s="37"/>
      <c r="V653" s="37"/>
      <c r="W653" s="37"/>
      <c r="X653" s="37"/>
    </row>
    <row r="654" customFormat="false" ht="15.75" hidden="false" customHeight="true" outlineLevel="0" collapsed="false">
      <c r="L654" s="148"/>
      <c r="M654" s="149"/>
      <c r="N654" s="149"/>
      <c r="O654" s="37"/>
      <c r="Q654" s="37"/>
      <c r="S654" s="37"/>
      <c r="T654" s="37"/>
      <c r="U654" s="37"/>
      <c r="V654" s="37"/>
      <c r="W654" s="37"/>
      <c r="X654" s="37"/>
    </row>
    <row r="655" customFormat="false" ht="15.75" hidden="false" customHeight="true" outlineLevel="0" collapsed="false">
      <c r="L655" s="148"/>
      <c r="M655" s="149"/>
      <c r="N655" s="149"/>
      <c r="O655" s="37"/>
      <c r="Q655" s="37"/>
      <c r="S655" s="37"/>
      <c r="T655" s="37"/>
      <c r="U655" s="37"/>
      <c r="V655" s="37"/>
      <c r="W655" s="37"/>
      <c r="X655" s="37"/>
    </row>
    <row r="656" customFormat="false" ht="15.75" hidden="false" customHeight="true" outlineLevel="0" collapsed="false">
      <c r="L656" s="148"/>
      <c r="M656" s="149"/>
      <c r="N656" s="149"/>
      <c r="O656" s="37"/>
      <c r="Q656" s="37"/>
      <c r="S656" s="37"/>
      <c r="T656" s="37"/>
      <c r="U656" s="37"/>
      <c r="V656" s="37"/>
      <c r="W656" s="37"/>
      <c r="X656" s="37"/>
    </row>
    <row r="657" customFormat="false" ht="15.75" hidden="false" customHeight="true" outlineLevel="0" collapsed="false">
      <c r="L657" s="148"/>
      <c r="M657" s="149"/>
      <c r="N657" s="149"/>
      <c r="O657" s="37"/>
      <c r="Q657" s="37"/>
      <c r="S657" s="37"/>
      <c r="T657" s="37"/>
      <c r="U657" s="37"/>
      <c r="V657" s="37"/>
      <c r="W657" s="37"/>
      <c r="X657" s="37"/>
    </row>
    <row r="658" customFormat="false" ht="15.75" hidden="false" customHeight="true" outlineLevel="0" collapsed="false">
      <c r="L658" s="148"/>
      <c r="M658" s="149"/>
      <c r="N658" s="149"/>
      <c r="O658" s="37"/>
      <c r="Q658" s="37"/>
      <c r="S658" s="37"/>
      <c r="T658" s="37"/>
      <c r="U658" s="37"/>
      <c r="V658" s="37"/>
      <c r="W658" s="37"/>
      <c r="X658" s="37"/>
    </row>
    <row r="659" customFormat="false" ht="15.75" hidden="false" customHeight="true" outlineLevel="0" collapsed="false">
      <c r="L659" s="148"/>
      <c r="M659" s="149"/>
      <c r="N659" s="149"/>
      <c r="O659" s="37"/>
      <c r="Q659" s="37"/>
      <c r="S659" s="37"/>
      <c r="T659" s="37"/>
      <c r="U659" s="37"/>
      <c r="V659" s="37"/>
      <c r="W659" s="37"/>
      <c r="X659" s="37"/>
    </row>
    <row r="660" customFormat="false" ht="15.75" hidden="false" customHeight="true" outlineLevel="0" collapsed="false">
      <c r="L660" s="148"/>
      <c r="M660" s="149"/>
      <c r="N660" s="149"/>
      <c r="O660" s="37"/>
      <c r="Q660" s="37"/>
      <c r="S660" s="37"/>
      <c r="T660" s="37"/>
      <c r="U660" s="37"/>
      <c r="V660" s="37"/>
      <c r="W660" s="37"/>
      <c r="X660" s="37"/>
    </row>
    <row r="661" customFormat="false" ht="15.75" hidden="false" customHeight="true" outlineLevel="0" collapsed="false">
      <c r="L661" s="148"/>
      <c r="M661" s="149"/>
      <c r="N661" s="149"/>
      <c r="O661" s="37"/>
      <c r="Q661" s="37"/>
      <c r="S661" s="37"/>
      <c r="T661" s="37"/>
      <c r="U661" s="37"/>
      <c r="V661" s="37"/>
      <c r="W661" s="37"/>
      <c r="X661" s="37"/>
    </row>
    <row r="662" customFormat="false" ht="15.75" hidden="false" customHeight="true" outlineLevel="0" collapsed="false">
      <c r="L662" s="148"/>
      <c r="M662" s="149"/>
      <c r="N662" s="149"/>
      <c r="O662" s="37"/>
      <c r="Q662" s="37"/>
      <c r="S662" s="37"/>
      <c r="T662" s="37"/>
      <c r="U662" s="37"/>
      <c r="V662" s="37"/>
      <c r="W662" s="37"/>
      <c r="X662" s="37"/>
    </row>
    <row r="663" customFormat="false" ht="15.75" hidden="false" customHeight="true" outlineLevel="0" collapsed="false">
      <c r="L663" s="148"/>
      <c r="M663" s="149"/>
      <c r="N663" s="149"/>
      <c r="O663" s="37"/>
      <c r="Q663" s="37"/>
      <c r="S663" s="37"/>
      <c r="T663" s="37"/>
      <c r="U663" s="37"/>
      <c r="V663" s="37"/>
      <c r="W663" s="37"/>
      <c r="X663" s="37"/>
    </row>
    <row r="664" customFormat="false" ht="15.75" hidden="false" customHeight="true" outlineLevel="0" collapsed="false">
      <c r="L664" s="148"/>
      <c r="M664" s="149"/>
      <c r="N664" s="149"/>
      <c r="O664" s="37"/>
      <c r="Q664" s="37"/>
      <c r="S664" s="37"/>
      <c r="T664" s="37"/>
      <c r="U664" s="37"/>
      <c r="V664" s="37"/>
      <c r="W664" s="37"/>
      <c r="X664" s="37"/>
    </row>
    <row r="665" customFormat="false" ht="15.75" hidden="false" customHeight="true" outlineLevel="0" collapsed="false">
      <c r="L665" s="148"/>
      <c r="M665" s="149"/>
      <c r="N665" s="149"/>
      <c r="O665" s="37"/>
      <c r="Q665" s="37"/>
      <c r="S665" s="37"/>
      <c r="T665" s="37"/>
      <c r="U665" s="37"/>
      <c r="V665" s="37"/>
      <c r="W665" s="37"/>
      <c r="X665" s="37"/>
    </row>
    <row r="666" customFormat="false" ht="15.75" hidden="false" customHeight="true" outlineLevel="0" collapsed="false">
      <c r="L666" s="148"/>
      <c r="M666" s="149"/>
      <c r="N666" s="149"/>
      <c r="O666" s="37"/>
      <c r="Q666" s="37"/>
      <c r="S666" s="37"/>
      <c r="T666" s="37"/>
      <c r="U666" s="37"/>
      <c r="V666" s="37"/>
      <c r="W666" s="37"/>
      <c r="X666" s="37"/>
    </row>
    <row r="667" customFormat="false" ht="15.75" hidden="false" customHeight="true" outlineLevel="0" collapsed="false">
      <c r="L667" s="148"/>
      <c r="M667" s="149"/>
      <c r="N667" s="149"/>
      <c r="O667" s="37"/>
      <c r="Q667" s="37"/>
      <c r="S667" s="37"/>
      <c r="T667" s="37"/>
      <c r="U667" s="37"/>
      <c r="V667" s="37"/>
      <c r="W667" s="37"/>
      <c r="X667" s="37"/>
    </row>
    <row r="668" customFormat="false" ht="15.75" hidden="false" customHeight="true" outlineLevel="0" collapsed="false">
      <c r="L668" s="148"/>
      <c r="M668" s="149"/>
      <c r="N668" s="149"/>
      <c r="O668" s="37"/>
      <c r="Q668" s="37"/>
      <c r="S668" s="37"/>
      <c r="T668" s="37"/>
      <c r="U668" s="37"/>
      <c r="V668" s="37"/>
      <c r="W668" s="37"/>
      <c r="X668" s="37"/>
    </row>
    <row r="669" customFormat="false" ht="15.75" hidden="false" customHeight="true" outlineLevel="0" collapsed="false">
      <c r="L669" s="148"/>
      <c r="M669" s="149"/>
      <c r="N669" s="149"/>
      <c r="O669" s="37"/>
      <c r="Q669" s="37"/>
      <c r="S669" s="37"/>
      <c r="T669" s="37"/>
      <c r="U669" s="37"/>
      <c r="V669" s="37"/>
      <c r="W669" s="37"/>
      <c r="X669" s="37"/>
    </row>
    <row r="670" customFormat="false" ht="15.75" hidden="false" customHeight="true" outlineLevel="0" collapsed="false">
      <c r="L670" s="148"/>
      <c r="M670" s="149"/>
      <c r="N670" s="149"/>
      <c r="O670" s="37"/>
      <c r="Q670" s="37"/>
      <c r="S670" s="37"/>
      <c r="T670" s="37"/>
      <c r="U670" s="37"/>
      <c r="V670" s="37"/>
      <c r="W670" s="37"/>
      <c r="X670" s="37"/>
    </row>
    <row r="671" customFormat="false" ht="15.75" hidden="false" customHeight="true" outlineLevel="0" collapsed="false">
      <c r="L671" s="148"/>
      <c r="M671" s="149"/>
      <c r="N671" s="149"/>
      <c r="O671" s="37"/>
      <c r="Q671" s="37"/>
      <c r="S671" s="37"/>
      <c r="T671" s="37"/>
      <c r="U671" s="37"/>
      <c r="V671" s="37"/>
      <c r="W671" s="37"/>
      <c r="X671" s="37"/>
    </row>
    <row r="672" customFormat="false" ht="15.75" hidden="false" customHeight="true" outlineLevel="0" collapsed="false">
      <c r="L672" s="148"/>
      <c r="M672" s="149"/>
      <c r="N672" s="149"/>
      <c r="O672" s="37"/>
      <c r="Q672" s="37"/>
      <c r="S672" s="37"/>
      <c r="T672" s="37"/>
      <c r="U672" s="37"/>
      <c r="V672" s="37"/>
      <c r="W672" s="37"/>
      <c r="X672" s="37"/>
    </row>
    <row r="673" customFormat="false" ht="15.75" hidden="false" customHeight="true" outlineLevel="0" collapsed="false">
      <c r="L673" s="148"/>
      <c r="M673" s="149"/>
      <c r="N673" s="149"/>
      <c r="O673" s="37"/>
      <c r="Q673" s="37"/>
      <c r="S673" s="37"/>
      <c r="T673" s="37"/>
      <c r="U673" s="37"/>
      <c r="V673" s="37"/>
      <c r="W673" s="37"/>
      <c r="X673" s="37"/>
    </row>
    <row r="674" customFormat="false" ht="15.75" hidden="false" customHeight="true" outlineLevel="0" collapsed="false">
      <c r="L674" s="148"/>
      <c r="M674" s="149"/>
      <c r="N674" s="149"/>
      <c r="O674" s="37"/>
      <c r="Q674" s="37"/>
      <c r="S674" s="37"/>
      <c r="T674" s="37"/>
      <c r="U674" s="37"/>
      <c r="V674" s="37"/>
      <c r="W674" s="37"/>
      <c r="X674" s="37"/>
    </row>
    <row r="675" customFormat="false" ht="15.75" hidden="false" customHeight="true" outlineLevel="0" collapsed="false">
      <c r="L675" s="148"/>
      <c r="M675" s="149"/>
      <c r="N675" s="149"/>
      <c r="O675" s="37"/>
      <c r="Q675" s="37"/>
      <c r="S675" s="37"/>
      <c r="T675" s="37"/>
      <c r="U675" s="37"/>
      <c r="V675" s="37"/>
      <c r="W675" s="37"/>
      <c r="X675" s="37"/>
    </row>
    <row r="676" customFormat="false" ht="15.75" hidden="false" customHeight="true" outlineLevel="0" collapsed="false">
      <c r="L676" s="148"/>
      <c r="M676" s="149"/>
      <c r="N676" s="149"/>
      <c r="O676" s="37"/>
      <c r="Q676" s="37"/>
      <c r="S676" s="37"/>
      <c r="T676" s="37"/>
      <c r="U676" s="37"/>
      <c r="V676" s="37"/>
      <c r="W676" s="37"/>
      <c r="X676" s="37"/>
    </row>
    <row r="677" customFormat="false" ht="15.75" hidden="false" customHeight="true" outlineLevel="0" collapsed="false">
      <c r="L677" s="148"/>
      <c r="M677" s="149"/>
      <c r="N677" s="149"/>
      <c r="O677" s="37"/>
      <c r="Q677" s="37"/>
      <c r="S677" s="37"/>
      <c r="T677" s="37"/>
      <c r="U677" s="37"/>
      <c r="V677" s="37"/>
      <c r="W677" s="37"/>
      <c r="X677" s="37"/>
    </row>
    <row r="678" customFormat="false" ht="15.75" hidden="false" customHeight="true" outlineLevel="0" collapsed="false">
      <c r="L678" s="148"/>
      <c r="M678" s="149"/>
      <c r="N678" s="149"/>
      <c r="O678" s="37"/>
      <c r="Q678" s="37"/>
      <c r="S678" s="37"/>
      <c r="T678" s="37"/>
      <c r="U678" s="37"/>
      <c r="V678" s="37"/>
      <c r="W678" s="37"/>
      <c r="X678" s="37"/>
    </row>
    <row r="679" customFormat="false" ht="15.75" hidden="false" customHeight="true" outlineLevel="0" collapsed="false">
      <c r="L679" s="148"/>
      <c r="M679" s="149"/>
      <c r="N679" s="149"/>
      <c r="O679" s="37"/>
      <c r="Q679" s="37"/>
      <c r="S679" s="37"/>
      <c r="T679" s="37"/>
      <c r="U679" s="37"/>
      <c r="V679" s="37"/>
      <c r="W679" s="37"/>
      <c r="X679" s="37"/>
    </row>
    <row r="680" customFormat="false" ht="15.75" hidden="false" customHeight="true" outlineLevel="0" collapsed="false">
      <c r="L680" s="148"/>
      <c r="M680" s="149"/>
      <c r="N680" s="149"/>
      <c r="O680" s="37"/>
      <c r="Q680" s="37"/>
      <c r="S680" s="37"/>
      <c r="T680" s="37"/>
      <c r="U680" s="37"/>
      <c r="V680" s="37"/>
      <c r="W680" s="37"/>
      <c r="X680" s="37"/>
    </row>
    <row r="681" customFormat="false" ht="15.75" hidden="false" customHeight="true" outlineLevel="0" collapsed="false">
      <c r="L681" s="148"/>
      <c r="M681" s="149"/>
      <c r="N681" s="149"/>
      <c r="O681" s="37"/>
      <c r="Q681" s="37"/>
      <c r="S681" s="37"/>
      <c r="T681" s="37"/>
      <c r="U681" s="37"/>
      <c r="V681" s="37"/>
      <c r="W681" s="37"/>
      <c r="X681" s="37"/>
    </row>
    <row r="682" customFormat="false" ht="15.75" hidden="false" customHeight="true" outlineLevel="0" collapsed="false">
      <c r="L682" s="148"/>
      <c r="M682" s="149"/>
      <c r="N682" s="149"/>
      <c r="O682" s="37"/>
      <c r="Q682" s="37"/>
      <c r="S682" s="37"/>
      <c r="T682" s="37"/>
      <c r="U682" s="37"/>
      <c r="V682" s="37"/>
      <c r="W682" s="37"/>
      <c r="X682" s="37"/>
    </row>
    <row r="683" customFormat="false" ht="15.75" hidden="false" customHeight="true" outlineLevel="0" collapsed="false">
      <c r="L683" s="148"/>
      <c r="M683" s="149"/>
      <c r="N683" s="149"/>
      <c r="O683" s="37"/>
      <c r="Q683" s="37"/>
      <c r="S683" s="37"/>
      <c r="T683" s="37"/>
      <c r="U683" s="37"/>
      <c r="V683" s="37"/>
      <c r="W683" s="37"/>
      <c r="X683" s="37"/>
    </row>
    <row r="684" customFormat="false" ht="15.75" hidden="false" customHeight="true" outlineLevel="0" collapsed="false">
      <c r="L684" s="148"/>
      <c r="M684" s="149"/>
      <c r="N684" s="149"/>
      <c r="O684" s="37"/>
      <c r="Q684" s="37"/>
      <c r="S684" s="37"/>
      <c r="T684" s="37"/>
      <c r="U684" s="37"/>
      <c r="V684" s="37"/>
      <c r="W684" s="37"/>
      <c r="X684" s="37"/>
    </row>
    <row r="685" customFormat="false" ht="15.75" hidden="false" customHeight="true" outlineLevel="0" collapsed="false">
      <c r="L685" s="148"/>
      <c r="M685" s="149"/>
      <c r="N685" s="149"/>
      <c r="O685" s="37"/>
      <c r="Q685" s="37"/>
      <c r="S685" s="37"/>
      <c r="T685" s="37"/>
      <c r="U685" s="37"/>
      <c r="V685" s="37"/>
      <c r="W685" s="37"/>
      <c r="X685" s="37"/>
    </row>
    <row r="686" customFormat="false" ht="15.75" hidden="false" customHeight="true" outlineLevel="0" collapsed="false">
      <c r="L686" s="148"/>
      <c r="M686" s="149"/>
      <c r="N686" s="149"/>
      <c r="O686" s="37"/>
      <c r="Q686" s="37"/>
      <c r="S686" s="37"/>
      <c r="T686" s="37"/>
      <c r="U686" s="37"/>
      <c r="V686" s="37"/>
      <c r="W686" s="37"/>
      <c r="X686" s="37"/>
    </row>
    <row r="687" customFormat="false" ht="15.75" hidden="false" customHeight="true" outlineLevel="0" collapsed="false">
      <c r="L687" s="148"/>
      <c r="M687" s="149"/>
      <c r="N687" s="149"/>
      <c r="O687" s="37"/>
      <c r="Q687" s="37"/>
      <c r="S687" s="37"/>
      <c r="T687" s="37"/>
      <c r="U687" s="37"/>
      <c r="V687" s="37"/>
      <c r="W687" s="37"/>
      <c r="X687" s="37"/>
    </row>
    <row r="688" customFormat="false" ht="15.75" hidden="false" customHeight="true" outlineLevel="0" collapsed="false">
      <c r="L688" s="148"/>
      <c r="M688" s="149"/>
      <c r="N688" s="149"/>
      <c r="O688" s="37"/>
      <c r="Q688" s="37"/>
      <c r="S688" s="37"/>
      <c r="T688" s="37"/>
      <c r="U688" s="37"/>
      <c r="V688" s="37"/>
      <c r="W688" s="37"/>
      <c r="X688" s="37"/>
    </row>
    <row r="689" customFormat="false" ht="15.75" hidden="false" customHeight="true" outlineLevel="0" collapsed="false">
      <c r="L689" s="148"/>
      <c r="M689" s="149"/>
      <c r="N689" s="149"/>
      <c r="O689" s="37"/>
      <c r="Q689" s="37"/>
      <c r="S689" s="37"/>
      <c r="T689" s="37"/>
      <c r="U689" s="37"/>
      <c r="V689" s="37"/>
      <c r="W689" s="37"/>
      <c r="X689" s="37"/>
    </row>
    <row r="690" customFormat="false" ht="15.75" hidden="false" customHeight="true" outlineLevel="0" collapsed="false">
      <c r="L690" s="148"/>
      <c r="M690" s="149"/>
      <c r="N690" s="149"/>
      <c r="O690" s="37"/>
      <c r="Q690" s="37"/>
      <c r="S690" s="37"/>
      <c r="T690" s="37"/>
      <c r="U690" s="37"/>
      <c r="V690" s="37"/>
      <c r="W690" s="37"/>
      <c r="X690" s="37"/>
    </row>
    <row r="691" customFormat="false" ht="15.75" hidden="false" customHeight="true" outlineLevel="0" collapsed="false">
      <c r="L691" s="148"/>
      <c r="M691" s="149"/>
      <c r="N691" s="149"/>
      <c r="O691" s="37"/>
      <c r="Q691" s="37"/>
      <c r="S691" s="37"/>
      <c r="T691" s="37"/>
      <c r="U691" s="37"/>
      <c r="V691" s="37"/>
      <c r="W691" s="37"/>
      <c r="X691" s="37"/>
    </row>
    <row r="692" customFormat="false" ht="15.75" hidden="false" customHeight="true" outlineLevel="0" collapsed="false">
      <c r="L692" s="148"/>
      <c r="M692" s="149"/>
      <c r="N692" s="149"/>
      <c r="O692" s="37"/>
      <c r="Q692" s="37"/>
      <c r="S692" s="37"/>
      <c r="T692" s="37"/>
      <c r="U692" s="37"/>
      <c r="V692" s="37"/>
      <c r="W692" s="37"/>
      <c r="X692" s="37"/>
    </row>
    <row r="693" customFormat="false" ht="15.75" hidden="false" customHeight="true" outlineLevel="0" collapsed="false">
      <c r="L693" s="148"/>
      <c r="M693" s="149"/>
      <c r="N693" s="149"/>
      <c r="O693" s="37"/>
      <c r="Q693" s="37"/>
      <c r="S693" s="37"/>
      <c r="T693" s="37"/>
      <c r="U693" s="37"/>
      <c r="V693" s="37"/>
      <c r="W693" s="37"/>
      <c r="X693" s="37"/>
    </row>
    <row r="694" customFormat="false" ht="15.75" hidden="false" customHeight="true" outlineLevel="0" collapsed="false">
      <c r="L694" s="148"/>
      <c r="M694" s="149"/>
      <c r="N694" s="149"/>
      <c r="O694" s="37"/>
      <c r="Q694" s="37"/>
      <c r="S694" s="37"/>
      <c r="T694" s="37"/>
      <c r="U694" s="37"/>
      <c r="V694" s="37"/>
      <c r="W694" s="37"/>
      <c r="X694" s="37"/>
    </row>
    <row r="695" customFormat="false" ht="15.75" hidden="false" customHeight="true" outlineLevel="0" collapsed="false">
      <c r="L695" s="148"/>
      <c r="M695" s="149"/>
      <c r="N695" s="149"/>
      <c r="O695" s="37"/>
      <c r="Q695" s="37"/>
      <c r="S695" s="37"/>
      <c r="T695" s="37"/>
      <c r="U695" s="37"/>
      <c r="V695" s="37"/>
      <c r="W695" s="37"/>
      <c r="X695" s="37"/>
    </row>
    <row r="696" customFormat="false" ht="15.75" hidden="false" customHeight="true" outlineLevel="0" collapsed="false">
      <c r="L696" s="148"/>
      <c r="M696" s="149"/>
      <c r="N696" s="149"/>
      <c r="O696" s="37"/>
      <c r="Q696" s="37"/>
      <c r="S696" s="37"/>
      <c r="T696" s="37"/>
      <c r="U696" s="37"/>
      <c r="V696" s="37"/>
      <c r="W696" s="37"/>
      <c r="X696" s="37"/>
    </row>
    <row r="697" customFormat="false" ht="15.75" hidden="false" customHeight="true" outlineLevel="0" collapsed="false">
      <c r="L697" s="148"/>
      <c r="M697" s="149"/>
      <c r="N697" s="149"/>
      <c r="O697" s="37"/>
      <c r="Q697" s="37"/>
      <c r="S697" s="37"/>
      <c r="T697" s="37"/>
      <c r="U697" s="37"/>
      <c r="V697" s="37"/>
      <c r="W697" s="37"/>
      <c r="X697" s="37"/>
    </row>
    <row r="698" customFormat="false" ht="15.75" hidden="false" customHeight="true" outlineLevel="0" collapsed="false">
      <c r="L698" s="148"/>
      <c r="M698" s="149"/>
      <c r="N698" s="149"/>
      <c r="O698" s="37"/>
      <c r="Q698" s="37"/>
      <c r="S698" s="37"/>
      <c r="T698" s="37"/>
      <c r="U698" s="37"/>
      <c r="V698" s="37"/>
      <c r="W698" s="37"/>
      <c r="X698" s="37"/>
    </row>
    <row r="699" customFormat="false" ht="15.75" hidden="false" customHeight="true" outlineLevel="0" collapsed="false">
      <c r="L699" s="148"/>
      <c r="M699" s="149"/>
      <c r="N699" s="149"/>
      <c r="O699" s="37"/>
      <c r="Q699" s="37"/>
      <c r="S699" s="37"/>
      <c r="T699" s="37"/>
      <c r="U699" s="37"/>
      <c r="V699" s="37"/>
      <c r="W699" s="37"/>
      <c r="X699" s="37"/>
    </row>
    <row r="700" customFormat="false" ht="15.75" hidden="false" customHeight="true" outlineLevel="0" collapsed="false">
      <c r="L700" s="148"/>
      <c r="M700" s="149"/>
      <c r="N700" s="149"/>
      <c r="O700" s="37"/>
      <c r="Q700" s="37"/>
      <c r="S700" s="37"/>
      <c r="T700" s="37"/>
      <c r="U700" s="37"/>
      <c r="V700" s="37"/>
      <c r="W700" s="37"/>
      <c r="X700" s="37"/>
    </row>
    <row r="701" customFormat="false" ht="15.75" hidden="false" customHeight="true" outlineLevel="0" collapsed="false">
      <c r="L701" s="148"/>
      <c r="M701" s="149"/>
      <c r="N701" s="149"/>
      <c r="O701" s="37"/>
      <c r="Q701" s="37"/>
      <c r="S701" s="37"/>
      <c r="T701" s="37"/>
      <c r="U701" s="37"/>
      <c r="V701" s="37"/>
      <c r="W701" s="37"/>
      <c r="X701" s="37"/>
    </row>
    <row r="702" customFormat="false" ht="15.75" hidden="false" customHeight="true" outlineLevel="0" collapsed="false">
      <c r="L702" s="148"/>
      <c r="M702" s="149"/>
      <c r="N702" s="149"/>
      <c r="O702" s="37"/>
      <c r="Q702" s="37"/>
      <c r="S702" s="37"/>
      <c r="T702" s="37"/>
      <c r="U702" s="37"/>
      <c r="V702" s="37"/>
      <c r="W702" s="37"/>
      <c r="X702" s="37"/>
    </row>
    <row r="703" customFormat="false" ht="15.75" hidden="false" customHeight="true" outlineLevel="0" collapsed="false">
      <c r="L703" s="148"/>
      <c r="M703" s="149"/>
      <c r="N703" s="149"/>
      <c r="O703" s="37"/>
      <c r="Q703" s="37"/>
      <c r="S703" s="37"/>
      <c r="T703" s="37"/>
      <c r="U703" s="37"/>
      <c r="V703" s="37"/>
      <c r="W703" s="37"/>
      <c r="X703" s="37"/>
    </row>
    <row r="704" customFormat="false" ht="15.75" hidden="false" customHeight="true" outlineLevel="0" collapsed="false">
      <c r="L704" s="148"/>
      <c r="M704" s="149"/>
      <c r="N704" s="149"/>
      <c r="O704" s="37"/>
      <c r="Q704" s="37"/>
      <c r="S704" s="37"/>
      <c r="T704" s="37"/>
      <c r="U704" s="37"/>
      <c r="V704" s="37"/>
      <c r="W704" s="37"/>
      <c r="X704" s="37"/>
    </row>
    <row r="705" customFormat="false" ht="15.75" hidden="false" customHeight="true" outlineLevel="0" collapsed="false">
      <c r="L705" s="148"/>
      <c r="M705" s="149"/>
      <c r="N705" s="149"/>
      <c r="O705" s="37"/>
      <c r="Q705" s="37"/>
      <c r="S705" s="37"/>
      <c r="T705" s="37"/>
      <c r="U705" s="37"/>
      <c r="V705" s="37"/>
      <c r="W705" s="37"/>
      <c r="X705" s="37"/>
    </row>
    <row r="706" customFormat="false" ht="15.75" hidden="false" customHeight="true" outlineLevel="0" collapsed="false">
      <c r="L706" s="148"/>
      <c r="M706" s="149"/>
      <c r="N706" s="149"/>
      <c r="O706" s="37"/>
      <c r="Q706" s="37"/>
      <c r="S706" s="37"/>
      <c r="T706" s="37"/>
      <c r="U706" s="37"/>
      <c r="V706" s="37"/>
      <c r="W706" s="37"/>
      <c r="X706" s="37"/>
    </row>
    <row r="707" customFormat="false" ht="15.75" hidden="false" customHeight="true" outlineLevel="0" collapsed="false">
      <c r="L707" s="148"/>
      <c r="M707" s="149"/>
      <c r="N707" s="149"/>
      <c r="O707" s="37"/>
      <c r="Q707" s="37"/>
      <c r="S707" s="37"/>
      <c r="T707" s="37"/>
      <c r="U707" s="37"/>
      <c r="V707" s="37"/>
      <c r="W707" s="37"/>
      <c r="X707" s="37"/>
    </row>
    <row r="708" customFormat="false" ht="15.75" hidden="false" customHeight="true" outlineLevel="0" collapsed="false">
      <c r="L708" s="148"/>
      <c r="M708" s="149"/>
      <c r="N708" s="149"/>
      <c r="O708" s="37"/>
      <c r="Q708" s="37"/>
      <c r="S708" s="37"/>
      <c r="T708" s="37"/>
      <c r="U708" s="37"/>
      <c r="V708" s="37"/>
      <c r="W708" s="37"/>
      <c r="X708" s="37"/>
    </row>
    <row r="709" customFormat="false" ht="15.75" hidden="false" customHeight="true" outlineLevel="0" collapsed="false">
      <c r="L709" s="148"/>
      <c r="M709" s="149"/>
      <c r="N709" s="149"/>
      <c r="O709" s="37"/>
      <c r="Q709" s="37"/>
      <c r="S709" s="37"/>
      <c r="T709" s="37"/>
      <c r="U709" s="37"/>
      <c r="V709" s="37"/>
      <c r="W709" s="37"/>
      <c r="X709" s="37"/>
    </row>
    <row r="710" customFormat="false" ht="15.75" hidden="false" customHeight="true" outlineLevel="0" collapsed="false">
      <c r="L710" s="148"/>
      <c r="M710" s="149"/>
      <c r="N710" s="149"/>
      <c r="O710" s="37"/>
      <c r="Q710" s="37"/>
      <c r="S710" s="37"/>
      <c r="T710" s="37"/>
      <c r="U710" s="37"/>
      <c r="V710" s="37"/>
      <c r="W710" s="37"/>
      <c r="X710" s="37"/>
    </row>
    <row r="711" customFormat="false" ht="15.75" hidden="false" customHeight="true" outlineLevel="0" collapsed="false">
      <c r="L711" s="148"/>
      <c r="M711" s="149"/>
      <c r="N711" s="149"/>
      <c r="O711" s="37"/>
      <c r="Q711" s="37"/>
      <c r="S711" s="37"/>
      <c r="T711" s="37"/>
      <c r="U711" s="37"/>
      <c r="V711" s="37"/>
      <c r="W711" s="37"/>
      <c r="X711" s="37"/>
    </row>
    <row r="712" customFormat="false" ht="15.75" hidden="false" customHeight="true" outlineLevel="0" collapsed="false">
      <c r="L712" s="148"/>
      <c r="M712" s="149"/>
      <c r="N712" s="149"/>
      <c r="O712" s="37"/>
      <c r="Q712" s="37"/>
      <c r="S712" s="37"/>
      <c r="T712" s="37"/>
      <c r="U712" s="37"/>
      <c r="V712" s="37"/>
      <c r="W712" s="37"/>
      <c r="X712" s="37"/>
    </row>
    <row r="713" customFormat="false" ht="15.75" hidden="false" customHeight="true" outlineLevel="0" collapsed="false">
      <c r="L713" s="148"/>
      <c r="M713" s="149"/>
      <c r="N713" s="149"/>
      <c r="O713" s="37"/>
      <c r="Q713" s="37"/>
      <c r="S713" s="37"/>
      <c r="T713" s="37"/>
      <c r="U713" s="37"/>
      <c r="V713" s="37"/>
      <c r="W713" s="37"/>
      <c r="X713" s="37"/>
    </row>
    <row r="714" customFormat="false" ht="15.75" hidden="false" customHeight="true" outlineLevel="0" collapsed="false">
      <c r="L714" s="148"/>
      <c r="M714" s="149"/>
      <c r="N714" s="149"/>
      <c r="O714" s="37"/>
      <c r="Q714" s="37"/>
      <c r="S714" s="37"/>
      <c r="T714" s="37"/>
      <c r="U714" s="37"/>
      <c r="V714" s="37"/>
      <c r="W714" s="37"/>
      <c r="X714" s="37"/>
    </row>
    <row r="715" customFormat="false" ht="15.75" hidden="false" customHeight="true" outlineLevel="0" collapsed="false">
      <c r="L715" s="148"/>
      <c r="M715" s="149"/>
      <c r="N715" s="149"/>
      <c r="O715" s="37"/>
      <c r="Q715" s="37"/>
      <c r="S715" s="37"/>
      <c r="T715" s="37"/>
      <c r="U715" s="37"/>
      <c r="V715" s="37"/>
      <c r="W715" s="37"/>
      <c r="X715" s="37"/>
    </row>
    <row r="716" customFormat="false" ht="15.75" hidden="false" customHeight="true" outlineLevel="0" collapsed="false">
      <c r="L716" s="148"/>
      <c r="M716" s="149"/>
      <c r="N716" s="149"/>
      <c r="O716" s="37"/>
      <c r="Q716" s="37"/>
      <c r="S716" s="37"/>
      <c r="T716" s="37"/>
      <c r="U716" s="37"/>
      <c r="V716" s="37"/>
      <c r="W716" s="37"/>
      <c r="X716" s="37"/>
    </row>
    <row r="717" customFormat="false" ht="15.75" hidden="false" customHeight="true" outlineLevel="0" collapsed="false">
      <c r="L717" s="148"/>
      <c r="M717" s="149"/>
      <c r="N717" s="149"/>
      <c r="O717" s="37"/>
      <c r="Q717" s="37"/>
      <c r="S717" s="37"/>
      <c r="T717" s="37"/>
      <c r="U717" s="37"/>
      <c r="V717" s="37"/>
      <c r="W717" s="37"/>
      <c r="X717" s="37"/>
    </row>
    <row r="718" customFormat="false" ht="15.75" hidden="false" customHeight="true" outlineLevel="0" collapsed="false">
      <c r="L718" s="148"/>
      <c r="M718" s="149"/>
      <c r="N718" s="149"/>
      <c r="O718" s="37"/>
      <c r="Q718" s="37"/>
      <c r="S718" s="37"/>
      <c r="T718" s="37"/>
      <c r="U718" s="37"/>
      <c r="V718" s="37"/>
      <c r="W718" s="37"/>
      <c r="X718" s="37"/>
    </row>
    <row r="719" customFormat="false" ht="15.75" hidden="false" customHeight="true" outlineLevel="0" collapsed="false">
      <c r="L719" s="148"/>
      <c r="M719" s="149"/>
      <c r="N719" s="149"/>
      <c r="O719" s="37"/>
      <c r="Q719" s="37"/>
      <c r="S719" s="37"/>
      <c r="T719" s="37"/>
      <c r="U719" s="37"/>
      <c r="V719" s="37"/>
      <c r="W719" s="37"/>
      <c r="X719" s="37"/>
    </row>
    <row r="720" customFormat="false" ht="15.75" hidden="false" customHeight="true" outlineLevel="0" collapsed="false">
      <c r="L720" s="148"/>
      <c r="M720" s="149"/>
      <c r="N720" s="149"/>
      <c r="O720" s="37"/>
      <c r="Q720" s="37"/>
      <c r="S720" s="37"/>
      <c r="T720" s="37"/>
      <c r="U720" s="37"/>
      <c r="V720" s="37"/>
      <c r="W720" s="37"/>
      <c r="X720" s="37"/>
    </row>
    <row r="721" customFormat="false" ht="15.75" hidden="false" customHeight="true" outlineLevel="0" collapsed="false">
      <c r="L721" s="148"/>
      <c r="M721" s="149"/>
      <c r="N721" s="149"/>
      <c r="O721" s="37"/>
      <c r="Q721" s="37"/>
      <c r="S721" s="37"/>
      <c r="T721" s="37"/>
      <c r="U721" s="37"/>
      <c r="V721" s="37"/>
      <c r="W721" s="37"/>
      <c r="X721" s="37"/>
    </row>
    <row r="722" customFormat="false" ht="15.75" hidden="false" customHeight="true" outlineLevel="0" collapsed="false">
      <c r="L722" s="148"/>
      <c r="M722" s="149"/>
      <c r="N722" s="149"/>
      <c r="O722" s="37"/>
      <c r="Q722" s="37"/>
      <c r="S722" s="37"/>
      <c r="T722" s="37"/>
      <c r="U722" s="37"/>
      <c r="V722" s="37"/>
      <c r="W722" s="37"/>
      <c r="X722" s="37"/>
    </row>
    <row r="723" customFormat="false" ht="15.75" hidden="false" customHeight="true" outlineLevel="0" collapsed="false">
      <c r="L723" s="148"/>
      <c r="M723" s="149"/>
      <c r="N723" s="149"/>
      <c r="O723" s="37"/>
      <c r="Q723" s="37"/>
      <c r="S723" s="37"/>
      <c r="T723" s="37"/>
      <c r="U723" s="37"/>
      <c r="V723" s="37"/>
      <c r="W723" s="37"/>
      <c r="X723" s="37"/>
    </row>
    <row r="724" customFormat="false" ht="15.75" hidden="false" customHeight="true" outlineLevel="0" collapsed="false">
      <c r="L724" s="148"/>
      <c r="M724" s="149"/>
      <c r="N724" s="149"/>
      <c r="O724" s="37"/>
      <c r="Q724" s="37"/>
      <c r="S724" s="37"/>
      <c r="T724" s="37"/>
      <c r="U724" s="37"/>
      <c r="V724" s="37"/>
      <c r="W724" s="37"/>
      <c r="X724" s="37"/>
    </row>
    <row r="725" customFormat="false" ht="15.75" hidden="false" customHeight="true" outlineLevel="0" collapsed="false">
      <c r="L725" s="148"/>
      <c r="M725" s="149"/>
      <c r="N725" s="149"/>
      <c r="O725" s="37"/>
      <c r="Q725" s="37"/>
      <c r="S725" s="37"/>
      <c r="T725" s="37"/>
      <c r="U725" s="37"/>
      <c r="V725" s="37"/>
      <c r="W725" s="37"/>
      <c r="X725" s="37"/>
    </row>
    <row r="726" customFormat="false" ht="15.75" hidden="false" customHeight="true" outlineLevel="0" collapsed="false">
      <c r="L726" s="148"/>
      <c r="M726" s="149"/>
      <c r="N726" s="149"/>
      <c r="O726" s="37"/>
      <c r="Q726" s="37"/>
      <c r="S726" s="37"/>
      <c r="T726" s="37"/>
      <c r="U726" s="37"/>
      <c r="V726" s="37"/>
      <c r="W726" s="37"/>
      <c r="X726" s="37"/>
    </row>
    <row r="727" customFormat="false" ht="15.75" hidden="false" customHeight="true" outlineLevel="0" collapsed="false">
      <c r="L727" s="148"/>
      <c r="M727" s="149"/>
      <c r="N727" s="149"/>
      <c r="O727" s="37"/>
      <c r="Q727" s="37"/>
      <c r="S727" s="37"/>
      <c r="T727" s="37"/>
      <c r="U727" s="37"/>
      <c r="V727" s="37"/>
      <c r="W727" s="37"/>
      <c r="X727" s="37"/>
    </row>
    <row r="728" customFormat="false" ht="15.75" hidden="false" customHeight="true" outlineLevel="0" collapsed="false">
      <c r="L728" s="148"/>
      <c r="M728" s="149"/>
      <c r="N728" s="149"/>
      <c r="O728" s="37"/>
      <c r="Q728" s="37"/>
      <c r="S728" s="37"/>
      <c r="T728" s="37"/>
      <c r="U728" s="37"/>
      <c r="V728" s="37"/>
      <c r="W728" s="37"/>
      <c r="X728" s="37"/>
    </row>
    <row r="729" customFormat="false" ht="15.75" hidden="false" customHeight="true" outlineLevel="0" collapsed="false">
      <c r="L729" s="148"/>
      <c r="M729" s="149"/>
      <c r="N729" s="149"/>
      <c r="O729" s="37"/>
      <c r="Q729" s="37"/>
      <c r="S729" s="37"/>
      <c r="T729" s="37"/>
      <c r="U729" s="37"/>
      <c r="V729" s="37"/>
      <c r="W729" s="37"/>
      <c r="X729" s="37"/>
    </row>
    <row r="730" customFormat="false" ht="15.75" hidden="false" customHeight="true" outlineLevel="0" collapsed="false">
      <c r="L730" s="148"/>
      <c r="M730" s="149"/>
      <c r="N730" s="149"/>
      <c r="O730" s="37"/>
      <c r="Q730" s="37"/>
      <c r="S730" s="37"/>
      <c r="T730" s="37"/>
      <c r="U730" s="37"/>
      <c r="V730" s="37"/>
      <c r="W730" s="37"/>
      <c r="X730" s="37"/>
    </row>
    <row r="731" customFormat="false" ht="15.75" hidden="false" customHeight="true" outlineLevel="0" collapsed="false">
      <c r="L731" s="148"/>
      <c r="M731" s="149"/>
      <c r="N731" s="149"/>
      <c r="O731" s="37"/>
      <c r="Q731" s="37"/>
      <c r="S731" s="37"/>
      <c r="T731" s="37"/>
      <c r="U731" s="37"/>
      <c r="V731" s="37"/>
      <c r="W731" s="37"/>
      <c r="X731" s="37"/>
    </row>
    <row r="732" customFormat="false" ht="15.75" hidden="false" customHeight="true" outlineLevel="0" collapsed="false">
      <c r="L732" s="148"/>
      <c r="M732" s="149"/>
      <c r="N732" s="149"/>
      <c r="O732" s="37"/>
      <c r="Q732" s="37"/>
      <c r="S732" s="37"/>
      <c r="T732" s="37"/>
      <c r="U732" s="37"/>
      <c r="V732" s="37"/>
      <c r="W732" s="37"/>
      <c r="X732" s="37"/>
    </row>
    <row r="733" customFormat="false" ht="15.75" hidden="false" customHeight="true" outlineLevel="0" collapsed="false">
      <c r="L733" s="148"/>
      <c r="M733" s="149"/>
      <c r="N733" s="149"/>
      <c r="O733" s="37"/>
      <c r="Q733" s="37"/>
      <c r="S733" s="37"/>
      <c r="T733" s="37"/>
      <c r="U733" s="37"/>
      <c r="V733" s="37"/>
      <c r="W733" s="37"/>
      <c r="X733" s="37"/>
    </row>
    <row r="734" customFormat="false" ht="15.75" hidden="false" customHeight="true" outlineLevel="0" collapsed="false">
      <c r="L734" s="148"/>
      <c r="M734" s="149"/>
      <c r="N734" s="149"/>
      <c r="O734" s="37"/>
      <c r="Q734" s="37"/>
      <c r="S734" s="37"/>
      <c r="T734" s="37"/>
      <c r="U734" s="37"/>
      <c r="V734" s="37"/>
      <c r="W734" s="37"/>
      <c r="X734" s="37"/>
    </row>
    <row r="735" customFormat="false" ht="15.75" hidden="false" customHeight="true" outlineLevel="0" collapsed="false">
      <c r="L735" s="148"/>
      <c r="M735" s="149"/>
      <c r="N735" s="149"/>
      <c r="O735" s="37"/>
      <c r="Q735" s="37"/>
      <c r="S735" s="37"/>
      <c r="T735" s="37"/>
      <c r="U735" s="37"/>
      <c r="V735" s="37"/>
      <c r="W735" s="37"/>
      <c r="X735" s="37"/>
    </row>
    <row r="736" customFormat="false" ht="15.75" hidden="false" customHeight="true" outlineLevel="0" collapsed="false">
      <c r="L736" s="148"/>
      <c r="M736" s="149"/>
      <c r="N736" s="149"/>
      <c r="O736" s="37"/>
      <c r="Q736" s="37"/>
      <c r="S736" s="37"/>
      <c r="T736" s="37"/>
      <c r="U736" s="37"/>
      <c r="V736" s="37"/>
      <c r="W736" s="37"/>
      <c r="X736" s="37"/>
    </row>
    <row r="737" customFormat="false" ht="15.75" hidden="false" customHeight="true" outlineLevel="0" collapsed="false">
      <c r="L737" s="148"/>
      <c r="M737" s="149"/>
      <c r="N737" s="149"/>
      <c r="O737" s="37"/>
      <c r="Q737" s="37"/>
      <c r="S737" s="37"/>
      <c r="T737" s="37"/>
      <c r="U737" s="37"/>
      <c r="V737" s="37"/>
      <c r="W737" s="37"/>
      <c r="X737" s="37"/>
    </row>
    <row r="738" customFormat="false" ht="15.75" hidden="false" customHeight="true" outlineLevel="0" collapsed="false">
      <c r="L738" s="148"/>
      <c r="M738" s="149"/>
      <c r="N738" s="149"/>
      <c r="O738" s="37"/>
      <c r="Q738" s="37"/>
      <c r="S738" s="37"/>
      <c r="T738" s="37"/>
      <c r="U738" s="37"/>
      <c r="V738" s="37"/>
      <c r="W738" s="37"/>
      <c r="X738" s="37"/>
    </row>
    <row r="739" customFormat="false" ht="15.75" hidden="false" customHeight="true" outlineLevel="0" collapsed="false">
      <c r="L739" s="148"/>
      <c r="M739" s="149"/>
      <c r="N739" s="149"/>
      <c r="O739" s="37"/>
      <c r="Q739" s="37"/>
      <c r="S739" s="37"/>
      <c r="T739" s="37"/>
      <c r="U739" s="37"/>
      <c r="V739" s="37"/>
      <c r="W739" s="37"/>
      <c r="X739" s="37"/>
    </row>
    <row r="740" customFormat="false" ht="15.75" hidden="false" customHeight="true" outlineLevel="0" collapsed="false">
      <c r="L740" s="148"/>
      <c r="M740" s="149"/>
      <c r="N740" s="149"/>
      <c r="O740" s="37"/>
      <c r="Q740" s="37"/>
      <c r="S740" s="37"/>
      <c r="T740" s="37"/>
      <c r="U740" s="37"/>
      <c r="V740" s="37"/>
      <c r="W740" s="37"/>
      <c r="X740" s="37"/>
    </row>
    <row r="741" customFormat="false" ht="15.75" hidden="false" customHeight="true" outlineLevel="0" collapsed="false">
      <c r="L741" s="148"/>
      <c r="M741" s="149"/>
      <c r="N741" s="149"/>
      <c r="O741" s="37"/>
      <c r="Q741" s="37"/>
      <c r="S741" s="37"/>
      <c r="T741" s="37"/>
      <c r="U741" s="37"/>
      <c r="V741" s="37"/>
      <c r="W741" s="37"/>
      <c r="X741" s="37"/>
    </row>
    <row r="742" customFormat="false" ht="15.75" hidden="false" customHeight="true" outlineLevel="0" collapsed="false">
      <c r="L742" s="148"/>
      <c r="M742" s="149"/>
      <c r="N742" s="149"/>
      <c r="O742" s="37"/>
      <c r="Q742" s="37"/>
      <c r="S742" s="37"/>
      <c r="T742" s="37"/>
      <c r="U742" s="37"/>
      <c r="V742" s="37"/>
      <c r="W742" s="37"/>
      <c r="X742" s="37"/>
    </row>
    <row r="743" customFormat="false" ht="15.75" hidden="false" customHeight="true" outlineLevel="0" collapsed="false">
      <c r="L743" s="148"/>
      <c r="M743" s="149"/>
      <c r="N743" s="149"/>
      <c r="O743" s="37"/>
      <c r="Q743" s="37"/>
      <c r="S743" s="37"/>
      <c r="T743" s="37"/>
      <c r="U743" s="37"/>
      <c r="V743" s="37"/>
      <c r="W743" s="37"/>
      <c r="X743" s="37"/>
    </row>
    <row r="744" customFormat="false" ht="15.75" hidden="false" customHeight="true" outlineLevel="0" collapsed="false">
      <c r="L744" s="148"/>
      <c r="M744" s="149"/>
      <c r="N744" s="149"/>
      <c r="O744" s="37"/>
      <c r="Q744" s="37"/>
      <c r="S744" s="37"/>
      <c r="T744" s="37"/>
      <c r="U744" s="37"/>
      <c r="V744" s="37"/>
      <c r="W744" s="37"/>
      <c r="X744" s="37"/>
    </row>
    <row r="745" customFormat="false" ht="15.75" hidden="false" customHeight="true" outlineLevel="0" collapsed="false">
      <c r="L745" s="148"/>
      <c r="M745" s="149"/>
      <c r="N745" s="149"/>
      <c r="O745" s="37"/>
      <c r="Q745" s="37"/>
      <c r="S745" s="37"/>
      <c r="T745" s="37"/>
      <c r="U745" s="37"/>
      <c r="V745" s="37"/>
      <c r="W745" s="37"/>
      <c r="X745" s="37"/>
    </row>
    <row r="746" customFormat="false" ht="15.75" hidden="false" customHeight="true" outlineLevel="0" collapsed="false">
      <c r="L746" s="148"/>
      <c r="M746" s="149"/>
      <c r="N746" s="149"/>
      <c r="O746" s="37"/>
      <c r="Q746" s="37"/>
      <c r="S746" s="37"/>
      <c r="T746" s="37"/>
      <c r="U746" s="37"/>
      <c r="V746" s="37"/>
      <c r="W746" s="37"/>
      <c r="X746" s="37"/>
    </row>
    <row r="747" customFormat="false" ht="15.75" hidden="false" customHeight="true" outlineLevel="0" collapsed="false">
      <c r="L747" s="148"/>
      <c r="M747" s="149"/>
      <c r="N747" s="149"/>
      <c r="O747" s="37"/>
      <c r="Q747" s="37"/>
      <c r="S747" s="37"/>
      <c r="T747" s="37"/>
      <c r="U747" s="37"/>
      <c r="V747" s="37"/>
      <c r="W747" s="37"/>
      <c r="X747" s="37"/>
    </row>
    <row r="748" customFormat="false" ht="15.75" hidden="false" customHeight="true" outlineLevel="0" collapsed="false">
      <c r="L748" s="148"/>
      <c r="M748" s="149"/>
      <c r="N748" s="149"/>
      <c r="O748" s="37"/>
      <c r="Q748" s="37"/>
      <c r="S748" s="37"/>
      <c r="T748" s="37"/>
      <c r="U748" s="37"/>
      <c r="V748" s="37"/>
      <c r="W748" s="37"/>
      <c r="X748" s="37"/>
    </row>
    <row r="749" customFormat="false" ht="15.75" hidden="false" customHeight="true" outlineLevel="0" collapsed="false">
      <c r="L749" s="148"/>
      <c r="M749" s="149"/>
      <c r="N749" s="149"/>
      <c r="O749" s="37"/>
      <c r="Q749" s="37"/>
      <c r="S749" s="37"/>
      <c r="T749" s="37"/>
      <c r="U749" s="37"/>
      <c r="V749" s="37"/>
      <c r="W749" s="37"/>
      <c r="X749" s="37"/>
    </row>
    <row r="750" customFormat="false" ht="15.75" hidden="false" customHeight="true" outlineLevel="0" collapsed="false">
      <c r="L750" s="148"/>
      <c r="M750" s="149"/>
      <c r="N750" s="149"/>
      <c r="O750" s="37"/>
      <c r="Q750" s="37"/>
      <c r="S750" s="37"/>
      <c r="T750" s="37"/>
      <c r="U750" s="37"/>
      <c r="V750" s="37"/>
      <c r="W750" s="37"/>
      <c r="X750" s="37"/>
    </row>
    <row r="751" customFormat="false" ht="15.75" hidden="false" customHeight="true" outlineLevel="0" collapsed="false">
      <c r="L751" s="148"/>
      <c r="M751" s="149"/>
      <c r="N751" s="149"/>
      <c r="O751" s="37"/>
      <c r="Q751" s="37"/>
      <c r="S751" s="37"/>
      <c r="T751" s="37"/>
      <c r="U751" s="37"/>
      <c r="V751" s="37"/>
      <c r="W751" s="37"/>
      <c r="X751" s="37"/>
    </row>
    <row r="752" customFormat="false" ht="15.75" hidden="false" customHeight="true" outlineLevel="0" collapsed="false">
      <c r="L752" s="148"/>
      <c r="M752" s="149"/>
      <c r="N752" s="149"/>
      <c r="O752" s="37"/>
      <c r="Q752" s="37"/>
      <c r="S752" s="37"/>
      <c r="T752" s="37"/>
      <c r="U752" s="37"/>
      <c r="V752" s="37"/>
      <c r="W752" s="37"/>
      <c r="X752" s="37"/>
    </row>
    <row r="753" customFormat="false" ht="15.75" hidden="false" customHeight="true" outlineLevel="0" collapsed="false">
      <c r="L753" s="148"/>
      <c r="M753" s="149"/>
      <c r="N753" s="149"/>
      <c r="O753" s="37"/>
      <c r="Q753" s="37"/>
      <c r="S753" s="37"/>
      <c r="T753" s="37"/>
      <c r="U753" s="37"/>
      <c r="V753" s="37"/>
      <c r="W753" s="37"/>
      <c r="X753" s="37"/>
    </row>
    <row r="754" customFormat="false" ht="15.75" hidden="false" customHeight="true" outlineLevel="0" collapsed="false">
      <c r="L754" s="148"/>
      <c r="M754" s="149"/>
      <c r="N754" s="149"/>
      <c r="O754" s="37"/>
      <c r="Q754" s="37"/>
      <c r="S754" s="37"/>
      <c r="T754" s="37"/>
      <c r="U754" s="37"/>
      <c r="V754" s="37"/>
      <c r="W754" s="37"/>
      <c r="X754" s="37"/>
    </row>
    <row r="755" customFormat="false" ht="15.75" hidden="false" customHeight="true" outlineLevel="0" collapsed="false">
      <c r="L755" s="148"/>
      <c r="M755" s="149"/>
      <c r="N755" s="149"/>
      <c r="O755" s="37"/>
      <c r="Q755" s="37"/>
      <c r="S755" s="37"/>
      <c r="T755" s="37"/>
      <c r="U755" s="37"/>
      <c r="V755" s="37"/>
      <c r="W755" s="37"/>
      <c r="X755" s="37"/>
    </row>
    <row r="756" customFormat="false" ht="15.75" hidden="false" customHeight="true" outlineLevel="0" collapsed="false">
      <c r="L756" s="148"/>
      <c r="M756" s="149"/>
      <c r="N756" s="149"/>
      <c r="O756" s="37"/>
      <c r="Q756" s="37"/>
      <c r="S756" s="37"/>
      <c r="T756" s="37"/>
      <c r="U756" s="37"/>
      <c r="V756" s="37"/>
      <c r="W756" s="37"/>
      <c r="X756" s="37"/>
    </row>
    <row r="757" customFormat="false" ht="15.75" hidden="false" customHeight="true" outlineLevel="0" collapsed="false">
      <c r="L757" s="148"/>
      <c r="M757" s="149"/>
      <c r="N757" s="149"/>
      <c r="O757" s="37"/>
      <c r="Q757" s="37"/>
      <c r="S757" s="37"/>
      <c r="T757" s="37"/>
      <c r="U757" s="37"/>
      <c r="V757" s="37"/>
      <c r="W757" s="37"/>
      <c r="X757" s="37"/>
    </row>
    <row r="758" customFormat="false" ht="15.75" hidden="false" customHeight="true" outlineLevel="0" collapsed="false">
      <c r="L758" s="148"/>
      <c r="M758" s="149"/>
      <c r="N758" s="149"/>
      <c r="O758" s="37"/>
      <c r="Q758" s="37"/>
      <c r="S758" s="37"/>
      <c r="T758" s="37"/>
      <c r="U758" s="37"/>
      <c r="V758" s="37"/>
      <c r="W758" s="37"/>
      <c r="X758" s="37"/>
    </row>
    <row r="759" customFormat="false" ht="15.75" hidden="false" customHeight="true" outlineLevel="0" collapsed="false">
      <c r="L759" s="148"/>
      <c r="M759" s="149"/>
      <c r="N759" s="149"/>
      <c r="O759" s="37"/>
      <c r="Q759" s="37"/>
      <c r="S759" s="37"/>
      <c r="T759" s="37"/>
      <c r="U759" s="37"/>
      <c r="V759" s="37"/>
      <c r="W759" s="37"/>
      <c r="X759" s="37"/>
    </row>
    <row r="760" customFormat="false" ht="15.75" hidden="false" customHeight="true" outlineLevel="0" collapsed="false">
      <c r="L760" s="148"/>
      <c r="M760" s="149"/>
      <c r="N760" s="149"/>
      <c r="O760" s="37"/>
      <c r="Q760" s="37"/>
      <c r="S760" s="37"/>
      <c r="T760" s="37"/>
      <c r="U760" s="37"/>
      <c r="V760" s="37"/>
      <c r="W760" s="37"/>
      <c r="X760" s="37"/>
    </row>
    <row r="761" customFormat="false" ht="15.75" hidden="false" customHeight="true" outlineLevel="0" collapsed="false">
      <c r="L761" s="148"/>
      <c r="M761" s="149"/>
      <c r="N761" s="149"/>
      <c r="O761" s="37"/>
      <c r="Q761" s="37"/>
      <c r="S761" s="37"/>
      <c r="T761" s="37"/>
      <c r="U761" s="37"/>
      <c r="V761" s="37"/>
      <c r="W761" s="37"/>
      <c r="X761" s="37"/>
    </row>
    <row r="762" customFormat="false" ht="15.75" hidden="false" customHeight="true" outlineLevel="0" collapsed="false">
      <c r="L762" s="148"/>
      <c r="M762" s="149"/>
      <c r="N762" s="149"/>
      <c r="O762" s="37"/>
      <c r="Q762" s="37"/>
      <c r="S762" s="37"/>
      <c r="T762" s="37"/>
      <c r="U762" s="37"/>
      <c r="V762" s="37"/>
      <c r="W762" s="37"/>
      <c r="X762" s="37"/>
    </row>
    <row r="763" customFormat="false" ht="15.75" hidden="false" customHeight="true" outlineLevel="0" collapsed="false">
      <c r="L763" s="148"/>
      <c r="M763" s="149"/>
      <c r="N763" s="149"/>
      <c r="O763" s="37"/>
      <c r="Q763" s="37"/>
      <c r="S763" s="37"/>
      <c r="T763" s="37"/>
      <c r="U763" s="37"/>
      <c r="V763" s="37"/>
      <c r="W763" s="37"/>
      <c r="X763" s="37"/>
    </row>
    <row r="764" customFormat="false" ht="15.75" hidden="false" customHeight="true" outlineLevel="0" collapsed="false">
      <c r="L764" s="148"/>
      <c r="M764" s="149"/>
      <c r="N764" s="149"/>
      <c r="O764" s="37"/>
      <c r="Q764" s="37"/>
      <c r="S764" s="37"/>
      <c r="T764" s="37"/>
      <c r="U764" s="37"/>
      <c r="V764" s="37"/>
      <c r="W764" s="37"/>
      <c r="X764" s="37"/>
    </row>
    <row r="765" customFormat="false" ht="15.75" hidden="false" customHeight="true" outlineLevel="0" collapsed="false">
      <c r="L765" s="148"/>
      <c r="M765" s="149"/>
      <c r="N765" s="149"/>
      <c r="O765" s="37"/>
      <c r="Q765" s="37"/>
      <c r="S765" s="37"/>
      <c r="T765" s="37"/>
      <c r="U765" s="37"/>
      <c r="V765" s="37"/>
      <c r="W765" s="37"/>
      <c r="X765" s="37"/>
    </row>
    <row r="766" customFormat="false" ht="15.75" hidden="false" customHeight="true" outlineLevel="0" collapsed="false">
      <c r="L766" s="148"/>
      <c r="M766" s="149"/>
      <c r="N766" s="149"/>
      <c r="O766" s="37"/>
      <c r="Q766" s="37"/>
      <c r="S766" s="37"/>
      <c r="T766" s="37"/>
      <c r="U766" s="37"/>
      <c r="V766" s="37"/>
      <c r="W766" s="37"/>
      <c r="X766" s="37"/>
    </row>
    <row r="767" customFormat="false" ht="15.75" hidden="false" customHeight="true" outlineLevel="0" collapsed="false">
      <c r="L767" s="148"/>
      <c r="M767" s="149"/>
      <c r="N767" s="149"/>
      <c r="O767" s="37"/>
      <c r="Q767" s="37"/>
      <c r="S767" s="37"/>
      <c r="T767" s="37"/>
      <c r="U767" s="37"/>
      <c r="V767" s="37"/>
      <c r="W767" s="37"/>
      <c r="X767" s="37"/>
    </row>
    <row r="768" customFormat="false" ht="15.75" hidden="false" customHeight="true" outlineLevel="0" collapsed="false">
      <c r="L768" s="148"/>
      <c r="M768" s="149"/>
      <c r="N768" s="149"/>
      <c r="O768" s="37"/>
      <c r="Q768" s="37"/>
      <c r="S768" s="37"/>
      <c r="T768" s="37"/>
      <c r="U768" s="37"/>
      <c r="V768" s="37"/>
      <c r="W768" s="37"/>
      <c r="X768" s="37"/>
    </row>
    <row r="769" customFormat="false" ht="15.75" hidden="false" customHeight="true" outlineLevel="0" collapsed="false">
      <c r="L769" s="148"/>
      <c r="M769" s="149"/>
      <c r="N769" s="149"/>
      <c r="O769" s="37"/>
      <c r="Q769" s="37"/>
      <c r="S769" s="37"/>
      <c r="T769" s="37"/>
      <c r="U769" s="37"/>
      <c r="V769" s="37"/>
      <c r="W769" s="37"/>
      <c r="X769" s="37"/>
    </row>
    <row r="770" customFormat="false" ht="15.75" hidden="false" customHeight="true" outlineLevel="0" collapsed="false">
      <c r="L770" s="148"/>
      <c r="M770" s="149"/>
      <c r="N770" s="149"/>
      <c r="O770" s="37"/>
      <c r="Q770" s="37"/>
      <c r="S770" s="37"/>
      <c r="T770" s="37"/>
      <c r="U770" s="37"/>
      <c r="V770" s="37"/>
      <c r="W770" s="37"/>
      <c r="X770" s="37"/>
    </row>
    <row r="771" customFormat="false" ht="15.75" hidden="false" customHeight="true" outlineLevel="0" collapsed="false">
      <c r="L771" s="148"/>
      <c r="M771" s="149"/>
      <c r="N771" s="149"/>
      <c r="O771" s="37"/>
      <c r="Q771" s="37"/>
      <c r="S771" s="37"/>
      <c r="T771" s="37"/>
      <c r="U771" s="37"/>
      <c r="V771" s="37"/>
      <c r="W771" s="37"/>
      <c r="X771" s="37"/>
    </row>
    <row r="772" customFormat="false" ht="15.75" hidden="false" customHeight="true" outlineLevel="0" collapsed="false">
      <c r="L772" s="148"/>
      <c r="M772" s="149"/>
      <c r="N772" s="149"/>
      <c r="O772" s="37"/>
      <c r="Q772" s="37"/>
      <c r="S772" s="37"/>
      <c r="T772" s="37"/>
      <c r="U772" s="37"/>
      <c r="V772" s="37"/>
      <c r="W772" s="37"/>
      <c r="X772" s="37"/>
    </row>
    <row r="773" customFormat="false" ht="15.75" hidden="false" customHeight="true" outlineLevel="0" collapsed="false">
      <c r="L773" s="148"/>
      <c r="M773" s="149"/>
      <c r="N773" s="149"/>
      <c r="O773" s="37"/>
      <c r="Q773" s="37"/>
      <c r="S773" s="37"/>
      <c r="T773" s="37"/>
      <c r="U773" s="37"/>
      <c r="V773" s="37"/>
      <c r="W773" s="37"/>
      <c r="X773" s="37"/>
    </row>
    <row r="774" customFormat="false" ht="15.75" hidden="false" customHeight="true" outlineLevel="0" collapsed="false">
      <c r="L774" s="148"/>
      <c r="M774" s="149"/>
      <c r="N774" s="149"/>
      <c r="O774" s="37"/>
      <c r="Q774" s="37"/>
      <c r="S774" s="37"/>
      <c r="T774" s="37"/>
      <c r="U774" s="37"/>
      <c r="V774" s="37"/>
      <c r="W774" s="37"/>
      <c r="X774" s="37"/>
    </row>
    <row r="775" customFormat="false" ht="15.75" hidden="false" customHeight="true" outlineLevel="0" collapsed="false">
      <c r="L775" s="148"/>
      <c r="M775" s="149"/>
      <c r="N775" s="149"/>
      <c r="O775" s="37"/>
      <c r="Q775" s="37"/>
      <c r="S775" s="37"/>
      <c r="T775" s="37"/>
      <c r="U775" s="37"/>
      <c r="V775" s="37"/>
      <c r="W775" s="37"/>
      <c r="X775" s="37"/>
    </row>
    <row r="776" customFormat="false" ht="15.75" hidden="false" customHeight="true" outlineLevel="0" collapsed="false">
      <c r="L776" s="148"/>
      <c r="M776" s="149"/>
      <c r="N776" s="149"/>
      <c r="O776" s="37"/>
      <c r="Q776" s="37"/>
      <c r="S776" s="37"/>
      <c r="T776" s="37"/>
      <c r="U776" s="37"/>
      <c r="V776" s="37"/>
      <c r="W776" s="37"/>
      <c r="X776" s="37"/>
    </row>
    <row r="777" customFormat="false" ht="15.75" hidden="false" customHeight="true" outlineLevel="0" collapsed="false">
      <c r="L777" s="148"/>
      <c r="M777" s="149"/>
      <c r="N777" s="149"/>
      <c r="O777" s="37"/>
      <c r="Q777" s="37"/>
      <c r="S777" s="37"/>
      <c r="T777" s="37"/>
      <c r="U777" s="37"/>
      <c r="V777" s="37"/>
      <c r="W777" s="37"/>
      <c r="X777" s="37"/>
    </row>
    <row r="778" customFormat="false" ht="15.75" hidden="false" customHeight="true" outlineLevel="0" collapsed="false">
      <c r="L778" s="148"/>
      <c r="M778" s="149"/>
      <c r="N778" s="149"/>
      <c r="O778" s="37"/>
      <c r="Q778" s="37"/>
      <c r="S778" s="37"/>
      <c r="T778" s="37"/>
      <c r="U778" s="37"/>
      <c r="V778" s="37"/>
      <c r="W778" s="37"/>
      <c r="X778" s="37"/>
    </row>
    <row r="779" customFormat="false" ht="15.75" hidden="false" customHeight="true" outlineLevel="0" collapsed="false">
      <c r="L779" s="148"/>
      <c r="M779" s="149"/>
      <c r="N779" s="149"/>
      <c r="O779" s="37"/>
      <c r="Q779" s="37"/>
      <c r="S779" s="37"/>
      <c r="T779" s="37"/>
      <c r="U779" s="37"/>
      <c r="V779" s="37"/>
      <c r="W779" s="37"/>
      <c r="X779" s="37"/>
    </row>
    <row r="780" customFormat="false" ht="15.75" hidden="false" customHeight="true" outlineLevel="0" collapsed="false">
      <c r="L780" s="148"/>
      <c r="M780" s="149"/>
      <c r="N780" s="149"/>
      <c r="O780" s="37"/>
      <c r="Q780" s="37"/>
      <c r="S780" s="37"/>
      <c r="T780" s="37"/>
      <c r="U780" s="37"/>
      <c r="V780" s="37"/>
      <c r="W780" s="37"/>
      <c r="X780" s="37"/>
    </row>
    <row r="781" customFormat="false" ht="15.75" hidden="false" customHeight="true" outlineLevel="0" collapsed="false">
      <c r="L781" s="148"/>
      <c r="M781" s="149"/>
      <c r="N781" s="149"/>
      <c r="O781" s="37"/>
      <c r="Q781" s="37"/>
      <c r="S781" s="37"/>
      <c r="T781" s="37"/>
      <c r="U781" s="37"/>
      <c r="V781" s="37"/>
      <c r="W781" s="37"/>
      <c r="X781" s="37"/>
    </row>
    <row r="782" customFormat="false" ht="15.75" hidden="false" customHeight="true" outlineLevel="0" collapsed="false">
      <c r="L782" s="148"/>
      <c r="M782" s="149"/>
      <c r="N782" s="149"/>
      <c r="O782" s="37"/>
      <c r="Q782" s="37"/>
      <c r="S782" s="37"/>
      <c r="T782" s="37"/>
      <c r="U782" s="37"/>
      <c r="V782" s="37"/>
      <c r="W782" s="37"/>
      <c r="X782" s="37"/>
    </row>
    <row r="783" customFormat="false" ht="15.75" hidden="false" customHeight="true" outlineLevel="0" collapsed="false">
      <c r="L783" s="148"/>
      <c r="M783" s="149"/>
      <c r="N783" s="149"/>
      <c r="O783" s="37"/>
      <c r="Q783" s="37"/>
      <c r="S783" s="37"/>
      <c r="T783" s="37"/>
      <c r="U783" s="37"/>
      <c r="V783" s="37"/>
      <c r="W783" s="37"/>
      <c r="X783" s="37"/>
    </row>
    <row r="784" customFormat="false" ht="15.75" hidden="false" customHeight="true" outlineLevel="0" collapsed="false">
      <c r="L784" s="148"/>
      <c r="M784" s="149"/>
      <c r="N784" s="149"/>
      <c r="O784" s="37"/>
      <c r="Q784" s="37"/>
      <c r="S784" s="37"/>
      <c r="T784" s="37"/>
      <c r="U784" s="37"/>
      <c r="V784" s="37"/>
      <c r="W784" s="37"/>
      <c r="X784" s="37"/>
    </row>
    <row r="785" customFormat="false" ht="15.75" hidden="false" customHeight="true" outlineLevel="0" collapsed="false">
      <c r="L785" s="148"/>
      <c r="M785" s="149"/>
      <c r="N785" s="149"/>
      <c r="O785" s="37"/>
      <c r="Q785" s="37"/>
      <c r="S785" s="37"/>
      <c r="T785" s="37"/>
      <c r="U785" s="37"/>
      <c r="V785" s="37"/>
      <c r="W785" s="37"/>
      <c r="X785" s="37"/>
    </row>
    <row r="786" customFormat="false" ht="15.75" hidden="false" customHeight="true" outlineLevel="0" collapsed="false">
      <c r="L786" s="148"/>
      <c r="M786" s="149"/>
      <c r="N786" s="149"/>
      <c r="O786" s="37"/>
      <c r="Q786" s="37"/>
      <c r="S786" s="37"/>
      <c r="T786" s="37"/>
      <c r="U786" s="37"/>
      <c r="V786" s="37"/>
      <c r="W786" s="37"/>
      <c r="X786" s="37"/>
    </row>
    <row r="787" customFormat="false" ht="15.75" hidden="false" customHeight="true" outlineLevel="0" collapsed="false">
      <c r="L787" s="148"/>
      <c r="M787" s="149"/>
      <c r="N787" s="149"/>
      <c r="O787" s="37"/>
      <c r="Q787" s="37"/>
      <c r="S787" s="37"/>
      <c r="T787" s="37"/>
      <c r="U787" s="37"/>
      <c r="V787" s="37"/>
      <c r="W787" s="37"/>
      <c r="X787" s="37"/>
    </row>
    <row r="788" customFormat="false" ht="15.75" hidden="false" customHeight="true" outlineLevel="0" collapsed="false">
      <c r="L788" s="148"/>
      <c r="M788" s="149"/>
      <c r="N788" s="149"/>
      <c r="O788" s="37"/>
      <c r="Q788" s="37"/>
      <c r="S788" s="37"/>
      <c r="T788" s="37"/>
      <c r="U788" s="37"/>
      <c r="V788" s="37"/>
      <c r="W788" s="37"/>
      <c r="X788" s="37"/>
    </row>
    <row r="789" customFormat="false" ht="15.75" hidden="false" customHeight="true" outlineLevel="0" collapsed="false">
      <c r="L789" s="148"/>
      <c r="M789" s="149"/>
      <c r="N789" s="149"/>
      <c r="O789" s="37"/>
      <c r="Q789" s="37"/>
      <c r="S789" s="37"/>
      <c r="T789" s="37"/>
      <c r="U789" s="37"/>
      <c r="V789" s="37"/>
      <c r="W789" s="37"/>
      <c r="X789" s="37"/>
    </row>
    <row r="790" customFormat="false" ht="15.75" hidden="false" customHeight="true" outlineLevel="0" collapsed="false">
      <c r="L790" s="148"/>
      <c r="M790" s="149"/>
      <c r="N790" s="149"/>
      <c r="O790" s="37"/>
      <c r="Q790" s="37"/>
      <c r="S790" s="37"/>
      <c r="T790" s="37"/>
      <c r="U790" s="37"/>
      <c r="V790" s="37"/>
      <c r="W790" s="37"/>
      <c r="X790" s="37"/>
    </row>
    <row r="791" customFormat="false" ht="15.75" hidden="false" customHeight="true" outlineLevel="0" collapsed="false">
      <c r="L791" s="148"/>
      <c r="M791" s="149"/>
      <c r="N791" s="149"/>
      <c r="O791" s="37"/>
      <c r="Q791" s="37"/>
      <c r="S791" s="37"/>
      <c r="T791" s="37"/>
      <c r="U791" s="37"/>
      <c r="V791" s="37"/>
      <c r="W791" s="37"/>
      <c r="X791" s="37"/>
    </row>
    <row r="792" customFormat="false" ht="15.75" hidden="false" customHeight="true" outlineLevel="0" collapsed="false">
      <c r="L792" s="148"/>
      <c r="M792" s="149"/>
      <c r="N792" s="149"/>
      <c r="O792" s="37"/>
      <c r="Q792" s="37"/>
      <c r="S792" s="37"/>
      <c r="T792" s="37"/>
      <c r="U792" s="37"/>
      <c r="V792" s="37"/>
      <c r="W792" s="37"/>
      <c r="X792" s="37"/>
    </row>
    <row r="793" customFormat="false" ht="15.75" hidden="false" customHeight="true" outlineLevel="0" collapsed="false">
      <c r="L793" s="148"/>
      <c r="M793" s="149"/>
      <c r="N793" s="149"/>
      <c r="O793" s="37"/>
      <c r="Q793" s="37"/>
      <c r="S793" s="37"/>
      <c r="T793" s="37"/>
      <c r="U793" s="37"/>
      <c r="V793" s="37"/>
      <c r="W793" s="37"/>
      <c r="X793" s="37"/>
    </row>
    <row r="794" customFormat="false" ht="15.75" hidden="false" customHeight="true" outlineLevel="0" collapsed="false">
      <c r="L794" s="148"/>
      <c r="M794" s="149"/>
      <c r="N794" s="149"/>
      <c r="O794" s="37"/>
      <c r="Q794" s="37"/>
      <c r="S794" s="37"/>
      <c r="T794" s="37"/>
      <c r="U794" s="37"/>
      <c r="V794" s="37"/>
      <c r="W794" s="37"/>
      <c r="X794" s="37"/>
    </row>
    <row r="795" customFormat="false" ht="15.75" hidden="false" customHeight="true" outlineLevel="0" collapsed="false">
      <c r="L795" s="148"/>
      <c r="M795" s="149"/>
      <c r="N795" s="149"/>
      <c r="O795" s="37"/>
      <c r="Q795" s="37"/>
      <c r="S795" s="37"/>
      <c r="T795" s="37"/>
      <c r="U795" s="37"/>
      <c r="V795" s="37"/>
      <c r="W795" s="37"/>
      <c r="X795" s="37"/>
    </row>
    <row r="796" customFormat="false" ht="15.75" hidden="false" customHeight="true" outlineLevel="0" collapsed="false">
      <c r="L796" s="148"/>
      <c r="M796" s="149"/>
      <c r="N796" s="149"/>
      <c r="O796" s="37"/>
      <c r="Q796" s="37"/>
      <c r="S796" s="37"/>
      <c r="T796" s="37"/>
      <c r="U796" s="37"/>
      <c r="V796" s="37"/>
      <c r="W796" s="37"/>
      <c r="X796" s="37"/>
    </row>
    <row r="797" customFormat="false" ht="15.75" hidden="false" customHeight="true" outlineLevel="0" collapsed="false">
      <c r="L797" s="148"/>
      <c r="M797" s="149"/>
      <c r="N797" s="149"/>
      <c r="O797" s="37"/>
      <c r="Q797" s="37"/>
      <c r="S797" s="37"/>
      <c r="T797" s="37"/>
      <c r="U797" s="37"/>
      <c r="V797" s="37"/>
      <c r="W797" s="37"/>
      <c r="X797" s="37"/>
    </row>
    <row r="798" customFormat="false" ht="15.75" hidden="false" customHeight="true" outlineLevel="0" collapsed="false">
      <c r="L798" s="148"/>
      <c r="M798" s="149"/>
      <c r="N798" s="149"/>
      <c r="O798" s="37"/>
      <c r="Q798" s="37"/>
      <c r="S798" s="37"/>
      <c r="T798" s="37"/>
      <c r="U798" s="37"/>
      <c r="V798" s="37"/>
      <c r="W798" s="37"/>
      <c r="X798" s="37"/>
    </row>
    <row r="799" customFormat="false" ht="15.75" hidden="false" customHeight="true" outlineLevel="0" collapsed="false">
      <c r="L799" s="148"/>
      <c r="M799" s="149"/>
      <c r="N799" s="149"/>
      <c r="O799" s="37"/>
      <c r="Q799" s="37"/>
      <c r="S799" s="37"/>
      <c r="T799" s="37"/>
      <c r="U799" s="37"/>
      <c r="V799" s="37"/>
      <c r="W799" s="37"/>
      <c r="X799" s="37"/>
    </row>
    <row r="800" customFormat="false" ht="15.75" hidden="false" customHeight="true" outlineLevel="0" collapsed="false">
      <c r="L800" s="148"/>
      <c r="M800" s="149"/>
      <c r="N800" s="149"/>
      <c r="O800" s="37"/>
      <c r="Q800" s="37"/>
      <c r="S800" s="37"/>
      <c r="T800" s="37"/>
      <c r="U800" s="37"/>
      <c r="V800" s="37"/>
      <c r="W800" s="37"/>
      <c r="X800" s="37"/>
    </row>
    <row r="801" customFormat="false" ht="15.75" hidden="false" customHeight="true" outlineLevel="0" collapsed="false">
      <c r="L801" s="148"/>
      <c r="M801" s="149"/>
      <c r="N801" s="149"/>
      <c r="O801" s="37"/>
      <c r="Q801" s="37"/>
      <c r="S801" s="37"/>
      <c r="T801" s="37"/>
      <c r="U801" s="37"/>
      <c r="V801" s="37"/>
      <c r="W801" s="37"/>
      <c r="X801" s="37"/>
    </row>
    <row r="802" customFormat="false" ht="15.75" hidden="false" customHeight="true" outlineLevel="0" collapsed="false">
      <c r="L802" s="148"/>
      <c r="M802" s="149"/>
      <c r="N802" s="149"/>
      <c r="O802" s="37"/>
      <c r="Q802" s="37"/>
      <c r="S802" s="37"/>
      <c r="T802" s="37"/>
      <c r="U802" s="37"/>
      <c r="V802" s="37"/>
      <c r="W802" s="37"/>
      <c r="X802" s="37"/>
    </row>
    <row r="803" customFormat="false" ht="15.75" hidden="false" customHeight="true" outlineLevel="0" collapsed="false">
      <c r="L803" s="148"/>
      <c r="M803" s="149"/>
      <c r="N803" s="149"/>
      <c r="O803" s="37"/>
      <c r="Q803" s="37"/>
      <c r="S803" s="37"/>
      <c r="T803" s="37"/>
      <c r="U803" s="37"/>
      <c r="V803" s="37"/>
      <c r="W803" s="37"/>
      <c r="X803" s="37"/>
    </row>
    <row r="804" customFormat="false" ht="15.75" hidden="false" customHeight="true" outlineLevel="0" collapsed="false">
      <c r="L804" s="148"/>
      <c r="M804" s="149"/>
      <c r="N804" s="149"/>
      <c r="O804" s="37"/>
      <c r="Q804" s="37"/>
      <c r="S804" s="37"/>
      <c r="T804" s="37"/>
      <c r="U804" s="37"/>
      <c r="V804" s="37"/>
      <c r="W804" s="37"/>
      <c r="X804" s="37"/>
    </row>
    <row r="805" customFormat="false" ht="15.75" hidden="false" customHeight="true" outlineLevel="0" collapsed="false">
      <c r="L805" s="148"/>
      <c r="M805" s="149"/>
      <c r="N805" s="149"/>
      <c r="O805" s="37"/>
      <c r="Q805" s="37"/>
      <c r="S805" s="37"/>
      <c r="T805" s="37"/>
      <c r="U805" s="37"/>
      <c r="V805" s="37"/>
      <c r="W805" s="37"/>
      <c r="X805" s="37"/>
    </row>
    <row r="806" customFormat="false" ht="15.75" hidden="false" customHeight="true" outlineLevel="0" collapsed="false">
      <c r="L806" s="148"/>
      <c r="M806" s="149"/>
      <c r="N806" s="149"/>
      <c r="O806" s="37"/>
      <c r="Q806" s="37"/>
      <c r="S806" s="37"/>
      <c r="T806" s="37"/>
      <c r="U806" s="37"/>
      <c r="V806" s="37"/>
      <c r="W806" s="37"/>
      <c r="X806" s="37"/>
    </row>
    <row r="807" customFormat="false" ht="15.75" hidden="false" customHeight="true" outlineLevel="0" collapsed="false">
      <c r="L807" s="148"/>
      <c r="M807" s="149"/>
      <c r="N807" s="149"/>
      <c r="O807" s="37"/>
      <c r="Q807" s="37"/>
      <c r="S807" s="37"/>
      <c r="T807" s="37"/>
      <c r="U807" s="37"/>
      <c r="V807" s="37"/>
      <c r="W807" s="37"/>
      <c r="X807" s="37"/>
    </row>
    <row r="808" customFormat="false" ht="15.75" hidden="false" customHeight="true" outlineLevel="0" collapsed="false">
      <c r="L808" s="148"/>
      <c r="M808" s="149"/>
      <c r="N808" s="149"/>
      <c r="O808" s="37"/>
      <c r="Q808" s="37"/>
      <c r="S808" s="37"/>
      <c r="T808" s="37"/>
      <c r="U808" s="37"/>
      <c r="V808" s="37"/>
      <c r="W808" s="37"/>
      <c r="X808" s="37"/>
    </row>
    <row r="809" customFormat="false" ht="15.75" hidden="false" customHeight="true" outlineLevel="0" collapsed="false">
      <c r="L809" s="148"/>
      <c r="M809" s="149"/>
      <c r="N809" s="149"/>
      <c r="O809" s="37"/>
      <c r="Q809" s="37"/>
      <c r="S809" s="37"/>
      <c r="T809" s="37"/>
      <c r="U809" s="37"/>
      <c r="V809" s="37"/>
      <c r="W809" s="37"/>
      <c r="X809" s="37"/>
    </row>
    <row r="810" customFormat="false" ht="15.75" hidden="false" customHeight="true" outlineLevel="0" collapsed="false">
      <c r="L810" s="148"/>
      <c r="M810" s="149"/>
      <c r="N810" s="149"/>
      <c r="O810" s="37"/>
      <c r="Q810" s="37"/>
      <c r="S810" s="37"/>
      <c r="T810" s="37"/>
      <c r="U810" s="37"/>
      <c r="V810" s="37"/>
      <c r="W810" s="37"/>
      <c r="X810" s="37"/>
    </row>
    <row r="811" customFormat="false" ht="15.75" hidden="false" customHeight="true" outlineLevel="0" collapsed="false">
      <c r="L811" s="148"/>
      <c r="M811" s="149"/>
      <c r="N811" s="149"/>
      <c r="O811" s="37"/>
      <c r="Q811" s="37"/>
      <c r="S811" s="37"/>
      <c r="T811" s="37"/>
      <c r="U811" s="37"/>
      <c r="V811" s="37"/>
      <c r="W811" s="37"/>
      <c r="X811" s="37"/>
    </row>
    <row r="812" customFormat="false" ht="15.75" hidden="false" customHeight="true" outlineLevel="0" collapsed="false">
      <c r="L812" s="148"/>
      <c r="M812" s="149"/>
      <c r="N812" s="149"/>
      <c r="O812" s="37"/>
      <c r="Q812" s="37"/>
      <c r="S812" s="37"/>
      <c r="T812" s="37"/>
      <c r="U812" s="37"/>
      <c r="V812" s="37"/>
      <c r="W812" s="37"/>
      <c r="X812" s="37"/>
    </row>
    <row r="813" customFormat="false" ht="15.75" hidden="false" customHeight="true" outlineLevel="0" collapsed="false">
      <c r="L813" s="148"/>
      <c r="M813" s="149"/>
      <c r="N813" s="149"/>
      <c r="O813" s="37"/>
      <c r="Q813" s="37"/>
      <c r="S813" s="37"/>
      <c r="T813" s="37"/>
      <c r="U813" s="37"/>
      <c r="V813" s="37"/>
      <c r="W813" s="37"/>
      <c r="X813" s="37"/>
    </row>
    <row r="814" customFormat="false" ht="15.75" hidden="false" customHeight="true" outlineLevel="0" collapsed="false">
      <c r="L814" s="148"/>
      <c r="M814" s="149"/>
      <c r="N814" s="149"/>
      <c r="O814" s="37"/>
      <c r="Q814" s="37"/>
      <c r="S814" s="37"/>
      <c r="T814" s="37"/>
      <c r="U814" s="37"/>
      <c r="V814" s="37"/>
      <c r="W814" s="37"/>
      <c r="X814" s="37"/>
    </row>
    <row r="815" customFormat="false" ht="15.75" hidden="false" customHeight="true" outlineLevel="0" collapsed="false">
      <c r="L815" s="148"/>
      <c r="M815" s="149"/>
      <c r="N815" s="149"/>
      <c r="O815" s="37"/>
      <c r="Q815" s="37"/>
      <c r="S815" s="37"/>
      <c r="T815" s="37"/>
      <c r="U815" s="37"/>
      <c r="V815" s="37"/>
      <c r="W815" s="37"/>
      <c r="X815" s="37"/>
    </row>
    <row r="816" customFormat="false" ht="15.75" hidden="false" customHeight="true" outlineLevel="0" collapsed="false">
      <c r="L816" s="148"/>
      <c r="M816" s="149"/>
      <c r="N816" s="149"/>
      <c r="O816" s="37"/>
      <c r="Q816" s="37"/>
      <c r="S816" s="37"/>
      <c r="T816" s="37"/>
      <c r="U816" s="37"/>
      <c r="V816" s="37"/>
      <c r="W816" s="37"/>
      <c r="X816" s="37"/>
    </row>
    <row r="817" customFormat="false" ht="15.75" hidden="false" customHeight="true" outlineLevel="0" collapsed="false">
      <c r="L817" s="148"/>
      <c r="M817" s="149"/>
      <c r="N817" s="149"/>
      <c r="O817" s="37"/>
      <c r="Q817" s="37"/>
      <c r="S817" s="37"/>
      <c r="T817" s="37"/>
      <c r="U817" s="37"/>
      <c r="V817" s="37"/>
      <c r="W817" s="37"/>
      <c r="X817" s="37"/>
    </row>
    <row r="818" customFormat="false" ht="15.75" hidden="false" customHeight="true" outlineLevel="0" collapsed="false">
      <c r="L818" s="148"/>
      <c r="M818" s="149"/>
      <c r="N818" s="149"/>
      <c r="O818" s="37"/>
      <c r="Q818" s="37"/>
      <c r="S818" s="37"/>
      <c r="T818" s="37"/>
      <c r="U818" s="37"/>
      <c r="V818" s="37"/>
      <c r="W818" s="37"/>
      <c r="X818" s="37"/>
    </row>
    <row r="819" customFormat="false" ht="15.75" hidden="false" customHeight="true" outlineLevel="0" collapsed="false">
      <c r="L819" s="148"/>
      <c r="M819" s="149"/>
      <c r="N819" s="149"/>
      <c r="O819" s="37"/>
      <c r="Q819" s="37"/>
      <c r="S819" s="37"/>
      <c r="T819" s="37"/>
      <c r="U819" s="37"/>
      <c r="V819" s="37"/>
      <c r="W819" s="37"/>
      <c r="X819" s="37"/>
    </row>
    <row r="820" customFormat="false" ht="15.75" hidden="false" customHeight="true" outlineLevel="0" collapsed="false">
      <c r="L820" s="148"/>
      <c r="M820" s="149"/>
      <c r="N820" s="149"/>
      <c r="O820" s="37"/>
      <c r="Q820" s="37"/>
      <c r="S820" s="37"/>
      <c r="T820" s="37"/>
      <c r="U820" s="37"/>
      <c r="V820" s="37"/>
      <c r="W820" s="37"/>
      <c r="X820" s="37"/>
    </row>
    <row r="821" customFormat="false" ht="15.75" hidden="false" customHeight="true" outlineLevel="0" collapsed="false">
      <c r="L821" s="148"/>
      <c r="M821" s="149"/>
      <c r="N821" s="149"/>
      <c r="O821" s="37"/>
      <c r="Q821" s="37"/>
      <c r="S821" s="37"/>
      <c r="T821" s="37"/>
      <c r="U821" s="37"/>
      <c r="V821" s="37"/>
      <c r="W821" s="37"/>
      <c r="X821" s="37"/>
    </row>
    <row r="822" customFormat="false" ht="15.75" hidden="false" customHeight="true" outlineLevel="0" collapsed="false">
      <c r="L822" s="148"/>
      <c r="M822" s="149"/>
      <c r="N822" s="149"/>
      <c r="O822" s="37"/>
      <c r="Q822" s="37"/>
      <c r="S822" s="37"/>
      <c r="T822" s="37"/>
      <c r="U822" s="37"/>
      <c r="V822" s="37"/>
      <c r="W822" s="37"/>
      <c r="X822" s="37"/>
    </row>
    <row r="823" customFormat="false" ht="15.75" hidden="false" customHeight="true" outlineLevel="0" collapsed="false">
      <c r="L823" s="148"/>
      <c r="M823" s="149"/>
      <c r="N823" s="149"/>
      <c r="O823" s="37"/>
      <c r="Q823" s="37"/>
      <c r="S823" s="37"/>
      <c r="T823" s="37"/>
      <c r="U823" s="37"/>
      <c r="V823" s="37"/>
      <c r="W823" s="37"/>
      <c r="X823" s="37"/>
    </row>
    <row r="824" customFormat="false" ht="15.75" hidden="false" customHeight="true" outlineLevel="0" collapsed="false">
      <c r="L824" s="148"/>
      <c r="M824" s="149"/>
      <c r="N824" s="149"/>
      <c r="O824" s="37"/>
      <c r="Q824" s="37"/>
      <c r="S824" s="37"/>
      <c r="T824" s="37"/>
      <c r="U824" s="37"/>
      <c r="V824" s="37"/>
      <c r="W824" s="37"/>
      <c r="X824" s="37"/>
    </row>
    <row r="825" customFormat="false" ht="15.75" hidden="false" customHeight="true" outlineLevel="0" collapsed="false">
      <c r="L825" s="148"/>
      <c r="M825" s="149"/>
      <c r="N825" s="149"/>
      <c r="O825" s="37"/>
      <c r="Q825" s="37"/>
      <c r="S825" s="37"/>
      <c r="T825" s="37"/>
      <c r="U825" s="37"/>
      <c r="V825" s="37"/>
      <c r="W825" s="37"/>
      <c r="X825" s="37"/>
    </row>
    <row r="826" customFormat="false" ht="15.75" hidden="false" customHeight="true" outlineLevel="0" collapsed="false">
      <c r="L826" s="148"/>
      <c r="M826" s="149"/>
      <c r="N826" s="149"/>
      <c r="O826" s="37"/>
      <c r="Q826" s="37"/>
      <c r="S826" s="37"/>
      <c r="T826" s="37"/>
      <c r="U826" s="37"/>
      <c r="V826" s="37"/>
      <c r="W826" s="37"/>
      <c r="X826" s="37"/>
    </row>
    <row r="827" customFormat="false" ht="15.75" hidden="false" customHeight="true" outlineLevel="0" collapsed="false">
      <c r="L827" s="148"/>
      <c r="M827" s="149"/>
      <c r="N827" s="149"/>
      <c r="O827" s="37"/>
      <c r="Q827" s="37"/>
      <c r="S827" s="37"/>
      <c r="T827" s="37"/>
      <c r="U827" s="37"/>
      <c r="V827" s="37"/>
      <c r="W827" s="37"/>
      <c r="X827" s="37"/>
    </row>
    <row r="828" customFormat="false" ht="15.75" hidden="false" customHeight="true" outlineLevel="0" collapsed="false">
      <c r="L828" s="148"/>
      <c r="M828" s="149"/>
      <c r="N828" s="149"/>
      <c r="O828" s="37"/>
      <c r="Q828" s="37"/>
      <c r="S828" s="37"/>
      <c r="T828" s="37"/>
      <c r="U828" s="37"/>
      <c r="V828" s="37"/>
      <c r="W828" s="37"/>
      <c r="X828" s="37"/>
    </row>
    <row r="829" customFormat="false" ht="15.75" hidden="false" customHeight="true" outlineLevel="0" collapsed="false">
      <c r="L829" s="148"/>
      <c r="M829" s="149"/>
      <c r="N829" s="149"/>
      <c r="O829" s="37"/>
      <c r="Q829" s="37"/>
      <c r="S829" s="37"/>
      <c r="T829" s="37"/>
      <c r="U829" s="37"/>
      <c r="V829" s="37"/>
      <c r="W829" s="37"/>
      <c r="X829" s="37"/>
    </row>
    <row r="830" customFormat="false" ht="15.75" hidden="false" customHeight="true" outlineLevel="0" collapsed="false">
      <c r="L830" s="148"/>
      <c r="M830" s="149"/>
      <c r="N830" s="149"/>
      <c r="O830" s="37"/>
      <c r="Q830" s="37"/>
      <c r="S830" s="37"/>
      <c r="T830" s="37"/>
      <c r="U830" s="37"/>
      <c r="V830" s="37"/>
      <c r="W830" s="37"/>
      <c r="X830" s="37"/>
    </row>
    <row r="831" customFormat="false" ht="15.75" hidden="false" customHeight="true" outlineLevel="0" collapsed="false">
      <c r="L831" s="148"/>
      <c r="M831" s="149"/>
      <c r="N831" s="149"/>
      <c r="O831" s="37"/>
      <c r="Q831" s="37"/>
      <c r="S831" s="37"/>
      <c r="T831" s="37"/>
      <c r="U831" s="37"/>
      <c r="V831" s="37"/>
      <c r="W831" s="37"/>
      <c r="X831" s="37"/>
    </row>
    <row r="832" customFormat="false" ht="15.75" hidden="false" customHeight="true" outlineLevel="0" collapsed="false">
      <c r="L832" s="148"/>
      <c r="M832" s="149"/>
      <c r="N832" s="149"/>
      <c r="O832" s="37"/>
      <c r="Q832" s="37"/>
      <c r="S832" s="37"/>
      <c r="T832" s="37"/>
      <c r="U832" s="37"/>
      <c r="V832" s="37"/>
      <c r="W832" s="37"/>
      <c r="X832" s="37"/>
    </row>
    <row r="833" customFormat="false" ht="15.75" hidden="false" customHeight="true" outlineLevel="0" collapsed="false">
      <c r="L833" s="148"/>
      <c r="M833" s="149"/>
      <c r="N833" s="149"/>
      <c r="O833" s="37"/>
      <c r="Q833" s="37"/>
      <c r="S833" s="37"/>
      <c r="T833" s="37"/>
      <c r="U833" s="37"/>
      <c r="V833" s="37"/>
      <c r="W833" s="37"/>
      <c r="X833" s="37"/>
    </row>
    <row r="834" customFormat="false" ht="15.75" hidden="false" customHeight="true" outlineLevel="0" collapsed="false">
      <c r="L834" s="148"/>
      <c r="M834" s="149"/>
      <c r="N834" s="149"/>
      <c r="O834" s="37"/>
      <c r="Q834" s="37"/>
      <c r="S834" s="37"/>
      <c r="T834" s="37"/>
      <c r="U834" s="37"/>
      <c r="V834" s="37"/>
      <c r="W834" s="37"/>
      <c r="X834" s="37"/>
    </row>
    <row r="835" customFormat="false" ht="15.75" hidden="false" customHeight="true" outlineLevel="0" collapsed="false">
      <c r="L835" s="148"/>
      <c r="M835" s="149"/>
      <c r="N835" s="149"/>
      <c r="O835" s="37"/>
      <c r="Q835" s="37"/>
      <c r="S835" s="37"/>
      <c r="T835" s="37"/>
      <c r="U835" s="37"/>
      <c r="V835" s="37"/>
      <c r="W835" s="37"/>
      <c r="X835" s="37"/>
    </row>
    <row r="836" customFormat="false" ht="15.75" hidden="false" customHeight="true" outlineLevel="0" collapsed="false">
      <c r="L836" s="148"/>
      <c r="M836" s="149"/>
      <c r="N836" s="149"/>
      <c r="O836" s="37"/>
      <c r="Q836" s="37"/>
      <c r="S836" s="37"/>
      <c r="T836" s="37"/>
      <c r="U836" s="37"/>
      <c r="V836" s="37"/>
      <c r="W836" s="37"/>
      <c r="X836" s="37"/>
    </row>
    <row r="837" customFormat="false" ht="15.75" hidden="false" customHeight="true" outlineLevel="0" collapsed="false">
      <c r="L837" s="148"/>
      <c r="M837" s="149"/>
      <c r="N837" s="149"/>
      <c r="O837" s="37"/>
      <c r="Q837" s="37"/>
      <c r="S837" s="37"/>
      <c r="T837" s="37"/>
      <c r="U837" s="37"/>
      <c r="V837" s="37"/>
      <c r="W837" s="37"/>
      <c r="X837" s="37"/>
    </row>
    <row r="838" customFormat="false" ht="15.75" hidden="false" customHeight="true" outlineLevel="0" collapsed="false">
      <c r="L838" s="148"/>
      <c r="M838" s="149"/>
      <c r="N838" s="149"/>
      <c r="O838" s="37"/>
      <c r="Q838" s="37"/>
      <c r="S838" s="37"/>
      <c r="T838" s="37"/>
      <c r="U838" s="37"/>
      <c r="V838" s="37"/>
      <c r="W838" s="37"/>
      <c r="X838" s="37"/>
    </row>
    <row r="839" customFormat="false" ht="15.75" hidden="false" customHeight="true" outlineLevel="0" collapsed="false">
      <c r="L839" s="148"/>
      <c r="M839" s="149"/>
      <c r="N839" s="149"/>
      <c r="O839" s="37"/>
      <c r="Q839" s="37"/>
      <c r="S839" s="37"/>
      <c r="T839" s="37"/>
      <c r="U839" s="37"/>
      <c r="V839" s="37"/>
      <c r="W839" s="37"/>
      <c r="X839" s="37"/>
    </row>
    <row r="840" customFormat="false" ht="15.75" hidden="false" customHeight="true" outlineLevel="0" collapsed="false">
      <c r="L840" s="148"/>
      <c r="M840" s="149"/>
      <c r="N840" s="149"/>
      <c r="O840" s="37"/>
      <c r="Q840" s="37"/>
      <c r="S840" s="37"/>
      <c r="T840" s="37"/>
      <c r="U840" s="37"/>
      <c r="V840" s="37"/>
      <c r="W840" s="37"/>
      <c r="X840" s="37"/>
    </row>
    <row r="841" customFormat="false" ht="15.75" hidden="false" customHeight="true" outlineLevel="0" collapsed="false">
      <c r="L841" s="148"/>
      <c r="M841" s="149"/>
      <c r="N841" s="149"/>
      <c r="O841" s="37"/>
      <c r="Q841" s="37"/>
      <c r="S841" s="37"/>
      <c r="T841" s="37"/>
      <c r="U841" s="37"/>
      <c r="V841" s="37"/>
      <c r="W841" s="37"/>
      <c r="X841" s="37"/>
    </row>
    <row r="842" customFormat="false" ht="15.75" hidden="false" customHeight="true" outlineLevel="0" collapsed="false">
      <c r="L842" s="148"/>
      <c r="M842" s="149"/>
      <c r="N842" s="149"/>
      <c r="O842" s="37"/>
      <c r="Q842" s="37"/>
      <c r="S842" s="37"/>
      <c r="T842" s="37"/>
      <c r="U842" s="37"/>
      <c r="V842" s="37"/>
      <c r="W842" s="37"/>
      <c r="X842" s="37"/>
    </row>
    <row r="843" customFormat="false" ht="15.75" hidden="false" customHeight="true" outlineLevel="0" collapsed="false">
      <c r="L843" s="148"/>
      <c r="M843" s="149"/>
      <c r="N843" s="149"/>
      <c r="O843" s="37"/>
      <c r="Q843" s="37"/>
      <c r="S843" s="37"/>
      <c r="T843" s="37"/>
      <c r="U843" s="37"/>
      <c r="V843" s="37"/>
      <c r="W843" s="37"/>
      <c r="X843" s="37"/>
    </row>
    <row r="844" customFormat="false" ht="15.75" hidden="false" customHeight="true" outlineLevel="0" collapsed="false">
      <c r="L844" s="148"/>
      <c r="M844" s="149"/>
      <c r="N844" s="149"/>
      <c r="O844" s="37"/>
      <c r="Q844" s="37"/>
      <c r="S844" s="37"/>
      <c r="T844" s="37"/>
      <c r="U844" s="37"/>
      <c r="V844" s="37"/>
      <c r="W844" s="37"/>
      <c r="X844" s="37"/>
    </row>
    <row r="845" customFormat="false" ht="15.75" hidden="false" customHeight="true" outlineLevel="0" collapsed="false">
      <c r="L845" s="148"/>
      <c r="M845" s="149"/>
      <c r="N845" s="149"/>
      <c r="O845" s="37"/>
      <c r="Q845" s="37"/>
      <c r="S845" s="37"/>
      <c r="T845" s="37"/>
      <c r="U845" s="37"/>
      <c r="V845" s="37"/>
      <c r="W845" s="37"/>
      <c r="X845" s="37"/>
    </row>
    <row r="846" customFormat="false" ht="15.75" hidden="false" customHeight="true" outlineLevel="0" collapsed="false">
      <c r="L846" s="148"/>
      <c r="M846" s="149"/>
      <c r="N846" s="149"/>
      <c r="O846" s="37"/>
      <c r="Q846" s="37"/>
      <c r="S846" s="37"/>
      <c r="T846" s="37"/>
      <c r="U846" s="37"/>
      <c r="V846" s="37"/>
      <c r="W846" s="37"/>
      <c r="X846" s="37"/>
    </row>
    <row r="847" customFormat="false" ht="15.75" hidden="false" customHeight="true" outlineLevel="0" collapsed="false">
      <c r="L847" s="148"/>
      <c r="M847" s="149"/>
      <c r="N847" s="149"/>
      <c r="O847" s="37"/>
      <c r="Q847" s="37"/>
      <c r="S847" s="37"/>
      <c r="T847" s="37"/>
      <c r="U847" s="37"/>
      <c r="V847" s="37"/>
      <c r="W847" s="37"/>
      <c r="X847" s="37"/>
    </row>
    <row r="848" customFormat="false" ht="15.75" hidden="false" customHeight="true" outlineLevel="0" collapsed="false">
      <c r="L848" s="148"/>
      <c r="M848" s="149"/>
      <c r="N848" s="149"/>
      <c r="O848" s="37"/>
      <c r="Q848" s="37"/>
      <c r="S848" s="37"/>
      <c r="T848" s="37"/>
      <c r="U848" s="37"/>
      <c r="V848" s="37"/>
      <c r="W848" s="37"/>
      <c r="X848" s="37"/>
    </row>
    <row r="849" customFormat="false" ht="15.75" hidden="false" customHeight="true" outlineLevel="0" collapsed="false">
      <c r="L849" s="148"/>
      <c r="M849" s="149"/>
      <c r="N849" s="149"/>
      <c r="O849" s="37"/>
      <c r="Q849" s="37"/>
      <c r="S849" s="37"/>
      <c r="T849" s="37"/>
      <c r="U849" s="37"/>
      <c r="V849" s="37"/>
      <c r="W849" s="37"/>
      <c r="X849" s="37"/>
    </row>
    <row r="850" customFormat="false" ht="15.75" hidden="false" customHeight="true" outlineLevel="0" collapsed="false">
      <c r="L850" s="148"/>
      <c r="M850" s="149"/>
      <c r="N850" s="149"/>
      <c r="O850" s="37"/>
      <c r="Q850" s="37"/>
      <c r="S850" s="37"/>
      <c r="T850" s="37"/>
      <c r="U850" s="37"/>
      <c r="V850" s="37"/>
      <c r="W850" s="37"/>
      <c r="X850" s="37"/>
    </row>
    <row r="851" customFormat="false" ht="15.75" hidden="false" customHeight="true" outlineLevel="0" collapsed="false">
      <c r="L851" s="148"/>
      <c r="M851" s="149"/>
      <c r="N851" s="149"/>
      <c r="O851" s="37"/>
      <c r="Q851" s="37"/>
      <c r="S851" s="37"/>
      <c r="T851" s="37"/>
      <c r="U851" s="37"/>
      <c r="V851" s="37"/>
      <c r="W851" s="37"/>
      <c r="X851" s="37"/>
    </row>
    <row r="852" customFormat="false" ht="15.75" hidden="false" customHeight="true" outlineLevel="0" collapsed="false">
      <c r="L852" s="148"/>
      <c r="M852" s="149"/>
      <c r="N852" s="149"/>
      <c r="O852" s="37"/>
      <c r="Q852" s="37"/>
      <c r="S852" s="37"/>
      <c r="T852" s="37"/>
      <c r="U852" s="37"/>
      <c r="V852" s="37"/>
      <c r="W852" s="37"/>
      <c r="X852" s="37"/>
    </row>
    <row r="853" customFormat="false" ht="15.75" hidden="false" customHeight="true" outlineLevel="0" collapsed="false">
      <c r="L853" s="148"/>
      <c r="M853" s="149"/>
      <c r="N853" s="149"/>
      <c r="O853" s="37"/>
      <c r="Q853" s="37"/>
      <c r="S853" s="37"/>
      <c r="T853" s="37"/>
      <c r="U853" s="37"/>
      <c r="V853" s="37"/>
      <c r="W853" s="37"/>
      <c r="X853" s="37"/>
    </row>
    <row r="854" customFormat="false" ht="15.75" hidden="false" customHeight="true" outlineLevel="0" collapsed="false">
      <c r="L854" s="148"/>
      <c r="M854" s="149"/>
      <c r="N854" s="149"/>
      <c r="O854" s="37"/>
      <c r="Q854" s="37"/>
      <c r="S854" s="37"/>
      <c r="T854" s="37"/>
      <c r="U854" s="37"/>
      <c r="V854" s="37"/>
      <c r="W854" s="37"/>
      <c r="X854" s="37"/>
    </row>
    <row r="855" customFormat="false" ht="15.75" hidden="false" customHeight="true" outlineLevel="0" collapsed="false">
      <c r="L855" s="148"/>
      <c r="M855" s="149"/>
      <c r="N855" s="149"/>
      <c r="O855" s="37"/>
      <c r="Q855" s="37"/>
      <c r="S855" s="37"/>
      <c r="T855" s="37"/>
      <c r="U855" s="37"/>
      <c r="V855" s="37"/>
      <c r="W855" s="37"/>
      <c r="X855" s="37"/>
    </row>
    <row r="856" customFormat="false" ht="15.75" hidden="false" customHeight="true" outlineLevel="0" collapsed="false">
      <c r="L856" s="148"/>
      <c r="M856" s="149"/>
      <c r="N856" s="149"/>
      <c r="O856" s="37"/>
      <c r="Q856" s="37"/>
      <c r="S856" s="37"/>
      <c r="T856" s="37"/>
      <c r="U856" s="37"/>
      <c r="V856" s="37"/>
      <c r="W856" s="37"/>
      <c r="X856" s="37"/>
    </row>
    <row r="857" customFormat="false" ht="15.75" hidden="false" customHeight="true" outlineLevel="0" collapsed="false">
      <c r="L857" s="148"/>
      <c r="M857" s="149"/>
      <c r="N857" s="149"/>
      <c r="O857" s="37"/>
      <c r="Q857" s="37"/>
      <c r="S857" s="37"/>
      <c r="T857" s="37"/>
      <c r="U857" s="37"/>
      <c r="V857" s="37"/>
      <c r="W857" s="37"/>
      <c r="X857" s="37"/>
    </row>
    <row r="858" customFormat="false" ht="15.75" hidden="false" customHeight="true" outlineLevel="0" collapsed="false">
      <c r="L858" s="148"/>
      <c r="M858" s="149"/>
      <c r="N858" s="149"/>
      <c r="O858" s="37"/>
      <c r="Q858" s="37"/>
      <c r="S858" s="37"/>
      <c r="T858" s="37"/>
      <c r="U858" s="37"/>
      <c r="V858" s="37"/>
      <c r="W858" s="37"/>
      <c r="X858" s="37"/>
    </row>
    <row r="859" customFormat="false" ht="15.75" hidden="false" customHeight="true" outlineLevel="0" collapsed="false">
      <c r="L859" s="148"/>
      <c r="M859" s="149"/>
      <c r="N859" s="149"/>
      <c r="O859" s="37"/>
      <c r="Q859" s="37"/>
      <c r="S859" s="37"/>
      <c r="T859" s="37"/>
      <c r="U859" s="37"/>
      <c r="V859" s="37"/>
      <c r="W859" s="37"/>
      <c r="X859" s="37"/>
    </row>
    <row r="860" customFormat="false" ht="15.75" hidden="false" customHeight="true" outlineLevel="0" collapsed="false">
      <c r="L860" s="148"/>
      <c r="M860" s="149"/>
      <c r="N860" s="149"/>
      <c r="O860" s="37"/>
      <c r="Q860" s="37"/>
      <c r="S860" s="37"/>
      <c r="T860" s="37"/>
      <c r="U860" s="37"/>
      <c r="V860" s="37"/>
      <c r="W860" s="37"/>
      <c r="X860" s="37"/>
    </row>
    <row r="861" customFormat="false" ht="15.75" hidden="false" customHeight="true" outlineLevel="0" collapsed="false">
      <c r="L861" s="148"/>
      <c r="M861" s="149"/>
      <c r="N861" s="149"/>
      <c r="O861" s="37"/>
      <c r="Q861" s="37"/>
      <c r="S861" s="37"/>
      <c r="T861" s="37"/>
      <c r="U861" s="37"/>
      <c r="V861" s="37"/>
      <c r="W861" s="37"/>
      <c r="X861" s="37"/>
    </row>
    <row r="862" customFormat="false" ht="15.75" hidden="false" customHeight="true" outlineLevel="0" collapsed="false">
      <c r="L862" s="148"/>
      <c r="M862" s="149"/>
      <c r="N862" s="149"/>
      <c r="O862" s="37"/>
      <c r="Q862" s="37"/>
      <c r="S862" s="37"/>
      <c r="T862" s="37"/>
      <c r="U862" s="37"/>
      <c r="V862" s="37"/>
      <c r="W862" s="37"/>
      <c r="X862" s="37"/>
    </row>
    <row r="863" customFormat="false" ht="15.75" hidden="false" customHeight="true" outlineLevel="0" collapsed="false">
      <c r="L863" s="148"/>
      <c r="M863" s="149"/>
      <c r="N863" s="149"/>
      <c r="O863" s="37"/>
      <c r="Q863" s="37"/>
      <c r="S863" s="37"/>
      <c r="T863" s="37"/>
      <c r="U863" s="37"/>
      <c r="V863" s="37"/>
      <c r="W863" s="37"/>
      <c r="X863" s="37"/>
    </row>
    <row r="864" customFormat="false" ht="15.75" hidden="false" customHeight="true" outlineLevel="0" collapsed="false">
      <c r="L864" s="148"/>
      <c r="M864" s="149"/>
      <c r="N864" s="149"/>
      <c r="O864" s="37"/>
      <c r="Q864" s="37"/>
      <c r="S864" s="37"/>
      <c r="T864" s="37"/>
      <c r="U864" s="37"/>
      <c r="V864" s="37"/>
      <c r="W864" s="37"/>
      <c r="X864" s="37"/>
    </row>
    <row r="865" customFormat="false" ht="15.75" hidden="false" customHeight="true" outlineLevel="0" collapsed="false">
      <c r="L865" s="148"/>
      <c r="M865" s="149"/>
      <c r="N865" s="149"/>
      <c r="O865" s="37"/>
      <c r="Q865" s="37"/>
      <c r="S865" s="37"/>
      <c r="T865" s="37"/>
      <c r="U865" s="37"/>
      <c r="V865" s="37"/>
      <c r="W865" s="37"/>
      <c r="X865" s="37"/>
    </row>
    <row r="866" customFormat="false" ht="15.75" hidden="false" customHeight="true" outlineLevel="0" collapsed="false">
      <c r="L866" s="148"/>
      <c r="M866" s="149"/>
      <c r="N866" s="149"/>
      <c r="O866" s="37"/>
      <c r="Q866" s="37"/>
      <c r="S866" s="37"/>
      <c r="T866" s="37"/>
      <c r="U866" s="37"/>
      <c r="V866" s="37"/>
      <c r="W866" s="37"/>
      <c r="X866" s="37"/>
    </row>
    <row r="867" customFormat="false" ht="15.75" hidden="false" customHeight="true" outlineLevel="0" collapsed="false">
      <c r="L867" s="148"/>
      <c r="M867" s="149"/>
      <c r="N867" s="149"/>
      <c r="O867" s="37"/>
      <c r="Q867" s="37"/>
      <c r="S867" s="37"/>
      <c r="T867" s="37"/>
      <c r="U867" s="37"/>
      <c r="V867" s="37"/>
      <c r="W867" s="37"/>
      <c r="X867" s="37"/>
    </row>
    <row r="868" customFormat="false" ht="15.75" hidden="false" customHeight="true" outlineLevel="0" collapsed="false">
      <c r="L868" s="148"/>
      <c r="M868" s="149"/>
      <c r="N868" s="149"/>
      <c r="O868" s="37"/>
      <c r="Q868" s="37"/>
      <c r="S868" s="37"/>
      <c r="T868" s="37"/>
      <c r="U868" s="37"/>
      <c r="V868" s="37"/>
      <c r="W868" s="37"/>
      <c r="X868" s="37"/>
    </row>
    <row r="869" customFormat="false" ht="15.75" hidden="false" customHeight="true" outlineLevel="0" collapsed="false">
      <c r="L869" s="148"/>
      <c r="M869" s="149"/>
      <c r="N869" s="149"/>
      <c r="O869" s="37"/>
      <c r="Q869" s="37"/>
      <c r="S869" s="37"/>
      <c r="T869" s="37"/>
      <c r="U869" s="37"/>
      <c r="V869" s="37"/>
      <c r="W869" s="37"/>
      <c r="X869" s="37"/>
    </row>
    <row r="870" customFormat="false" ht="15.75" hidden="false" customHeight="true" outlineLevel="0" collapsed="false">
      <c r="L870" s="148"/>
      <c r="M870" s="149"/>
      <c r="N870" s="149"/>
      <c r="O870" s="37"/>
      <c r="Q870" s="37"/>
      <c r="S870" s="37"/>
      <c r="T870" s="37"/>
      <c r="U870" s="37"/>
      <c r="V870" s="37"/>
      <c r="W870" s="37"/>
      <c r="X870" s="37"/>
    </row>
    <row r="871" customFormat="false" ht="15.75" hidden="false" customHeight="true" outlineLevel="0" collapsed="false">
      <c r="L871" s="148"/>
      <c r="M871" s="149"/>
      <c r="N871" s="149"/>
      <c r="O871" s="37"/>
      <c r="Q871" s="37"/>
      <c r="S871" s="37"/>
      <c r="T871" s="37"/>
      <c r="U871" s="37"/>
      <c r="V871" s="37"/>
      <c r="W871" s="37"/>
      <c r="X871" s="37"/>
    </row>
    <row r="872" customFormat="false" ht="15.75" hidden="false" customHeight="true" outlineLevel="0" collapsed="false">
      <c r="L872" s="148"/>
      <c r="M872" s="149"/>
      <c r="N872" s="149"/>
      <c r="O872" s="37"/>
      <c r="Q872" s="37"/>
      <c r="S872" s="37"/>
      <c r="T872" s="37"/>
      <c r="U872" s="37"/>
      <c r="V872" s="37"/>
      <c r="W872" s="37"/>
      <c r="X872" s="37"/>
    </row>
    <row r="873" customFormat="false" ht="15.75" hidden="false" customHeight="true" outlineLevel="0" collapsed="false">
      <c r="L873" s="148"/>
      <c r="M873" s="149"/>
      <c r="N873" s="149"/>
      <c r="O873" s="37"/>
      <c r="Q873" s="37"/>
      <c r="S873" s="37"/>
      <c r="T873" s="37"/>
      <c r="U873" s="37"/>
      <c r="V873" s="37"/>
      <c r="W873" s="37"/>
      <c r="X873" s="37"/>
    </row>
    <row r="874" customFormat="false" ht="15.75" hidden="false" customHeight="true" outlineLevel="0" collapsed="false">
      <c r="L874" s="148"/>
      <c r="M874" s="149"/>
      <c r="N874" s="149"/>
      <c r="O874" s="37"/>
      <c r="Q874" s="37"/>
      <c r="S874" s="37"/>
      <c r="T874" s="37"/>
      <c r="U874" s="37"/>
      <c r="V874" s="37"/>
      <c r="W874" s="37"/>
      <c r="X874" s="37"/>
    </row>
    <row r="875" customFormat="false" ht="15.75" hidden="false" customHeight="true" outlineLevel="0" collapsed="false">
      <c r="L875" s="148"/>
      <c r="M875" s="149"/>
      <c r="N875" s="149"/>
      <c r="O875" s="37"/>
      <c r="Q875" s="37"/>
      <c r="S875" s="37"/>
      <c r="T875" s="37"/>
      <c r="U875" s="37"/>
      <c r="V875" s="37"/>
      <c r="W875" s="37"/>
      <c r="X875" s="37"/>
    </row>
    <row r="876" customFormat="false" ht="15.75" hidden="false" customHeight="true" outlineLevel="0" collapsed="false">
      <c r="L876" s="148"/>
      <c r="M876" s="149"/>
      <c r="N876" s="149"/>
      <c r="O876" s="37"/>
      <c r="Q876" s="37"/>
      <c r="S876" s="37"/>
      <c r="T876" s="37"/>
      <c r="U876" s="37"/>
      <c r="V876" s="37"/>
      <c r="W876" s="37"/>
      <c r="X876" s="37"/>
    </row>
    <row r="877" customFormat="false" ht="15.75" hidden="false" customHeight="true" outlineLevel="0" collapsed="false">
      <c r="L877" s="148"/>
      <c r="M877" s="149"/>
      <c r="N877" s="149"/>
      <c r="O877" s="37"/>
      <c r="Q877" s="37"/>
      <c r="S877" s="37"/>
      <c r="T877" s="37"/>
      <c r="U877" s="37"/>
      <c r="V877" s="37"/>
      <c r="W877" s="37"/>
      <c r="X877" s="37"/>
    </row>
    <row r="878" customFormat="false" ht="15.75" hidden="false" customHeight="true" outlineLevel="0" collapsed="false">
      <c r="L878" s="148"/>
      <c r="M878" s="149"/>
      <c r="N878" s="149"/>
      <c r="O878" s="37"/>
      <c r="Q878" s="37"/>
      <c r="S878" s="37"/>
      <c r="T878" s="37"/>
      <c r="U878" s="37"/>
      <c r="V878" s="37"/>
      <c r="W878" s="37"/>
      <c r="X878" s="37"/>
    </row>
    <row r="879" customFormat="false" ht="15.75" hidden="false" customHeight="true" outlineLevel="0" collapsed="false">
      <c r="L879" s="148"/>
      <c r="M879" s="149"/>
      <c r="N879" s="149"/>
      <c r="O879" s="37"/>
      <c r="Q879" s="37"/>
      <c r="S879" s="37"/>
      <c r="T879" s="37"/>
      <c r="U879" s="37"/>
      <c r="V879" s="37"/>
      <c r="W879" s="37"/>
      <c r="X879" s="37"/>
    </row>
    <row r="880" customFormat="false" ht="15.75" hidden="false" customHeight="true" outlineLevel="0" collapsed="false">
      <c r="L880" s="148"/>
      <c r="M880" s="149"/>
      <c r="N880" s="149"/>
      <c r="O880" s="37"/>
      <c r="Q880" s="37"/>
      <c r="S880" s="37"/>
      <c r="T880" s="37"/>
      <c r="U880" s="37"/>
      <c r="V880" s="37"/>
      <c r="W880" s="37"/>
      <c r="X880" s="37"/>
    </row>
    <row r="881" customFormat="false" ht="15.75" hidden="false" customHeight="true" outlineLevel="0" collapsed="false">
      <c r="L881" s="148"/>
      <c r="M881" s="149"/>
      <c r="N881" s="149"/>
      <c r="O881" s="37"/>
      <c r="Q881" s="37"/>
      <c r="S881" s="37"/>
      <c r="T881" s="37"/>
      <c r="U881" s="37"/>
      <c r="V881" s="37"/>
      <c r="W881" s="37"/>
      <c r="X881" s="37"/>
    </row>
    <row r="882" customFormat="false" ht="15.75" hidden="false" customHeight="true" outlineLevel="0" collapsed="false">
      <c r="L882" s="148"/>
      <c r="M882" s="149"/>
      <c r="N882" s="149"/>
      <c r="O882" s="37"/>
      <c r="Q882" s="37"/>
      <c r="S882" s="37"/>
      <c r="T882" s="37"/>
      <c r="U882" s="37"/>
      <c r="V882" s="37"/>
      <c r="W882" s="37"/>
      <c r="X882" s="37"/>
    </row>
    <row r="883" customFormat="false" ht="15.75" hidden="false" customHeight="true" outlineLevel="0" collapsed="false">
      <c r="L883" s="148"/>
      <c r="M883" s="149"/>
      <c r="N883" s="149"/>
      <c r="O883" s="37"/>
      <c r="Q883" s="37"/>
      <c r="S883" s="37"/>
      <c r="T883" s="37"/>
      <c r="U883" s="37"/>
      <c r="V883" s="37"/>
      <c r="W883" s="37"/>
      <c r="X883" s="37"/>
    </row>
    <row r="884" customFormat="false" ht="15.75" hidden="false" customHeight="true" outlineLevel="0" collapsed="false">
      <c r="L884" s="148"/>
      <c r="M884" s="149"/>
      <c r="N884" s="149"/>
      <c r="O884" s="37"/>
      <c r="Q884" s="37"/>
      <c r="S884" s="37"/>
      <c r="T884" s="37"/>
      <c r="U884" s="37"/>
      <c r="V884" s="37"/>
      <c r="W884" s="37"/>
      <c r="X884" s="37"/>
    </row>
    <row r="885" customFormat="false" ht="15.75" hidden="false" customHeight="true" outlineLevel="0" collapsed="false">
      <c r="L885" s="148"/>
      <c r="M885" s="149"/>
      <c r="N885" s="149"/>
      <c r="O885" s="37"/>
      <c r="Q885" s="37"/>
      <c r="S885" s="37"/>
      <c r="T885" s="37"/>
      <c r="U885" s="37"/>
      <c r="V885" s="37"/>
      <c r="W885" s="37"/>
      <c r="X885" s="37"/>
    </row>
    <row r="886" customFormat="false" ht="15.75" hidden="false" customHeight="true" outlineLevel="0" collapsed="false">
      <c r="L886" s="148"/>
      <c r="M886" s="149"/>
      <c r="N886" s="149"/>
      <c r="O886" s="37"/>
      <c r="Q886" s="37"/>
      <c r="S886" s="37"/>
      <c r="T886" s="37"/>
      <c r="U886" s="37"/>
      <c r="V886" s="37"/>
      <c r="W886" s="37"/>
      <c r="X886" s="37"/>
    </row>
    <row r="887" customFormat="false" ht="15.75" hidden="false" customHeight="true" outlineLevel="0" collapsed="false">
      <c r="L887" s="148"/>
      <c r="M887" s="149"/>
      <c r="N887" s="149"/>
      <c r="O887" s="37"/>
      <c r="Q887" s="37"/>
      <c r="S887" s="37"/>
      <c r="T887" s="37"/>
      <c r="U887" s="37"/>
      <c r="V887" s="37"/>
      <c r="W887" s="37"/>
      <c r="X887" s="37"/>
    </row>
    <row r="888" customFormat="false" ht="15.75" hidden="false" customHeight="true" outlineLevel="0" collapsed="false">
      <c r="L888" s="148"/>
      <c r="M888" s="149"/>
      <c r="N888" s="149"/>
      <c r="O888" s="37"/>
      <c r="Q888" s="37"/>
      <c r="S888" s="37"/>
      <c r="T888" s="37"/>
      <c r="U888" s="37"/>
      <c r="V888" s="37"/>
      <c r="W888" s="37"/>
      <c r="X888" s="37"/>
    </row>
    <row r="889" customFormat="false" ht="15.75" hidden="false" customHeight="true" outlineLevel="0" collapsed="false">
      <c r="L889" s="148"/>
      <c r="M889" s="149"/>
      <c r="N889" s="149"/>
      <c r="O889" s="37"/>
      <c r="Q889" s="37"/>
      <c r="S889" s="37"/>
      <c r="T889" s="37"/>
      <c r="U889" s="37"/>
      <c r="V889" s="37"/>
      <c r="W889" s="37"/>
      <c r="X889" s="37"/>
    </row>
    <row r="890" customFormat="false" ht="15.75" hidden="false" customHeight="true" outlineLevel="0" collapsed="false">
      <c r="L890" s="148"/>
      <c r="M890" s="149"/>
      <c r="N890" s="149"/>
      <c r="O890" s="37"/>
      <c r="Q890" s="37"/>
      <c r="S890" s="37"/>
      <c r="T890" s="37"/>
      <c r="U890" s="37"/>
      <c r="V890" s="37"/>
      <c r="W890" s="37"/>
      <c r="X890" s="37"/>
    </row>
    <row r="891" customFormat="false" ht="15.75" hidden="false" customHeight="true" outlineLevel="0" collapsed="false">
      <c r="L891" s="148"/>
      <c r="M891" s="149"/>
      <c r="N891" s="149"/>
      <c r="O891" s="37"/>
      <c r="Q891" s="37"/>
      <c r="S891" s="37"/>
      <c r="T891" s="37"/>
      <c r="U891" s="37"/>
      <c r="V891" s="37"/>
      <c r="W891" s="37"/>
      <c r="X891" s="37"/>
    </row>
    <row r="892" customFormat="false" ht="15.75" hidden="false" customHeight="true" outlineLevel="0" collapsed="false">
      <c r="L892" s="148"/>
      <c r="M892" s="149"/>
      <c r="N892" s="149"/>
      <c r="O892" s="37"/>
      <c r="Q892" s="37"/>
      <c r="S892" s="37"/>
      <c r="T892" s="37"/>
      <c r="U892" s="37"/>
      <c r="V892" s="37"/>
      <c r="W892" s="37"/>
      <c r="X892" s="37"/>
    </row>
    <row r="893" customFormat="false" ht="15.75" hidden="false" customHeight="true" outlineLevel="0" collapsed="false">
      <c r="L893" s="148"/>
      <c r="M893" s="149"/>
      <c r="N893" s="149"/>
      <c r="O893" s="37"/>
      <c r="Q893" s="37"/>
      <c r="S893" s="37"/>
      <c r="T893" s="37"/>
      <c r="U893" s="37"/>
      <c r="V893" s="37"/>
      <c r="W893" s="37"/>
      <c r="X893" s="37"/>
    </row>
    <row r="894" customFormat="false" ht="15.75" hidden="false" customHeight="true" outlineLevel="0" collapsed="false">
      <c r="L894" s="148"/>
      <c r="M894" s="149"/>
      <c r="N894" s="149"/>
      <c r="O894" s="37"/>
      <c r="Q894" s="37"/>
      <c r="S894" s="37"/>
      <c r="T894" s="37"/>
      <c r="U894" s="37"/>
      <c r="V894" s="37"/>
      <c r="W894" s="37"/>
      <c r="X894" s="37"/>
    </row>
    <row r="895" customFormat="false" ht="15.75" hidden="false" customHeight="true" outlineLevel="0" collapsed="false">
      <c r="L895" s="148"/>
      <c r="M895" s="149"/>
      <c r="N895" s="149"/>
      <c r="O895" s="37"/>
      <c r="Q895" s="37"/>
      <c r="S895" s="37"/>
      <c r="T895" s="37"/>
      <c r="U895" s="37"/>
      <c r="V895" s="37"/>
      <c r="W895" s="37"/>
      <c r="X895" s="37"/>
    </row>
    <row r="896" customFormat="false" ht="15.75" hidden="false" customHeight="true" outlineLevel="0" collapsed="false">
      <c r="L896" s="148"/>
      <c r="M896" s="149"/>
      <c r="N896" s="149"/>
      <c r="O896" s="37"/>
      <c r="Q896" s="37"/>
      <c r="S896" s="37"/>
      <c r="T896" s="37"/>
      <c r="U896" s="37"/>
      <c r="V896" s="37"/>
      <c r="W896" s="37"/>
      <c r="X896" s="37"/>
    </row>
    <row r="897" customFormat="false" ht="15.75" hidden="false" customHeight="true" outlineLevel="0" collapsed="false">
      <c r="L897" s="148"/>
      <c r="M897" s="149"/>
      <c r="N897" s="149"/>
      <c r="O897" s="37"/>
      <c r="Q897" s="37"/>
      <c r="S897" s="37"/>
      <c r="T897" s="37"/>
      <c r="U897" s="37"/>
      <c r="V897" s="37"/>
      <c r="W897" s="37"/>
      <c r="X897" s="37"/>
    </row>
    <row r="898" customFormat="false" ht="15.75" hidden="false" customHeight="true" outlineLevel="0" collapsed="false">
      <c r="L898" s="148"/>
      <c r="M898" s="149"/>
      <c r="N898" s="149"/>
      <c r="O898" s="37"/>
      <c r="Q898" s="37"/>
      <c r="S898" s="37"/>
      <c r="T898" s="37"/>
      <c r="U898" s="37"/>
      <c r="V898" s="37"/>
      <c r="W898" s="37"/>
      <c r="X898" s="37"/>
    </row>
    <row r="899" customFormat="false" ht="15.75" hidden="false" customHeight="true" outlineLevel="0" collapsed="false">
      <c r="L899" s="148"/>
      <c r="M899" s="149"/>
      <c r="N899" s="149"/>
      <c r="O899" s="37"/>
      <c r="Q899" s="37"/>
      <c r="S899" s="37"/>
      <c r="T899" s="37"/>
      <c r="U899" s="37"/>
      <c r="V899" s="37"/>
      <c r="W899" s="37"/>
      <c r="X899" s="37"/>
    </row>
    <row r="900" customFormat="false" ht="15.75" hidden="false" customHeight="true" outlineLevel="0" collapsed="false">
      <c r="L900" s="148"/>
      <c r="M900" s="149"/>
      <c r="N900" s="149"/>
      <c r="O900" s="37"/>
      <c r="Q900" s="37"/>
      <c r="S900" s="37"/>
      <c r="T900" s="37"/>
      <c r="U900" s="37"/>
      <c r="V900" s="37"/>
      <c r="W900" s="37"/>
      <c r="X900" s="37"/>
    </row>
    <row r="901" customFormat="false" ht="15.75" hidden="false" customHeight="true" outlineLevel="0" collapsed="false">
      <c r="L901" s="148"/>
      <c r="M901" s="149"/>
      <c r="N901" s="149"/>
      <c r="O901" s="37"/>
      <c r="Q901" s="37"/>
      <c r="S901" s="37"/>
      <c r="T901" s="37"/>
      <c r="U901" s="37"/>
      <c r="V901" s="37"/>
      <c r="W901" s="37"/>
      <c r="X901" s="37"/>
    </row>
    <row r="902" customFormat="false" ht="15.75" hidden="false" customHeight="true" outlineLevel="0" collapsed="false">
      <c r="L902" s="148"/>
      <c r="M902" s="149"/>
      <c r="N902" s="149"/>
      <c r="O902" s="37"/>
      <c r="Q902" s="37"/>
      <c r="S902" s="37"/>
      <c r="T902" s="37"/>
      <c r="U902" s="37"/>
      <c r="V902" s="37"/>
      <c r="W902" s="37"/>
      <c r="X902" s="37"/>
    </row>
    <row r="903" customFormat="false" ht="15.75" hidden="false" customHeight="true" outlineLevel="0" collapsed="false">
      <c r="L903" s="148"/>
      <c r="M903" s="149"/>
      <c r="N903" s="149"/>
      <c r="O903" s="37"/>
      <c r="Q903" s="37"/>
      <c r="S903" s="37"/>
      <c r="T903" s="37"/>
      <c r="U903" s="37"/>
      <c r="V903" s="37"/>
      <c r="W903" s="37"/>
      <c r="X903" s="37"/>
    </row>
    <row r="904" customFormat="false" ht="15.75" hidden="false" customHeight="true" outlineLevel="0" collapsed="false">
      <c r="L904" s="148"/>
      <c r="M904" s="149"/>
      <c r="N904" s="149"/>
      <c r="O904" s="37"/>
      <c r="Q904" s="37"/>
      <c r="S904" s="37"/>
      <c r="T904" s="37"/>
      <c r="U904" s="37"/>
      <c r="V904" s="37"/>
      <c r="W904" s="37"/>
      <c r="X904" s="37"/>
    </row>
    <row r="905" customFormat="false" ht="15.75" hidden="false" customHeight="true" outlineLevel="0" collapsed="false">
      <c r="L905" s="148"/>
      <c r="M905" s="149"/>
      <c r="N905" s="149"/>
      <c r="O905" s="37"/>
      <c r="Q905" s="37"/>
      <c r="S905" s="37"/>
      <c r="T905" s="37"/>
      <c r="U905" s="37"/>
      <c r="V905" s="37"/>
      <c r="W905" s="37"/>
      <c r="X905" s="37"/>
    </row>
    <row r="906" customFormat="false" ht="15.75" hidden="false" customHeight="true" outlineLevel="0" collapsed="false">
      <c r="L906" s="148"/>
      <c r="M906" s="149"/>
      <c r="N906" s="149"/>
      <c r="O906" s="37"/>
      <c r="Q906" s="37"/>
      <c r="S906" s="37"/>
      <c r="T906" s="37"/>
      <c r="U906" s="37"/>
      <c r="V906" s="37"/>
      <c r="W906" s="37"/>
      <c r="X906" s="37"/>
    </row>
    <row r="907" customFormat="false" ht="15.75" hidden="false" customHeight="true" outlineLevel="0" collapsed="false">
      <c r="L907" s="148"/>
      <c r="M907" s="149"/>
      <c r="N907" s="149"/>
      <c r="O907" s="37"/>
      <c r="Q907" s="37"/>
      <c r="S907" s="37"/>
      <c r="T907" s="37"/>
      <c r="U907" s="37"/>
      <c r="V907" s="37"/>
      <c r="W907" s="37"/>
      <c r="X907" s="37"/>
    </row>
    <row r="908" customFormat="false" ht="15.75" hidden="false" customHeight="true" outlineLevel="0" collapsed="false">
      <c r="L908" s="148"/>
      <c r="M908" s="149"/>
      <c r="N908" s="149"/>
      <c r="O908" s="37"/>
      <c r="Q908" s="37"/>
      <c r="S908" s="37"/>
      <c r="T908" s="37"/>
      <c r="U908" s="37"/>
      <c r="V908" s="37"/>
      <c r="W908" s="37"/>
      <c r="X908" s="37"/>
    </row>
    <row r="909" customFormat="false" ht="15.75" hidden="false" customHeight="true" outlineLevel="0" collapsed="false">
      <c r="L909" s="148"/>
      <c r="M909" s="149"/>
      <c r="N909" s="149"/>
      <c r="O909" s="37"/>
      <c r="Q909" s="37"/>
      <c r="S909" s="37"/>
      <c r="T909" s="37"/>
      <c r="U909" s="37"/>
      <c r="V909" s="37"/>
      <c r="W909" s="37"/>
      <c r="X909" s="37"/>
    </row>
    <row r="910" customFormat="false" ht="15.75" hidden="false" customHeight="true" outlineLevel="0" collapsed="false">
      <c r="L910" s="148"/>
      <c r="M910" s="149"/>
      <c r="N910" s="149"/>
      <c r="O910" s="37"/>
      <c r="Q910" s="37"/>
      <c r="S910" s="37"/>
      <c r="T910" s="37"/>
      <c r="U910" s="37"/>
      <c r="V910" s="37"/>
      <c r="W910" s="37"/>
      <c r="X910" s="37"/>
    </row>
    <row r="911" customFormat="false" ht="15.75" hidden="false" customHeight="true" outlineLevel="0" collapsed="false">
      <c r="L911" s="148"/>
      <c r="M911" s="149"/>
      <c r="N911" s="149"/>
      <c r="O911" s="37"/>
      <c r="Q911" s="37"/>
      <c r="S911" s="37"/>
      <c r="T911" s="37"/>
      <c r="U911" s="37"/>
      <c r="V911" s="37"/>
      <c r="W911" s="37"/>
      <c r="X911" s="37"/>
    </row>
    <row r="912" customFormat="false" ht="15.75" hidden="false" customHeight="true" outlineLevel="0" collapsed="false">
      <c r="L912" s="148"/>
      <c r="M912" s="149"/>
      <c r="N912" s="149"/>
      <c r="O912" s="37"/>
      <c r="Q912" s="37"/>
      <c r="S912" s="37"/>
      <c r="T912" s="37"/>
      <c r="U912" s="37"/>
      <c r="V912" s="37"/>
      <c r="W912" s="37"/>
      <c r="X912" s="37"/>
    </row>
    <row r="913" customFormat="false" ht="15.75" hidden="false" customHeight="true" outlineLevel="0" collapsed="false">
      <c r="L913" s="148"/>
      <c r="M913" s="149"/>
      <c r="N913" s="149"/>
      <c r="O913" s="37"/>
      <c r="Q913" s="37"/>
      <c r="S913" s="37"/>
      <c r="T913" s="37"/>
      <c r="U913" s="37"/>
      <c r="V913" s="37"/>
      <c r="W913" s="37"/>
      <c r="X913" s="37"/>
    </row>
    <row r="914" customFormat="false" ht="15.75" hidden="false" customHeight="true" outlineLevel="0" collapsed="false">
      <c r="L914" s="148"/>
      <c r="M914" s="149"/>
      <c r="N914" s="149"/>
      <c r="O914" s="37"/>
      <c r="Q914" s="37"/>
      <c r="S914" s="37"/>
      <c r="T914" s="37"/>
      <c r="U914" s="37"/>
      <c r="V914" s="37"/>
      <c r="W914" s="37"/>
      <c r="X914" s="37"/>
    </row>
    <row r="915" customFormat="false" ht="15.75" hidden="false" customHeight="true" outlineLevel="0" collapsed="false">
      <c r="L915" s="148"/>
      <c r="M915" s="149"/>
      <c r="N915" s="149"/>
      <c r="O915" s="37"/>
      <c r="Q915" s="37"/>
      <c r="S915" s="37"/>
      <c r="T915" s="37"/>
      <c r="U915" s="37"/>
      <c r="V915" s="37"/>
      <c r="W915" s="37"/>
      <c r="X915" s="37"/>
    </row>
    <row r="916" customFormat="false" ht="15.75" hidden="false" customHeight="true" outlineLevel="0" collapsed="false">
      <c r="L916" s="148"/>
      <c r="M916" s="149"/>
      <c r="N916" s="149"/>
      <c r="O916" s="37"/>
      <c r="Q916" s="37"/>
      <c r="S916" s="37"/>
      <c r="T916" s="37"/>
      <c r="U916" s="37"/>
      <c r="V916" s="37"/>
      <c r="W916" s="37"/>
      <c r="X916" s="37"/>
    </row>
    <row r="917" customFormat="false" ht="15.75" hidden="false" customHeight="true" outlineLevel="0" collapsed="false">
      <c r="L917" s="148"/>
      <c r="M917" s="149"/>
      <c r="N917" s="149"/>
      <c r="O917" s="37"/>
      <c r="Q917" s="37"/>
      <c r="S917" s="37"/>
      <c r="T917" s="37"/>
      <c r="U917" s="37"/>
      <c r="V917" s="37"/>
      <c r="W917" s="37"/>
      <c r="X917" s="37"/>
    </row>
    <row r="918" customFormat="false" ht="15.75" hidden="false" customHeight="true" outlineLevel="0" collapsed="false">
      <c r="L918" s="148"/>
      <c r="M918" s="149"/>
      <c r="N918" s="149"/>
      <c r="O918" s="37"/>
      <c r="Q918" s="37"/>
      <c r="S918" s="37"/>
      <c r="T918" s="37"/>
      <c r="U918" s="37"/>
      <c r="V918" s="37"/>
      <c r="W918" s="37"/>
      <c r="X918" s="37"/>
    </row>
    <row r="919" customFormat="false" ht="15.75" hidden="false" customHeight="true" outlineLevel="0" collapsed="false">
      <c r="L919" s="148"/>
      <c r="M919" s="149"/>
      <c r="N919" s="149"/>
      <c r="O919" s="37"/>
      <c r="Q919" s="37"/>
      <c r="S919" s="37"/>
      <c r="T919" s="37"/>
      <c r="U919" s="37"/>
      <c r="V919" s="37"/>
      <c r="W919" s="37"/>
      <c r="X919" s="37"/>
    </row>
    <row r="920" customFormat="false" ht="15.75" hidden="false" customHeight="true" outlineLevel="0" collapsed="false">
      <c r="L920" s="148"/>
      <c r="M920" s="149"/>
      <c r="N920" s="149"/>
      <c r="O920" s="37"/>
      <c r="Q920" s="37"/>
      <c r="S920" s="37"/>
      <c r="T920" s="37"/>
      <c r="U920" s="37"/>
      <c r="V920" s="37"/>
      <c r="W920" s="37"/>
      <c r="X920" s="37"/>
    </row>
    <row r="921" customFormat="false" ht="15.75" hidden="false" customHeight="true" outlineLevel="0" collapsed="false">
      <c r="L921" s="148"/>
      <c r="M921" s="149"/>
      <c r="N921" s="149"/>
      <c r="O921" s="37"/>
      <c r="Q921" s="37"/>
      <c r="S921" s="37"/>
      <c r="T921" s="37"/>
      <c r="U921" s="37"/>
      <c r="V921" s="37"/>
      <c r="W921" s="37"/>
      <c r="X921" s="37"/>
    </row>
    <row r="922" customFormat="false" ht="15.75" hidden="false" customHeight="true" outlineLevel="0" collapsed="false">
      <c r="L922" s="148"/>
      <c r="M922" s="149"/>
      <c r="N922" s="149"/>
      <c r="O922" s="37"/>
      <c r="Q922" s="37"/>
      <c r="S922" s="37"/>
      <c r="T922" s="37"/>
      <c r="U922" s="37"/>
      <c r="V922" s="37"/>
      <c r="W922" s="37"/>
      <c r="X922" s="37"/>
    </row>
    <row r="923" customFormat="false" ht="15.75" hidden="false" customHeight="true" outlineLevel="0" collapsed="false">
      <c r="L923" s="148"/>
      <c r="M923" s="149"/>
      <c r="N923" s="149"/>
      <c r="O923" s="37"/>
      <c r="Q923" s="37"/>
      <c r="S923" s="37"/>
      <c r="T923" s="37"/>
      <c r="U923" s="37"/>
      <c r="V923" s="37"/>
      <c r="W923" s="37"/>
      <c r="X923" s="37"/>
    </row>
    <row r="924" customFormat="false" ht="15.75" hidden="false" customHeight="true" outlineLevel="0" collapsed="false">
      <c r="L924" s="148"/>
      <c r="M924" s="149"/>
      <c r="N924" s="149"/>
      <c r="O924" s="37"/>
      <c r="Q924" s="37"/>
      <c r="S924" s="37"/>
      <c r="T924" s="37"/>
      <c r="U924" s="37"/>
      <c r="V924" s="37"/>
      <c r="W924" s="37"/>
      <c r="X924" s="37"/>
    </row>
    <row r="925" customFormat="false" ht="15.75" hidden="false" customHeight="true" outlineLevel="0" collapsed="false">
      <c r="L925" s="148"/>
      <c r="M925" s="149"/>
      <c r="N925" s="149"/>
      <c r="O925" s="37"/>
      <c r="Q925" s="37"/>
      <c r="S925" s="37"/>
      <c r="T925" s="37"/>
      <c r="U925" s="37"/>
      <c r="V925" s="37"/>
      <c r="W925" s="37"/>
      <c r="X925" s="37"/>
    </row>
    <row r="926" customFormat="false" ht="15.75" hidden="false" customHeight="true" outlineLevel="0" collapsed="false">
      <c r="L926" s="148"/>
      <c r="M926" s="149"/>
      <c r="N926" s="149"/>
      <c r="O926" s="37"/>
      <c r="Q926" s="37"/>
      <c r="S926" s="37"/>
      <c r="T926" s="37"/>
      <c r="U926" s="37"/>
      <c r="V926" s="37"/>
      <c r="W926" s="37"/>
      <c r="X926" s="37"/>
    </row>
    <row r="927" customFormat="false" ht="15.75" hidden="false" customHeight="true" outlineLevel="0" collapsed="false">
      <c r="L927" s="148"/>
      <c r="M927" s="149"/>
      <c r="N927" s="149"/>
      <c r="O927" s="37"/>
      <c r="Q927" s="37"/>
      <c r="S927" s="37"/>
      <c r="T927" s="37"/>
      <c r="U927" s="37"/>
      <c r="V927" s="37"/>
      <c r="W927" s="37"/>
      <c r="X927" s="37"/>
    </row>
    <row r="928" customFormat="false" ht="15.75" hidden="false" customHeight="true" outlineLevel="0" collapsed="false">
      <c r="L928" s="148"/>
      <c r="M928" s="149"/>
      <c r="N928" s="149"/>
      <c r="O928" s="37"/>
      <c r="Q928" s="37"/>
      <c r="S928" s="37"/>
      <c r="T928" s="37"/>
      <c r="U928" s="37"/>
      <c r="V928" s="37"/>
      <c r="W928" s="37"/>
      <c r="X928" s="37"/>
    </row>
    <row r="929" customFormat="false" ht="15.75" hidden="false" customHeight="true" outlineLevel="0" collapsed="false">
      <c r="L929" s="148"/>
      <c r="M929" s="149"/>
      <c r="N929" s="149"/>
      <c r="O929" s="37"/>
      <c r="Q929" s="37"/>
      <c r="S929" s="37"/>
      <c r="T929" s="37"/>
      <c r="U929" s="37"/>
      <c r="V929" s="37"/>
      <c r="W929" s="37"/>
      <c r="X929" s="37"/>
    </row>
    <row r="930" customFormat="false" ht="15.75" hidden="false" customHeight="true" outlineLevel="0" collapsed="false">
      <c r="L930" s="148"/>
      <c r="M930" s="149"/>
      <c r="N930" s="149"/>
      <c r="O930" s="37"/>
      <c r="Q930" s="37"/>
      <c r="S930" s="37"/>
      <c r="T930" s="37"/>
      <c r="U930" s="37"/>
      <c r="V930" s="37"/>
      <c r="W930" s="37"/>
      <c r="X930" s="37"/>
    </row>
    <row r="931" customFormat="false" ht="15.75" hidden="false" customHeight="true" outlineLevel="0" collapsed="false">
      <c r="L931" s="148"/>
      <c r="M931" s="149"/>
      <c r="N931" s="149"/>
      <c r="O931" s="37"/>
      <c r="Q931" s="37"/>
      <c r="S931" s="37"/>
      <c r="T931" s="37"/>
      <c r="U931" s="37"/>
      <c r="V931" s="37"/>
      <c r="W931" s="37"/>
      <c r="X931" s="37"/>
    </row>
    <row r="932" customFormat="false" ht="15.75" hidden="false" customHeight="true" outlineLevel="0" collapsed="false">
      <c r="L932" s="148"/>
      <c r="M932" s="149"/>
      <c r="N932" s="149"/>
      <c r="O932" s="37"/>
      <c r="Q932" s="37"/>
      <c r="S932" s="37"/>
      <c r="T932" s="37"/>
      <c r="U932" s="37"/>
      <c r="V932" s="37"/>
      <c r="W932" s="37"/>
      <c r="X932" s="37"/>
    </row>
    <row r="933" customFormat="false" ht="15.75" hidden="false" customHeight="true" outlineLevel="0" collapsed="false">
      <c r="L933" s="148"/>
      <c r="M933" s="149"/>
      <c r="N933" s="149"/>
      <c r="O933" s="37"/>
      <c r="Q933" s="37"/>
      <c r="S933" s="37"/>
      <c r="T933" s="37"/>
      <c r="U933" s="37"/>
      <c r="V933" s="37"/>
      <c r="W933" s="37"/>
      <c r="X933" s="37"/>
    </row>
    <row r="934" customFormat="false" ht="15.75" hidden="false" customHeight="true" outlineLevel="0" collapsed="false">
      <c r="L934" s="148"/>
      <c r="M934" s="149"/>
      <c r="N934" s="149"/>
      <c r="O934" s="37"/>
      <c r="Q934" s="37"/>
      <c r="S934" s="37"/>
      <c r="T934" s="37"/>
      <c r="U934" s="37"/>
      <c r="V934" s="37"/>
      <c r="W934" s="37"/>
      <c r="X934" s="37"/>
    </row>
    <row r="935" customFormat="false" ht="15.75" hidden="false" customHeight="true" outlineLevel="0" collapsed="false">
      <c r="L935" s="148"/>
      <c r="M935" s="149"/>
      <c r="N935" s="149"/>
      <c r="O935" s="37"/>
      <c r="Q935" s="37"/>
      <c r="S935" s="37"/>
      <c r="T935" s="37"/>
      <c r="U935" s="37"/>
      <c r="V935" s="37"/>
      <c r="W935" s="37"/>
      <c r="X935" s="37"/>
    </row>
    <row r="936" customFormat="false" ht="15.75" hidden="false" customHeight="true" outlineLevel="0" collapsed="false">
      <c r="L936" s="148"/>
      <c r="M936" s="149"/>
      <c r="N936" s="149"/>
      <c r="O936" s="37"/>
      <c r="Q936" s="37"/>
      <c r="S936" s="37"/>
      <c r="T936" s="37"/>
      <c r="U936" s="37"/>
      <c r="V936" s="37"/>
      <c r="W936" s="37"/>
      <c r="X936" s="37"/>
    </row>
    <row r="937" customFormat="false" ht="15.75" hidden="false" customHeight="true" outlineLevel="0" collapsed="false">
      <c r="L937" s="148"/>
      <c r="M937" s="149"/>
      <c r="N937" s="149"/>
      <c r="O937" s="37"/>
      <c r="Q937" s="37"/>
      <c r="S937" s="37"/>
      <c r="T937" s="37"/>
      <c r="U937" s="37"/>
      <c r="V937" s="37"/>
      <c r="W937" s="37"/>
      <c r="X937" s="37"/>
    </row>
    <row r="938" customFormat="false" ht="15.75" hidden="false" customHeight="true" outlineLevel="0" collapsed="false">
      <c r="L938" s="148"/>
      <c r="M938" s="149"/>
      <c r="N938" s="149"/>
      <c r="O938" s="37"/>
      <c r="Q938" s="37"/>
      <c r="S938" s="37"/>
      <c r="T938" s="37"/>
      <c r="U938" s="37"/>
      <c r="V938" s="37"/>
      <c r="W938" s="37"/>
      <c r="X938" s="37"/>
    </row>
    <row r="939" customFormat="false" ht="15.75" hidden="false" customHeight="true" outlineLevel="0" collapsed="false">
      <c r="L939" s="148"/>
      <c r="M939" s="149"/>
      <c r="N939" s="149"/>
      <c r="O939" s="37"/>
      <c r="Q939" s="37"/>
      <c r="S939" s="37"/>
      <c r="T939" s="37"/>
      <c r="U939" s="37"/>
      <c r="V939" s="37"/>
      <c r="W939" s="37"/>
      <c r="X939" s="37"/>
    </row>
    <row r="940" customFormat="false" ht="15.75" hidden="false" customHeight="true" outlineLevel="0" collapsed="false">
      <c r="L940" s="148"/>
      <c r="M940" s="149"/>
      <c r="N940" s="149"/>
      <c r="O940" s="37"/>
      <c r="Q940" s="37"/>
      <c r="S940" s="37"/>
      <c r="T940" s="37"/>
      <c r="U940" s="37"/>
      <c r="V940" s="37"/>
      <c r="W940" s="37"/>
      <c r="X940" s="37"/>
    </row>
    <row r="941" customFormat="false" ht="15.75" hidden="false" customHeight="true" outlineLevel="0" collapsed="false">
      <c r="L941" s="148"/>
      <c r="M941" s="149"/>
      <c r="N941" s="149"/>
      <c r="O941" s="37"/>
      <c r="Q941" s="37"/>
      <c r="S941" s="37"/>
      <c r="T941" s="37"/>
      <c r="U941" s="37"/>
      <c r="V941" s="37"/>
      <c r="W941" s="37"/>
      <c r="X941" s="37"/>
    </row>
    <row r="942" customFormat="false" ht="15.75" hidden="false" customHeight="true" outlineLevel="0" collapsed="false">
      <c r="L942" s="148"/>
      <c r="M942" s="149"/>
      <c r="N942" s="149"/>
      <c r="O942" s="37"/>
      <c r="Q942" s="37"/>
      <c r="S942" s="37"/>
      <c r="T942" s="37"/>
      <c r="U942" s="37"/>
      <c r="V942" s="37"/>
      <c r="W942" s="37"/>
      <c r="X942" s="37"/>
    </row>
    <row r="943" customFormat="false" ht="15.75" hidden="false" customHeight="true" outlineLevel="0" collapsed="false">
      <c r="L943" s="148"/>
      <c r="M943" s="149"/>
      <c r="N943" s="149"/>
      <c r="O943" s="37"/>
      <c r="Q943" s="37"/>
      <c r="S943" s="37"/>
      <c r="T943" s="37"/>
      <c r="U943" s="37"/>
      <c r="V943" s="37"/>
      <c r="W943" s="37"/>
      <c r="X943" s="37"/>
    </row>
    <row r="944" customFormat="false" ht="15.75" hidden="false" customHeight="true" outlineLevel="0" collapsed="false">
      <c r="L944" s="148"/>
      <c r="M944" s="149"/>
      <c r="N944" s="149"/>
      <c r="O944" s="37"/>
      <c r="Q944" s="37"/>
      <c r="S944" s="37"/>
      <c r="T944" s="37"/>
      <c r="U944" s="37"/>
      <c r="V944" s="37"/>
      <c r="W944" s="37"/>
      <c r="X944" s="37"/>
    </row>
    <row r="945" customFormat="false" ht="15.75" hidden="false" customHeight="true" outlineLevel="0" collapsed="false">
      <c r="L945" s="148"/>
      <c r="M945" s="149"/>
      <c r="N945" s="149"/>
      <c r="O945" s="37"/>
      <c r="Q945" s="37"/>
      <c r="S945" s="37"/>
      <c r="T945" s="37"/>
      <c r="U945" s="37"/>
      <c r="V945" s="37"/>
      <c r="W945" s="37"/>
      <c r="X945" s="37"/>
    </row>
    <row r="946" customFormat="false" ht="15.75" hidden="false" customHeight="true" outlineLevel="0" collapsed="false">
      <c r="L946" s="148"/>
      <c r="M946" s="149"/>
      <c r="N946" s="149"/>
      <c r="O946" s="37"/>
      <c r="Q946" s="37"/>
      <c r="S946" s="37"/>
      <c r="T946" s="37"/>
      <c r="U946" s="37"/>
      <c r="V946" s="37"/>
      <c r="W946" s="37"/>
      <c r="X946" s="37"/>
    </row>
    <row r="947" customFormat="false" ht="15.75" hidden="false" customHeight="true" outlineLevel="0" collapsed="false">
      <c r="L947" s="148"/>
      <c r="M947" s="149"/>
      <c r="N947" s="149"/>
      <c r="O947" s="37"/>
      <c r="Q947" s="37"/>
      <c r="S947" s="37"/>
      <c r="T947" s="37"/>
      <c r="U947" s="37"/>
      <c r="V947" s="37"/>
      <c r="W947" s="37"/>
      <c r="X947" s="37"/>
    </row>
    <row r="948" customFormat="false" ht="15.75" hidden="false" customHeight="true" outlineLevel="0" collapsed="false">
      <c r="L948" s="148"/>
      <c r="M948" s="149"/>
      <c r="N948" s="149"/>
      <c r="O948" s="37"/>
      <c r="Q948" s="37"/>
      <c r="S948" s="37"/>
      <c r="T948" s="37"/>
      <c r="U948" s="37"/>
      <c r="V948" s="37"/>
      <c r="W948" s="37"/>
      <c r="X948" s="37"/>
    </row>
    <row r="949" customFormat="false" ht="15.75" hidden="false" customHeight="true" outlineLevel="0" collapsed="false">
      <c r="L949" s="148"/>
      <c r="M949" s="149"/>
      <c r="N949" s="149"/>
      <c r="O949" s="37"/>
      <c r="Q949" s="37"/>
      <c r="S949" s="37"/>
      <c r="T949" s="37"/>
      <c r="U949" s="37"/>
      <c r="V949" s="37"/>
      <c r="W949" s="37"/>
      <c r="X949" s="37"/>
    </row>
    <row r="950" customFormat="false" ht="15.75" hidden="false" customHeight="true" outlineLevel="0" collapsed="false">
      <c r="L950" s="148"/>
      <c r="M950" s="149"/>
      <c r="N950" s="149"/>
      <c r="O950" s="37"/>
      <c r="Q950" s="37"/>
      <c r="S950" s="37"/>
      <c r="T950" s="37"/>
      <c r="U950" s="37"/>
      <c r="V950" s="37"/>
      <c r="W950" s="37"/>
      <c r="X950" s="37"/>
    </row>
    <row r="951" customFormat="false" ht="15.75" hidden="false" customHeight="true" outlineLevel="0" collapsed="false">
      <c r="L951" s="148"/>
      <c r="M951" s="149"/>
      <c r="N951" s="149"/>
      <c r="O951" s="37"/>
      <c r="Q951" s="37"/>
      <c r="S951" s="37"/>
      <c r="T951" s="37"/>
      <c r="U951" s="37"/>
      <c r="V951" s="37"/>
      <c r="W951" s="37"/>
      <c r="X951" s="37"/>
    </row>
    <row r="952" customFormat="false" ht="15.75" hidden="false" customHeight="true" outlineLevel="0" collapsed="false">
      <c r="L952" s="148"/>
      <c r="M952" s="149"/>
      <c r="N952" s="149"/>
      <c r="O952" s="37"/>
      <c r="Q952" s="37"/>
      <c r="S952" s="37"/>
      <c r="T952" s="37"/>
      <c r="U952" s="37"/>
      <c r="V952" s="37"/>
      <c r="W952" s="37"/>
      <c r="X952" s="37"/>
    </row>
    <row r="953" customFormat="false" ht="15.75" hidden="false" customHeight="true" outlineLevel="0" collapsed="false">
      <c r="L953" s="148"/>
      <c r="M953" s="149"/>
      <c r="N953" s="149"/>
      <c r="O953" s="37"/>
      <c r="Q953" s="37"/>
      <c r="S953" s="37"/>
      <c r="T953" s="37"/>
      <c r="U953" s="37"/>
      <c r="V953" s="37"/>
      <c r="W953" s="37"/>
      <c r="X953" s="37"/>
    </row>
    <row r="954" customFormat="false" ht="15.75" hidden="false" customHeight="true" outlineLevel="0" collapsed="false">
      <c r="L954" s="148"/>
      <c r="M954" s="149"/>
      <c r="N954" s="149"/>
      <c r="O954" s="37"/>
      <c r="Q954" s="37"/>
      <c r="S954" s="37"/>
      <c r="T954" s="37"/>
      <c r="U954" s="37"/>
      <c r="V954" s="37"/>
      <c r="W954" s="37"/>
      <c r="X954" s="37"/>
    </row>
    <row r="955" customFormat="false" ht="15.75" hidden="false" customHeight="true" outlineLevel="0" collapsed="false">
      <c r="L955" s="148"/>
      <c r="M955" s="149"/>
      <c r="N955" s="149"/>
      <c r="O955" s="37"/>
      <c r="Q955" s="37"/>
      <c r="S955" s="37"/>
      <c r="T955" s="37"/>
      <c r="U955" s="37"/>
      <c r="V955" s="37"/>
      <c r="W955" s="37"/>
      <c r="X955" s="37"/>
    </row>
    <row r="956" customFormat="false" ht="15.75" hidden="false" customHeight="true" outlineLevel="0" collapsed="false">
      <c r="L956" s="148"/>
      <c r="M956" s="149"/>
      <c r="N956" s="149"/>
      <c r="O956" s="37"/>
      <c r="Q956" s="37"/>
      <c r="S956" s="37"/>
      <c r="T956" s="37"/>
      <c r="U956" s="37"/>
      <c r="V956" s="37"/>
      <c r="W956" s="37"/>
      <c r="X956" s="37"/>
    </row>
    <row r="957" customFormat="false" ht="15.75" hidden="false" customHeight="true" outlineLevel="0" collapsed="false">
      <c r="L957" s="148"/>
      <c r="M957" s="149"/>
      <c r="N957" s="149"/>
      <c r="O957" s="37"/>
      <c r="Q957" s="37"/>
      <c r="S957" s="37"/>
      <c r="T957" s="37"/>
      <c r="U957" s="37"/>
      <c r="V957" s="37"/>
      <c r="W957" s="37"/>
      <c r="X957" s="37"/>
    </row>
    <row r="958" customFormat="false" ht="15.75" hidden="false" customHeight="true" outlineLevel="0" collapsed="false">
      <c r="L958" s="148"/>
      <c r="M958" s="149"/>
      <c r="N958" s="149"/>
      <c r="O958" s="37"/>
      <c r="Q958" s="37"/>
      <c r="S958" s="37"/>
      <c r="T958" s="37"/>
      <c r="U958" s="37"/>
      <c r="V958" s="37"/>
      <c r="W958" s="37"/>
      <c r="X958" s="37"/>
    </row>
    <row r="959" customFormat="false" ht="15.75" hidden="false" customHeight="true" outlineLevel="0" collapsed="false">
      <c r="L959" s="148"/>
      <c r="M959" s="149"/>
      <c r="N959" s="149"/>
      <c r="O959" s="37"/>
      <c r="Q959" s="37"/>
      <c r="S959" s="37"/>
      <c r="T959" s="37"/>
      <c r="U959" s="37"/>
      <c r="V959" s="37"/>
      <c r="W959" s="37"/>
      <c r="X959" s="37"/>
    </row>
    <row r="960" customFormat="false" ht="15.75" hidden="false" customHeight="true" outlineLevel="0" collapsed="false">
      <c r="L960" s="148"/>
      <c r="M960" s="149"/>
      <c r="N960" s="149"/>
      <c r="O960" s="37"/>
      <c r="Q960" s="37"/>
      <c r="S960" s="37"/>
      <c r="T960" s="37"/>
      <c r="U960" s="37"/>
      <c r="V960" s="37"/>
      <c r="W960" s="37"/>
      <c r="X960" s="37"/>
    </row>
    <row r="961" customFormat="false" ht="15.75" hidden="false" customHeight="true" outlineLevel="0" collapsed="false">
      <c r="L961" s="148"/>
      <c r="M961" s="149"/>
      <c r="N961" s="149"/>
      <c r="O961" s="37"/>
      <c r="Q961" s="37"/>
      <c r="S961" s="37"/>
      <c r="T961" s="37"/>
      <c r="U961" s="37"/>
      <c r="V961" s="37"/>
      <c r="W961" s="37"/>
      <c r="X961" s="37"/>
    </row>
    <row r="962" customFormat="false" ht="15.75" hidden="false" customHeight="true" outlineLevel="0" collapsed="false">
      <c r="L962" s="148"/>
      <c r="M962" s="149"/>
      <c r="N962" s="149"/>
      <c r="O962" s="37"/>
      <c r="Q962" s="37"/>
      <c r="S962" s="37"/>
      <c r="T962" s="37"/>
      <c r="U962" s="37"/>
      <c r="V962" s="37"/>
      <c r="W962" s="37"/>
      <c r="X962" s="37"/>
    </row>
    <row r="963" customFormat="false" ht="15.75" hidden="false" customHeight="true" outlineLevel="0" collapsed="false">
      <c r="L963" s="148"/>
      <c r="M963" s="149"/>
      <c r="N963" s="149"/>
      <c r="O963" s="37"/>
      <c r="Q963" s="37"/>
      <c r="S963" s="37"/>
      <c r="T963" s="37"/>
      <c r="U963" s="37"/>
      <c r="V963" s="37"/>
      <c r="W963" s="37"/>
      <c r="X963" s="37"/>
    </row>
    <row r="964" customFormat="false" ht="15.75" hidden="false" customHeight="true" outlineLevel="0" collapsed="false">
      <c r="L964" s="148"/>
      <c r="M964" s="149"/>
      <c r="N964" s="149"/>
      <c r="O964" s="37"/>
      <c r="Q964" s="37"/>
      <c r="S964" s="37"/>
      <c r="T964" s="37"/>
      <c r="U964" s="37"/>
      <c r="V964" s="37"/>
      <c r="W964" s="37"/>
      <c r="X964" s="37"/>
    </row>
    <row r="965" customFormat="false" ht="15.75" hidden="false" customHeight="true" outlineLevel="0" collapsed="false">
      <c r="L965" s="148"/>
      <c r="M965" s="149"/>
      <c r="N965" s="149"/>
      <c r="O965" s="37"/>
      <c r="Q965" s="37"/>
      <c r="S965" s="37"/>
      <c r="T965" s="37"/>
      <c r="U965" s="37"/>
      <c r="V965" s="37"/>
      <c r="W965" s="37"/>
      <c r="X965" s="37"/>
    </row>
    <row r="966" customFormat="false" ht="15.75" hidden="false" customHeight="true" outlineLevel="0" collapsed="false">
      <c r="L966" s="148"/>
      <c r="M966" s="149"/>
      <c r="N966" s="149"/>
      <c r="O966" s="37"/>
      <c r="Q966" s="37"/>
      <c r="S966" s="37"/>
      <c r="T966" s="37"/>
      <c r="U966" s="37"/>
      <c r="V966" s="37"/>
      <c r="W966" s="37"/>
      <c r="X966" s="37"/>
    </row>
    <row r="967" customFormat="false" ht="15.75" hidden="false" customHeight="true" outlineLevel="0" collapsed="false">
      <c r="L967" s="148"/>
      <c r="M967" s="149"/>
      <c r="N967" s="149"/>
      <c r="O967" s="37"/>
      <c r="Q967" s="37"/>
      <c r="S967" s="37"/>
      <c r="T967" s="37"/>
      <c r="U967" s="37"/>
      <c r="V967" s="37"/>
      <c r="W967" s="37"/>
      <c r="X967" s="37"/>
    </row>
    <row r="968" customFormat="false" ht="15.75" hidden="false" customHeight="true" outlineLevel="0" collapsed="false">
      <c r="L968" s="148"/>
      <c r="M968" s="149"/>
      <c r="N968" s="149"/>
      <c r="O968" s="37"/>
      <c r="Q968" s="37"/>
      <c r="S968" s="37"/>
      <c r="T968" s="37"/>
      <c r="U968" s="37"/>
      <c r="V968" s="37"/>
      <c r="W968" s="37"/>
      <c r="X968" s="37"/>
    </row>
    <row r="969" customFormat="false" ht="15.75" hidden="false" customHeight="true" outlineLevel="0" collapsed="false">
      <c r="L969" s="148"/>
      <c r="M969" s="149"/>
      <c r="N969" s="149"/>
      <c r="O969" s="37"/>
      <c r="Q969" s="37"/>
      <c r="S969" s="37"/>
      <c r="T969" s="37"/>
      <c r="U969" s="37"/>
      <c r="V969" s="37"/>
      <c r="W969" s="37"/>
      <c r="X969" s="37"/>
    </row>
    <row r="970" customFormat="false" ht="15.75" hidden="false" customHeight="true" outlineLevel="0" collapsed="false">
      <c r="L970" s="148"/>
      <c r="M970" s="149"/>
      <c r="N970" s="149"/>
      <c r="O970" s="37"/>
      <c r="Q970" s="37"/>
      <c r="S970" s="37"/>
      <c r="T970" s="37"/>
      <c r="U970" s="37"/>
      <c r="V970" s="37"/>
      <c r="W970" s="37"/>
      <c r="X970" s="37"/>
    </row>
    <row r="971" customFormat="false" ht="15.75" hidden="false" customHeight="true" outlineLevel="0" collapsed="false">
      <c r="L971" s="148"/>
      <c r="M971" s="149"/>
      <c r="N971" s="149"/>
      <c r="O971" s="37"/>
      <c r="Q971" s="37"/>
      <c r="S971" s="37"/>
      <c r="T971" s="37"/>
      <c r="U971" s="37"/>
      <c r="V971" s="37"/>
      <c r="W971" s="37"/>
      <c r="X971" s="37"/>
    </row>
    <row r="972" customFormat="false" ht="15.75" hidden="false" customHeight="true" outlineLevel="0" collapsed="false">
      <c r="L972" s="148"/>
      <c r="M972" s="149"/>
      <c r="N972" s="149"/>
      <c r="O972" s="37"/>
      <c r="Q972" s="37"/>
      <c r="S972" s="37"/>
      <c r="T972" s="37"/>
      <c r="U972" s="37"/>
      <c r="V972" s="37"/>
      <c r="W972" s="37"/>
      <c r="X972" s="37"/>
    </row>
    <row r="973" customFormat="false" ht="15.75" hidden="false" customHeight="true" outlineLevel="0" collapsed="false">
      <c r="L973" s="148"/>
      <c r="M973" s="149"/>
      <c r="N973" s="149"/>
      <c r="O973" s="37"/>
      <c r="Q973" s="37"/>
      <c r="S973" s="37"/>
      <c r="T973" s="37"/>
      <c r="U973" s="37"/>
      <c r="V973" s="37"/>
      <c r="W973" s="37"/>
      <c r="X973" s="37"/>
    </row>
    <row r="974" customFormat="false" ht="15.75" hidden="false" customHeight="true" outlineLevel="0" collapsed="false">
      <c r="L974" s="148"/>
      <c r="M974" s="149"/>
      <c r="N974" s="149"/>
      <c r="O974" s="37"/>
      <c r="Q974" s="37"/>
      <c r="S974" s="37"/>
      <c r="T974" s="37"/>
      <c r="U974" s="37"/>
      <c r="V974" s="37"/>
      <c r="W974" s="37"/>
      <c r="X974" s="37"/>
    </row>
    <row r="975" customFormat="false" ht="15.75" hidden="false" customHeight="true" outlineLevel="0" collapsed="false">
      <c r="L975" s="148"/>
      <c r="M975" s="149"/>
      <c r="N975" s="149"/>
      <c r="O975" s="37"/>
      <c r="Q975" s="37"/>
      <c r="S975" s="37"/>
      <c r="T975" s="37"/>
      <c r="U975" s="37"/>
      <c r="V975" s="37"/>
      <c r="W975" s="37"/>
      <c r="X975" s="37"/>
    </row>
    <row r="976" customFormat="false" ht="15.75" hidden="false" customHeight="true" outlineLevel="0" collapsed="false">
      <c r="L976" s="148"/>
      <c r="M976" s="149"/>
      <c r="N976" s="149"/>
      <c r="O976" s="37"/>
      <c r="Q976" s="37"/>
      <c r="S976" s="37"/>
      <c r="T976" s="37"/>
      <c r="U976" s="37"/>
      <c r="V976" s="37"/>
      <c r="W976" s="37"/>
      <c r="X976" s="37"/>
    </row>
    <row r="977" customFormat="false" ht="15.75" hidden="false" customHeight="true" outlineLevel="0" collapsed="false">
      <c r="L977" s="148"/>
      <c r="M977" s="149"/>
      <c r="N977" s="149"/>
      <c r="O977" s="37"/>
      <c r="Q977" s="37"/>
      <c r="S977" s="37"/>
      <c r="T977" s="37"/>
      <c r="U977" s="37"/>
      <c r="V977" s="37"/>
      <c r="W977" s="37"/>
      <c r="X977" s="37"/>
    </row>
    <row r="978" customFormat="false" ht="15.75" hidden="false" customHeight="true" outlineLevel="0" collapsed="false">
      <c r="L978" s="148"/>
      <c r="M978" s="149"/>
      <c r="N978" s="149"/>
      <c r="O978" s="37"/>
      <c r="Q978" s="37"/>
      <c r="S978" s="37"/>
      <c r="T978" s="37"/>
      <c r="U978" s="37"/>
      <c r="V978" s="37"/>
      <c r="W978" s="37"/>
      <c r="X978" s="37"/>
    </row>
    <row r="979" customFormat="false" ht="15.75" hidden="false" customHeight="true" outlineLevel="0" collapsed="false">
      <c r="L979" s="148"/>
      <c r="M979" s="149"/>
      <c r="N979" s="149"/>
      <c r="O979" s="37"/>
      <c r="Q979" s="37"/>
      <c r="S979" s="37"/>
      <c r="T979" s="37"/>
      <c r="U979" s="37"/>
      <c r="V979" s="37"/>
      <c r="W979" s="37"/>
      <c r="X979" s="37"/>
    </row>
    <row r="980" customFormat="false" ht="15.75" hidden="false" customHeight="true" outlineLevel="0" collapsed="false">
      <c r="L980" s="148"/>
      <c r="M980" s="149"/>
      <c r="N980" s="149"/>
      <c r="O980" s="37"/>
      <c r="Q980" s="37"/>
      <c r="S980" s="37"/>
      <c r="T980" s="37"/>
      <c r="U980" s="37"/>
      <c r="V980" s="37"/>
      <c r="W980" s="37"/>
      <c r="X980" s="37"/>
    </row>
    <row r="981" customFormat="false" ht="15.75" hidden="false" customHeight="true" outlineLevel="0" collapsed="false">
      <c r="L981" s="148"/>
      <c r="M981" s="149"/>
      <c r="N981" s="149"/>
      <c r="O981" s="37"/>
      <c r="Q981" s="37"/>
      <c r="S981" s="37"/>
      <c r="T981" s="37"/>
      <c r="U981" s="37"/>
      <c r="V981" s="37"/>
      <c r="W981" s="37"/>
      <c r="X981" s="37"/>
    </row>
    <row r="982" customFormat="false" ht="15" hidden="false" customHeight="true" outlineLevel="0" collapsed="false">
      <c r="L982" s="148"/>
      <c r="M982" s="149"/>
      <c r="N982" s="149"/>
    </row>
    <row r="983" customFormat="false" ht="15" hidden="false" customHeight="true" outlineLevel="0" collapsed="false">
      <c r="L983" s="148"/>
      <c r="M983" s="149"/>
      <c r="N983" s="149"/>
    </row>
    <row r="984" customFormat="false" ht="15" hidden="false" customHeight="true" outlineLevel="0" collapsed="false">
      <c r="L984" s="148"/>
      <c r="M984" s="149"/>
      <c r="N984" s="149"/>
    </row>
    <row r="985" customFormat="false" ht="15" hidden="false" customHeight="true" outlineLevel="0" collapsed="false">
      <c r="L985" s="148"/>
      <c r="M985" s="149"/>
      <c r="N985" s="149"/>
    </row>
    <row r="986" customFormat="false" ht="15" hidden="false" customHeight="true" outlineLevel="0" collapsed="false">
      <c r="L986" s="148"/>
      <c r="M986" s="149"/>
      <c r="N986" s="149"/>
    </row>
    <row r="987" customFormat="false" ht="15" hidden="false" customHeight="true" outlineLevel="0" collapsed="false">
      <c r="L987" s="148"/>
      <c r="M987" s="149"/>
      <c r="N987" s="149"/>
    </row>
    <row r="988" customFormat="false" ht="15" hidden="false" customHeight="true" outlineLevel="0" collapsed="false">
      <c r="L988" s="148"/>
      <c r="M988" s="149"/>
      <c r="N988" s="149"/>
    </row>
    <row r="989" customFormat="false" ht="15" hidden="false" customHeight="true" outlineLevel="0" collapsed="false">
      <c r="L989" s="148"/>
      <c r="M989" s="149"/>
      <c r="N989" s="149"/>
    </row>
    <row r="990" customFormat="false" ht="15" hidden="false" customHeight="true" outlineLevel="0" collapsed="false">
      <c r="L990" s="148"/>
      <c r="M990" s="149"/>
      <c r="N990" s="149"/>
    </row>
    <row r="991" customFormat="false" ht="15" hidden="false" customHeight="true" outlineLevel="0" collapsed="false">
      <c r="L991" s="148"/>
      <c r="M991" s="149"/>
      <c r="N991" s="149"/>
    </row>
    <row r="992" customFormat="false" ht="15" hidden="false" customHeight="true" outlineLevel="0" collapsed="false">
      <c r="L992" s="148"/>
      <c r="M992" s="149"/>
      <c r="N992" s="149"/>
    </row>
    <row r="993" customFormat="false" ht="15" hidden="false" customHeight="true" outlineLevel="0" collapsed="false">
      <c r="L993" s="148"/>
      <c r="M993" s="149"/>
      <c r="N993" s="149"/>
    </row>
    <row r="994" customFormat="false" ht="15" hidden="false" customHeight="true" outlineLevel="0" collapsed="false">
      <c r="L994" s="148"/>
      <c r="M994" s="149"/>
      <c r="N994" s="149"/>
    </row>
    <row r="995" customFormat="false" ht="15" hidden="false" customHeight="true" outlineLevel="0" collapsed="false">
      <c r="L995" s="148"/>
      <c r="M995" s="149"/>
      <c r="N995" s="149"/>
    </row>
    <row r="996" customFormat="false" ht="15" hidden="false" customHeight="true" outlineLevel="0" collapsed="false">
      <c r="L996" s="148"/>
      <c r="M996" s="149"/>
      <c r="N996" s="149"/>
    </row>
    <row r="997" customFormat="false" ht="15" hidden="false" customHeight="true" outlineLevel="0" collapsed="false">
      <c r="L997" s="148"/>
      <c r="M997" s="149"/>
      <c r="N997" s="149"/>
    </row>
    <row r="998" customFormat="false" ht="15" hidden="false" customHeight="true" outlineLevel="0" collapsed="false">
      <c r="L998" s="148"/>
      <c r="M998" s="149"/>
      <c r="N998" s="149"/>
    </row>
    <row r="999" customFormat="false" ht="15" hidden="false" customHeight="true" outlineLevel="0" collapsed="false">
      <c r="L999" s="148"/>
      <c r="M999" s="149"/>
      <c r="N999" s="149"/>
    </row>
    <row r="1000" customFormat="false" ht="15" hidden="false" customHeight="true" outlineLevel="0" collapsed="false">
      <c r="L1000" s="148"/>
      <c r="M1000" s="149"/>
      <c r="N1000" s="149"/>
    </row>
    <row r="1001" customFormat="false" ht="15" hidden="false" customHeight="true" outlineLevel="0" collapsed="false">
      <c r="L1001" s="148"/>
      <c r="M1001" s="149"/>
      <c r="N1001" s="149"/>
    </row>
    <row r="1002" customFormat="false" ht="15" hidden="false" customHeight="true" outlineLevel="0" collapsed="false">
      <c r="L1002" s="148"/>
      <c r="M1002" s="149"/>
      <c r="N1002" s="149"/>
    </row>
    <row r="1003" customFormat="false" ht="15" hidden="false" customHeight="true" outlineLevel="0" collapsed="false">
      <c r="L1003" s="148"/>
      <c r="M1003" s="149"/>
      <c r="N1003" s="149"/>
    </row>
    <row r="1004" customFormat="false" ht="15" hidden="false" customHeight="true" outlineLevel="0" collapsed="false">
      <c r="L1004" s="148"/>
      <c r="M1004" s="149"/>
      <c r="N1004" s="149"/>
    </row>
    <row r="1005" customFormat="false" ht="15" hidden="false" customHeight="true" outlineLevel="0" collapsed="false">
      <c r="L1005" s="148"/>
      <c r="M1005" s="149"/>
      <c r="N1005" s="149"/>
    </row>
    <row r="1006" customFormat="false" ht="15" hidden="false" customHeight="true" outlineLevel="0" collapsed="false">
      <c r="L1006" s="148"/>
      <c r="M1006" s="149"/>
      <c r="N1006" s="149"/>
    </row>
    <row r="1007" customFormat="false" ht="15" hidden="false" customHeight="true" outlineLevel="0" collapsed="false">
      <c r="L1007" s="148"/>
      <c r="M1007" s="149"/>
      <c r="N1007" s="149"/>
    </row>
    <row r="1008" customFormat="false" ht="15" hidden="false" customHeight="true" outlineLevel="0" collapsed="false">
      <c r="L1008" s="148"/>
      <c r="M1008" s="149"/>
      <c r="N1008" s="149"/>
    </row>
    <row r="1009" customFormat="false" ht="15" hidden="false" customHeight="true" outlineLevel="0" collapsed="false">
      <c r="L1009" s="148"/>
      <c r="M1009" s="149"/>
      <c r="N1009" s="149"/>
    </row>
    <row r="1010" customFormat="false" ht="15" hidden="false" customHeight="true" outlineLevel="0" collapsed="false">
      <c r="L1010" s="148"/>
      <c r="M1010" s="149"/>
      <c r="N1010" s="149"/>
    </row>
    <row r="1011" customFormat="false" ht="15" hidden="false" customHeight="true" outlineLevel="0" collapsed="false">
      <c r="L1011" s="148"/>
      <c r="M1011" s="149"/>
      <c r="N1011" s="149"/>
    </row>
    <row r="1012" customFormat="false" ht="15" hidden="false" customHeight="true" outlineLevel="0" collapsed="false">
      <c r="L1012" s="148"/>
      <c r="M1012" s="149"/>
      <c r="N1012" s="149"/>
    </row>
    <row r="1013" customFormat="false" ht="15" hidden="false" customHeight="true" outlineLevel="0" collapsed="false">
      <c r="L1013" s="148"/>
      <c r="M1013" s="149"/>
      <c r="N1013" s="149"/>
    </row>
    <row r="1014" customFormat="false" ht="15" hidden="false" customHeight="true" outlineLevel="0" collapsed="false">
      <c r="L1014" s="148"/>
      <c r="M1014" s="149"/>
      <c r="N1014" s="149"/>
    </row>
    <row r="1015" customFormat="false" ht="15" hidden="false" customHeight="true" outlineLevel="0" collapsed="false">
      <c r="L1015" s="148"/>
      <c r="M1015" s="149"/>
      <c r="N1015" s="149"/>
    </row>
    <row r="1016" customFormat="false" ht="15" hidden="false" customHeight="true" outlineLevel="0" collapsed="false">
      <c r="L1016" s="148"/>
      <c r="M1016" s="149"/>
      <c r="N1016" s="149"/>
    </row>
    <row r="1017" customFormat="false" ht="15" hidden="false" customHeight="true" outlineLevel="0" collapsed="false">
      <c r="L1017" s="148"/>
      <c r="M1017" s="149"/>
      <c r="N1017" s="149"/>
    </row>
    <row r="1018" customFormat="false" ht="15" hidden="false" customHeight="true" outlineLevel="0" collapsed="false">
      <c r="L1018" s="148"/>
      <c r="M1018" s="149"/>
      <c r="N1018" s="149"/>
    </row>
    <row r="1019" customFormat="false" ht="15" hidden="false" customHeight="true" outlineLevel="0" collapsed="false">
      <c r="L1019" s="148"/>
      <c r="M1019" s="149"/>
      <c r="N1019" s="149"/>
    </row>
    <row r="1020" customFormat="false" ht="15" hidden="false" customHeight="true" outlineLevel="0" collapsed="false">
      <c r="L1020" s="148"/>
      <c r="M1020" s="149"/>
      <c r="N1020" s="149"/>
    </row>
    <row r="1021" customFormat="false" ht="15" hidden="false" customHeight="true" outlineLevel="0" collapsed="false">
      <c r="L1021" s="148"/>
      <c r="M1021" s="149"/>
      <c r="N1021" s="149"/>
    </row>
    <row r="1022" customFormat="false" ht="15" hidden="false" customHeight="true" outlineLevel="0" collapsed="false">
      <c r="L1022" s="148"/>
      <c r="M1022" s="149"/>
      <c r="N1022" s="149"/>
    </row>
    <row r="1023" customFormat="false" ht="15" hidden="false" customHeight="true" outlineLevel="0" collapsed="false">
      <c r="L1023" s="148"/>
      <c r="M1023" s="149"/>
      <c r="N1023" s="149"/>
    </row>
    <row r="1024" customFormat="false" ht="15" hidden="false" customHeight="true" outlineLevel="0" collapsed="false">
      <c r="L1024" s="148"/>
      <c r="M1024" s="149"/>
      <c r="N1024" s="149"/>
    </row>
    <row r="1025" customFormat="false" ht="15" hidden="false" customHeight="true" outlineLevel="0" collapsed="false">
      <c r="L1025" s="148"/>
      <c r="M1025" s="149"/>
      <c r="N1025" s="149"/>
    </row>
    <row r="1026" customFormat="false" ht="15" hidden="false" customHeight="true" outlineLevel="0" collapsed="false">
      <c r="L1026" s="148"/>
      <c r="M1026" s="149"/>
      <c r="N1026" s="149"/>
    </row>
    <row r="1027" customFormat="false" ht="15" hidden="false" customHeight="true" outlineLevel="0" collapsed="false">
      <c r="L1027" s="148"/>
      <c r="M1027" s="149"/>
      <c r="N1027" s="149"/>
    </row>
    <row r="1028" customFormat="false" ht="15" hidden="false" customHeight="true" outlineLevel="0" collapsed="false">
      <c r="L1028" s="148"/>
      <c r="M1028" s="149"/>
      <c r="N1028" s="149"/>
    </row>
    <row r="1029" customFormat="false" ht="15" hidden="false" customHeight="true" outlineLevel="0" collapsed="false">
      <c r="L1029" s="148"/>
      <c r="M1029" s="149"/>
      <c r="N1029" s="149"/>
    </row>
    <row r="1030" customFormat="false" ht="15" hidden="false" customHeight="true" outlineLevel="0" collapsed="false">
      <c r="L1030" s="148"/>
      <c r="M1030" s="149"/>
      <c r="N1030" s="149"/>
    </row>
    <row r="1031" customFormat="false" ht="15" hidden="false" customHeight="true" outlineLevel="0" collapsed="false">
      <c r="L1031" s="148"/>
      <c r="M1031" s="149"/>
      <c r="N1031" s="149"/>
    </row>
    <row r="1032" customFormat="false" ht="15" hidden="false" customHeight="true" outlineLevel="0" collapsed="false">
      <c r="L1032" s="148"/>
      <c r="M1032" s="149"/>
      <c r="N1032" s="149"/>
    </row>
    <row r="1033" customFormat="false" ht="15" hidden="false" customHeight="true" outlineLevel="0" collapsed="false">
      <c r="L1033" s="148"/>
      <c r="M1033" s="149"/>
      <c r="N1033" s="149"/>
    </row>
    <row r="1034" customFormat="false" ht="15" hidden="false" customHeight="true" outlineLevel="0" collapsed="false">
      <c r="L1034" s="148"/>
      <c r="M1034" s="149"/>
      <c r="N1034" s="149"/>
    </row>
    <row r="1035" customFormat="false" ht="15" hidden="false" customHeight="true" outlineLevel="0" collapsed="false">
      <c r="L1035" s="148"/>
      <c r="M1035" s="149"/>
      <c r="N1035" s="149"/>
    </row>
    <row r="1036" customFormat="false" ht="15" hidden="false" customHeight="true" outlineLevel="0" collapsed="false">
      <c r="L1036" s="148"/>
      <c r="M1036" s="149"/>
      <c r="N1036" s="149"/>
    </row>
    <row r="1037" customFormat="false" ht="15" hidden="false" customHeight="true" outlineLevel="0" collapsed="false">
      <c r="L1037" s="148"/>
      <c r="M1037" s="149"/>
      <c r="N1037" s="149"/>
    </row>
    <row r="1038" customFormat="false" ht="15" hidden="false" customHeight="true" outlineLevel="0" collapsed="false">
      <c r="L1038" s="148"/>
      <c r="M1038" s="149"/>
      <c r="N1038" s="149"/>
    </row>
    <row r="1039" customFormat="false" ht="15" hidden="false" customHeight="true" outlineLevel="0" collapsed="false">
      <c r="L1039" s="148"/>
      <c r="M1039" s="149"/>
      <c r="N1039" s="149"/>
    </row>
    <row r="1040" customFormat="false" ht="15" hidden="false" customHeight="true" outlineLevel="0" collapsed="false">
      <c r="L1040" s="148"/>
      <c r="M1040" s="149"/>
      <c r="N1040" s="149"/>
    </row>
    <row r="1041" customFormat="false" ht="15" hidden="false" customHeight="true" outlineLevel="0" collapsed="false">
      <c r="L1041" s="148"/>
      <c r="M1041" s="149"/>
      <c r="N1041" s="149"/>
    </row>
    <row r="1042" customFormat="false" ht="15" hidden="false" customHeight="true" outlineLevel="0" collapsed="false">
      <c r="L1042" s="148"/>
      <c r="M1042" s="149"/>
      <c r="N1042" s="149"/>
    </row>
    <row r="1043" customFormat="false" ht="15" hidden="false" customHeight="true" outlineLevel="0" collapsed="false">
      <c r="L1043" s="148"/>
      <c r="M1043" s="149"/>
      <c r="N1043" s="149"/>
    </row>
    <row r="1044" customFormat="false" ht="15" hidden="false" customHeight="true" outlineLevel="0" collapsed="false">
      <c r="L1044" s="148"/>
      <c r="M1044" s="149"/>
      <c r="N1044" s="149"/>
    </row>
    <row r="1045" customFormat="false" ht="15" hidden="false" customHeight="true" outlineLevel="0" collapsed="false">
      <c r="L1045" s="148"/>
      <c r="M1045" s="149"/>
      <c r="N1045" s="149"/>
    </row>
    <row r="1046" customFormat="false" ht="15" hidden="false" customHeight="true" outlineLevel="0" collapsed="false">
      <c r="L1046" s="148"/>
      <c r="M1046" s="149"/>
      <c r="N1046" s="149"/>
    </row>
    <row r="1047" customFormat="false" ht="15" hidden="false" customHeight="true" outlineLevel="0" collapsed="false">
      <c r="L1047" s="148"/>
      <c r="M1047" s="149"/>
      <c r="N1047" s="149"/>
    </row>
    <row r="1048" customFormat="false" ht="15" hidden="false" customHeight="true" outlineLevel="0" collapsed="false">
      <c r="L1048" s="148"/>
      <c r="M1048" s="149"/>
      <c r="N1048" s="149"/>
    </row>
    <row r="1049" customFormat="false" ht="15" hidden="false" customHeight="true" outlineLevel="0" collapsed="false">
      <c r="L1049" s="148"/>
      <c r="M1049" s="149"/>
      <c r="N1049" s="149"/>
    </row>
    <row r="1050" customFormat="false" ht="15" hidden="false" customHeight="true" outlineLevel="0" collapsed="false">
      <c r="L1050" s="148"/>
      <c r="M1050" s="149"/>
      <c r="N1050" s="149"/>
    </row>
    <row r="1051" customFormat="false" ht="15" hidden="false" customHeight="true" outlineLevel="0" collapsed="false">
      <c r="L1051" s="148"/>
      <c r="M1051" s="149"/>
      <c r="N1051" s="149"/>
    </row>
    <row r="1052" customFormat="false" ht="15" hidden="false" customHeight="true" outlineLevel="0" collapsed="false">
      <c r="L1052" s="148"/>
      <c r="M1052" s="149"/>
      <c r="N1052" s="149"/>
    </row>
    <row r="1053" customFormat="false" ht="15" hidden="false" customHeight="true" outlineLevel="0" collapsed="false">
      <c r="L1053" s="148"/>
      <c r="M1053" s="149"/>
      <c r="N1053" s="149"/>
    </row>
    <row r="1054" customFormat="false" ht="15" hidden="false" customHeight="true" outlineLevel="0" collapsed="false">
      <c r="L1054" s="148"/>
      <c r="M1054" s="149"/>
      <c r="N1054" s="149"/>
    </row>
    <row r="1055" customFormat="false" ht="15" hidden="false" customHeight="true" outlineLevel="0" collapsed="false">
      <c r="L1055" s="148"/>
      <c r="M1055" s="149"/>
      <c r="N1055" s="149"/>
    </row>
    <row r="1056" customFormat="false" ht="15" hidden="false" customHeight="true" outlineLevel="0" collapsed="false">
      <c r="L1056" s="148"/>
      <c r="M1056" s="149"/>
      <c r="N1056" s="149"/>
    </row>
    <row r="1057" customFormat="false" ht="15" hidden="false" customHeight="true" outlineLevel="0" collapsed="false">
      <c r="L1057" s="148"/>
      <c r="M1057" s="149"/>
      <c r="N1057" s="149"/>
    </row>
    <row r="1058" customFormat="false" ht="15" hidden="false" customHeight="true" outlineLevel="0" collapsed="false">
      <c r="L1058" s="148"/>
      <c r="M1058" s="149"/>
      <c r="N1058" s="149"/>
    </row>
    <row r="1059" customFormat="false" ht="15" hidden="false" customHeight="true" outlineLevel="0" collapsed="false">
      <c r="L1059" s="148"/>
      <c r="M1059" s="149"/>
      <c r="N1059" s="149"/>
    </row>
    <row r="1060" customFormat="false" ht="15" hidden="false" customHeight="true" outlineLevel="0" collapsed="false">
      <c r="L1060" s="148"/>
      <c r="M1060" s="149"/>
      <c r="N1060" s="149"/>
    </row>
    <row r="1061" customFormat="false" ht="15" hidden="false" customHeight="true" outlineLevel="0" collapsed="false">
      <c r="L1061" s="148"/>
      <c r="M1061" s="149"/>
      <c r="N1061" s="149"/>
    </row>
    <row r="1062" customFormat="false" ht="15" hidden="false" customHeight="true" outlineLevel="0" collapsed="false">
      <c r="L1062" s="148"/>
      <c r="M1062" s="149"/>
      <c r="N1062" s="149"/>
    </row>
    <row r="1063" customFormat="false" ht="15" hidden="false" customHeight="true" outlineLevel="0" collapsed="false">
      <c r="L1063" s="148"/>
      <c r="M1063" s="149"/>
      <c r="N1063" s="149"/>
    </row>
    <row r="1064" customFormat="false" ht="15" hidden="false" customHeight="true" outlineLevel="0" collapsed="false">
      <c r="L1064" s="148"/>
      <c r="M1064" s="149"/>
      <c r="N1064" s="149"/>
    </row>
    <row r="1065" customFormat="false" ht="15" hidden="false" customHeight="true" outlineLevel="0" collapsed="false">
      <c r="L1065" s="148"/>
      <c r="M1065" s="149"/>
      <c r="N1065" s="149"/>
    </row>
    <row r="1066" customFormat="false" ht="15" hidden="false" customHeight="true" outlineLevel="0" collapsed="false">
      <c r="L1066" s="148"/>
      <c r="M1066" s="149"/>
      <c r="N1066" s="149"/>
    </row>
    <row r="1067" customFormat="false" ht="15" hidden="false" customHeight="true" outlineLevel="0" collapsed="false">
      <c r="L1067" s="148"/>
      <c r="M1067" s="149"/>
      <c r="N1067" s="149"/>
    </row>
    <row r="1068" customFormat="false" ht="15" hidden="false" customHeight="true" outlineLevel="0" collapsed="false">
      <c r="L1068" s="148"/>
      <c r="M1068" s="149"/>
      <c r="N1068" s="149"/>
    </row>
    <row r="1069" customFormat="false" ht="15" hidden="false" customHeight="true" outlineLevel="0" collapsed="false">
      <c r="L1069" s="148"/>
      <c r="M1069" s="149"/>
      <c r="N1069" s="149"/>
    </row>
    <row r="1070" customFormat="false" ht="15" hidden="false" customHeight="true" outlineLevel="0" collapsed="false">
      <c r="L1070" s="148"/>
      <c r="M1070" s="149"/>
      <c r="N1070" s="149"/>
    </row>
    <row r="1071" customFormat="false" ht="15" hidden="false" customHeight="true" outlineLevel="0" collapsed="false">
      <c r="L1071" s="148"/>
      <c r="M1071" s="149"/>
      <c r="N1071" s="149"/>
    </row>
    <row r="1072" customFormat="false" ht="15" hidden="false" customHeight="true" outlineLevel="0" collapsed="false">
      <c r="L1072" s="148"/>
      <c r="M1072" s="149"/>
      <c r="N1072" s="149"/>
    </row>
    <row r="1073" customFormat="false" ht="15" hidden="false" customHeight="true" outlineLevel="0" collapsed="false">
      <c r="L1073" s="148"/>
      <c r="M1073" s="149"/>
      <c r="N1073" s="149"/>
    </row>
    <row r="1074" customFormat="false" ht="15" hidden="false" customHeight="true" outlineLevel="0" collapsed="false">
      <c r="L1074" s="148"/>
      <c r="M1074" s="149"/>
      <c r="N1074" s="149"/>
    </row>
    <row r="1075" customFormat="false" ht="15" hidden="false" customHeight="true" outlineLevel="0" collapsed="false">
      <c r="L1075" s="148"/>
      <c r="M1075" s="149"/>
      <c r="N1075" s="149"/>
    </row>
    <row r="1076" customFormat="false" ht="15" hidden="false" customHeight="true" outlineLevel="0" collapsed="false">
      <c r="L1076" s="148"/>
      <c r="M1076" s="149"/>
      <c r="N1076" s="149"/>
    </row>
    <row r="1077" customFormat="false" ht="15" hidden="false" customHeight="true" outlineLevel="0" collapsed="false">
      <c r="L1077" s="148"/>
      <c r="M1077" s="149"/>
      <c r="N1077" s="149"/>
    </row>
    <row r="1078" customFormat="false" ht="15" hidden="false" customHeight="true" outlineLevel="0" collapsed="false">
      <c r="L1078" s="148"/>
      <c r="M1078" s="149"/>
      <c r="N1078" s="149"/>
    </row>
    <row r="1079" customFormat="false" ht="15" hidden="false" customHeight="true" outlineLevel="0" collapsed="false">
      <c r="L1079" s="148"/>
      <c r="M1079" s="149"/>
      <c r="N1079" s="149"/>
    </row>
    <row r="1080" customFormat="false" ht="15" hidden="false" customHeight="true" outlineLevel="0" collapsed="false">
      <c r="L1080" s="148"/>
      <c r="M1080" s="149"/>
      <c r="N1080" s="149"/>
    </row>
    <row r="1081" customFormat="false" ht="15" hidden="false" customHeight="true" outlineLevel="0" collapsed="false">
      <c r="L1081" s="148"/>
      <c r="M1081" s="149"/>
      <c r="N1081" s="149"/>
    </row>
    <row r="1082" customFormat="false" ht="15" hidden="false" customHeight="true" outlineLevel="0" collapsed="false">
      <c r="L1082" s="148"/>
      <c r="M1082" s="149"/>
      <c r="N1082" s="149"/>
    </row>
    <row r="1083" customFormat="false" ht="15" hidden="false" customHeight="true" outlineLevel="0" collapsed="false">
      <c r="L1083" s="148"/>
      <c r="M1083" s="149"/>
      <c r="N1083" s="149"/>
    </row>
    <row r="1084" customFormat="false" ht="15" hidden="false" customHeight="true" outlineLevel="0" collapsed="false">
      <c r="L1084" s="148"/>
      <c r="M1084" s="149"/>
      <c r="N1084" s="149"/>
    </row>
    <row r="1085" customFormat="false" ht="15" hidden="false" customHeight="true" outlineLevel="0" collapsed="false">
      <c r="L1085" s="148"/>
      <c r="M1085" s="149"/>
      <c r="N1085" s="149"/>
    </row>
    <row r="1086" customFormat="false" ht="15" hidden="false" customHeight="true" outlineLevel="0" collapsed="false">
      <c r="L1086" s="148"/>
      <c r="M1086" s="149"/>
      <c r="N1086" s="149"/>
    </row>
    <row r="1087" customFormat="false" ht="15" hidden="false" customHeight="true" outlineLevel="0" collapsed="false">
      <c r="L1087" s="148"/>
      <c r="M1087" s="149"/>
      <c r="N1087" s="149"/>
    </row>
    <row r="1088" customFormat="false" ht="15" hidden="false" customHeight="true" outlineLevel="0" collapsed="false">
      <c r="L1088" s="148"/>
      <c r="M1088" s="149"/>
      <c r="N1088" s="149"/>
    </row>
    <row r="1089" customFormat="false" ht="15" hidden="false" customHeight="true" outlineLevel="0" collapsed="false">
      <c r="L1089" s="148"/>
      <c r="M1089" s="149"/>
      <c r="N1089" s="149"/>
    </row>
    <row r="1090" customFormat="false" ht="15" hidden="false" customHeight="true" outlineLevel="0" collapsed="false">
      <c r="L1090" s="148"/>
      <c r="M1090" s="149"/>
      <c r="N1090" s="149"/>
    </row>
    <row r="1091" customFormat="false" ht="15" hidden="false" customHeight="true" outlineLevel="0" collapsed="false">
      <c r="L1091" s="148"/>
      <c r="M1091" s="149"/>
      <c r="N1091" s="149"/>
    </row>
    <row r="1092" customFormat="false" ht="15" hidden="false" customHeight="true" outlineLevel="0" collapsed="false">
      <c r="L1092" s="148"/>
      <c r="M1092" s="149"/>
      <c r="N1092" s="149"/>
    </row>
    <row r="1093" customFormat="false" ht="15" hidden="false" customHeight="true" outlineLevel="0" collapsed="false">
      <c r="L1093" s="148"/>
      <c r="M1093" s="149"/>
      <c r="N1093" s="149"/>
    </row>
    <row r="1094" customFormat="false" ht="15" hidden="false" customHeight="true" outlineLevel="0" collapsed="false">
      <c r="L1094" s="148"/>
      <c r="M1094" s="149"/>
      <c r="N1094" s="149"/>
    </row>
    <row r="1095" customFormat="false" ht="15" hidden="false" customHeight="true" outlineLevel="0" collapsed="false">
      <c r="L1095" s="148"/>
      <c r="M1095" s="149"/>
      <c r="N1095" s="149"/>
    </row>
    <row r="1096" customFormat="false" ht="15" hidden="false" customHeight="true" outlineLevel="0" collapsed="false">
      <c r="L1096" s="148"/>
      <c r="M1096" s="149"/>
      <c r="N1096" s="149"/>
    </row>
    <row r="1097" customFormat="false" ht="15" hidden="false" customHeight="true" outlineLevel="0" collapsed="false">
      <c r="L1097" s="148"/>
      <c r="M1097" s="149"/>
      <c r="N1097" s="149"/>
    </row>
    <row r="1098" customFormat="false" ht="15" hidden="false" customHeight="true" outlineLevel="0" collapsed="false">
      <c r="L1098" s="148"/>
      <c r="M1098" s="149"/>
      <c r="N1098" s="149"/>
    </row>
    <row r="1099" customFormat="false" ht="15" hidden="false" customHeight="true" outlineLevel="0" collapsed="false">
      <c r="L1099" s="148"/>
      <c r="M1099" s="149"/>
      <c r="N1099" s="149"/>
    </row>
    <row r="1100" customFormat="false" ht="15" hidden="false" customHeight="true" outlineLevel="0" collapsed="false">
      <c r="L1100" s="148"/>
      <c r="M1100" s="149"/>
      <c r="N1100" s="149"/>
    </row>
    <row r="1101" customFormat="false" ht="15" hidden="false" customHeight="true" outlineLevel="0" collapsed="false">
      <c r="L1101" s="148"/>
      <c r="M1101" s="149"/>
      <c r="N1101" s="149"/>
    </row>
    <row r="1102" customFormat="false" ht="15" hidden="false" customHeight="true" outlineLevel="0" collapsed="false">
      <c r="L1102" s="148"/>
      <c r="M1102" s="149"/>
      <c r="N1102" s="149"/>
    </row>
    <row r="1103" customFormat="false" ht="15" hidden="false" customHeight="true" outlineLevel="0" collapsed="false">
      <c r="L1103" s="148"/>
      <c r="M1103" s="149"/>
      <c r="N1103" s="149"/>
    </row>
    <row r="1104" customFormat="false" ht="15" hidden="false" customHeight="true" outlineLevel="0" collapsed="false">
      <c r="L1104" s="148"/>
      <c r="M1104" s="149"/>
      <c r="N1104" s="149"/>
    </row>
    <row r="1105" customFormat="false" ht="15" hidden="false" customHeight="true" outlineLevel="0" collapsed="false">
      <c r="L1105" s="148"/>
      <c r="M1105" s="149"/>
      <c r="N1105" s="149"/>
    </row>
    <row r="1106" customFormat="false" ht="15" hidden="false" customHeight="true" outlineLevel="0" collapsed="false">
      <c r="L1106" s="148"/>
      <c r="M1106" s="149"/>
      <c r="N1106" s="149"/>
    </row>
    <row r="1107" customFormat="false" ht="15" hidden="false" customHeight="true" outlineLevel="0" collapsed="false">
      <c r="L1107" s="148"/>
      <c r="M1107" s="149"/>
      <c r="N1107" s="149"/>
    </row>
    <row r="1108" customFormat="false" ht="15" hidden="false" customHeight="true" outlineLevel="0" collapsed="false">
      <c r="L1108" s="148"/>
      <c r="M1108" s="149"/>
      <c r="N1108" s="149"/>
    </row>
    <row r="1109" customFormat="false" ht="15" hidden="false" customHeight="true" outlineLevel="0" collapsed="false">
      <c r="L1109" s="148"/>
      <c r="M1109" s="149"/>
      <c r="N1109" s="149"/>
    </row>
    <row r="1110" customFormat="false" ht="15" hidden="false" customHeight="true" outlineLevel="0" collapsed="false">
      <c r="L1110" s="148"/>
      <c r="M1110" s="149"/>
      <c r="N1110" s="149"/>
    </row>
    <row r="1111" customFormat="false" ht="15" hidden="false" customHeight="true" outlineLevel="0" collapsed="false">
      <c r="L1111" s="148"/>
      <c r="M1111" s="149"/>
      <c r="N1111" s="149"/>
    </row>
    <row r="1112" customFormat="false" ht="15" hidden="false" customHeight="true" outlineLevel="0" collapsed="false">
      <c r="L1112" s="148"/>
      <c r="M1112" s="149"/>
      <c r="N1112" s="149"/>
    </row>
    <row r="1113" customFormat="false" ht="15" hidden="false" customHeight="true" outlineLevel="0" collapsed="false">
      <c r="L1113" s="148"/>
      <c r="M1113" s="149"/>
      <c r="N1113" s="149"/>
    </row>
    <row r="1114" customFormat="false" ht="15" hidden="false" customHeight="true" outlineLevel="0" collapsed="false">
      <c r="L1114" s="148"/>
      <c r="M1114" s="149"/>
      <c r="N1114" s="149"/>
    </row>
    <row r="1115" customFormat="false" ht="15" hidden="false" customHeight="true" outlineLevel="0" collapsed="false">
      <c r="L1115" s="148"/>
      <c r="M1115" s="149"/>
      <c r="N1115" s="149"/>
    </row>
    <row r="1116" customFormat="false" ht="15" hidden="false" customHeight="true" outlineLevel="0" collapsed="false">
      <c r="L1116" s="148"/>
      <c r="M1116" s="149"/>
      <c r="N1116" s="149"/>
    </row>
    <row r="1117" customFormat="false" ht="15" hidden="false" customHeight="true" outlineLevel="0" collapsed="false">
      <c r="L1117" s="148"/>
      <c r="M1117" s="149"/>
      <c r="N1117" s="149"/>
    </row>
    <row r="1118" customFormat="false" ht="15" hidden="false" customHeight="true" outlineLevel="0" collapsed="false">
      <c r="L1118" s="148"/>
      <c r="M1118" s="149"/>
      <c r="N1118" s="149"/>
    </row>
    <row r="1119" customFormat="false" ht="15" hidden="false" customHeight="true" outlineLevel="0" collapsed="false">
      <c r="L1119" s="148"/>
      <c r="M1119" s="149"/>
      <c r="N1119" s="149"/>
    </row>
    <row r="1120" customFormat="false" ht="15" hidden="false" customHeight="true" outlineLevel="0" collapsed="false">
      <c r="L1120" s="148"/>
      <c r="M1120" s="149"/>
      <c r="N1120" s="149"/>
    </row>
    <row r="1121" customFormat="false" ht="15" hidden="false" customHeight="true" outlineLevel="0" collapsed="false">
      <c r="L1121" s="148"/>
      <c r="M1121" s="149"/>
      <c r="N1121" s="149"/>
    </row>
    <row r="1122" customFormat="false" ht="15" hidden="false" customHeight="true" outlineLevel="0" collapsed="false">
      <c r="L1122" s="148"/>
      <c r="M1122" s="149"/>
      <c r="N1122" s="149"/>
    </row>
    <row r="1123" customFormat="false" ht="15" hidden="false" customHeight="true" outlineLevel="0" collapsed="false">
      <c r="L1123" s="148"/>
      <c r="M1123" s="149"/>
      <c r="N1123" s="149"/>
    </row>
    <row r="1124" customFormat="false" ht="15" hidden="false" customHeight="true" outlineLevel="0" collapsed="false">
      <c r="L1124" s="148"/>
      <c r="M1124" s="149"/>
      <c r="N1124" s="149"/>
    </row>
    <row r="1125" customFormat="false" ht="15" hidden="false" customHeight="true" outlineLevel="0" collapsed="false">
      <c r="L1125" s="148"/>
      <c r="M1125" s="149"/>
      <c r="N1125" s="149"/>
    </row>
    <row r="1126" customFormat="false" ht="15" hidden="false" customHeight="true" outlineLevel="0" collapsed="false">
      <c r="L1126" s="148"/>
      <c r="M1126" s="149"/>
      <c r="N1126" s="149"/>
    </row>
    <row r="1127" customFormat="false" ht="15" hidden="false" customHeight="true" outlineLevel="0" collapsed="false">
      <c r="L1127" s="148"/>
      <c r="M1127" s="149"/>
      <c r="N1127" s="149"/>
    </row>
    <row r="1128" customFormat="false" ht="15" hidden="false" customHeight="true" outlineLevel="0" collapsed="false">
      <c r="L1128" s="148"/>
      <c r="M1128" s="149"/>
      <c r="N1128" s="149"/>
    </row>
    <row r="1129" customFormat="false" ht="15" hidden="false" customHeight="true" outlineLevel="0" collapsed="false">
      <c r="L1129" s="148"/>
      <c r="M1129" s="149"/>
      <c r="N1129" s="149"/>
    </row>
    <row r="1130" customFormat="false" ht="15" hidden="false" customHeight="true" outlineLevel="0" collapsed="false">
      <c r="L1130" s="148"/>
      <c r="M1130" s="149"/>
      <c r="N1130" s="149"/>
    </row>
    <row r="1131" customFormat="false" ht="15" hidden="false" customHeight="true" outlineLevel="0" collapsed="false">
      <c r="L1131" s="148"/>
      <c r="M1131" s="149"/>
      <c r="N1131" s="149"/>
    </row>
    <row r="1132" customFormat="false" ht="15" hidden="false" customHeight="true" outlineLevel="0" collapsed="false">
      <c r="L1132" s="148"/>
      <c r="M1132" s="149"/>
      <c r="N1132" s="149"/>
    </row>
    <row r="1133" customFormat="false" ht="15" hidden="false" customHeight="true" outlineLevel="0" collapsed="false">
      <c r="L1133" s="148"/>
      <c r="M1133" s="149"/>
      <c r="N1133" s="149"/>
    </row>
    <row r="1134" customFormat="false" ht="15" hidden="false" customHeight="true" outlineLevel="0" collapsed="false">
      <c r="L1134" s="148"/>
      <c r="M1134" s="149"/>
      <c r="N1134" s="149"/>
    </row>
    <row r="1135" customFormat="false" ht="15" hidden="false" customHeight="true" outlineLevel="0" collapsed="false">
      <c r="L1135" s="148"/>
      <c r="M1135" s="149"/>
      <c r="N1135" s="149"/>
    </row>
    <row r="1136" customFormat="false" ht="15" hidden="false" customHeight="true" outlineLevel="0" collapsed="false">
      <c r="L1136" s="148"/>
      <c r="M1136" s="149"/>
      <c r="N1136" s="149"/>
    </row>
    <row r="1137" customFormat="false" ht="15" hidden="false" customHeight="true" outlineLevel="0" collapsed="false">
      <c r="L1137" s="148"/>
      <c r="M1137" s="149"/>
      <c r="N1137" s="149"/>
    </row>
    <row r="1138" customFormat="false" ht="15" hidden="false" customHeight="true" outlineLevel="0" collapsed="false">
      <c r="L1138" s="148"/>
      <c r="M1138" s="149"/>
      <c r="N1138" s="149"/>
    </row>
    <row r="1139" customFormat="false" ht="15" hidden="false" customHeight="true" outlineLevel="0" collapsed="false">
      <c r="L1139" s="148"/>
      <c r="M1139" s="149"/>
      <c r="N1139" s="149"/>
    </row>
    <row r="1140" customFormat="false" ht="15" hidden="false" customHeight="true" outlineLevel="0" collapsed="false">
      <c r="L1140" s="148"/>
      <c r="M1140" s="149"/>
      <c r="N1140" s="149"/>
    </row>
    <row r="1141" customFormat="false" ht="15" hidden="false" customHeight="true" outlineLevel="0" collapsed="false">
      <c r="L1141" s="148"/>
      <c r="M1141" s="149"/>
      <c r="N1141" s="149"/>
    </row>
    <row r="1142" customFormat="false" ht="15" hidden="false" customHeight="true" outlineLevel="0" collapsed="false">
      <c r="L1142" s="148"/>
      <c r="M1142" s="149"/>
      <c r="N1142" s="149"/>
    </row>
    <row r="1143" customFormat="false" ht="15" hidden="false" customHeight="true" outlineLevel="0" collapsed="false">
      <c r="L1143" s="148"/>
      <c r="M1143" s="149"/>
      <c r="N1143" s="149"/>
    </row>
    <row r="1144" customFormat="false" ht="15" hidden="false" customHeight="true" outlineLevel="0" collapsed="false">
      <c r="L1144" s="148"/>
      <c r="M1144" s="149"/>
      <c r="N1144" s="149"/>
    </row>
    <row r="1145" customFormat="false" ht="15" hidden="false" customHeight="true" outlineLevel="0" collapsed="false">
      <c r="L1145" s="148"/>
      <c r="M1145" s="149"/>
      <c r="N1145" s="149"/>
    </row>
    <row r="1146" customFormat="false" ht="15" hidden="false" customHeight="true" outlineLevel="0" collapsed="false">
      <c r="L1146" s="148"/>
      <c r="M1146" s="149"/>
      <c r="N1146" s="149"/>
    </row>
    <row r="1147" customFormat="false" ht="15" hidden="false" customHeight="true" outlineLevel="0" collapsed="false">
      <c r="L1147" s="148"/>
      <c r="M1147" s="149"/>
      <c r="N1147" s="149"/>
    </row>
    <row r="1148" customFormat="false" ht="15" hidden="false" customHeight="true" outlineLevel="0" collapsed="false">
      <c r="L1148" s="148"/>
      <c r="M1148" s="149"/>
      <c r="N1148" s="149"/>
    </row>
    <row r="1149" customFormat="false" ht="15" hidden="false" customHeight="true" outlineLevel="0" collapsed="false">
      <c r="L1149" s="148"/>
      <c r="M1149" s="149"/>
      <c r="N1149" s="149"/>
    </row>
    <row r="1150" customFormat="false" ht="15" hidden="false" customHeight="true" outlineLevel="0" collapsed="false">
      <c r="L1150" s="148"/>
      <c r="M1150" s="149"/>
      <c r="N1150" s="149"/>
    </row>
    <row r="1151" customFormat="false" ht="15" hidden="false" customHeight="true" outlineLevel="0" collapsed="false">
      <c r="L1151" s="148"/>
      <c r="M1151" s="149"/>
      <c r="N1151" s="149"/>
    </row>
    <row r="1152" customFormat="false" ht="15" hidden="false" customHeight="true" outlineLevel="0" collapsed="false">
      <c r="L1152" s="148"/>
      <c r="M1152" s="149"/>
      <c r="N1152" s="149"/>
    </row>
    <row r="1153" customFormat="false" ht="15" hidden="false" customHeight="true" outlineLevel="0" collapsed="false">
      <c r="L1153" s="148"/>
      <c r="M1153" s="149"/>
      <c r="N1153" s="149"/>
    </row>
    <row r="1154" customFormat="false" ht="15" hidden="false" customHeight="true" outlineLevel="0" collapsed="false">
      <c r="L1154" s="148"/>
      <c r="M1154" s="149"/>
      <c r="N1154" s="149"/>
    </row>
    <row r="1155" customFormat="false" ht="15" hidden="false" customHeight="true" outlineLevel="0" collapsed="false">
      <c r="L1155" s="148"/>
      <c r="M1155" s="149"/>
      <c r="N1155" s="149"/>
    </row>
    <row r="1156" customFormat="false" ht="15" hidden="false" customHeight="true" outlineLevel="0" collapsed="false">
      <c r="L1156" s="148"/>
      <c r="M1156" s="149"/>
      <c r="N1156" s="149"/>
    </row>
    <row r="1157" customFormat="false" ht="15" hidden="false" customHeight="true" outlineLevel="0" collapsed="false">
      <c r="L1157" s="148"/>
      <c r="M1157" s="149"/>
      <c r="N1157" s="149"/>
    </row>
    <row r="1158" customFormat="false" ht="15" hidden="false" customHeight="true" outlineLevel="0" collapsed="false">
      <c r="L1158" s="148"/>
      <c r="M1158" s="149"/>
      <c r="N1158" s="149"/>
    </row>
    <row r="1159" customFormat="false" ht="15" hidden="false" customHeight="true" outlineLevel="0" collapsed="false">
      <c r="L1159" s="148"/>
      <c r="M1159" s="149"/>
      <c r="N1159" s="149"/>
    </row>
    <row r="1160" customFormat="false" ht="15" hidden="false" customHeight="true" outlineLevel="0" collapsed="false">
      <c r="L1160" s="148"/>
      <c r="M1160" s="149"/>
      <c r="N1160" s="149"/>
    </row>
    <row r="1161" customFormat="false" ht="15" hidden="false" customHeight="true" outlineLevel="0" collapsed="false">
      <c r="L1161" s="148"/>
      <c r="M1161" s="149"/>
      <c r="N1161" s="149"/>
    </row>
    <row r="1162" customFormat="false" ht="15" hidden="false" customHeight="true" outlineLevel="0" collapsed="false">
      <c r="L1162" s="148"/>
      <c r="M1162" s="149"/>
      <c r="N1162" s="149"/>
    </row>
    <row r="1163" customFormat="false" ht="15" hidden="false" customHeight="true" outlineLevel="0" collapsed="false">
      <c r="L1163" s="148"/>
      <c r="M1163" s="149"/>
      <c r="N1163" s="149"/>
    </row>
    <row r="1164" customFormat="false" ht="15" hidden="false" customHeight="true" outlineLevel="0" collapsed="false">
      <c r="L1164" s="148"/>
      <c r="M1164" s="149"/>
      <c r="N1164" s="149"/>
    </row>
    <row r="1165" customFormat="false" ht="15" hidden="false" customHeight="true" outlineLevel="0" collapsed="false">
      <c r="L1165" s="148"/>
      <c r="M1165" s="149"/>
      <c r="N1165" s="149"/>
    </row>
    <row r="1166" customFormat="false" ht="15" hidden="false" customHeight="true" outlineLevel="0" collapsed="false">
      <c r="L1166" s="148"/>
      <c r="M1166" s="149"/>
      <c r="N1166" s="149"/>
    </row>
    <row r="1167" customFormat="false" ht="15" hidden="false" customHeight="true" outlineLevel="0" collapsed="false">
      <c r="L1167" s="148"/>
      <c r="M1167" s="149"/>
      <c r="N1167" s="149"/>
    </row>
    <row r="1168" customFormat="false" ht="15" hidden="false" customHeight="true" outlineLevel="0" collapsed="false">
      <c r="L1168" s="148"/>
      <c r="M1168" s="149"/>
      <c r="N1168" s="149"/>
    </row>
    <row r="1169" customFormat="false" ht="15" hidden="false" customHeight="true" outlineLevel="0" collapsed="false">
      <c r="L1169" s="148"/>
      <c r="M1169" s="149"/>
      <c r="N1169" s="149"/>
    </row>
    <row r="1170" customFormat="false" ht="15" hidden="false" customHeight="true" outlineLevel="0" collapsed="false">
      <c r="L1170" s="148"/>
      <c r="M1170" s="149"/>
      <c r="N1170" s="149"/>
    </row>
    <row r="1171" customFormat="false" ht="15" hidden="false" customHeight="true" outlineLevel="0" collapsed="false">
      <c r="L1171" s="148"/>
      <c r="M1171" s="149"/>
      <c r="N1171" s="149"/>
    </row>
    <row r="1172" customFormat="false" ht="15" hidden="false" customHeight="true" outlineLevel="0" collapsed="false">
      <c r="L1172" s="148"/>
      <c r="M1172" s="149"/>
      <c r="N1172" s="149"/>
    </row>
    <row r="1173" customFormat="false" ht="15" hidden="false" customHeight="true" outlineLevel="0" collapsed="false">
      <c r="L1173" s="148"/>
      <c r="M1173" s="149"/>
      <c r="N1173" s="149"/>
    </row>
    <row r="1174" customFormat="false" ht="15" hidden="false" customHeight="true" outlineLevel="0" collapsed="false">
      <c r="L1174" s="148"/>
      <c r="M1174" s="149"/>
      <c r="N1174" s="149"/>
    </row>
    <row r="1175" customFormat="false" ht="15" hidden="false" customHeight="true" outlineLevel="0" collapsed="false">
      <c r="L1175" s="148"/>
      <c r="M1175" s="149"/>
      <c r="N1175" s="149"/>
    </row>
    <row r="1176" customFormat="false" ht="15" hidden="false" customHeight="true" outlineLevel="0" collapsed="false">
      <c r="L1176" s="148"/>
      <c r="M1176" s="149"/>
      <c r="N1176" s="149"/>
    </row>
    <row r="1177" customFormat="false" ht="15" hidden="false" customHeight="true" outlineLevel="0" collapsed="false">
      <c r="L1177" s="148"/>
      <c r="M1177" s="149"/>
      <c r="N1177" s="149"/>
    </row>
    <row r="1178" customFormat="false" ht="15" hidden="false" customHeight="true" outlineLevel="0" collapsed="false">
      <c r="L1178" s="148"/>
      <c r="M1178" s="149"/>
      <c r="N1178" s="149"/>
    </row>
    <row r="1179" customFormat="false" ht="15" hidden="false" customHeight="true" outlineLevel="0" collapsed="false">
      <c r="L1179" s="148"/>
      <c r="M1179" s="149"/>
      <c r="N1179" s="149"/>
    </row>
    <row r="1180" customFormat="false" ht="15" hidden="false" customHeight="true" outlineLevel="0" collapsed="false">
      <c r="L1180" s="148"/>
      <c r="M1180" s="149"/>
      <c r="N1180" s="149"/>
    </row>
    <row r="1181" customFormat="false" ht="15" hidden="false" customHeight="true" outlineLevel="0" collapsed="false">
      <c r="L1181" s="148"/>
      <c r="M1181" s="149"/>
      <c r="N1181" s="149"/>
    </row>
    <row r="1182" customFormat="false" ht="15" hidden="false" customHeight="true" outlineLevel="0" collapsed="false">
      <c r="L1182" s="148"/>
      <c r="M1182" s="149"/>
      <c r="N1182" s="149"/>
    </row>
    <row r="1183" customFormat="false" ht="15" hidden="false" customHeight="true" outlineLevel="0" collapsed="false">
      <c r="L1183" s="148"/>
      <c r="M1183" s="149"/>
      <c r="N1183" s="149"/>
    </row>
    <row r="1184" customFormat="false" ht="15" hidden="false" customHeight="true" outlineLevel="0" collapsed="false">
      <c r="L1184" s="148"/>
      <c r="M1184" s="149"/>
      <c r="N1184" s="149"/>
    </row>
    <row r="1185" customFormat="false" ht="15" hidden="false" customHeight="true" outlineLevel="0" collapsed="false">
      <c r="L1185" s="148"/>
      <c r="M1185" s="149"/>
      <c r="N1185" s="149"/>
    </row>
    <row r="1186" customFormat="false" ht="15" hidden="false" customHeight="true" outlineLevel="0" collapsed="false">
      <c r="L1186" s="148"/>
      <c r="M1186" s="149"/>
      <c r="N1186" s="149"/>
    </row>
    <row r="1187" customFormat="false" ht="15" hidden="false" customHeight="true" outlineLevel="0" collapsed="false">
      <c r="L1187" s="148"/>
      <c r="M1187" s="149"/>
      <c r="N1187" s="149"/>
    </row>
    <row r="1188" customFormat="false" ht="15" hidden="false" customHeight="true" outlineLevel="0" collapsed="false">
      <c r="L1188" s="148"/>
      <c r="M1188" s="149"/>
      <c r="N1188" s="149"/>
    </row>
    <row r="1189" customFormat="false" ht="15" hidden="false" customHeight="true" outlineLevel="0" collapsed="false">
      <c r="L1189" s="148"/>
      <c r="M1189" s="149"/>
      <c r="N1189" s="149"/>
    </row>
    <row r="1190" customFormat="false" ht="15" hidden="false" customHeight="true" outlineLevel="0" collapsed="false">
      <c r="L1190" s="148"/>
      <c r="M1190" s="149"/>
      <c r="N1190" s="149"/>
    </row>
    <row r="1191" customFormat="false" ht="15" hidden="false" customHeight="true" outlineLevel="0" collapsed="false">
      <c r="L1191" s="148"/>
      <c r="M1191" s="149"/>
      <c r="N1191" s="149"/>
    </row>
    <row r="1192" customFormat="false" ht="15" hidden="false" customHeight="true" outlineLevel="0" collapsed="false">
      <c r="L1192" s="148"/>
      <c r="M1192" s="149"/>
      <c r="N1192" s="149"/>
    </row>
    <row r="1193" customFormat="false" ht="15" hidden="false" customHeight="true" outlineLevel="0" collapsed="false">
      <c r="L1193" s="148"/>
      <c r="M1193" s="149"/>
      <c r="N1193" s="149"/>
    </row>
    <row r="1194" customFormat="false" ht="15" hidden="false" customHeight="true" outlineLevel="0" collapsed="false">
      <c r="L1194" s="148"/>
      <c r="M1194" s="149"/>
      <c r="N1194" s="149"/>
    </row>
    <row r="1195" customFormat="false" ht="15" hidden="false" customHeight="true" outlineLevel="0" collapsed="false">
      <c r="L1195" s="148"/>
      <c r="M1195" s="149"/>
      <c r="N1195" s="149"/>
    </row>
    <row r="1196" customFormat="false" ht="15" hidden="false" customHeight="true" outlineLevel="0" collapsed="false">
      <c r="L1196" s="148"/>
      <c r="M1196" s="149"/>
      <c r="N1196" s="149"/>
    </row>
    <row r="1197" customFormat="false" ht="15" hidden="false" customHeight="true" outlineLevel="0" collapsed="false">
      <c r="L1197" s="148"/>
      <c r="M1197" s="149"/>
      <c r="N1197" s="149"/>
    </row>
    <row r="1198" customFormat="false" ht="15" hidden="false" customHeight="true" outlineLevel="0" collapsed="false">
      <c r="L1198" s="148"/>
      <c r="M1198" s="149"/>
      <c r="N1198" s="149"/>
    </row>
    <row r="1199" customFormat="false" ht="15" hidden="false" customHeight="true" outlineLevel="0" collapsed="false">
      <c r="L1199" s="148"/>
      <c r="M1199" s="149"/>
      <c r="N1199" s="149"/>
    </row>
    <row r="1200" customFormat="false" ht="15" hidden="false" customHeight="true" outlineLevel="0" collapsed="false">
      <c r="L1200" s="148"/>
      <c r="M1200" s="149"/>
      <c r="N1200" s="149"/>
    </row>
    <row r="1201" customFormat="false" ht="15" hidden="false" customHeight="true" outlineLevel="0" collapsed="false">
      <c r="L1201" s="148"/>
      <c r="M1201" s="149"/>
      <c r="N1201" s="149"/>
    </row>
    <row r="1202" customFormat="false" ht="15" hidden="false" customHeight="true" outlineLevel="0" collapsed="false">
      <c r="L1202" s="148"/>
      <c r="M1202" s="149"/>
      <c r="N1202" s="149"/>
    </row>
    <row r="1203" customFormat="false" ht="15" hidden="false" customHeight="true" outlineLevel="0" collapsed="false">
      <c r="L1203" s="148"/>
      <c r="M1203" s="149"/>
      <c r="N1203" s="149"/>
    </row>
    <row r="1204" customFormat="false" ht="15" hidden="false" customHeight="true" outlineLevel="0" collapsed="false">
      <c r="L1204" s="148"/>
      <c r="M1204" s="149"/>
      <c r="N1204" s="149"/>
    </row>
    <row r="1205" customFormat="false" ht="15" hidden="false" customHeight="true" outlineLevel="0" collapsed="false">
      <c r="L1205" s="148"/>
      <c r="M1205" s="149"/>
      <c r="N1205" s="149"/>
    </row>
    <row r="1206" customFormat="false" ht="15" hidden="false" customHeight="true" outlineLevel="0" collapsed="false">
      <c r="L1206" s="148"/>
      <c r="M1206" s="149"/>
      <c r="N1206" s="149"/>
    </row>
    <row r="1207" customFormat="false" ht="15" hidden="false" customHeight="true" outlineLevel="0" collapsed="false">
      <c r="L1207" s="148"/>
      <c r="M1207" s="149"/>
      <c r="N1207" s="149"/>
    </row>
    <row r="1208" customFormat="false" ht="15" hidden="false" customHeight="true" outlineLevel="0" collapsed="false">
      <c r="L1208" s="148"/>
      <c r="M1208" s="149"/>
      <c r="N1208" s="149"/>
    </row>
    <row r="1209" customFormat="false" ht="15" hidden="false" customHeight="true" outlineLevel="0" collapsed="false">
      <c r="L1209" s="148"/>
      <c r="M1209" s="149"/>
      <c r="N1209" s="149"/>
    </row>
    <row r="1210" customFormat="false" ht="15" hidden="false" customHeight="true" outlineLevel="0" collapsed="false">
      <c r="L1210" s="148"/>
      <c r="M1210" s="149"/>
      <c r="N1210" s="149"/>
    </row>
    <row r="1211" customFormat="false" ht="15" hidden="false" customHeight="true" outlineLevel="0" collapsed="false">
      <c r="L1211" s="148"/>
      <c r="M1211" s="149"/>
      <c r="N1211" s="149"/>
    </row>
    <row r="1212" customFormat="false" ht="15" hidden="false" customHeight="true" outlineLevel="0" collapsed="false">
      <c r="L1212" s="148"/>
      <c r="M1212" s="149"/>
      <c r="N1212" s="149"/>
    </row>
    <row r="1213" customFormat="false" ht="15" hidden="false" customHeight="true" outlineLevel="0" collapsed="false">
      <c r="L1213" s="148"/>
      <c r="M1213" s="149"/>
      <c r="N1213" s="149"/>
    </row>
    <row r="1214" customFormat="false" ht="15" hidden="false" customHeight="true" outlineLevel="0" collapsed="false">
      <c r="L1214" s="148"/>
      <c r="M1214" s="149"/>
      <c r="N1214" s="149"/>
    </row>
    <row r="1215" customFormat="false" ht="15" hidden="false" customHeight="true" outlineLevel="0" collapsed="false">
      <c r="L1215" s="148"/>
      <c r="M1215" s="149"/>
      <c r="N1215" s="149"/>
    </row>
    <row r="1216" customFormat="false" ht="15" hidden="false" customHeight="true" outlineLevel="0" collapsed="false">
      <c r="L1216" s="148"/>
      <c r="M1216" s="149"/>
      <c r="N1216" s="149"/>
    </row>
    <row r="1217" customFormat="false" ht="15" hidden="false" customHeight="true" outlineLevel="0" collapsed="false">
      <c r="L1217" s="148"/>
      <c r="M1217" s="149"/>
      <c r="N1217" s="149"/>
    </row>
    <row r="1218" customFormat="false" ht="15" hidden="false" customHeight="true" outlineLevel="0" collapsed="false">
      <c r="L1218" s="148"/>
      <c r="M1218" s="149"/>
      <c r="N1218" s="149"/>
    </row>
    <row r="1219" customFormat="false" ht="15" hidden="false" customHeight="true" outlineLevel="0" collapsed="false">
      <c r="L1219" s="148"/>
      <c r="M1219" s="149"/>
      <c r="N1219" s="149"/>
    </row>
    <row r="1220" customFormat="false" ht="15" hidden="false" customHeight="true" outlineLevel="0" collapsed="false">
      <c r="L1220" s="148"/>
      <c r="M1220" s="149"/>
      <c r="N1220" s="149"/>
    </row>
    <row r="1221" customFormat="false" ht="15" hidden="false" customHeight="true" outlineLevel="0" collapsed="false">
      <c r="L1221" s="148"/>
      <c r="M1221" s="149"/>
      <c r="N1221" s="149"/>
    </row>
    <row r="1222" customFormat="false" ht="15" hidden="false" customHeight="true" outlineLevel="0" collapsed="false">
      <c r="L1222" s="148"/>
      <c r="M1222" s="149"/>
      <c r="N1222" s="149"/>
    </row>
    <row r="1223" customFormat="false" ht="15" hidden="false" customHeight="true" outlineLevel="0" collapsed="false">
      <c r="L1223" s="148"/>
      <c r="M1223" s="149"/>
      <c r="N1223" s="149"/>
    </row>
    <row r="1224" customFormat="false" ht="15" hidden="false" customHeight="true" outlineLevel="0" collapsed="false">
      <c r="L1224" s="148"/>
      <c r="M1224" s="149"/>
      <c r="N1224" s="149"/>
    </row>
    <row r="1225" customFormat="false" ht="15" hidden="false" customHeight="true" outlineLevel="0" collapsed="false">
      <c r="L1225" s="148"/>
      <c r="M1225" s="149"/>
      <c r="N1225" s="149"/>
    </row>
    <row r="1226" customFormat="false" ht="15" hidden="false" customHeight="true" outlineLevel="0" collapsed="false">
      <c r="L1226" s="148"/>
      <c r="M1226" s="149"/>
      <c r="N1226" s="149"/>
    </row>
    <row r="1227" customFormat="false" ht="15" hidden="false" customHeight="true" outlineLevel="0" collapsed="false">
      <c r="L1227" s="148"/>
      <c r="M1227" s="149"/>
      <c r="N1227" s="149"/>
    </row>
    <row r="1228" customFormat="false" ht="15" hidden="false" customHeight="true" outlineLevel="0" collapsed="false">
      <c r="L1228" s="148"/>
      <c r="M1228" s="149"/>
      <c r="N1228" s="149"/>
    </row>
    <row r="1229" customFormat="false" ht="15" hidden="false" customHeight="true" outlineLevel="0" collapsed="false">
      <c r="L1229" s="148"/>
      <c r="M1229" s="149"/>
      <c r="N1229" s="149"/>
    </row>
    <row r="1230" customFormat="false" ht="15" hidden="false" customHeight="true" outlineLevel="0" collapsed="false">
      <c r="L1230" s="148"/>
      <c r="M1230" s="149"/>
      <c r="N1230" s="149"/>
    </row>
    <row r="1231" customFormat="false" ht="15" hidden="false" customHeight="true" outlineLevel="0" collapsed="false">
      <c r="L1231" s="148"/>
      <c r="M1231" s="149"/>
      <c r="N1231" s="149"/>
    </row>
    <row r="1232" customFormat="false" ht="15" hidden="false" customHeight="true" outlineLevel="0" collapsed="false">
      <c r="L1232" s="148"/>
      <c r="M1232" s="149"/>
      <c r="N1232" s="149"/>
    </row>
    <row r="1233" customFormat="false" ht="15" hidden="false" customHeight="true" outlineLevel="0" collapsed="false">
      <c r="L1233" s="148"/>
      <c r="M1233" s="149"/>
      <c r="N1233" s="149"/>
    </row>
    <row r="1234" customFormat="false" ht="15" hidden="false" customHeight="true" outlineLevel="0" collapsed="false">
      <c r="L1234" s="148"/>
      <c r="M1234" s="149"/>
      <c r="N1234" s="149"/>
    </row>
    <row r="1235" customFormat="false" ht="15" hidden="false" customHeight="true" outlineLevel="0" collapsed="false">
      <c r="L1235" s="148"/>
      <c r="M1235" s="149"/>
      <c r="N1235" s="149"/>
    </row>
    <row r="1236" customFormat="false" ht="15" hidden="false" customHeight="true" outlineLevel="0" collapsed="false">
      <c r="L1236" s="148"/>
      <c r="M1236" s="149"/>
      <c r="N1236" s="149"/>
    </row>
    <row r="1237" customFormat="false" ht="15" hidden="false" customHeight="true" outlineLevel="0" collapsed="false">
      <c r="L1237" s="148"/>
      <c r="M1237" s="149"/>
      <c r="N1237" s="149"/>
    </row>
    <row r="1238" customFormat="false" ht="15" hidden="false" customHeight="true" outlineLevel="0" collapsed="false">
      <c r="L1238" s="148"/>
      <c r="M1238" s="149"/>
      <c r="N1238" s="149"/>
    </row>
    <row r="1239" customFormat="false" ht="15" hidden="false" customHeight="true" outlineLevel="0" collapsed="false">
      <c r="L1239" s="148"/>
      <c r="M1239" s="149"/>
      <c r="N1239" s="149"/>
    </row>
    <row r="1240" customFormat="false" ht="15" hidden="false" customHeight="true" outlineLevel="0" collapsed="false">
      <c r="L1240" s="148"/>
      <c r="M1240" s="149"/>
      <c r="N1240" s="149"/>
    </row>
    <row r="1241" customFormat="false" ht="15" hidden="false" customHeight="true" outlineLevel="0" collapsed="false">
      <c r="L1241" s="148"/>
      <c r="M1241" s="149"/>
      <c r="N1241" s="149"/>
    </row>
    <row r="1242" customFormat="false" ht="15" hidden="false" customHeight="true" outlineLevel="0" collapsed="false">
      <c r="L1242" s="148"/>
      <c r="M1242" s="149"/>
      <c r="N1242" s="149"/>
    </row>
    <row r="1243" customFormat="false" ht="15" hidden="false" customHeight="true" outlineLevel="0" collapsed="false">
      <c r="L1243" s="148"/>
      <c r="M1243" s="149"/>
      <c r="N1243" s="149"/>
    </row>
    <row r="1244" customFormat="false" ht="15" hidden="false" customHeight="true" outlineLevel="0" collapsed="false">
      <c r="L1244" s="148"/>
      <c r="M1244" s="149"/>
      <c r="N1244" s="149"/>
    </row>
    <row r="1245" customFormat="false" ht="15" hidden="false" customHeight="true" outlineLevel="0" collapsed="false">
      <c r="L1245" s="148"/>
      <c r="M1245" s="149"/>
      <c r="N1245" s="149"/>
    </row>
    <row r="1246" customFormat="false" ht="15" hidden="false" customHeight="true" outlineLevel="0" collapsed="false">
      <c r="L1246" s="148"/>
      <c r="M1246" s="149"/>
      <c r="N1246" s="149"/>
    </row>
    <row r="1247" customFormat="false" ht="15" hidden="false" customHeight="true" outlineLevel="0" collapsed="false">
      <c r="L1247" s="148"/>
      <c r="M1247" s="149"/>
      <c r="N1247" s="149"/>
    </row>
    <row r="1248" customFormat="false" ht="15" hidden="false" customHeight="true" outlineLevel="0" collapsed="false">
      <c r="L1248" s="148"/>
      <c r="M1248" s="149"/>
      <c r="N1248" s="149"/>
    </row>
    <row r="1249" customFormat="false" ht="15" hidden="false" customHeight="true" outlineLevel="0" collapsed="false">
      <c r="L1249" s="148"/>
      <c r="M1249" s="149"/>
      <c r="N1249" s="149"/>
    </row>
    <row r="1250" customFormat="false" ht="15" hidden="false" customHeight="true" outlineLevel="0" collapsed="false">
      <c r="L1250" s="148"/>
      <c r="M1250" s="149"/>
      <c r="N1250" s="149"/>
    </row>
    <row r="1251" customFormat="false" ht="15" hidden="false" customHeight="true" outlineLevel="0" collapsed="false">
      <c r="L1251" s="148"/>
      <c r="M1251" s="149"/>
      <c r="N1251" s="149"/>
    </row>
    <row r="1252" customFormat="false" ht="15" hidden="false" customHeight="true" outlineLevel="0" collapsed="false">
      <c r="L1252" s="148"/>
      <c r="M1252" s="149"/>
      <c r="N1252" s="149"/>
    </row>
    <row r="1253" customFormat="false" ht="15" hidden="false" customHeight="true" outlineLevel="0" collapsed="false">
      <c r="L1253" s="148"/>
      <c r="M1253" s="149"/>
      <c r="N1253" s="149"/>
    </row>
    <row r="1254" customFormat="false" ht="15" hidden="false" customHeight="true" outlineLevel="0" collapsed="false">
      <c r="L1254" s="148"/>
      <c r="M1254" s="149"/>
      <c r="N1254" s="149"/>
    </row>
    <row r="1255" customFormat="false" ht="15" hidden="false" customHeight="true" outlineLevel="0" collapsed="false">
      <c r="L1255" s="148"/>
      <c r="M1255" s="149"/>
      <c r="N1255" s="149"/>
    </row>
    <row r="1256" customFormat="false" ht="15" hidden="false" customHeight="true" outlineLevel="0" collapsed="false">
      <c r="L1256" s="148"/>
      <c r="M1256" s="149"/>
      <c r="N1256" s="149"/>
    </row>
    <row r="1257" customFormat="false" ht="15" hidden="false" customHeight="true" outlineLevel="0" collapsed="false">
      <c r="L1257" s="148"/>
      <c r="M1257" s="149"/>
      <c r="N1257" s="149"/>
    </row>
    <row r="1258" customFormat="false" ht="15" hidden="false" customHeight="true" outlineLevel="0" collapsed="false">
      <c r="L1258" s="148"/>
      <c r="M1258" s="149"/>
      <c r="N1258" s="149"/>
    </row>
    <row r="1259" customFormat="false" ht="15" hidden="false" customHeight="true" outlineLevel="0" collapsed="false">
      <c r="L1259" s="148"/>
      <c r="M1259" s="149"/>
      <c r="N1259" s="149"/>
    </row>
    <row r="1260" customFormat="false" ht="15" hidden="false" customHeight="true" outlineLevel="0" collapsed="false">
      <c r="L1260" s="148"/>
      <c r="M1260" s="149"/>
      <c r="N1260" s="149"/>
    </row>
    <row r="1261" customFormat="false" ht="15" hidden="false" customHeight="true" outlineLevel="0" collapsed="false">
      <c r="L1261" s="148"/>
      <c r="M1261" s="149"/>
      <c r="N1261" s="149"/>
    </row>
    <row r="1262" customFormat="false" ht="15" hidden="false" customHeight="true" outlineLevel="0" collapsed="false">
      <c r="L1262" s="148"/>
      <c r="M1262" s="149"/>
      <c r="N1262" s="149"/>
    </row>
    <row r="1263" customFormat="false" ht="15" hidden="false" customHeight="true" outlineLevel="0" collapsed="false">
      <c r="L1263" s="148"/>
      <c r="M1263" s="149"/>
      <c r="N1263" s="149"/>
    </row>
    <row r="1264" customFormat="false" ht="15" hidden="false" customHeight="true" outlineLevel="0" collapsed="false">
      <c r="L1264" s="148"/>
      <c r="M1264" s="149"/>
      <c r="N1264" s="149"/>
    </row>
    <row r="1265" customFormat="false" ht="15" hidden="false" customHeight="true" outlineLevel="0" collapsed="false">
      <c r="L1265" s="148"/>
      <c r="M1265" s="149"/>
      <c r="N1265" s="149"/>
    </row>
    <row r="1266" customFormat="false" ht="15" hidden="false" customHeight="true" outlineLevel="0" collapsed="false">
      <c r="L1266" s="148"/>
      <c r="M1266" s="149"/>
      <c r="N1266" s="149"/>
    </row>
    <row r="1267" customFormat="false" ht="15" hidden="false" customHeight="true" outlineLevel="0" collapsed="false">
      <c r="L1267" s="148"/>
      <c r="M1267" s="149"/>
      <c r="N1267" s="149"/>
    </row>
    <row r="1268" customFormat="false" ht="15" hidden="false" customHeight="true" outlineLevel="0" collapsed="false">
      <c r="L1268" s="148"/>
      <c r="M1268" s="149"/>
      <c r="N1268" s="149"/>
    </row>
    <row r="1269" customFormat="false" ht="15" hidden="false" customHeight="true" outlineLevel="0" collapsed="false">
      <c r="L1269" s="148"/>
      <c r="M1269" s="149"/>
      <c r="N1269" s="149"/>
    </row>
    <row r="1270" customFormat="false" ht="15" hidden="false" customHeight="true" outlineLevel="0" collapsed="false">
      <c r="L1270" s="148"/>
      <c r="M1270" s="149"/>
      <c r="N1270" s="149"/>
    </row>
    <row r="1271" customFormat="false" ht="15" hidden="false" customHeight="true" outlineLevel="0" collapsed="false">
      <c r="L1271" s="148"/>
      <c r="M1271" s="149"/>
      <c r="N1271" s="149"/>
    </row>
    <row r="1272" customFormat="false" ht="15" hidden="false" customHeight="true" outlineLevel="0" collapsed="false">
      <c r="L1272" s="148"/>
      <c r="M1272" s="149"/>
      <c r="N1272" s="149"/>
    </row>
    <row r="1273" customFormat="false" ht="15" hidden="false" customHeight="true" outlineLevel="0" collapsed="false">
      <c r="L1273" s="148"/>
      <c r="M1273" s="149"/>
      <c r="N1273" s="149"/>
    </row>
    <row r="1274" customFormat="false" ht="15" hidden="false" customHeight="true" outlineLevel="0" collapsed="false">
      <c r="L1274" s="148"/>
      <c r="M1274" s="149"/>
      <c r="N1274" s="149"/>
    </row>
    <row r="1275" customFormat="false" ht="15" hidden="false" customHeight="true" outlineLevel="0" collapsed="false">
      <c r="L1275" s="148"/>
      <c r="M1275" s="149"/>
      <c r="N1275" s="149"/>
    </row>
    <row r="1276" customFormat="false" ht="15" hidden="false" customHeight="true" outlineLevel="0" collapsed="false">
      <c r="L1276" s="148"/>
      <c r="M1276" s="149"/>
      <c r="N1276" s="149"/>
    </row>
    <row r="1277" customFormat="false" ht="15" hidden="false" customHeight="true" outlineLevel="0" collapsed="false">
      <c r="L1277" s="148"/>
      <c r="M1277" s="149"/>
      <c r="N1277" s="149"/>
    </row>
    <row r="1278" customFormat="false" ht="15" hidden="false" customHeight="true" outlineLevel="0" collapsed="false">
      <c r="L1278" s="148"/>
      <c r="M1278" s="149"/>
      <c r="N1278" s="149"/>
    </row>
    <row r="1279" customFormat="false" ht="15" hidden="false" customHeight="true" outlineLevel="0" collapsed="false">
      <c r="L1279" s="148"/>
      <c r="M1279" s="149"/>
      <c r="N1279" s="149"/>
    </row>
    <row r="1280" customFormat="false" ht="15" hidden="false" customHeight="true" outlineLevel="0" collapsed="false">
      <c r="L1280" s="148"/>
      <c r="M1280" s="149"/>
      <c r="N1280" s="149"/>
    </row>
    <row r="1281" customFormat="false" ht="15" hidden="false" customHeight="true" outlineLevel="0" collapsed="false">
      <c r="L1281" s="148"/>
      <c r="M1281" s="149"/>
      <c r="N1281" s="149"/>
    </row>
    <row r="1282" customFormat="false" ht="15" hidden="false" customHeight="true" outlineLevel="0" collapsed="false">
      <c r="L1282" s="148"/>
      <c r="M1282" s="149"/>
      <c r="N1282" s="149"/>
    </row>
    <row r="1283" customFormat="false" ht="15" hidden="false" customHeight="true" outlineLevel="0" collapsed="false">
      <c r="L1283" s="148"/>
      <c r="M1283" s="149"/>
      <c r="N1283" s="149"/>
    </row>
    <row r="1284" customFormat="false" ht="15" hidden="false" customHeight="true" outlineLevel="0" collapsed="false">
      <c r="L1284" s="148"/>
      <c r="M1284" s="149"/>
      <c r="N1284" s="149"/>
    </row>
    <row r="1285" customFormat="false" ht="15" hidden="false" customHeight="true" outlineLevel="0" collapsed="false">
      <c r="L1285" s="148"/>
      <c r="M1285" s="149"/>
      <c r="N1285" s="149"/>
    </row>
    <row r="1286" customFormat="false" ht="15" hidden="false" customHeight="true" outlineLevel="0" collapsed="false">
      <c r="L1286" s="148"/>
      <c r="M1286" s="149"/>
      <c r="N1286" s="149"/>
    </row>
    <row r="1287" customFormat="false" ht="15" hidden="false" customHeight="true" outlineLevel="0" collapsed="false">
      <c r="L1287" s="148"/>
      <c r="M1287" s="149"/>
      <c r="N1287" s="149"/>
    </row>
    <row r="1288" customFormat="false" ht="15" hidden="false" customHeight="true" outlineLevel="0" collapsed="false">
      <c r="L1288" s="148"/>
      <c r="M1288" s="149"/>
      <c r="N1288" s="149"/>
    </row>
    <row r="1289" customFormat="false" ht="15" hidden="false" customHeight="true" outlineLevel="0" collapsed="false">
      <c r="L1289" s="148"/>
      <c r="M1289" s="149"/>
      <c r="N1289" s="149"/>
    </row>
    <row r="1290" customFormat="false" ht="15" hidden="false" customHeight="true" outlineLevel="0" collapsed="false">
      <c r="L1290" s="148"/>
      <c r="M1290" s="149"/>
      <c r="N1290" s="149"/>
    </row>
    <row r="1291" customFormat="false" ht="15" hidden="false" customHeight="true" outlineLevel="0" collapsed="false">
      <c r="L1291" s="148"/>
      <c r="M1291" s="149"/>
      <c r="N1291" s="149"/>
    </row>
    <row r="1292" customFormat="false" ht="15" hidden="false" customHeight="true" outlineLevel="0" collapsed="false">
      <c r="L1292" s="148"/>
      <c r="M1292" s="149"/>
      <c r="N1292" s="149"/>
    </row>
    <row r="1293" customFormat="false" ht="15" hidden="false" customHeight="true" outlineLevel="0" collapsed="false">
      <c r="L1293" s="148"/>
      <c r="M1293" s="149"/>
      <c r="N1293" s="149"/>
    </row>
    <row r="1294" customFormat="false" ht="15" hidden="false" customHeight="true" outlineLevel="0" collapsed="false">
      <c r="L1294" s="148"/>
      <c r="M1294" s="149"/>
      <c r="N1294" s="149"/>
    </row>
    <row r="1295" customFormat="false" ht="15" hidden="false" customHeight="true" outlineLevel="0" collapsed="false">
      <c r="L1295" s="148"/>
      <c r="M1295" s="149"/>
      <c r="N1295" s="149"/>
    </row>
    <row r="1296" customFormat="false" ht="15" hidden="false" customHeight="true" outlineLevel="0" collapsed="false">
      <c r="L1296" s="148"/>
      <c r="M1296" s="149"/>
      <c r="N1296" s="149"/>
    </row>
    <row r="1297" customFormat="false" ht="15" hidden="false" customHeight="true" outlineLevel="0" collapsed="false">
      <c r="L1297" s="148"/>
      <c r="M1297" s="149"/>
      <c r="N1297" s="149"/>
    </row>
    <row r="1298" customFormat="false" ht="15" hidden="false" customHeight="true" outlineLevel="0" collapsed="false">
      <c r="L1298" s="148"/>
      <c r="M1298" s="149"/>
      <c r="N1298" s="149"/>
    </row>
    <row r="1299" customFormat="false" ht="15" hidden="false" customHeight="true" outlineLevel="0" collapsed="false">
      <c r="L1299" s="148"/>
      <c r="M1299" s="149"/>
      <c r="N1299" s="149"/>
    </row>
    <row r="1300" customFormat="false" ht="15" hidden="false" customHeight="true" outlineLevel="0" collapsed="false">
      <c r="L1300" s="148"/>
      <c r="M1300" s="149"/>
      <c r="N1300" s="149"/>
    </row>
    <row r="1301" customFormat="false" ht="15" hidden="false" customHeight="true" outlineLevel="0" collapsed="false">
      <c r="L1301" s="148"/>
      <c r="M1301" s="149"/>
      <c r="N1301" s="149"/>
    </row>
    <row r="1302" customFormat="false" ht="15" hidden="false" customHeight="true" outlineLevel="0" collapsed="false">
      <c r="L1302" s="148"/>
      <c r="M1302" s="149"/>
      <c r="N1302" s="149"/>
    </row>
    <row r="1303" customFormat="false" ht="15" hidden="false" customHeight="true" outlineLevel="0" collapsed="false">
      <c r="L1303" s="148"/>
      <c r="M1303" s="149"/>
      <c r="N1303" s="149"/>
    </row>
    <row r="1304" customFormat="false" ht="15" hidden="false" customHeight="true" outlineLevel="0" collapsed="false">
      <c r="L1304" s="148"/>
      <c r="M1304" s="149"/>
      <c r="N1304" s="149"/>
    </row>
    <row r="1305" customFormat="false" ht="15" hidden="false" customHeight="true" outlineLevel="0" collapsed="false">
      <c r="L1305" s="148"/>
      <c r="M1305" s="149"/>
      <c r="N1305" s="149"/>
    </row>
    <row r="1306" customFormat="false" ht="15" hidden="false" customHeight="true" outlineLevel="0" collapsed="false">
      <c r="L1306" s="148"/>
      <c r="M1306" s="149"/>
      <c r="N1306" s="149"/>
    </row>
    <row r="1307" customFormat="false" ht="15" hidden="false" customHeight="true" outlineLevel="0" collapsed="false">
      <c r="L1307" s="148"/>
      <c r="M1307" s="149"/>
      <c r="N1307" s="149"/>
    </row>
    <row r="1308" customFormat="false" ht="15" hidden="false" customHeight="true" outlineLevel="0" collapsed="false">
      <c r="L1308" s="148"/>
      <c r="M1308" s="149"/>
      <c r="N1308" s="149"/>
    </row>
    <row r="1309" customFormat="false" ht="15" hidden="false" customHeight="true" outlineLevel="0" collapsed="false">
      <c r="L1309" s="148"/>
      <c r="M1309" s="149"/>
      <c r="N1309" s="149"/>
    </row>
    <row r="1310" customFormat="false" ht="15" hidden="false" customHeight="true" outlineLevel="0" collapsed="false">
      <c r="L1310" s="148"/>
      <c r="M1310" s="149"/>
      <c r="N1310" s="149"/>
    </row>
    <row r="1311" customFormat="false" ht="15" hidden="false" customHeight="true" outlineLevel="0" collapsed="false">
      <c r="L1311" s="148"/>
      <c r="M1311" s="149"/>
      <c r="N1311" s="149"/>
    </row>
    <row r="1312" customFormat="false" ht="15" hidden="false" customHeight="true" outlineLevel="0" collapsed="false">
      <c r="L1312" s="148"/>
      <c r="M1312" s="149"/>
      <c r="N1312" s="149"/>
    </row>
    <row r="1313" customFormat="false" ht="15" hidden="false" customHeight="true" outlineLevel="0" collapsed="false">
      <c r="L1313" s="148"/>
      <c r="M1313" s="149"/>
      <c r="N1313" s="149"/>
    </row>
    <row r="1314" customFormat="false" ht="15" hidden="false" customHeight="true" outlineLevel="0" collapsed="false">
      <c r="L1314" s="148"/>
      <c r="M1314" s="149"/>
      <c r="N1314" s="149"/>
    </row>
    <row r="1315" customFormat="false" ht="15" hidden="false" customHeight="true" outlineLevel="0" collapsed="false">
      <c r="L1315" s="148"/>
      <c r="M1315" s="149"/>
      <c r="N1315" s="149"/>
    </row>
    <row r="1316" customFormat="false" ht="15" hidden="false" customHeight="true" outlineLevel="0" collapsed="false">
      <c r="L1316" s="148"/>
      <c r="M1316" s="149"/>
      <c r="N1316" s="149"/>
    </row>
    <row r="1317" customFormat="false" ht="15" hidden="false" customHeight="true" outlineLevel="0" collapsed="false">
      <c r="L1317" s="148"/>
      <c r="M1317" s="149"/>
      <c r="N1317" s="149"/>
    </row>
    <row r="1318" customFormat="false" ht="15" hidden="false" customHeight="true" outlineLevel="0" collapsed="false">
      <c r="L1318" s="148"/>
      <c r="M1318" s="149"/>
      <c r="N1318" s="149"/>
    </row>
    <row r="1319" customFormat="false" ht="15" hidden="false" customHeight="true" outlineLevel="0" collapsed="false">
      <c r="L1319" s="148"/>
      <c r="M1319" s="149"/>
      <c r="N1319" s="149"/>
    </row>
    <row r="1320" customFormat="false" ht="15" hidden="false" customHeight="true" outlineLevel="0" collapsed="false">
      <c r="L1320" s="148"/>
      <c r="M1320" s="149"/>
      <c r="N1320" s="149"/>
    </row>
    <row r="1321" customFormat="false" ht="15" hidden="false" customHeight="true" outlineLevel="0" collapsed="false">
      <c r="L1321" s="148"/>
      <c r="M1321" s="149"/>
      <c r="N1321" s="149"/>
    </row>
    <row r="1322" customFormat="false" ht="15" hidden="false" customHeight="true" outlineLevel="0" collapsed="false">
      <c r="L1322" s="148"/>
      <c r="M1322" s="149"/>
      <c r="N1322" s="149"/>
    </row>
    <row r="1323" customFormat="false" ht="15" hidden="false" customHeight="true" outlineLevel="0" collapsed="false">
      <c r="L1323" s="148"/>
      <c r="M1323" s="149"/>
      <c r="N1323" s="149"/>
    </row>
    <row r="1324" customFormat="false" ht="15" hidden="false" customHeight="true" outlineLevel="0" collapsed="false">
      <c r="L1324" s="148"/>
      <c r="M1324" s="149"/>
      <c r="N1324" s="149"/>
    </row>
    <row r="1325" customFormat="false" ht="15" hidden="false" customHeight="true" outlineLevel="0" collapsed="false">
      <c r="L1325" s="148"/>
      <c r="M1325" s="149"/>
      <c r="N1325" s="149"/>
    </row>
    <row r="1326" customFormat="false" ht="15" hidden="false" customHeight="true" outlineLevel="0" collapsed="false">
      <c r="L1326" s="148"/>
      <c r="M1326" s="149"/>
      <c r="N1326" s="149"/>
    </row>
    <row r="1327" customFormat="false" ht="15" hidden="false" customHeight="true" outlineLevel="0" collapsed="false">
      <c r="L1327" s="148"/>
      <c r="M1327" s="149"/>
      <c r="N1327" s="149"/>
    </row>
    <row r="1328" customFormat="false" ht="15" hidden="false" customHeight="true" outlineLevel="0" collapsed="false">
      <c r="L1328" s="148"/>
      <c r="M1328" s="149"/>
      <c r="N1328" s="149"/>
    </row>
    <row r="1329" customFormat="false" ht="15" hidden="false" customHeight="true" outlineLevel="0" collapsed="false">
      <c r="L1329" s="148"/>
      <c r="M1329" s="149"/>
      <c r="N1329" s="149"/>
    </row>
    <row r="1330" customFormat="false" ht="15" hidden="false" customHeight="true" outlineLevel="0" collapsed="false">
      <c r="L1330" s="148"/>
      <c r="M1330" s="149"/>
      <c r="N1330" s="149"/>
    </row>
    <row r="1331" customFormat="false" ht="15" hidden="false" customHeight="true" outlineLevel="0" collapsed="false">
      <c r="L1331" s="148"/>
      <c r="M1331" s="149"/>
      <c r="N1331" s="149"/>
    </row>
    <row r="1332" customFormat="false" ht="15" hidden="false" customHeight="true" outlineLevel="0" collapsed="false">
      <c r="L1332" s="148"/>
      <c r="M1332" s="149"/>
      <c r="N1332" s="149"/>
    </row>
    <row r="1333" customFormat="false" ht="15" hidden="false" customHeight="true" outlineLevel="0" collapsed="false">
      <c r="L1333" s="148"/>
      <c r="M1333" s="149"/>
      <c r="N1333" s="149"/>
    </row>
    <row r="1334" customFormat="false" ht="15" hidden="false" customHeight="true" outlineLevel="0" collapsed="false">
      <c r="L1334" s="148"/>
      <c r="M1334" s="149"/>
      <c r="N1334" s="149"/>
    </row>
    <row r="1335" customFormat="false" ht="15" hidden="false" customHeight="true" outlineLevel="0" collapsed="false">
      <c r="L1335" s="148"/>
      <c r="M1335" s="149"/>
      <c r="N1335" s="149"/>
    </row>
    <row r="1336" customFormat="false" ht="15" hidden="false" customHeight="true" outlineLevel="0" collapsed="false">
      <c r="L1336" s="148"/>
      <c r="M1336" s="149"/>
      <c r="N1336" s="149"/>
    </row>
    <row r="1337" customFormat="false" ht="15" hidden="false" customHeight="true" outlineLevel="0" collapsed="false">
      <c r="L1337" s="148"/>
      <c r="M1337" s="149"/>
      <c r="N1337" s="149"/>
    </row>
    <row r="1338" customFormat="false" ht="15" hidden="false" customHeight="true" outlineLevel="0" collapsed="false">
      <c r="L1338" s="148"/>
      <c r="M1338" s="149"/>
      <c r="N1338" s="149"/>
    </row>
    <row r="1339" customFormat="false" ht="15" hidden="false" customHeight="true" outlineLevel="0" collapsed="false">
      <c r="L1339" s="148"/>
      <c r="M1339" s="149"/>
      <c r="N1339" s="149"/>
    </row>
    <row r="1340" customFormat="false" ht="15" hidden="false" customHeight="true" outlineLevel="0" collapsed="false">
      <c r="L1340" s="148"/>
      <c r="M1340" s="149"/>
      <c r="N1340" s="149"/>
    </row>
    <row r="1341" customFormat="false" ht="15" hidden="false" customHeight="true" outlineLevel="0" collapsed="false">
      <c r="L1341" s="148"/>
      <c r="M1341" s="149"/>
      <c r="N1341" s="149"/>
    </row>
    <row r="1342" customFormat="false" ht="15" hidden="false" customHeight="true" outlineLevel="0" collapsed="false">
      <c r="L1342" s="148"/>
      <c r="M1342" s="149"/>
      <c r="N1342" s="149"/>
    </row>
    <row r="1343" customFormat="false" ht="15" hidden="false" customHeight="true" outlineLevel="0" collapsed="false">
      <c r="L1343" s="148"/>
      <c r="M1343" s="149"/>
      <c r="N1343" s="149"/>
    </row>
    <row r="1344" customFormat="false" ht="15" hidden="false" customHeight="true" outlineLevel="0" collapsed="false">
      <c r="L1344" s="148"/>
      <c r="M1344" s="149"/>
      <c r="N1344" s="149"/>
    </row>
    <row r="1345" customFormat="false" ht="15" hidden="false" customHeight="true" outlineLevel="0" collapsed="false">
      <c r="L1345" s="148"/>
      <c r="M1345" s="149"/>
      <c r="N1345" s="149"/>
    </row>
    <row r="1346" customFormat="false" ht="15" hidden="false" customHeight="true" outlineLevel="0" collapsed="false">
      <c r="L1346" s="148"/>
      <c r="M1346" s="149"/>
      <c r="N1346" s="149"/>
    </row>
    <row r="1347" customFormat="false" ht="15" hidden="false" customHeight="true" outlineLevel="0" collapsed="false">
      <c r="L1347" s="148"/>
      <c r="M1347" s="149"/>
      <c r="N1347" s="149"/>
    </row>
    <row r="1348" customFormat="false" ht="15" hidden="false" customHeight="true" outlineLevel="0" collapsed="false">
      <c r="L1348" s="148"/>
      <c r="M1348" s="149"/>
      <c r="N1348" s="149"/>
    </row>
    <row r="1349" customFormat="false" ht="15" hidden="false" customHeight="true" outlineLevel="0" collapsed="false">
      <c r="L1349" s="148"/>
      <c r="M1349" s="149"/>
      <c r="N1349" s="149"/>
    </row>
    <row r="1350" customFormat="false" ht="15" hidden="false" customHeight="true" outlineLevel="0" collapsed="false">
      <c r="L1350" s="148"/>
      <c r="M1350" s="149"/>
      <c r="N1350" s="149"/>
    </row>
    <row r="1351" customFormat="false" ht="15" hidden="false" customHeight="true" outlineLevel="0" collapsed="false">
      <c r="L1351" s="148"/>
      <c r="M1351" s="149"/>
      <c r="N1351" s="149"/>
    </row>
    <row r="1352" customFormat="false" ht="15" hidden="false" customHeight="true" outlineLevel="0" collapsed="false">
      <c r="L1352" s="148"/>
      <c r="M1352" s="149"/>
      <c r="N1352" s="149"/>
    </row>
    <row r="1353" customFormat="false" ht="15" hidden="false" customHeight="true" outlineLevel="0" collapsed="false">
      <c r="L1353" s="148"/>
      <c r="M1353" s="149"/>
      <c r="N1353" s="149"/>
    </row>
    <row r="1354" customFormat="false" ht="15" hidden="false" customHeight="true" outlineLevel="0" collapsed="false">
      <c r="L1354" s="148"/>
      <c r="M1354" s="149"/>
      <c r="N1354" s="149"/>
    </row>
    <row r="1355" customFormat="false" ht="15" hidden="false" customHeight="true" outlineLevel="0" collapsed="false">
      <c r="L1355" s="148"/>
      <c r="M1355" s="149"/>
      <c r="N1355" s="149"/>
    </row>
    <row r="1356" customFormat="false" ht="15" hidden="false" customHeight="true" outlineLevel="0" collapsed="false">
      <c r="L1356" s="148"/>
      <c r="M1356" s="149"/>
      <c r="N1356" s="149"/>
    </row>
    <row r="1357" customFormat="false" ht="15" hidden="false" customHeight="true" outlineLevel="0" collapsed="false">
      <c r="L1357" s="148"/>
      <c r="M1357" s="149"/>
      <c r="N1357" s="149"/>
    </row>
    <row r="1358" customFormat="false" ht="15" hidden="false" customHeight="true" outlineLevel="0" collapsed="false">
      <c r="L1358" s="148"/>
      <c r="M1358" s="149"/>
      <c r="N1358" s="149"/>
    </row>
    <row r="1359" customFormat="false" ht="15" hidden="false" customHeight="true" outlineLevel="0" collapsed="false">
      <c r="L1359" s="148"/>
      <c r="M1359" s="149"/>
      <c r="N1359" s="149"/>
    </row>
    <row r="1360" customFormat="false" ht="15" hidden="false" customHeight="true" outlineLevel="0" collapsed="false">
      <c r="L1360" s="148"/>
      <c r="M1360" s="149"/>
      <c r="N1360" s="149"/>
    </row>
    <row r="1361" customFormat="false" ht="15" hidden="false" customHeight="true" outlineLevel="0" collapsed="false">
      <c r="L1361" s="148"/>
      <c r="M1361" s="149"/>
      <c r="N1361" s="149"/>
    </row>
    <row r="1362" customFormat="false" ht="15" hidden="false" customHeight="true" outlineLevel="0" collapsed="false">
      <c r="L1362" s="148"/>
      <c r="M1362" s="149"/>
      <c r="N1362" s="149"/>
    </row>
    <row r="1363" customFormat="false" ht="15" hidden="false" customHeight="true" outlineLevel="0" collapsed="false">
      <c r="L1363" s="148"/>
      <c r="M1363" s="149"/>
      <c r="N1363" s="149"/>
    </row>
    <row r="1364" customFormat="false" ht="15" hidden="false" customHeight="true" outlineLevel="0" collapsed="false">
      <c r="L1364" s="148"/>
      <c r="M1364" s="149"/>
      <c r="N1364" s="149"/>
    </row>
    <row r="1365" customFormat="false" ht="15" hidden="false" customHeight="true" outlineLevel="0" collapsed="false">
      <c r="L1365" s="148"/>
      <c r="M1365" s="149"/>
      <c r="N1365" s="149"/>
    </row>
    <row r="1366" customFormat="false" ht="15" hidden="false" customHeight="true" outlineLevel="0" collapsed="false">
      <c r="L1366" s="148"/>
      <c r="M1366" s="149"/>
      <c r="N1366" s="149"/>
    </row>
    <row r="1367" customFormat="false" ht="15" hidden="false" customHeight="true" outlineLevel="0" collapsed="false">
      <c r="L1367" s="148"/>
      <c r="M1367" s="149"/>
      <c r="N1367" s="149"/>
    </row>
    <row r="1368" customFormat="false" ht="15" hidden="false" customHeight="true" outlineLevel="0" collapsed="false">
      <c r="L1368" s="148"/>
      <c r="M1368" s="149"/>
      <c r="N1368" s="149"/>
    </row>
    <row r="1369" customFormat="false" ht="15" hidden="false" customHeight="true" outlineLevel="0" collapsed="false">
      <c r="L1369" s="148"/>
      <c r="M1369" s="149"/>
      <c r="N1369" s="149"/>
    </row>
    <row r="1370" customFormat="false" ht="15" hidden="false" customHeight="true" outlineLevel="0" collapsed="false">
      <c r="L1370" s="148"/>
      <c r="M1370" s="149"/>
      <c r="N1370" s="149"/>
    </row>
    <row r="1371" customFormat="false" ht="15" hidden="false" customHeight="true" outlineLevel="0" collapsed="false">
      <c r="L1371" s="148"/>
      <c r="M1371" s="149"/>
      <c r="N1371" s="149"/>
    </row>
    <row r="1372" customFormat="false" ht="15" hidden="false" customHeight="true" outlineLevel="0" collapsed="false">
      <c r="L1372" s="148"/>
      <c r="M1372" s="149"/>
      <c r="N1372" s="149"/>
    </row>
    <row r="1373" customFormat="false" ht="15" hidden="false" customHeight="true" outlineLevel="0" collapsed="false">
      <c r="L1373" s="148"/>
      <c r="M1373" s="149"/>
      <c r="N1373" s="149"/>
    </row>
    <row r="1374" customFormat="false" ht="15" hidden="false" customHeight="true" outlineLevel="0" collapsed="false">
      <c r="L1374" s="148"/>
      <c r="M1374" s="149"/>
      <c r="N1374" s="149"/>
    </row>
    <row r="1375" customFormat="false" ht="15" hidden="false" customHeight="true" outlineLevel="0" collapsed="false">
      <c r="L1375" s="148"/>
      <c r="M1375" s="149"/>
      <c r="N1375" s="149"/>
    </row>
    <row r="1376" customFormat="false" ht="15" hidden="false" customHeight="true" outlineLevel="0" collapsed="false">
      <c r="L1376" s="148"/>
      <c r="M1376" s="149"/>
      <c r="N1376" s="149"/>
    </row>
    <row r="1377" customFormat="false" ht="15" hidden="false" customHeight="true" outlineLevel="0" collapsed="false">
      <c r="L1377" s="148"/>
      <c r="M1377" s="149"/>
      <c r="N1377" s="149"/>
    </row>
    <row r="1378" customFormat="false" ht="15" hidden="false" customHeight="true" outlineLevel="0" collapsed="false">
      <c r="L1378" s="148"/>
      <c r="M1378" s="149"/>
      <c r="N1378" s="149"/>
    </row>
    <row r="1379" customFormat="false" ht="15" hidden="false" customHeight="true" outlineLevel="0" collapsed="false">
      <c r="L1379" s="148"/>
      <c r="M1379" s="149"/>
      <c r="N1379" s="149"/>
    </row>
    <row r="1380" customFormat="false" ht="15" hidden="false" customHeight="true" outlineLevel="0" collapsed="false">
      <c r="L1380" s="148"/>
      <c r="M1380" s="149"/>
      <c r="N1380" s="149"/>
    </row>
    <row r="1381" customFormat="false" ht="15" hidden="false" customHeight="true" outlineLevel="0" collapsed="false">
      <c r="L1381" s="148"/>
      <c r="M1381" s="149"/>
      <c r="N1381" s="149"/>
    </row>
    <row r="1382" customFormat="false" ht="15" hidden="false" customHeight="true" outlineLevel="0" collapsed="false">
      <c r="L1382" s="148"/>
      <c r="M1382" s="149"/>
      <c r="N1382" s="149"/>
    </row>
    <row r="1383" customFormat="false" ht="15" hidden="false" customHeight="true" outlineLevel="0" collapsed="false">
      <c r="L1383" s="148"/>
      <c r="M1383" s="149"/>
      <c r="N1383" s="149"/>
    </row>
    <row r="1384" customFormat="false" ht="15" hidden="false" customHeight="true" outlineLevel="0" collapsed="false">
      <c r="L1384" s="148"/>
      <c r="M1384" s="149"/>
      <c r="N1384" s="149"/>
    </row>
    <row r="1385" customFormat="false" ht="15" hidden="false" customHeight="true" outlineLevel="0" collapsed="false">
      <c r="L1385" s="148"/>
      <c r="M1385" s="149"/>
      <c r="N1385" s="149"/>
    </row>
    <row r="1386" customFormat="false" ht="15" hidden="false" customHeight="true" outlineLevel="0" collapsed="false">
      <c r="L1386" s="148"/>
      <c r="M1386" s="149"/>
      <c r="N1386" s="149"/>
    </row>
    <row r="1387" customFormat="false" ht="15" hidden="false" customHeight="true" outlineLevel="0" collapsed="false">
      <c r="L1387" s="148"/>
      <c r="M1387" s="149"/>
      <c r="N1387" s="149"/>
    </row>
    <row r="1388" customFormat="false" ht="15" hidden="false" customHeight="true" outlineLevel="0" collapsed="false">
      <c r="L1388" s="148"/>
      <c r="M1388" s="149"/>
      <c r="N1388" s="149"/>
    </row>
    <row r="1389" customFormat="false" ht="15" hidden="false" customHeight="true" outlineLevel="0" collapsed="false">
      <c r="L1389" s="148"/>
      <c r="M1389" s="149"/>
      <c r="N1389" s="149"/>
    </row>
    <row r="1390" customFormat="false" ht="15" hidden="false" customHeight="true" outlineLevel="0" collapsed="false">
      <c r="L1390" s="148"/>
      <c r="M1390" s="149"/>
      <c r="N1390" s="149"/>
    </row>
    <row r="1391" customFormat="false" ht="15" hidden="false" customHeight="true" outlineLevel="0" collapsed="false">
      <c r="L1391" s="148"/>
      <c r="M1391" s="149"/>
      <c r="N1391" s="149"/>
    </row>
    <row r="1392" customFormat="false" ht="15" hidden="false" customHeight="true" outlineLevel="0" collapsed="false">
      <c r="L1392" s="148"/>
      <c r="M1392" s="149"/>
      <c r="N1392" s="149"/>
    </row>
    <row r="1393" customFormat="false" ht="15" hidden="false" customHeight="true" outlineLevel="0" collapsed="false">
      <c r="L1393" s="148"/>
      <c r="M1393" s="149"/>
      <c r="N1393" s="149"/>
    </row>
    <row r="1394" customFormat="false" ht="15" hidden="false" customHeight="true" outlineLevel="0" collapsed="false">
      <c r="L1394" s="148"/>
      <c r="M1394" s="149"/>
      <c r="N1394" s="149"/>
    </row>
    <row r="1395" customFormat="false" ht="15" hidden="false" customHeight="true" outlineLevel="0" collapsed="false">
      <c r="L1395" s="148"/>
      <c r="M1395" s="149"/>
      <c r="N1395" s="149"/>
    </row>
    <row r="1396" customFormat="false" ht="15" hidden="false" customHeight="true" outlineLevel="0" collapsed="false">
      <c r="L1396" s="148"/>
      <c r="M1396" s="149"/>
      <c r="N1396" s="149"/>
    </row>
    <row r="1397" customFormat="false" ht="15" hidden="false" customHeight="true" outlineLevel="0" collapsed="false">
      <c r="L1397" s="148"/>
      <c r="M1397" s="149"/>
      <c r="N1397" s="149"/>
    </row>
    <row r="1398" customFormat="false" ht="15" hidden="false" customHeight="true" outlineLevel="0" collapsed="false">
      <c r="L1398" s="148"/>
      <c r="M1398" s="149"/>
      <c r="N1398" s="149"/>
    </row>
    <row r="1399" customFormat="false" ht="15" hidden="false" customHeight="true" outlineLevel="0" collapsed="false">
      <c r="L1399" s="148"/>
      <c r="M1399" s="149"/>
      <c r="N1399" s="149"/>
    </row>
    <row r="1400" customFormat="false" ht="15" hidden="false" customHeight="true" outlineLevel="0" collapsed="false">
      <c r="L1400" s="148"/>
      <c r="M1400" s="149"/>
      <c r="N1400" s="149"/>
    </row>
    <row r="1401" customFormat="false" ht="15" hidden="false" customHeight="true" outlineLevel="0" collapsed="false">
      <c r="L1401" s="148"/>
      <c r="M1401" s="149"/>
      <c r="N1401" s="149"/>
    </row>
    <row r="1402" customFormat="false" ht="15" hidden="false" customHeight="true" outlineLevel="0" collapsed="false">
      <c r="L1402" s="148"/>
      <c r="M1402" s="149"/>
      <c r="N1402" s="149"/>
    </row>
    <row r="1403" customFormat="false" ht="15" hidden="false" customHeight="true" outlineLevel="0" collapsed="false">
      <c r="L1403" s="148"/>
      <c r="M1403" s="149"/>
      <c r="N1403" s="149"/>
    </row>
    <row r="1404" customFormat="false" ht="15" hidden="false" customHeight="true" outlineLevel="0" collapsed="false">
      <c r="L1404" s="148"/>
      <c r="M1404" s="149"/>
      <c r="N1404" s="149"/>
    </row>
    <row r="1405" customFormat="false" ht="15" hidden="false" customHeight="true" outlineLevel="0" collapsed="false">
      <c r="L1405" s="148"/>
      <c r="M1405" s="149"/>
      <c r="N1405" s="149"/>
    </row>
    <row r="1406" customFormat="false" ht="15" hidden="false" customHeight="true" outlineLevel="0" collapsed="false">
      <c r="L1406" s="148"/>
      <c r="M1406" s="149"/>
      <c r="N1406" s="149"/>
    </row>
    <row r="1407" customFormat="false" ht="15" hidden="false" customHeight="true" outlineLevel="0" collapsed="false">
      <c r="L1407" s="148"/>
      <c r="M1407" s="149"/>
      <c r="N1407" s="149"/>
    </row>
    <row r="1408" customFormat="false" ht="15" hidden="false" customHeight="true" outlineLevel="0" collapsed="false">
      <c r="L1408" s="148"/>
      <c r="M1408" s="149"/>
      <c r="N1408" s="149"/>
    </row>
    <row r="1409" customFormat="false" ht="15" hidden="false" customHeight="true" outlineLevel="0" collapsed="false">
      <c r="L1409" s="148"/>
      <c r="M1409" s="149"/>
      <c r="N1409" s="149"/>
    </row>
    <row r="1410" customFormat="false" ht="15" hidden="false" customHeight="true" outlineLevel="0" collapsed="false">
      <c r="L1410" s="148"/>
      <c r="M1410" s="149"/>
      <c r="N1410" s="149"/>
    </row>
    <row r="1411" customFormat="false" ht="15" hidden="false" customHeight="true" outlineLevel="0" collapsed="false">
      <c r="L1411" s="148"/>
      <c r="M1411" s="149"/>
      <c r="N1411" s="149"/>
    </row>
    <row r="1412" customFormat="false" ht="15" hidden="false" customHeight="true" outlineLevel="0" collapsed="false">
      <c r="L1412" s="148"/>
      <c r="M1412" s="149"/>
      <c r="N1412" s="149"/>
    </row>
    <row r="1413" customFormat="false" ht="15" hidden="false" customHeight="true" outlineLevel="0" collapsed="false">
      <c r="L1413" s="148"/>
      <c r="M1413" s="149"/>
      <c r="N1413" s="149"/>
    </row>
    <row r="1414" customFormat="false" ht="15" hidden="false" customHeight="true" outlineLevel="0" collapsed="false">
      <c r="L1414" s="148"/>
      <c r="M1414" s="149"/>
      <c r="N1414" s="149"/>
    </row>
    <row r="1415" customFormat="false" ht="15" hidden="false" customHeight="true" outlineLevel="0" collapsed="false">
      <c r="L1415" s="148"/>
      <c r="M1415" s="149"/>
      <c r="N1415" s="149"/>
    </row>
    <row r="1416" customFormat="false" ht="15" hidden="false" customHeight="true" outlineLevel="0" collapsed="false">
      <c r="L1416" s="148"/>
      <c r="M1416" s="149"/>
      <c r="N1416" s="149"/>
    </row>
    <row r="1417" customFormat="false" ht="15" hidden="false" customHeight="true" outlineLevel="0" collapsed="false">
      <c r="L1417" s="148"/>
      <c r="M1417" s="149"/>
      <c r="N1417" s="149"/>
    </row>
    <row r="1418" customFormat="false" ht="15" hidden="false" customHeight="true" outlineLevel="0" collapsed="false">
      <c r="L1418" s="148"/>
      <c r="M1418" s="149"/>
      <c r="N1418" s="149"/>
    </row>
    <row r="1419" customFormat="false" ht="15" hidden="false" customHeight="true" outlineLevel="0" collapsed="false">
      <c r="L1419" s="148"/>
      <c r="M1419" s="149"/>
      <c r="N1419" s="149"/>
    </row>
    <row r="1420" customFormat="false" ht="15" hidden="false" customHeight="true" outlineLevel="0" collapsed="false">
      <c r="L1420" s="148"/>
      <c r="M1420" s="149"/>
      <c r="N1420" s="149"/>
    </row>
    <row r="1421" customFormat="false" ht="15" hidden="false" customHeight="true" outlineLevel="0" collapsed="false">
      <c r="L1421" s="148"/>
      <c r="M1421" s="149"/>
      <c r="N1421" s="149"/>
    </row>
    <row r="1422" customFormat="false" ht="15" hidden="false" customHeight="true" outlineLevel="0" collapsed="false">
      <c r="L1422" s="148"/>
      <c r="M1422" s="149"/>
      <c r="N1422" s="149"/>
    </row>
    <row r="1423" customFormat="false" ht="15" hidden="false" customHeight="true" outlineLevel="0" collapsed="false">
      <c r="L1423" s="148"/>
      <c r="M1423" s="149"/>
      <c r="N1423" s="149"/>
    </row>
    <row r="1424" customFormat="false" ht="15" hidden="false" customHeight="true" outlineLevel="0" collapsed="false">
      <c r="L1424" s="148"/>
      <c r="M1424" s="149"/>
      <c r="N1424" s="149"/>
    </row>
    <row r="1425" customFormat="false" ht="15" hidden="false" customHeight="true" outlineLevel="0" collapsed="false">
      <c r="L1425" s="148"/>
      <c r="M1425" s="149"/>
      <c r="N1425" s="149"/>
    </row>
    <row r="1426" customFormat="false" ht="15" hidden="false" customHeight="true" outlineLevel="0" collapsed="false">
      <c r="L1426" s="148"/>
      <c r="M1426" s="149"/>
      <c r="N1426" s="149"/>
    </row>
    <row r="1427" customFormat="false" ht="15" hidden="false" customHeight="true" outlineLevel="0" collapsed="false">
      <c r="L1427" s="148"/>
      <c r="M1427" s="149"/>
      <c r="N1427" s="149"/>
    </row>
    <row r="1428" customFormat="false" ht="15" hidden="false" customHeight="true" outlineLevel="0" collapsed="false">
      <c r="L1428" s="148"/>
      <c r="M1428" s="149"/>
      <c r="N1428" s="149"/>
    </row>
    <row r="1429" customFormat="false" ht="15" hidden="false" customHeight="true" outlineLevel="0" collapsed="false">
      <c r="L1429" s="148"/>
      <c r="M1429" s="149"/>
      <c r="N1429" s="149"/>
    </row>
    <row r="1430" customFormat="false" ht="15" hidden="false" customHeight="true" outlineLevel="0" collapsed="false">
      <c r="L1430" s="148"/>
      <c r="M1430" s="149"/>
      <c r="N1430" s="149"/>
    </row>
    <row r="1431" customFormat="false" ht="15" hidden="false" customHeight="true" outlineLevel="0" collapsed="false">
      <c r="L1431" s="148"/>
      <c r="M1431" s="149"/>
      <c r="N1431" s="149"/>
    </row>
    <row r="1432" customFormat="false" ht="15" hidden="false" customHeight="true" outlineLevel="0" collapsed="false">
      <c r="L1432" s="148"/>
      <c r="M1432" s="149"/>
      <c r="N1432" s="149"/>
    </row>
    <row r="1433" customFormat="false" ht="15" hidden="false" customHeight="true" outlineLevel="0" collapsed="false">
      <c r="L1433" s="148"/>
      <c r="M1433" s="149"/>
      <c r="N1433" s="149"/>
    </row>
    <row r="1434" customFormat="false" ht="15" hidden="false" customHeight="true" outlineLevel="0" collapsed="false">
      <c r="L1434" s="148"/>
      <c r="M1434" s="149"/>
      <c r="N1434" s="149"/>
    </row>
    <row r="1435" customFormat="false" ht="15" hidden="false" customHeight="true" outlineLevel="0" collapsed="false">
      <c r="L1435" s="148"/>
      <c r="M1435" s="149"/>
      <c r="N1435" s="149"/>
    </row>
    <row r="1436" customFormat="false" ht="15" hidden="false" customHeight="true" outlineLevel="0" collapsed="false">
      <c r="L1436" s="148"/>
      <c r="M1436" s="149"/>
      <c r="N1436" s="149"/>
    </row>
    <row r="1437" customFormat="false" ht="15" hidden="false" customHeight="true" outlineLevel="0" collapsed="false">
      <c r="L1437" s="148"/>
      <c r="M1437" s="149"/>
      <c r="N1437" s="149"/>
    </row>
    <row r="1438" customFormat="false" ht="15" hidden="false" customHeight="true" outlineLevel="0" collapsed="false">
      <c r="L1438" s="148"/>
      <c r="M1438" s="149"/>
      <c r="N1438" s="149"/>
    </row>
    <row r="1439" customFormat="false" ht="15" hidden="false" customHeight="true" outlineLevel="0" collapsed="false">
      <c r="L1439" s="148"/>
      <c r="M1439" s="149"/>
      <c r="N1439" s="149"/>
    </row>
    <row r="1440" customFormat="false" ht="15" hidden="false" customHeight="true" outlineLevel="0" collapsed="false">
      <c r="L1440" s="148"/>
      <c r="M1440" s="149"/>
      <c r="N1440" s="149"/>
    </row>
    <row r="1441" customFormat="false" ht="15" hidden="false" customHeight="true" outlineLevel="0" collapsed="false">
      <c r="L1441" s="148"/>
      <c r="M1441" s="149"/>
      <c r="N1441" s="149"/>
    </row>
    <row r="1442" customFormat="false" ht="15" hidden="false" customHeight="true" outlineLevel="0" collapsed="false">
      <c r="L1442" s="148"/>
      <c r="M1442" s="149"/>
      <c r="N1442" s="149"/>
    </row>
    <row r="1443" customFormat="false" ht="15" hidden="false" customHeight="true" outlineLevel="0" collapsed="false">
      <c r="L1443" s="148"/>
      <c r="M1443" s="149"/>
      <c r="N1443" s="149"/>
    </row>
    <row r="1444" customFormat="false" ht="15" hidden="false" customHeight="true" outlineLevel="0" collapsed="false">
      <c r="L1444" s="148"/>
      <c r="M1444" s="149"/>
      <c r="N1444" s="149"/>
    </row>
    <row r="1445" customFormat="false" ht="15" hidden="false" customHeight="true" outlineLevel="0" collapsed="false">
      <c r="L1445" s="148"/>
      <c r="M1445" s="149"/>
      <c r="N1445" s="149"/>
    </row>
    <row r="1446" customFormat="false" ht="15" hidden="false" customHeight="true" outlineLevel="0" collapsed="false">
      <c r="L1446" s="148"/>
      <c r="M1446" s="149"/>
      <c r="N1446" s="149"/>
    </row>
    <row r="1447" customFormat="false" ht="15" hidden="false" customHeight="true" outlineLevel="0" collapsed="false">
      <c r="L1447" s="148"/>
      <c r="M1447" s="149"/>
      <c r="N1447" s="149"/>
    </row>
    <row r="1448" customFormat="false" ht="15" hidden="false" customHeight="true" outlineLevel="0" collapsed="false">
      <c r="L1448" s="148"/>
      <c r="M1448" s="149"/>
      <c r="N1448" s="149"/>
    </row>
    <row r="1449" customFormat="false" ht="15" hidden="false" customHeight="true" outlineLevel="0" collapsed="false">
      <c r="L1449" s="148"/>
      <c r="M1449" s="149"/>
      <c r="N1449" s="149"/>
    </row>
    <row r="1450" customFormat="false" ht="15" hidden="false" customHeight="true" outlineLevel="0" collapsed="false">
      <c r="L1450" s="148"/>
      <c r="M1450" s="149"/>
      <c r="N1450" s="149"/>
    </row>
    <row r="1451" customFormat="false" ht="15" hidden="false" customHeight="true" outlineLevel="0" collapsed="false">
      <c r="L1451" s="148"/>
      <c r="M1451" s="149"/>
      <c r="N1451" s="149"/>
    </row>
    <row r="1452" customFormat="false" ht="15" hidden="false" customHeight="true" outlineLevel="0" collapsed="false">
      <c r="L1452" s="148"/>
      <c r="M1452" s="149"/>
      <c r="N1452" s="149"/>
    </row>
    <row r="1453" customFormat="false" ht="15" hidden="false" customHeight="true" outlineLevel="0" collapsed="false">
      <c r="L1453" s="148"/>
      <c r="M1453" s="149"/>
      <c r="N1453" s="149"/>
    </row>
    <row r="1454" customFormat="false" ht="15" hidden="false" customHeight="true" outlineLevel="0" collapsed="false">
      <c r="L1454" s="148"/>
      <c r="M1454" s="149"/>
      <c r="N1454" s="149"/>
    </row>
    <row r="1455" customFormat="false" ht="15" hidden="false" customHeight="true" outlineLevel="0" collapsed="false">
      <c r="L1455" s="148"/>
      <c r="M1455" s="149"/>
      <c r="N1455" s="149"/>
    </row>
    <row r="1456" customFormat="false" ht="15" hidden="false" customHeight="true" outlineLevel="0" collapsed="false">
      <c r="L1456" s="148"/>
      <c r="M1456" s="149"/>
      <c r="N1456" s="149"/>
    </row>
    <row r="1457" customFormat="false" ht="15" hidden="false" customHeight="true" outlineLevel="0" collapsed="false">
      <c r="L1457" s="148"/>
      <c r="M1457" s="149"/>
      <c r="N1457" s="149"/>
    </row>
    <row r="1458" customFormat="false" ht="15" hidden="false" customHeight="true" outlineLevel="0" collapsed="false">
      <c r="L1458" s="148"/>
      <c r="M1458" s="149"/>
      <c r="N1458" s="149"/>
    </row>
    <row r="1459" customFormat="false" ht="15" hidden="false" customHeight="true" outlineLevel="0" collapsed="false">
      <c r="L1459" s="148"/>
      <c r="M1459" s="149"/>
      <c r="N1459" s="149"/>
    </row>
    <row r="1460" customFormat="false" ht="15" hidden="false" customHeight="true" outlineLevel="0" collapsed="false">
      <c r="L1460" s="148"/>
      <c r="M1460" s="149"/>
      <c r="N1460" s="149"/>
    </row>
    <row r="1461" customFormat="false" ht="15" hidden="false" customHeight="true" outlineLevel="0" collapsed="false">
      <c r="L1461" s="148"/>
      <c r="M1461" s="149"/>
      <c r="N1461" s="149"/>
    </row>
    <row r="1462" customFormat="false" ht="15" hidden="false" customHeight="true" outlineLevel="0" collapsed="false">
      <c r="L1462" s="148"/>
      <c r="M1462" s="149"/>
      <c r="N1462" s="149"/>
    </row>
    <row r="1463" customFormat="false" ht="15" hidden="false" customHeight="true" outlineLevel="0" collapsed="false">
      <c r="L1463" s="148"/>
      <c r="M1463" s="149"/>
      <c r="N1463" s="149"/>
    </row>
    <row r="1464" customFormat="false" ht="15" hidden="false" customHeight="true" outlineLevel="0" collapsed="false">
      <c r="L1464" s="148"/>
      <c r="M1464" s="149"/>
      <c r="N1464" s="149"/>
    </row>
    <row r="1465" customFormat="false" ht="15" hidden="false" customHeight="true" outlineLevel="0" collapsed="false">
      <c r="L1465" s="148"/>
      <c r="M1465" s="149"/>
      <c r="N1465" s="149"/>
    </row>
    <row r="1466" customFormat="false" ht="15" hidden="false" customHeight="true" outlineLevel="0" collapsed="false">
      <c r="L1466" s="148"/>
      <c r="M1466" s="149"/>
      <c r="N1466" s="149"/>
    </row>
    <row r="1467" customFormat="false" ht="15" hidden="false" customHeight="true" outlineLevel="0" collapsed="false">
      <c r="L1467" s="148"/>
      <c r="M1467" s="149"/>
      <c r="N1467" s="149"/>
    </row>
    <row r="1468" customFormat="false" ht="15" hidden="false" customHeight="true" outlineLevel="0" collapsed="false">
      <c r="L1468" s="148"/>
      <c r="M1468" s="149"/>
      <c r="N1468" s="149"/>
    </row>
    <row r="1469" customFormat="false" ht="15" hidden="false" customHeight="true" outlineLevel="0" collapsed="false">
      <c r="L1469" s="148"/>
      <c r="M1469" s="149"/>
      <c r="N1469" s="149"/>
    </row>
    <row r="1470" customFormat="false" ht="15" hidden="false" customHeight="true" outlineLevel="0" collapsed="false">
      <c r="L1470" s="148"/>
      <c r="M1470" s="149"/>
      <c r="N1470" s="149"/>
    </row>
    <row r="1471" customFormat="false" ht="15" hidden="false" customHeight="true" outlineLevel="0" collapsed="false">
      <c r="L1471" s="148"/>
      <c r="M1471" s="149"/>
      <c r="N1471" s="149"/>
    </row>
    <row r="1472" customFormat="false" ht="15" hidden="false" customHeight="true" outlineLevel="0" collapsed="false">
      <c r="L1472" s="148"/>
      <c r="M1472" s="149"/>
      <c r="N1472" s="149"/>
    </row>
    <row r="1473" customFormat="false" ht="15" hidden="false" customHeight="true" outlineLevel="0" collapsed="false">
      <c r="L1473" s="148"/>
      <c r="M1473" s="149"/>
      <c r="N1473" s="149"/>
    </row>
    <row r="1474" customFormat="false" ht="15" hidden="false" customHeight="true" outlineLevel="0" collapsed="false">
      <c r="L1474" s="148"/>
      <c r="M1474" s="149"/>
      <c r="N1474" s="149"/>
    </row>
    <row r="1475" customFormat="false" ht="15" hidden="false" customHeight="true" outlineLevel="0" collapsed="false">
      <c r="L1475" s="148"/>
      <c r="M1475" s="149"/>
      <c r="N1475" s="149"/>
    </row>
    <row r="1476" customFormat="false" ht="15" hidden="false" customHeight="true" outlineLevel="0" collapsed="false">
      <c r="L1476" s="148"/>
      <c r="M1476" s="149"/>
      <c r="N1476" s="149"/>
    </row>
    <row r="1477" customFormat="false" ht="15" hidden="false" customHeight="true" outlineLevel="0" collapsed="false">
      <c r="L1477" s="148"/>
      <c r="M1477" s="149"/>
      <c r="N1477" s="149"/>
    </row>
    <row r="1478" customFormat="false" ht="15" hidden="false" customHeight="true" outlineLevel="0" collapsed="false">
      <c r="L1478" s="148"/>
      <c r="M1478" s="149"/>
      <c r="N1478" s="149"/>
    </row>
    <row r="1479" customFormat="false" ht="15" hidden="false" customHeight="true" outlineLevel="0" collapsed="false">
      <c r="L1479" s="148"/>
      <c r="M1479" s="149"/>
      <c r="N1479" s="149"/>
    </row>
    <row r="1480" customFormat="false" ht="15" hidden="false" customHeight="true" outlineLevel="0" collapsed="false">
      <c r="L1480" s="148"/>
      <c r="M1480" s="149"/>
      <c r="N1480" s="149"/>
    </row>
    <row r="1481" customFormat="false" ht="15" hidden="false" customHeight="true" outlineLevel="0" collapsed="false">
      <c r="L1481" s="148"/>
      <c r="M1481" s="149"/>
      <c r="N1481" s="149"/>
    </row>
    <row r="1482" customFormat="false" ht="15" hidden="false" customHeight="true" outlineLevel="0" collapsed="false">
      <c r="L1482" s="148"/>
      <c r="M1482" s="149"/>
      <c r="N1482" s="149"/>
    </row>
    <row r="1483" customFormat="false" ht="15" hidden="false" customHeight="true" outlineLevel="0" collapsed="false">
      <c r="L1483" s="148"/>
      <c r="M1483" s="149"/>
      <c r="N1483" s="149"/>
    </row>
    <row r="1484" customFormat="false" ht="15" hidden="false" customHeight="true" outlineLevel="0" collapsed="false">
      <c r="L1484" s="148"/>
      <c r="M1484" s="149"/>
      <c r="N1484" s="149"/>
    </row>
    <row r="1485" customFormat="false" ht="15" hidden="false" customHeight="true" outlineLevel="0" collapsed="false">
      <c r="L1485" s="148"/>
      <c r="M1485" s="149"/>
      <c r="N1485" s="149"/>
    </row>
    <row r="1486" customFormat="false" ht="15" hidden="false" customHeight="true" outlineLevel="0" collapsed="false">
      <c r="L1486" s="148"/>
      <c r="M1486" s="149"/>
      <c r="N1486" s="149"/>
    </row>
    <row r="1487" customFormat="false" ht="15" hidden="false" customHeight="true" outlineLevel="0" collapsed="false">
      <c r="L1487" s="148"/>
      <c r="M1487" s="149"/>
      <c r="N1487" s="149"/>
    </row>
    <row r="1488" customFormat="false" ht="15" hidden="false" customHeight="true" outlineLevel="0" collapsed="false">
      <c r="L1488" s="148"/>
      <c r="M1488" s="149"/>
      <c r="N1488" s="149"/>
    </row>
    <row r="1489" customFormat="false" ht="15" hidden="false" customHeight="true" outlineLevel="0" collapsed="false">
      <c r="L1489" s="148"/>
      <c r="M1489" s="149"/>
      <c r="N1489" s="149"/>
    </row>
    <row r="1490" customFormat="false" ht="15" hidden="false" customHeight="true" outlineLevel="0" collapsed="false">
      <c r="L1490" s="148"/>
      <c r="M1490" s="149"/>
      <c r="N1490" s="149"/>
    </row>
    <row r="1491" customFormat="false" ht="15" hidden="false" customHeight="true" outlineLevel="0" collapsed="false">
      <c r="L1491" s="148"/>
      <c r="M1491" s="149"/>
      <c r="N1491" s="149"/>
    </row>
    <row r="1492" customFormat="false" ht="15" hidden="false" customHeight="true" outlineLevel="0" collapsed="false">
      <c r="L1492" s="148"/>
      <c r="M1492" s="149"/>
      <c r="N1492" s="149"/>
    </row>
    <row r="1493" customFormat="false" ht="15" hidden="false" customHeight="true" outlineLevel="0" collapsed="false">
      <c r="L1493" s="148"/>
      <c r="M1493" s="149"/>
      <c r="N1493" s="149"/>
    </row>
    <row r="1494" customFormat="false" ht="15" hidden="false" customHeight="true" outlineLevel="0" collapsed="false">
      <c r="L1494" s="148"/>
      <c r="M1494" s="149"/>
      <c r="N1494" s="149"/>
    </row>
    <row r="1495" customFormat="false" ht="15" hidden="false" customHeight="true" outlineLevel="0" collapsed="false">
      <c r="L1495" s="148"/>
      <c r="M1495" s="149"/>
      <c r="N1495" s="149"/>
    </row>
    <row r="1496" customFormat="false" ht="15" hidden="false" customHeight="true" outlineLevel="0" collapsed="false">
      <c r="L1496" s="148"/>
      <c r="M1496" s="149"/>
      <c r="N1496" s="149"/>
    </row>
    <row r="1497" customFormat="false" ht="15" hidden="false" customHeight="true" outlineLevel="0" collapsed="false">
      <c r="L1497" s="148"/>
      <c r="M1497" s="149"/>
      <c r="N1497" s="149"/>
    </row>
    <row r="1498" customFormat="false" ht="15" hidden="false" customHeight="true" outlineLevel="0" collapsed="false">
      <c r="L1498" s="148"/>
      <c r="M1498" s="149"/>
      <c r="N1498" s="149"/>
    </row>
    <row r="1499" customFormat="false" ht="15" hidden="false" customHeight="true" outlineLevel="0" collapsed="false">
      <c r="L1499" s="148"/>
      <c r="M1499" s="149"/>
      <c r="N1499" s="149"/>
    </row>
    <row r="1500" customFormat="false" ht="15" hidden="false" customHeight="true" outlineLevel="0" collapsed="false">
      <c r="L1500" s="148"/>
      <c r="M1500" s="149"/>
      <c r="N1500" s="149"/>
    </row>
    <row r="1501" customFormat="false" ht="15" hidden="false" customHeight="true" outlineLevel="0" collapsed="false"/>
    <row r="1502" customFormat="false" ht="15" hidden="false" customHeight="true" outlineLevel="0" collapsed="false"/>
    <row r="1503" customFormat="false" ht="15" hidden="false" customHeight="true" outlineLevel="0" collapsed="false"/>
    <row r="1504" customFormat="false" ht="15" hidden="false" customHeight="true" outlineLevel="0" collapsed="false"/>
    <row r="1505" customFormat="false" ht="15" hidden="false" customHeight="true" outlineLevel="0" collapsed="false"/>
    <row r="1506" customFormat="false" ht="15" hidden="false" customHeight="true" outlineLevel="0" collapsed="false"/>
    <row r="1507" customFormat="false" ht="15" hidden="false" customHeight="true" outlineLevel="0" collapsed="false"/>
    <row r="1508" customFormat="false" ht="15" hidden="false" customHeight="true" outlineLevel="0" collapsed="false"/>
    <row r="1509" customFormat="false" ht="15" hidden="false" customHeight="true" outlineLevel="0" collapsed="false"/>
    <row r="1510" customFormat="false" ht="15" hidden="false" customHeight="true" outlineLevel="0" collapsed="false"/>
    <row r="1511" customFormat="false" ht="15" hidden="false" customHeight="true" outlineLevel="0" collapsed="false"/>
    <row r="1512" customFormat="false" ht="15" hidden="false" customHeight="true" outlineLevel="0" collapsed="false"/>
    <row r="1513" customFormat="false" ht="15" hidden="false" customHeight="true" outlineLevel="0" collapsed="false"/>
    <row r="1514" customFormat="false" ht="15" hidden="false" customHeight="true" outlineLevel="0" collapsed="false"/>
    <row r="1515" customFormat="false" ht="15" hidden="false" customHeight="true" outlineLevel="0" collapsed="false"/>
    <row r="1516" customFormat="false" ht="15" hidden="false" customHeight="true" outlineLevel="0" collapsed="false"/>
    <row r="1517" customFormat="false" ht="15" hidden="false" customHeight="true" outlineLevel="0" collapsed="false"/>
    <row r="1518" customFormat="false" ht="15" hidden="false" customHeight="true" outlineLevel="0" collapsed="false"/>
    <row r="1519" customFormat="false" ht="15" hidden="false" customHeight="true" outlineLevel="0" collapsed="false"/>
    <row r="1520" customFormat="false" ht="15" hidden="false" customHeight="true" outlineLevel="0" collapsed="false"/>
    <row r="1521" customFormat="false" ht="15" hidden="false" customHeight="true" outlineLevel="0" collapsed="false"/>
    <row r="1522" customFormat="false" ht="15" hidden="false" customHeight="true" outlineLevel="0" collapsed="false"/>
    <row r="1523" customFormat="false" ht="15" hidden="false" customHeight="true" outlineLevel="0" collapsed="false"/>
    <row r="1524" customFormat="false" ht="15" hidden="false" customHeight="true" outlineLevel="0" collapsed="false"/>
    <row r="1525" customFormat="false" ht="15" hidden="false" customHeight="true" outlineLevel="0" collapsed="false"/>
    <row r="1526" customFormat="false" ht="15" hidden="false" customHeight="true" outlineLevel="0" collapsed="false"/>
    <row r="1527" customFormat="false" ht="15" hidden="false" customHeight="true" outlineLevel="0" collapsed="false"/>
    <row r="1528" customFormat="false" ht="15" hidden="false" customHeight="true" outlineLevel="0" collapsed="false"/>
    <row r="1529" customFormat="false" ht="15" hidden="false" customHeight="true" outlineLevel="0" collapsed="false"/>
    <row r="1530" customFormat="false" ht="15" hidden="false" customHeight="true" outlineLevel="0" collapsed="false"/>
    <row r="1531" customFormat="false" ht="15" hidden="false" customHeight="true" outlineLevel="0" collapsed="false"/>
    <row r="1532" customFormat="false" ht="15" hidden="false" customHeight="true" outlineLevel="0" collapsed="false"/>
    <row r="1533" customFormat="false" ht="15" hidden="false" customHeight="true" outlineLevel="0" collapsed="false"/>
    <row r="1534" customFormat="false" ht="15" hidden="false" customHeight="true" outlineLevel="0" collapsed="false"/>
    <row r="1535" customFormat="false" ht="15" hidden="false" customHeight="true" outlineLevel="0" collapsed="false"/>
    <row r="1536" customFormat="false" ht="15" hidden="false" customHeight="true" outlineLevel="0" collapsed="false"/>
    <row r="1537" customFormat="false" ht="15" hidden="false" customHeight="true" outlineLevel="0" collapsed="false"/>
    <row r="1538" customFormat="false" ht="15" hidden="false" customHeight="true" outlineLevel="0" collapsed="false"/>
    <row r="1539" customFormat="false" ht="15" hidden="false" customHeight="true" outlineLevel="0" collapsed="false"/>
    <row r="1540" customFormat="false" ht="15" hidden="false" customHeight="true" outlineLevel="0" collapsed="false"/>
    <row r="1541" customFormat="false" ht="15" hidden="false" customHeight="true" outlineLevel="0" collapsed="false"/>
    <row r="1542" customFormat="false" ht="15" hidden="false" customHeight="true" outlineLevel="0" collapsed="false"/>
    <row r="1543" customFormat="false" ht="15" hidden="false" customHeight="true" outlineLevel="0" collapsed="false"/>
    <row r="1544" customFormat="false" ht="15" hidden="false" customHeight="true" outlineLevel="0" collapsed="false"/>
    <row r="1545" customFormat="false" ht="15" hidden="false" customHeight="true" outlineLevel="0" collapsed="false"/>
    <row r="1546" customFormat="false" ht="15" hidden="false" customHeight="true" outlineLevel="0" collapsed="false"/>
    <row r="1547" customFormat="false" ht="15" hidden="false" customHeight="true" outlineLevel="0" collapsed="false"/>
    <row r="1548" customFormat="false" ht="15" hidden="false" customHeight="true" outlineLevel="0" collapsed="false"/>
    <row r="1549" customFormat="false" ht="15" hidden="false" customHeight="true" outlineLevel="0" collapsed="false"/>
    <row r="1550" customFormat="false" ht="15" hidden="false" customHeight="true" outlineLevel="0" collapsed="false"/>
    <row r="1551" customFormat="false" ht="15" hidden="false" customHeight="true" outlineLevel="0" collapsed="false"/>
    <row r="1552" customFormat="false" ht="15" hidden="false" customHeight="true" outlineLevel="0" collapsed="false"/>
    <row r="1553" customFormat="false" ht="15" hidden="false" customHeight="true" outlineLevel="0" collapsed="false"/>
    <row r="1554" customFormat="false" ht="15" hidden="false" customHeight="true" outlineLevel="0" collapsed="false"/>
    <row r="1555" customFormat="false" ht="15" hidden="false" customHeight="true" outlineLevel="0" collapsed="false"/>
    <row r="1556" customFormat="false" ht="15" hidden="false" customHeight="true" outlineLevel="0" collapsed="false"/>
    <row r="1557" customFormat="false" ht="15" hidden="false" customHeight="true" outlineLevel="0" collapsed="false"/>
    <row r="1558" customFormat="false" ht="15" hidden="false" customHeight="true" outlineLevel="0" collapsed="false"/>
    <row r="1559" customFormat="false" ht="15" hidden="false" customHeight="true" outlineLevel="0" collapsed="false"/>
    <row r="1560" customFormat="false" ht="15" hidden="false" customHeight="true" outlineLevel="0" collapsed="false"/>
    <row r="1561" customFormat="false" ht="15" hidden="false" customHeight="true" outlineLevel="0" collapsed="false"/>
    <row r="1562" customFormat="false" ht="15" hidden="false" customHeight="true" outlineLevel="0" collapsed="false"/>
    <row r="1563" customFormat="false" ht="15" hidden="false" customHeight="true" outlineLevel="0" collapsed="false"/>
    <row r="1564" customFormat="false" ht="15" hidden="false" customHeight="true" outlineLevel="0" collapsed="false"/>
    <row r="1565" customFormat="false" ht="15" hidden="false" customHeight="true" outlineLevel="0" collapsed="false"/>
    <row r="1566" customFormat="false" ht="15" hidden="false" customHeight="true" outlineLevel="0" collapsed="false"/>
    <row r="1567" customFormat="false" ht="15" hidden="false" customHeight="true" outlineLevel="0" collapsed="false"/>
    <row r="1568" customFormat="false" ht="15" hidden="false" customHeight="true" outlineLevel="0" collapsed="false"/>
    <row r="1569" customFormat="false" ht="15" hidden="false" customHeight="true" outlineLevel="0" collapsed="false"/>
    <row r="1570" customFormat="false" ht="15" hidden="false" customHeight="true" outlineLevel="0" collapsed="false"/>
    <row r="1571" customFormat="false" ht="15" hidden="false" customHeight="true" outlineLevel="0" collapsed="false"/>
    <row r="1572" customFormat="false" ht="15" hidden="false" customHeight="true" outlineLevel="0" collapsed="false"/>
    <row r="1573" customFormat="false" ht="15" hidden="false" customHeight="true" outlineLevel="0" collapsed="false"/>
    <row r="1574" customFormat="false" ht="15" hidden="false" customHeight="true" outlineLevel="0" collapsed="false"/>
    <row r="1575" customFormat="false" ht="15" hidden="false" customHeight="true" outlineLevel="0" collapsed="false"/>
    <row r="1576" customFormat="false" ht="15" hidden="false" customHeight="true" outlineLevel="0" collapsed="false"/>
    <row r="1577" customFormat="false" ht="15" hidden="false" customHeight="true" outlineLevel="0" collapsed="false"/>
    <row r="1578" customFormat="false" ht="15" hidden="false" customHeight="true" outlineLevel="0" collapsed="false"/>
    <row r="1579" customFormat="false" ht="15" hidden="false" customHeight="true" outlineLevel="0" collapsed="false"/>
    <row r="1580" customFormat="false" ht="15" hidden="false" customHeight="true" outlineLevel="0" collapsed="false"/>
    <row r="1581" customFormat="false" ht="15" hidden="false" customHeight="true" outlineLevel="0" collapsed="false"/>
    <row r="1582" customFormat="false" ht="15" hidden="false" customHeight="true" outlineLevel="0" collapsed="false"/>
    <row r="1583" customFormat="false" ht="15" hidden="false" customHeight="true" outlineLevel="0" collapsed="false"/>
    <row r="1584" customFormat="false" ht="15" hidden="false" customHeight="true" outlineLevel="0" collapsed="false"/>
    <row r="1585" customFormat="false" ht="15" hidden="false" customHeight="true" outlineLevel="0" collapsed="false"/>
    <row r="1586" customFormat="false" ht="15" hidden="false" customHeight="true" outlineLevel="0" collapsed="false"/>
    <row r="1587" customFormat="false" ht="15" hidden="false" customHeight="true" outlineLevel="0" collapsed="false"/>
    <row r="1588" customFormat="false" ht="15" hidden="false" customHeight="true" outlineLevel="0" collapsed="false"/>
    <row r="1589" customFormat="false" ht="15" hidden="false" customHeight="true" outlineLevel="0" collapsed="false"/>
    <row r="1590" customFormat="false" ht="15" hidden="false" customHeight="true" outlineLevel="0" collapsed="false"/>
    <row r="1591" customFormat="false" ht="15" hidden="false" customHeight="true" outlineLevel="0" collapsed="false"/>
    <row r="1592" customFormat="false" ht="15" hidden="false" customHeight="true" outlineLevel="0" collapsed="false"/>
    <row r="1593" customFormat="false" ht="15" hidden="false" customHeight="true" outlineLevel="0" collapsed="false"/>
    <row r="1594" customFormat="false" ht="15" hidden="false" customHeight="true" outlineLevel="0" collapsed="false"/>
    <row r="1595" customFormat="false" ht="15" hidden="false" customHeight="true" outlineLevel="0" collapsed="false"/>
    <row r="1596" customFormat="false" ht="15" hidden="false" customHeight="true" outlineLevel="0" collapsed="false"/>
    <row r="1597" customFormat="false" ht="15" hidden="false" customHeight="true" outlineLevel="0" collapsed="false"/>
    <row r="1598" customFormat="false" ht="15" hidden="false" customHeight="true" outlineLevel="0" collapsed="false"/>
    <row r="1599" customFormat="false" ht="15" hidden="false" customHeight="true" outlineLevel="0" collapsed="false"/>
    <row r="1600" customFormat="false" ht="15" hidden="false" customHeight="true" outlineLevel="0" collapsed="false"/>
    <row r="1601" customFormat="false" ht="15" hidden="false" customHeight="true" outlineLevel="0" collapsed="false"/>
    <row r="1602" customFormat="false" ht="15" hidden="false" customHeight="true" outlineLevel="0" collapsed="false"/>
    <row r="1603" customFormat="false" ht="15" hidden="false" customHeight="true" outlineLevel="0" collapsed="false"/>
    <row r="1604" customFormat="false" ht="15" hidden="false" customHeight="true" outlineLevel="0" collapsed="false"/>
    <row r="1605" customFormat="false" ht="15" hidden="false" customHeight="true" outlineLevel="0" collapsed="false"/>
    <row r="1606" customFormat="false" ht="15" hidden="false" customHeight="true" outlineLevel="0" collapsed="false"/>
    <row r="1607" customFormat="false" ht="15" hidden="false" customHeight="true" outlineLevel="0" collapsed="false"/>
    <row r="1608" customFormat="false" ht="15" hidden="false" customHeight="true" outlineLevel="0" collapsed="false"/>
    <row r="1609" customFormat="false" ht="15" hidden="false" customHeight="true" outlineLevel="0" collapsed="false"/>
    <row r="1610" customFormat="false" ht="15" hidden="false" customHeight="true" outlineLevel="0" collapsed="false"/>
    <row r="1611" customFormat="false" ht="15" hidden="false" customHeight="true" outlineLevel="0" collapsed="false"/>
    <row r="1612" customFormat="false" ht="15" hidden="false" customHeight="true" outlineLevel="0" collapsed="false"/>
    <row r="1613" customFormat="false" ht="15" hidden="false" customHeight="true" outlineLevel="0" collapsed="false"/>
    <row r="1614" customFormat="false" ht="15" hidden="false" customHeight="true" outlineLevel="0" collapsed="false"/>
    <row r="1615" customFormat="false" ht="15" hidden="false" customHeight="true" outlineLevel="0" collapsed="false"/>
    <row r="1616" customFormat="false" ht="15" hidden="false" customHeight="true" outlineLevel="0" collapsed="false"/>
    <row r="1617" customFormat="false" ht="15" hidden="false" customHeight="true" outlineLevel="0" collapsed="false"/>
    <row r="1618" customFormat="false" ht="15" hidden="false" customHeight="true" outlineLevel="0" collapsed="false"/>
    <row r="1619" customFormat="false" ht="15" hidden="false" customHeight="true" outlineLevel="0" collapsed="false"/>
    <row r="1620" customFormat="false" ht="15" hidden="false" customHeight="true" outlineLevel="0" collapsed="false"/>
    <row r="1621" customFormat="false" ht="15" hidden="false" customHeight="true" outlineLevel="0" collapsed="false"/>
    <row r="1622" customFormat="false" ht="15" hidden="false" customHeight="true" outlineLevel="0" collapsed="false"/>
    <row r="1623" customFormat="false" ht="15" hidden="false" customHeight="true" outlineLevel="0" collapsed="false"/>
    <row r="1624" customFormat="false" ht="15" hidden="false" customHeight="true" outlineLevel="0" collapsed="false"/>
    <row r="1625" customFormat="false" ht="15" hidden="false" customHeight="true" outlineLevel="0" collapsed="false"/>
    <row r="1626" customFormat="false" ht="15" hidden="false" customHeight="true" outlineLevel="0" collapsed="false"/>
    <row r="1627" customFormat="false" ht="15" hidden="false" customHeight="true" outlineLevel="0" collapsed="false"/>
    <row r="1628" customFormat="false" ht="15" hidden="false" customHeight="true" outlineLevel="0" collapsed="false"/>
    <row r="1629" customFormat="false" ht="15" hidden="false" customHeight="true" outlineLevel="0" collapsed="false"/>
    <row r="1630" customFormat="false" ht="15" hidden="false" customHeight="true" outlineLevel="0" collapsed="false"/>
    <row r="1631" customFormat="false" ht="15" hidden="false" customHeight="true" outlineLevel="0" collapsed="false"/>
    <row r="1632" customFormat="false" ht="15" hidden="false" customHeight="true" outlineLevel="0" collapsed="false"/>
    <row r="1633" customFormat="false" ht="15" hidden="false" customHeight="true" outlineLevel="0" collapsed="false"/>
    <row r="1634" customFormat="false" ht="15" hidden="false" customHeight="true" outlineLevel="0" collapsed="false"/>
    <row r="1635" customFormat="false" ht="15" hidden="false" customHeight="true" outlineLevel="0" collapsed="false"/>
    <row r="1636" customFormat="false" ht="15" hidden="false" customHeight="true" outlineLevel="0" collapsed="false"/>
    <row r="1637" customFormat="false" ht="15" hidden="false" customHeight="true" outlineLevel="0" collapsed="false"/>
    <row r="1638" customFormat="false" ht="15" hidden="false" customHeight="true" outlineLevel="0" collapsed="false"/>
    <row r="1639" customFormat="false" ht="15" hidden="false" customHeight="true" outlineLevel="0" collapsed="false"/>
    <row r="1640" customFormat="false" ht="15" hidden="false" customHeight="true" outlineLevel="0" collapsed="false"/>
    <row r="1641" customFormat="false" ht="15" hidden="false" customHeight="true" outlineLevel="0" collapsed="false"/>
    <row r="1642" customFormat="false" ht="15" hidden="false" customHeight="true" outlineLevel="0" collapsed="false"/>
    <row r="1643" customFormat="false" ht="15" hidden="false" customHeight="true" outlineLevel="0" collapsed="false"/>
    <row r="1644" customFormat="false" ht="15" hidden="false" customHeight="true" outlineLevel="0" collapsed="false"/>
    <row r="1645" customFormat="false" ht="15" hidden="false" customHeight="true" outlineLevel="0" collapsed="false"/>
    <row r="1646" customFormat="false" ht="15" hidden="false" customHeight="true" outlineLevel="0" collapsed="false"/>
    <row r="1647" customFormat="false" ht="15" hidden="false" customHeight="true" outlineLevel="0" collapsed="false"/>
    <row r="1648" customFormat="false" ht="15" hidden="false" customHeight="true" outlineLevel="0" collapsed="false"/>
    <row r="1649" customFormat="false" ht="15" hidden="false" customHeight="true" outlineLevel="0" collapsed="false"/>
    <row r="1650" customFormat="false" ht="15" hidden="false" customHeight="true" outlineLevel="0" collapsed="false"/>
    <row r="1651" customFormat="false" ht="15" hidden="false" customHeight="true" outlineLevel="0" collapsed="false"/>
    <row r="1652" customFormat="false" ht="15" hidden="false" customHeight="true" outlineLevel="0" collapsed="false"/>
    <row r="1653" customFormat="false" ht="15" hidden="false" customHeight="true" outlineLevel="0" collapsed="false"/>
    <row r="1654" customFormat="false" ht="15" hidden="false" customHeight="true" outlineLevel="0" collapsed="false"/>
    <row r="1655" customFormat="false" ht="15" hidden="false" customHeight="true" outlineLevel="0" collapsed="false"/>
    <row r="1656" customFormat="false" ht="15" hidden="false" customHeight="true" outlineLevel="0" collapsed="false"/>
    <row r="1657" customFormat="false" ht="15" hidden="false" customHeight="true" outlineLevel="0" collapsed="false"/>
    <row r="1658" customFormat="false" ht="15" hidden="false" customHeight="true" outlineLevel="0" collapsed="false"/>
    <row r="1659" customFormat="false" ht="15" hidden="false" customHeight="true" outlineLevel="0" collapsed="false"/>
    <row r="1660" customFormat="false" ht="15" hidden="false" customHeight="true" outlineLevel="0" collapsed="false"/>
    <row r="1661" customFormat="false" ht="15" hidden="false" customHeight="true" outlineLevel="0" collapsed="false"/>
    <row r="1662" customFormat="false" ht="15" hidden="false" customHeight="true" outlineLevel="0" collapsed="false"/>
    <row r="1663" customFormat="false" ht="15" hidden="false" customHeight="true" outlineLevel="0" collapsed="false"/>
    <row r="1664" customFormat="false" ht="15" hidden="false" customHeight="true" outlineLevel="0" collapsed="false"/>
    <row r="1665" customFormat="false" ht="15" hidden="false" customHeight="true" outlineLevel="0" collapsed="false"/>
    <row r="1666" customFormat="false" ht="15" hidden="false" customHeight="true" outlineLevel="0" collapsed="false"/>
    <row r="1667" customFormat="false" ht="15" hidden="false" customHeight="true" outlineLevel="0" collapsed="false"/>
    <row r="1668" customFormat="false" ht="15" hidden="false" customHeight="true" outlineLevel="0" collapsed="false"/>
    <row r="1669" customFormat="false" ht="15" hidden="false" customHeight="true" outlineLevel="0" collapsed="false"/>
    <row r="1670" customFormat="false" ht="15" hidden="false" customHeight="true" outlineLevel="0" collapsed="false"/>
    <row r="1671" customFormat="false" ht="15" hidden="false" customHeight="true" outlineLevel="0" collapsed="false"/>
    <row r="1672" customFormat="false" ht="15" hidden="false" customHeight="true" outlineLevel="0" collapsed="false"/>
    <row r="1673" customFormat="false" ht="15" hidden="false" customHeight="true" outlineLevel="0" collapsed="false"/>
    <row r="1674" customFormat="false" ht="15" hidden="false" customHeight="true" outlineLevel="0" collapsed="false"/>
    <row r="1675" customFormat="false" ht="15" hidden="false" customHeight="true" outlineLevel="0" collapsed="false"/>
    <row r="1676" customFormat="false" ht="15" hidden="false" customHeight="true" outlineLevel="0" collapsed="false"/>
    <row r="1677" customFormat="false" ht="15" hidden="false" customHeight="true" outlineLevel="0" collapsed="false"/>
    <row r="1678" customFormat="false" ht="15" hidden="false" customHeight="true" outlineLevel="0" collapsed="false"/>
    <row r="1679" customFormat="false" ht="15" hidden="false" customHeight="true" outlineLevel="0" collapsed="false"/>
    <row r="1680" customFormat="false" ht="15" hidden="false" customHeight="true" outlineLevel="0" collapsed="false"/>
    <row r="1681" customFormat="false" ht="15" hidden="false" customHeight="true" outlineLevel="0" collapsed="false"/>
    <row r="1682" customFormat="false" ht="15" hidden="false" customHeight="true" outlineLevel="0" collapsed="false"/>
    <row r="1683" customFormat="false" ht="15" hidden="false" customHeight="true" outlineLevel="0" collapsed="false"/>
    <row r="1684" customFormat="false" ht="15" hidden="false" customHeight="true" outlineLevel="0" collapsed="false"/>
    <row r="1685" customFormat="false" ht="15" hidden="false" customHeight="true" outlineLevel="0" collapsed="false"/>
    <row r="1686" customFormat="false" ht="15" hidden="false" customHeight="true" outlineLevel="0" collapsed="false"/>
    <row r="1687" customFormat="false" ht="15" hidden="false" customHeight="true" outlineLevel="0" collapsed="false"/>
    <row r="1688" customFormat="false" ht="15" hidden="false" customHeight="true" outlineLevel="0" collapsed="false"/>
    <row r="1689" customFormat="false" ht="15" hidden="false" customHeight="true" outlineLevel="0" collapsed="false"/>
    <row r="1690" customFormat="false" ht="15" hidden="false" customHeight="true" outlineLevel="0" collapsed="false"/>
    <row r="1691" customFormat="false" ht="15" hidden="false" customHeight="true" outlineLevel="0" collapsed="false"/>
    <row r="1692" customFormat="false" ht="15" hidden="false" customHeight="true" outlineLevel="0" collapsed="false"/>
    <row r="1693" customFormat="false" ht="15" hidden="false" customHeight="true" outlineLevel="0" collapsed="false"/>
    <row r="1694" customFormat="false" ht="15" hidden="false" customHeight="true" outlineLevel="0" collapsed="false"/>
    <row r="1695" customFormat="false" ht="15" hidden="false" customHeight="true" outlineLevel="0" collapsed="false"/>
    <row r="1696" customFormat="false" ht="15" hidden="false" customHeight="true" outlineLevel="0" collapsed="false"/>
    <row r="1697" customFormat="false" ht="15" hidden="false" customHeight="true" outlineLevel="0" collapsed="false"/>
    <row r="1698" customFormat="false" ht="15" hidden="false" customHeight="true" outlineLevel="0" collapsed="false"/>
    <row r="1699" customFormat="false" ht="15" hidden="false" customHeight="true" outlineLevel="0" collapsed="false"/>
    <row r="1700" customFormat="false" ht="15" hidden="false" customHeight="true" outlineLevel="0" collapsed="false"/>
    <row r="1701" customFormat="false" ht="15" hidden="false" customHeight="true" outlineLevel="0" collapsed="false"/>
    <row r="1702" customFormat="false" ht="15" hidden="false" customHeight="true" outlineLevel="0" collapsed="false"/>
    <row r="1703" customFormat="false" ht="15" hidden="false" customHeight="true" outlineLevel="0" collapsed="false"/>
    <row r="1704" customFormat="false" ht="15" hidden="false" customHeight="true" outlineLevel="0" collapsed="false"/>
    <row r="1705" customFormat="false" ht="15" hidden="false" customHeight="true" outlineLevel="0" collapsed="false"/>
    <row r="1706" customFormat="false" ht="15" hidden="false" customHeight="true" outlineLevel="0" collapsed="false"/>
    <row r="1707" customFormat="false" ht="15" hidden="false" customHeight="true" outlineLevel="0" collapsed="false"/>
    <row r="1708" customFormat="false" ht="15" hidden="false" customHeight="true" outlineLevel="0" collapsed="false"/>
    <row r="1709" customFormat="false" ht="15" hidden="false" customHeight="true" outlineLevel="0" collapsed="false"/>
    <row r="1710" customFormat="false" ht="15" hidden="false" customHeight="true" outlineLevel="0" collapsed="false"/>
    <row r="1711" customFormat="false" ht="15" hidden="false" customHeight="true" outlineLevel="0" collapsed="false"/>
    <row r="1712" customFormat="false" ht="15" hidden="false" customHeight="true" outlineLevel="0" collapsed="false"/>
    <row r="1713" customFormat="false" ht="15" hidden="false" customHeight="true" outlineLevel="0" collapsed="false"/>
    <row r="1714" customFormat="false" ht="15" hidden="false" customHeight="true" outlineLevel="0" collapsed="false"/>
    <row r="1715" customFormat="false" ht="15" hidden="false" customHeight="true" outlineLevel="0" collapsed="false"/>
    <row r="1716" customFormat="false" ht="15" hidden="false" customHeight="true" outlineLevel="0" collapsed="false"/>
    <row r="1717" customFormat="false" ht="15" hidden="false" customHeight="true" outlineLevel="0" collapsed="false"/>
    <row r="1718" customFormat="false" ht="15" hidden="false" customHeight="true" outlineLevel="0" collapsed="false"/>
    <row r="1719" customFormat="false" ht="15" hidden="false" customHeight="true" outlineLevel="0" collapsed="false"/>
    <row r="1720" customFormat="false" ht="15" hidden="false" customHeight="true" outlineLevel="0" collapsed="false"/>
    <row r="1721" customFormat="false" ht="15" hidden="false" customHeight="true" outlineLevel="0" collapsed="false"/>
    <row r="1722" customFormat="false" ht="15" hidden="false" customHeight="true" outlineLevel="0" collapsed="false"/>
    <row r="1723" customFormat="false" ht="15" hidden="false" customHeight="true" outlineLevel="0" collapsed="false"/>
    <row r="1724" customFormat="false" ht="15" hidden="false" customHeight="true" outlineLevel="0" collapsed="false"/>
    <row r="1725" customFormat="false" ht="15" hidden="false" customHeight="true" outlineLevel="0" collapsed="false"/>
    <row r="1726" customFormat="false" ht="15" hidden="false" customHeight="true" outlineLevel="0" collapsed="false"/>
    <row r="1727" customFormat="false" ht="15" hidden="false" customHeight="true" outlineLevel="0" collapsed="false"/>
    <row r="1728" customFormat="false" ht="15" hidden="false" customHeight="true" outlineLevel="0" collapsed="false"/>
    <row r="1729" customFormat="false" ht="15" hidden="false" customHeight="true" outlineLevel="0" collapsed="false"/>
    <row r="1730" customFormat="false" ht="15" hidden="false" customHeight="true" outlineLevel="0" collapsed="false"/>
    <row r="1731" customFormat="false" ht="15" hidden="false" customHeight="true" outlineLevel="0" collapsed="false"/>
    <row r="1732" customFormat="false" ht="15" hidden="false" customHeight="true" outlineLevel="0" collapsed="false"/>
    <row r="1733" customFormat="false" ht="15" hidden="false" customHeight="true" outlineLevel="0" collapsed="false"/>
    <row r="1734" customFormat="false" ht="15" hidden="false" customHeight="true" outlineLevel="0" collapsed="false"/>
    <row r="1735" customFormat="false" ht="15" hidden="false" customHeight="true" outlineLevel="0" collapsed="false"/>
    <row r="1736" customFormat="false" ht="15" hidden="false" customHeight="true" outlineLevel="0" collapsed="false"/>
    <row r="1737" customFormat="false" ht="15" hidden="false" customHeight="true" outlineLevel="0" collapsed="false"/>
    <row r="1738" customFormat="false" ht="15" hidden="false" customHeight="true" outlineLevel="0" collapsed="false"/>
    <row r="1739" customFormat="false" ht="15" hidden="false" customHeight="true" outlineLevel="0" collapsed="false"/>
    <row r="1740" customFormat="false" ht="15" hidden="false" customHeight="true" outlineLevel="0" collapsed="false"/>
    <row r="1741" customFormat="false" ht="15" hidden="false" customHeight="true" outlineLevel="0" collapsed="false"/>
    <row r="1742" customFormat="false" ht="15" hidden="false" customHeight="true" outlineLevel="0" collapsed="false"/>
    <row r="1743" customFormat="false" ht="15" hidden="false" customHeight="true" outlineLevel="0" collapsed="false"/>
    <row r="1744" customFormat="false" ht="15" hidden="false" customHeight="true" outlineLevel="0" collapsed="false"/>
    <row r="1745" customFormat="false" ht="15" hidden="false" customHeight="true" outlineLevel="0" collapsed="false"/>
    <row r="1746" customFormat="false" ht="15" hidden="false" customHeight="true" outlineLevel="0" collapsed="false"/>
    <row r="1747" customFormat="false" ht="15" hidden="false" customHeight="true" outlineLevel="0" collapsed="false"/>
    <row r="1748" customFormat="false" ht="15" hidden="false" customHeight="true" outlineLevel="0" collapsed="false"/>
    <row r="1749" customFormat="false" ht="15" hidden="false" customHeight="true" outlineLevel="0" collapsed="false"/>
    <row r="1750" customFormat="false" ht="15" hidden="false" customHeight="true" outlineLevel="0" collapsed="false"/>
    <row r="1751" customFormat="false" ht="15" hidden="false" customHeight="true" outlineLevel="0" collapsed="false"/>
    <row r="1752" customFormat="false" ht="15" hidden="false" customHeight="true" outlineLevel="0" collapsed="false"/>
    <row r="1753" customFormat="false" ht="15" hidden="false" customHeight="true" outlineLevel="0" collapsed="false"/>
    <row r="1754" customFormat="false" ht="15" hidden="false" customHeight="true" outlineLevel="0" collapsed="false"/>
    <row r="1755" customFormat="false" ht="15" hidden="false" customHeight="true" outlineLevel="0" collapsed="false"/>
    <row r="1756" customFormat="false" ht="15" hidden="false" customHeight="true" outlineLevel="0" collapsed="false"/>
    <row r="1757" customFormat="false" ht="15" hidden="false" customHeight="true" outlineLevel="0" collapsed="false"/>
    <row r="1758" customFormat="false" ht="15" hidden="false" customHeight="true" outlineLevel="0" collapsed="false"/>
    <row r="1759" customFormat="false" ht="15" hidden="false" customHeight="true" outlineLevel="0" collapsed="false"/>
    <row r="1760" customFormat="false" ht="15" hidden="false" customHeight="true" outlineLevel="0" collapsed="false"/>
    <row r="1761" customFormat="false" ht="15" hidden="false" customHeight="true" outlineLevel="0" collapsed="false"/>
    <row r="1762" customFormat="false" ht="15" hidden="false" customHeight="true" outlineLevel="0" collapsed="false"/>
    <row r="1763" customFormat="false" ht="15" hidden="false" customHeight="true" outlineLevel="0" collapsed="false"/>
    <row r="1764" customFormat="false" ht="15" hidden="false" customHeight="true" outlineLevel="0" collapsed="false"/>
    <row r="1765" customFormat="false" ht="15" hidden="false" customHeight="true" outlineLevel="0" collapsed="false"/>
    <row r="1766" customFormat="false" ht="15" hidden="false" customHeight="true" outlineLevel="0" collapsed="false"/>
    <row r="1767" customFormat="false" ht="15" hidden="false" customHeight="true" outlineLevel="0" collapsed="false"/>
    <row r="1768" customFormat="false" ht="15" hidden="false" customHeight="true" outlineLevel="0" collapsed="false"/>
    <row r="1769" customFormat="false" ht="15" hidden="false" customHeight="true" outlineLevel="0" collapsed="false"/>
    <row r="1770" customFormat="false" ht="15" hidden="false" customHeight="true" outlineLevel="0" collapsed="false"/>
    <row r="1771" customFormat="false" ht="15" hidden="false" customHeight="true" outlineLevel="0" collapsed="false"/>
    <row r="1772" customFormat="false" ht="15" hidden="false" customHeight="true" outlineLevel="0" collapsed="false"/>
    <row r="1773" customFormat="false" ht="15" hidden="false" customHeight="true" outlineLevel="0" collapsed="false"/>
    <row r="1774" customFormat="false" ht="15" hidden="false" customHeight="true" outlineLevel="0" collapsed="false"/>
    <row r="1775" customFormat="false" ht="15" hidden="false" customHeight="true" outlineLevel="0" collapsed="false"/>
    <row r="1776" customFormat="false" ht="15" hidden="false" customHeight="true" outlineLevel="0" collapsed="false"/>
    <row r="1777" customFormat="false" ht="15" hidden="false" customHeight="true" outlineLevel="0" collapsed="false"/>
    <row r="1778" customFormat="false" ht="15" hidden="false" customHeight="true" outlineLevel="0" collapsed="false"/>
    <row r="1779" customFormat="false" ht="15" hidden="false" customHeight="true" outlineLevel="0" collapsed="false"/>
    <row r="1780" customFormat="false" ht="15" hidden="false" customHeight="true" outlineLevel="0" collapsed="false"/>
    <row r="1781" customFormat="false" ht="15" hidden="false" customHeight="true" outlineLevel="0" collapsed="false"/>
    <row r="1782" customFormat="false" ht="15" hidden="false" customHeight="true" outlineLevel="0" collapsed="false"/>
    <row r="1783" customFormat="false" ht="15" hidden="false" customHeight="true" outlineLevel="0" collapsed="false"/>
    <row r="1784" customFormat="false" ht="15" hidden="false" customHeight="true" outlineLevel="0" collapsed="false"/>
    <row r="1785" customFormat="false" ht="15" hidden="false" customHeight="true" outlineLevel="0" collapsed="false"/>
    <row r="1786" customFormat="false" ht="15" hidden="false" customHeight="true" outlineLevel="0" collapsed="false"/>
    <row r="1787" customFormat="false" ht="15" hidden="false" customHeight="true" outlineLevel="0" collapsed="false"/>
    <row r="1788" customFormat="false" ht="15" hidden="false" customHeight="true" outlineLevel="0" collapsed="false"/>
    <row r="1789" customFormat="false" ht="15" hidden="false" customHeight="true" outlineLevel="0" collapsed="false"/>
    <row r="1790" customFormat="false" ht="15" hidden="false" customHeight="true" outlineLevel="0" collapsed="false"/>
    <row r="1791" customFormat="false" ht="15" hidden="false" customHeight="true" outlineLevel="0" collapsed="false"/>
    <row r="1792" customFormat="false" ht="15" hidden="false" customHeight="true" outlineLevel="0" collapsed="false"/>
    <row r="1793" customFormat="false" ht="15" hidden="false" customHeight="true" outlineLevel="0" collapsed="false"/>
    <row r="1794" customFormat="false" ht="15" hidden="false" customHeight="true" outlineLevel="0" collapsed="false"/>
    <row r="1795" customFormat="false" ht="15" hidden="false" customHeight="true" outlineLevel="0" collapsed="false"/>
    <row r="1796" customFormat="false" ht="15" hidden="false" customHeight="true" outlineLevel="0" collapsed="false"/>
    <row r="1797" customFormat="false" ht="15" hidden="false" customHeight="true" outlineLevel="0" collapsed="false"/>
    <row r="1798" customFormat="false" ht="15" hidden="false" customHeight="true" outlineLevel="0" collapsed="false"/>
    <row r="1799" customFormat="false" ht="15" hidden="false" customHeight="true" outlineLevel="0" collapsed="false"/>
    <row r="1800" customFormat="false" ht="15" hidden="false" customHeight="true" outlineLevel="0" collapsed="false"/>
    <row r="1801" customFormat="false" ht="15" hidden="false" customHeight="true" outlineLevel="0" collapsed="false"/>
    <row r="1802" customFormat="false" ht="15" hidden="false" customHeight="true" outlineLevel="0" collapsed="false"/>
    <row r="1803" customFormat="false" ht="15" hidden="false" customHeight="true" outlineLevel="0" collapsed="false"/>
    <row r="1804" customFormat="false" ht="15" hidden="false" customHeight="true" outlineLevel="0" collapsed="false"/>
    <row r="1805" customFormat="false" ht="15" hidden="false" customHeight="true" outlineLevel="0" collapsed="false"/>
    <row r="1806" customFormat="false" ht="15" hidden="false" customHeight="true" outlineLevel="0" collapsed="false"/>
    <row r="1807" customFormat="false" ht="15" hidden="false" customHeight="true" outlineLevel="0" collapsed="false"/>
    <row r="1808" customFormat="false" ht="15" hidden="false" customHeight="true" outlineLevel="0" collapsed="false"/>
    <row r="1809" customFormat="false" ht="15" hidden="false" customHeight="true" outlineLevel="0" collapsed="false"/>
    <row r="1810" customFormat="false" ht="15" hidden="false" customHeight="true" outlineLevel="0" collapsed="false"/>
    <row r="1811" customFormat="false" ht="15" hidden="false" customHeight="true" outlineLevel="0" collapsed="false"/>
    <row r="1812" customFormat="false" ht="15" hidden="false" customHeight="true" outlineLevel="0" collapsed="false"/>
    <row r="1813" customFormat="false" ht="15" hidden="false" customHeight="true" outlineLevel="0" collapsed="false"/>
    <row r="1814" customFormat="false" ht="15" hidden="false" customHeight="true" outlineLevel="0" collapsed="false"/>
    <row r="1815" customFormat="false" ht="15" hidden="false" customHeight="true" outlineLevel="0" collapsed="false"/>
    <row r="1816" customFormat="false" ht="15" hidden="false" customHeight="true" outlineLevel="0" collapsed="false"/>
    <row r="1817" customFormat="false" ht="15" hidden="false" customHeight="true" outlineLevel="0" collapsed="false"/>
    <row r="1818" customFormat="false" ht="15" hidden="false" customHeight="true" outlineLevel="0" collapsed="false"/>
    <row r="1819" customFormat="false" ht="15" hidden="false" customHeight="true" outlineLevel="0" collapsed="false"/>
    <row r="1820" customFormat="false" ht="15" hidden="false" customHeight="true" outlineLevel="0" collapsed="false"/>
    <row r="1821" customFormat="false" ht="15" hidden="false" customHeight="true" outlineLevel="0" collapsed="false"/>
    <row r="1822" customFormat="false" ht="15" hidden="false" customHeight="true" outlineLevel="0" collapsed="false"/>
    <row r="1823" customFormat="false" ht="15" hidden="false" customHeight="true" outlineLevel="0" collapsed="false"/>
    <row r="1824" customFormat="false" ht="15" hidden="false" customHeight="true" outlineLevel="0" collapsed="false"/>
    <row r="1825" customFormat="false" ht="15" hidden="false" customHeight="true" outlineLevel="0" collapsed="false"/>
    <row r="1826" customFormat="false" ht="15" hidden="false" customHeight="true" outlineLevel="0" collapsed="false"/>
    <row r="1827" customFormat="false" ht="15" hidden="false" customHeight="true" outlineLevel="0" collapsed="false"/>
    <row r="1828" customFormat="false" ht="15" hidden="false" customHeight="true" outlineLevel="0" collapsed="false"/>
    <row r="1829" customFormat="false" ht="15" hidden="false" customHeight="true" outlineLevel="0" collapsed="false"/>
    <row r="1830" customFormat="false" ht="15" hidden="false" customHeight="true" outlineLevel="0" collapsed="false"/>
    <row r="1831" customFormat="false" ht="15" hidden="false" customHeight="true" outlineLevel="0" collapsed="false"/>
    <row r="1832" customFormat="false" ht="15" hidden="false" customHeight="true" outlineLevel="0" collapsed="false"/>
    <row r="1833" customFormat="false" ht="15" hidden="false" customHeight="true" outlineLevel="0" collapsed="false"/>
    <row r="1834" customFormat="false" ht="15" hidden="false" customHeight="true" outlineLevel="0" collapsed="false"/>
    <row r="1835" customFormat="false" ht="15" hidden="false" customHeight="true" outlineLevel="0" collapsed="false"/>
    <row r="1836" customFormat="false" ht="15" hidden="false" customHeight="true" outlineLevel="0" collapsed="false"/>
    <row r="1837" customFormat="false" ht="15" hidden="false" customHeight="true" outlineLevel="0" collapsed="false"/>
    <row r="1838" customFormat="false" ht="15" hidden="false" customHeight="true" outlineLevel="0" collapsed="false"/>
    <row r="1839" customFormat="false" ht="15" hidden="false" customHeight="true" outlineLevel="0" collapsed="false"/>
    <row r="1840" customFormat="false" ht="15" hidden="false" customHeight="true" outlineLevel="0" collapsed="false"/>
    <row r="1841" customFormat="false" ht="15" hidden="false" customHeight="true" outlineLevel="0" collapsed="false"/>
    <row r="1842" customFormat="false" ht="15" hidden="false" customHeight="true" outlineLevel="0" collapsed="false"/>
    <row r="1843" customFormat="false" ht="15" hidden="false" customHeight="true" outlineLevel="0" collapsed="false"/>
    <row r="1844" customFormat="false" ht="15" hidden="false" customHeight="true" outlineLevel="0" collapsed="false"/>
    <row r="1845" customFormat="false" ht="15" hidden="false" customHeight="true" outlineLevel="0" collapsed="false"/>
    <row r="1846" customFormat="false" ht="15" hidden="false" customHeight="true" outlineLevel="0" collapsed="false"/>
    <row r="1847" customFormat="false" ht="15" hidden="false" customHeight="true" outlineLevel="0" collapsed="false"/>
    <row r="1848" customFormat="false" ht="15" hidden="false" customHeight="true" outlineLevel="0" collapsed="false"/>
    <row r="1849" customFormat="false" ht="15" hidden="false" customHeight="true" outlineLevel="0" collapsed="false"/>
    <row r="1850" customFormat="false" ht="15" hidden="false" customHeight="true" outlineLevel="0" collapsed="false"/>
    <row r="1851" customFormat="false" ht="15" hidden="false" customHeight="true" outlineLevel="0" collapsed="false"/>
    <row r="1852" customFormat="false" ht="15" hidden="false" customHeight="true" outlineLevel="0" collapsed="false"/>
    <row r="1853" customFormat="false" ht="15" hidden="false" customHeight="true" outlineLevel="0" collapsed="false"/>
    <row r="1854" customFormat="false" ht="15" hidden="false" customHeight="true" outlineLevel="0" collapsed="false"/>
    <row r="1855" customFormat="false" ht="15" hidden="false" customHeight="true" outlineLevel="0" collapsed="false"/>
    <row r="1856" customFormat="false" ht="15" hidden="false" customHeight="true" outlineLevel="0" collapsed="false"/>
    <row r="1857" customFormat="false" ht="15" hidden="false" customHeight="true" outlineLevel="0" collapsed="false"/>
    <row r="1858" customFormat="false" ht="15" hidden="false" customHeight="true" outlineLevel="0" collapsed="false"/>
    <row r="1859" customFormat="false" ht="15" hidden="false" customHeight="true" outlineLevel="0" collapsed="false"/>
    <row r="1860" customFormat="false" ht="15" hidden="false" customHeight="true" outlineLevel="0" collapsed="false"/>
    <row r="1861" customFormat="false" ht="15" hidden="false" customHeight="true" outlineLevel="0" collapsed="false"/>
    <row r="1862" customFormat="false" ht="15" hidden="false" customHeight="true" outlineLevel="0" collapsed="false"/>
    <row r="1863" customFormat="false" ht="15" hidden="false" customHeight="true" outlineLevel="0" collapsed="false"/>
    <row r="1864" customFormat="false" ht="15" hidden="false" customHeight="true" outlineLevel="0" collapsed="false"/>
    <row r="1865" customFormat="false" ht="15" hidden="false" customHeight="true" outlineLevel="0" collapsed="false"/>
    <row r="1866" customFormat="false" ht="15" hidden="false" customHeight="true" outlineLevel="0" collapsed="false"/>
    <row r="1867" customFormat="false" ht="15" hidden="false" customHeight="true" outlineLevel="0" collapsed="false"/>
    <row r="1868" customFormat="false" ht="15" hidden="false" customHeight="true" outlineLevel="0" collapsed="false"/>
    <row r="1869" customFormat="false" ht="15" hidden="false" customHeight="true" outlineLevel="0" collapsed="false"/>
    <row r="1870" customFormat="false" ht="15" hidden="false" customHeight="true" outlineLevel="0" collapsed="false"/>
    <row r="1871" customFormat="false" ht="15" hidden="false" customHeight="true" outlineLevel="0" collapsed="false"/>
    <row r="1872" customFormat="false" ht="15" hidden="false" customHeight="true" outlineLevel="0" collapsed="false"/>
    <row r="1873" customFormat="false" ht="15" hidden="false" customHeight="true" outlineLevel="0" collapsed="false"/>
    <row r="1874" customFormat="false" ht="15" hidden="false" customHeight="true" outlineLevel="0" collapsed="false"/>
    <row r="1875" customFormat="false" ht="15" hidden="false" customHeight="true" outlineLevel="0" collapsed="false"/>
    <row r="1876" customFormat="false" ht="15" hidden="false" customHeight="true" outlineLevel="0" collapsed="false"/>
    <row r="1877" customFormat="false" ht="15" hidden="false" customHeight="true" outlineLevel="0" collapsed="false"/>
    <row r="1878" customFormat="false" ht="15" hidden="false" customHeight="true" outlineLevel="0" collapsed="false"/>
    <row r="1879" customFormat="false" ht="15" hidden="false" customHeight="true" outlineLevel="0" collapsed="false"/>
    <row r="1880" customFormat="false" ht="15" hidden="false" customHeight="true" outlineLevel="0" collapsed="false"/>
    <row r="1881" customFormat="false" ht="15" hidden="false" customHeight="true" outlineLevel="0" collapsed="false"/>
    <row r="1882" customFormat="false" ht="15" hidden="false" customHeight="true" outlineLevel="0" collapsed="false"/>
    <row r="1883" customFormat="false" ht="15" hidden="false" customHeight="true" outlineLevel="0" collapsed="false"/>
    <row r="1884" customFormat="false" ht="15" hidden="false" customHeight="true" outlineLevel="0" collapsed="false"/>
    <row r="1885" customFormat="false" ht="15" hidden="false" customHeight="true" outlineLevel="0" collapsed="false"/>
    <row r="1886" customFormat="false" ht="15" hidden="false" customHeight="true" outlineLevel="0" collapsed="false"/>
    <row r="1887" customFormat="false" ht="15" hidden="false" customHeight="true" outlineLevel="0" collapsed="false"/>
    <row r="1888" customFormat="false" ht="15" hidden="false" customHeight="true" outlineLevel="0" collapsed="false"/>
    <row r="1889" customFormat="false" ht="15" hidden="false" customHeight="true" outlineLevel="0" collapsed="false"/>
    <row r="1890" customFormat="false" ht="15" hidden="false" customHeight="true" outlineLevel="0" collapsed="false"/>
    <row r="1891" customFormat="false" ht="15" hidden="false" customHeight="true" outlineLevel="0" collapsed="false"/>
    <row r="1892" customFormat="false" ht="15" hidden="false" customHeight="true" outlineLevel="0" collapsed="false"/>
    <row r="1893" customFormat="false" ht="15" hidden="false" customHeight="true" outlineLevel="0" collapsed="false"/>
    <row r="1894" customFormat="false" ht="15" hidden="false" customHeight="true" outlineLevel="0" collapsed="false"/>
    <row r="1895" customFormat="false" ht="15" hidden="false" customHeight="true" outlineLevel="0" collapsed="false"/>
    <row r="1896" customFormat="false" ht="15" hidden="false" customHeight="true" outlineLevel="0" collapsed="false"/>
    <row r="1897" customFormat="false" ht="15" hidden="false" customHeight="true" outlineLevel="0" collapsed="false"/>
    <row r="1898" customFormat="false" ht="15" hidden="false" customHeight="true" outlineLevel="0" collapsed="false"/>
    <row r="1899" customFormat="false" ht="15" hidden="false" customHeight="true" outlineLevel="0" collapsed="false"/>
    <row r="1900" customFormat="false" ht="15" hidden="false" customHeight="true" outlineLevel="0" collapsed="false"/>
    <row r="1901" customFormat="false" ht="15" hidden="false" customHeight="true" outlineLevel="0" collapsed="false"/>
    <row r="1902" customFormat="false" ht="15" hidden="false" customHeight="true" outlineLevel="0" collapsed="false"/>
    <row r="1903" customFormat="false" ht="15" hidden="false" customHeight="true" outlineLevel="0" collapsed="false"/>
    <row r="1904" customFormat="false" ht="15" hidden="false" customHeight="true" outlineLevel="0" collapsed="false"/>
    <row r="1905" customFormat="false" ht="15" hidden="false" customHeight="true" outlineLevel="0" collapsed="false"/>
    <row r="1906" customFormat="false" ht="15" hidden="false" customHeight="true" outlineLevel="0" collapsed="false"/>
    <row r="1907" customFormat="false" ht="15" hidden="false" customHeight="true" outlineLevel="0" collapsed="false"/>
    <row r="1908" customFormat="false" ht="15" hidden="false" customHeight="true" outlineLevel="0" collapsed="false"/>
    <row r="1909" customFormat="false" ht="15" hidden="false" customHeight="true" outlineLevel="0" collapsed="false"/>
    <row r="1910" customFormat="false" ht="15" hidden="false" customHeight="true" outlineLevel="0" collapsed="false"/>
    <row r="1911" customFormat="false" ht="15" hidden="false" customHeight="true" outlineLevel="0" collapsed="false"/>
    <row r="1912" customFormat="false" ht="15" hidden="false" customHeight="true" outlineLevel="0" collapsed="false"/>
    <row r="1913" customFormat="false" ht="15" hidden="false" customHeight="true" outlineLevel="0" collapsed="false"/>
    <row r="1914" customFormat="false" ht="15" hidden="false" customHeight="true" outlineLevel="0" collapsed="false"/>
    <row r="1915" customFormat="false" ht="15" hidden="false" customHeight="true" outlineLevel="0" collapsed="false"/>
    <row r="1916" customFormat="false" ht="15" hidden="false" customHeight="true" outlineLevel="0" collapsed="false"/>
    <row r="1917" customFormat="false" ht="15" hidden="false" customHeight="true" outlineLevel="0" collapsed="false"/>
    <row r="1918" customFormat="false" ht="15" hidden="false" customHeight="true" outlineLevel="0" collapsed="false"/>
    <row r="1919" customFormat="false" ht="15" hidden="false" customHeight="true" outlineLevel="0" collapsed="false"/>
    <row r="1920" customFormat="false" ht="15" hidden="false" customHeight="true" outlineLevel="0" collapsed="false"/>
    <row r="1921" customFormat="false" ht="15" hidden="false" customHeight="true" outlineLevel="0" collapsed="false"/>
    <row r="1922" customFormat="false" ht="15" hidden="false" customHeight="true" outlineLevel="0" collapsed="false"/>
    <row r="1923" customFormat="false" ht="15" hidden="false" customHeight="true" outlineLevel="0" collapsed="false"/>
    <row r="1924" customFormat="false" ht="15" hidden="false" customHeight="true" outlineLevel="0" collapsed="false"/>
    <row r="1925" customFormat="false" ht="15" hidden="false" customHeight="true" outlineLevel="0" collapsed="false"/>
    <row r="1926" customFormat="false" ht="15" hidden="false" customHeight="true" outlineLevel="0" collapsed="false"/>
    <row r="1927" customFormat="false" ht="15" hidden="false" customHeight="true" outlineLevel="0" collapsed="false"/>
    <row r="1928" customFormat="false" ht="15" hidden="false" customHeight="true" outlineLevel="0" collapsed="false"/>
    <row r="1929" customFormat="false" ht="15" hidden="false" customHeight="true" outlineLevel="0" collapsed="false"/>
    <row r="1930" customFormat="false" ht="15" hidden="false" customHeight="true" outlineLevel="0" collapsed="false"/>
    <row r="1931" customFormat="false" ht="15" hidden="false" customHeight="true" outlineLevel="0" collapsed="false"/>
    <row r="1932" customFormat="false" ht="15" hidden="false" customHeight="true" outlineLevel="0" collapsed="false"/>
    <row r="1933" customFormat="false" ht="15" hidden="false" customHeight="true" outlineLevel="0" collapsed="false"/>
    <row r="1934" customFormat="false" ht="15" hidden="false" customHeight="true" outlineLevel="0" collapsed="false"/>
    <row r="1935" customFormat="false" ht="15" hidden="false" customHeight="true" outlineLevel="0" collapsed="false"/>
    <row r="1936" customFormat="false" ht="15" hidden="false" customHeight="true" outlineLevel="0" collapsed="false"/>
    <row r="1937" customFormat="false" ht="15" hidden="false" customHeight="true" outlineLevel="0" collapsed="false"/>
    <row r="1938" customFormat="false" ht="15" hidden="false" customHeight="true" outlineLevel="0" collapsed="false"/>
    <row r="1939" customFormat="false" ht="15" hidden="false" customHeight="true" outlineLevel="0" collapsed="false"/>
    <row r="1940" customFormat="false" ht="15" hidden="false" customHeight="true" outlineLevel="0" collapsed="false"/>
    <row r="1941" customFormat="false" ht="15" hidden="false" customHeight="true" outlineLevel="0" collapsed="false"/>
    <row r="1942" customFormat="false" ht="15" hidden="false" customHeight="true" outlineLevel="0" collapsed="false"/>
    <row r="1943" customFormat="false" ht="15" hidden="false" customHeight="true" outlineLevel="0" collapsed="false"/>
    <row r="1944" customFormat="false" ht="15" hidden="false" customHeight="true" outlineLevel="0" collapsed="false"/>
    <row r="1945" customFormat="false" ht="15" hidden="false" customHeight="true" outlineLevel="0" collapsed="false"/>
    <row r="1946" customFormat="false" ht="15" hidden="false" customHeight="true" outlineLevel="0" collapsed="false"/>
    <row r="1947" customFormat="false" ht="15" hidden="false" customHeight="true" outlineLevel="0" collapsed="false"/>
    <row r="1948" customFormat="false" ht="15" hidden="false" customHeight="true" outlineLevel="0" collapsed="false"/>
    <row r="1949" customFormat="false" ht="15" hidden="false" customHeight="true" outlineLevel="0" collapsed="false"/>
    <row r="1950" customFormat="false" ht="15" hidden="false" customHeight="true" outlineLevel="0" collapsed="false"/>
    <row r="1951" customFormat="false" ht="15" hidden="false" customHeight="true" outlineLevel="0" collapsed="false"/>
    <row r="1952" customFormat="false" ht="15" hidden="false" customHeight="true" outlineLevel="0" collapsed="false"/>
    <row r="1953" customFormat="false" ht="15" hidden="false" customHeight="true" outlineLevel="0" collapsed="false"/>
    <row r="1954" customFormat="false" ht="15" hidden="false" customHeight="true" outlineLevel="0" collapsed="false"/>
    <row r="1955" customFormat="false" ht="15" hidden="false" customHeight="true" outlineLevel="0" collapsed="false"/>
    <row r="1956" customFormat="false" ht="15" hidden="false" customHeight="true" outlineLevel="0" collapsed="false"/>
    <row r="1957" customFormat="false" ht="15" hidden="false" customHeight="true" outlineLevel="0" collapsed="false"/>
    <row r="1958" customFormat="false" ht="15" hidden="false" customHeight="true" outlineLevel="0" collapsed="false"/>
    <row r="1959" customFormat="false" ht="15" hidden="false" customHeight="true" outlineLevel="0" collapsed="false"/>
    <row r="1960" customFormat="false" ht="15" hidden="false" customHeight="true" outlineLevel="0" collapsed="false"/>
    <row r="1961" customFormat="false" ht="15" hidden="false" customHeight="true" outlineLevel="0" collapsed="false"/>
    <row r="1962" customFormat="false" ht="15" hidden="false" customHeight="true" outlineLevel="0" collapsed="false"/>
    <row r="1963" customFormat="false" ht="15" hidden="false" customHeight="true" outlineLevel="0" collapsed="false"/>
    <row r="1964" customFormat="false" ht="15" hidden="false" customHeight="true" outlineLevel="0" collapsed="false"/>
    <row r="1965" customFormat="false" ht="15" hidden="false" customHeight="true" outlineLevel="0" collapsed="false"/>
    <row r="1966" customFormat="false" ht="15" hidden="false" customHeight="true" outlineLevel="0" collapsed="false"/>
    <row r="1967" customFormat="false" ht="15" hidden="false" customHeight="true" outlineLevel="0" collapsed="false"/>
    <row r="1968" customFormat="false" ht="15" hidden="false" customHeight="true" outlineLevel="0" collapsed="false"/>
    <row r="1969" customFormat="false" ht="15" hidden="false" customHeight="true" outlineLevel="0" collapsed="false"/>
    <row r="1970" customFormat="false" ht="15" hidden="false" customHeight="true" outlineLevel="0" collapsed="false"/>
    <row r="1971" customFormat="false" ht="15" hidden="false" customHeight="true" outlineLevel="0" collapsed="false"/>
    <row r="1972" customFormat="false" ht="15" hidden="false" customHeight="true" outlineLevel="0" collapsed="false"/>
    <row r="1973" customFormat="false" ht="15" hidden="false" customHeight="true" outlineLevel="0" collapsed="false"/>
    <row r="1974" customFormat="false" ht="15" hidden="false" customHeight="true" outlineLevel="0" collapsed="false"/>
    <row r="1975" customFormat="false" ht="15" hidden="false" customHeight="true" outlineLevel="0" collapsed="false"/>
    <row r="1976" customFormat="false" ht="15" hidden="false" customHeight="true" outlineLevel="0" collapsed="false"/>
    <row r="1977" customFormat="false" ht="15" hidden="false" customHeight="true" outlineLevel="0" collapsed="false"/>
    <row r="1978" customFormat="false" ht="15" hidden="false" customHeight="true" outlineLevel="0" collapsed="false"/>
    <row r="1979" customFormat="false" ht="15" hidden="false" customHeight="true" outlineLevel="0" collapsed="false"/>
    <row r="1980" customFormat="false" ht="15" hidden="false" customHeight="true" outlineLevel="0" collapsed="false"/>
    <row r="1981" customFormat="false" ht="15" hidden="false" customHeight="true" outlineLevel="0" collapsed="false"/>
    <row r="1982" customFormat="false" ht="15" hidden="false" customHeight="true" outlineLevel="0" collapsed="false"/>
    <row r="1983" customFormat="false" ht="15" hidden="false" customHeight="true" outlineLevel="0" collapsed="false"/>
    <row r="1984" customFormat="false" ht="15" hidden="false" customHeight="true" outlineLevel="0" collapsed="false"/>
    <row r="1985" customFormat="false" ht="15" hidden="false" customHeight="true" outlineLevel="0" collapsed="false"/>
    <row r="1986" customFormat="false" ht="15" hidden="false" customHeight="true" outlineLevel="0" collapsed="false"/>
    <row r="1987" customFormat="false" ht="15" hidden="false" customHeight="true" outlineLevel="0" collapsed="false"/>
    <row r="1988" customFormat="false" ht="15" hidden="false" customHeight="true" outlineLevel="0" collapsed="false"/>
    <row r="1989" customFormat="false" ht="15" hidden="false" customHeight="true" outlineLevel="0" collapsed="false"/>
    <row r="1990" customFormat="false" ht="15" hidden="false" customHeight="true" outlineLevel="0" collapsed="false"/>
    <row r="1991" customFormat="false" ht="15" hidden="false" customHeight="true" outlineLevel="0" collapsed="false"/>
    <row r="1992" customFormat="false" ht="15" hidden="false" customHeight="true" outlineLevel="0" collapsed="false"/>
    <row r="1993" customFormat="false" ht="15" hidden="false" customHeight="true" outlineLevel="0" collapsed="false"/>
    <row r="1994" customFormat="false" ht="15" hidden="false" customHeight="true" outlineLevel="0" collapsed="false"/>
    <row r="1995" customFormat="false" ht="15" hidden="false" customHeight="true" outlineLevel="0" collapsed="false"/>
    <row r="1996" customFormat="false" ht="15" hidden="false" customHeight="true" outlineLevel="0" collapsed="false"/>
    <row r="1997" customFormat="false" ht="15" hidden="false" customHeight="true" outlineLevel="0" collapsed="false"/>
    <row r="1998" customFormat="false" ht="15" hidden="false" customHeight="true" outlineLevel="0" collapsed="false"/>
    <row r="1999" customFormat="false" ht="15" hidden="false" customHeight="true" outlineLevel="0" collapsed="false"/>
    <row r="2000" customFormat="false" ht="15" hidden="false" customHeight="true" outlineLevel="0" collapsed="false"/>
    <row r="2001" customFormat="false" ht="15" hidden="false" customHeight="true" outlineLevel="0" collapsed="false"/>
    <row r="2002" customFormat="false" ht="15" hidden="false" customHeight="true" outlineLevel="0" collapsed="false"/>
    <row r="2003" customFormat="false" ht="15" hidden="false" customHeight="true" outlineLevel="0" collapsed="false"/>
    <row r="2004" customFormat="false" ht="15" hidden="false" customHeight="true" outlineLevel="0" collapsed="false"/>
    <row r="2005" customFormat="false" ht="15" hidden="false" customHeight="true" outlineLevel="0" collapsed="false"/>
    <row r="2006" customFormat="false" ht="15" hidden="false" customHeight="true" outlineLevel="0" collapsed="false"/>
    <row r="2007" customFormat="false" ht="15" hidden="false" customHeight="true" outlineLevel="0" collapsed="false"/>
    <row r="2008" customFormat="false" ht="15" hidden="false" customHeight="true" outlineLevel="0" collapsed="false"/>
    <row r="2009" customFormat="false" ht="15" hidden="false" customHeight="true" outlineLevel="0" collapsed="false"/>
    <row r="2010" customFormat="false" ht="15" hidden="false" customHeight="true" outlineLevel="0" collapsed="false"/>
    <row r="2011" customFormat="false" ht="15" hidden="false" customHeight="true" outlineLevel="0" collapsed="false"/>
    <row r="2012" customFormat="false" ht="15" hidden="false" customHeight="true" outlineLevel="0" collapsed="false"/>
    <row r="2013" customFormat="false" ht="15" hidden="false" customHeight="true" outlineLevel="0" collapsed="false"/>
    <row r="2014" customFormat="false" ht="15" hidden="false" customHeight="true" outlineLevel="0" collapsed="false"/>
    <row r="2015" customFormat="false" ht="15" hidden="false" customHeight="true" outlineLevel="0" collapsed="false"/>
    <row r="2016" customFormat="false" ht="15" hidden="false" customHeight="true" outlineLevel="0" collapsed="false"/>
    <row r="2017" customFormat="false" ht="15" hidden="false" customHeight="true" outlineLevel="0" collapsed="false"/>
    <row r="2018" customFormat="false" ht="15" hidden="false" customHeight="true" outlineLevel="0" collapsed="false"/>
    <row r="2019" customFormat="false" ht="15" hidden="false" customHeight="true" outlineLevel="0" collapsed="false"/>
    <row r="2020" customFormat="false" ht="15" hidden="false" customHeight="true" outlineLevel="0" collapsed="false"/>
    <row r="2021" customFormat="false" ht="15" hidden="false" customHeight="true" outlineLevel="0" collapsed="false"/>
    <row r="2022" customFormat="false" ht="15" hidden="false" customHeight="true" outlineLevel="0" collapsed="false"/>
    <row r="2023" customFormat="false" ht="15" hidden="false" customHeight="true" outlineLevel="0" collapsed="false"/>
    <row r="2024" customFormat="false" ht="15" hidden="false" customHeight="true" outlineLevel="0" collapsed="false"/>
    <row r="2025" customFormat="false" ht="15" hidden="false" customHeight="true" outlineLevel="0" collapsed="false"/>
    <row r="2026" customFormat="false" ht="15" hidden="false" customHeight="true" outlineLevel="0" collapsed="false"/>
    <row r="2027" customFormat="false" ht="15" hidden="false" customHeight="true" outlineLevel="0" collapsed="false"/>
    <row r="2028" customFormat="false" ht="15" hidden="false" customHeight="true" outlineLevel="0" collapsed="false"/>
    <row r="2029" customFormat="false" ht="15" hidden="false" customHeight="true" outlineLevel="0" collapsed="false"/>
    <row r="2030" customFormat="false" ht="15" hidden="false" customHeight="true" outlineLevel="0" collapsed="false"/>
    <row r="2031" customFormat="false" ht="15" hidden="false" customHeight="true" outlineLevel="0" collapsed="false"/>
    <row r="2032" customFormat="false" ht="15" hidden="false" customHeight="true" outlineLevel="0" collapsed="false"/>
    <row r="2033" customFormat="false" ht="15" hidden="false" customHeight="true" outlineLevel="0" collapsed="false"/>
    <row r="2034" customFormat="false" ht="15" hidden="false" customHeight="true" outlineLevel="0" collapsed="false"/>
    <row r="2035" customFormat="false" ht="15" hidden="false" customHeight="true" outlineLevel="0" collapsed="false"/>
    <row r="2036" customFormat="false" ht="15" hidden="false" customHeight="true" outlineLevel="0" collapsed="false"/>
    <row r="2037" customFormat="false" ht="15" hidden="false" customHeight="true" outlineLevel="0" collapsed="false"/>
    <row r="2038" customFormat="false" ht="15" hidden="false" customHeight="true" outlineLevel="0" collapsed="false"/>
    <row r="2039" customFormat="false" ht="15" hidden="false" customHeight="true" outlineLevel="0" collapsed="false"/>
    <row r="2040" customFormat="false" ht="15" hidden="false" customHeight="true" outlineLevel="0" collapsed="false"/>
    <row r="2041" customFormat="false" ht="15" hidden="false" customHeight="true" outlineLevel="0" collapsed="false"/>
    <row r="2042" customFormat="false" ht="15" hidden="false" customHeight="true" outlineLevel="0" collapsed="false"/>
    <row r="2043" customFormat="false" ht="15" hidden="false" customHeight="true" outlineLevel="0" collapsed="false"/>
    <row r="2044" customFormat="false" ht="15" hidden="false" customHeight="true" outlineLevel="0" collapsed="false"/>
    <row r="2045" customFormat="false" ht="15" hidden="false" customHeight="true" outlineLevel="0" collapsed="false"/>
    <row r="2046" customFormat="false" ht="15" hidden="false" customHeight="true" outlineLevel="0" collapsed="false"/>
    <row r="2047" customFormat="false" ht="15" hidden="false" customHeight="true" outlineLevel="0" collapsed="false"/>
    <row r="2048" customFormat="false" ht="15" hidden="false" customHeight="true" outlineLevel="0" collapsed="false"/>
    <row r="2049" customFormat="false" ht="15" hidden="false" customHeight="true" outlineLevel="0" collapsed="false"/>
    <row r="2050" customFormat="false" ht="15" hidden="false" customHeight="true" outlineLevel="0" collapsed="false"/>
    <row r="2051" customFormat="false" ht="15" hidden="false" customHeight="true" outlineLevel="0" collapsed="false"/>
    <row r="2052" customFormat="false" ht="15" hidden="false" customHeight="true" outlineLevel="0" collapsed="false"/>
    <row r="2053" customFormat="false" ht="15" hidden="false" customHeight="true" outlineLevel="0" collapsed="false"/>
    <row r="2054" customFormat="false" ht="15" hidden="false" customHeight="true" outlineLevel="0" collapsed="false"/>
    <row r="2055" customFormat="false" ht="15" hidden="false" customHeight="true" outlineLevel="0" collapsed="false"/>
    <row r="2056" customFormat="false" ht="15" hidden="false" customHeight="true" outlineLevel="0" collapsed="false"/>
    <row r="2057" customFormat="false" ht="15" hidden="false" customHeight="true" outlineLevel="0" collapsed="false"/>
    <row r="2058" customFormat="false" ht="15" hidden="false" customHeight="true" outlineLevel="0" collapsed="false"/>
    <row r="2059" customFormat="false" ht="15" hidden="false" customHeight="true" outlineLevel="0" collapsed="false"/>
    <row r="2060" customFormat="false" ht="15" hidden="false" customHeight="true" outlineLevel="0" collapsed="false"/>
    <row r="2061" customFormat="false" ht="15" hidden="false" customHeight="true" outlineLevel="0" collapsed="false"/>
    <row r="2062" customFormat="false" ht="15" hidden="false" customHeight="true" outlineLevel="0" collapsed="false"/>
    <row r="2063" customFormat="false" ht="15" hidden="false" customHeight="true" outlineLevel="0" collapsed="false"/>
    <row r="2064" customFormat="false" ht="15" hidden="false" customHeight="true" outlineLevel="0" collapsed="false"/>
    <row r="2065" customFormat="false" ht="15" hidden="false" customHeight="true" outlineLevel="0" collapsed="false"/>
    <row r="2066" customFormat="false" ht="15" hidden="false" customHeight="true" outlineLevel="0" collapsed="false"/>
    <row r="2067" customFormat="false" ht="15" hidden="false" customHeight="true" outlineLevel="0" collapsed="false"/>
    <row r="2068" customFormat="false" ht="15" hidden="false" customHeight="true" outlineLevel="0" collapsed="false"/>
    <row r="2069" customFormat="false" ht="15" hidden="false" customHeight="true" outlineLevel="0" collapsed="false"/>
    <row r="2070" customFormat="false" ht="15" hidden="false" customHeight="true" outlineLevel="0" collapsed="false"/>
    <row r="2071" customFormat="false" ht="15" hidden="false" customHeight="true" outlineLevel="0" collapsed="false"/>
    <row r="2072" customFormat="false" ht="15" hidden="false" customHeight="true" outlineLevel="0" collapsed="false"/>
    <row r="2073" customFormat="false" ht="15" hidden="false" customHeight="true" outlineLevel="0" collapsed="false"/>
    <row r="2074" customFormat="false" ht="15" hidden="false" customHeight="true" outlineLevel="0" collapsed="false"/>
    <row r="2075" customFormat="false" ht="15" hidden="false" customHeight="true" outlineLevel="0" collapsed="false"/>
    <row r="2076" customFormat="false" ht="15" hidden="false" customHeight="true" outlineLevel="0" collapsed="false"/>
    <row r="2077" customFormat="false" ht="15" hidden="false" customHeight="true" outlineLevel="0" collapsed="false"/>
    <row r="2078" customFormat="false" ht="15" hidden="false" customHeight="true" outlineLevel="0" collapsed="false"/>
    <row r="2079" customFormat="false" ht="15" hidden="false" customHeight="true" outlineLevel="0" collapsed="false"/>
    <row r="2080" customFormat="false" ht="15" hidden="false" customHeight="true" outlineLevel="0" collapsed="false"/>
    <row r="2081" customFormat="false" ht="15" hidden="false" customHeight="true" outlineLevel="0" collapsed="false"/>
    <row r="2082" customFormat="false" ht="15" hidden="false" customHeight="true" outlineLevel="0" collapsed="false"/>
    <row r="2083" customFormat="false" ht="15" hidden="false" customHeight="true" outlineLevel="0" collapsed="false"/>
    <row r="2084" customFormat="false" ht="15" hidden="false" customHeight="true" outlineLevel="0" collapsed="false"/>
    <row r="2085" customFormat="false" ht="15" hidden="false" customHeight="true" outlineLevel="0" collapsed="false"/>
    <row r="2086" customFormat="false" ht="15" hidden="false" customHeight="true" outlineLevel="0" collapsed="false"/>
    <row r="2087" customFormat="false" ht="15" hidden="false" customHeight="true" outlineLevel="0" collapsed="false"/>
    <row r="2088" customFormat="false" ht="15" hidden="false" customHeight="true" outlineLevel="0" collapsed="false"/>
    <row r="2089" customFormat="false" ht="15" hidden="false" customHeight="true" outlineLevel="0" collapsed="false"/>
    <row r="2090" customFormat="false" ht="15" hidden="false" customHeight="true" outlineLevel="0" collapsed="false"/>
    <row r="2091" customFormat="false" ht="15" hidden="false" customHeight="true" outlineLevel="0" collapsed="false"/>
    <row r="2092" customFormat="false" ht="15" hidden="false" customHeight="true" outlineLevel="0" collapsed="false"/>
    <row r="2093" customFormat="false" ht="15" hidden="false" customHeight="true" outlineLevel="0" collapsed="false"/>
    <row r="2094" customFormat="false" ht="15" hidden="false" customHeight="true" outlineLevel="0" collapsed="false"/>
    <row r="2095" customFormat="false" ht="15" hidden="false" customHeight="true" outlineLevel="0" collapsed="false"/>
    <row r="2096" customFormat="false" ht="15" hidden="false" customHeight="true" outlineLevel="0" collapsed="false"/>
    <row r="2097" customFormat="false" ht="15" hidden="false" customHeight="true" outlineLevel="0" collapsed="false"/>
    <row r="2098" customFormat="false" ht="15" hidden="false" customHeight="true" outlineLevel="0" collapsed="false"/>
    <row r="2099" customFormat="false" ht="15" hidden="false" customHeight="true" outlineLevel="0" collapsed="false"/>
    <row r="2100" customFormat="false" ht="15" hidden="false" customHeight="true" outlineLevel="0" collapsed="false"/>
    <row r="2101" customFormat="false" ht="15" hidden="false" customHeight="true" outlineLevel="0" collapsed="false"/>
    <row r="2102" customFormat="false" ht="15" hidden="false" customHeight="true" outlineLevel="0" collapsed="false"/>
    <row r="2103" customFormat="false" ht="15" hidden="false" customHeight="true" outlineLevel="0" collapsed="false"/>
    <row r="2104" customFormat="false" ht="15" hidden="false" customHeight="true" outlineLevel="0" collapsed="false"/>
    <row r="2105" customFormat="false" ht="15" hidden="false" customHeight="true" outlineLevel="0" collapsed="false"/>
    <row r="2106" customFormat="false" ht="15" hidden="false" customHeight="true" outlineLevel="0" collapsed="false"/>
    <row r="2107" customFormat="false" ht="15" hidden="false" customHeight="true" outlineLevel="0" collapsed="false"/>
    <row r="2108" customFormat="false" ht="15" hidden="false" customHeight="true" outlineLevel="0" collapsed="false"/>
    <row r="2109" customFormat="false" ht="15" hidden="false" customHeight="true" outlineLevel="0" collapsed="false"/>
    <row r="2110" customFormat="false" ht="15" hidden="false" customHeight="true" outlineLevel="0" collapsed="false"/>
    <row r="2111" customFormat="false" ht="15" hidden="false" customHeight="true" outlineLevel="0" collapsed="false"/>
    <row r="2112" customFormat="false" ht="15" hidden="false" customHeight="true" outlineLevel="0" collapsed="false"/>
    <row r="2113" customFormat="false" ht="15" hidden="false" customHeight="true" outlineLevel="0" collapsed="false"/>
    <row r="2114" customFormat="false" ht="15" hidden="false" customHeight="true" outlineLevel="0" collapsed="false"/>
    <row r="2115" customFormat="false" ht="15" hidden="false" customHeight="true" outlineLevel="0" collapsed="false"/>
    <row r="2116" customFormat="false" ht="15" hidden="false" customHeight="true" outlineLevel="0" collapsed="false"/>
    <row r="2117" customFormat="false" ht="15" hidden="false" customHeight="true" outlineLevel="0" collapsed="false"/>
    <row r="2118" customFormat="false" ht="15" hidden="false" customHeight="true" outlineLevel="0" collapsed="false"/>
    <row r="2119" customFormat="false" ht="15" hidden="false" customHeight="true" outlineLevel="0" collapsed="false"/>
    <row r="2120" customFormat="false" ht="15" hidden="false" customHeight="true" outlineLevel="0" collapsed="false"/>
    <row r="2121" customFormat="false" ht="15" hidden="false" customHeight="true" outlineLevel="0" collapsed="false"/>
    <row r="2122" customFormat="false" ht="15" hidden="false" customHeight="true" outlineLevel="0" collapsed="false"/>
    <row r="2123" customFormat="false" ht="15" hidden="false" customHeight="true" outlineLevel="0" collapsed="false"/>
    <row r="2124" customFormat="false" ht="15" hidden="false" customHeight="true" outlineLevel="0" collapsed="false"/>
    <row r="2125" customFormat="false" ht="15" hidden="false" customHeight="true" outlineLevel="0" collapsed="false"/>
    <row r="2126" customFormat="false" ht="15" hidden="false" customHeight="true" outlineLevel="0" collapsed="false"/>
    <row r="2127" customFormat="false" ht="15" hidden="false" customHeight="true" outlineLevel="0" collapsed="false"/>
    <row r="2128" customFormat="false" ht="15" hidden="false" customHeight="true" outlineLevel="0" collapsed="false"/>
    <row r="2129" customFormat="false" ht="15" hidden="false" customHeight="true" outlineLevel="0" collapsed="false"/>
    <row r="2130" customFormat="false" ht="15" hidden="false" customHeight="true" outlineLevel="0" collapsed="false"/>
    <row r="2131" customFormat="false" ht="15" hidden="false" customHeight="true" outlineLevel="0" collapsed="false"/>
    <row r="2132" customFormat="false" ht="15" hidden="false" customHeight="true" outlineLevel="0" collapsed="false"/>
    <row r="2133" customFormat="false" ht="15" hidden="false" customHeight="true" outlineLevel="0" collapsed="false"/>
    <row r="2134" customFormat="false" ht="15" hidden="false" customHeight="true" outlineLevel="0" collapsed="false"/>
    <row r="2135" customFormat="false" ht="15" hidden="false" customHeight="true" outlineLevel="0" collapsed="false"/>
    <row r="2136" customFormat="false" ht="15" hidden="false" customHeight="true" outlineLevel="0" collapsed="false"/>
    <row r="2137" customFormat="false" ht="15" hidden="false" customHeight="true" outlineLevel="0" collapsed="false"/>
    <row r="2138" customFormat="false" ht="15" hidden="false" customHeight="true" outlineLevel="0" collapsed="false"/>
    <row r="2139" customFormat="false" ht="15" hidden="false" customHeight="true" outlineLevel="0" collapsed="false"/>
    <row r="2140" customFormat="false" ht="15" hidden="false" customHeight="true" outlineLevel="0" collapsed="false"/>
    <row r="2141" customFormat="false" ht="15" hidden="false" customHeight="true" outlineLevel="0" collapsed="false"/>
    <row r="2142" customFormat="false" ht="15" hidden="false" customHeight="true" outlineLevel="0" collapsed="false"/>
    <row r="2143" customFormat="false" ht="15" hidden="false" customHeight="true" outlineLevel="0" collapsed="false"/>
    <row r="2144" customFormat="false" ht="15" hidden="false" customHeight="true" outlineLevel="0" collapsed="false"/>
    <row r="2145" customFormat="false" ht="15" hidden="false" customHeight="true" outlineLevel="0" collapsed="false"/>
    <row r="2146" customFormat="false" ht="15" hidden="false" customHeight="true" outlineLevel="0" collapsed="false"/>
    <row r="2147" customFormat="false" ht="15" hidden="false" customHeight="true" outlineLevel="0" collapsed="false"/>
    <row r="2148" customFormat="false" ht="15" hidden="false" customHeight="true" outlineLevel="0" collapsed="false"/>
    <row r="2149" customFormat="false" ht="15" hidden="false" customHeight="true" outlineLevel="0" collapsed="false"/>
    <row r="2150" customFormat="false" ht="15" hidden="false" customHeight="true" outlineLevel="0" collapsed="false"/>
    <row r="2151" customFormat="false" ht="15" hidden="false" customHeight="true" outlineLevel="0" collapsed="false"/>
    <row r="2152" customFormat="false" ht="15" hidden="false" customHeight="true" outlineLevel="0" collapsed="false"/>
    <row r="2153" customFormat="false" ht="15" hidden="false" customHeight="true" outlineLevel="0" collapsed="false"/>
    <row r="2154" customFormat="false" ht="15" hidden="false" customHeight="true" outlineLevel="0" collapsed="false"/>
    <row r="2155" customFormat="false" ht="15" hidden="false" customHeight="true" outlineLevel="0" collapsed="false"/>
    <row r="2156" customFormat="false" ht="15" hidden="false" customHeight="true" outlineLevel="0" collapsed="false"/>
    <row r="2157" customFormat="false" ht="15" hidden="false" customHeight="true" outlineLevel="0" collapsed="false"/>
    <row r="2158" customFormat="false" ht="15" hidden="false" customHeight="true" outlineLevel="0" collapsed="false"/>
    <row r="2159" customFormat="false" ht="15" hidden="false" customHeight="true" outlineLevel="0" collapsed="false"/>
    <row r="2160" customFormat="false" ht="15" hidden="false" customHeight="true" outlineLevel="0" collapsed="false"/>
    <row r="2161" customFormat="false" ht="15" hidden="false" customHeight="true" outlineLevel="0" collapsed="false"/>
    <row r="2162" customFormat="false" ht="15" hidden="false" customHeight="true" outlineLevel="0" collapsed="false"/>
    <row r="2163" customFormat="false" ht="15" hidden="false" customHeight="true" outlineLevel="0" collapsed="false"/>
    <row r="2164" customFormat="false" ht="15" hidden="false" customHeight="true" outlineLevel="0" collapsed="false"/>
    <row r="2165" customFormat="false" ht="15" hidden="false" customHeight="true" outlineLevel="0" collapsed="false"/>
    <row r="2166" customFormat="false" ht="15" hidden="false" customHeight="true" outlineLevel="0" collapsed="false"/>
    <row r="2167" customFormat="false" ht="15" hidden="false" customHeight="true" outlineLevel="0" collapsed="false"/>
    <row r="2168" customFormat="false" ht="15" hidden="false" customHeight="true" outlineLevel="0" collapsed="false"/>
    <row r="2169" customFormat="false" ht="15" hidden="false" customHeight="true" outlineLevel="0" collapsed="false"/>
    <row r="2170" customFormat="false" ht="15" hidden="false" customHeight="true" outlineLevel="0" collapsed="false"/>
    <row r="2171" customFormat="false" ht="15" hidden="false" customHeight="true" outlineLevel="0" collapsed="false"/>
    <row r="2172" customFormat="false" ht="15" hidden="false" customHeight="true" outlineLevel="0" collapsed="false"/>
    <row r="2173" customFormat="false" ht="15" hidden="false" customHeight="true" outlineLevel="0" collapsed="false"/>
    <row r="2174" customFormat="false" ht="15" hidden="false" customHeight="true" outlineLevel="0" collapsed="false"/>
    <row r="2175" customFormat="false" ht="15" hidden="false" customHeight="true" outlineLevel="0" collapsed="false"/>
    <row r="2176" customFormat="false" ht="15" hidden="false" customHeight="true" outlineLevel="0" collapsed="false"/>
    <row r="2177" customFormat="false" ht="15" hidden="false" customHeight="true" outlineLevel="0" collapsed="false"/>
    <row r="2178" customFormat="false" ht="15" hidden="false" customHeight="true" outlineLevel="0" collapsed="false"/>
    <row r="2179" customFormat="false" ht="15" hidden="false" customHeight="true" outlineLevel="0" collapsed="false"/>
    <row r="2180" customFormat="false" ht="15" hidden="false" customHeight="true" outlineLevel="0" collapsed="false"/>
    <row r="2181" customFormat="false" ht="15" hidden="false" customHeight="true" outlineLevel="0" collapsed="false"/>
    <row r="2182" customFormat="false" ht="15" hidden="false" customHeight="true" outlineLevel="0" collapsed="false"/>
    <row r="2183" customFormat="false" ht="15" hidden="false" customHeight="true" outlineLevel="0" collapsed="false"/>
    <row r="2184" customFormat="false" ht="15" hidden="false" customHeight="true" outlineLevel="0" collapsed="false"/>
    <row r="2185" customFormat="false" ht="15" hidden="false" customHeight="true" outlineLevel="0" collapsed="false"/>
    <row r="2186" customFormat="false" ht="15" hidden="false" customHeight="true" outlineLevel="0" collapsed="false"/>
    <row r="2187" customFormat="false" ht="15" hidden="false" customHeight="true" outlineLevel="0" collapsed="false"/>
    <row r="2188" customFormat="false" ht="15" hidden="false" customHeight="true" outlineLevel="0" collapsed="false"/>
    <row r="2189" customFormat="false" ht="15" hidden="false" customHeight="true" outlineLevel="0" collapsed="false"/>
    <row r="2190" customFormat="false" ht="15" hidden="false" customHeight="true" outlineLevel="0" collapsed="false"/>
    <row r="2191" customFormat="false" ht="15" hidden="false" customHeight="true" outlineLevel="0" collapsed="false"/>
    <row r="2192" customFormat="false" ht="15" hidden="false" customHeight="true" outlineLevel="0" collapsed="false"/>
    <row r="2193" customFormat="false" ht="15" hidden="false" customHeight="true" outlineLevel="0" collapsed="false"/>
    <row r="2194" customFormat="false" ht="15" hidden="false" customHeight="true" outlineLevel="0" collapsed="false"/>
    <row r="2195" customFormat="false" ht="15" hidden="false" customHeight="true" outlineLevel="0" collapsed="false"/>
    <row r="2196" customFormat="false" ht="15" hidden="false" customHeight="true" outlineLevel="0" collapsed="false"/>
    <row r="2197" customFormat="false" ht="15" hidden="false" customHeight="true" outlineLevel="0" collapsed="false"/>
    <row r="2198" customFormat="false" ht="15" hidden="false" customHeight="true" outlineLevel="0" collapsed="false"/>
    <row r="2199" customFormat="false" ht="15" hidden="false" customHeight="true" outlineLevel="0" collapsed="false"/>
    <row r="2200" customFormat="false" ht="15" hidden="false" customHeight="true" outlineLevel="0" collapsed="false"/>
    <row r="2201" customFormat="false" ht="15" hidden="false" customHeight="true" outlineLevel="0" collapsed="false"/>
    <row r="2202" customFormat="false" ht="15" hidden="false" customHeight="true" outlineLevel="0" collapsed="false"/>
    <row r="2203" customFormat="false" ht="15" hidden="false" customHeight="true" outlineLevel="0" collapsed="false"/>
    <row r="2204" customFormat="false" ht="15" hidden="false" customHeight="true" outlineLevel="0" collapsed="false"/>
    <row r="2205" customFormat="false" ht="15" hidden="false" customHeight="true" outlineLevel="0" collapsed="false"/>
    <row r="2206" customFormat="false" ht="15" hidden="false" customHeight="true" outlineLevel="0" collapsed="false"/>
    <row r="2207" customFormat="false" ht="15" hidden="false" customHeight="true" outlineLevel="0" collapsed="false"/>
    <row r="2208" customFormat="false" ht="15" hidden="false" customHeight="true" outlineLevel="0" collapsed="false"/>
    <row r="2209" customFormat="false" ht="15" hidden="false" customHeight="true" outlineLevel="0" collapsed="false"/>
    <row r="2210" customFormat="false" ht="15" hidden="false" customHeight="true" outlineLevel="0" collapsed="false"/>
    <row r="2211" customFormat="false" ht="15" hidden="false" customHeight="true" outlineLevel="0" collapsed="false"/>
    <row r="2212" customFormat="false" ht="15" hidden="false" customHeight="true" outlineLevel="0" collapsed="false"/>
    <row r="2213" customFormat="false" ht="15" hidden="false" customHeight="true" outlineLevel="0" collapsed="false"/>
    <row r="2214" customFormat="false" ht="15" hidden="false" customHeight="true" outlineLevel="0" collapsed="false"/>
    <row r="2215" customFormat="false" ht="15" hidden="false" customHeight="true" outlineLevel="0" collapsed="false"/>
    <row r="2216" customFormat="false" ht="15" hidden="false" customHeight="true" outlineLevel="0" collapsed="false"/>
    <row r="2217" customFormat="false" ht="15" hidden="false" customHeight="true" outlineLevel="0" collapsed="false"/>
    <row r="2218" customFormat="false" ht="15" hidden="false" customHeight="true" outlineLevel="0" collapsed="false"/>
    <row r="2229" customFormat="false" ht="15" hidden="false" customHeight="true" outlineLevel="0" collapsed="false"/>
    <row r="2230" customFormat="false" ht="15" hidden="false" customHeight="true" outlineLevel="0" collapsed="false"/>
  </sheetData>
  <autoFilter ref="N1:N501"/>
  <mergeCells count="1">
    <mergeCell ref="S4:X5"/>
  </mergeCells>
  <conditionalFormatting sqref="W7:W21">
    <cfRule type="cellIs" priority="2" operator="greaterThanOrEqual" aboveAverage="0" equalAverage="0" bottom="0" percent="0" rank="0" text="" dxfId="16">
      <formula>0</formula>
    </cfRule>
  </conditionalFormatting>
  <conditionalFormatting sqref="W24:W38">
    <cfRule type="cellIs" priority="3" operator="greaterThanOrEqual" aboveAverage="0" equalAverage="0" bottom="0" percent="0" rank="0" text="" dxfId="16">
      <formula>0</formula>
    </cfRule>
  </conditionalFormatting>
  <conditionalFormatting sqref="X7:X21">
    <cfRule type="expression" priority="4" aboveAverage="0" equalAverage="0" bottom="0" percent="0" rank="0" text="" dxfId="16">
      <formula>V7&gt;X7</formula>
    </cfRule>
    <cfRule type="expression" priority="5" aboveAverage="0" equalAverage="0" bottom="0" percent="0" rank="0" text="" dxfId="9">
      <formula>V7&lt;X7</formula>
    </cfRule>
  </conditionalFormatting>
  <conditionalFormatting sqref="X24:X38">
    <cfRule type="expression" priority="6" aboveAverage="0" equalAverage="0" bottom="0" percent="0" rank="0" text="" dxfId="16">
      <formula>V24&gt;X24</formula>
    </cfRule>
    <cfRule type="expression" priority="7" aboveAverage="0" equalAverage="0" bottom="0" percent="0" rank="0" text="" dxfId="9">
      <formula>V24&lt;X24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Z100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5" activeCellId="0" sqref="A5"/>
    </sheetView>
  </sheetViews>
  <sheetFormatPr defaultColWidth="12.66796875" defaultRowHeight="12.75" customHeight="true" zeroHeight="false" outlineLevelRow="0" outlineLevelCol="0"/>
  <cols>
    <col collapsed="false" customWidth="true" hidden="false" outlineLevel="0" max="2" min="1" style="34" width="14.11"/>
    <col collapsed="false" customWidth="true" hidden="false" outlineLevel="0" max="3" min="3" style="34" width="7.67"/>
    <col collapsed="false" customWidth="true" hidden="false" outlineLevel="0" max="4" min="4" style="34" width="8.44"/>
    <col collapsed="false" customWidth="true" hidden="false" outlineLevel="0" max="5" min="5" style="34" width="8.67"/>
    <col collapsed="false" customWidth="true" hidden="false" outlineLevel="0" max="6" min="6" style="34" width="13.75"/>
    <col collapsed="false" customWidth="true" hidden="false" outlineLevel="0" max="7" min="7" style="34" width="6"/>
    <col collapsed="false" customWidth="true" hidden="false" outlineLevel="0" max="8" min="8" style="34" width="8.44"/>
  </cols>
  <sheetData>
    <row r="1" customFormat="false" ht="15" hidden="false" customHeight="true" outlineLevel="0" collapsed="false">
      <c r="A1" s="150" t="s">
        <v>2361</v>
      </c>
      <c r="B1" s="150" t="s">
        <v>2362</v>
      </c>
      <c r="C1" s="150" t="s">
        <v>3</v>
      </c>
      <c r="D1" s="150" t="s">
        <v>4</v>
      </c>
      <c r="E1" s="150" t="s">
        <v>2363</v>
      </c>
      <c r="F1" s="150" t="s">
        <v>2364</v>
      </c>
      <c r="G1" s="150" t="s">
        <v>19</v>
      </c>
      <c r="H1" s="150" t="s">
        <v>8</v>
      </c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</row>
    <row r="2" customFormat="false" ht="15" hidden="false" customHeight="true" outlineLevel="0" collapsed="false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</row>
    <row r="3" customFormat="false" ht="15" hidden="false" customHeight="true" outlineLevel="0" collapsed="false">
      <c r="A3" s="11" t="n">
        <f aca="false">COUNTIF(A5:A503,"1")</f>
        <v>118</v>
      </c>
      <c r="B3" s="11" t="n">
        <f aca="false">COUNTIF(B5:B503,"1")</f>
        <v>98</v>
      </c>
      <c r="C3" s="11" t="n">
        <f aca="false">COUNTIF(C5:C503,"1")</f>
        <v>2</v>
      </c>
      <c r="D3" s="11" t="n">
        <f aca="false">COUNTIF(D5:D503,"1")</f>
        <v>2</v>
      </c>
      <c r="E3" s="11" t="n">
        <f aca="false">COUNTIF(E5:E503,"1")</f>
        <v>58</v>
      </c>
      <c r="F3" s="11" t="n">
        <f aca="false">COUNTIF(F5:F503,"1")</f>
        <v>23</v>
      </c>
      <c r="G3" s="11" t="n">
        <f aca="false">A3+C3+E3-(B3+D3+F3)</f>
        <v>55</v>
      </c>
      <c r="H3" s="12" t="n">
        <f aca="false">G3/(COUNT(Report!B2:B221)*2)</f>
        <v>0.125</v>
      </c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</row>
    <row r="4" customFormat="false" ht="15" hidden="false" customHeight="true" outlineLevel="0" collapsed="false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</row>
    <row r="5" customFormat="false" ht="15" hidden="false" customHeight="true" outlineLevel="0" collapsed="false">
      <c r="A5" s="152" t="str">
        <f aca="false">IF(Report!B2&gt;Report!P2,"1")</f>
        <v>1</v>
      </c>
      <c r="B5" s="153" t="n">
        <f aca="false">IF(Report!B2&lt;Report!P2,"1")</f>
        <v>0</v>
      </c>
      <c r="C5" s="152" t="n">
        <f aca="false">IF(Report!M2="Buy",1)</f>
        <v>0</v>
      </c>
      <c r="D5" s="152" t="n">
        <f aca="false">IF(Report!M2="Sell",1)</f>
        <v>0</v>
      </c>
      <c r="E5" s="152" t="str">
        <f aca="false">IF(Report!L2&gt;100,"1")</f>
        <v>1</v>
      </c>
      <c r="F5" s="154" t="b">
        <f aca="false">IF(Report!L2&lt;-100,"1")</f>
        <v>0</v>
      </c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</row>
    <row r="6" customFormat="false" ht="15" hidden="false" customHeight="true" outlineLevel="0" collapsed="false">
      <c r="A6" s="151" t="str">
        <f aca="false">IF(Report!B3&gt;Report!P3,"1")</f>
        <v>1</v>
      </c>
      <c r="B6" s="153" t="n">
        <f aca="false">IF(Report!B3&lt;Report!P3,"1")</f>
        <v>0</v>
      </c>
      <c r="C6" s="154" t="b">
        <f aca="false">IF(Report!M3="Buy",1)</f>
        <v>0</v>
      </c>
      <c r="D6" s="154" t="b">
        <f aca="false">IF(Report!M3="Sell",1)</f>
        <v>0</v>
      </c>
      <c r="E6" s="151" t="str">
        <f aca="false">IF(Report!L3&gt;100,"1")</f>
        <v>1</v>
      </c>
      <c r="F6" s="154" t="b">
        <f aca="false">IF(Report!L3&lt;-100,"1")</f>
        <v>0</v>
      </c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</row>
    <row r="7" customFormat="false" ht="15" hidden="false" customHeight="true" outlineLevel="0" collapsed="false">
      <c r="A7" s="154" t="b">
        <f aca="false">IF(Report!B4&gt;Report!P4,"1")</f>
        <v>0</v>
      </c>
      <c r="B7" s="153" t="str">
        <f aca="false">IF(Report!B4&lt;Report!P4,"1")</f>
        <v>1</v>
      </c>
      <c r="C7" s="154" t="b">
        <f aca="false">IF(Report!M4="Buy",1)</f>
        <v>0</v>
      </c>
      <c r="D7" s="154" t="b">
        <f aca="false">IF(Report!M4="Sell",1)</f>
        <v>0</v>
      </c>
      <c r="E7" s="154" t="str">
        <f aca="false">IF(Report!L4&gt;100,"1")</f>
        <v>1</v>
      </c>
      <c r="F7" s="154" t="b">
        <f aca="false">IF(Report!L4&lt;-100,"1")</f>
        <v>0</v>
      </c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</row>
    <row r="8" customFormat="false" ht="15" hidden="false" customHeight="true" outlineLevel="0" collapsed="false">
      <c r="A8" s="154" t="str">
        <f aca="false">IF(Report!B5&gt;Report!P5,"1")</f>
        <v>1</v>
      </c>
      <c r="B8" s="153" t="n">
        <f aca="false">IF(Report!B5&lt;Report!P5,"1")</f>
        <v>0</v>
      </c>
      <c r="C8" s="154" t="b">
        <f aca="false">IF(Report!M5="Buy",1)</f>
        <v>0</v>
      </c>
      <c r="D8" s="154" t="b">
        <f aca="false">IF(Report!M5="Sell",1)</f>
        <v>0</v>
      </c>
      <c r="E8" s="154" t="str">
        <f aca="false">IF(Report!L5&gt;100,"1")</f>
        <v>1</v>
      </c>
      <c r="F8" s="154" t="b">
        <f aca="false">IF(Report!L5&lt;-100,"1")</f>
        <v>0</v>
      </c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</row>
    <row r="9" customFormat="false" ht="15" hidden="false" customHeight="true" outlineLevel="0" collapsed="false">
      <c r="A9" s="151" t="str">
        <f aca="false">IF(Report!B6&gt;Report!P6,"1")</f>
        <v>1</v>
      </c>
      <c r="B9" s="153" t="n">
        <f aca="false">IF(Report!B6&lt;Report!P6,"1")</f>
        <v>0</v>
      </c>
      <c r="C9" s="154" t="b">
        <f aca="false">IF(Report!M6="Buy",1)</f>
        <v>0</v>
      </c>
      <c r="D9" s="154" t="b">
        <f aca="false">IF(Report!M6="Sell",1)</f>
        <v>0</v>
      </c>
      <c r="E9" s="151" t="str">
        <f aca="false">IF(Report!L6&gt;100,"1")</f>
        <v>1</v>
      </c>
      <c r="F9" s="154" t="b">
        <f aca="false">IF(Report!L6&lt;-100,"1")</f>
        <v>0</v>
      </c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</row>
    <row r="10" customFormat="false" ht="15" hidden="false" customHeight="true" outlineLevel="0" collapsed="false">
      <c r="A10" s="151" t="str">
        <f aca="false">IF(Report!B7&gt;Report!P7,"1")</f>
        <v>1</v>
      </c>
      <c r="B10" s="153" t="n">
        <f aca="false">IF(Report!B7&lt;Report!P7,"1")</f>
        <v>0</v>
      </c>
      <c r="C10" s="154" t="b">
        <f aca="false">IF(Report!M7="Buy",1)</f>
        <v>0</v>
      </c>
      <c r="D10" s="154" t="b">
        <f aca="false">IF(Report!M7="Sell",1)</f>
        <v>0</v>
      </c>
      <c r="E10" s="151" t="str">
        <f aca="false">IF(Report!L7&gt;100,"1")</f>
        <v>1</v>
      </c>
      <c r="F10" s="154" t="b">
        <f aca="false">IF(Report!L7&lt;-100,"1")</f>
        <v>0</v>
      </c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</row>
    <row r="11" customFormat="false" ht="15" hidden="false" customHeight="true" outlineLevel="0" collapsed="false">
      <c r="A11" s="154" t="b">
        <f aca="false">IF(Report!B8&gt;Report!P8,"1")</f>
        <v>0</v>
      </c>
      <c r="B11" s="153" t="str">
        <f aca="false">IF(Report!B8&lt;Report!P8,"1")</f>
        <v>1</v>
      </c>
      <c r="C11" s="154" t="b">
        <f aca="false">IF(Report!M8="Buy",1)</f>
        <v>0</v>
      </c>
      <c r="D11" s="154" t="b">
        <f aca="false">IF(Report!M8="Sell",1)</f>
        <v>0</v>
      </c>
      <c r="E11" s="154" t="str">
        <f aca="false">IF(Report!L8&gt;100,"1")</f>
        <v>1</v>
      </c>
      <c r="F11" s="154" t="b">
        <f aca="false">IF(Report!L8&lt;-100,"1")</f>
        <v>0</v>
      </c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</row>
    <row r="12" customFormat="false" ht="15" hidden="false" customHeight="true" outlineLevel="0" collapsed="false">
      <c r="A12" s="151" t="str">
        <f aca="false">IF(Report!B9&gt;Report!P9,"1")</f>
        <v>1</v>
      </c>
      <c r="B12" s="153" t="n">
        <f aca="false">IF(Report!B9&lt;Report!P9,"1")</f>
        <v>0</v>
      </c>
      <c r="C12" s="154" t="b">
        <f aca="false">IF(Report!M9="Buy",1)</f>
        <v>0</v>
      </c>
      <c r="D12" s="154" t="b">
        <f aca="false">IF(Report!M9="Sell",1)</f>
        <v>0</v>
      </c>
      <c r="E12" s="154" t="str">
        <f aca="false">IF(Report!L9&gt;100,"1")</f>
        <v>1</v>
      </c>
      <c r="F12" s="154" t="b">
        <f aca="false">IF(Report!L9&lt;-100,"1")</f>
        <v>0</v>
      </c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</row>
    <row r="13" customFormat="false" ht="15" hidden="false" customHeight="true" outlineLevel="0" collapsed="false">
      <c r="A13" s="151" t="str">
        <f aca="false">IF(Report!B10&gt;Report!P10,"1")</f>
        <v>1</v>
      </c>
      <c r="B13" s="153" t="n">
        <f aca="false">IF(Report!B10&lt;Report!P10,"1")</f>
        <v>0</v>
      </c>
      <c r="C13" s="154" t="b">
        <f aca="false">IF(Report!M10="Buy",1)</f>
        <v>0</v>
      </c>
      <c r="D13" s="154" t="b">
        <f aca="false">IF(Report!M10="Sell",1)</f>
        <v>0</v>
      </c>
      <c r="E13" s="151" t="str">
        <f aca="false">IF(Report!L10&gt;100,"1")</f>
        <v>1</v>
      </c>
      <c r="F13" s="154" t="b">
        <f aca="false">IF(Report!L10&lt;-100,"1")</f>
        <v>0</v>
      </c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</row>
    <row r="14" customFormat="false" ht="15" hidden="false" customHeight="true" outlineLevel="0" collapsed="false">
      <c r="A14" s="151" t="str">
        <f aca="false">IF(Report!B11&gt;Report!P11,"1")</f>
        <v>1</v>
      </c>
      <c r="B14" s="153" t="n">
        <f aca="false">IF(Report!B11&lt;Report!P11,"1")</f>
        <v>0</v>
      </c>
      <c r="C14" s="154" t="b">
        <f aca="false">IF(Report!M11="Buy",1)</f>
        <v>0</v>
      </c>
      <c r="D14" s="154" t="b">
        <f aca="false">IF(Report!M11="Sell",1)</f>
        <v>0</v>
      </c>
      <c r="E14" s="154" t="str">
        <f aca="false">IF(Report!L11&gt;100,"1")</f>
        <v>1</v>
      </c>
      <c r="F14" s="154" t="b">
        <f aca="false">IF(Report!L11&lt;-100,"1")</f>
        <v>0</v>
      </c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</row>
    <row r="15" customFormat="false" ht="15" hidden="false" customHeight="true" outlineLevel="0" collapsed="false">
      <c r="A15" s="151" t="str">
        <f aca="false">IF(Report!B12&gt;Report!P12,"1")</f>
        <v>1</v>
      </c>
      <c r="B15" s="153" t="n">
        <f aca="false">IF(Report!B12&lt;Report!P12,"1")</f>
        <v>0</v>
      </c>
      <c r="C15" s="154" t="b">
        <f aca="false">IF(Report!M12="Buy",1)</f>
        <v>0</v>
      </c>
      <c r="D15" s="154" t="b">
        <f aca="false">IF(Report!M12="Sell",1)</f>
        <v>0</v>
      </c>
      <c r="E15" s="151" t="str">
        <f aca="false">IF(Report!L12&gt;100,"1")</f>
        <v>1</v>
      </c>
      <c r="F15" s="154" t="b">
        <f aca="false">IF(Report!L12&lt;-100,"1")</f>
        <v>0</v>
      </c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</row>
    <row r="16" customFormat="false" ht="15" hidden="false" customHeight="true" outlineLevel="0" collapsed="false">
      <c r="A16" s="151" t="str">
        <f aca="false">IF(Report!B13&gt;Report!P13,"1")</f>
        <v>1</v>
      </c>
      <c r="B16" s="153" t="n">
        <f aca="false">IF(Report!B13&lt;Report!P13,"1")</f>
        <v>0</v>
      </c>
      <c r="C16" s="154" t="b">
        <f aca="false">IF(Report!M13="Buy",1)</f>
        <v>0</v>
      </c>
      <c r="D16" s="154" t="b">
        <f aca="false">IF(Report!M13="Sell",1)</f>
        <v>0</v>
      </c>
      <c r="E16" s="151" t="str">
        <f aca="false">IF(Report!L13&gt;100,"1")</f>
        <v>1</v>
      </c>
      <c r="F16" s="154" t="b">
        <f aca="false">IF(Report!L13&lt;-100,"1")</f>
        <v>0</v>
      </c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</row>
    <row r="17" customFormat="false" ht="15" hidden="false" customHeight="true" outlineLevel="0" collapsed="false">
      <c r="A17" s="154" t="b">
        <f aca="false">IF(Report!B14&gt;Report!P14,"1")</f>
        <v>0</v>
      </c>
      <c r="B17" s="153" t="str">
        <f aca="false">IF(Report!B14&lt;Report!P14,"1")</f>
        <v>1</v>
      </c>
      <c r="C17" s="154" t="b">
        <f aca="false">IF(Report!M14="Buy",1)</f>
        <v>0</v>
      </c>
      <c r="D17" s="154" t="b">
        <f aca="false">IF(Report!M14="Sell",1)</f>
        <v>0</v>
      </c>
      <c r="E17" s="151" t="str">
        <f aca="false">IF(Report!L14&gt;100,"1")</f>
        <v>1</v>
      </c>
      <c r="F17" s="154" t="b">
        <f aca="false">IF(Report!L14&lt;-100,"1")</f>
        <v>0</v>
      </c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1"/>
    </row>
    <row r="18" customFormat="false" ht="15" hidden="false" customHeight="true" outlineLevel="0" collapsed="false">
      <c r="A18" s="151" t="str">
        <f aca="false">IF(Report!B15&gt;Report!P15,"1")</f>
        <v>1</v>
      </c>
      <c r="B18" s="153" t="n">
        <f aca="false">IF(Report!B15&lt;Report!P15,"1")</f>
        <v>0</v>
      </c>
      <c r="C18" s="154" t="b">
        <f aca="false">IF(Report!M15="Buy",1)</f>
        <v>0</v>
      </c>
      <c r="D18" s="154" t="b">
        <f aca="false">IF(Report!M15="Sell",1)</f>
        <v>0</v>
      </c>
      <c r="E18" s="151" t="str">
        <f aca="false">IF(Report!L15&gt;100,"1")</f>
        <v>1</v>
      </c>
      <c r="F18" s="154" t="b">
        <f aca="false">IF(Report!L15&lt;-100,"1")</f>
        <v>0</v>
      </c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</row>
    <row r="19" customFormat="false" ht="15" hidden="false" customHeight="true" outlineLevel="0" collapsed="false">
      <c r="A19" s="151" t="str">
        <f aca="false">IF(Report!B16&gt;Report!P16,"1")</f>
        <v>1</v>
      </c>
      <c r="B19" s="153" t="n">
        <f aca="false">IF(Report!B16&lt;Report!P16,"1")</f>
        <v>0</v>
      </c>
      <c r="C19" s="154" t="b">
        <f aca="false">IF(Report!M16="Buy",1)</f>
        <v>0</v>
      </c>
      <c r="D19" s="154" t="b">
        <f aca="false">IF(Report!M16="Sell",1)</f>
        <v>0</v>
      </c>
      <c r="E19" s="154" t="str">
        <f aca="false">IF(Report!L16&gt;100,"1")</f>
        <v>1</v>
      </c>
      <c r="F19" s="154" t="b">
        <f aca="false">IF(Report!L16&lt;-100,"1")</f>
        <v>0</v>
      </c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</row>
    <row r="20" customFormat="false" ht="15" hidden="false" customHeight="true" outlineLevel="0" collapsed="false">
      <c r="A20" s="154" t="str">
        <f aca="false">IF(Report!B17&gt;Report!P17,"1")</f>
        <v>1</v>
      </c>
      <c r="B20" s="153" t="n">
        <f aca="false">IF(Report!B17&lt;Report!P17,"1")</f>
        <v>0</v>
      </c>
      <c r="C20" s="154" t="b">
        <f aca="false">IF(Report!M17="Buy",1)</f>
        <v>0</v>
      </c>
      <c r="D20" s="154" t="b">
        <f aca="false">IF(Report!M17="Sell",1)</f>
        <v>0</v>
      </c>
      <c r="E20" s="154" t="str">
        <f aca="false">IF(Report!L17&gt;100,"1")</f>
        <v>1</v>
      </c>
      <c r="F20" s="154" t="b">
        <f aca="false">IF(Report!L17&lt;-100,"1")</f>
        <v>0</v>
      </c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</row>
    <row r="21" customFormat="false" ht="15" hidden="false" customHeight="true" outlineLevel="0" collapsed="false">
      <c r="A21" s="151" t="str">
        <f aca="false">IF(Report!B18&gt;Report!P18,"1")</f>
        <v>1</v>
      </c>
      <c r="B21" s="153" t="n">
        <f aca="false">IF(Report!B18&lt;Report!P18,"1")</f>
        <v>0</v>
      </c>
      <c r="C21" s="154" t="b">
        <f aca="false">IF(Report!M18="Buy",1)</f>
        <v>0</v>
      </c>
      <c r="D21" s="154" t="b">
        <f aca="false">IF(Report!M18="Sell",1)</f>
        <v>0</v>
      </c>
      <c r="E21" s="154" t="str">
        <f aca="false">IF(Report!L18&gt;100,"1")</f>
        <v>1</v>
      </c>
      <c r="F21" s="154" t="b">
        <f aca="false">IF(Report!L18&lt;-100,"1")</f>
        <v>0</v>
      </c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</row>
    <row r="22" customFormat="false" ht="15" hidden="false" customHeight="true" outlineLevel="0" collapsed="false">
      <c r="A22" s="151" t="str">
        <f aca="false">IF(Report!B19&gt;Report!P19,"1")</f>
        <v>1</v>
      </c>
      <c r="B22" s="153" t="n">
        <f aca="false">IF(Report!B19&lt;Report!P19,"1")</f>
        <v>0</v>
      </c>
      <c r="C22" s="154" t="b">
        <f aca="false">IF(Report!M19="Buy",1)</f>
        <v>0</v>
      </c>
      <c r="D22" s="154" t="b">
        <f aca="false">IF(Report!M19="Sell",1)</f>
        <v>0</v>
      </c>
      <c r="E22" s="151" t="str">
        <f aca="false">IF(Report!L19&gt;100,"1")</f>
        <v>1</v>
      </c>
      <c r="F22" s="154" t="b">
        <f aca="false">IF(Report!L19&lt;-100,"1")</f>
        <v>0</v>
      </c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</row>
    <row r="23" customFormat="false" ht="15" hidden="false" customHeight="true" outlineLevel="0" collapsed="false">
      <c r="A23" s="154" t="str">
        <f aca="false">IF(Report!B20&gt;Report!P20,"1")</f>
        <v>1</v>
      </c>
      <c r="B23" s="153" t="n">
        <f aca="false">IF(Report!B20&lt;Report!P20,"1")</f>
        <v>0</v>
      </c>
      <c r="C23" s="154" t="b">
        <f aca="false">IF(Report!M20="Buy",1)</f>
        <v>0</v>
      </c>
      <c r="D23" s="154" t="b">
        <f aca="false">IF(Report!M20="Sell",1)</f>
        <v>0</v>
      </c>
      <c r="E23" s="151" t="str">
        <f aca="false">IF(Report!L20&gt;100,"1")</f>
        <v>1</v>
      </c>
      <c r="F23" s="154" t="b">
        <f aca="false">IF(Report!L20&lt;-100,"1")</f>
        <v>0</v>
      </c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</row>
    <row r="24" customFormat="false" ht="15" hidden="false" customHeight="true" outlineLevel="0" collapsed="false">
      <c r="A24" s="151" t="str">
        <f aca="false">IF(Report!B21&gt;Report!P21,"1")</f>
        <v>1</v>
      </c>
      <c r="B24" s="153" t="n">
        <f aca="false">IF(Report!B21&lt;Report!P21,"1")</f>
        <v>0</v>
      </c>
      <c r="C24" s="154" t="b">
        <f aca="false">IF(Report!M21="Buy",1)</f>
        <v>0</v>
      </c>
      <c r="D24" s="154" t="b">
        <f aca="false">IF(Report!M21="Sell",1)</f>
        <v>0</v>
      </c>
      <c r="E24" s="151" t="str">
        <f aca="false">IF(Report!L21&gt;100,"1")</f>
        <v>1</v>
      </c>
      <c r="F24" s="154" t="b">
        <f aca="false">IF(Report!L21&lt;-100,"1")</f>
        <v>0</v>
      </c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</row>
    <row r="25" customFormat="false" ht="15" hidden="false" customHeight="true" outlineLevel="0" collapsed="false">
      <c r="A25" s="154" t="str">
        <f aca="false">IF(Report!B22&gt;Report!P22,"1")</f>
        <v>1</v>
      </c>
      <c r="B25" s="153" t="n">
        <f aca="false">IF(Report!B22&lt;Report!P22,"1")</f>
        <v>0</v>
      </c>
      <c r="C25" s="154" t="b">
        <f aca="false">IF(Report!M22="Buy",1)</f>
        <v>0</v>
      </c>
      <c r="D25" s="154" t="b">
        <f aca="false">IF(Report!M22="Sell",1)</f>
        <v>0</v>
      </c>
      <c r="E25" s="154" t="str">
        <f aca="false">IF(Report!L22&gt;100,"1")</f>
        <v>1</v>
      </c>
      <c r="F25" s="154" t="b">
        <f aca="false">IF(Report!L22&lt;-100,"1")</f>
        <v>0</v>
      </c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</row>
    <row r="26" customFormat="false" ht="15" hidden="false" customHeight="true" outlineLevel="0" collapsed="false">
      <c r="A26" s="151" t="str">
        <f aca="false">IF(Report!B23&gt;Report!P23,"1")</f>
        <v>1</v>
      </c>
      <c r="B26" s="153" t="n">
        <f aca="false">IF(Report!B23&lt;Report!P23,"1")</f>
        <v>0</v>
      </c>
      <c r="C26" s="154" t="b">
        <f aca="false">IF(Report!M23="Buy",1)</f>
        <v>0</v>
      </c>
      <c r="D26" s="154" t="b">
        <f aca="false">IF(Report!M23="Sell",1)</f>
        <v>0</v>
      </c>
      <c r="E26" s="151" t="str">
        <f aca="false">IF(Report!L23&gt;100,"1")</f>
        <v>1</v>
      </c>
      <c r="F26" s="154" t="b">
        <f aca="false">IF(Report!L23&lt;-100,"1")</f>
        <v>0</v>
      </c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</row>
    <row r="27" customFormat="false" ht="15" hidden="false" customHeight="true" outlineLevel="0" collapsed="false">
      <c r="A27" s="151" t="str">
        <f aca="false">IF(Report!B24&gt;Report!P24,"1")</f>
        <v>1</v>
      </c>
      <c r="B27" s="153" t="n">
        <f aca="false">IF(Report!B24&lt;Report!P24,"1")</f>
        <v>0</v>
      </c>
      <c r="C27" s="154" t="b">
        <f aca="false">IF(Report!M24="Buy",1)</f>
        <v>0</v>
      </c>
      <c r="D27" s="154" t="b">
        <f aca="false">IF(Report!M24="Sell",1)</f>
        <v>0</v>
      </c>
      <c r="E27" s="151" t="str">
        <f aca="false">IF(Report!L24&gt;100,"1")</f>
        <v>1</v>
      </c>
      <c r="F27" s="154" t="b">
        <f aca="false">IF(Report!L24&lt;-100,"1")</f>
        <v>0</v>
      </c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</row>
    <row r="28" customFormat="false" ht="15" hidden="false" customHeight="true" outlineLevel="0" collapsed="false">
      <c r="A28" s="151" t="str">
        <f aca="false">IF(Report!B25&gt;Report!P25,"1")</f>
        <v>1</v>
      </c>
      <c r="B28" s="153" t="n">
        <f aca="false">IF(Report!B25&lt;Report!P25,"1")</f>
        <v>0</v>
      </c>
      <c r="C28" s="154" t="b">
        <f aca="false">IF(Report!M25="Buy",1)</f>
        <v>0</v>
      </c>
      <c r="D28" s="154" t="b">
        <f aca="false">IF(Report!M25="Sell",1)</f>
        <v>0</v>
      </c>
      <c r="E28" s="151" t="str">
        <f aca="false">IF(Report!L25&gt;100,"1")</f>
        <v>1</v>
      </c>
      <c r="F28" s="154" t="b">
        <f aca="false">IF(Report!L25&lt;-100,"1")</f>
        <v>0</v>
      </c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</row>
    <row r="29" customFormat="false" ht="15" hidden="false" customHeight="true" outlineLevel="0" collapsed="false">
      <c r="A29" s="154" t="str">
        <f aca="false">IF(Report!B26&gt;Report!P26,"1")</f>
        <v>1</v>
      </c>
      <c r="B29" s="153" t="n">
        <f aca="false">IF(Report!B26&lt;Report!P26,"1")</f>
        <v>0</v>
      </c>
      <c r="C29" s="154" t="b">
        <f aca="false">IF(Report!M26="Buy",1)</f>
        <v>0</v>
      </c>
      <c r="D29" s="154" t="b">
        <f aca="false">IF(Report!M26="Sell",1)</f>
        <v>0</v>
      </c>
      <c r="E29" s="154" t="str">
        <f aca="false">IF(Report!L26&gt;100,"1")</f>
        <v>1</v>
      </c>
      <c r="F29" s="154" t="b">
        <f aca="false">IF(Report!L26&lt;-100,"1")</f>
        <v>0</v>
      </c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</row>
    <row r="30" customFormat="false" ht="15" hidden="false" customHeight="true" outlineLevel="0" collapsed="false">
      <c r="A30" s="151" t="str">
        <f aca="false">IF(Report!B27&gt;Report!P27,"1")</f>
        <v>1</v>
      </c>
      <c r="B30" s="153" t="n">
        <f aca="false">IF(Report!B27&lt;Report!P27,"1")</f>
        <v>0</v>
      </c>
      <c r="C30" s="154" t="b">
        <f aca="false">IF(Report!M27="Buy",1)</f>
        <v>0</v>
      </c>
      <c r="D30" s="154" t="b">
        <f aca="false">IF(Report!M27="Sell",1)</f>
        <v>0</v>
      </c>
      <c r="E30" s="151" t="str">
        <f aca="false">IF(Report!L27&gt;100,"1")</f>
        <v>1</v>
      </c>
      <c r="F30" s="154" t="b">
        <f aca="false">IF(Report!L27&lt;-100,"1")</f>
        <v>0</v>
      </c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</row>
    <row r="31" customFormat="false" ht="15" hidden="false" customHeight="true" outlineLevel="0" collapsed="false">
      <c r="A31" s="151" t="str">
        <f aca="false">IF(Report!B28&gt;Report!P28,"1")</f>
        <v>1</v>
      </c>
      <c r="B31" s="153" t="n">
        <f aca="false">IF(Report!B28&lt;Report!P28,"1")</f>
        <v>0</v>
      </c>
      <c r="C31" s="154" t="n">
        <f aca="false">IF(Report!M28="Buy",1)</f>
        <v>1</v>
      </c>
      <c r="D31" s="154" t="b">
        <f aca="false">IF(Report!M28="Sell",1)</f>
        <v>0</v>
      </c>
      <c r="E31" s="151" t="str">
        <f aca="false">IF(Report!L28&gt;100,"1")</f>
        <v>1</v>
      </c>
      <c r="F31" s="154" t="b">
        <f aca="false">IF(Report!L28&lt;-100,"1")</f>
        <v>0</v>
      </c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</row>
    <row r="32" customFormat="false" ht="15" hidden="false" customHeight="true" outlineLevel="0" collapsed="false">
      <c r="A32" s="154" t="b">
        <f aca="false">IF(Report!B29&gt;Report!P29,"1")</f>
        <v>0</v>
      </c>
      <c r="B32" s="153" t="str">
        <f aca="false">IF(Report!B29&lt;Report!P29,"1")</f>
        <v>1</v>
      </c>
      <c r="C32" s="154" t="b">
        <f aca="false">IF(Report!M29="Buy",1)</f>
        <v>0</v>
      </c>
      <c r="D32" s="154" t="b">
        <f aca="false">IF(Report!M29="Sell",1)</f>
        <v>0</v>
      </c>
      <c r="E32" s="151" t="str">
        <f aca="false">IF(Report!L29&gt;100,"1")</f>
        <v>1</v>
      </c>
      <c r="F32" s="154" t="b">
        <f aca="false">IF(Report!L29&lt;-100,"1")</f>
        <v>0</v>
      </c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</row>
    <row r="33" customFormat="false" ht="15" hidden="false" customHeight="true" outlineLevel="0" collapsed="false">
      <c r="A33" s="151" t="str">
        <f aca="false">IF(Report!B30&gt;Report!P30,"1")</f>
        <v>1</v>
      </c>
      <c r="B33" s="153" t="n">
        <f aca="false">IF(Report!B30&lt;Report!P30,"1")</f>
        <v>0</v>
      </c>
      <c r="C33" s="154" t="b">
        <f aca="false">IF(Report!M30="Buy",1)</f>
        <v>0</v>
      </c>
      <c r="D33" s="154" t="b">
        <f aca="false">IF(Report!M30="Sell",1)</f>
        <v>0</v>
      </c>
      <c r="E33" s="151" t="str">
        <f aca="false">IF(Report!L30&gt;100,"1")</f>
        <v>1</v>
      </c>
      <c r="F33" s="154" t="b">
        <f aca="false">IF(Report!L30&lt;-100,"1")</f>
        <v>0</v>
      </c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</row>
    <row r="34" customFormat="false" ht="15" hidden="false" customHeight="true" outlineLevel="0" collapsed="false">
      <c r="A34" s="154" t="str">
        <f aca="false">IF(Report!B31&gt;Report!P31,"1")</f>
        <v>1</v>
      </c>
      <c r="B34" s="153" t="n">
        <f aca="false">IF(Report!B31&lt;Report!P31,"1")</f>
        <v>0</v>
      </c>
      <c r="C34" s="154" t="b">
        <f aca="false">IF(Report!M31="Buy",1)</f>
        <v>0</v>
      </c>
      <c r="D34" s="154" t="b">
        <f aca="false">IF(Report!M31="Sell",1)</f>
        <v>0</v>
      </c>
      <c r="E34" s="154" t="str">
        <f aca="false">IF(Report!L31&gt;100,"1")</f>
        <v>1</v>
      </c>
      <c r="F34" s="154" t="b">
        <f aca="false">IF(Report!L31&lt;-100,"1")</f>
        <v>0</v>
      </c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</row>
    <row r="35" customFormat="false" ht="15" hidden="false" customHeight="true" outlineLevel="0" collapsed="false">
      <c r="A35" s="151" t="str">
        <f aca="false">IF(Report!B32&gt;Report!P32,"1")</f>
        <v>1</v>
      </c>
      <c r="B35" s="153" t="n">
        <f aca="false">IF(Report!B32&lt;Report!P32,"1")</f>
        <v>0</v>
      </c>
      <c r="C35" s="154" t="b">
        <f aca="false">IF(Report!M32="Buy",1)</f>
        <v>0</v>
      </c>
      <c r="D35" s="154" t="b">
        <f aca="false">IF(Report!M32="Sell",1)</f>
        <v>0</v>
      </c>
      <c r="E35" s="151" t="str">
        <f aca="false">IF(Report!L32&gt;100,"1")</f>
        <v>1</v>
      </c>
      <c r="F35" s="154" t="b">
        <f aca="false">IF(Report!L32&lt;-100,"1")</f>
        <v>0</v>
      </c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</row>
    <row r="36" customFormat="false" ht="15" hidden="false" customHeight="true" outlineLevel="0" collapsed="false">
      <c r="A36" s="154" t="str">
        <f aca="false">IF(Report!B33&gt;Report!P33,"1")</f>
        <v>1</v>
      </c>
      <c r="B36" s="153" t="n">
        <f aca="false">IF(Report!B33&lt;Report!P33,"1")</f>
        <v>0</v>
      </c>
      <c r="C36" s="154" t="b">
        <f aca="false">IF(Report!M33="Buy",1)</f>
        <v>0</v>
      </c>
      <c r="D36" s="154" t="b">
        <f aca="false">IF(Report!M33="Sell",1)</f>
        <v>0</v>
      </c>
      <c r="E36" s="154" t="str">
        <f aca="false">IF(Report!L33&gt;100,"1")</f>
        <v>1</v>
      </c>
      <c r="F36" s="154" t="b">
        <f aca="false">IF(Report!L33&lt;-100,"1")</f>
        <v>0</v>
      </c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</row>
    <row r="37" customFormat="false" ht="15" hidden="false" customHeight="true" outlineLevel="0" collapsed="false">
      <c r="A37" s="154" t="str">
        <f aca="false">IF(Report!B34&gt;Report!P34,"1")</f>
        <v>1</v>
      </c>
      <c r="B37" s="153" t="n">
        <f aca="false">IF(Report!B34&lt;Report!P34,"1")</f>
        <v>0</v>
      </c>
      <c r="C37" s="154" t="b">
        <f aca="false">IF(Report!M34="Buy",1)</f>
        <v>0</v>
      </c>
      <c r="D37" s="154" t="b">
        <f aca="false">IF(Report!M34="Sell",1)</f>
        <v>0</v>
      </c>
      <c r="E37" s="151" t="str">
        <f aca="false">IF(Report!L34&gt;100,"1")</f>
        <v>1</v>
      </c>
      <c r="F37" s="154" t="b">
        <f aca="false">IF(Report!L34&lt;-100,"1")</f>
        <v>0</v>
      </c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</row>
    <row r="38" customFormat="false" ht="15" hidden="false" customHeight="true" outlineLevel="0" collapsed="false">
      <c r="A38" s="154" t="str">
        <f aca="false">IF(Report!B35&gt;Report!P35,"1")</f>
        <v>1</v>
      </c>
      <c r="B38" s="153" t="n">
        <f aca="false">IF(Report!B35&lt;Report!P35,"1")</f>
        <v>0</v>
      </c>
      <c r="C38" s="154" t="b">
        <f aca="false">IF(Report!M35="Buy",1)</f>
        <v>0</v>
      </c>
      <c r="D38" s="154" t="b">
        <f aca="false">IF(Report!M35="Sell",1)</f>
        <v>0</v>
      </c>
      <c r="E38" s="154" t="str">
        <f aca="false">IF(Report!L35&gt;100,"1")</f>
        <v>1</v>
      </c>
      <c r="F38" s="154" t="b">
        <f aca="false">IF(Report!L35&lt;-100,"1")</f>
        <v>0</v>
      </c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</row>
    <row r="39" customFormat="false" ht="15" hidden="false" customHeight="true" outlineLevel="0" collapsed="false">
      <c r="A39" s="151" t="str">
        <f aca="false">IF(Report!B36&gt;Report!P36,"1")</f>
        <v>1</v>
      </c>
      <c r="B39" s="153" t="n">
        <f aca="false">IF(Report!B36&lt;Report!P36,"1")</f>
        <v>0</v>
      </c>
      <c r="C39" s="154" t="b">
        <f aca="false">IF(Report!M36="Buy",1)</f>
        <v>0</v>
      </c>
      <c r="D39" s="154" t="b">
        <f aca="false">IF(Report!M36="Sell",1)</f>
        <v>0</v>
      </c>
      <c r="E39" s="154" t="str">
        <f aca="false">IF(Report!L36&gt;100,"1")</f>
        <v>1</v>
      </c>
      <c r="F39" s="154" t="b">
        <f aca="false">IF(Report!L36&lt;-100,"1")</f>
        <v>0</v>
      </c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</row>
    <row r="40" customFormat="false" ht="15" hidden="false" customHeight="true" outlineLevel="0" collapsed="false">
      <c r="A40" s="151" t="str">
        <f aca="false">IF(Report!B37&gt;Report!P37,"1")</f>
        <v>1</v>
      </c>
      <c r="B40" s="153" t="n">
        <f aca="false">IF(Report!B37&lt;Report!P37,"1")</f>
        <v>0</v>
      </c>
      <c r="C40" s="154" t="b">
        <f aca="false">IF(Report!M37="Buy",1)</f>
        <v>0</v>
      </c>
      <c r="D40" s="154" t="b">
        <f aca="false">IF(Report!M37="Sell",1)</f>
        <v>0</v>
      </c>
      <c r="E40" s="151" t="str">
        <f aca="false">IF(Report!L37&gt;100,"1")</f>
        <v>1</v>
      </c>
      <c r="F40" s="154" t="b">
        <f aca="false">IF(Report!L37&lt;-100,"1")</f>
        <v>0</v>
      </c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</row>
    <row r="41" customFormat="false" ht="15" hidden="false" customHeight="true" outlineLevel="0" collapsed="false">
      <c r="A41" s="151" t="str">
        <f aca="false">IF(Report!B38&gt;Report!P38,"1")</f>
        <v>1</v>
      </c>
      <c r="B41" s="153" t="n">
        <f aca="false">IF(Report!B38&lt;Report!P38,"1")</f>
        <v>0</v>
      </c>
      <c r="C41" s="154" t="b">
        <f aca="false">IF(Report!M38="Buy",1)</f>
        <v>0</v>
      </c>
      <c r="D41" s="154" t="b">
        <f aca="false">IF(Report!M38="Sell",1)</f>
        <v>0</v>
      </c>
      <c r="E41" s="151" t="str">
        <f aca="false">IF(Report!L38&gt;100,"1")</f>
        <v>1</v>
      </c>
      <c r="F41" s="154" t="b">
        <f aca="false">IF(Report!L38&lt;-100,"1")</f>
        <v>0</v>
      </c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</row>
    <row r="42" customFormat="false" ht="15" hidden="false" customHeight="true" outlineLevel="0" collapsed="false">
      <c r="A42" s="151" t="str">
        <f aca="false">IF(Report!B39&gt;Report!P39,"1")</f>
        <v>1</v>
      </c>
      <c r="B42" s="153" t="n">
        <f aca="false">IF(Report!B39&lt;Report!P39,"1")</f>
        <v>0</v>
      </c>
      <c r="C42" s="154" t="b">
        <f aca="false">IF(Report!M39="Buy",1)</f>
        <v>0</v>
      </c>
      <c r="D42" s="154" t="b">
        <f aca="false">IF(Report!M39="Sell",1)</f>
        <v>0</v>
      </c>
      <c r="E42" s="151" t="str">
        <f aca="false">IF(Report!L39&gt;100,"1")</f>
        <v>1</v>
      </c>
      <c r="F42" s="154" t="b">
        <f aca="false">IF(Report!L39&lt;-100,"1")</f>
        <v>0</v>
      </c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</row>
    <row r="43" customFormat="false" ht="15" hidden="false" customHeight="true" outlineLevel="0" collapsed="false">
      <c r="A43" s="151" t="str">
        <f aca="false">IF(Report!B40&gt;Report!P40,"1")</f>
        <v>1</v>
      </c>
      <c r="B43" s="153" t="n">
        <f aca="false">IF(Report!B40&lt;Report!P40,"1")</f>
        <v>0</v>
      </c>
      <c r="C43" s="154" t="b">
        <f aca="false">IF(Report!M40="Buy",1)</f>
        <v>0</v>
      </c>
      <c r="D43" s="154" t="b">
        <f aca="false">IF(Report!M40="Sell",1)</f>
        <v>0</v>
      </c>
      <c r="E43" s="151" t="str">
        <f aca="false">IF(Report!L40&gt;100,"1")</f>
        <v>1</v>
      </c>
      <c r="F43" s="154" t="b">
        <f aca="false">IF(Report!L40&lt;-100,"1")</f>
        <v>0</v>
      </c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</row>
    <row r="44" customFormat="false" ht="15" hidden="false" customHeight="true" outlineLevel="0" collapsed="false">
      <c r="A44" s="151" t="str">
        <f aca="false">IF(Report!B41&gt;Report!P41,"1")</f>
        <v>1</v>
      </c>
      <c r="B44" s="153" t="n">
        <f aca="false">IF(Report!B41&lt;Report!P41,"1")</f>
        <v>0</v>
      </c>
      <c r="C44" s="154" t="b">
        <f aca="false">IF(Report!M41="Buy",1)</f>
        <v>0</v>
      </c>
      <c r="D44" s="154" t="b">
        <f aca="false">IF(Report!M41="Sell",1)</f>
        <v>0</v>
      </c>
      <c r="E44" s="151" t="str">
        <f aca="false">IF(Report!L41&gt;100,"1")</f>
        <v>1</v>
      </c>
      <c r="F44" s="154" t="b">
        <f aca="false">IF(Report!L41&lt;-100,"1")</f>
        <v>0</v>
      </c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</row>
    <row r="45" customFormat="false" ht="15" hidden="false" customHeight="true" outlineLevel="0" collapsed="false">
      <c r="A45" s="154" t="str">
        <f aca="false">IF(Report!B42&gt;Report!P42,"1")</f>
        <v>1</v>
      </c>
      <c r="B45" s="153" t="n">
        <f aca="false">IF(Report!B42&lt;Report!P42,"1")</f>
        <v>0</v>
      </c>
      <c r="C45" s="154" t="b">
        <f aca="false">IF(Report!M42="Buy",1)</f>
        <v>0</v>
      </c>
      <c r="D45" s="154" t="b">
        <f aca="false">IF(Report!M42="Sell",1)</f>
        <v>0</v>
      </c>
      <c r="E45" s="154" t="str">
        <f aca="false">IF(Report!L42&gt;100,"1")</f>
        <v>1</v>
      </c>
      <c r="F45" s="154" t="b">
        <f aca="false">IF(Report!L42&lt;-100,"1")</f>
        <v>0</v>
      </c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</row>
    <row r="46" customFormat="false" ht="15" hidden="false" customHeight="true" outlineLevel="0" collapsed="false">
      <c r="A46" s="151" t="str">
        <f aca="false">IF(Report!B43&gt;Report!P43,"1")</f>
        <v>1</v>
      </c>
      <c r="B46" s="153" t="n">
        <f aca="false">IF(Report!B43&lt;Report!P43,"1")</f>
        <v>0</v>
      </c>
      <c r="C46" s="154" t="b">
        <f aca="false">IF(Report!M43="Buy",1)</f>
        <v>0</v>
      </c>
      <c r="D46" s="154" t="b">
        <f aca="false">IF(Report!M43="Sell",1)</f>
        <v>0</v>
      </c>
      <c r="E46" s="151" t="str">
        <f aca="false">IF(Report!L43&gt;100,"1")</f>
        <v>1</v>
      </c>
      <c r="F46" s="154" t="b">
        <f aca="false">IF(Report!L43&lt;-100,"1")</f>
        <v>0</v>
      </c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</row>
    <row r="47" customFormat="false" ht="15" hidden="false" customHeight="true" outlineLevel="0" collapsed="false">
      <c r="A47" s="151" t="str">
        <f aca="false">IF(Report!B44&gt;Report!P44,"1")</f>
        <v>1</v>
      </c>
      <c r="B47" s="153" t="n">
        <f aca="false">IF(Report!B44&lt;Report!P44,"1")</f>
        <v>0</v>
      </c>
      <c r="C47" s="154" t="b">
        <f aca="false">IF(Report!M44="Buy",1)</f>
        <v>0</v>
      </c>
      <c r="D47" s="154" t="b">
        <f aca="false">IF(Report!M44="Sell",1)</f>
        <v>0</v>
      </c>
      <c r="E47" s="151" t="str">
        <f aca="false">IF(Report!L44&gt;100,"1")</f>
        <v>1</v>
      </c>
      <c r="F47" s="154" t="b">
        <f aca="false">IF(Report!L44&lt;-100,"1")</f>
        <v>0</v>
      </c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</row>
    <row r="48" customFormat="false" ht="15" hidden="false" customHeight="true" outlineLevel="0" collapsed="false">
      <c r="A48" s="151" t="str">
        <f aca="false">IF(Report!B45&gt;Report!P45,"1")</f>
        <v>1</v>
      </c>
      <c r="B48" s="153" t="n">
        <f aca="false">IF(Report!B45&lt;Report!P45,"1")</f>
        <v>0</v>
      </c>
      <c r="C48" s="154" t="b">
        <f aca="false">IF(Report!M45="Buy",1)</f>
        <v>0</v>
      </c>
      <c r="D48" s="154" t="b">
        <f aca="false">IF(Report!M45="Sell",1)</f>
        <v>0</v>
      </c>
      <c r="E48" s="151" t="str">
        <f aca="false">IF(Report!L45&gt;100,"1")</f>
        <v>1</v>
      </c>
      <c r="F48" s="154" t="b">
        <f aca="false">IF(Report!L45&lt;-100,"1")</f>
        <v>0</v>
      </c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</row>
    <row r="49" customFormat="false" ht="15" hidden="false" customHeight="true" outlineLevel="0" collapsed="false">
      <c r="A49" s="151" t="str">
        <f aca="false">IF(Report!B46&gt;Report!P46,"1")</f>
        <v>1</v>
      </c>
      <c r="B49" s="153" t="n">
        <f aca="false">IF(Report!B46&lt;Report!P46,"1")</f>
        <v>0</v>
      </c>
      <c r="C49" s="154" t="b">
        <f aca="false">IF(Report!M46="Buy",1)</f>
        <v>0</v>
      </c>
      <c r="D49" s="154" t="b">
        <f aca="false">IF(Report!M46="Sell",1)</f>
        <v>0</v>
      </c>
      <c r="E49" s="151" t="str">
        <f aca="false">IF(Report!L46&gt;100,"1")</f>
        <v>1</v>
      </c>
      <c r="F49" s="154" t="b">
        <f aca="false">IF(Report!L46&lt;-100,"1")</f>
        <v>0</v>
      </c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</row>
    <row r="50" customFormat="false" ht="15" hidden="false" customHeight="true" outlineLevel="0" collapsed="false">
      <c r="A50" s="151" t="str">
        <f aca="false">IF(Report!B47&gt;Report!P47,"1")</f>
        <v>1</v>
      </c>
      <c r="B50" s="153" t="n">
        <f aca="false">IF(Report!B47&lt;Report!P47,"1")</f>
        <v>0</v>
      </c>
      <c r="C50" s="154" t="b">
        <f aca="false">IF(Report!M47="Buy",1)</f>
        <v>0</v>
      </c>
      <c r="D50" s="154" t="b">
        <f aca="false">IF(Report!M47="Sell",1)</f>
        <v>0</v>
      </c>
      <c r="E50" s="151" t="str">
        <f aca="false">IF(Report!L47&gt;100,"1")</f>
        <v>1</v>
      </c>
      <c r="F50" s="154" t="b">
        <f aca="false">IF(Report!L47&lt;-100,"1")</f>
        <v>0</v>
      </c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</row>
    <row r="51" customFormat="false" ht="15" hidden="false" customHeight="true" outlineLevel="0" collapsed="false">
      <c r="A51" s="154" t="str">
        <f aca="false">IF(Report!B48&gt;Report!P48,"1")</f>
        <v>1</v>
      </c>
      <c r="B51" s="153" t="n">
        <f aca="false">IF(Report!B48&lt;Report!P48,"1")</f>
        <v>0</v>
      </c>
      <c r="C51" s="154" t="b">
        <f aca="false">IF(Report!M48="Buy",1)</f>
        <v>0</v>
      </c>
      <c r="D51" s="154" t="b">
        <f aca="false">IF(Report!M48="Sell",1)</f>
        <v>0</v>
      </c>
      <c r="E51" s="154" t="str">
        <f aca="false">IF(Report!L48&gt;100,"1")</f>
        <v>1</v>
      </c>
      <c r="F51" s="154" t="b">
        <f aca="false">IF(Report!L48&lt;-100,"1")</f>
        <v>0</v>
      </c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</row>
    <row r="52" customFormat="false" ht="15" hidden="false" customHeight="true" outlineLevel="0" collapsed="false">
      <c r="A52" s="154" t="b">
        <f aca="false">IF(Report!B49&gt;Report!P49,"1")</f>
        <v>0</v>
      </c>
      <c r="B52" s="153" t="str">
        <f aca="false">IF(Report!B49&lt;Report!P49,"1")</f>
        <v>1</v>
      </c>
      <c r="C52" s="154" t="b">
        <f aca="false">IF(Report!M49="Buy",1)</f>
        <v>0</v>
      </c>
      <c r="D52" s="154" t="b">
        <f aca="false">IF(Report!M49="Sell",1)</f>
        <v>0</v>
      </c>
      <c r="E52" s="154" t="str">
        <f aca="false">IF(Report!L49&gt;100,"1")</f>
        <v>1</v>
      </c>
      <c r="F52" s="154" t="b">
        <f aca="false">IF(Report!L49&lt;-100,"1")</f>
        <v>0</v>
      </c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</row>
    <row r="53" customFormat="false" ht="15" hidden="false" customHeight="true" outlineLevel="0" collapsed="false">
      <c r="A53" s="151" t="str">
        <f aca="false">IF(Report!B50&gt;Report!P50,"1")</f>
        <v>1</v>
      </c>
      <c r="B53" s="153" t="n">
        <f aca="false">IF(Report!B50&lt;Report!P50,"1")</f>
        <v>0</v>
      </c>
      <c r="C53" s="154" t="b">
        <f aca="false">IF(Report!M50="Buy",1)</f>
        <v>0</v>
      </c>
      <c r="D53" s="154" t="b">
        <f aca="false">IF(Report!M50="Sell",1)</f>
        <v>0</v>
      </c>
      <c r="E53" s="154" t="str">
        <f aca="false">IF(Report!L50&gt;100,"1")</f>
        <v>1</v>
      </c>
      <c r="F53" s="154" t="b">
        <f aca="false">IF(Report!L50&lt;-100,"1")</f>
        <v>0</v>
      </c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</row>
    <row r="54" customFormat="false" ht="15" hidden="false" customHeight="true" outlineLevel="0" collapsed="false">
      <c r="A54" s="151" t="str">
        <f aca="false">IF(Report!B51&gt;Report!P51,"1")</f>
        <v>1</v>
      </c>
      <c r="B54" s="153" t="n">
        <f aca="false">IF(Report!B51&lt;Report!P51,"1")</f>
        <v>0</v>
      </c>
      <c r="C54" s="154" t="b">
        <f aca="false">IF(Report!M51="Buy",1)</f>
        <v>0</v>
      </c>
      <c r="D54" s="154" t="b">
        <f aca="false">IF(Report!M51="Sell",1)</f>
        <v>0</v>
      </c>
      <c r="E54" s="154" t="str">
        <f aca="false">IF(Report!L51&gt;100,"1")</f>
        <v>1</v>
      </c>
      <c r="F54" s="154" t="b">
        <f aca="false">IF(Report!L51&lt;-100,"1")</f>
        <v>0</v>
      </c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</row>
    <row r="55" customFormat="false" ht="15" hidden="false" customHeight="true" outlineLevel="0" collapsed="false">
      <c r="A55" s="154" t="str">
        <f aca="false">IF(Report!B52&gt;Report!P52,"1")</f>
        <v>1</v>
      </c>
      <c r="B55" s="153" t="n">
        <f aca="false">IF(Report!B52&lt;Report!P52,"1")</f>
        <v>0</v>
      </c>
      <c r="C55" s="154" t="b">
        <f aca="false">IF(Report!M52="Buy",1)</f>
        <v>0</v>
      </c>
      <c r="D55" s="154" t="b">
        <f aca="false">IF(Report!M52="Sell",1)</f>
        <v>0</v>
      </c>
      <c r="E55" s="151" t="str">
        <f aca="false">IF(Report!L52&gt;100,"1")</f>
        <v>1</v>
      </c>
      <c r="F55" s="154" t="b">
        <f aca="false">IF(Report!L52&lt;-100,"1")</f>
        <v>0</v>
      </c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</row>
    <row r="56" customFormat="false" ht="15" hidden="false" customHeight="true" outlineLevel="0" collapsed="false">
      <c r="A56" s="154" t="str">
        <f aca="false">IF(Report!B53&gt;Report!P53,"1")</f>
        <v>1</v>
      </c>
      <c r="B56" s="153" t="n">
        <f aca="false">IF(Report!B53&lt;Report!P53,"1")</f>
        <v>0</v>
      </c>
      <c r="C56" s="154" t="b">
        <f aca="false">IF(Report!M53="Buy",1)</f>
        <v>0</v>
      </c>
      <c r="D56" s="154" t="b">
        <f aca="false">IF(Report!M53="Sell",1)</f>
        <v>0</v>
      </c>
      <c r="E56" s="154" t="str">
        <f aca="false">IF(Report!L53&gt;100,"1")</f>
        <v>1</v>
      </c>
      <c r="F56" s="154" t="b">
        <f aca="false">IF(Report!L53&lt;-100,"1")</f>
        <v>0</v>
      </c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</row>
    <row r="57" customFormat="false" ht="15" hidden="false" customHeight="true" outlineLevel="0" collapsed="false">
      <c r="A57" s="151" t="str">
        <f aca="false">IF(Report!B54&gt;Report!P54,"1")</f>
        <v>1</v>
      </c>
      <c r="B57" s="153" t="n">
        <f aca="false">IF(Report!B54&lt;Report!P54,"1")</f>
        <v>0</v>
      </c>
      <c r="C57" s="154" t="b">
        <f aca="false">IF(Report!M54="Buy",1)</f>
        <v>0</v>
      </c>
      <c r="D57" s="154" t="b">
        <f aca="false">IF(Report!M54="Sell",1)</f>
        <v>0</v>
      </c>
      <c r="E57" s="154" t="str">
        <f aca="false">IF(Report!L54&gt;100,"1")</f>
        <v>1</v>
      </c>
      <c r="F57" s="154" t="b">
        <f aca="false">IF(Report!L54&lt;-100,"1")</f>
        <v>0</v>
      </c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</row>
    <row r="58" customFormat="false" ht="15" hidden="false" customHeight="true" outlineLevel="0" collapsed="false">
      <c r="A58" s="151" t="str">
        <f aca="false">IF(Report!B55&gt;Report!P55,"1")</f>
        <v>1</v>
      </c>
      <c r="B58" s="153" t="n">
        <f aca="false">IF(Report!B55&lt;Report!P55,"1")</f>
        <v>0</v>
      </c>
      <c r="C58" s="154" t="b">
        <f aca="false">IF(Report!M55="Buy",1)</f>
        <v>0</v>
      </c>
      <c r="D58" s="154" t="b">
        <f aca="false">IF(Report!M55="Sell",1)</f>
        <v>0</v>
      </c>
      <c r="E58" s="151" t="str">
        <f aca="false">IF(Report!L55&gt;100,"1")</f>
        <v>1</v>
      </c>
      <c r="F58" s="154" t="b">
        <f aca="false">IF(Report!L55&lt;-100,"1")</f>
        <v>0</v>
      </c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</row>
    <row r="59" customFormat="false" ht="15" hidden="false" customHeight="true" outlineLevel="0" collapsed="false">
      <c r="A59" s="151" t="str">
        <f aca="false">IF(Report!B56&gt;Report!P56,"1")</f>
        <v>1</v>
      </c>
      <c r="B59" s="153" t="n">
        <f aca="false">IF(Report!B56&lt;Report!P56,"1")</f>
        <v>0</v>
      </c>
      <c r="C59" s="154" t="b">
        <f aca="false">IF(Report!M56="Buy",1)</f>
        <v>0</v>
      </c>
      <c r="D59" s="154" t="b">
        <f aca="false">IF(Report!M56="Sell",1)</f>
        <v>0</v>
      </c>
      <c r="E59" s="151" t="str">
        <f aca="false">IF(Report!L56&gt;100,"1")</f>
        <v>1</v>
      </c>
      <c r="F59" s="154" t="b">
        <f aca="false">IF(Report!L56&lt;-100,"1")</f>
        <v>0</v>
      </c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</row>
    <row r="60" customFormat="false" ht="15" hidden="false" customHeight="true" outlineLevel="0" collapsed="false">
      <c r="A60" s="154" t="str">
        <f aca="false">IF(Report!B57&gt;Report!P57,"1")</f>
        <v>1</v>
      </c>
      <c r="B60" s="153" t="n">
        <f aca="false">IF(Report!B57&lt;Report!P57,"1")</f>
        <v>0</v>
      </c>
      <c r="C60" s="154" t="b">
        <f aca="false">IF(Report!M57="Buy",1)</f>
        <v>0</v>
      </c>
      <c r="D60" s="154" t="b">
        <f aca="false">IF(Report!M57="Sell",1)</f>
        <v>0</v>
      </c>
      <c r="E60" s="151" t="str">
        <f aca="false">IF(Report!L57&gt;100,"1")</f>
        <v>1</v>
      </c>
      <c r="F60" s="154" t="b">
        <f aca="false">IF(Report!L57&lt;-100,"1")</f>
        <v>0</v>
      </c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</row>
    <row r="61" customFormat="false" ht="15" hidden="false" customHeight="true" outlineLevel="0" collapsed="false">
      <c r="A61" s="151" t="str">
        <f aca="false">IF(Report!B58&gt;Report!P58,"1")</f>
        <v>1</v>
      </c>
      <c r="B61" s="153" t="n">
        <f aca="false">IF(Report!B58&lt;Report!P58,"1")</f>
        <v>0</v>
      </c>
      <c r="C61" s="154" t="b">
        <f aca="false">IF(Report!M58="Buy",1)</f>
        <v>0</v>
      </c>
      <c r="D61" s="154" t="b">
        <f aca="false">IF(Report!M58="Sell",1)</f>
        <v>0</v>
      </c>
      <c r="E61" s="151" t="str">
        <f aca="false">IF(Report!L58&gt;100,"1")</f>
        <v>1</v>
      </c>
      <c r="F61" s="154" t="b">
        <f aca="false">IF(Report!L58&lt;-100,"1")</f>
        <v>0</v>
      </c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</row>
    <row r="62" customFormat="false" ht="15" hidden="false" customHeight="true" outlineLevel="0" collapsed="false">
      <c r="A62" s="151" t="str">
        <f aca="false">IF(Report!B59&gt;Report!P59,"1")</f>
        <v>1</v>
      </c>
      <c r="B62" s="153" t="n">
        <f aca="false">IF(Report!B59&lt;Report!P59,"1")</f>
        <v>0</v>
      </c>
      <c r="C62" s="154" t="b">
        <f aca="false">IF(Report!M59="Buy",1)</f>
        <v>0</v>
      </c>
      <c r="D62" s="154" t="b">
        <f aca="false">IF(Report!M59="Sell",1)</f>
        <v>0</v>
      </c>
      <c r="E62" s="151" t="str">
        <f aca="false">IF(Report!L59&gt;100,"1")</f>
        <v>1</v>
      </c>
      <c r="F62" s="154" t="b">
        <f aca="false">IF(Report!L59&lt;-100,"1")</f>
        <v>0</v>
      </c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</row>
    <row r="63" customFormat="false" ht="15" hidden="false" customHeight="true" outlineLevel="0" collapsed="false">
      <c r="A63" s="151" t="str">
        <f aca="false">IF(Report!B60&gt;Report!P60,"1")</f>
        <v>1</v>
      </c>
      <c r="B63" s="153" t="n">
        <f aca="false">IF(Report!B60&lt;Report!P60,"1")</f>
        <v>0</v>
      </c>
      <c r="C63" s="154" t="b">
        <f aca="false">IF(Report!M60="Buy",1)</f>
        <v>0</v>
      </c>
      <c r="D63" s="154" t="b">
        <f aca="false">IF(Report!M60="Sell",1)</f>
        <v>0</v>
      </c>
      <c r="E63" s="154" t="b">
        <f aca="false">IF(Report!L60&gt;100,"1")</f>
        <v>0</v>
      </c>
      <c r="F63" s="154" t="b">
        <f aca="false">IF(Report!L60&lt;-100,"1")</f>
        <v>0</v>
      </c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</row>
    <row r="64" customFormat="false" ht="15" hidden="false" customHeight="true" outlineLevel="0" collapsed="false">
      <c r="A64" s="154" t="str">
        <f aca="false">IF(Report!B61&gt;Report!P61,"1")</f>
        <v>1</v>
      </c>
      <c r="B64" s="153" t="n">
        <f aca="false">IF(Report!B61&lt;Report!P61,"1")</f>
        <v>0</v>
      </c>
      <c r="C64" s="154" t="b">
        <f aca="false">IF(Report!M61="Buy",1)</f>
        <v>0</v>
      </c>
      <c r="D64" s="154" t="b">
        <f aca="false">IF(Report!M61="Sell",1)</f>
        <v>0</v>
      </c>
      <c r="E64" s="154" t="b">
        <f aca="false">IF(Report!L61&gt;100,"1")</f>
        <v>0</v>
      </c>
      <c r="F64" s="154" t="b">
        <f aca="false">IF(Report!L61&lt;-100,"1")</f>
        <v>0</v>
      </c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</row>
    <row r="65" customFormat="false" ht="15" hidden="false" customHeight="true" outlineLevel="0" collapsed="false">
      <c r="A65" s="151" t="str">
        <f aca="false">IF(Report!B62&gt;Report!P62,"1")</f>
        <v>1</v>
      </c>
      <c r="B65" s="153" t="n">
        <f aca="false">IF(Report!B62&lt;Report!P62,"1")</f>
        <v>0</v>
      </c>
      <c r="C65" s="154" t="b">
        <f aca="false">IF(Report!M62="Buy",1)</f>
        <v>0</v>
      </c>
      <c r="D65" s="154" t="b">
        <f aca="false">IF(Report!M62="Sell",1)</f>
        <v>0</v>
      </c>
      <c r="E65" s="154" t="b">
        <f aca="false">IF(Report!L62&gt;100,"1")</f>
        <v>0</v>
      </c>
      <c r="F65" s="154" t="b">
        <f aca="false">IF(Report!L62&lt;-100,"1")</f>
        <v>0</v>
      </c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</row>
    <row r="66" customFormat="false" ht="15" hidden="false" customHeight="true" outlineLevel="0" collapsed="false">
      <c r="A66" s="151" t="str">
        <f aca="false">IF(Report!B63&gt;Report!P63,"1")</f>
        <v>1</v>
      </c>
      <c r="B66" s="153" t="n">
        <f aca="false">IF(Report!B63&lt;Report!P63,"1")</f>
        <v>0</v>
      </c>
      <c r="C66" s="154" t="b">
        <f aca="false">IF(Report!M63="Buy",1)</f>
        <v>0</v>
      </c>
      <c r="D66" s="154" t="b">
        <f aca="false">IF(Report!M63="Sell",1)</f>
        <v>0</v>
      </c>
      <c r="E66" s="154" t="b">
        <f aca="false">IF(Report!L63&gt;100,"1")</f>
        <v>0</v>
      </c>
      <c r="F66" s="154" t="b">
        <f aca="false">IF(Report!L63&lt;-100,"1")</f>
        <v>0</v>
      </c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</row>
    <row r="67" customFormat="false" ht="15" hidden="false" customHeight="true" outlineLevel="0" collapsed="false">
      <c r="A67" s="154" t="str">
        <f aca="false">IF(Report!B64&gt;Report!P64,"1")</f>
        <v>1</v>
      </c>
      <c r="B67" s="153" t="n">
        <f aca="false">IF(Report!B64&lt;Report!P64,"1")</f>
        <v>0</v>
      </c>
      <c r="C67" s="154" t="b">
        <f aca="false">IF(Report!M64="Buy",1)</f>
        <v>0</v>
      </c>
      <c r="D67" s="154" t="b">
        <f aca="false">IF(Report!M64="Sell",1)</f>
        <v>0</v>
      </c>
      <c r="E67" s="154" t="b">
        <f aca="false">IF(Report!L64&gt;100,"1")</f>
        <v>0</v>
      </c>
      <c r="F67" s="154" t="b">
        <f aca="false">IF(Report!L64&lt;-100,"1")</f>
        <v>0</v>
      </c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</row>
    <row r="68" customFormat="false" ht="15" hidden="false" customHeight="true" outlineLevel="0" collapsed="false">
      <c r="A68" s="151" t="str">
        <f aca="false">IF(Report!B65&gt;Report!P65,"1")</f>
        <v>1</v>
      </c>
      <c r="B68" s="153" t="n">
        <f aca="false">IF(Report!B65&lt;Report!P65,"1")</f>
        <v>0</v>
      </c>
      <c r="C68" s="154" t="b">
        <f aca="false">IF(Report!M65="Buy",1)</f>
        <v>0</v>
      </c>
      <c r="D68" s="154" t="b">
        <f aca="false">IF(Report!M65="Sell",1)</f>
        <v>0</v>
      </c>
      <c r="E68" s="154" t="b">
        <f aca="false">IF(Report!L65&gt;100,"1")</f>
        <v>0</v>
      </c>
      <c r="F68" s="154" t="b">
        <f aca="false">IF(Report!L65&lt;-100,"1")</f>
        <v>0</v>
      </c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</row>
    <row r="69" customFormat="false" ht="15" hidden="false" customHeight="true" outlineLevel="0" collapsed="false">
      <c r="A69" s="154" t="b">
        <f aca="false">IF(Report!B66&gt;Report!P66,"1")</f>
        <v>0</v>
      </c>
      <c r="B69" s="155" t="str">
        <f aca="false">IF(Report!B66&lt;Report!P66,"1")</f>
        <v>1</v>
      </c>
      <c r="C69" s="154" t="b">
        <f aca="false">IF(Report!M66="Buy",1)</f>
        <v>0</v>
      </c>
      <c r="D69" s="154" t="b">
        <f aca="false">IF(Report!M66="Sell",1)</f>
        <v>0</v>
      </c>
      <c r="E69" s="154" t="b">
        <f aca="false">IF(Report!L66&gt;100,"1")</f>
        <v>0</v>
      </c>
      <c r="F69" s="154" t="b">
        <f aca="false">IF(Report!L66&lt;-100,"1")</f>
        <v>0</v>
      </c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</row>
    <row r="70" customFormat="false" ht="15" hidden="false" customHeight="true" outlineLevel="0" collapsed="false">
      <c r="A70" s="151" t="str">
        <f aca="false">IF(Report!B67&gt;Report!P67,"1")</f>
        <v>1</v>
      </c>
      <c r="B70" s="155" t="b">
        <f aca="false">IF(Report!B67&lt;Report!P67,"1")</f>
        <v>0</v>
      </c>
      <c r="C70" s="154" t="b">
        <f aca="false">IF(Report!M67="Buy",1)</f>
        <v>0</v>
      </c>
      <c r="D70" s="154" t="b">
        <f aca="false">IF(Report!M67="Sell",1)</f>
        <v>0</v>
      </c>
      <c r="E70" s="154" t="b">
        <f aca="false">IF(Report!L67&gt;100,"1")</f>
        <v>0</v>
      </c>
      <c r="F70" s="154" t="b">
        <f aca="false">IF(Report!L67&lt;-100,"1")</f>
        <v>0</v>
      </c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</row>
    <row r="71" customFormat="false" ht="15" hidden="false" customHeight="true" outlineLevel="0" collapsed="false">
      <c r="A71" s="151" t="str">
        <f aca="false">IF(Report!B68&gt;Report!P68,"1")</f>
        <v>1</v>
      </c>
      <c r="B71" s="155" t="b">
        <f aca="false">IF(Report!B68&lt;Report!P68,"1")</f>
        <v>0</v>
      </c>
      <c r="C71" s="154" t="b">
        <f aca="false">IF(Report!M68="Buy",1)</f>
        <v>0</v>
      </c>
      <c r="D71" s="154" t="b">
        <f aca="false">IF(Report!M68="Sell",1)</f>
        <v>0</v>
      </c>
      <c r="E71" s="154" t="b">
        <f aca="false">IF(Report!L68&gt;100,"1")</f>
        <v>0</v>
      </c>
      <c r="F71" s="154" t="b">
        <f aca="false">IF(Report!L68&lt;-100,"1")</f>
        <v>0</v>
      </c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</row>
    <row r="72" customFormat="false" ht="15" hidden="false" customHeight="true" outlineLevel="0" collapsed="false">
      <c r="A72" s="154" t="str">
        <f aca="false">IF(Report!B69&gt;Report!P69,"1")</f>
        <v>1</v>
      </c>
      <c r="B72" s="155" t="b">
        <f aca="false">IF(Report!B69&lt;Report!P69,"1")</f>
        <v>0</v>
      </c>
      <c r="C72" s="154" t="b">
        <f aca="false">IF(Report!M69="Buy",1)</f>
        <v>0</v>
      </c>
      <c r="D72" s="154" t="b">
        <f aca="false">IF(Report!M69="Sell",1)</f>
        <v>0</v>
      </c>
      <c r="E72" s="154" t="b">
        <f aca="false">IF(Report!L69&gt;100,"1")</f>
        <v>0</v>
      </c>
      <c r="F72" s="154" t="b">
        <f aca="false">IF(Report!L69&lt;-100,"1")</f>
        <v>0</v>
      </c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</row>
    <row r="73" customFormat="false" ht="15" hidden="false" customHeight="true" outlineLevel="0" collapsed="false">
      <c r="A73" s="154" t="str">
        <f aca="false">IF(Report!B70&gt;Report!P70,"1")</f>
        <v>1</v>
      </c>
      <c r="B73" s="155" t="b">
        <f aca="false">IF(Report!B70&lt;Report!P70,"1")</f>
        <v>0</v>
      </c>
      <c r="C73" s="154" t="b">
        <f aca="false">IF(Report!M70="Buy",1)</f>
        <v>0</v>
      </c>
      <c r="D73" s="154" t="b">
        <f aca="false">IF(Report!M70="Sell",1)</f>
        <v>0</v>
      </c>
      <c r="E73" s="154" t="b">
        <f aca="false">IF(Report!L70&gt;100,"1")</f>
        <v>0</v>
      </c>
      <c r="F73" s="154" t="b">
        <f aca="false">IF(Report!L70&lt;-100,"1")</f>
        <v>0</v>
      </c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</row>
    <row r="74" customFormat="false" ht="15" hidden="false" customHeight="true" outlineLevel="0" collapsed="false">
      <c r="A74" s="151" t="str">
        <f aca="false">IF(Report!B71&gt;Report!P71,"1")</f>
        <v>1</v>
      </c>
      <c r="B74" s="155" t="b">
        <f aca="false">IF(Report!B71&lt;Report!P71,"1")</f>
        <v>0</v>
      </c>
      <c r="C74" s="154" t="b">
        <f aca="false">IF(Report!M71="Buy",1)</f>
        <v>0</v>
      </c>
      <c r="D74" s="154" t="b">
        <f aca="false">IF(Report!M71="Sell",1)</f>
        <v>0</v>
      </c>
      <c r="E74" s="154" t="b">
        <f aca="false">IF(Report!L71&gt;100,"1")</f>
        <v>0</v>
      </c>
      <c r="F74" s="154" t="b">
        <f aca="false">IF(Report!L71&lt;-100,"1")</f>
        <v>0</v>
      </c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</row>
    <row r="75" customFormat="false" ht="15" hidden="false" customHeight="true" outlineLevel="0" collapsed="false">
      <c r="A75" s="151" t="str">
        <f aca="false">IF(Report!B72&gt;Report!P72,"1")</f>
        <v>1</v>
      </c>
      <c r="B75" s="155" t="b">
        <f aca="false">IF(Report!B72&lt;Report!P72,"1")</f>
        <v>0</v>
      </c>
      <c r="C75" s="154" t="b">
        <f aca="false">IF(Report!M72="Buy",1)</f>
        <v>0</v>
      </c>
      <c r="D75" s="154" t="b">
        <f aca="false">IF(Report!M72="Sell",1)</f>
        <v>0</v>
      </c>
      <c r="E75" s="154" t="b">
        <f aca="false">IF(Report!L72&gt;100,"1")</f>
        <v>0</v>
      </c>
      <c r="F75" s="154" t="b">
        <f aca="false">IF(Report!L72&lt;-100,"1")</f>
        <v>0</v>
      </c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</row>
    <row r="76" customFormat="false" ht="15" hidden="false" customHeight="true" outlineLevel="0" collapsed="false">
      <c r="A76" s="151" t="str">
        <f aca="false">IF(Report!B73&gt;Report!P73,"1")</f>
        <v>1</v>
      </c>
      <c r="B76" s="155" t="b">
        <f aca="false">IF(Report!B73&lt;Report!P73,"1")</f>
        <v>0</v>
      </c>
      <c r="C76" s="154" t="b">
        <f aca="false">IF(Report!M73="Buy",1)</f>
        <v>0</v>
      </c>
      <c r="D76" s="154" t="b">
        <f aca="false">IF(Report!M73="Sell",1)</f>
        <v>0</v>
      </c>
      <c r="E76" s="154" t="b">
        <f aca="false">IF(Report!L73&gt;100,"1")</f>
        <v>0</v>
      </c>
      <c r="F76" s="154" t="b">
        <f aca="false">IF(Report!L73&lt;-100,"1")</f>
        <v>0</v>
      </c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</row>
    <row r="77" customFormat="false" ht="15" hidden="false" customHeight="true" outlineLevel="0" collapsed="false">
      <c r="A77" s="154" t="str">
        <f aca="false">IF(Report!B74&gt;Report!P74,"1")</f>
        <v>1</v>
      </c>
      <c r="B77" s="155" t="b">
        <f aca="false">IF(Report!B74&lt;Report!P74,"1")</f>
        <v>0</v>
      </c>
      <c r="C77" s="154" t="b">
        <f aca="false">IF(Report!M74="Buy",1)</f>
        <v>0</v>
      </c>
      <c r="D77" s="154" t="b">
        <f aca="false">IF(Report!M74="Sell",1)</f>
        <v>0</v>
      </c>
      <c r="E77" s="154" t="b">
        <f aca="false">IF(Report!L74&gt;100,"1")</f>
        <v>0</v>
      </c>
      <c r="F77" s="154" t="b">
        <f aca="false">IF(Report!L74&lt;-100,"1")</f>
        <v>0</v>
      </c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</row>
    <row r="78" customFormat="false" ht="15" hidden="false" customHeight="true" outlineLevel="0" collapsed="false">
      <c r="A78" s="151" t="str">
        <f aca="false">IF(Report!B75&gt;Report!P75,"1")</f>
        <v>1</v>
      </c>
      <c r="B78" s="155" t="b">
        <f aca="false">IF(Report!B75&lt;Report!P75,"1")</f>
        <v>0</v>
      </c>
      <c r="C78" s="154" t="b">
        <f aca="false">IF(Report!M75="Buy",1)</f>
        <v>0</v>
      </c>
      <c r="D78" s="154" t="b">
        <f aca="false">IF(Report!M75="Sell",1)</f>
        <v>0</v>
      </c>
      <c r="E78" s="154" t="b">
        <f aca="false">IF(Report!L75&gt;100,"1")</f>
        <v>0</v>
      </c>
      <c r="F78" s="154" t="b">
        <f aca="false">IF(Report!L75&lt;-100,"1")</f>
        <v>0</v>
      </c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</row>
    <row r="79" customFormat="false" ht="15" hidden="false" customHeight="true" outlineLevel="0" collapsed="false">
      <c r="A79" s="151" t="str">
        <f aca="false">IF(Report!B76&gt;Report!P76,"1")</f>
        <v>1</v>
      </c>
      <c r="B79" s="155" t="b">
        <f aca="false">IF(Report!B76&lt;Report!P76,"1")</f>
        <v>0</v>
      </c>
      <c r="C79" s="154" t="b">
        <f aca="false">IF(Report!M76="Buy",1)</f>
        <v>0</v>
      </c>
      <c r="D79" s="154" t="b">
        <f aca="false">IF(Report!M76="Sell",1)</f>
        <v>0</v>
      </c>
      <c r="E79" s="154" t="b">
        <f aca="false">IF(Report!L76&gt;100,"1")</f>
        <v>0</v>
      </c>
      <c r="F79" s="154" t="b">
        <f aca="false">IF(Report!L76&lt;-100,"1")</f>
        <v>0</v>
      </c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</row>
    <row r="80" customFormat="false" ht="15" hidden="false" customHeight="true" outlineLevel="0" collapsed="false">
      <c r="A80" s="151" t="str">
        <f aca="false">IF(Report!B77&gt;Report!P77,"1")</f>
        <v>1</v>
      </c>
      <c r="B80" s="155" t="b">
        <f aca="false">IF(Report!B77&lt;Report!P77,"1")</f>
        <v>0</v>
      </c>
      <c r="C80" s="154" t="b">
        <f aca="false">IF(Report!M77="Buy",1)</f>
        <v>0</v>
      </c>
      <c r="D80" s="154" t="b">
        <f aca="false">IF(Report!M77="Sell",1)</f>
        <v>0</v>
      </c>
      <c r="E80" s="154" t="b">
        <f aca="false">IF(Report!L77&gt;100,"1")</f>
        <v>0</v>
      </c>
      <c r="F80" s="154" t="b">
        <f aca="false">IF(Report!L77&lt;-100,"1")</f>
        <v>0</v>
      </c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</row>
    <row r="81" customFormat="false" ht="15" hidden="false" customHeight="true" outlineLevel="0" collapsed="false">
      <c r="A81" s="154" t="str">
        <f aca="false">IF(Report!B78&gt;Report!P78,"1")</f>
        <v>1</v>
      </c>
      <c r="B81" s="155" t="b">
        <f aca="false">IF(Report!B78&lt;Report!P78,"1")</f>
        <v>0</v>
      </c>
      <c r="C81" s="154" t="b">
        <f aca="false">IF(Report!M78="Buy",1)</f>
        <v>0</v>
      </c>
      <c r="D81" s="154" t="b">
        <f aca="false">IF(Report!M78="Sell",1)</f>
        <v>0</v>
      </c>
      <c r="E81" s="154" t="b">
        <f aca="false">IF(Report!L78&gt;100,"1")</f>
        <v>0</v>
      </c>
      <c r="F81" s="154" t="b">
        <f aca="false">IF(Report!L78&lt;-100,"1")</f>
        <v>0</v>
      </c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</row>
    <row r="82" customFormat="false" ht="15" hidden="false" customHeight="true" outlineLevel="0" collapsed="false">
      <c r="A82" s="154" t="str">
        <f aca="false">IF(Report!B79&gt;Report!P79,"1")</f>
        <v>1</v>
      </c>
      <c r="B82" s="155" t="b">
        <f aca="false">IF(Report!B79&lt;Report!P79,"1")</f>
        <v>0</v>
      </c>
      <c r="C82" s="154" t="b">
        <f aca="false">IF(Report!M79="Buy",1)</f>
        <v>0</v>
      </c>
      <c r="D82" s="154" t="b">
        <f aca="false">IF(Report!M79="Sell",1)</f>
        <v>0</v>
      </c>
      <c r="E82" s="154" t="b">
        <f aca="false">IF(Report!L79&gt;100,"1")</f>
        <v>0</v>
      </c>
      <c r="F82" s="154" t="b">
        <f aca="false">IF(Report!L79&lt;-100,"1")</f>
        <v>0</v>
      </c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</row>
    <row r="83" customFormat="false" ht="15" hidden="false" customHeight="true" outlineLevel="0" collapsed="false">
      <c r="A83" s="154" t="str">
        <f aca="false">IF(Report!B80&gt;Report!P80,"1")</f>
        <v>1</v>
      </c>
      <c r="B83" s="155" t="b">
        <f aca="false">IF(Report!B80&lt;Report!P80,"1")</f>
        <v>0</v>
      </c>
      <c r="C83" s="154" t="b">
        <f aca="false">IF(Report!M80="Buy",1)</f>
        <v>0</v>
      </c>
      <c r="D83" s="154" t="b">
        <f aca="false">IF(Report!M80="Sell",1)</f>
        <v>0</v>
      </c>
      <c r="E83" s="154" t="b">
        <f aca="false">IF(Report!L80&gt;100,"1")</f>
        <v>0</v>
      </c>
      <c r="F83" s="154" t="b">
        <f aca="false">IF(Report!L80&lt;-100,"1")</f>
        <v>0</v>
      </c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</row>
    <row r="84" customFormat="false" ht="15" hidden="false" customHeight="true" outlineLevel="0" collapsed="false">
      <c r="A84" s="154" t="b">
        <f aca="false">IF(Report!B81&gt;Report!P81,"1")</f>
        <v>0</v>
      </c>
      <c r="B84" s="155" t="str">
        <f aca="false">IF(Report!B81&lt;Report!P81,"1")</f>
        <v>1</v>
      </c>
      <c r="C84" s="154" t="b">
        <f aca="false">IF(Report!M81="Buy",1)</f>
        <v>0</v>
      </c>
      <c r="D84" s="154" t="b">
        <f aca="false">IF(Report!M81="Sell",1)</f>
        <v>0</v>
      </c>
      <c r="E84" s="154" t="b">
        <f aca="false">IF(Report!L81&gt;100,"1")</f>
        <v>0</v>
      </c>
      <c r="F84" s="154" t="b">
        <f aca="false">IF(Report!L81&lt;-100,"1")</f>
        <v>0</v>
      </c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</row>
    <row r="85" customFormat="false" ht="15" hidden="false" customHeight="true" outlineLevel="0" collapsed="false">
      <c r="A85" s="151" t="str">
        <f aca="false">IF(Report!B82&gt;Report!P82,"1")</f>
        <v>1</v>
      </c>
      <c r="B85" s="155" t="b">
        <f aca="false">IF(Report!B82&lt;Report!P82,"1")</f>
        <v>0</v>
      </c>
      <c r="C85" s="154" t="b">
        <f aca="false">IF(Report!M82="Buy",1)</f>
        <v>0</v>
      </c>
      <c r="D85" s="154" t="b">
        <f aca="false">IF(Report!M82="Sell",1)</f>
        <v>0</v>
      </c>
      <c r="E85" s="154" t="b">
        <f aca="false">IF(Report!L82&gt;100,"1")</f>
        <v>0</v>
      </c>
      <c r="F85" s="154" t="b">
        <f aca="false">IF(Report!L82&lt;-100,"1")</f>
        <v>0</v>
      </c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  <c r="V85" s="151"/>
      <c r="W85" s="151"/>
      <c r="X85" s="151"/>
      <c r="Y85" s="151"/>
      <c r="Z85" s="151"/>
    </row>
    <row r="86" customFormat="false" ht="15" hidden="false" customHeight="true" outlineLevel="0" collapsed="false">
      <c r="A86" s="154" t="b">
        <f aca="false">IF(Report!B83&gt;Report!P83,"1")</f>
        <v>0</v>
      </c>
      <c r="B86" s="155" t="str">
        <f aca="false">IF(Report!B83&lt;Report!P83,"1")</f>
        <v>1</v>
      </c>
      <c r="C86" s="154" t="b">
        <f aca="false">IF(Report!M83="Buy",1)</f>
        <v>0</v>
      </c>
      <c r="D86" s="154" t="b">
        <f aca="false">IF(Report!M83="Sell",1)</f>
        <v>0</v>
      </c>
      <c r="E86" s="154" t="b">
        <f aca="false">IF(Report!L83&gt;100,"1")</f>
        <v>0</v>
      </c>
      <c r="F86" s="154" t="b">
        <f aca="false">IF(Report!L83&lt;-100,"1")</f>
        <v>0</v>
      </c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</row>
    <row r="87" customFormat="false" ht="15" hidden="false" customHeight="true" outlineLevel="0" collapsed="false">
      <c r="A87" s="151" t="str">
        <f aca="false">IF(Report!B84&gt;Report!P84,"1")</f>
        <v>1</v>
      </c>
      <c r="B87" s="155" t="b">
        <f aca="false">IF(Report!B84&lt;Report!P84,"1")</f>
        <v>0</v>
      </c>
      <c r="C87" s="154" t="b">
        <f aca="false">IF(Report!M84="Buy",1)</f>
        <v>0</v>
      </c>
      <c r="D87" s="154" t="b">
        <f aca="false">IF(Report!M84="Sell",1)</f>
        <v>0</v>
      </c>
      <c r="E87" s="154" t="b">
        <f aca="false">IF(Report!L84&gt;100,"1")</f>
        <v>0</v>
      </c>
      <c r="F87" s="154" t="b">
        <f aca="false">IF(Report!L84&lt;-100,"1")</f>
        <v>0</v>
      </c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  <c r="V87" s="151"/>
      <c r="W87" s="151"/>
      <c r="X87" s="151"/>
      <c r="Y87" s="151"/>
      <c r="Z87" s="151"/>
    </row>
    <row r="88" customFormat="false" ht="15" hidden="false" customHeight="true" outlineLevel="0" collapsed="false">
      <c r="A88" s="154" t="str">
        <f aca="false">IF(Report!B85&gt;Report!P85,"1")</f>
        <v>1</v>
      </c>
      <c r="B88" s="155" t="b">
        <f aca="false">IF(Report!B85&lt;Report!P85,"1")</f>
        <v>0</v>
      </c>
      <c r="C88" s="154" t="b">
        <f aca="false">IF(Report!M85="Buy",1)</f>
        <v>0</v>
      </c>
      <c r="D88" s="154" t="b">
        <f aca="false">IF(Report!M85="Sell",1)</f>
        <v>0</v>
      </c>
      <c r="E88" s="154" t="b">
        <f aca="false">IF(Report!L85&gt;100,"1")</f>
        <v>0</v>
      </c>
      <c r="F88" s="154" t="b">
        <f aca="false">IF(Report!L85&lt;-100,"1")</f>
        <v>0</v>
      </c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  <c r="V88" s="151"/>
      <c r="W88" s="151"/>
      <c r="X88" s="151"/>
      <c r="Y88" s="151"/>
      <c r="Z88" s="151"/>
    </row>
    <row r="89" customFormat="false" ht="15" hidden="false" customHeight="true" outlineLevel="0" collapsed="false">
      <c r="A89" s="151" t="str">
        <f aca="false">IF(Report!B86&gt;Report!P86,"1")</f>
        <v>1</v>
      </c>
      <c r="B89" s="155" t="b">
        <f aca="false">IF(Report!B86&lt;Report!P86,"1")</f>
        <v>0</v>
      </c>
      <c r="C89" s="154" t="b">
        <f aca="false">IF(Report!M86="Buy",1)</f>
        <v>0</v>
      </c>
      <c r="D89" s="154" t="b">
        <f aca="false">IF(Report!M86="Sell",1)</f>
        <v>0</v>
      </c>
      <c r="E89" s="154" t="b">
        <f aca="false">IF(Report!L86&gt;100,"1")</f>
        <v>0</v>
      </c>
      <c r="F89" s="154" t="b">
        <f aca="false">IF(Report!L86&lt;-100,"1")</f>
        <v>0</v>
      </c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  <c r="V89" s="151"/>
      <c r="W89" s="151"/>
      <c r="X89" s="151"/>
      <c r="Y89" s="151"/>
      <c r="Z89" s="151"/>
    </row>
    <row r="90" customFormat="false" ht="15" hidden="false" customHeight="true" outlineLevel="0" collapsed="false">
      <c r="A90" s="151" t="str">
        <f aca="false">IF(Report!B87&gt;Report!P87,"1")</f>
        <v>1</v>
      </c>
      <c r="B90" s="155" t="b">
        <f aca="false">IF(Report!B87&lt;Report!P87,"1")</f>
        <v>0</v>
      </c>
      <c r="C90" s="154" t="b">
        <f aca="false">IF(Report!M87="Buy",1)</f>
        <v>0</v>
      </c>
      <c r="D90" s="154" t="b">
        <f aca="false">IF(Report!M87="Sell",1)</f>
        <v>0</v>
      </c>
      <c r="E90" s="154" t="b">
        <f aca="false">IF(Report!L87&gt;100,"1")</f>
        <v>0</v>
      </c>
      <c r="F90" s="154" t="b">
        <f aca="false">IF(Report!L87&lt;-100,"1")</f>
        <v>0</v>
      </c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</row>
    <row r="91" customFormat="false" ht="15" hidden="false" customHeight="true" outlineLevel="0" collapsed="false">
      <c r="A91" s="151" t="str">
        <f aca="false">IF(Report!B88&gt;Report!P88,"1")</f>
        <v>1</v>
      </c>
      <c r="B91" s="155" t="b">
        <f aca="false">IF(Report!B88&lt;Report!P88,"1")</f>
        <v>0</v>
      </c>
      <c r="C91" s="154" t="b">
        <f aca="false">IF(Report!M88="Buy",1)</f>
        <v>0</v>
      </c>
      <c r="D91" s="154" t="b">
        <f aca="false">IF(Report!M88="Sell",1)</f>
        <v>0</v>
      </c>
      <c r="E91" s="154" t="b">
        <f aca="false">IF(Report!L88&gt;100,"1")</f>
        <v>0</v>
      </c>
      <c r="F91" s="154" t="b">
        <f aca="false">IF(Report!L88&lt;-100,"1")</f>
        <v>0</v>
      </c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1"/>
      <c r="Z91" s="151"/>
    </row>
    <row r="92" customFormat="false" ht="15" hidden="false" customHeight="true" outlineLevel="0" collapsed="false">
      <c r="A92" s="151" t="str">
        <f aca="false">IF(Report!B89&gt;Report!P89,"1")</f>
        <v>1</v>
      </c>
      <c r="B92" s="155" t="b">
        <f aca="false">IF(Report!B89&lt;Report!P89,"1")</f>
        <v>0</v>
      </c>
      <c r="C92" s="154" t="b">
        <f aca="false">IF(Report!M89="Buy",1)</f>
        <v>0</v>
      </c>
      <c r="D92" s="154" t="b">
        <f aca="false">IF(Report!M89="Sell",1)</f>
        <v>0</v>
      </c>
      <c r="E92" s="154" t="b">
        <f aca="false">IF(Report!L89&gt;100,"1")</f>
        <v>0</v>
      </c>
      <c r="F92" s="154" t="b">
        <f aca="false">IF(Report!L89&lt;-100,"1")</f>
        <v>0</v>
      </c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X92" s="151"/>
      <c r="Y92" s="151"/>
      <c r="Z92" s="151"/>
    </row>
    <row r="93" customFormat="false" ht="15" hidden="false" customHeight="true" outlineLevel="0" collapsed="false">
      <c r="A93" s="154" t="b">
        <f aca="false">IF(Report!B90&gt;Report!P90,"1")</f>
        <v>0</v>
      </c>
      <c r="B93" s="155" t="str">
        <f aca="false">IF(Report!B90&lt;Report!P90,"1")</f>
        <v>1</v>
      </c>
      <c r="C93" s="154" t="b">
        <f aca="false">IF(Report!M90="Buy",1)</f>
        <v>0</v>
      </c>
      <c r="D93" s="154" t="b">
        <f aca="false">IF(Report!M90="Sell",1)</f>
        <v>0</v>
      </c>
      <c r="E93" s="154" t="b">
        <f aca="false">IF(Report!L90&gt;100,"1")</f>
        <v>0</v>
      </c>
      <c r="F93" s="154" t="b">
        <f aca="false">IF(Report!L90&lt;-100,"1")</f>
        <v>0</v>
      </c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X93" s="151"/>
      <c r="Y93" s="151"/>
      <c r="Z93" s="151"/>
    </row>
    <row r="94" customFormat="false" ht="15" hidden="false" customHeight="true" outlineLevel="0" collapsed="false">
      <c r="A94" s="151" t="str">
        <f aca="false">IF(Report!B91&gt;Report!P91,"1")</f>
        <v>1</v>
      </c>
      <c r="B94" s="155" t="b">
        <f aca="false">IF(Report!B91&lt;Report!P91,"1")</f>
        <v>0</v>
      </c>
      <c r="C94" s="154" t="b">
        <f aca="false">IF(Report!M91="Buy",1)</f>
        <v>0</v>
      </c>
      <c r="D94" s="154" t="b">
        <f aca="false">IF(Report!M91="Sell",1)</f>
        <v>0</v>
      </c>
      <c r="E94" s="154" t="b">
        <f aca="false">IF(Report!L91&gt;100,"1")</f>
        <v>0</v>
      </c>
      <c r="F94" s="154" t="b">
        <f aca="false">IF(Report!L91&lt;-100,"1")</f>
        <v>0</v>
      </c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</row>
    <row r="95" customFormat="false" ht="15" hidden="false" customHeight="true" outlineLevel="0" collapsed="false">
      <c r="A95" s="151" t="str">
        <f aca="false">IF(Report!B92&gt;Report!P92,"1")</f>
        <v>1</v>
      </c>
      <c r="B95" s="155" t="b">
        <f aca="false">IF(Report!B92&lt;Report!P92,"1")</f>
        <v>0</v>
      </c>
      <c r="C95" s="154" t="b">
        <f aca="false">IF(Report!M92="Buy",1)</f>
        <v>0</v>
      </c>
      <c r="D95" s="154" t="b">
        <f aca="false">IF(Report!M92="Sell",1)</f>
        <v>0</v>
      </c>
      <c r="E95" s="154" t="b">
        <f aca="false">IF(Report!L92&gt;100,"1")</f>
        <v>0</v>
      </c>
      <c r="F95" s="154" t="b">
        <f aca="false">IF(Report!L92&lt;-100,"1")</f>
        <v>0</v>
      </c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X95" s="151"/>
      <c r="Y95" s="151"/>
      <c r="Z95" s="151"/>
    </row>
    <row r="96" customFormat="false" ht="15" hidden="false" customHeight="true" outlineLevel="0" collapsed="false">
      <c r="A96" s="154" t="b">
        <f aca="false">IF(Report!B93&gt;Report!P93,"1")</f>
        <v>0</v>
      </c>
      <c r="B96" s="155" t="str">
        <f aca="false">IF(Report!B93&lt;Report!P93,"1")</f>
        <v>1</v>
      </c>
      <c r="C96" s="154" t="b">
        <f aca="false">IF(Report!M93="Buy",1)</f>
        <v>0</v>
      </c>
      <c r="D96" s="154" t="b">
        <f aca="false">IF(Report!M93="Sell",1)</f>
        <v>0</v>
      </c>
      <c r="E96" s="154" t="b">
        <f aca="false">IF(Report!L93&gt;100,"1")</f>
        <v>0</v>
      </c>
      <c r="F96" s="154" t="b">
        <f aca="false">IF(Report!L93&lt;-100,"1")</f>
        <v>0</v>
      </c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51"/>
      <c r="X96" s="151"/>
      <c r="Y96" s="151"/>
      <c r="Z96" s="151"/>
    </row>
    <row r="97" customFormat="false" ht="15" hidden="false" customHeight="true" outlineLevel="0" collapsed="false">
      <c r="A97" s="151" t="str">
        <f aca="false">IF(Report!B94&gt;Report!P94,"1")</f>
        <v>1</v>
      </c>
      <c r="B97" s="155" t="b">
        <f aca="false">IF(Report!B94&lt;Report!P94,"1")</f>
        <v>0</v>
      </c>
      <c r="C97" s="154" t="b">
        <f aca="false">IF(Report!M94="Buy",1)</f>
        <v>0</v>
      </c>
      <c r="D97" s="154" t="b">
        <f aca="false">IF(Report!M94="Sell",1)</f>
        <v>0</v>
      </c>
      <c r="E97" s="154" t="b">
        <f aca="false">IF(Report!L94&gt;100,"1")</f>
        <v>0</v>
      </c>
      <c r="F97" s="154" t="b">
        <f aca="false">IF(Report!L94&lt;-100,"1")</f>
        <v>0</v>
      </c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</row>
    <row r="98" customFormat="false" ht="15" hidden="false" customHeight="true" outlineLevel="0" collapsed="false">
      <c r="A98" s="151" t="str">
        <f aca="false">IF(Report!B95&gt;Report!P95,"1")</f>
        <v>1</v>
      </c>
      <c r="B98" s="155" t="b">
        <f aca="false">IF(Report!B95&lt;Report!P95,"1")</f>
        <v>0</v>
      </c>
      <c r="C98" s="154" t="b">
        <f aca="false">IF(Report!M95="Buy",1)</f>
        <v>0</v>
      </c>
      <c r="D98" s="154" t="b">
        <f aca="false">IF(Report!M95="Sell",1)</f>
        <v>0</v>
      </c>
      <c r="E98" s="154" t="b">
        <f aca="false">IF(Report!L95&gt;100,"1")</f>
        <v>0</v>
      </c>
      <c r="F98" s="154" t="b">
        <f aca="false">IF(Report!L95&lt;-100,"1")</f>
        <v>0</v>
      </c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R98" s="151"/>
      <c r="S98" s="151"/>
      <c r="T98" s="151"/>
      <c r="U98" s="151"/>
      <c r="V98" s="151"/>
      <c r="W98" s="151"/>
      <c r="X98" s="151"/>
      <c r="Y98" s="151"/>
      <c r="Z98" s="151"/>
    </row>
    <row r="99" customFormat="false" ht="15" hidden="false" customHeight="true" outlineLevel="0" collapsed="false">
      <c r="A99" s="151" t="str">
        <f aca="false">IF(Report!B96&gt;Report!P96,"1")</f>
        <v>1</v>
      </c>
      <c r="B99" s="155" t="b">
        <f aca="false">IF(Report!B96&lt;Report!P96,"1")</f>
        <v>0</v>
      </c>
      <c r="C99" s="154" t="b">
        <f aca="false">IF(Report!M96="Buy",1)</f>
        <v>0</v>
      </c>
      <c r="D99" s="154" t="b">
        <f aca="false">IF(Report!M96="Sell",1)</f>
        <v>0</v>
      </c>
      <c r="E99" s="154" t="b">
        <f aca="false">IF(Report!L96&gt;100,"1")</f>
        <v>0</v>
      </c>
      <c r="F99" s="154" t="b">
        <f aca="false">IF(Report!L96&lt;-100,"1")</f>
        <v>0</v>
      </c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R99" s="151"/>
      <c r="S99" s="151"/>
      <c r="T99" s="151"/>
      <c r="U99" s="151"/>
      <c r="V99" s="151"/>
      <c r="W99" s="151"/>
      <c r="X99" s="151"/>
      <c r="Y99" s="151"/>
      <c r="Z99" s="151"/>
    </row>
    <row r="100" customFormat="false" ht="15" hidden="false" customHeight="true" outlineLevel="0" collapsed="false">
      <c r="A100" s="154" t="b">
        <f aca="false">IF(Report!B97&gt;Report!P97,"1")</f>
        <v>0</v>
      </c>
      <c r="B100" s="155" t="str">
        <f aca="false">IF(Report!B97&lt;Report!P97,"1")</f>
        <v>1</v>
      </c>
      <c r="C100" s="154" t="b">
        <f aca="false">IF(Report!M97="Buy",1)</f>
        <v>0</v>
      </c>
      <c r="D100" s="154" t="b">
        <f aca="false">IF(Report!M97="Sell",1)</f>
        <v>0</v>
      </c>
      <c r="E100" s="154" t="b">
        <f aca="false">IF(Report!L97&gt;100,"1")</f>
        <v>0</v>
      </c>
      <c r="F100" s="154" t="b">
        <f aca="false">IF(Report!L97&lt;-100,"1")</f>
        <v>0</v>
      </c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  <c r="V100" s="151"/>
      <c r="W100" s="151"/>
      <c r="X100" s="151"/>
      <c r="Y100" s="151"/>
      <c r="Z100" s="151"/>
    </row>
    <row r="101" customFormat="false" ht="15" hidden="false" customHeight="true" outlineLevel="0" collapsed="false">
      <c r="A101" s="151" t="str">
        <f aca="false">IF(Report!B98&gt;Report!P98,"1")</f>
        <v>1</v>
      </c>
      <c r="B101" s="155" t="b">
        <f aca="false">IF(Report!B98&lt;Report!P98,"1")</f>
        <v>0</v>
      </c>
      <c r="C101" s="154" t="b">
        <f aca="false">IF(Report!M98="Buy",1)</f>
        <v>0</v>
      </c>
      <c r="D101" s="154" t="b">
        <f aca="false">IF(Report!M98="Sell",1)</f>
        <v>0</v>
      </c>
      <c r="E101" s="154" t="b">
        <f aca="false">IF(Report!L98&gt;100,"1")</f>
        <v>0</v>
      </c>
      <c r="F101" s="154" t="b">
        <f aca="false">IF(Report!L98&lt;-100,"1")</f>
        <v>0</v>
      </c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</row>
    <row r="102" customFormat="false" ht="15" hidden="false" customHeight="true" outlineLevel="0" collapsed="false">
      <c r="A102" s="151" t="str">
        <f aca="false">IF(Report!B99&gt;Report!P99,"1")</f>
        <v>1</v>
      </c>
      <c r="B102" s="155" t="b">
        <f aca="false">IF(Report!B99&lt;Report!P99,"1")</f>
        <v>0</v>
      </c>
      <c r="C102" s="154" t="b">
        <f aca="false">IF(Report!M99="Buy",1)</f>
        <v>0</v>
      </c>
      <c r="D102" s="154" t="b">
        <f aca="false">IF(Report!M99="Sell",1)</f>
        <v>0</v>
      </c>
      <c r="E102" s="154" t="b">
        <f aca="false">IF(Report!L99&gt;100,"1")</f>
        <v>0</v>
      </c>
      <c r="F102" s="154" t="b">
        <f aca="false">IF(Report!L99&lt;-100,"1")</f>
        <v>0</v>
      </c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51"/>
      <c r="X102" s="151"/>
      <c r="Y102" s="151"/>
      <c r="Z102" s="151"/>
    </row>
    <row r="103" customFormat="false" ht="15" hidden="false" customHeight="true" outlineLevel="0" collapsed="false">
      <c r="A103" s="154" t="str">
        <f aca="false">IF(Report!B100&gt;Report!P100,"1")</f>
        <v>1</v>
      </c>
      <c r="B103" s="155" t="b">
        <f aca="false">IF(Report!B100&lt;Report!P100,"1")</f>
        <v>0</v>
      </c>
      <c r="C103" s="154" t="b">
        <f aca="false">IF(Report!M100="Buy",1)</f>
        <v>0</v>
      </c>
      <c r="D103" s="154" t="b">
        <f aca="false">IF(Report!M100="Sell",1)</f>
        <v>0</v>
      </c>
      <c r="E103" s="154" t="b">
        <f aca="false">IF(Report!L100&gt;100,"1")</f>
        <v>0</v>
      </c>
      <c r="F103" s="154" t="b">
        <f aca="false">IF(Report!L100&lt;-100,"1")</f>
        <v>0</v>
      </c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</row>
    <row r="104" customFormat="false" ht="15" hidden="false" customHeight="true" outlineLevel="0" collapsed="false">
      <c r="A104" s="151" t="str">
        <f aca="false">IF(Report!B101&gt;Report!P101,"1")</f>
        <v>1</v>
      </c>
      <c r="B104" s="155" t="b">
        <f aca="false">IF(Report!B101&lt;Report!P101,"1")</f>
        <v>0</v>
      </c>
      <c r="C104" s="154" t="b">
        <f aca="false">IF(Report!M101="Buy",1)</f>
        <v>0</v>
      </c>
      <c r="D104" s="154" t="b">
        <f aca="false">IF(Report!M101="Sell",1)</f>
        <v>0</v>
      </c>
      <c r="E104" s="154" t="b">
        <f aca="false">IF(Report!L101&gt;100,"1")</f>
        <v>0</v>
      </c>
      <c r="F104" s="154" t="b">
        <f aca="false">IF(Report!L101&lt;-100,"1")</f>
        <v>0</v>
      </c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1"/>
      <c r="S104" s="151"/>
      <c r="T104" s="151"/>
      <c r="U104" s="151"/>
      <c r="V104" s="151"/>
      <c r="W104" s="151"/>
      <c r="X104" s="151"/>
      <c r="Y104" s="151"/>
      <c r="Z104" s="151"/>
    </row>
    <row r="105" customFormat="false" ht="15" hidden="false" customHeight="true" outlineLevel="0" collapsed="false">
      <c r="A105" s="154" t="b">
        <f aca="false">IF(Report!B102&gt;Report!P102,"1")</f>
        <v>0</v>
      </c>
      <c r="B105" s="155" t="str">
        <f aca="false">IF(Report!B102&lt;Report!P102,"1")</f>
        <v>1</v>
      </c>
      <c r="C105" s="154" t="b">
        <f aca="false">IF(Report!M102="Buy",1)</f>
        <v>0</v>
      </c>
      <c r="D105" s="154" t="b">
        <f aca="false">IF(Report!M102="Sell",1)</f>
        <v>0</v>
      </c>
      <c r="E105" s="154" t="b">
        <f aca="false">IF(Report!L102&gt;100,"1")</f>
        <v>0</v>
      </c>
      <c r="F105" s="154" t="b">
        <f aca="false">IF(Report!L102&lt;-100,"1")</f>
        <v>0</v>
      </c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R105" s="151"/>
      <c r="S105" s="151"/>
      <c r="T105" s="151"/>
      <c r="U105" s="151"/>
      <c r="V105" s="151"/>
      <c r="W105" s="151"/>
      <c r="X105" s="151"/>
      <c r="Y105" s="151"/>
      <c r="Z105" s="151"/>
    </row>
    <row r="106" customFormat="false" ht="15" hidden="false" customHeight="true" outlineLevel="0" collapsed="false">
      <c r="A106" s="154" t="str">
        <f aca="false">IF(Report!B103&gt;Report!P103,"1")</f>
        <v>1</v>
      </c>
      <c r="B106" s="155" t="b">
        <f aca="false">IF(Report!B103&lt;Report!P103,"1")</f>
        <v>0</v>
      </c>
      <c r="C106" s="154" t="b">
        <f aca="false">IF(Report!M103="Buy",1)</f>
        <v>0</v>
      </c>
      <c r="D106" s="154" t="b">
        <f aca="false">IF(Report!M103="Sell",1)</f>
        <v>0</v>
      </c>
      <c r="E106" s="154" t="b">
        <f aca="false">IF(Report!L103&gt;100,"1")</f>
        <v>0</v>
      </c>
      <c r="F106" s="154" t="b">
        <f aca="false">IF(Report!L103&lt;-100,"1")</f>
        <v>0</v>
      </c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R106" s="151"/>
      <c r="S106" s="151"/>
      <c r="T106" s="151"/>
      <c r="U106" s="151"/>
      <c r="V106" s="151"/>
      <c r="W106" s="151"/>
      <c r="X106" s="151"/>
      <c r="Y106" s="151"/>
      <c r="Z106" s="151"/>
    </row>
    <row r="107" customFormat="false" ht="15" hidden="false" customHeight="true" outlineLevel="0" collapsed="false">
      <c r="A107" s="154" t="b">
        <f aca="false">IF(Report!B104&gt;Report!P104,"1")</f>
        <v>0</v>
      </c>
      <c r="B107" s="155" t="str">
        <f aca="false">IF(Report!B104&lt;Report!P104,"1")</f>
        <v>1</v>
      </c>
      <c r="C107" s="154" t="b">
        <f aca="false">IF(Report!M104="Buy",1)</f>
        <v>0</v>
      </c>
      <c r="D107" s="154" t="b">
        <f aca="false">IF(Report!M104="Sell",1)</f>
        <v>0</v>
      </c>
      <c r="E107" s="154" t="b">
        <f aca="false">IF(Report!L104&gt;100,"1")</f>
        <v>0</v>
      </c>
      <c r="F107" s="154" t="b">
        <f aca="false">IF(Report!L104&lt;-100,"1")</f>
        <v>0</v>
      </c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R107" s="151"/>
      <c r="S107" s="151"/>
      <c r="T107" s="151"/>
      <c r="U107" s="151"/>
      <c r="V107" s="151"/>
      <c r="W107" s="151"/>
      <c r="X107" s="151"/>
      <c r="Y107" s="151"/>
      <c r="Z107" s="151"/>
    </row>
    <row r="108" customFormat="false" ht="15" hidden="false" customHeight="true" outlineLevel="0" collapsed="false">
      <c r="A108" s="154" t="b">
        <f aca="false">IF(Report!B105&gt;Report!P105,"1")</f>
        <v>0</v>
      </c>
      <c r="B108" s="156" t="str">
        <f aca="false">IF(Report!B105&lt;Report!P105,"1")</f>
        <v>1</v>
      </c>
      <c r="C108" s="154" t="b">
        <f aca="false">IF(Report!M105="Buy",1)</f>
        <v>0</v>
      </c>
      <c r="D108" s="154" t="b">
        <f aca="false">IF(Report!M105="Sell",1)</f>
        <v>0</v>
      </c>
      <c r="E108" s="154" t="b">
        <f aca="false">IF(Report!L105&gt;100,"1")</f>
        <v>0</v>
      </c>
      <c r="F108" s="154" t="b">
        <f aca="false">IF(Report!L105&lt;-100,"1")</f>
        <v>0</v>
      </c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1"/>
      <c r="V108" s="151"/>
      <c r="W108" s="151"/>
      <c r="X108" s="151"/>
      <c r="Y108" s="151"/>
      <c r="Z108" s="151"/>
    </row>
    <row r="109" customFormat="false" ht="15" hidden="false" customHeight="true" outlineLevel="0" collapsed="false">
      <c r="A109" s="154" t="str">
        <f aca="false">IF(Report!B106&gt;Report!P106,"1")</f>
        <v>1</v>
      </c>
      <c r="B109" s="155" t="b">
        <f aca="false">IF(Report!B106&lt;Report!P106,"1")</f>
        <v>0</v>
      </c>
      <c r="C109" s="154" t="b">
        <f aca="false">IF(Report!M106="Buy",1)</f>
        <v>0</v>
      </c>
      <c r="D109" s="154" t="b">
        <f aca="false">IF(Report!M106="Sell",1)</f>
        <v>0</v>
      </c>
      <c r="E109" s="154" t="b">
        <f aca="false">IF(Report!L106&gt;100,"1")</f>
        <v>0</v>
      </c>
      <c r="F109" s="154" t="b">
        <f aca="false">IF(Report!L106&lt;-100,"1")</f>
        <v>0</v>
      </c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R109" s="151"/>
      <c r="S109" s="151"/>
      <c r="T109" s="151"/>
      <c r="U109" s="151"/>
      <c r="V109" s="151"/>
      <c r="W109" s="151"/>
      <c r="X109" s="151"/>
      <c r="Y109" s="151"/>
      <c r="Z109" s="151"/>
    </row>
    <row r="110" customFormat="false" ht="15" hidden="false" customHeight="true" outlineLevel="0" collapsed="false">
      <c r="A110" s="151" t="str">
        <f aca="false">IF(Report!B107&gt;Report!P107,"1")</f>
        <v>1</v>
      </c>
      <c r="B110" s="155" t="b">
        <f aca="false">IF(Report!B107&lt;Report!P107,"1")</f>
        <v>0</v>
      </c>
      <c r="C110" s="154" t="b">
        <f aca="false">IF(Report!M107="Buy",1)</f>
        <v>0</v>
      </c>
      <c r="D110" s="154" t="b">
        <f aca="false">IF(Report!M107="Sell",1)</f>
        <v>0</v>
      </c>
      <c r="E110" s="154" t="b">
        <f aca="false">IF(Report!L107&gt;100,"1")</f>
        <v>0</v>
      </c>
      <c r="F110" s="154" t="b">
        <f aca="false">IF(Report!L107&lt;-100,"1")</f>
        <v>0</v>
      </c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R110" s="151"/>
      <c r="S110" s="151"/>
      <c r="T110" s="151"/>
      <c r="U110" s="151"/>
      <c r="V110" s="151"/>
      <c r="W110" s="151"/>
      <c r="X110" s="151"/>
      <c r="Y110" s="151"/>
      <c r="Z110" s="151"/>
    </row>
    <row r="111" customFormat="false" ht="15" hidden="false" customHeight="true" outlineLevel="0" collapsed="false">
      <c r="A111" s="154" t="b">
        <f aca="false">IF(Report!B108&gt;Report!P108,"1")</f>
        <v>0</v>
      </c>
      <c r="B111" s="155" t="str">
        <f aca="false">IF(Report!B108&lt;Report!P108,"1")</f>
        <v>1</v>
      </c>
      <c r="C111" s="154" t="b">
        <f aca="false">IF(Report!M108="Buy",1)</f>
        <v>0</v>
      </c>
      <c r="D111" s="154" t="b">
        <f aca="false">IF(Report!M108="Sell",1)</f>
        <v>0</v>
      </c>
      <c r="E111" s="154" t="b">
        <f aca="false">IF(Report!L108&gt;100,"1")</f>
        <v>0</v>
      </c>
      <c r="F111" s="154" t="b">
        <f aca="false">IF(Report!L108&lt;-100,"1")</f>
        <v>0</v>
      </c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R111" s="151"/>
      <c r="S111" s="151"/>
      <c r="T111" s="151"/>
      <c r="U111" s="151"/>
      <c r="V111" s="151"/>
      <c r="W111" s="151"/>
      <c r="X111" s="151"/>
      <c r="Y111" s="151"/>
      <c r="Z111" s="151"/>
    </row>
    <row r="112" customFormat="false" ht="15" hidden="false" customHeight="true" outlineLevel="0" collapsed="false">
      <c r="A112" s="154" t="b">
        <f aca="false">IF(Report!B109&gt;Report!P109,"1")</f>
        <v>0</v>
      </c>
      <c r="B112" s="155" t="str">
        <f aca="false">IF(Report!B109&lt;Report!P109,"1")</f>
        <v>1</v>
      </c>
      <c r="C112" s="154" t="b">
        <f aca="false">IF(Report!M109="Buy",1)</f>
        <v>0</v>
      </c>
      <c r="D112" s="154" t="b">
        <f aca="false">IF(Report!M109="Sell",1)</f>
        <v>0</v>
      </c>
      <c r="E112" s="154" t="b">
        <f aca="false">IF(Report!L109&gt;100,"1")</f>
        <v>0</v>
      </c>
      <c r="F112" s="154" t="b">
        <f aca="false">IF(Report!L109&lt;-100,"1")</f>
        <v>0</v>
      </c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</row>
    <row r="113" customFormat="false" ht="15" hidden="false" customHeight="true" outlineLevel="0" collapsed="false">
      <c r="A113" s="154" t="str">
        <f aca="false">IF(Report!B110&gt;Report!P110,"1")</f>
        <v>1</v>
      </c>
      <c r="B113" s="155" t="b">
        <f aca="false">IF(Report!B110&lt;Report!P110,"1")</f>
        <v>0</v>
      </c>
      <c r="C113" s="154" t="b">
        <f aca="false">IF(Report!M110="Buy",1)</f>
        <v>0</v>
      </c>
      <c r="D113" s="154" t="b">
        <f aca="false">IF(Report!M110="Sell",1)</f>
        <v>0</v>
      </c>
      <c r="E113" s="154" t="b">
        <f aca="false">IF(Report!L110&gt;100,"1")</f>
        <v>0</v>
      </c>
      <c r="F113" s="154" t="b">
        <f aca="false">IF(Report!L110&lt;-100,"1")</f>
        <v>0</v>
      </c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R113" s="151"/>
      <c r="S113" s="151"/>
      <c r="T113" s="151"/>
      <c r="U113" s="151"/>
      <c r="V113" s="151"/>
      <c r="W113" s="151"/>
      <c r="X113" s="151"/>
      <c r="Y113" s="151"/>
      <c r="Z113" s="151"/>
    </row>
    <row r="114" customFormat="false" ht="15" hidden="false" customHeight="true" outlineLevel="0" collapsed="false">
      <c r="A114" s="151" t="str">
        <f aca="false">IF(Report!B111&gt;Report!P111,"1")</f>
        <v>1</v>
      </c>
      <c r="B114" s="155" t="b">
        <f aca="false">IF(Report!B111&lt;Report!P111,"1")</f>
        <v>0</v>
      </c>
      <c r="C114" s="154" t="b">
        <f aca="false">IF(Report!M111="Buy",1)</f>
        <v>0</v>
      </c>
      <c r="D114" s="154" t="b">
        <f aca="false">IF(Report!M111="Sell",1)</f>
        <v>0</v>
      </c>
      <c r="E114" s="154" t="b">
        <f aca="false">IF(Report!L111&gt;100,"1")</f>
        <v>0</v>
      </c>
      <c r="F114" s="154" t="b">
        <f aca="false">IF(Report!L111&lt;-100,"1")</f>
        <v>0</v>
      </c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</row>
    <row r="115" customFormat="false" ht="15" hidden="false" customHeight="true" outlineLevel="0" collapsed="false">
      <c r="A115" s="151" t="str">
        <f aca="false">IF(Report!B112&gt;Report!P112,"1")</f>
        <v>1</v>
      </c>
      <c r="B115" s="155" t="b">
        <f aca="false">IF(Report!B112&lt;Report!P112,"1")</f>
        <v>0</v>
      </c>
      <c r="C115" s="154" t="b">
        <f aca="false">IF(Report!M112="Buy",1)</f>
        <v>0</v>
      </c>
      <c r="D115" s="154" t="b">
        <f aca="false">IF(Report!M112="Sell",1)</f>
        <v>0</v>
      </c>
      <c r="E115" s="154" t="b">
        <f aca="false">IF(Report!L112&gt;100,"1")</f>
        <v>0</v>
      </c>
      <c r="F115" s="154" t="b">
        <f aca="false">IF(Report!L112&lt;-100,"1")</f>
        <v>0</v>
      </c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</row>
    <row r="116" customFormat="false" ht="15" hidden="false" customHeight="true" outlineLevel="0" collapsed="false">
      <c r="A116" s="154" t="str">
        <f aca="false">IF(Report!B113&gt;Report!P113,"1")</f>
        <v>1</v>
      </c>
      <c r="B116" s="155" t="b">
        <f aca="false">IF(Report!B113&lt;Report!P113,"1")</f>
        <v>0</v>
      </c>
      <c r="C116" s="154" t="b">
        <f aca="false">IF(Report!M113="Buy",1)</f>
        <v>0</v>
      </c>
      <c r="D116" s="154" t="b">
        <f aca="false">IF(Report!M113="Sell",1)</f>
        <v>0</v>
      </c>
      <c r="E116" s="154" t="b">
        <f aca="false">IF(Report!L113&gt;100,"1")</f>
        <v>0</v>
      </c>
      <c r="F116" s="154" t="b">
        <f aca="false">IF(Report!L113&lt;-100,"1")</f>
        <v>0</v>
      </c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</row>
    <row r="117" customFormat="false" ht="15" hidden="false" customHeight="true" outlineLevel="0" collapsed="false">
      <c r="A117" s="154" t="str">
        <f aca="false">IF(Report!B114&gt;Report!P114,"1")</f>
        <v>1</v>
      </c>
      <c r="B117" s="155" t="b">
        <f aca="false">IF(Report!B114&lt;Report!P114,"1")</f>
        <v>0</v>
      </c>
      <c r="C117" s="154" t="b">
        <f aca="false">IF(Report!M114="Buy",1)</f>
        <v>0</v>
      </c>
      <c r="D117" s="154" t="b">
        <f aca="false">IF(Report!M114="Sell",1)</f>
        <v>0</v>
      </c>
      <c r="E117" s="154" t="b">
        <f aca="false">IF(Report!L114&gt;100,"1")</f>
        <v>0</v>
      </c>
      <c r="F117" s="154" t="b">
        <f aca="false">IF(Report!L114&lt;-100,"1")</f>
        <v>0</v>
      </c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</row>
    <row r="118" customFormat="false" ht="15" hidden="false" customHeight="true" outlineLevel="0" collapsed="false">
      <c r="A118" s="151" t="str">
        <f aca="false">IF(Report!B115&gt;Report!P115,"1")</f>
        <v>1</v>
      </c>
      <c r="B118" s="155" t="b">
        <f aca="false">IF(Report!B115&lt;Report!P115,"1")</f>
        <v>0</v>
      </c>
      <c r="C118" s="154" t="b">
        <f aca="false">IF(Report!M115="Buy",1)</f>
        <v>0</v>
      </c>
      <c r="D118" s="154" t="b">
        <f aca="false">IF(Report!M115="Sell",1)</f>
        <v>0</v>
      </c>
      <c r="E118" s="154" t="b">
        <f aca="false">IF(Report!L115&gt;100,"1")</f>
        <v>0</v>
      </c>
      <c r="F118" s="154" t="b">
        <f aca="false">IF(Report!L115&lt;-100,"1")</f>
        <v>0</v>
      </c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</row>
    <row r="119" customFormat="false" ht="15" hidden="false" customHeight="true" outlineLevel="0" collapsed="false">
      <c r="A119" s="151" t="str">
        <f aca="false">IF(Report!B116&gt;Report!P116,"1")</f>
        <v>1</v>
      </c>
      <c r="B119" s="155" t="b">
        <f aca="false">IF(Report!B116&lt;Report!P116,"1")</f>
        <v>0</v>
      </c>
      <c r="C119" s="154" t="b">
        <f aca="false">IF(Report!M116="Buy",1)</f>
        <v>0</v>
      </c>
      <c r="D119" s="154" t="b">
        <f aca="false">IF(Report!M116="Sell",1)</f>
        <v>0</v>
      </c>
      <c r="E119" s="154" t="b">
        <f aca="false">IF(Report!L116&gt;100,"1")</f>
        <v>0</v>
      </c>
      <c r="F119" s="154" t="b">
        <f aca="false">IF(Report!L116&lt;-100,"1")</f>
        <v>0</v>
      </c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</row>
    <row r="120" customFormat="false" ht="15" hidden="false" customHeight="true" outlineLevel="0" collapsed="false">
      <c r="A120" s="154" t="str">
        <f aca="false">IF(Report!B117&gt;Report!P117,"1")</f>
        <v>1</v>
      </c>
      <c r="B120" s="155" t="b">
        <f aca="false">IF(Report!B117&lt;Report!P117,"1")</f>
        <v>0</v>
      </c>
      <c r="C120" s="154" t="b">
        <f aca="false">IF(Report!M117="Buy",1)</f>
        <v>0</v>
      </c>
      <c r="D120" s="154" t="b">
        <f aca="false">IF(Report!M117="Sell",1)</f>
        <v>0</v>
      </c>
      <c r="E120" s="154" t="b">
        <f aca="false">IF(Report!L117&gt;100,"1")</f>
        <v>0</v>
      </c>
      <c r="F120" s="154" t="b">
        <f aca="false">IF(Report!L117&lt;-100,"1")</f>
        <v>0</v>
      </c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</row>
    <row r="121" customFormat="false" ht="15" hidden="false" customHeight="true" outlineLevel="0" collapsed="false">
      <c r="A121" s="154" t="b">
        <f aca="false">IF(Report!B118&gt;Report!P118,"1")</f>
        <v>0</v>
      </c>
      <c r="B121" s="156" t="str">
        <f aca="false">IF(Report!B118&lt;Report!P118,"1")</f>
        <v>1</v>
      </c>
      <c r="C121" s="154" t="b">
        <f aca="false">IF(Report!M118="Buy",1)</f>
        <v>0</v>
      </c>
      <c r="D121" s="154" t="b">
        <f aca="false">IF(Report!M118="Sell",1)</f>
        <v>0</v>
      </c>
      <c r="E121" s="154" t="b">
        <f aca="false">IF(Report!L118&gt;100,"1")</f>
        <v>0</v>
      </c>
      <c r="F121" s="154" t="b">
        <f aca="false">IF(Report!L118&lt;-100,"1")</f>
        <v>0</v>
      </c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</row>
    <row r="122" customFormat="false" ht="15" hidden="false" customHeight="true" outlineLevel="0" collapsed="false">
      <c r="A122" s="154" t="b">
        <f aca="false">IF(Report!B119&gt;Report!P119,"1")</f>
        <v>0</v>
      </c>
      <c r="B122" s="156" t="str">
        <f aca="false">IF(Report!B119&lt;Report!P119,"1")</f>
        <v>1</v>
      </c>
      <c r="C122" s="154" t="b">
        <f aca="false">IF(Report!M119="Buy",1)</f>
        <v>0</v>
      </c>
      <c r="D122" s="154" t="b">
        <f aca="false">IF(Report!M119="Sell",1)</f>
        <v>0</v>
      </c>
      <c r="E122" s="154" t="b">
        <f aca="false">IF(Report!L119&gt;100,"1")</f>
        <v>0</v>
      </c>
      <c r="F122" s="154" t="b">
        <f aca="false">IF(Report!L119&lt;-100,"1")</f>
        <v>0</v>
      </c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</row>
    <row r="123" customFormat="false" ht="15" hidden="false" customHeight="true" outlineLevel="0" collapsed="false">
      <c r="A123" s="154" t="b">
        <f aca="false">IF(Report!B120&gt;Report!P120,"1")</f>
        <v>0</v>
      </c>
      <c r="B123" s="156" t="str">
        <f aca="false">IF(Report!B120&lt;Report!P120,"1")</f>
        <v>1</v>
      </c>
      <c r="C123" s="154" t="b">
        <f aca="false">IF(Report!M120="Buy",1)</f>
        <v>0</v>
      </c>
      <c r="D123" s="154" t="b">
        <f aca="false">IF(Report!M120="Sell",1)</f>
        <v>0</v>
      </c>
      <c r="E123" s="154" t="b">
        <f aca="false">IF(Report!L120&gt;100,"1")</f>
        <v>0</v>
      </c>
      <c r="F123" s="154" t="b">
        <f aca="false">IF(Report!L120&lt;-100,"1")</f>
        <v>0</v>
      </c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</row>
    <row r="124" customFormat="false" ht="15" hidden="false" customHeight="true" outlineLevel="0" collapsed="false">
      <c r="A124" s="154" t="str">
        <f aca="false">IF(Report!B121&gt;Report!P121,"1")</f>
        <v>1</v>
      </c>
      <c r="B124" s="155" t="b">
        <f aca="false">IF(Report!B121&lt;Report!P121,"1")</f>
        <v>0</v>
      </c>
      <c r="C124" s="154" t="b">
        <f aca="false">IF(Report!M121="Buy",1)</f>
        <v>0</v>
      </c>
      <c r="D124" s="154" t="b">
        <f aca="false">IF(Report!M121="Sell",1)</f>
        <v>0</v>
      </c>
      <c r="E124" s="154" t="b">
        <f aca="false">IF(Report!L121&gt;100,"1")</f>
        <v>0</v>
      </c>
      <c r="F124" s="154" t="b">
        <f aca="false">IF(Report!L121&lt;-100,"1")</f>
        <v>0</v>
      </c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</row>
    <row r="125" customFormat="false" ht="15" hidden="false" customHeight="true" outlineLevel="0" collapsed="false">
      <c r="A125" s="154" t="b">
        <f aca="false">IF(Report!B122&gt;Report!P122,"1")</f>
        <v>0</v>
      </c>
      <c r="B125" s="156" t="str">
        <f aca="false">IF(Report!B122&lt;Report!P122,"1")</f>
        <v>1</v>
      </c>
      <c r="C125" s="154" t="b">
        <f aca="false">IF(Report!M122="Buy",1)</f>
        <v>0</v>
      </c>
      <c r="D125" s="154" t="b">
        <f aca="false">IF(Report!M122="Sell",1)</f>
        <v>0</v>
      </c>
      <c r="E125" s="154" t="b">
        <f aca="false">IF(Report!L122&gt;100,"1")</f>
        <v>0</v>
      </c>
      <c r="F125" s="154" t="b">
        <f aca="false">IF(Report!L122&lt;-100,"1")</f>
        <v>0</v>
      </c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</row>
    <row r="126" customFormat="false" ht="15" hidden="false" customHeight="true" outlineLevel="0" collapsed="false">
      <c r="A126" s="154" t="str">
        <f aca="false">IF(Report!B123&gt;Report!P123,"1")</f>
        <v>1</v>
      </c>
      <c r="B126" s="155" t="b">
        <f aca="false">IF(Report!B123&lt;Report!P123,"1")</f>
        <v>0</v>
      </c>
      <c r="C126" s="154" t="b">
        <f aca="false">IF(Report!M123="Buy",1)</f>
        <v>0</v>
      </c>
      <c r="D126" s="154" t="b">
        <f aca="false">IF(Report!M123="Sell",1)</f>
        <v>0</v>
      </c>
      <c r="E126" s="154" t="b">
        <f aca="false">IF(Report!L123&gt;100,"1")</f>
        <v>0</v>
      </c>
      <c r="F126" s="154" t="b">
        <f aca="false">IF(Report!L123&lt;-100,"1")</f>
        <v>0</v>
      </c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</row>
    <row r="127" customFormat="false" ht="15" hidden="false" customHeight="true" outlineLevel="0" collapsed="false">
      <c r="A127" s="151" t="str">
        <f aca="false">IF(Report!B124&gt;Report!P124,"1")</f>
        <v>1</v>
      </c>
      <c r="B127" s="155" t="b">
        <f aca="false">IF(Report!B124&lt;Report!P124,"1")</f>
        <v>0</v>
      </c>
      <c r="C127" s="154" t="n">
        <f aca="false">IF(Report!M124="Buy",1)</f>
        <v>1</v>
      </c>
      <c r="D127" s="154" t="b">
        <f aca="false">IF(Report!M124="Sell",1)</f>
        <v>0</v>
      </c>
      <c r="E127" s="154" t="b">
        <f aca="false">IF(Report!L124&gt;100,"1")</f>
        <v>0</v>
      </c>
      <c r="F127" s="154" t="b">
        <f aca="false">IF(Report!L124&lt;-100,"1")</f>
        <v>0</v>
      </c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</row>
    <row r="128" customFormat="false" ht="15" hidden="false" customHeight="true" outlineLevel="0" collapsed="false">
      <c r="A128" s="151" t="str">
        <f aca="false">IF(Report!B125&gt;Report!P125,"1")</f>
        <v>1</v>
      </c>
      <c r="B128" s="155" t="b">
        <f aca="false">IF(Report!B125&lt;Report!P125,"1")</f>
        <v>0</v>
      </c>
      <c r="C128" s="154" t="b">
        <f aca="false">IF(Report!M125="Buy",1)</f>
        <v>0</v>
      </c>
      <c r="D128" s="154" t="b">
        <f aca="false">IF(Report!M125="Sell",1)</f>
        <v>0</v>
      </c>
      <c r="E128" s="154" t="b">
        <f aca="false">IF(Report!L125&gt;100,"1")</f>
        <v>0</v>
      </c>
      <c r="F128" s="154" t="b">
        <f aca="false">IF(Report!L125&lt;-100,"1")</f>
        <v>0</v>
      </c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</row>
    <row r="129" customFormat="false" ht="15" hidden="false" customHeight="true" outlineLevel="0" collapsed="false">
      <c r="A129" s="154" t="b">
        <f aca="false">IF(Report!B126&gt;Report!P126,"1")</f>
        <v>0</v>
      </c>
      <c r="B129" s="156" t="str">
        <f aca="false">IF(Report!B126&lt;Report!P126,"1")</f>
        <v>1</v>
      </c>
      <c r="C129" s="154" t="b">
        <f aca="false">IF(Report!M126="Buy",1)</f>
        <v>0</v>
      </c>
      <c r="D129" s="154" t="b">
        <f aca="false">IF(Report!M126="Sell",1)</f>
        <v>0</v>
      </c>
      <c r="E129" s="154" t="b">
        <f aca="false">IF(Report!L126&gt;100,"1")</f>
        <v>0</v>
      </c>
      <c r="F129" s="154" t="b">
        <f aca="false">IF(Report!L126&lt;-100,"1")</f>
        <v>0</v>
      </c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</row>
    <row r="130" customFormat="false" ht="15" hidden="false" customHeight="true" outlineLevel="0" collapsed="false">
      <c r="A130" s="154" t="str">
        <f aca="false">IF(Report!B127&gt;Report!P127,"1")</f>
        <v>1</v>
      </c>
      <c r="B130" s="155" t="b">
        <f aca="false">IF(Report!B127&lt;Report!P127,"1")</f>
        <v>0</v>
      </c>
      <c r="C130" s="154" t="b">
        <f aca="false">IF(Report!M127="Buy",1)</f>
        <v>0</v>
      </c>
      <c r="D130" s="154" t="b">
        <f aca="false">IF(Report!M127="Sell",1)</f>
        <v>0</v>
      </c>
      <c r="E130" s="154" t="b">
        <f aca="false">IF(Report!L127&gt;100,"1")</f>
        <v>0</v>
      </c>
      <c r="F130" s="154" t="b">
        <f aca="false">IF(Report!L127&lt;-100,"1")</f>
        <v>0</v>
      </c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</row>
    <row r="131" customFormat="false" ht="15" hidden="false" customHeight="true" outlineLevel="0" collapsed="false">
      <c r="A131" s="154" t="b">
        <f aca="false">IF(Report!B128&gt;Report!P128,"1")</f>
        <v>0</v>
      </c>
      <c r="B131" s="156" t="str">
        <f aca="false">IF(Report!B128&lt;Report!P128,"1")</f>
        <v>1</v>
      </c>
      <c r="C131" s="154" t="b">
        <f aca="false">IF(Report!M128="Buy",1)</f>
        <v>0</v>
      </c>
      <c r="D131" s="154" t="b">
        <f aca="false">IF(Report!M128="Sell",1)</f>
        <v>0</v>
      </c>
      <c r="E131" s="154" t="b">
        <f aca="false">IF(Report!L128&gt;100,"1")</f>
        <v>0</v>
      </c>
      <c r="F131" s="154" t="b">
        <f aca="false">IF(Report!L128&lt;-100,"1")</f>
        <v>0</v>
      </c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</row>
    <row r="132" customFormat="false" ht="15" hidden="false" customHeight="true" outlineLevel="0" collapsed="false">
      <c r="A132" s="154" t="b">
        <f aca="false">IF(Report!B129&gt;Report!P129,"1")</f>
        <v>0</v>
      </c>
      <c r="B132" s="155" t="b">
        <f aca="false">IF(Report!B129&lt;Report!P129,"1")</f>
        <v>0</v>
      </c>
      <c r="C132" s="154" t="b">
        <f aca="false">IF(Report!M129="Buy",1)</f>
        <v>0</v>
      </c>
      <c r="D132" s="154" t="b">
        <f aca="false">IF(Report!M129="Sell",1)</f>
        <v>0</v>
      </c>
      <c r="E132" s="154" t="b">
        <f aca="false">IF(Report!L129&gt;100,"1")</f>
        <v>0</v>
      </c>
      <c r="F132" s="154" t="b">
        <f aca="false">IF(Report!L129&lt;-100,"1")</f>
        <v>0</v>
      </c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</row>
    <row r="133" customFormat="false" ht="15" hidden="false" customHeight="true" outlineLevel="0" collapsed="false">
      <c r="A133" s="154" t="b">
        <f aca="false">IF(Report!B130&gt;Report!P130,"1")</f>
        <v>0</v>
      </c>
      <c r="B133" s="155" t="b">
        <f aca="false">IF(Report!B130&lt;Report!P130,"1")</f>
        <v>0</v>
      </c>
      <c r="C133" s="154" t="b">
        <f aca="false">IF(Report!M130="Buy",1)</f>
        <v>0</v>
      </c>
      <c r="D133" s="154" t="b">
        <f aca="false">IF(Report!M130="Sell",1)</f>
        <v>0</v>
      </c>
      <c r="E133" s="154" t="b">
        <f aca="false">IF(Report!L130&gt;100,"1")</f>
        <v>0</v>
      </c>
      <c r="F133" s="154" t="b">
        <f aca="false">IF(Report!L130&lt;-100,"1")</f>
        <v>0</v>
      </c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</row>
    <row r="134" customFormat="false" ht="15" hidden="false" customHeight="true" outlineLevel="0" collapsed="false">
      <c r="A134" s="154" t="b">
        <f aca="false">IF(Report!B131&gt;Report!P131,"1")</f>
        <v>0</v>
      </c>
      <c r="B134" s="155" t="b">
        <f aca="false">IF(Report!B131&lt;Report!P131,"1")</f>
        <v>0</v>
      </c>
      <c r="C134" s="154" t="b">
        <f aca="false">IF(Report!M131="Buy",1)</f>
        <v>0</v>
      </c>
      <c r="D134" s="154" t="b">
        <f aca="false">IF(Report!M131="Sell",1)</f>
        <v>0</v>
      </c>
      <c r="E134" s="154" t="b">
        <f aca="false">IF(Report!L131&gt;100,"1")</f>
        <v>0</v>
      </c>
      <c r="F134" s="154" t="b">
        <f aca="false">IF(Report!L131&lt;-100,"1")</f>
        <v>0</v>
      </c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</row>
    <row r="135" customFormat="false" ht="15" hidden="false" customHeight="true" outlineLevel="0" collapsed="false">
      <c r="A135" s="154" t="b">
        <f aca="false">IF(Report!B132&gt;Report!P132,"1")</f>
        <v>0</v>
      </c>
      <c r="B135" s="155" t="b">
        <f aca="false">IF(Report!B132&lt;Report!P132,"1")</f>
        <v>0</v>
      </c>
      <c r="C135" s="154" t="b">
        <f aca="false">IF(Report!M132="Buy",1)</f>
        <v>0</v>
      </c>
      <c r="D135" s="154" t="b">
        <f aca="false">IF(Report!M132="Sell",1)</f>
        <v>0</v>
      </c>
      <c r="E135" s="154" t="b">
        <f aca="false">IF(Report!L132&gt;100,"1")</f>
        <v>0</v>
      </c>
      <c r="F135" s="154" t="b">
        <f aca="false">IF(Report!L132&lt;-100,"1")</f>
        <v>0</v>
      </c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</row>
    <row r="136" customFormat="false" ht="15" hidden="false" customHeight="true" outlineLevel="0" collapsed="false">
      <c r="A136" s="154" t="b">
        <f aca="false">IF(Report!B133&gt;Report!P133,"1")</f>
        <v>0</v>
      </c>
      <c r="B136" s="155" t="str">
        <f aca="false">IF(Report!B133&lt;Report!P133,"1")</f>
        <v>1</v>
      </c>
      <c r="C136" s="154" t="b">
        <f aca="false">IF(Report!M133="Buy",1)</f>
        <v>0</v>
      </c>
      <c r="D136" s="154" t="b">
        <f aca="false">IF(Report!M133="Sell",1)</f>
        <v>0</v>
      </c>
      <c r="E136" s="154" t="b">
        <f aca="false">IF(Report!L133&gt;100,"1")</f>
        <v>0</v>
      </c>
      <c r="F136" s="154" t="b">
        <f aca="false">IF(Report!L133&lt;-100,"1")</f>
        <v>0</v>
      </c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  <c r="W136" s="151"/>
      <c r="X136" s="151"/>
      <c r="Y136" s="151"/>
      <c r="Z136" s="151"/>
    </row>
    <row r="137" customFormat="false" ht="15" hidden="false" customHeight="true" outlineLevel="0" collapsed="false">
      <c r="A137" s="154" t="b">
        <f aca="false">IF(Report!B134&gt;Report!P134,"1")</f>
        <v>0</v>
      </c>
      <c r="B137" s="155" t="str">
        <f aca="false">IF(Report!B134&lt;Report!P134,"1")</f>
        <v>1</v>
      </c>
      <c r="C137" s="154" t="b">
        <f aca="false">IF(Report!M134="Buy",1)</f>
        <v>0</v>
      </c>
      <c r="D137" s="154" t="b">
        <f aca="false">IF(Report!M134="Sell",1)</f>
        <v>0</v>
      </c>
      <c r="E137" s="154" t="b">
        <f aca="false">IF(Report!L134&gt;100,"1")</f>
        <v>0</v>
      </c>
      <c r="F137" s="154" t="b">
        <f aca="false">IF(Report!L134&lt;-100,"1")</f>
        <v>0</v>
      </c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  <c r="V137" s="151"/>
      <c r="W137" s="151"/>
      <c r="X137" s="151"/>
      <c r="Y137" s="151"/>
      <c r="Z137" s="151"/>
    </row>
    <row r="138" customFormat="false" ht="15" hidden="false" customHeight="true" outlineLevel="0" collapsed="false">
      <c r="A138" s="151" t="str">
        <f aca="false">IF(Report!B135&gt;Report!P135,"1")</f>
        <v>1</v>
      </c>
      <c r="B138" s="155" t="b">
        <f aca="false">IF(Report!B135&lt;Report!P135,"1")</f>
        <v>0</v>
      </c>
      <c r="C138" s="154" t="b">
        <f aca="false">IF(Report!M135="Buy",1)</f>
        <v>0</v>
      </c>
      <c r="D138" s="154" t="b">
        <f aca="false">IF(Report!M135="Sell",1)</f>
        <v>0</v>
      </c>
      <c r="E138" s="154" t="b">
        <f aca="false">IF(Report!L135&gt;100,"1")</f>
        <v>0</v>
      </c>
      <c r="F138" s="154" t="b">
        <f aca="false">IF(Report!L135&lt;-100,"1")</f>
        <v>0</v>
      </c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  <c r="V138" s="151"/>
      <c r="W138" s="151"/>
      <c r="X138" s="151"/>
      <c r="Y138" s="151"/>
      <c r="Z138" s="151"/>
    </row>
    <row r="139" customFormat="false" ht="15" hidden="false" customHeight="true" outlineLevel="0" collapsed="false">
      <c r="A139" s="151" t="str">
        <f aca="false">IF(Report!B136&gt;Report!P136,"1")</f>
        <v>1</v>
      </c>
      <c r="B139" s="155" t="b">
        <f aca="false">IF(Report!B136&lt;Report!P136,"1")</f>
        <v>0</v>
      </c>
      <c r="C139" s="154" t="b">
        <f aca="false">IF(Report!M136="Buy",1)</f>
        <v>0</v>
      </c>
      <c r="D139" s="154" t="b">
        <f aca="false">IF(Report!M136="Sell",1)</f>
        <v>0</v>
      </c>
      <c r="E139" s="154" t="b">
        <f aca="false">IF(Report!L136&gt;100,"1")</f>
        <v>0</v>
      </c>
      <c r="F139" s="154" t="b">
        <f aca="false">IF(Report!L136&lt;-100,"1")</f>
        <v>0</v>
      </c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</row>
    <row r="140" customFormat="false" ht="15" hidden="false" customHeight="true" outlineLevel="0" collapsed="false">
      <c r="A140" s="151" t="str">
        <f aca="false">IF(Report!B137&gt;Report!P137,"1")</f>
        <v>1</v>
      </c>
      <c r="B140" s="155" t="b">
        <f aca="false">IF(Report!B137&lt;Report!P137,"1")</f>
        <v>0</v>
      </c>
      <c r="C140" s="154" t="b">
        <f aca="false">IF(Report!M137="Buy",1)</f>
        <v>0</v>
      </c>
      <c r="D140" s="154" t="b">
        <f aca="false">IF(Report!M137="Sell",1)</f>
        <v>0</v>
      </c>
      <c r="E140" s="154" t="b">
        <f aca="false">IF(Report!L137&gt;100,"1")</f>
        <v>0</v>
      </c>
      <c r="F140" s="154" t="b">
        <f aca="false">IF(Report!L137&lt;-100,"1")</f>
        <v>0</v>
      </c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</row>
    <row r="141" customFormat="false" ht="15" hidden="false" customHeight="true" outlineLevel="0" collapsed="false">
      <c r="A141" s="154" t="b">
        <f aca="false">IF(Report!B138&gt;Report!P138,"1")</f>
        <v>0</v>
      </c>
      <c r="B141" s="155" t="str">
        <f aca="false">IF(Report!B138&lt;Report!P138,"1")</f>
        <v>1</v>
      </c>
      <c r="C141" s="154" t="b">
        <f aca="false">IF(Report!M138="Buy",1)</f>
        <v>0</v>
      </c>
      <c r="D141" s="154" t="b">
        <f aca="false">IF(Report!M138="Sell",1)</f>
        <v>0</v>
      </c>
      <c r="E141" s="154" t="b">
        <f aca="false">IF(Report!L138&gt;100,"1")</f>
        <v>0</v>
      </c>
      <c r="F141" s="154" t="b">
        <f aca="false">IF(Report!L138&lt;-100,"1")</f>
        <v>0</v>
      </c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</row>
    <row r="142" customFormat="false" ht="15" hidden="false" customHeight="true" outlineLevel="0" collapsed="false">
      <c r="A142" s="154" t="b">
        <f aca="false">IF(Report!B139&gt;Report!P139,"1")</f>
        <v>0</v>
      </c>
      <c r="B142" s="156" t="str">
        <f aca="false">IF(Report!B139&lt;Report!P139,"1")</f>
        <v>1</v>
      </c>
      <c r="C142" s="154" t="b">
        <f aca="false">IF(Report!M139="Buy",1)</f>
        <v>0</v>
      </c>
      <c r="D142" s="154" t="b">
        <f aca="false">IF(Report!M139="Sell",1)</f>
        <v>0</v>
      </c>
      <c r="E142" s="154" t="b">
        <f aca="false">IF(Report!L139&gt;100,"1")</f>
        <v>0</v>
      </c>
      <c r="F142" s="154" t="b">
        <f aca="false">IF(Report!L139&lt;-100,"1")</f>
        <v>0</v>
      </c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</row>
    <row r="143" customFormat="false" ht="15" hidden="false" customHeight="true" outlineLevel="0" collapsed="false">
      <c r="A143" s="154" t="b">
        <f aca="false">IF(Report!B140&gt;Report!P140,"1")</f>
        <v>0</v>
      </c>
      <c r="B143" s="156" t="str">
        <f aca="false">IF(Report!B140&lt;Report!P140,"1")</f>
        <v>1</v>
      </c>
      <c r="C143" s="154" t="b">
        <f aca="false">IF(Report!M140="Buy",1)</f>
        <v>0</v>
      </c>
      <c r="D143" s="154" t="b">
        <f aca="false">IF(Report!M140="Sell",1)</f>
        <v>0</v>
      </c>
      <c r="E143" s="154" t="b">
        <f aca="false">IF(Report!L140&gt;100,"1")</f>
        <v>0</v>
      </c>
      <c r="F143" s="154" t="b">
        <f aca="false">IF(Report!L140&lt;-100,"1")</f>
        <v>0</v>
      </c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</row>
    <row r="144" customFormat="false" ht="15" hidden="false" customHeight="true" outlineLevel="0" collapsed="false">
      <c r="A144" s="154" t="b">
        <f aca="false">IF(Report!B141&gt;Report!P141,"1")</f>
        <v>0</v>
      </c>
      <c r="B144" s="156" t="str">
        <f aca="false">IF(Report!B141&lt;Report!P141,"1")</f>
        <v>1</v>
      </c>
      <c r="C144" s="154" t="b">
        <f aca="false">IF(Report!M141="Buy",1)</f>
        <v>0</v>
      </c>
      <c r="D144" s="154" t="b">
        <f aca="false">IF(Report!M141="Sell",1)</f>
        <v>0</v>
      </c>
      <c r="E144" s="154" t="b">
        <f aca="false">IF(Report!L141&gt;100,"1")</f>
        <v>0</v>
      </c>
      <c r="F144" s="154" t="b">
        <f aca="false">IF(Report!L141&lt;-100,"1")</f>
        <v>0</v>
      </c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</row>
    <row r="145" customFormat="false" ht="15" hidden="false" customHeight="true" outlineLevel="0" collapsed="false">
      <c r="A145" s="154" t="b">
        <f aca="false">IF(Report!B142&gt;Report!P142,"1")</f>
        <v>0</v>
      </c>
      <c r="B145" s="155" t="str">
        <f aca="false">IF(Report!B142&lt;Report!P142,"1")</f>
        <v>1</v>
      </c>
      <c r="C145" s="154" t="b">
        <f aca="false">IF(Report!M142="Buy",1)</f>
        <v>0</v>
      </c>
      <c r="D145" s="154" t="b">
        <f aca="false">IF(Report!M142="Sell",1)</f>
        <v>0</v>
      </c>
      <c r="E145" s="154" t="b">
        <f aca="false">IF(Report!L142&gt;100,"1")</f>
        <v>0</v>
      </c>
      <c r="F145" s="154" t="b">
        <f aca="false">IF(Report!L142&lt;-100,"1")</f>
        <v>0</v>
      </c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</row>
    <row r="146" customFormat="false" ht="15" hidden="false" customHeight="true" outlineLevel="0" collapsed="false">
      <c r="A146" s="154" t="b">
        <f aca="false">IF(Report!B143&gt;Report!P143,"1")</f>
        <v>0</v>
      </c>
      <c r="B146" s="155" t="str">
        <f aca="false">IF(Report!B143&lt;Report!P143,"1")</f>
        <v>1</v>
      </c>
      <c r="C146" s="154" t="b">
        <f aca="false">IF(Report!M143="Buy",1)</f>
        <v>0</v>
      </c>
      <c r="D146" s="154" t="b">
        <f aca="false">IF(Report!M143="Sell",1)</f>
        <v>0</v>
      </c>
      <c r="E146" s="154" t="b">
        <f aca="false">IF(Report!L143&gt;100,"1")</f>
        <v>0</v>
      </c>
      <c r="F146" s="154" t="b">
        <f aca="false">IF(Report!L143&lt;-100,"1")</f>
        <v>0</v>
      </c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</row>
    <row r="147" customFormat="false" ht="15" hidden="false" customHeight="true" outlineLevel="0" collapsed="false">
      <c r="A147" s="151" t="str">
        <f aca="false">IF(Report!B144&gt;Report!P144,"1")</f>
        <v>1</v>
      </c>
      <c r="B147" s="155" t="b">
        <f aca="false">IF(Report!B144&lt;Report!P144,"1")</f>
        <v>0</v>
      </c>
      <c r="C147" s="154" t="b">
        <f aca="false">IF(Report!M144="Buy",1)</f>
        <v>0</v>
      </c>
      <c r="D147" s="154" t="b">
        <f aca="false">IF(Report!M144="Sell",1)</f>
        <v>0</v>
      </c>
      <c r="E147" s="154" t="b">
        <f aca="false">IF(Report!L144&gt;100,"1")</f>
        <v>0</v>
      </c>
      <c r="F147" s="154" t="b">
        <f aca="false">IF(Report!L144&lt;-100,"1")</f>
        <v>0</v>
      </c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</row>
    <row r="148" customFormat="false" ht="15" hidden="false" customHeight="true" outlineLevel="0" collapsed="false">
      <c r="A148" s="154" t="b">
        <f aca="false">IF(Report!B145&gt;Report!P145,"1")</f>
        <v>0</v>
      </c>
      <c r="B148" s="155" t="str">
        <f aca="false">IF(Report!B145&lt;Report!P145,"1")</f>
        <v>1</v>
      </c>
      <c r="C148" s="154" t="b">
        <f aca="false">IF(Report!M145="Buy",1)</f>
        <v>0</v>
      </c>
      <c r="D148" s="154" t="b">
        <f aca="false">IF(Report!M145="Sell",1)</f>
        <v>0</v>
      </c>
      <c r="E148" s="154" t="b">
        <f aca="false">IF(Report!L145&gt;100,"1")</f>
        <v>0</v>
      </c>
      <c r="F148" s="154" t="b">
        <f aca="false">IF(Report!L145&lt;-100,"1")</f>
        <v>0</v>
      </c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</row>
    <row r="149" customFormat="false" ht="15" hidden="false" customHeight="true" outlineLevel="0" collapsed="false">
      <c r="A149" s="154" t="b">
        <f aca="false">IF(Report!B146&gt;Report!P146,"1")</f>
        <v>0</v>
      </c>
      <c r="B149" s="155" t="str">
        <f aca="false">IF(Report!B146&lt;Report!P146,"1")</f>
        <v>1</v>
      </c>
      <c r="C149" s="154" t="b">
        <f aca="false">IF(Report!M146="Buy",1)</f>
        <v>0</v>
      </c>
      <c r="D149" s="154" t="b">
        <f aca="false">IF(Report!M146="Sell",1)</f>
        <v>0</v>
      </c>
      <c r="E149" s="154" t="b">
        <f aca="false">IF(Report!L146&gt;100,"1")</f>
        <v>0</v>
      </c>
      <c r="F149" s="154" t="b">
        <f aca="false">IF(Report!L146&lt;-100,"1")</f>
        <v>0</v>
      </c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</row>
    <row r="150" customFormat="false" ht="15" hidden="false" customHeight="true" outlineLevel="0" collapsed="false">
      <c r="A150" s="154" t="b">
        <f aca="false">IF(Report!B147&gt;Report!P147,"1")</f>
        <v>0</v>
      </c>
      <c r="B150" s="155" t="str">
        <f aca="false">IF(Report!B147&lt;Report!P147,"1")</f>
        <v>1</v>
      </c>
      <c r="C150" s="154" t="b">
        <f aca="false">IF(Report!M147="Buy",1)</f>
        <v>0</v>
      </c>
      <c r="D150" s="154" t="b">
        <f aca="false">IF(Report!M147="Sell",1)</f>
        <v>0</v>
      </c>
      <c r="E150" s="154" t="b">
        <f aca="false">IF(Report!L147&gt;100,"1")</f>
        <v>0</v>
      </c>
      <c r="F150" s="154" t="b">
        <f aca="false">IF(Report!L147&lt;-100,"1")</f>
        <v>0</v>
      </c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</row>
    <row r="151" customFormat="false" ht="15" hidden="false" customHeight="true" outlineLevel="0" collapsed="false">
      <c r="A151" s="154" t="b">
        <f aca="false">IF(Report!B148&gt;Report!P148,"1")</f>
        <v>0</v>
      </c>
      <c r="B151" s="155" t="str">
        <f aca="false">IF(Report!B148&lt;Report!P148,"1")</f>
        <v>1</v>
      </c>
      <c r="C151" s="154" t="b">
        <f aca="false">IF(Report!M148="Buy",1)</f>
        <v>0</v>
      </c>
      <c r="D151" s="154" t="b">
        <f aca="false">IF(Report!M148="Sell",1)</f>
        <v>0</v>
      </c>
      <c r="E151" s="154" t="b">
        <f aca="false">IF(Report!L148&gt;100,"1")</f>
        <v>0</v>
      </c>
      <c r="F151" s="154" t="b">
        <f aca="false">IF(Report!L148&lt;-100,"1")</f>
        <v>0</v>
      </c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</row>
    <row r="152" customFormat="false" ht="15" hidden="false" customHeight="true" outlineLevel="0" collapsed="false">
      <c r="A152" s="154" t="b">
        <f aca="false">IF(Report!B149&gt;Report!P149,"1")</f>
        <v>0</v>
      </c>
      <c r="B152" s="155" t="str">
        <f aca="false">IF(Report!B149&lt;Report!P149,"1")</f>
        <v>1</v>
      </c>
      <c r="C152" s="154" t="b">
        <f aca="false">IF(Report!M149="Buy",1)</f>
        <v>0</v>
      </c>
      <c r="D152" s="154" t="b">
        <f aca="false">IF(Report!M149="Sell",1)</f>
        <v>0</v>
      </c>
      <c r="E152" s="154" t="b">
        <f aca="false">IF(Report!L149&gt;100,"1")</f>
        <v>0</v>
      </c>
      <c r="F152" s="154" t="b">
        <f aca="false">IF(Report!L149&lt;-100,"1")</f>
        <v>0</v>
      </c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</row>
    <row r="153" customFormat="false" ht="15" hidden="false" customHeight="true" outlineLevel="0" collapsed="false">
      <c r="A153" s="151" t="str">
        <f aca="false">IF(Report!B150&gt;Report!P150,"1")</f>
        <v>1</v>
      </c>
      <c r="B153" s="155" t="b">
        <f aca="false">IF(Report!B150&lt;Report!P150,"1")</f>
        <v>0</v>
      </c>
      <c r="C153" s="154" t="b">
        <f aca="false">IF(Report!M150="Buy",1)</f>
        <v>0</v>
      </c>
      <c r="D153" s="154" t="b">
        <f aca="false">IF(Report!M150="Sell",1)</f>
        <v>0</v>
      </c>
      <c r="E153" s="154" t="b">
        <f aca="false">IF(Report!L150&gt;100,"1")</f>
        <v>0</v>
      </c>
      <c r="F153" s="154" t="b">
        <f aca="false">IF(Report!L150&lt;-100,"1")</f>
        <v>0</v>
      </c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</row>
    <row r="154" customFormat="false" ht="15" hidden="false" customHeight="true" outlineLevel="0" collapsed="false">
      <c r="A154" s="154" t="b">
        <f aca="false">IF(Report!B151&gt;Report!P151,"1")</f>
        <v>0</v>
      </c>
      <c r="B154" s="156" t="str">
        <f aca="false">IF(Report!B151&lt;Report!P151,"1")</f>
        <v>1</v>
      </c>
      <c r="C154" s="154" t="b">
        <f aca="false">IF(Report!M151="Buy",1)</f>
        <v>0</v>
      </c>
      <c r="D154" s="154" t="b">
        <f aca="false">IF(Report!M151="Sell",1)</f>
        <v>0</v>
      </c>
      <c r="E154" s="154" t="b">
        <f aca="false">IF(Report!L151&gt;100,"1")</f>
        <v>0</v>
      </c>
      <c r="F154" s="154" t="b">
        <f aca="false">IF(Report!L151&lt;-100,"1")</f>
        <v>0</v>
      </c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</row>
    <row r="155" customFormat="false" ht="15" hidden="false" customHeight="true" outlineLevel="0" collapsed="false">
      <c r="A155" s="154" t="b">
        <f aca="false">IF(Report!B152&gt;Report!P152,"1")</f>
        <v>0</v>
      </c>
      <c r="B155" s="156" t="str">
        <f aca="false">IF(Report!B152&lt;Report!P152,"1")</f>
        <v>1</v>
      </c>
      <c r="C155" s="154" t="b">
        <f aca="false">IF(Report!M152="Buy",1)</f>
        <v>0</v>
      </c>
      <c r="D155" s="154" t="b">
        <f aca="false">IF(Report!M152="Sell",1)</f>
        <v>0</v>
      </c>
      <c r="E155" s="154" t="b">
        <f aca="false">IF(Report!L152&gt;100,"1")</f>
        <v>0</v>
      </c>
      <c r="F155" s="154" t="b">
        <f aca="false">IF(Report!L152&lt;-100,"1")</f>
        <v>0</v>
      </c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</row>
    <row r="156" customFormat="false" ht="15" hidden="false" customHeight="true" outlineLevel="0" collapsed="false">
      <c r="A156" s="154" t="b">
        <f aca="false">IF(Report!B153&gt;Report!P153,"1")</f>
        <v>0</v>
      </c>
      <c r="B156" s="156" t="str">
        <f aca="false">IF(Report!B153&lt;Report!P153,"1")</f>
        <v>1</v>
      </c>
      <c r="C156" s="154" t="b">
        <f aca="false">IF(Report!M153="Buy",1)</f>
        <v>0</v>
      </c>
      <c r="D156" s="154" t="b">
        <f aca="false">IF(Report!M153="Sell",1)</f>
        <v>0</v>
      </c>
      <c r="E156" s="154" t="b">
        <f aca="false">IF(Report!L153&gt;100,"1")</f>
        <v>0</v>
      </c>
      <c r="F156" s="154" t="b">
        <f aca="false">IF(Report!L153&lt;-100,"1")</f>
        <v>0</v>
      </c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</row>
    <row r="157" customFormat="false" ht="15" hidden="false" customHeight="true" outlineLevel="0" collapsed="false">
      <c r="A157" s="154" t="b">
        <f aca="false">IF(Report!B154&gt;Report!P154,"1")</f>
        <v>0</v>
      </c>
      <c r="B157" s="156" t="str">
        <f aca="false">IF(Report!B154&lt;Report!P154,"1")</f>
        <v>1</v>
      </c>
      <c r="C157" s="154" t="b">
        <f aca="false">IF(Report!M154="Buy",1)</f>
        <v>0</v>
      </c>
      <c r="D157" s="154" t="b">
        <f aca="false">IF(Report!M154="Sell",1)</f>
        <v>0</v>
      </c>
      <c r="E157" s="154" t="b">
        <f aca="false">IF(Report!L154&gt;100,"1")</f>
        <v>0</v>
      </c>
      <c r="F157" s="154" t="b">
        <f aca="false">IF(Report!L154&lt;-100,"1")</f>
        <v>0</v>
      </c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</row>
    <row r="158" customFormat="false" ht="15" hidden="false" customHeight="true" outlineLevel="0" collapsed="false">
      <c r="A158" s="154" t="b">
        <f aca="false">IF(Report!B155&gt;Report!P155,"1")</f>
        <v>0</v>
      </c>
      <c r="B158" s="156" t="str">
        <f aca="false">IF(Report!B155&lt;Report!P155,"1")</f>
        <v>1</v>
      </c>
      <c r="C158" s="154" t="b">
        <f aca="false">IF(Report!M155="Buy",1)</f>
        <v>0</v>
      </c>
      <c r="D158" s="154" t="b">
        <f aca="false">IF(Report!M155="Sell",1)</f>
        <v>0</v>
      </c>
      <c r="E158" s="154" t="b">
        <f aca="false">IF(Report!L155&gt;100,"1")</f>
        <v>0</v>
      </c>
      <c r="F158" s="154" t="b">
        <f aca="false">IF(Report!L155&lt;-100,"1")</f>
        <v>0</v>
      </c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</row>
    <row r="159" customFormat="false" ht="15" hidden="false" customHeight="true" outlineLevel="0" collapsed="false">
      <c r="A159" s="154" t="b">
        <f aca="false">IF(Report!B156&gt;Report!P156,"1")</f>
        <v>0</v>
      </c>
      <c r="B159" s="156" t="str">
        <f aca="false">IF(Report!B156&lt;Report!P156,"1")</f>
        <v>1</v>
      </c>
      <c r="C159" s="154" t="b">
        <f aca="false">IF(Report!M156="Buy",1)</f>
        <v>0</v>
      </c>
      <c r="D159" s="154" t="b">
        <f aca="false">IF(Report!M156="Sell",1)</f>
        <v>0</v>
      </c>
      <c r="E159" s="154" t="b">
        <f aca="false">IF(Report!L156&gt;100,"1")</f>
        <v>0</v>
      </c>
      <c r="F159" s="154" t="b">
        <f aca="false">IF(Report!L156&lt;-100,"1")</f>
        <v>0</v>
      </c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</row>
    <row r="160" customFormat="false" ht="15" hidden="false" customHeight="true" outlineLevel="0" collapsed="false">
      <c r="A160" s="154" t="b">
        <f aca="false">IF(Report!B157&gt;Report!P157,"1")</f>
        <v>0</v>
      </c>
      <c r="B160" s="155" t="str">
        <f aca="false">IF(Report!B157&lt;Report!P157,"1")</f>
        <v>1</v>
      </c>
      <c r="C160" s="154" t="b">
        <f aca="false">IF(Report!M157="Buy",1)</f>
        <v>0</v>
      </c>
      <c r="D160" s="154" t="b">
        <f aca="false">IF(Report!M157="Sell",1)</f>
        <v>0</v>
      </c>
      <c r="E160" s="154" t="b">
        <f aca="false">IF(Report!L157&gt;100,"1")</f>
        <v>0</v>
      </c>
      <c r="F160" s="154" t="b">
        <f aca="false">IF(Report!L157&lt;-100,"1")</f>
        <v>0</v>
      </c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</row>
    <row r="161" customFormat="false" ht="15" hidden="false" customHeight="true" outlineLevel="0" collapsed="false">
      <c r="A161" s="154" t="b">
        <f aca="false">IF(Report!B158&gt;Report!P158,"1")</f>
        <v>0</v>
      </c>
      <c r="B161" s="156" t="str">
        <f aca="false">IF(Report!B158&lt;Report!P158,"1")</f>
        <v>1</v>
      </c>
      <c r="C161" s="154" t="b">
        <f aca="false">IF(Report!M158="Buy",1)</f>
        <v>0</v>
      </c>
      <c r="D161" s="154" t="b">
        <f aca="false">IF(Report!M158="Sell",1)</f>
        <v>0</v>
      </c>
      <c r="E161" s="154" t="b">
        <f aca="false">IF(Report!L158&gt;100,"1")</f>
        <v>0</v>
      </c>
      <c r="F161" s="154" t="b">
        <f aca="false">IF(Report!L158&lt;-100,"1")</f>
        <v>0</v>
      </c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</row>
    <row r="162" customFormat="false" ht="15" hidden="false" customHeight="true" outlineLevel="0" collapsed="false">
      <c r="A162" s="154" t="str">
        <f aca="false">IF(Report!B159&gt;Report!P159,"1")</f>
        <v>1</v>
      </c>
      <c r="B162" s="155" t="b">
        <f aca="false">IF(Report!B159&lt;Report!P159,"1")</f>
        <v>0</v>
      </c>
      <c r="C162" s="154" t="b">
        <f aca="false">IF(Report!M159="Buy",1)</f>
        <v>0</v>
      </c>
      <c r="D162" s="154" t="b">
        <f aca="false">IF(Report!M159="Sell",1)</f>
        <v>0</v>
      </c>
      <c r="E162" s="154" t="b">
        <f aca="false">IF(Report!L159&gt;100,"1")</f>
        <v>0</v>
      </c>
      <c r="F162" s="154" t="b">
        <f aca="false">IF(Report!L159&lt;-100,"1")</f>
        <v>0</v>
      </c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</row>
    <row r="163" customFormat="false" ht="15" hidden="false" customHeight="true" outlineLevel="0" collapsed="false">
      <c r="A163" s="154" t="b">
        <f aca="false">IF(Report!B160&gt;Report!P160,"1")</f>
        <v>0</v>
      </c>
      <c r="B163" s="155" t="str">
        <f aca="false">IF(Report!B160&lt;Report!P160,"1")</f>
        <v>1</v>
      </c>
      <c r="C163" s="154" t="b">
        <f aca="false">IF(Report!M160="Buy",1)</f>
        <v>0</v>
      </c>
      <c r="D163" s="154" t="b">
        <f aca="false">IF(Report!M160="Sell",1)</f>
        <v>0</v>
      </c>
      <c r="E163" s="154" t="b">
        <f aca="false">IF(Report!L160&gt;100,"1")</f>
        <v>0</v>
      </c>
      <c r="F163" s="154" t="b">
        <f aca="false">IF(Report!L160&lt;-100,"1")</f>
        <v>0</v>
      </c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</row>
    <row r="164" customFormat="false" ht="15" hidden="false" customHeight="true" outlineLevel="0" collapsed="false">
      <c r="A164" s="154" t="b">
        <f aca="false">IF(Report!B161&gt;Report!P161,"1")</f>
        <v>0</v>
      </c>
      <c r="B164" s="156" t="str">
        <f aca="false">IF(Report!B161&lt;Report!P161,"1")</f>
        <v>1</v>
      </c>
      <c r="C164" s="154" t="b">
        <f aca="false">IF(Report!M161="Buy",1)</f>
        <v>0</v>
      </c>
      <c r="D164" s="154" t="b">
        <f aca="false">IF(Report!M161="Sell",1)</f>
        <v>0</v>
      </c>
      <c r="E164" s="154" t="b">
        <f aca="false">IF(Report!L161&gt;100,"1")</f>
        <v>0</v>
      </c>
      <c r="F164" s="154" t="b">
        <f aca="false">IF(Report!L161&lt;-100,"1")</f>
        <v>0</v>
      </c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</row>
    <row r="165" customFormat="false" ht="15" hidden="false" customHeight="true" outlineLevel="0" collapsed="false">
      <c r="A165" s="154" t="b">
        <f aca="false">IF(Report!B162&gt;Report!P162,"1")</f>
        <v>0</v>
      </c>
      <c r="B165" s="155" t="str">
        <f aca="false">IF(Report!B162&lt;Report!P162,"1")</f>
        <v>1</v>
      </c>
      <c r="C165" s="154" t="b">
        <f aca="false">IF(Report!M162="Buy",1)</f>
        <v>0</v>
      </c>
      <c r="D165" s="154" t="b">
        <f aca="false">IF(Report!M162="Sell",1)</f>
        <v>0</v>
      </c>
      <c r="E165" s="154" t="b">
        <f aca="false">IF(Report!L162&gt;100,"1")</f>
        <v>0</v>
      </c>
      <c r="F165" s="154" t="b">
        <f aca="false">IF(Report!L162&lt;-100,"1")</f>
        <v>0</v>
      </c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</row>
    <row r="166" customFormat="false" ht="15" hidden="false" customHeight="true" outlineLevel="0" collapsed="false">
      <c r="A166" s="154" t="b">
        <f aca="false">IF(Report!B163&gt;Report!P163,"1")</f>
        <v>0</v>
      </c>
      <c r="B166" s="156" t="str">
        <f aca="false">IF(Report!B163&lt;Report!P163,"1")</f>
        <v>1</v>
      </c>
      <c r="C166" s="154" t="b">
        <f aca="false">IF(Report!M163="Buy",1)</f>
        <v>0</v>
      </c>
      <c r="D166" s="154" t="b">
        <f aca="false">IF(Report!M163="Sell",1)</f>
        <v>0</v>
      </c>
      <c r="E166" s="154" t="b">
        <f aca="false">IF(Report!L163&gt;100,"1")</f>
        <v>0</v>
      </c>
      <c r="F166" s="154" t="b">
        <f aca="false">IF(Report!L163&lt;-100,"1")</f>
        <v>0</v>
      </c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</row>
    <row r="167" customFormat="false" ht="15" hidden="false" customHeight="true" outlineLevel="0" collapsed="false">
      <c r="A167" s="154" t="b">
        <f aca="false">IF(Report!B164&gt;Report!P164,"1")</f>
        <v>0</v>
      </c>
      <c r="B167" s="156" t="str">
        <f aca="false">IF(Report!B164&lt;Report!P164,"1")</f>
        <v>1</v>
      </c>
      <c r="C167" s="154" t="b">
        <f aca="false">IF(Report!M164="Buy",1)</f>
        <v>0</v>
      </c>
      <c r="D167" s="154" t="b">
        <f aca="false">IF(Report!M164="Sell",1)</f>
        <v>0</v>
      </c>
      <c r="E167" s="154" t="b">
        <f aca="false">IF(Report!L164&gt;100,"1")</f>
        <v>0</v>
      </c>
      <c r="F167" s="154" t="b">
        <f aca="false">IF(Report!L164&lt;-100,"1")</f>
        <v>0</v>
      </c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</row>
    <row r="168" customFormat="false" ht="15" hidden="false" customHeight="true" outlineLevel="0" collapsed="false">
      <c r="A168" s="154" t="b">
        <f aca="false">IF(Report!B165&gt;Report!P165,"1")</f>
        <v>0</v>
      </c>
      <c r="B168" s="156" t="str">
        <f aca="false">IF(Report!B165&lt;Report!P165,"1")</f>
        <v>1</v>
      </c>
      <c r="C168" s="154" t="b">
        <f aca="false">IF(Report!M165="Buy",1)</f>
        <v>0</v>
      </c>
      <c r="D168" s="154" t="b">
        <f aca="false">IF(Report!M165="Sell",1)</f>
        <v>0</v>
      </c>
      <c r="E168" s="154" t="b">
        <f aca="false">IF(Report!L165&gt;100,"1")</f>
        <v>0</v>
      </c>
      <c r="F168" s="154" t="b">
        <f aca="false">IF(Report!L165&lt;-100,"1")</f>
        <v>0</v>
      </c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</row>
    <row r="169" customFormat="false" ht="15" hidden="false" customHeight="true" outlineLevel="0" collapsed="false">
      <c r="A169" s="154" t="str">
        <f aca="false">IF(Report!B166&gt;Report!P166,"1")</f>
        <v>1</v>
      </c>
      <c r="B169" s="155" t="b">
        <f aca="false">IF(Report!B166&lt;Report!P166,"1")</f>
        <v>0</v>
      </c>
      <c r="C169" s="154" t="b">
        <f aca="false">IF(Report!M166="Buy",1)</f>
        <v>0</v>
      </c>
      <c r="D169" s="154" t="b">
        <f aca="false">IF(Report!M166="Sell",1)</f>
        <v>0</v>
      </c>
      <c r="E169" s="154" t="b">
        <f aca="false">IF(Report!L166&gt;100,"1")</f>
        <v>0</v>
      </c>
      <c r="F169" s="154" t="b">
        <f aca="false">IF(Report!L166&lt;-100,"1")</f>
        <v>0</v>
      </c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</row>
    <row r="170" customFormat="false" ht="15" hidden="false" customHeight="true" outlineLevel="0" collapsed="false">
      <c r="A170" s="154" t="str">
        <f aca="false">IF(Report!B167&gt;Report!P167,"1")</f>
        <v>1</v>
      </c>
      <c r="B170" s="155" t="b">
        <f aca="false">IF(Report!B167&lt;Report!P167,"1")</f>
        <v>0</v>
      </c>
      <c r="C170" s="154" t="b">
        <f aca="false">IF(Report!M167="Buy",1)</f>
        <v>0</v>
      </c>
      <c r="D170" s="154" t="b">
        <f aca="false">IF(Report!M167="Sell",1)</f>
        <v>0</v>
      </c>
      <c r="E170" s="154" t="b">
        <f aca="false">IF(Report!L167&gt;100,"1")</f>
        <v>0</v>
      </c>
      <c r="F170" s="154" t="b">
        <f aca="false">IF(Report!L167&lt;-100,"1")</f>
        <v>0</v>
      </c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</row>
    <row r="171" customFormat="false" ht="15" hidden="false" customHeight="true" outlineLevel="0" collapsed="false">
      <c r="A171" s="154" t="b">
        <f aca="false">IF(Report!B168&gt;Report!P168,"1")</f>
        <v>0</v>
      </c>
      <c r="B171" s="156" t="str">
        <f aca="false">IF(Report!B168&lt;Report!P168,"1")</f>
        <v>1</v>
      </c>
      <c r="C171" s="154" t="b">
        <f aca="false">IF(Report!M168="Buy",1)</f>
        <v>0</v>
      </c>
      <c r="D171" s="154" t="b">
        <f aca="false">IF(Report!M168="Sell",1)</f>
        <v>0</v>
      </c>
      <c r="E171" s="154" t="b">
        <f aca="false">IF(Report!L168&gt;100,"1")</f>
        <v>0</v>
      </c>
      <c r="F171" s="154" t="b">
        <f aca="false">IF(Report!L168&lt;-100,"1")</f>
        <v>0</v>
      </c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</row>
    <row r="172" customFormat="false" ht="15" hidden="false" customHeight="true" outlineLevel="0" collapsed="false">
      <c r="A172" s="154" t="b">
        <f aca="false">IF(Report!B169&gt;Report!P169,"1")</f>
        <v>0</v>
      </c>
      <c r="B172" s="156" t="str">
        <f aca="false">IF(Report!B169&lt;Report!P169,"1")</f>
        <v>1</v>
      </c>
      <c r="C172" s="154" t="b">
        <f aca="false">IF(Report!M169="Buy",1)</f>
        <v>0</v>
      </c>
      <c r="D172" s="154" t="b">
        <f aca="false">IF(Report!M169="Sell",1)</f>
        <v>0</v>
      </c>
      <c r="E172" s="154" t="b">
        <f aca="false">IF(Report!L169&gt;100,"1")</f>
        <v>0</v>
      </c>
      <c r="F172" s="154" t="b">
        <f aca="false">IF(Report!L169&lt;-100,"1")</f>
        <v>0</v>
      </c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</row>
    <row r="173" customFormat="false" ht="15" hidden="false" customHeight="true" outlineLevel="0" collapsed="false">
      <c r="A173" s="154" t="b">
        <f aca="false">IF(Report!B170&gt;Report!P170,"1")</f>
        <v>0</v>
      </c>
      <c r="B173" s="156" t="str">
        <f aca="false">IF(Report!B170&lt;Report!P170,"1")</f>
        <v>1</v>
      </c>
      <c r="C173" s="154" t="b">
        <f aca="false">IF(Report!M170="Buy",1)</f>
        <v>0</v>
      </c>
      <c r="D173" s="154" t="b">
        <f aca="false">IF(Report!M170="Sell",1)</f>
        <v>0</v>
      </c>
      <c r="E173" s="154" t="b">
        <f aca="false">IF(Report!L170&gt;100,"1")</f>
        <v>0</v>
      </c>
      <c r="F173" s="154" t="b">
        <f aca="false">IF(Report!L170&lt;-100,"1")</f>
        <v>0</v>
      </c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</row>
    <row r="174" customFormat="false" ht="15" hidden="false" customHeight="true" outlineLevel="0" collapsed="false">
      <c r="A174" s="154" t="b">
        <f aca="false">IF(Report!B171&gt;Report!P171,"1")</f>
        <v>0</v>
      </c>
      <c r="B174" s="156" t="str">
        <f aca="false">IF(Report!B171&lt;Report!P171,"1")</f>
        <v>1</v>
      </c>
      <c r="C174" s="154" t="b">
        <f aca="false">IF(Report!M171="Buy",1)</f>
        <v>0</v>
      </c>
      <c r="D174" s="154" t="b">
        <f aca="false">IF(Report!M171="Sell",1)</f>
        <v>0</v>
      </c>
      <c r="E174" s="154" t="b">
        <f aca="false">IF(Report!L171&gt;100,"1")</f>
        <v>0</v>
      </c>
      <c r="F174" s="154" t="b">
        <f aca="false">IF(Report!L171&lt;-100,"1")</f>
        <v>0</v>
      </c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</row>
    <row r="175" customFormat="false" ht="15" hidden="false" customHeight="true" outlineLevel="0" collapsed="false">
      <c r="A175" s="154" t="b">
        <f aca="false">IF(Report!B172&gt;Report!P172,"1")</f>
        <v>0</v>
      </c>
      <c r="B175" s="156" t="str">
        <f aca="false">IF(Report!B172&lt;Report!P172,"1")</f>
        <v>1</v>
      </c>
      <c r="C175" s="154" t="b">
        <f aca="false">IF(Report!M172="Buy",1)</f>
        <v>0</v>
      </c>
      <c r="D175" s="154" t="b">
        <f aca="false">IF(Report!M172="Sell",1)</f>
        <v>0</v>
      </c>
      <c r="E175" s="154" t="b">
        <f aca="false">IF(Report!L172&gt;100,"1")</f>
        <v>0</v>
      </c>
      <c r="F175" s="154" t="b">
        <f aca="false">IF(Report!L172&lt;-100,"1")</f>
        <v>0</v>
      </c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</row>
    <row r="176" customFormat="false" ht="15" hidden="false" customHeight="true" outlineLevel="0" collapsed="false">
      <c r="A176" s="154" t="b">
        <f aca="false">IF(Report!B173&gt;Report!P173,"1")</f>
        <v>0</v>
      </c>
      <c r="B176" s="155" t="str">
        <f aca="false">IF(Report!B173&lt;Report!P173,"1")</f>
        <v>1</v>
      </c>
      <c r="C176" s="154" t="b">
        <f aca="false">IF(Report!M173="Buy",1)</f>
        <v>0</v>
      </c>
      <c r="D176" s="154" t="b">
        <f aca="false">IF(Report!M173="Sell",1)</f>
        <v>0</v>
      </c>
      <c r="E176" s="154" t="b">
        <f aca="false">IF(Report!L173&gt;100,"1")</f>
        <v>0</v>
      </c>
      <c r="F176" s="154" t="b">
        <f aca="false">IF(Report!L173&lt;-100,"1")</f>
        <v>0</v>
      </c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</row>
    <row r="177" customFormat="false" ht="15" hidden="false" customHeight="true" outlineLevel="0" collapsed="false">
      <c r="A177" s="151" t="str">
        <f aca="false">IF(Report!B174&gt;Report!P174,"1")</f>
        <v>1</v>
      </c>
      <c r="B177" s="155" t="b">
        <f aca="false">IF(Report!B174&lt;Report!P174,"1")</f>
        <v>0</v>
      </c>
      <c r="C177" s="154" t="b">
        <f aca="false">IF(Report!M174="Buy",1)</f>
        <v>0</v>
      </c>
      <c r="D177" s="154" t="b">
        <f aca="false">IF(Report!M174="Sell",1)</f>
        <v>0</v>
      </c>
      <c r="E177" s="154" t="b">
        <f aca="false">IF(Report!L174&gt;100,"1")</f>
        <v>0</v>
      </c>
      <c r="F177" s="154" t="b">
        <f aca="false">IF(Report!L174&lt;-100,"1")</f>
        <v>0</v>
      </c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</row>
    <row r="178" customFormat="false" ht="15" hidden="false" customHeight="true" outlineLevel="0" collapsed="false">
      <c r="A178" s="154" t="b">
        <f aca="false">IF(Report!B175&gt;Report!P175,"1")</f>
        <v>0</v>
      </c>
      <c r="B178" s="156" t="str">
        <f aca="false">IF(Report!B175&lt;Report!P175,"1")</f>
        <v>1</v>
      </c>
      <c r="C178" s="154" t="b">
        <f aca="false">IF(Report!M175="Buy",1)</f>
        <v>0</v>
      </c>
      <c r="D178" s="154" t="b">
        <f aca="false">IF(Report!M175="Sell",1)</f>
        <v>0</v>
      </c>
      <c r="E178" s="154" t="b">
        <f aca="false">IF(Report!L175&gt;100,"1")</f>
        <v>0</v>
      </c>
      <c r="F178" s="154" t="b">
        <f aca="false">IF(Report!L175&lt;-100,"1")</f>
        <v>0</v>
      </c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</row>
    <row r="179" customFormat="false" ht="15" hidden="false" customHeight="true" outlineLevel="0" collapsed="false">
      <c r="A179" s="154" t="b">
        <f aca="false">IF(Report!B176&gt;Report!P176,"1")</f>
        <v>0</v>
      </c>
      <c r="B179" s="155" t="str">
        <f aca="false">IF(Report!B176&lt;Report!P176,"1")</f>
        <v>1</v>
      </c>
      <c r="C179" s="154" t="b">
        <f aca="false">IF(Report!M176="Buy",1)</f>
        <v>0</v>
      </c>
      <c r="D179" s="154" t="b">
        <f aca="false">IF(Report!M176="Sell",1)</f>
        <v>0</v>
      </c>
      <c r="E179" s="154" t="b">
        <f aca="false">IF(Report!L176&gt;100,"1")</f>
        <v>0</v>
      </c>
      <c r="F179" s="154" t="b">
        <f aca="false">IF(Report!L176&lt;-100,"1")</f>
        <v>0</v>
      </c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</row>
    <row r="180" customFormat="false" ht="15" hidden="false" customHeight="true" outlineLevel="0" collapsed="false">
      <c r="A180" s="154" t="b">
        <f aca="false">IF(Report!B177&gt;Report!P177,"1")</f>
        <v>0</v>
      </c>
      <c r="B180" s="155" t="str">
        <f aca="false">IF(Report!B177&lt;Report!P177,"1")</f>
        <v>1</v>
      </c>
      <c r="C180" s="154" t="b">
        <f aca="false">IF(Report!M177="Buy",1)</f>
        <v>0</v>
      </c>
      <c r="D180" s="154" t="b">
        <f aca="false">IF(Report!M177="Sell",1)</f>
        <v>0</v>
      </c>
      <c r="E180" s="154" t="b">
        <f aca="false">IF(Report!L177&gt;100,"1")</f>
        <v>0</v>
      </c>
      <c r="F180" s="154" t="b">
        <f aca="false">IF(Report!L177&lt;-100,"1")</f>
        <v>0</v>
      </c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</row>
    <row r="181" customFormat="false" ht="15" hidden="false" customHeight="true" outlineLevel="0" collapsed="false">
      <c r="A181" s="154" t="b">
        <f aca="false">IF(Report!B178&gt;Report!P178,"1")</f>
        <v>0</v>
      </c>
      <c r="B181" s="155" t="str">
        <f aca="false">IF(Report!B178&lt;Report!P178,"1")</f>
        <v>1</v>
      </c>
      <c r="C181" s="154" t="b">
        <f aca="false">IF(Report!M178="Buy",1)</f>
        <v>0</v>
      </c>
      <c r="D181" s="154" t="b">
        <f aca="false">IF(Report!M178="Sell",1)</f>
        <v>0</v>
      </c>
      <c r="E181" s="154" t="b">
        <f aca="false">IF(Report!L178&gt;100,"1")</f>
        <v>0</v>
      </c>
      <c r="F181" s="154" t="b">
        <f aca="false">IF(Report!L178&lt;-100,"1")</f>
        <v>0</v>
      </c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</row>
    <row r="182" customFormat="false" ht="15" hidden="false" customHeight="true" outlineLevel="0" collapsed="false">
      <c r="A182" s="154" t="b">
        <f aca="false">IF(Report!B179&gt;Report!P179,"1")</f>
        <v>0</v>
      </c>
      <c r="B182" s="156" t="str">
        <f aca="false">IF(Report!B179&lt;Report!P179,"1")</f>
        <v>1</v>
      </c>
      <c r="C182" s="154" t="b">
        <f aca="false">IF(Report!M179="Buy",1)</f>
        <v>0</v>
      </c>
      <c r="D182" s="154" t="b">
        <f aca="false">IF(Report!M179="Sell",1)</f>
        <v>0</v>
      </c>
      <c r="E182" s="154" t="b">
        <f aca="false">IF(Report!L179&gt;100,"1")</f>
        <v>0</v>
      </c>
      <c r="F182" s="154" t="b">
        <f aca="false">IF(Report!L179&lt;-100,"1")</f>
        <v>0</v>
      </c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</row>
    <row r="183" customFormat="false" ht="15" hidden="false" customHeight="true" outlineLevel="0" collapsed="false">
      <c r="A183" s="154" t="b">
        <f aca="false">IF(Report!B180&gt;Report!P180,"1")</f>
        <v>0</v>
      </c>
      <c r="B183" s="156" t="str">
        <f aca="false">IF(Report!B180&lt;Report!P180,"1")</f>
        <v>1</v>
      </c>
      <c r="C183" s="154" t="b">
        <f aca="false">IF(Report!M180="Buy",1)</f>
        <v>0</v>
      </c>
      <c r="D183" s="154" t="b">
        <f aca="false">IF(Report!M180="Sell",1)</f>
        <v>0</v>
      </c>
      <c r="E183" s="154" t="b">
        <f aca="false">IF(Report!L180&gt;100,"1")</f>
        <v>0</v>
      </c>
      <c r="F183" s="154" t="b">
        <f aca="false">IF(Report!L180&lt;-100,"1")</f>
        <v>0</v>
      </c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</row>
    <row r="184" customFormat="false" ht="15" hidden="false" customHeight="true" outlineLevel="0" collapsed="false">
      <c r="A184" s="154" t="b">
        <f aca="false">IF(Report!B181&gt;Report!P181,"1")</f>
        <v>0</v>
      </c>
      <c r="B184" s="156" t="str">
        <f aca="false">IF(Report!B181&lt;Report!P181,"1")</f>
        <v>1</v>
      </c>
      <c r="C184" s="154" t="b">
        <f aca="false">IF(Report!M181="Buy",1)</f>
        <v>0</v>
      </c>
      <c r="D184" s="154" t="b">
        <f aca="false">IF(Report!M181="Sell",1)</f>
        <v>0</v>
      </c>
      <c r="E184" s="154" t="b">
        <f aca="false">IF(Report!L181&gt;100,"1")</f>
        <v>0</v>
      </c>
      <c r="F184" s="154" t="b">
        <f aca="false">IF(Report!L181&lt;-100,"1")</f>
        <v>0</v>
      </c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</row>
    <row r="185" customFormat="false" ht="15" hidden="false" customHeight="true" outlineLevel="0" collapsed="false">
      <c r="A185" s="154" t="b">
        <f aca="false">IF(Report!B182&gt;Report!P182,"1")</f>
        <v>0</v>
      </c>
      <c r="B185" s="156" t="str">
        <f aca="false">IF(Report!B182&lt;Report!P182,"1")</f>
        <v>1</v>
      </c>
      <c r="C185" s="154" t="b">
        <f aca="false">IF(Report!M182="Buy",1)</f>
        <v>0</v>
      </c>
      <c r="D185" s="154" t="b">
        <f aca="false">IF(Report!M182="Sell",1)</f>
        <v>0</v>
      </c>
      <c r="E185" s="154" t="b">
        <f aca="false">IF(Report!L182&gt;100,"1")</f>
        <v>0</v>
      </c>
      <c r="F185" s="154" t="b">
        <f aca="false">IF(Report!L182&lt;-100,"1")</f>
        <v>0</v>
      </c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</row>
    <row r="186" customFormat="false" ht="15" hidden="false" customHeight="true" outlineLevel="0" collapsed="false">
      <c r="A186" s="154" t="b">
        <f aca="false">IF(Report!B183&gt;Report!P183,"1")</f>
        <v>0</v>
      </c>
      <c r="B186" s="156" t="str">
        <f aca="false">IF(Report!B183&lt;Report!P183,"1")</f>
        <v>1</v>
      </c>
      <c r="C186" s="154" t="b">
        <f aca="false">IF(Report!M183="Buy",1)</f>
        <v>0</v>
      </c>
      <c r="D186" s="154" t="b">
        <f aca="false">IF(Report!M183="Sell",1)</f>
        <v>0</v>
      </c>
      <c r="E186" s="154" t="b">
        <f aca="false">IF(Report!L183&gt;100,"1")</f>
        <v>0</v>
      </c>
      <c r="F186" s="154" t="b">
        <f aca="false">IF(Report!L183&lt;-100,"1")</f>
        <v>0</v>
      </c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</row>
    <row r="187" customFormat="false" ht="15" hidden="false" customHeight="true" outlineLevel="0" collapsed="false">
      <c r="A187" s="154" t="b">
        <f aca="false">IF(Report!B184&gt;Report!P184,"1")</f>
        <v>0</v>
      </c>
      <c r="B187" s="156" t="str">
        <f aca="false">IF(Report!B184&lt;Report!P184,"1")</f>
        <v>1</v>
      </c>
      <c r="C187" s="154" t="b">
        <f aca="false">IF(Report!M184="Buy",1)</f>
        <v>0</v>
      </c>
      <c r="D187" s="154" t="b">
        <f aca="false">IF(Report!M184="Sell",1)</f>
        <v>0</v>
      </c>
      <c r="E187" s="154" t="b">
        <f aca="false">IF(Report!L184&gt;100,"1")</f>
        <v>0</v>
      </c>
      <c r="F187" s="154" t="b">
        <f aca="false">IF(Report!L184&lt;-100,"1")</f>
        <v>0</v>
      </c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</row>
    <row r="188" customFormat="false" ht="15" hidden="false" customHeight="true" outlineLevel="0" collapsed="false">
      <c r="A188" s="154" t="b">
        <f aca="false">IF(Report!B185&gt;Report!P185,"1")</f>
        <v>0</v>
      </c>
      <c r="B188" s="156" t="str">
        <f aca="false">IF(Report!B185&lt;Report!P185,"1")</f>
        <v>1</v>
      </c>
      <c r="C188" s="154" t="b">
        <f aca="false">IF(Report!M185="Buy",1)</f>
        <v>0</v>
      </c>
      <c r="D188" s="154" t="b">
        <f aca="false">IF(Report!M185="Sell",1)</f>
        <v>0</v>
      </c>
      <c r="E188" s="154" t="b">
        <f aca="false">IF(Report!L185&gt;100,"1")</f>
        <v>0</v>
      </c>
      <c r="F188" s="154" t="b">
        <f aca="false">IF(Report!L185&lt;-100,"1")</f>
        <v>0</v>
      </c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</row>
    <row r="189" customFormat="false" ht="15" hidden="false" customHeight="true" outlineLevel="0" collapsed="false">
      <c r="A189" s="154" t="b">
        <f aca="false">IF(Report!B186&gt;Report!P186,"1")</f>
        <v>0</v>
      </c>
      <c r="B189" s="156" t="str">
        <f aca="false">IF(Report!B186&lt;Report!P186,"1")</f>
        <v>1</v>
      </c>
      <c r="C189" s="154" t="b">
        <f aca="false">IF(Report!M186="Buy",1)</f>
        <v>0</v>
      </c>
      <c r="D189" s="154" t="b">
        <f aca="false">IF(Report!M186="Sell",1)</f>
        <v>0</v>
      </c>
      <c r="E189" s="154" t="b">
        <f aca="false">IF(Report!L186&gt;100,"1")</f>
        <v>0</v>
      </c>
      <c r="F189" s="154" t="b">
        <f aca="false">IF(Report!L186&lt;-100,"1")</f>
        <v>0</v>
      </c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</row>
    <row r="190" customFormat="false" ht="15" hidden="false" customHeight="true" outlineLevel="0" collapsed="false">
      <c r="A190" s="154" t="str">
        <f aca="false">IF(Report!B187&gt;Report!P187,"1")</f>
        <v>1</v>
      </c>
      <c r="B190" s="155" t="b">
        <f aca="false">IF(Report!B187&lt;Report!P187,"1")</f>
        <v>0</v>
      </c>
      <c r="C190" s="154" t="b">
        <f aca="false">IF(Report!M187="Buy",1)</f>
        <v>0</v>
      </c>
      <c r="D190" s="154" t="b">
        <f aca="false">IF(Report!M187="Sell",1)</f>
        <v>0</v>
      </c>
      <c r="E190" s="154" t="b">
        <f aca="false">IF(Report!L187&gt;100,"1")</f>
        <v>0</v>
      </c>
      <c r="F190" s="154" t="b">
        <f aca="false">IF(Report!L187&lt;-100,"1")</f>
        <v>0</v>
      </c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</row>
    <row r="191" customFormat="false" ht="15" hidden="false" customHeight="true" outlineLevel="0" collapsed="false">
      <c r="A191" s="154" t="b">
        <f aca="false">IF(Report!B188&gt;Report!P188,"1")</f>
        <v>0</v>
      </c>
      <c r="B191" s="156" t="str">
        <f aca="false">IF(Report!B188&lt;Report!P188,"1")</f>
        <v>1</v>
      </c>
      <c r="C191" s="154" t="b">
        <f aca="false">IF(Report!M188="Buy",1)</f>
        <v>0</v>
      </c>
      <c r="D191" s="154" t="b">
        <f aca="false">IF(Report!M188="Sell",1)</f>
        <v>0</v>
      </c>
      <c r="E191" s="154" t="b">
        <f aca="false">IF(Report!L188&gt;100,"1")</f>
        <v>0</v>
      </c>
      <c r="F191" s="154" t="b">
        <f aca="false">IF(Report!L188&lt;-100,"1")</f>
        <v>0</v>
      </c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</row>
    <row r="192" customFormat="false" ht="15" hidden="false" customHeight="true" outlineLevel="0" collapsed="false">
      <c r="A192" s="154" t="b">
        <f aca="false">IF(Report!B189&gt;Report!P189,"1")</f>
        <v>0</v>
      </c>
      <c r="B192" s="155" t="str">
        <f aca="false">IF(Report!B189&lt;Report!P189,"1")</f>
        <v>1</v>
      </c>
      <c r="C192" s="154" t="b">
        <f aca="false">IF(Report!M189="Buy",1)</f>
        <v>0</v>
      </c>
      <c r="D192" s="154" t="b">
        <f aca="false">IF(Report!M189="Sell",1)</f>
        <v>0</v>
      </c>
      <c r="E192" s="154" t="b">
        <f aca="false">IF(Report!L189&gt;100,"1")</f>
        <v>0</v>
      </c>
      <c r="F192" s="154" t="b">
        <f aca="false">IF(Report!L189&lt;-100,"1")</f>
        <v>0</v>
      </c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</row>
    <row r="193" customFormat="false" ht="15" hidden="false" customHeight="true" outlineLevel="0" collapsed="false">
      <c r="A193" s="154" t="b">
        <f aca="false">IF(Report!B190&gt;Report!P190,"1")</f>
        <v>0</v>
      </c>
      <c r="B193" s="156" t="str">
        <f aca="false">IF(Report!B190&lt;Report!P190,"1")</f>
        <v>1</v>
      </c>
      <c r="C193" s="154" t="b">
        <f aca="false">IF(Report!M190="Buy",1)</f>
        <v>0</v>
      </c>
      <c r="D193" s="154" t="b">
        <f aca="false">IF(Report!M190="Sell",1)</f>
        <v>0</v>
      </c>
      <c r="E193" s="154" t="b">
        <f aca="false">IF(Report!L190&gt;100,"1")</f>
        <v>0</v>
      </c>
      <c r="F193" s="154" t="b">
        <f aca="false">IF(Report!L190&lt;-100,"1")</f>
        <v>0</v>
      </c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</row>
    <row r="194" customFormat="false" ht="15" hidden="false" customHeight="true" outlineLevel="0" collapsed="false">
      <c r="A194" s="154" t="b">
        <f aca="false">IF(Report!B191&gt;Report!P191,"1")</f>
        <v>0</v>
      </c>
      <c r="B194" s="156" t="str">
        <f aca="false">IF(Report!B191&lt;Report!P191,"1")</f>
        <v>1</v>
      </c>
      <c r="C194" s="154" t="b">
        <f aca="false">IF(Report!M191="Buy",1)</f>
        <v>0</v>
      </c>
      <c r="D194" s="154" t="b">
        <f aca="false">IF(Report!M191="Sell",1)</f>
        <v>0</v>
      </c>
      <c r="E194" s="154" t="b">
        <f aca="false">IF(Report!L191&gt;100,"1")</f>
        <v>0</v>
      </c>
      <c r="F194" s="154" t="b">
        <f aca="false">IF(Report!L191&lt;-100,"1")</f>
        <v>0</v>
      </c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</row>
    <row r="195" customFormat="false" ht="15" hidden="false" customHeight="true" outlineLevel="0" collapsed="false">
      <c r="A195" s="154" t="b">
        <f aca="false">IF(Report!B192&gt;Report!P192,"1")</f>
        <v>0</v>
      </c>
      <c r="B195" s="156" t="str">
        <f aca="false">IF(Report!B192&lt;Report!P192,"1")</f>
        <v>1</v>
      </c>
      <c r="C195" s="154" t="b">
        <f aca="false">IF(Report!M192="Buy",1)</f>
        <v>0</v>
      </c>
      <c r="D195" s="154" t="b">
        <f aca="false">IF(Report!M192="Sell",1)</f>
        <v>0</v>
      </c>
      <c r="E195" s="154" t="b">
        <f aca="false">IF(Report!L192&gt;100,"1")</f>
        <v>0</v>
      </c>
      <c r="F195" s="154" t="b">
        <f aca="false">IF(Report!L192&lt;-100,"1")</f>
        <v>0</v>
      </c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</row>
    <row r="196" customFormat="false" ht="15" hidden="false" customHeight="true" outlineLevel="0" collapsed="false">
      <c r="A196" s="154" t="str">
        <f aca="false">IF(Report!B193&gt;Report!P193,"1")</f>
        <v>1</v>
      </c>
      <c r="B196" s="155" t="b">
        <f aca="false">IF(Report!B193&lt;Report!P193,"1")</f>
        <v>0</v>
      </c>
      <c r="C196" s="154" t="b">
        <f aca="false">IF(Report!M193="Buy",1)</f>
        <v>0</v>
      </c>
      <c r="D196" s="154" t="b">
        <f aca="false">IF(Report!M193="Sell",1)</f>
        <v>0</v>
      </c>
      <c r="E196" s="154" t="b">
        <f aca="false">IF(Report!L193&gt;100,"1")</f>
        <v>0</v>
      </c>
      <c r="F196" s="154" t="b">
        <f aca="false">IF(Report!L193&lt;-100,"1")</f>
        <v>0</v>
      </c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</row>
    <row r="197" customFormat="false" ht="15" hidden="false" customHeight="true" outlineLevel="0" collapsed="false">
      <c r="A197" s="154" t="b">
        <f aca="false">IF(Report!B194&gt;Report!P194,"1")</f>
        <v>0</v>
      </c>
      <c r="B197" s="155" t="str">
        <f aca="false">IF(Report!B194&lt;Report!P194,"1")</f>
        <v>1</v>
      </c>
      <c r="C197" s="154" t="b">
        <f aca="false">IF(Report!M194="Buy",1)</f>
        <v>0</v>
      </c>
      <c r="D197" s="154" t="b">
        <f aca="false">IF(Report!M194="Sell",1)</f>
        <v>0</v>
      </c>
      <c r="E197" s="154" t="b">
        <f aca="false">IF(Report!L194&gt;100,"1")</f>
        <v>0</v>
      </c>
      <c r="F197" s="154" t="b">
        <f aca="false">IF(Report!L194&lt;-100,"1")</f>
        <v>0</v>
      </c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</row>
    <row r="198" customFormat="false" ht="15" hidden="false" customHeight="true" outlineLevel="0" collapsed="false">
      <c r="A198" s="154" t="b">
        <f aca="false">IF(Report!B195&gt;Report!P195,"1")</f>
        <v>0</v>
      </c>
      <c r="B198" s="156" t="str">
        <f aca="false">IF(Report!B195&lt;Report!P195,"1")</f>
        <v>1</v>
      </c>
      <c r="C198" s="154" t="b">
        <f aca="false">IF(Report!M195="Buy",1)</f>
        <v>0</v>
      </c>
      <c r="D198" s="154" t="b">
        <f aca="false">IF(Report!M195="Sell",1)</f>
        <v>0</v>
      </c>
      <c r="E198" s="154" t="b">
        <f aca="false">IF(Report!L195&gt;100,"1")</f>
        <v>0</v>
      </c>
      <c r="F198" s="154" t="b">
        <f aca="false">IF(Report!L195&lt;-100,"1")</f>
        <v>0</v>
      </c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</row>
    <row r="199" customFormat="false" ht="15" hidden="false" customHeight="true" outlineLevel="0" collapsed="false">
      <c r="A199" s="154" t="b">
        <f aca="false">IF(Report!B196&gt;Report!P196,"1")</f>
        <v>0</v>
      </c>
      <c r="B199" s="156" t="str">
        <f aca="false">IF(Report!B196&lt;Report!P196,"1")</f>
        <v>1</v>
      </c>
      <c r="C199" s="154" t="b">
        <f aca="false">IF(Report!M196="Buy",1)</f>
        <v>0</v>
      </c>
      <c r="D199" s="154" t="n">
        <f aca="false">IF(Report!M196="Sell",1)</f>
        <v>1</v>
      </c>
      <c r="E199" s="154" t="b">
        <f aca="false">IF(Report!L196&gt;100,"1")</f>
        <v>0</v>
      </c>
      <c r="F199" s="154" t="b">
        <f aca="false">IF(Report!L196&lt;-100,"1")</f>
        <v>0</v>
      </c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</row>
    <row r="200" customFormat="false" ht="15" hidden="false" customHeight="true" outlineLevel="0" collapsed="false">
      <c r="A200" s="154" t="b">
        <f aca="false">IF(Report!B197&gt;Report!P197,"1")</f>
        <v>0</v>
      </c>
      <c r="B200" s="156" t="str">
        <f aca="false">IF(Report!B197&lt;Report!P197,"1")</f>
        <v>1</v>
      </c>
      <c r="C200" s="154" t="b">
        <f aca="false">IF(Report!M197="Buy",1)</f>
        <v>0</v>
      </c>
      <c r="D200" s="154" t="b">
        <f aca="false">IF(Report!M197="Sell",1)</f>
        <v>0</v>
      </c>
      <c r="E200" s="154" t="b">
        <f aca="false">IF(Report!L197&gt;100,"1")</f>
        <v>0</v>
      </c>
      <c r="F200" s="154" t="b">
        <f aca="false">IF(Report!L197&lt;-100,"1")</f>
        <v>0</v>
      </c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</row>
    <row r="201" customFormat="false" ht="15" hidden="false" customHeight="true" outlineLevel="0" collapsed="false">
      <c r="A201" s="154" t="b">
        <f aca="false">IF(Report!B198&gt;Report!P198,"1")</f>
        <v>0</v>
      </c>
      <c r="B201" s="155" t="str">
        <f aca="false">IF(Report!B198&lt;Report!P198,"1")</f>
        <v>1</v>
      </c>
      <c r="C201" s="154" t="b">
        <f aca="false">IF(Report!M198="Buy",1)</f>
        <v>0</v>
      </c>
      <c r="D201" s="154" t="b">
        <f aca="false">IF(Report!M198="Sell",1)</f>
        <v>0</v>
      </c>
      <c r="E201" s="154" t="b">
        <f aca="false">IF(Report!L198&gt;100,"1")</f>
        <v>0</v>
      </c>
      <c r="F201" s="154" t="b">
        <f aca="false">IF(Report!L198&lt;-100,"1")</f>
        <v>0</v>
      </c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</row>
    <row r="202" customFormat="false" ht="15" hidden="false" customHeight="true" outlineLevel="0" collapsed="false">
      <c r="A202" s="151" t="str">
        <f aca="false">IF(Report!B199&gt;Report!P199,"1")</f>
        <v>1</v>
      </c>
      <c r="B202" s="155" t="b">
        <f aca="false">IF(Report!B199&lt;Report!P199,"1")</f>
        <v>0</v>
      </c>
      <c r="C202" s="154" t="b">
        <f aca="false">IF(Report!M199="Buy",1)</f>
        <v>0</v>
      </c>
      <c r="D202" s="154" t="b">
        <f aca="false">IF(Report!M199="Sell",1)</f>
        <v>0</v>
      </c>
      <c r="E202" s="154" t="b">
        <f aca="false">IF(Report!L199&gt;100,"1")</f>
        <v>0</v>
      </c>
      <c r="F202" s="154" t="str">
        <f aca="false">IF(Report!L199&lt;-100,"1")</f>
        <v>1</v>
      </c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</row>
    <row r="203" customFormat="false" ht="15" hidden="false" customHeight="true" outlineLevel="0" collapsed="false">
      <c r="A203" s="154" t="b">
        <f aca="false">IF(Report!B200&gt;Report!P200,"1")</f>
        <v>0</v>
      </c>
      <c r="B203" s="156" t="str">
        <f aca="false">IF(Report!B200&lt;Report!P200,"1")</f>
        <v>1</v>
      </c>
      <c r="C203" s="154" t="b">
        <f aca="false">IF(Report!M200="Buy",1)</f>
        <v>0</v>
      </c>
      <c r="D203" s="154" t="b">
        <f aca="false">IF(Report!M200="Sell",1)</f>
        <v>0</v>
      </c>
      <c r="E203" s="154" t="b">
        <f aca="false">IF(Report!L200&gt;100,"1")</f>
        <v>0</v>
      </c>
      <c r="F203" s="151" t="str">
        <f aca="false">IF(Report!L200&lt;-100,"1")</f>
        <v>1</v>
      </c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</row>
    <row r="204" customFormat="false" ht="15" hidden="false" customHeight="true" outlineLevel="0" collapsed="false">
      <c r="A204" s="154" t="b">
        <f aca="false">IF(Report!B201&gt;Report!P201,"1")</f>
        <v>0</v>
      </c>
      <c r="B204" s="156" t="str">
        <f aca="false">IF(Report!B201&lt;Report!P201,"1")</f>
        <v>1</v>
      </c>
      <c r="C204" s="154" t="b">
        <f aca="false">IF(Report!M201="Buy",1)</f>
        <v>0</v>
      </c>
      <c r="D204" s="154" t="b">
        <f aca="false">IF(Report!M201="Sell",1)</f>
        <v>0</v>
      </c>
      <c r="E204" s="154" t="b">
        <f aca="false">IF(Report!L201&gt;100,"1")</f>
        <v>0</v>
      </c>
      <c r="F204" s="154" t="str">
        <f aca="false">IF(Report!L201&lt;-100,"1")</f>
        <v>1</v>
      </c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</row>
    <row r="205" customFormat="false" ht="15" hidden="false" customHeight="true" outlineLevel="0" collapsed="false">
      <c r="A205" s="151" t="str">
        <f aca="false">IF(Report!B202&gt;Report!P202,"1")</f>
        <v>1</v>
      </c>
      <c r="B205" s="155" t="b">
        <f aca="false">IF(Report!B202&lt;Report!P202,"1")</f>
        <v>0</v>
      </c>
      <c r="C205" s="154" t="b">
        <f aca="false">IF(Report!M202="Buy",1)</f>
        <v>0</v>
      </c>
      <c r="D205" s="154" t="b">
        <f aca="false">IF(Report!M202="Sell",1)</f>
        <v>0</v>
      </c>
      <c r="E205" s="154" t="b">
        <f aca="false">IF(Report!L202&gt;100,"1")</f>
        <v>0</v>
      </c>
      <c r="F205" s="154" t="str">
        <f aca="false">IF(Report!L202&lt;-100,"1")</f>
        <v>1</v>
      </c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</row>
    <row r="206" customFormat="false" ht="15" hidden="false" customHeight="true" outlineLevel="0" collapsed="false">
      <c r="A206" s="154" t="b">
        <f aca="false">IF(Report!B203&gt;Report!P203,"1")</f>
        <v>0</v>
      </c>
      <c r="B206" s="155" t="str">
        <f aca="false">IF(Report!B203&lt;Report!P203,"1")</f>
        <v>1</v>
      </c>
      <c r="C206" s="154" t="b">
        <f aca="false">IF(Report!M203="Buy",1)</f>
        <v>0</v>
      </c>
      <c r="D206" s="154" t="b">
        <f aca="false">IF(Report!M203="Sell",1)</f>
        <v>0</v>
      </c>
      <c r="E206" s="154" t="b">
        <f aca="false">IF(Report!L203&gt;100,"1")</f>
        <v>0</v>
      </c>
      <c r="F206" s="154" t="str">
        <f aca="false">IF(Report!L203&lt;-100,"1")</f>
        <v>1</v>
      </c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</row>
    <row r="207" customFormat="false" ht="15" hidden="false" customHeight="true" outlineLevel="0" collapsed="false">
      <c r="A207" s="154" t="b">
        <f aca="false">IF(Report!B204&gt;Report!P204,"1")</f>
        <v>0</v>
      </c>
      <c r="B207" s="156" t="str">
        <f aca="false">IF(Report!B204&lt;Report!P204,"1")</f>
        <v>1</v>
      </c>
      <c r="C207" s="154" t="b">
        <f aca="false">IF(Report!M204="Buy",1)</f>
        <v>0</v>
      </c>
      <c r="D207" s="154" t="b">
        <f aca="false">IF(Report!M204="Sell",1)</f>
        <v>0</v>
      </c>
      <c r="E207" s="154" t="b">
        <f aca="false">IF(Report!L204&gt;100,"1")</f>
        <v>0</v>
      </c>
      <c r="F207" s="154" t="str">
        <f aca="false">IF(Report!L204&lt;-100,"1")</f>
        <v>1</v>
      </c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</row>
    <row r="208" customFormat="false" ht="15" hidden="false" customHeight="true" outlineLevel="0" collapsed="false">
      <c r="A208" s="154" t="b">
        <f aca="false">IF(Report!B205&gt;Report!P205,"1")</f>
        <v>0</v>
      </c>
      <c r="B208" s="156" t="str">
        <f aca="false">IF(Report!B205&lt;Report!P205,"1")</f>
        <v>1</v>
      </c>
      <c r="C208" s="154" t="b">
        <f aca="false">IF(Report!M205="Buy",1)</f>
        <v>0</v>
      </c>
      <c r="D208" s="154" t="b">
        <f aca="false">IF(Report!M205="Sell",1)</f>
        <v>0</v>
      </c>
      <c r="E208" s="154" t="b">
        <f aca="false">IF(Report!L205&gt;100,"1")</f>
        <v>0</v>
      </c>
      <c r="F208" s="154" t="str">
        <f aca="false">IF(Report!L205&lt;-100,"1")</f>
        <v>1</v>
      </c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</row>
    <row r="209" customFormat="false" ht="15" hidden="false" customHeight="true" outlineLevel="0" collapsed="false">
      <c r="A209" s="154" t="b">
        <f aca="false">IF(Report!B206&gt;Report!P206,"1")</f>
        <v>0</v>
      </c>
      <c r="B209" s="156" t="str">
        <f aca="false">IF(Report!B206&lt;Report!P206,"1")</f>
        <v>1</v>
      </c>
      <c r="C209" s="154" t="b">
        <f aca="false">IF(Report!M206="Buy",1)</f>
        <v>0</v>
      </c>
      <c r="D209" s="154" t="b">
        <f aca="false">IF(Report!M206="Sell",1)</f>
        <v>0</v>
      </c>
      <c r="E209" s="154" t="b">
        <f aca="false">IF(Report!L206&gt;100,"1")</f>
        <v>0</v>
      </c>
      <c r="F209" s="151" t="str">
        <f aca="false">IF(Report!L206&lt;-100,"1")</f>
        <v>1</v>
      </c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</row>
    <row r="210" customFormat="false" ht="15" hidden="false" customHeight="true" outlineLevel="0" collapsed="false">
      <c r="A210" s="154" t="b">
        <f aca="false">IF(Report!B207&gt;Report!P207,"1")</f>
        <v>0</v>
      </c>
      <c r="B210" s="156" t="str">
        <f aca="false">IF(Report!B207&lt;Report!P207,"1")</f>
        <v>1</v>
      </c>
      <c r="C210" s="154" t="b">
        <f aca="false">IF(Report!M207="Buy",1)</f>
        <v>0</v>
      </c>
      <c r="D210" s="154" t="b">
        <f aca="false">IF(Report!M207="Sell",1)</f>
        <v>0</v>
      </c>
      <c r="E210" s="154" t="b">
        <f aca="false">IF(Report!L207&gt;100,"1")</f>
        <v>0</v>
      </c>
      <c r="F210" s="151" t="str">
        <f aca="false">IF(Report!L207&lt;-100,"1")</f>
        <v>1</v>
      </c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</row>
    <row r="211" customFormat="false" ht="15" hidden="false" customHeight="true" outlineLevel="0" collapsed="false">
      <c r="A211" s="154" t="b">
        <f aca="false">IF(Report!B208&gt;Report!P208,"1")</f>
        <v>0</v>
      </c>
      <c r="B211" s="155" t="str">
        <f aca="false">IF(Report!B208&lt;Report!P208,"1")</f>
        <v>1</v>
      </c>
      <c r="C211" s="154" t="b">
        <f aca="false">IF(Report!M208="Buy",1)</f>
        <v>0</v>
      </c>
      <c r="D211" s="154" t="b">
        <f aca="false">IF(Report!M208="Sell",1)</f>
        <v>0</v>
      </c>
      <c r="E211" s="154" t="b">
        <f aca="false">IF(Report!L208&gt;100,"1")</f>
        <v>0</v>
      </c>
      <c r="F211" s="154" t="str">
        <f aca="false">IF(Report!L208&lt;-100,"1")</f>
        <v>1</v>
      </c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</row>
    <row r="212" customFormat="false" ht="15" hidden="false" customHeight="true" outlineLevel="0" collapsed="false">
      <c r="A212" s="154" t="b">
        <f aca="false">IF(Report!B209&gt;Report!P209,"1")</f>
        <v>0</v>
      </c>
      <c r="B212" s="155" t="str">
        <f aca="false">IF(Report!B209&lt;Report!P209,"1")</f>
        <v>1</v>
      </c>
      <c r="C212" s="154" t="b">
        <f aca="false">IF(Report!M209="Buy",1)</f>
        <v>0</v>
      </c>
      <c r="D212" s="154" t="b">
        <f aca="false">IF(Report!M209="Sell",1)</f>
        <v>0</v>
      </c>
      <c r="E212" s="154" t="b">
        <f aca="false">IF(Report!L209&gt;100,"1")</f>
        <v>0</v>
      </c>
      <c r="F212" s="154" t="str">
        <f aca="false">IF(Report!L209&lt;-100,"1")</f>
        <v>1</v>
      </c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</row>
    <row r="213" customFormat="false" ht="15" hidden="false" customHeight="true" outlineLevel="0" collapsed="false">
      <c r="A213" s="154" t="b">
        <f aca="false">IF(Report!B210&gt;Report!P210,"1")</f>
        <v>0</v>
      </c>
      <c r="B213" s="156" t="str">
        <f aca="false">IF(Report!B210&lt;Report!P210,"1")</f>
        <v>1</v>
      </c>
      <c r="C213" s="154" t="b">
        <f aca="false">IF(Report!M210="Buy",1)</f>
        <v>0</v>
      </c>
      <c r="D213" s="154" t="b">
        <f aca="false">IF(Report!M210="Sell",1)</f>
        <v>0</v>
      </c>
      <c r="E213" s="154" t="b">
        <f aca="false">IF(Report!L210&gt;100,"1")</f>
        <v>0</v>
      </c>
      <c r="F213" s="154" t="str">
        <f aca="false">IF(Report!L210&lt;-100,"1")</f>
        <v>1</v>
      </c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</row>
    <row r="214" customFormat="false" ht="15" hidden="false" customHeight="true" outlineLevel="0" collapsed="false">
      <c r="A214" s="154" t="b">
        <f aca="false">IF(Report!B211&gt;Report!P211,"1")</f>
        <v>0</v>
      </c>
      <c r="B214" s="155" t="str">
        <f aca="false">IF(Report!B211&lt;Report!P211,"1")</f>
        <v>1</v>
      </c>
      <c r="C214" s="154" t="b">
        <f aca="false">IF(Report!M211="Buy",1)</f>
        <v>0</v>
      </c>
      <c r="D214" s="154" t="b">
        <f aca="false">IF(Report!M211="Sell",1)</f>
        <v>0</v>
      </c>
      <c r="E214" s="154" t="b">
        <f aca="false">IF(Report!L211&gt;100,"1")</f>
        <v>0</v>
      </c>
      <c r="F214" s="151" t="str">
        <f aca="false">IF(Report!L211&lt;-100,"1")</f>
        <v>1</v>
      </c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</row>
    <row r="215" customFormat="false" ht="15" hidden="false" customHeight="true" outlineLevel="0" collapsed="false">
      <c r="A215" s="154" t="b">
        <f aca="false">IF(Report!B212&gt;Report!P212,"1")</f>
        <v>0</v>
      </c>
      <c r="B215" s="156" t="str">
        <f aca="false">IF(Report!B212&lt;Report!P212,"1")</f>
        <v>1</v>
      </c>
      <c r="C215" s="154" t="b">
        <f aca="false">IF(Report!M212="Buy",1)</f>
        <v>0</v>
      </c>
      <c r="D215" s="154" t="b">
        <f aca="false">IF(Report!M212="Sell",1)</f>
        <v>0</v>
      </c>
      <c r="E215" s="154" t="b">
        <f aca="false">IF(Report!L212&gt;100,"1")</f>
        <v>0</v>
      </c>
      <c r="F215" s="151" t="str">
        <f aca="false">IF(Report!L212&lt;-100,"1")</f>
        <v>1</v>
      </c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</row>
    <row r="216" customFormat="false" ht="15" hidden="false" customHeight="true" outlineLevel="0" collapsed="false">
      <c r="A216" s="154" t="b">
        <f aca="false">IF(Report!B213&gt;Report!P213,"1")</f>
        <v>0</v>
      </c>
      <c r="B216" s="156" t="str">
        <f aca="false">IF(Report!B213&lt;Report!P213,"1")</f>
        <v>1</v>
      </c>
      <c r="C216" s="154" t="b">
        <f aca="false">IF(Report!M213="Buy",1)</f>
        <v>0</v>
      </c>
      <c r="D216" s="154" t="b">
        <f aca="false">IF(Report!M213="Sell",1)</f>
        <v>0</v>
      </c>
      <c r="E216" s="154" t="b">
        <f aca="false">IF(Report!L213&gt;100,"1")</f>
        <v>0</v>
      </c>
      <c r="F216" s="151" t="str">
        <f aca="false">IF(Report!L213&lt;-100,"1")</f>
        <v>1</v>
      </c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</row>
    <row r="217" customFormat="false" ht="15" hidden="false" customHeight="true" outlineLevel="0" collapsed="false">
      <c r="A217" s="154" t="b">
        <f aca="false">IF(Report!B214&gt;Report!P214,"1")</f>
        <v>0</v>
      </c>
      <c r="B217" s="156" t="str">
        <f aca="false">IF(Report!B214&lt;Report!P214,"1")</f>
        <v>1</v>
      </c>
      <c r="C217" s="154" t="b">
        <f aca="false">IF(Report!M214="Buy",1)</f>
        <v>0</v>
      </c>
      <c r="D217" s="154" t="b">
        <f aca="false">IF(Report!M214="Sell",1)</f>
        <v>0</v>
      </c>
      <c r="E217" s="154" t="b">
        <f aca="false">IF(Report!L214&gt;100,"1")</f>
        <v>0</v>
      </c>
      <c r="F217" s="151" t="str">
        <f aca="false">IF(Report!L214&lt;-100,"1")</f>
        <v>1</v>
      </c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</row>
    <row r="218" customFormat="false" ht="15" hidden="false" customHeight="true" outlineLevel="0" collapsed="false">
      <c r="A218" s="154" t="b">
        <f aca="false">IF(Report!B215&gt;Report!P215,"1")</f>
        <v>0</v>
      </c>
      <c r="B218" s="156" t="str">
        <f aca="false">IF(Report!B215&lt;Report!P215,"1")</f>
        <v>1</v>
      </c>
      <c r="C218" s="154" t="b">
        <f aca="false">IF(Report!M215="Buy",1)</f>
        <v>0</v>
      </c>
      <c r="D218" s="154" t="b">
        <f aca="false">IF(Report!M215="Sell",1)</f>
        <v>0</v>
      </c>
      <c r="E218" s="154" t="b">
        <f aca="false">IF(Report!L215&gt;100,"1")</f>
        <v>0</v>
      </c>
      <c r="F218" s="151" t="str">
        <f aca="false">IF(Report!L215&lt;-100,"1")</f>
        <v>1</v>
      </c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</row>
    <row r="219" customFormat="false" ht="15" hidden="false" customHeight="true" outlineLevel="0" collapsed="false">
      <c r="A219" s="154" t="b">
        <f aca="false">IF(Report!B216&gt;Report!P216,"1")</f>
        <v>0</v>
      </c>
      <c r="B219" s="156" t="str">
        <f aca="false">IF(Report!B216&lt;Report!P216,"1")</f>
        <v>1</v>
      </c>
      <c r="C219" s="154" t="b">
        <f aca="false">IF(Report!M216="Buy",1)</f>
        <v>0</v>
      </c>
      <c r="D219" s="154" t="b">
        <f aca="false">IF(Report!M216="Sell",1)</f>
        <v>0</v>
      </c>
      <c r="E219" s="154" t="b">
        <f aca="false">IF(Report!L216&gt;100,"1")</f>
        <v>0</v>
      </c>
      <c r="F219" s="154" t="str">
        <f aca="false">IF(Report!L216&lt;-100,"1")</f>
        <v>1</v>
      </c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</row>
    <row r="220" customFormat="false" ht="15" hidden="false" customHeight="true" outlineLevel="0" collapsed="false">
      <c r="A220" s="154" t="b">
        <f aca="false">IF(Report!B217&gt;Report!P217,"1")</f>
        <v>0</v>
      </c>
      <c r="B220" s="156" t="str">
        <f aca="false">IF(Report!B217&lt;Report!P217,"1")</f>
        <v>1</v>
      </c>
      <c r="C220" s="154" t="b">
        <f aca="false">IF(Report!M217="Buy",1)</f>
        <v>0</v>
      </c>
      <c r="D220" s="154" t="n">
        <f aca="false">IF(Report!M217="Sell",1)</f>
        <v>1</v>
      </c>
      <c r="E220" s="154" t="b">
        <f aca="false">IF(Report!L217&gt;100,"1")</f>
        <v>0</v>
      </c>
      <c r="F220" s="151" t="str">
        <f aca="false">IF(Report!L217&lt;-100,"1")</f>
        <v>1</v>
      </c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</row>
    <row r="221" customFormat="false" ht="15" hidden="false" customHeight="true" outlineLevel="0" collapsed="false">
      <c r="A221" s="154" t="b">
        <f aca="false">IF(Report!B218&gt;Report!P218,"1")</f>
        <v>0</v>
      </c>
      <c r="B221" s="156" t="str">
        <f aca="false">IF(Report!B218&lt;Report!P218,"1")</f>
        <v>1</v>
      </c>
      <c r="C221" s="154" t="b">
        <f aca="false">IF(Report!M218="Buy",1)</f>
        <v>0</v>
      </c>
      <c r="D221" s="154" t="b">
        <f aca="false">IF(Report!M218="Sell",1)</f>
        <v>0</v>
      </c>
      <c r="E221" s="154" t="b">
        <f aca="false">IF(Report!L218&gt;100,"1")</f>
        <v>0</v>
      </c>
      <c r="F221" s="151" t="str">
        <f aca="false">IF(Report!L218&lt;-100,"1")</f>
        <v>1</v>
      </c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</row>
    <row r="222" customFormat="false" ht="15" hidden="false" customHeight="true" outlineLevel="0" collapsed="false">
      <c r="A222" s="154" t="b">
        <f aca="false">IF(Report!B219&gt;Report!P219,"1")</f>
        <v>0</v>
      </c>
      <c r="B222" s="155" t="str">
        <f aca="false">IF(Report!B219&lt;Report!P219,"1")</f>
        <v>1</v>
      </c>
      <c r="C222" s="154" t="b">
        <f aca="false">IF(Report!M219="Buy",1)</f>
        <v>0</v>
      </c>
      <c r="D222" s="154" t="b">
        <f aca="false">IF(Report!M219="Sell",1)</f>
        <v>0</v>
      </c>
      <c r="E222" s="154" t="b">
        <f aca="false">IF(Report!L219&gt;100,"1")</f>
        <v>0</v>
      </c>
      <c r="F222" s="154" t="str">
        <f aca="false">IF(Report!L219&lt;-100,"1")</f>
        <v>1</v>
      </c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</row>
    <row r="223" customFormat="false" ht="15" hidden="false" customHeight="true" outlineLevel="0" collapsed="false">
      <c r="A223" s="154" t="b">
        <f aca="false">IF(Report!B220&gt;Report!P220,"1")</f>
        <v>0</v>
      </c>
      <c r="B223" s="156" t="str">
        <f aca="false">IF(Report!B220&lt;Report!P220,"1")</f>
        <v>1</v>
      </c>
      <c r="C223" s="154" t="b">
        <f aca="false">IF(Report!M220="Buy",1)</f>
        <v>0</v>
      </c>
      <c r="D223" s="154" t="b">
        <f aca="false">IF(Report!M220="Sell",1)</f>
        <v>0</v>
      </c>
      <c r="E223" s="154" t="b">
        <f aca="false">IF(Report!L220&gt;100,"1")</f>
        <v>0</v>
      </c>
      <c r="F223" s="151" t="str">
        <f aca="false">IF(Report!L220&lt;-100,"1")</f>
        <v>1</v>
      </c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</row>
    <row r="224" customFormat="false" ht="15" hidden="false" customHeight="true" outlineLevel="0" collapsed="false">
      <c r="A224" s="154" t="b">
        <f aca="false">IF(Report!B221&gt;Report!P221,"1")</f>
        <v>0</v>
      </c>
      <c r="B224" s="156" t="str">
        <f aca="false">IF(Report!B221&lt;Report!P221,"1")</f>
        <v>1</v>
      </c>
      <c r="C224" s="154" t="b">
        <f aca="false">IF(Report!M221="Buy",1)</f>
        <v>0</v>
      </c>
      <c r="D224" s="154" t="b">
        <f aca="false">IF(Report!M221="Sell",1)</f>
        <v>0</v>
      </c>
      <c r="E224" s="154" t="b">
        <f aca="false">IF(Report!L221&gt;100,"1")</f>
        <v>0</v>
      </c>
      <c r="F224" s="151" t="str">
        <f aca="false">IF(Report!L221&lt;-100,"1")</f>
        <v>1</v>
      </c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</row>
    <row r="225" customFormat="false" ht="15" hidden="false" customHeight="true" outlineLevel="0" collapsed="false">
      <c r="A225" s="151" t="e">
        <f aca="false">IF(#REF!&gt;#REF!,"1")</f>
        <v>#REF!</v>
      </c>
      <c r="B225" s="156" t="e">
        <f aca="false">IF(#REF!&lt;#REF!,"1")</f>
        <v>#REF!</v>
      </c>
      <c r="C225" s="151" t="e">
        <f aca="false">IF(#REF!="Buy",1)</f>
        <v>#REF!</v>
      </c>
      <c r="D225" s="151" t="e">
        <f aca="false">IF(#REF!="Sell",1)</f>
        <v>#REF!</v>
      </c>
      <c r="E225" s="151" t="e">
        <f aca="false">IF(#REF!&gt;100,"1")</f>
        <v>#REF!</v>
      </c>
      <c r="F225" s="151" t="e">
        <f aca="false">IF(#REF!&lt;-100,"1")</f>
        <v>#REF!</v>
      </c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</row>
    <row r="226" customFormat="false" ht="15" hidden="false" customHeight="true" outlineLevel="0" collapsed="false">
      <c r="A226" s="151" t="e">
        <f aca="false">IF(#REF!&gt;#REF!,"1")</f>
        <v>#REF!</v>
      </c>
      <c r="B226" s="156" t="e">
        <f aca="false">IF(#REF!&lt;#REF!,"1")</f>
        <v>#REF!</v>
      </c>
      <c r="C226" s="151" t="e">
        <f aca="false">IF(#REF!="Buy",1)</f>
        <v>#REF!</v>
      </c>
      <c r="D226" s="151" t="e">
        <f aca="false">IF(#REF!="Sell",1)</f>
        <v>#REF!</v>
      </c>
      <c r="E226" s="151" t="e">
        <f aca="false">IF(#REF!&gt;100,"1")</f>
        <v>#REF!</v>
      </c>
      <c r="F226" s="151" t="e">
        <f aca="false">IF(#REF!&lt;-100,"1")</f>
        <v>#REF!</v>
      </c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</row>
    <row r="227" customFormat="false" ht="15" hidden="false" customHeight="true" outlineLevel="0" collapsed="false">
      <c r="A227" s="151" t="e">
        <f aca="false">IF(#REF!&gt;#REF!,"1")</f>
        <v>#REF!</v>
      </c>
      <c r="B227" s="156" t="e">
        <f aca="false">IF(#REF!&lt;#REF!,"1")</f>
        <v>#REF!</v>
      </c>
      <c r="C227" s="151" t="e">
        <f aca="false">IF(#REF!="Buy",1)</f>
        <v>#REF!</v>
      </c>
      <c r="D227" s="151" t="e">
        <f aca="false">IF(#REF!="Sell",1)</f>
        <v>#REF!</v>
      </c>
      <c r="E227" s="151" t="e">
        <f aca="false">IF(#REF!&gt;100,"1")</f>
        <v>#REF!</v>
      </c>
      <c r="F227" s="151" t="e">
        <f aca="false">IF(#REF!&lt;-100,"1")</f>
        <v>#REF!</v>
      </c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</row>
    <row r="228" customFormat="false" ht="15" hidden="false" customHeight="true" outlineLevel="0" collapsed="false">
      <c r="A228" s="151" t="e">
        <f aca="false">IF(#REF!&gt;#REF!,"1")</f>
        <v>#REF!</v>
      </c>
      <c r="B228" s="156" t="e">
        <f aca="false">IF(#REF!&lt;#REF!,"1")</f>
        <v>#REF!</v>
      </c>
      <c r="C228" s="151" t="e">
        <f aca="false">IF(#REF!="Buy",1)</f>
        <v>#REF!</v>
      </c>
      <c r="D228" s="151" t="e">
        <f aca="false">IF(#REF!="Sell",1)</f>
        <v>#REF!</v>
      </c>
      <c r="E228" s="151" t="e">
        <f aca="false">IF(#REF!&gt;100,"1")</f>
        <v>#REF!</v>
      </c>
      <c r="F228" s="151" t="e">
        <f aca="false">IF(#REF!&lt;-100,"1")</f>
        <v>#REF!</v>
      </c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</row>
    <row r="229" customFormat="false" ht="15" hidden="false" customHeight="true" outlineLevel="0" collapsed="false">
      <c r="A229" s="151" t="e">
        <f aca="false">IF(#REF!&gt;#REF!,"1")</f>
        <v>#REF!</v>
      </c>
      <c r="B229" s="156" t="e">
        <f aca="false">IF(#REF!&lt;#REF!,"1")</f>
        <v>#REF!</v>
      </c>
      <c r="C229" s="151" t="e">
        <f aca="false">IF(#REF!="Buy",1)</f>
        <v>#REF!</v>
      </c>
      <c r="D229" s="151" t="e">
        <f aca="false">IF(#REF!="Sell",1)</f>
        <v>#REF!</v>
      </c>
      <c r="E229" s="151" t="e">
        <f aca="false">IF(#REF!&gt;100,"1")</f>
        <v>#REF!</v>
      </c>
      <c r="F229" s="151" t="e">
        <f aca="false">IF(#REF!&lt;-100,"1")</f>
        <v>#REF!</v>
      </c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</row>
    <row r="230" customFormat="false" ht="15" hidden="false" customHeight="true" outlineLevel="0" collapsed="false">
      <c r="A230" s="151" t="e">
        <f aca="false">IF(#REF!&gt;#REF!,"1")</f>
        <v>#REF!</v>
      </c>
      <c r="B230" s="156" t="e">
        <f aca="false">IF(#REF!&lt;#REF!,"1")</f>
        <v>#REF!</v>
      </c>
      <c r="C230" s="151" t="e">
        <f aca="false">IF(#REF!="Buy",1)</f>
        <v>#REF!</v>
      </c>
      <c r="D230" s="151" t="e">
        <f aca="false">IF(#REF!="Sell",1)</f>
        <v>#REF!</v>
      </c>
      <c r="E230" s="151" t="e">
        <f aca="false">IF(#REF!&gt;100,"1")</f>
        <v>#REF!</v>
      </c>
      <c r="F230" s="151" t="e">
        <f aca="false">IF(#REF!&lt;-100,"1")</f>
        <v>#REF!</v>
      </c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</row>
    <row r="231" customFormat="false" ht="15" hidden="false" customHeight="true" outlineLevel="0" collapsed="false">
      <c r="A231" s="151"/>
      <c r="B231" s="156"/>
      <c r="C231" s="151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</row>
    <row r="232" customFormat="false" ht="12.75" hidden="false" customHeight="true" outlineLevel="0" collapsed="false">
      <c r="A232" s="151"/>
      <c r="B232" s="156"/>
      <c r="C232" s="151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</row>
    <row r="233" customFormat="false" ht="12.75" hidden="false" customHeight="true" outlineLevel="0" collapsed="false">
      <c r="A233" s="151"/>
      <c r="B233" s="156"/>
      <c r="C233" s="151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</row>
    <row r="234" customFormat="false" ht="12.75" hidden="false" customHeight="true" outlineLevel="0" collapsed="false">
      <c r="A234" s="151"/>
      <c r="B234" s="156"/>
      <c r="C234" s="151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</row>
    <row r="235" customFormat="false" ht="12.75" hidden="false" customHeight="true" outlineLevel="0" collapsed="false">
      <c r="A235" s="151"/>
      <c r="B235" s="156"/>
      <c r="C235" s="151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</row>
    <row r="236" customFormat="false" ht="12.75" hidden="false" customHeight="true" outlineLevel="0" collapsed="false">
      <c r="A236" s="151"/>
      <c r="B236" s="156"/>
      <c r="C236" s="151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</row>
    <row r="237" customFormat="false" ht="12.75" hidden="false" customHeight="true" outlineLevel="0" collapsed="false">
      <c r="A237" s="151"/>
      <c r="B237" s="156"/>
      <c r="C237" s="151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</row>
    <row r="238" customFormat="false" ht="12.75" hidden="false" customHeight="true" outlineLevel="0" collapsed="false">
      <c r="A238" s="151"/>
      <c r="B238" s="156"/>
      <c r="C238" s="151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</row>
    <row r="239" customFormat="false" ht="12.75" hidden="false" customHeight="true" outlineLevel="0" collapsed="false">
      <c r="A239" s="151"/>
      <c r="B239" s="156"/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151"/>
      <c r="W239" s="151"/>
      <c r="X239" s="151"/>
      <c r="Y239" s="151"/>
      <c r="Z239" s="151"/>
    </row>
    <row r="240" customFormat="false" ht="12.75" hidden="false" customHeight="true" outlineLevel="0" collapsed="false">
      <c r="A240" s="151"/>
      <c r="B240" s="156"/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R240" s="151"/>
      <c r="S240" s="151"/>
      <c r="T240" s="151"/>
      <c r="U240" s="151"/>
      <c r="V240" s="151"/>
      <c r="W240" s="151"/>
      <c r="X240" s="151"/>
      <c r="Y240" s="151"/>
      <c r="Z240" s="151"/>
    </row>
    <row r="241" customFormat="false" ht="12.75" hidden="false" customHeight="true" outlineLevel="0" collapsed="false">
      <c r="A241" s="151"/>
      <c r="B241" s="156"/>
      <c r="C241" s="151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151"/>
      <c r="W241" s="151"/>
      <c r="X241" s="151"/>
      <c r="Y241" s="151"/>
      <c r="Z241" s="151"/>
    </row>
    <row r="242" customFormat="false" ht="12.75" hidden="false" customHeight="true" outlineLevel="0" collapsed="false">
      <c r="A242" s="151"/>
      <c r="B242" s="156"/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  <c r="V242" s="151"/>
      <c r="W242" s="151"/>
      <c r="X242" s="151"/>
      <c r="Y242" s="151"/>
      <c r="Z242" s="151"/>
    </row>
    <row r="243" customFormat="false" ht="12.75" hidden="false" customHeight="true" outlineLevel="0" collapsed="false">
      <c r="A243" s="151"/>
      <c r="B243" s="156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</row>
    <row r="244" customFormat="false" ht="12.75" hidden="false" customHeight="true" outlineLevel="0" collapsed="false">
      <c r="A244" s="151"/>
      <c r="B244" s="156"/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  <c r="V244" s="151"/>
      <c r="W244" s="151"/>
      <c r="X244" s="151"/>
      <c r="Y244" s="151"/>
      <c r="Z244" s="151"/>
    </row>
    <row r="245" customFormat="false" ht="12.75" hidden="false" customHeight="true" outlineLevel="0" collapsed="false">
      <c r="A245" s="151"/>
      <c r="B245" s="156"/>
      <c r="C245" s="151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151"/>
      <c r="W245" s="151"/>
      <c r="X245" s="151"/>
      <c r="Y245" s="151"/>
      <c r="Z245" s="151"/>
    </row>
    <row r="246" customFormat="false" ht="12.75" hidden="false" customHeight="true" outlineLevel="0" collapsed="false">
      <c r="A246" s="151"/>
      <c r="B246" s="156"/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R246" s="151"/>
      <c r="S246" s="151"/>
      <c r="T246" s="151"/>
      <c r="U246" s="151"/>
      <c r="V246" s="151"/>
      <c r="W246" s="151"/>
      <c r="X246" s="151"/>
      <c r="Y246" s="151"/>
      <c r="Z246" s="151"/>
    </row>
    <row r="247" customFormat="false" ht="12.75" hidden="false" customHeight="true" outlineLevel="0" collapsed="false">
      <c r="A247" s="151"/>
      <c r="B247" s="156"/>
      <c r="C247" s="151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151"/>
      <c r="W247" s="151"/>
      <c r="X247" s="151"/>
      <c r="Y247" s="151"/>
      <c r="Z247" s="151"/>
    </row>
    <row r="248" customFormat="false" ht="12.75" hidden="false" customHeight="true" outlineLevel="0" collapsed="false">
      <c r="A248" s="151"/>
      <c r="B248" s="156"/>
      <c r="C248" s="151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51"/>
      <c r="T248" s="151"/>
      <c r="U248" s="151"/>
      <c r="V248" s="151"/>
      <c r="W248" s="151"/>
      <c r="X248" s="151"/>
      <c r="Y248" s="151"/>
      <c r="Z248" s="151"/>
    </row>
    <row r="249" customFormat="false" ht="12.75" hidden="false" customHeight="true" outlineLevel="0" collapsed="false">
      <c r="A249" s="151"/>
      <c r="B249" s="156"/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151"/>
      <c r="W249" s="151"/>
      <c r="X249" s="151"/>
      <c r="Y249" s="151"/>
      <c r="Z249" s="151"/>
    </row>
    <row r="250" customFormat="false" ht="12.75" hidden="false" customHeight="true" outlineLevel="0" collapsed="false">
      <c r="A250" s="151"/>
      <c r="B250" s="156"/>
      <c r="C250" s="151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R250" s="151"/>
      <c r="S250" s="151"/>
      <c r="T250" s="151"/>
      <c r="U250" s="151"/>
      <c r="V250" s="151"/>
      <c r="W250" s="151"/>
      <c r="X250" s="151"/>
      <c r="Y250" s="151"/>
      <c r="Z250" s="151"/>
    </row>
    <row r="251" customFormat="false" ht="12.75" hidden="false" customHeight="true" outlineLevel="0" collapsed="false">
      <c r="A251" s="151"/>
      <c r="B251" s="156"/>
      <c r="C251" s="151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151"/>
      <c r="W251" s="151"/>
      <c r="X251" s="151"/>
      <c r="Y251" s="151"/>
      <c r="Z251" s="151"/>
    </row>
    <row r="252" customFormat="false" ht="12.75" hidden="false" customHeight="true" outlineLevel="0" collapsed="false">
      <c r="A252" s="151"/>
      <c r="B252" s="156"/>
      <c r="C252" s="151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R252" s="151"/>
      <c r="S252" s="151"/>
      <c r="T252" s="151"/>
      <c r="U252" s="151"/>
      <c r="V252" s="151"/>
      <c r="W252" s="151"/>
      <c r="X252" s="151"/>
      <c r="Y252" s="151"/>
      <c r="Z252" s="151"/>
    </row>
    <row r="253" customFormat="false" ht="12.75" hidden="false" customHeight="true" outlineLevel="0" collapsed="false">
      <c r="A253" s="151"/>
      <c r="B253" s="156"/>
      <c r="C253" s="151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151"/>
      <c r="W253" s="151"/>
      <c r="X253" s="151"/>
      <c r="Y253" s="151"/>
      <c r="Z253" s="151"/>
    </row>
    <row r="254" customFormat="false" ht="12.75" hidden="false" customHeight="true" outlineLevel="0" collapsed="false">
      <c r="A254" s="151"/>
      <c r="B254" s="156"/>
      <c r="C254" s="151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R254" s="151"/>
      <c r="S254" s="151"/>
      <c r="T254" s="151"/>
      <c r="U254" s="151"/>
      <c r="V254" s="151"/>
      <c r="W254" s="151"/>
      <c r="X254" s="151"/>
      <c r="Y254" s="151"/>
      <c r="Z254" s="151"/>
    </row>
    <row r="255" customFormat="false" ht="12.75" hidden="false" customHeight="true" outlineLevel="0" collapsed="false">
      <c r="A255" s="151"/>
      <c r="B255" s="156"/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151"/>
      <c r="W255" s="151"/>
      <c r="X255" s="151"/>
      <c r="Y255" s="151"/>
      <c r="Z255" s="151"/>
    </row>
    <row r="256" customFormat="false" ht="12.75" hidden="false" customHeight="true" outlineLevel="0" collapsed="false">
      <c r="A256" s="151"/>
      <c r="B256" s="156"/>
      <c r="C256" s="151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R256" s="151"/>
      <c r="S256" s="151"/>
      <c r="T256" s="151"/>
      <c r="U256" s="151"/>
      <c r="V256" s="151"/>
      <c r="W256" s="151"/>
      <c r="X256" s="151"/>
      <c r="Y256" s="151"/>
      <c r="Z256" s="151"/>
    </row>
    <row r="257" customFormat="false" ht="12.75" hidden="false" customHeight="true" outlineLevel="0" collapsed="false">
      <c r="A257" s="151"/>
      <c r="B257" s="156"/>
      <c r="C257" s="151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151"/>
      <c r="W257" s="151"/>
      <c r="X257" s="151"/>
      <c r="Y257" s="151"/>
      <c r="Z257" s="151"/>
    </row>
    <row r="258" customFormat="false" ht="12.75" hidden="false" customHeight="true" outlineLevel="0" collapsed="false">
      <c r="A258" s="151"/>
      <c r="B258" s="156"/>
      <c r="C258" s="151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R258" s="151"/>
      <c r="S258" s="151"/>
      <c r="T258" s="151"/>
      <c r="U258" s="151"/>
      <c r="V258" s="151"/>
      <c r="W258" s="151"/>
      <c r="X258" s="151"/>
      <c r="Y258" s="151"/>
      <c r="Z258" s="151"/>
    </row>
    <row r="259" customFormat="false" ht="12.75" hidden="false" customHeight="true" outlineLevel="0" collapsed="false">
      <c r="A259" s="151"/>
      <c r="B259" s="156"/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151"/>
      <c r="W259" s="151"/>
      <c r="X259" s="151"/>
      <c r="Y259" s="151"/>
      <c r="Z259" s="151"/>
    </row>
    <row r="260" customFormat="false" ht="12.75" hidden="false" customHeight="true" outlineLevel="0" collapsed="false">
      <c r="A260" s="151"/>
      <c r="B260" s="156"/>
      <c r="C260" s="151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</row>
    <row r="261" customFormat="false" ht="12.75" hidden="false" customHeight="true" outlineLevel="0" collapsed="false">
      <c r="A261" s="151"/>
      <c r="B261" s="156"/>
      <c r="C261" s="151"/>
      <c r="D261" s="151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</row>
    <row r="262" customFormat="false" ht="12.75" hidden="false" customHeight="true" outlineLevel="0" collapsed="false">
      <c r="A262" s="151"/>
      <c r="B262" s="156"/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</row>
    <row r="263" customFormat="false" ht="12.75" hidden="false" customHeight="true" outlineLevel="0" collapsed="false">
      <c r="A263" s="151"/>
      <c r="B263" s="156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</row>
    <row r="264" customFormat="false" ht="12.75" hidden="false" customHeight="true" outlineLevel="0" collapsed="false">
      <c r="A264" s="151"/>
      <c r="B264" s="156"/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</row>
    <row r="265" customFormat="false" ht="12.75" hidden="false" customHeight="true" outlineLevel="0" collapsed="false">
      <c r="A265" s="151"/>
      <c r="B265" s="156"/>
      <c r="C265" s="151"/>
      <c r="D265" s="151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</row>
    <row r="266" customFormat="false" ht="12.75" hidden="false" customHeight="true" outlineLevel="0" collapsed="false">
      <c r="A266" s="151"/>
      <c r="B266" s="156"/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</row>
    <row r="267" customFormat="false" ht="12.75" hidden="false" customHeight="true" outlineLevel="0" collapsed="false">
      <c r="A267" s="151"/>
      <c r="B267" s="156"/>
      <c r="C267" s="151"/>
      <c r="D267" s="151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</row>
    <row r="268" customFormat="false" ht="12.75" hidden="false" customHeight="true" outlineLevel="0" collapsed="false">
      <c r="A268" s="151"/>
      <c r="B268" s="156"/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</row>
    <row r="269" customFormat="false" ht="12.75" hidden="false" customHeight="true" outlineLevel="0" collapsed="false">
      <c r="A269" s="151"/>
      <c r="B269" s="156"/>
      <c r="C269" s="151"/>
      <c r="D269" s="151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</row>
    <row r="270" customFormat="false" ht="12.75" hidden="false" customHeight="true" outlineLevel="0" collapsed="false">
      <c r="A270" s="151"/>
      <c r="B270" s="156"/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</row>
    <row r="271" customFormat="false" ht="12.75" hidden="false" customHeight="true" outlineLevel="0" collapsed="false">
      <c r="A271" s="151"/>
      <c r="B271" s="156"/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</row>
    <row r="272" customFormat="false" ht="12.75" hidden="false" customHeight="true" outlineLevel="0" collapsed="false">
      <c r="A272" s="151"/>
      <c r="B272" s="156"/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</row>
    <row r="273" customFormat="false" ht="12.75" hidden="false" customHeight="true" outlineLevel="0" collapsed="false">
      <c r="A273" s="151"/>
      <c r="B273" s="156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1"/>
      <c r="Y273" s="151"/>
      <c r="Z273" s="151"/>
    </row>
    <row r="274" customFormat="false" ht="12.75" hidden="false" customHeight="true" outlineLevel="0" collapsed="false">
      <c r="A274" s="151"/>
      <c r="B274" s="156"/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R274" s="151"/>
      <c r="S274" s="151"/>
      <c r="T274" s="151"/>
      <c r="U274" s="151"/>
      <c r="V274" s="151"/>
      <c r="W274" s="151"/>
      <c r="X274" s="151"/>
      <c r="Y274" s="151"/>
      <c r="Z274" s="151"/>
    </row>
    <row r="275" customFormat="false" ht="12.75" hidden="false" customHeight="true" outlineLevel="0" collapsed="false">
      <c r="A275" s="151"/>
      <c r="B275" s="156"/>
      <c r="C275" s="151"/>
      <c r="D275" s="151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151"/>
      <c r="W275" s="151"/>
      <c r="X275" s="151"/>
      <c r="Y275" s="151"/>
      <c r="Z275" s="151"/>
    </row>
    <row r="276" customFormat="false" ht="12.75" hidden="false" customHeight="true" outlineLevel="0" collapsed="false">
      <c r="A276" s="151"/>
      <c r="B276" s="156"/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X276" s="151"/>
      <c r="Y276" s="151"/>
      <c r="Z276" s="151"/>
    </row>
    <row r="277" customFormat="false" ht="12.75" hidden="false" customHeight="true" outlineLevel="0" collapsed="false">
      <c r="A277" s="151"/>
      <c r="B277" s="156"/>
      <c r="C277" s="151"/>
      <c r="D277" s="151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</row>
    <row r="278" customFormat="false" ht="12.75" hidden="false" customHeight="true" outlineLevel="0" collapsed="false">
      <c r="A278" s="151"/>
      <c r="B278" s="156"/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R278" s="151"/>
      <c r="S278" s="151"/>
      <c r="T278" s="151"/>
      <c r="U278" s="151"/>
      <c r="V278" s="151"/>
      <c r="W278" s="151"/>
      <c r="X278" s="151"/>
      <c r="Y278" s="151"/>
      <c r="Z278" s="151"/>
    </row>
    <row r="279" customFormat="false" ht="12.75" hidden="false" customHeight="true" outlineLevel="0" collapsed="false">
      <c r="A279" s="151"/>
      <c r="B279" s="156"/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151"/>
      <c r="W279" s="151"/>
      <c r="X279" s="151"/>
      <c r="Y279" s="151"/>
      <c r="Z279" s="151"/>
    </row>
    <row r="280" customFormat="false" ht="12.75" hidden="false" customHeight="true" outlineLevel="0" collapsed="false">
      <c r="A280" s="151"/>
      <c r="B280" s="156"/>
      <c r="C280" s="151"/>
      <c r="D280" s="151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R280" s="151"/>
      <c r="S280" s="151"/>
      <c r="T280" s="151"/>
      <c r="U280" s="151"/>
      <c r="V280" s="151"/>
      <c r="W280" s="151"/>
      <c r="X280" s="151"/>
      <c r="Y280" s="151"/>
      <c r="Z280" s="151"/>
    </row>
    <row r="281" customFormat="false" ht="12.75" hidden="false" customHeight="true" outlineLevel="0" collapsed="false">
      <c r="A281" s="151"/>
      <c r="B281" s="156"/>
      <c r="C281" s="151"/>
      <c r="D281" s="151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151"/>
      <c r="W281" s="151"/>
      <c r="X281" s="151"/>
      <c r="Y281" s="151"/>
      <c r="Z281" s="151"/>
    </row>
    <row r="282" customFormat="false" ht="12.75" hidden="false" customHeight="true" outlineLevel="0" collapsed="false">
      <c r="A282" s="151"/>
      <c r="B282" s="156"/>
      <c r="C282" s="151"/>
      <c r="D282" s="151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R282" s="151"/>
      <c r="S282" s="151"/>
      <c r="T282" s="151"/>
      <c r="U282" s="151"/>
      <c r="V282" s="151"/>
      <c r="W282" s="151"/>
      <c r="X282" s="151"/>
      <c r="Y282" s="151"/>
      <c r="Z282" s="151"/>
    </row>
    <row r="283" customFormat="false" ht="12.75" hidden="false" customHeight="true" outlineLevel="0" collapsed="false">
      <c r="A283" s="151"/>
      <c r="B283" s="156"/>
      <c r="C283" s="151"/>
      <c r="D283" s="151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151"/>
      <c r="W283" s="151"/>
      <c r="X283" s="151"/>
      <c r="Y283" s="151"/>
      <c r="Z283" s="151"/>
    </row>
    <row r="284" customFormat="false" ht="12.75" hidden="false" customHeight="true" outlineLevel="0" collapsed="false">
      <c r="A284" s="151"/>
      <c r="B284" s="156"/>
      <c r="C284" s="151"/>
      <c r="D284" s="151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R284" s="151"/>
      <c r="S284" s="151"/>
      <c r="T284" s="151"/>
      <c r="U284" s="151"/>
      <c r="V284" s="151"/>
      <c r="W284" s="151"/>
      <c r="X284" s="151"/>
      <c r="Y284" s="151"/>
      <c r="Z284" s="151"/>
    </row>
    <row r="285" customFormat="false" ht="12.75" hidden="false" customHeight="true" outlineLevel="0" collapsed="false">
      <c r="A285" s="151"/>
      <c r="B285" s="156"/>
      <c r="C285" s="151"/>
      <c r="D285" s="151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151"/>
      <c r="W285" s="151"/>
      <c r="X285" s="151"/>
      <c r="Y285" s="151"/>
      <c r="Z285" s="151"/>
    </row>
    <row r="286" customFormat="false" ht="12.75" hidden="false" customHeight="true" outlineLevel="0" collapsed="false">
      <c r="A286" s="151"/>
      <c r="B286" s="156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</row>
    <row r="287" customFormat="false" ht="12.75" hidden="false" customHeight="true" outlineLevel="0" collapsed="false">
      <c r="A287" s="151"/>
      <c r="B287" s="156"/>
      <c r="C287" s="151"/>
      <c r="D287" s="151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151"/>
      <c r="W287" s="151"/>
      <c r="X287" s="151"/>
      <c r="Y287" s="151"/>
      <c r="Z287" s="151"/>
    </row>
    <row r="288" customFormat="false" ht="12.75" hidden="false" customHeight="true" outlineLevel="0" collapsed="false">
      <c r="A288" s="151"/>
      <c r="B288" s="156"/>
      <c r="C288" s="151"/>
      <c r="D288" s="151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R288" s="151"/>
      <c r="S288" s="151"/>
      <c r="T288" s="151"/>
      <c r="U288" s="151"/>
      <c r="V288" s="151"/>
      <c r="W288" s="151"/>
      <c r="X288" s="151"/>
      <c r="Y288" s="151"/>
      <c r="Z288" s="151"/>
    </row>
    <row r="289" customFormat="false" ht="12.75" hidden="false" customHeight="true" outlineLevel="0" collapsed="false">
      <c r="A289" s="151"/>
      <c r="B289" s="156"/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151"/>
      <c r="W289" s="151"/>
      <c r="X289" s="151"/>
      <c r="Y289" s="151"/>
      <c r="Z289" s="151"/>
    </row>
    <row r="290" customFormat="false" ht="12.75" hidden="false" customHeight="true" outlineLevel="0" collapsed="false">
      <c r="A290" s="151"/>
      <c r="B290" s="156"/>
      <c r="C290" s="151"/>
      <c r="D290" s="151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R290" s="151"/>
      <c r="S290" s="151"/>
      <c r="T290" s="151"/>
      <c r="U290" s="151"/>
      <c r="V290" s="151"/>
      <c r="W290" s="151"/>
      <c r="X290" s="151"/>
      <c r="Y290" s="151"/>
      <c r="Z290" s="151"/>
    </row>
    <row r="291" customFormat="false" ht="12.75" hidden="false" customHeight="true" outlineLevel="0" collapsed="false">
      <c r="A291" s="151"/>
      <c r="B291" s="156"/>
      <c r="C291" s="151"/>
      <c r="D291" s="151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151"/>
      <c r="W291" s="151"/>
      <c r="X291" s="151"/>
      <c r="Y291" s="151"/>
      <c r="Z291" s="151"/>
    </row>
    <row r="292" customFormat="false" ht="12.75" hidden="false" customHeight="true" outlineLevel="0" collapsed="false">
      <c r="A292" s="151"/>
      <c r="B292" s="156"/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R292" s="151"/>
      <c r="S292" s="151"/>
      <c r="T292" s="151"/>
      <c r="U292" s="151"/>
      <c r="V292" s="151"/>
      <c r="W292" s="151"/>
      <c r="X292" s="151"/>
      <c r="Y292" s="151"/>
      <c r="Z292" s="151"/>
    </row>
    <row r="293" customFormat="false" ht="12.75" hidden="false" customHeight="true" outlineLevel="0" collapsed="false">
      <c r="A293" s="151"/>
      <c r="B293" s="156"/>
      <c r="C293" s="151"/>
      <c r="D293" s="151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151"/>
      <c r="W293" s="151"/>
      <c r="X293" s="151"/>
      <c r="Y293" s="151"/>
      <c r="Z293" s="151"/>
    </row>
    <row r="294" customFormat="false" ht="12.75" hidden="false" customHeight="true" outlineLevel="0" collapsed="false">
      <c r="A294" s="151"/>
      <c r="B294" s="156"/>
      <c r="C294" s="151"/>
      <c r="D294" s="151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R294" s="151"/>
      <c r="S294" s="151"/>
      <c r="T294" s="151"/>
      <c r="U294" s="151"/>
      <c r="V294" s="151"/>
      <c r="W294" s="151"/>
      <c r="X294" s="151"/>
      <c r="Y294" s="151"/>
      <c r="Z294" s="151"/>
    </row>
    <row r="295" customFormat="false" ht="12.75" hidden="false" customHeight="true" outlineLevel="0" collapsed="false">
      <c r="A295" s="151"/>
      <c r="B295" s="156"/>
      <c r="C295" s="151"/>
      <c r="D295" s="151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151"/>
      <c r="W295" s="151"/>
      <c r="X295" s="151"/>
      <c r="Y295" s="151"/>
      <c r="Z295" s="151"/>
    </row>
    <row r="296" customFormat="false" ht="12.75" hidden="false" customHeight="true" outlineLevel="0" collapsed="false">
      <c r="A296" s="151"/>
      <c r="B296" s="156"/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R296" s="151"/>
      <c r="S296" s="151"/>
      <c r="T296" s="151"/>
      <c r="U296" s="151"/>
      <c r="V296" s="151"/>
      <c r="W296" s="151"/>
      <c r="X296" s="151"/>
      <c r="Y296" s="151"/>
      <c r="Z296" s="151"/>
    </row>
    <row r="297" customFormat="false" ht="12.75" hidden="false" customHeight="true" outlineLevel="0" collapsed="false">
      <c r="A297" s="151"/>
      <c r="B297" s="156"/>
      <c r="C297" s="151"/>
      <c r="D297" s="151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151"/>
      <c r="W297" s="151"/>
      <c r="X297" s="151"/>
      <c r="Y297" s="151"/>
      <c r="Z297" s="151"/>
    </row>
    <row r="298" customFormat="false" ht="12.75" hidden="false" customHeight="true" outlineLevel="0" collapsed="false">
      <c r="A298" s="151"/>
      <c r="B298" s="156"/>
      <c r="C298" s="151"/>
      <c r="D298" s="151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R298" s="151"/>
      <c r="S298" s="151"/>
      <c r="T298" s="151"/>
      <c r="U298" s="151"/>
      <c r="V298" s="151"/>
      <c r="W298" s="151"/>
      <c r="X298" s="151"/>
      <c r="Y298" s="151"/>
      <c r="Z298" s="151"/>
    </row>
    <row r="299" customFormat="false" ht="12.75" hidden="false" customHeight="true" outlineLevel="0" collapsed="false">
      <c r="A299" s="151"/>
      <c r="B299" s="156"/>
      <c r="C299" s="151"/>
      <c r="D299" s="151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151"/>
      <c r="W299" s="151"/>
      <c r="X299" s="151"/>
      <c r="Y299" s="151"/>
      <c r="Z299" s="151"/>
    </row>
    <row r="300" customFormat="false" ht="12.75" hidden="false" customHeight="true" outlineLevel="0" collapsed="false">
      <c r="A300" s="151"/>
      <c r="B300" s="156"/>
      <c r="C300" s="151"/>
      <c r="D300" s="151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R300" s="151"/>
      <c r="S300" s="151"/>
      <c r="T300" s="151"/>
      <c r="U300" s="151"/>
      <c r="V300" s="151"/>
      <c r="W300" s="151"/>
      <c r="X300" s="151"/>
      <c r="Y300" s="151"/>
      <c r="Z300" s="151"/>
    </row>
    <row r="301" customFormat="false" ht="12.75" hidden="false" customHeight="true" outlineLevel="0" collapsed="false">
      <c r="A301" s="151"/>
      <c r="B301" s="156"/>
      <c r="C301" s="151"/>
      <c r="D301" s="151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151"/>
      <c r="W301" s="151"/>
      <c r="X301" s="151"/>
      <c r="Y301" s="151"/>
      <c r="Z301" s="151"/>
    </row>
    <row r="302" customFormat="false" ht="12.75" hidden="false" customHeight="true" outlineLevel="0" collapsed="false">
      <c r="A302" s="151"/>
      <c r="B302" s="156"/>
      <c r="C302" s="151"/>
      <c r="D302" s="151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R302" s="151"/>
      <c r="S302" s="151"/>
      <c r="T302" s="151"/>
      <c r="U302" s="151"/>
      <c r="V302" s="151"/>
      <c r="W302" s="151"/>
      <c r="X302" s="151"/>
      <c r="Y302" s="151"/>
      <c r="Z302" s="151"/>
    </row>
    <row r="303" customFormat="false" ht="12.75" hidden="false" customHeight="true" outlineLevel="0" collapsed="false">
      <c r="A303" s="151"/>
      <c r="B303" s="156"/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151"/>
      <c r="W303" s="151"/>
      <c r="X303" s="151"/>
      <c r="Y303" s="151"/>
      <c r="Z303" s="151"/>
    </row>
    <row r="304" customFormat="false" ht="12.75" hidden="false" customHeight="true" outlineLevel="0" collapsed="false">
      <c r="A304" s="151"/>
      <c r="B304" s="156"/>
      <c r="C304" s="151"/>
      <c r="D304" s="151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R304" s="151"/>
      <c r="S304" s="151"/>
      <c r="T304" s="151"/>
      <c r="U304" s="151"/>
      <c r="V304" s="151"/>
      <c r="W304" s="151"/>
      <c r="X304" s="151"/>
      <c r="Y304" s="151"/>
      <c r="Z304" s="151"/>
    </row>
    <row r="305" customFormat="false" ht="12.75" hidden="false" customHeight="true" outlineLevel="0" collapsed="false">
      <c r="A305" s="151"/>
      <c r="B305" s="156"/>
      <c r="C305" s="151"/>
      <c r="D305" s="151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151"/>
      <c r="W305" s="151"/>
      <c r="X305" s="151"/>
      <c r="Y305" s="151"/>
      <c r="Z305" s="151"/>
    </row>
    <row r="306" customFormat="false" ht="12.75" hidden="false" customHeight="true" outlineLevel="0" collapsed="false">
      <c r="A306" s="151"/>
      <c r="B306" s="156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</row>
    <row r="307" customFormat="false" ht="12.75" hidden="false" customHeight="true" outlineLevel="0" collapsed="false">
      <c r="A307" s="151"/>
      <c r="B307" s="156"/>
      <c r="C307" s="151"/>
      <c r="D307" s="151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151"/>
      <c r="W307" s="151"/>
      <c r="X307" s="151"/>
      <c r="Y307" s="151"/>
      <c r="Z307" s="151"/>
    </row>
    <row r="308" customFormat="false" ht="12.75" hidden="false" customHeight="true" outlineLevel="0" collapsed="false">
      <c r="A308" s="151"/>
      <c r="B308" s="156"/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R308" s="151"/>
      <c r="S308" s="151"/>
      <c r="T308" s="151"/>
      <c r="U308" s="151"/>
      <c r="V308" s="151"/>
      <c r="W308" s="151"/>
      <c r="X308" s="151"/>
      <c r="Y308" s="151"/>
      <c r="Z308" s="151"/>
    </row>
    <row r="309" customFormat="false" ht="12.75" hidden="false" customHeight="true" outlineLevel="0" collapsed="false">
      <c r="A309" s="151"/>
      <c r="B309" s="156"/>
      <c r="C309" s="151"/>
      <c r="D309" s="151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151"/>
      <c r="W309" s="151"/>
      <c r="X309" s="151"/>
      <c r="Y309" s="151"/>
      <c r="Z309" s="151"/>
    </row>
    <row r="310" customFormat="false" ht="12.75" hidden="false" customHeight="true" outlineLevel="0" collapsed="false">
      <c r="A310" s="151"/>
      <c r="B310" s="156"/>
      <c r="C310" s="151"/>
      <c r="D310" s="151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R310" s="151"/>
      <c r="S310" s="151"/>
      <c r="T310" s="151"/>
      <c r="U310" s="151"/>
      <c r="V310" s="151"/>
      <c r="W310" s="151"/>
      <c r="X310" s="151"/>
      <c r="Y310" s="151"/>
      <c r="Z310" s="151"/>
    </row>
    <row r="311" customFormat="false" ht="12.75" hidden="false" customHeight="true" outlineLevel="0" collapsed="false">
      <c r="A311" s="151"/>
      <c r="B311" s="156"/>
      <c r="C311" s="151"/>
      <c r="D311" s="151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151"/>
      <c r="W311" s="151"/>
      <c r="X311" s="151"/>
      <c r="Y311" s="151"/>
      <c r="Z311" s="151"/>
    </row>
    <row r="312" customFormat="false" ht="12.75" hidden="false" customHeight="true" outlineLevel="0" collapsed="false">
      <c r="A312" s="151"/>
      <c r="B312" s="156"/>
      <c r="C312" s="151"/>
      <c r="D312" s="151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R312" s="151"/>
      <c r="S312" s="151"/>
      <c r="T312" s="151"/>
      <c r="U312" s="151"/>
      <c r="V312" s="151"/>
      <c r="W312" s="151"/>
      <c r="X312" s="151"/>
      <c r="Y312" s="151"/>
      <c r="Z312" s="151"/>
    </row>
    <row r="313" customFormat="false" ht="12.75" hidden="false" customHeight="true" outlineLevel="0" collapsed="false">
      <c r="A313" s="151"/>
      <c r="B313" s="156"/>
      <c r="C313" s="151"/>
      <c r="D313" s="151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151"/>
      <c r="W313" s="151"/>
      <c r="X313" s="151"/>
      <c r="Y313" s="151"/>
      <c r="Z313" s="151"/>
    </row>
    <row r="314" customFormat="false" ht="12.75" hidden="false" customHeight="true" outlineLevel="0" collapsed="false">
      <c r="A314" s="151"/>
      <c r="B314" s="156"/>
      <c r="C314" s="151"/>
      <c r="D314" s="151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R314" s="151"/>
      <c r="S314" s="151"/>
      <c r="T314" s="151"/>
      <c r="U314" s="151"/>
      <c r="V314" s="151"/>
      <c r="W314" s="151"/>
      <c r="X314" s="151"/>
      <c r="Y314" s="151"/>
      <c r="Z314" s="151"/>
    </row>
    <row r="315" customFormat="false" ht="12.75" hidden="false" customHeight="true" outlineLevel="0" collapsed="false">
      <c r="A315" s="151"/>
      <c r="B315" s="156"/>
      <c r="C315" s="151"/>
      <c r="D315" s="151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151"/>
      <c r="W315" s="151"/>
      <c r="X315" s="151"/>
      <c r="Y315" s="151"/>
      <c r="Z315" s="151"/>
    </row>
    <row r="316" customFormat="false" ht="12.75" hidden="false" customHeight="true" outlineLevel="0" collapsed="false">
      <c r="A316" s="151"/>
      <c r="B316" s="156"/>
      <c r="C316" s="151"/>
      <c r="D316" s="151"/>
      <c r="E316" s="151"/>
      <c r="F316" s="151"/>
      <c r="G316" s="151"/>
      <c r="H316" s="151"/>
      <c r="I316" s="151"/>
      <c r="J316" s="151"/>
      <c r="K316" s="151"/>
      <c r="L316" s="151"/>
      <c r="M316" s="151"/>
      <c r="N316" s="151"/>
      <c r="O316" s="151"/>
      <c r="P316" s="151"/>
      <c r="Q316" s="151"/>
      <c r="R316" s="151"/>
      <c r="S316" s="151"/>
      <c r="T316" s="151"/>
      <c r="U316" s="151"/>
      <c r="V316" s="151"/>
      <c r="W316" s="151"/>
      <c r="X316" s="151"/>
      <c r="Y316" s="151"/>
      <c r="Z316" s="151"/>
    </row>
    <row r="317" customFormat="false" ht="12.75" hidden="false" customHeight="true" outlineLevel="0" collapsed="false">
      <c r="A317" s="151"/>
      <c r="B317" s="156"/>
      <c r="C317" s="151"/>
      <c r="D317" s="151"/>
      <c r="E317" s="151"/>
      <c r="F317" s="151"/>
      <c r="G317" s="151"/>
      <c r="H317" s="151"/>
      <c r="I317" s="151"/>
      <c r="J317" s="151"/>
      <c r="K317" s="151"/>
      <c r="L317" s="151"/>
      <c r="M317" s="151"/>
      <c r="N317" s="151"/>
      <c r="O317" s="151"/>
      <c r="P317" s="151"/>
      <c r="Q317" s="151"/>
      <c r="R317" s="151"/>
      <c r="S317" s="151"/>
      <c r="T317" s="151"/>
      <c r="U317" s="151"/>
      <c r="V317" s="151"/>
      <c r="W317" s="151"/>
      <c r="X317" s="151"/>
      <c r="Y317" s="151"/>
      <c r="Z317" s="151"/>
    </row>
    <row r="318" customFormat="false" ht="12.75" hidden="false" customHeight="true" outlineLevel="0" collapsed="false">
      <c r="A318" s="151"/>
      <c r="B318" s="156"/>
      <c r="C318" s="151"/>
      <c r="D318" s="151"/>
      <c r="E318" s="151"/>
      <c r="F318" s="151"/>
      <c r="G318" s="151"/>
      <c r="H318" s="151"/>
      <c r="I318" s="151"/>
      <c r="J318" s="151"/>
      <c r="K318" s="151"/>
      <c r="L318" s="151"/>
      <c r="M318" s="151"/>
      <c r="N318" s="151"/>
      <c r="O318" s="151"/>
      <c r="P318" s="151"/>
      <c r="Q318" s="151"/>
      <c r="R318" s="151"/>
      <c r="S318" s="151"/>
      <c r="T318" s="151"/>
      <c r="U318" s="151"/>
      <c r="V318" s="151"/>
      <c r="W318" s="151"/>
      <c r="X318" s="151"/>
      <c r="Y318" s="151"/>
      <c r="Z318" s="151"/>
    </row>
    <row r="319" customFormat="false" ht="12.75" hidden="false" customHeight="true" outlineLevel="0" collapsed="false">
      <c r="A319" s="151"/>
      <c r="B319" s="156"/>
      <c r="C319" s="151"/>
      <c r="D319" s="151"/>
      <c r="E319" s="151"/>
      <c r="F319" s="151"/>
      <c r="G319" s="151"/>
      <c r="H319" s="151"/>
      <c r="I319" s="151"/>
      <c r="J319" s="151"/>
      <c r="K319" s="151"/>
      <c r="L319" s="151"/>
      <c r="M319" s="151"/>
      <c r="N319" s="151"/>
      <c r="O319" s="151"/>
      <c r="P319" s="151"/>
      <c r="Q319" s="151"/>
      <c r="R319" s="151"/>
      <c r="S319" s="151"/>
      <c r="T319" s="151"/>
      <c r="U319" s="151"/>
      <c r="V319" s="151"/>
      <c r="W319" s="151"/>
      <c r="X319" s="151"/>
      <c r="Y319" s="151"/>
      <c r="Z319" s="151"/>
    </row>
    <row r="320" customFormat="false" ht="12.75" hidden="false" customHeight="true" outlineLevel="0" collapsed="false">
      <c r="A320" s="151"/>
      <c r="B320" s="156"/>
      <c r="C320" s="151"/>
      <c r="D320" s="151"/>
      <c r="E320" s="151"/>
      <c r="F320" s="151"/>
      <c r="G320" s="151"/>
      <c r="H320" s="151"/>
      <c r="I320" s="151"/>
      <c r="J320" s="151"/>
      <c r="K320" s="151"/>
      <c r="L320" s="151"/>
      <c r="M320" s="151"/>
      <c r="N320" s="151"/>
      <c r="O320" s="151"/>
      <c r="P320" s="151"/>
      <c r="Q320" s="151"/>
      <c r="R320" s="151"/>
      <c r="S320" s="151"/>
      <c r="T320" s="151"/>
      <c r="U320" s="151"/>
      <c r="V320" s="151"/>
      <c r="W320" s="151"/>
      <c r="X320" s="151"/>
      <c r="Y320" s="151"/>
      <c r="Z320" s="151"/>
    </row>
    <row r="321" customFormat="false" ht="12.75" hidden="false" customHeight="true" outlineLevel="0" collapsed="false">
      <c r="A321" s="151"/>
      <c r="B321" s="156"/>
      <c r="C321" s="151"/>
      <c r="D321" s="151"/>
      <c r="E321" s="151"/>
      <c r="F321" s="151"/>
      <c r="G321" s="151"/>
      <c r="H321" s="151"/>
      <c r="I321" s="151"/>
      <c r="J321" s="151"/>
      <c r="K321" s="151"/>
      <c r="L321" s="151"/>
      <c r="M321" s="151"/>
      <c r="N321" s="151"/>
      <c r="O321" s="151"/>
      <c r="P321" s="151"/>
      <c r="Q321" s="151"/>
      <c r="R321" s="151"/>
      <c r="S321" s="151"/>
      <c r="T321" s="151"/>
      <c r="U321" s="151"/>
      <c r="V321" s="151"/>
      <c r="W321" s="151"/>
      <c r="X321" s="151"/>
      <c r="Y321" s="151"/>
      <c r="Z321" s="151"/>
    </row>
    <row r="322" customFormat="false" ht="12.75" hidden="false" customHeight="true" outlineLevel="0" collapsed="false">
      <c r="A322" s="151"/>
      <c r="B322" s="156"/>
      <c r="C322" s="151"/>
      <c r="D322" s="151"/>
      <c r="E322" s="151"/>
      <c r="F322" s="151"/>
      <c r="G322" s="151"/>
      <c r="H322" s="151"/>
      <c r="I322" s="151"/>
      <c r="J322" s="151"/>
      <c r="K322" s="151"/>
      <c r="L322" s="151"/>
      <c r="M322" s="151"/>
      <c r="N322" s="151"/>
      <c r="O322" s="151"/>
      <c r="P322" s="151"/>
      <c r="Q322" s="151"/>
      <c r="R322" s="151"/>
      <c r="S322" s="151"/>
      <c r="T322" s="151"/>
      <c r="U322" s="151"/>
      <c r="V322" s="151"/>
      <c r="W322" s="151"/>
      <c r="X322" s="151"/>
      <c r="Y322" s="151"/>
      <c r="Z322" s="151"/>
    </row>
    <row r="323" customFormat="false" ht="12.75" hidden="false" customHeight="true" outlineLevel="0" collapsed="false">
      <c r="A323" s="151"/>
      <c r="B323" s="156"/>
      <c r="C323" s="151"/>
      <c r="D323" s="151"/>
      <c r="E323" s="151"/>
      <c r="F323" s="151"/>
      <c r="G323" s="151"/>
      <c r="H323" s="151"/>
      <c r="I323" s="151"/>
      <c r="J323" s="151"/>
      <c r="K323" s="151"/>
      <c r="L323" s="151"/>
      <c r="M323" s="151"/>
      <c r="N323" s="151"/>
      <c r="O323" s="151"/>
      <c r="P323" s="151"/>
      <c r="Q323" s="151"/>
      <c r="R323" s="151"/>
      <c r="S323" s="151"/>
      <c r="T323" s="151"/>
      <c r="U323" s="151"/>
      <c r="V323" s="151"/>
      <c r="W323" s="151"/>
      <c r="X323" s="151"/>
      <c r="Y323" s="151"/>
      <c r="Z323" s="151"/>
    </row>
    <row r="324" customFormat="false" ht="12.75" hidden="false" customHeight="true" outlineLevel="0" collapsed="false">
      <c r="A324" s="151"/>
      <c r="B324" s="156"/>
      <c r="C324" s="151"/>
      <c r="D324" s="151"/>
      <c r="E324" s="151"/>
      <c r="F324" s="151"/>
      <c r="G324" s="151"/>
      <c r="H324" s="151"/>
      <c r="I324" s="151"/>
      <c r="J324" s="151"/>
      <c r="K324" s="151"/>
      <c r="L324" s="151"/>
      <c r="M324" s="151"/>
      <c r="N324" s="151"/>
      <c r="O324" s="151"/>
      <c r="P324" s="151"/>
      <c r="Q324" s="151"/>
      <c r="R324" s="151"/>
      <c r="S324" s="151"/>
      <c r="T324" s="151"/>
      <c r="U324" s="151"/>
      <c r="V324" s="151"/>
      <c r="W324" s="151"/>
      <c r="X324" s="151"/>
      <c r="Y324" s="151"/>
      <c r="Z324" s="151"/>
    </row>
    <row r="325" customFormat="false" ht="12.75" hidden="false" customHeight="true" outlineLevel="0" collapsed="false">
      <c r="A325" s="151"/>
      <c r="B325" s="156"/>
      <c r="C325" s="151"/>
      <c r="D325" s="151"/>
      <c r="E325" s="151"/>
      <c r="F325" s="151"/>
      <c r="G325" s="151"/>
      <c r="H325" s="151"/>
      <c r="I325" s="151"/>
      <c r="J325" s="151"/>
      <c r="K325" s="151"/>
      <c r="L325" s="151"/>
      <c r="M325" s="151"/>
      <c r="N325" s="151"/>
      <c r="O325" s="151"/>
      <c r="P325" s="151"/>
      <c r="Q325" s="151"/>
      <c r="R325" s="151"/>
      <c r="S325" s="151"/>
      <c r="T325" s="151"/>
      <c r="U325" s="151"/>
      <c r="V325" s="151"/>
      <c r="W325" s="151"/>
      <c r="X325" s="151"/>
      <c r="Y325" s="151"/>
      <c r="Z325" s="151"/>
    </row>
    <row r="326" customFormat="false" ht="12.75" hidden="false" customHeight="true" outlineLevel="0" collapsed="false">
      <c r="A326" s="151"/>
      <c r="B326" s="156"/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R326" s="151"/>
      <c r="S326" s="151"/>
      <c r="T326" s="151"/>
      <c r="U326" s="151"/>
      <c r="V326" s="151"/>
      <c r="W326" s="151"/>
      <c r="X326" s="151"/>
      <c r="Y326" s="151"/>
      <c r="Z326" s="151"/>
    </row>
    <row r="327" customFormat="false" ht="12.75" hidden="false" customHeight="true" outlineLevel="0" collapsed="false">
      <c r="A327" s="151"/>
      <c r="B327" s="156"/>
      <c r="C327" s="151"/>
      <c r="D327" s="151"/>
      <c r="E327" s="151"/>
      <c r="F327" s="151"/>
      <c r="G327" s="151"/>
      <c r="H327" s="151"/>
      <c r="I327" s="151"/>
      <c r="J327" s="151"/>
      <c r="K327" s="151"/>
      <c r="L327" s="151"/>
      <c r="M327" s="151"/>
      <c r="N327" s="151"/>
      <c r="O327" s="151"/>
      <c r="P327" s="151"/>
      <c r="Q327" s="151"/>
      <c r="R327" s="151"/>
      <c r="S327" s="151"/>
      <c r="T327" s="151"/>
      <c r="U327" s="151"/>
      <c r="V327" s="151"/>
      <c r="W327" s="151"/>
      <c r="X327" s="151"/>
      <c r="Y327" s="151"/>
      <c r="Z327" s="151"/>
    </row>
    <row r="328" customFormat="false" ht="12.75" hidden="false" customHeight="true" outlineLevel="0" collapsed="false">
      <c r="A328" s="151"/>
      <c r="B328" s="156"/>
      <c r="C328" s="151"/>
      <c r="D328" s="151"/>
      <c r="E328" s="151"/>
      <c r="F328" s="151"/>
      <c r="G328" s="151"/>
      <c r="H328" s="151"/>
      <c r="I328" s="151"/>
      <c r="J328" s="151"/>
      <c r="K328" s="151"/>
      <c r="L328" s="151"/>
      <c r="M328" s="151"/>
      <c r="N328" s="151"/>
      <c r="O328" s="151"/>
      <c r="P328" s="151"/>
      <c r="Q328" s="151"/>
      <c r="R328" s="151"/>
      <c r="S328" s="151"/>
      <c r="T328" s="151"/>
      <c r="U328" s="151"/>
      <c r="V328" s="151"/>
      <c r="W328" s="151"/>
      <c r="X328" s="151"/>
      <c r="Y328" s="151"/>
      <c r="Z328" s="151"/>
    </row>
    <row r="329" customFormat="false" ht="12.75" hidden="false" customHeight="true" outlineLevel="0" collapsed="false">
      <c r="A329" s="151"/>
      <c r="B329" s="156"/>
      <c r="C329" s="151"/>
      <c r="D329" s="151"/>
      <c r="E329" s="151"/>
      <c r="F329" s="151"/>
      <c r="G329" s="151"/>
      <c r="H329" s="151"/>
      <c r="I329" s="151"/>
      <c r="J329" s="151"/>
      <c r="K329" s="151"/>
      <c r="L329" s="151"/>
      <c r="M329" s="151"/>
      <c r="N329" s="151"/>
      <c r="O329" s="151"/>
      <c r="P329" s="151"/>
      <c r="Q329" s="151"/>
      <c r="R329" s="151"/>
      <c r="S329" s="151"/>
      <c r="T329" s="151"/>
      <c r="U329" s="151"/>
      <c r="V329" s="151"/>
      <c r="W329" s="151"/>
      <c r="X329" s="151"/>
      <c r="Y329" s="151"/>
      <c r="Z329" s="151"/>
    </row>
    <row r="330" customFormat="false" ht="12.75" hidden="false" customHeight="true" outlineLevel="0" collapsed="false">
      <c r="A330" s="151"/>
      <c r="B330" s="156"/>
      <c r="C330" s="151"/>
      <c r="D330" s="151"/>
      <c r="E330" s="151"/>
      <c r="F330" s="151"/>
      <c r="G330" s="151"/>
      <c r="H330" s="151"/>
      <c r="I330" s="151"/>
      <c r="J330" s="151"/>
      <c r="K330" s="151"/>
      <c r="L330" s="151"/>
      <c r="M330" s="151"/>
      <c r="N330" s="151"/>
      <c r="O330" s="151"/>
      <c r="P330" s="151"/>
      <c r="Q330" s="151"/>
      <c r="R330" s="151"/>
      <c r="S330" s="151"/>
      <c r="T330" s="151"/>
      <c r="U330" s="151"/>
      <c r="V330" s="151"/>
      <c r="W330" s="151"/>
      <c r="X330" s="151"/>
      <c r="Y330" s="151"/>
      <c r="Z330" s="151"/>
    </row>
    <row r="331" customFormat="false" ht="12.75" hidden="false" customHeight="true" outlineLevel="0" collapsed="false">
      <c r="A331" s="151"/>
      <c r="B331" s="156"/>
      <c r="C331" s="151"/>
      <c r="D331" s="151"/>
      <c r="E331" s="151"/>
      <c r="F331" s="151"/>
      <c r="G331" s="151"/>
      <c r="H331" s="151"/>
      <c r="I331" s="151"/>
      <c r="J331" s="151"/>
      <c r="K331" s="151"/>
      <c r="L331" s="151"/>
      <c r="M331" s="151"/>
      <c r="N331" s="151"/>
      <c r="O331" s="151"/>
      <c r="P331" s="151"/>
      <c r="Q331" s="151"/>
      <c r="R331" s="151"/>
      <c r="S331" s="151"/>
      <c r="T331" s="151"/>
      <c r="U331" s="151"/>
      <c r="V331" s="151"/>
      <c r="W331" s="151"/>
      <c r="X331" s="151"/>
      <c r="Y331" s="151"/>
      <c r="Z331" s="151"/>
    </row>
    <row r="332" customFormat="false" ht="12.75" hidden="false" customHeight="true" outlineLevel="0" collapsed="false">
      <c r="A332" s="151"/>
      <c r="B332" s="156"/>
      <c r="C332" s="151"/>
      <c r="D332" s="151"/>
      <c r="E332" s="151"/>
      <c r="F332" s="151"/>
      <c r="G332" s="151"/>
      <c r="H332" s="151"/>
      <c r="I332" s="151"/>
      <c r="J332" s="151"/>
      <c r="K332" s="151"/>
      <c r="L332" s="151"/>
      <c r="M332" s="151"/>
      <c r="N332" s="151"/>
      <c r="O332" s="151"/>
      <c r="P332" s="151"/>
      <c r="Q332" s="151"/>
      <c r="R332" s="151"/>
      <c r="S332" s="151"/>
      <c r="T332" s="151"/>
      <c r="U332" s="151"/>
      <c r="V332" s="151"/>
      <c r="W332" s="151"/>
      <c r="X332" s="151"/>
      <c r="Y332" s="151"/>
      <c r="Z332" s="151"/>
    </row>
    <row r="333" customFormat="false" ht="12.75" hidden="false" customHeight="true" outlineLevel="0" collapsed="false">
      <c r="A333" s="151"/>
      <c r="B333" s="156"/>
      <c r="C333" s="151"/>
      <c r="D333" s="151"/>
      <c r="E333" s="151"/>
      <c r="F333" s="151"/>
      <c r="G333" s="151"/>
      <c r="H333" s="151"/>
      <c r="I333" s="151"/>
      <c r="J333" s="151"/>
      <c r="K333" s="151"/>
      <c r="L333" s="151"/>
      <c r="M333" s="151"/>
      <c r="N333" s="151"/>
      <c r="O333" s="151"/>
      <c r="P333" s="151"/>
      <c r="Q333" s="151"/>
      <c r="R333" s="151"/>
      <c r="S333" s="151"/>
      <c r="T333" s="151"/>
      <c r="U333" s="151"/>
      <c r="V333" s="151"/>
      <c r="W333" s="151"/>
      <c r="X333" s="151"/>
      <c r="Y333" s="151"/>
      <c r="Z333" s="151"/>
    </row>
    <row r="334" customFormat="false" ht="12.75" hidden="false" customHeight="true" outlineLevel="0" collapsed="false">
      <c r="A334" s="151"/>
      <c r="B334" s="156"/>
      <c r="C334" s="151"/>
      <c r="D334" s="151"/>
      <c r="E334" s="151"/>
      <c r="F334" s="151"/>
      <c r="G334" s="151"/>
      <c r="H334" s="151"/>
      <c r="I334" s="151"/>
      <c r="J334" s="151"/>
      <c r="K334" s="151"/>
      <c r="L334" s="151"/>
      <c r="M334" s="151"/>
      <c r="N334" s="151"/>
      <c r="O334" s="151"/>
      <c r="P334" s="151"/>
      <c r="Q334" s="151"/>
      <c r="R334" s="151"/>
      <c r="S334" s="151"/>
      <c r="T334" s="151"/>
      <c r="U334" s="151"/>
      <c r="V334" s="151"/>
      <c r="W334" s="151"/>
      <c r="X334" s="151"/>
      <c r="Y334" s="151"/>
      <c r="Z334" s="151"/>
    </row>
    <row r="335" customFormat="false" ht="12.75" hidden="false" customHeight="true" outlineLevel="0" collapsed="false">
      <c r="A335" s="151"/>
      <c r="B335" s="156"/>
      <c r="C335" s="151"/>
      <c r="D335" s="151"/>
      <c r="E335" s="151"/>
      <c r="F335" s="151"/>
      <c r="G335" s="151"/>
      <c r="H335" s="151"/>
      <c r="I335" s="151"/>
      <c r="J335" s="151"/>
      <c r="K335" s="151"/>
      <c r="L335" s="151"/>
      <c r="M335" s="151"/>
      <c r="N335" s="151"/>
      <c r="O335" s="151"/>
      <c r="P335" s="151"/>
      <c r="Q335" s="151"/>
      <c r="R335" s="151"/>
      <c r="S335" s="151"/>
      <c r="T335" s="151"/>
      <c r="U335" s="151"/>
      <c r="V335" s="151"/>
      <c r="W335" s="151"/>
      <c r="X335" s="151"/>
      <c r="Y335" s="151"/>
      <c r="Z335" s="151"/>
    </row>
    <row r="336" customFormat="false" ht="12.75" hidden="false" customHeight="true" outlineLevel="0" collapsed="false">
      <c r="A336" s="151"/>
      <c r="B336" s="156"/>
      <c r="C336" s="151"/>
      <c r="D336" s="151"/>
      <c r="E336" s="151"/>
      <c r="F336" s="151"/>
      <c r="G336" s="151"/>
      <c r="H336" s="151"/>
      <c r="I336" s="151"/>
      <c r="J336" s="151"/>
      <c r="K336" s="151"/>
      <c r="L336" s="151"/>
      <c r="M336" s="151"/>
      <c r="N336" s="151"/>
      <c r="O336" s="151"/>
      <c r="P336" s="151"/>
      <c r="Q336" s="151"/>
      <c r="R336" s="151"/>
      <c r="S336" s="151"/>
      <c r="T336" s="151"/>
      <c r="U336" s="151"/>
      <c r="V336" s="151"/>
      <c r="W336" s="151"/>
      <c r="X336" s="151"/>
      <c r="Y336" s="151"/>
      <c r="Z336" s="151"/>
    </row>
    <row r="337" customFormat="false" ht="12.75" hidden="false" customHeight="true" outlineLevel="0" collapsed="false">
      <c r="A337" s="151"/>
      <c r="B337" s="156"/>
      <c r="C337" s="151"/>
      <c r="D337" s="151"/>
      <c r="E337" s="151"/>
      <c r="F337" s="151"/>
      <c r="G337" s="151"/>
      <c r="H337" s="151"/>
      <c r="I337" s="151"/>
      <c r="J337" s="151"/>
      <c r="K337" s="151"/>
      <c r="L337" s="151"/>
      <c r="M337" s="151"/>
      <c r="N337" s="151"/>
      <c r="O337" s="151"/>
      <c r="P337" s="151"/>
      <c r="Q337" s="151"/>
      <c r="R337" s="151"/>
      <c r="S337" s="151"/>
      <c r="T337" s="151"/>
      <c r="U337" s="151"/>
      <c r="V337" s="151"/>
      <c r="W337" s="151"/>
      <c r="X337" s="151"/>
      <c r="Y337" s="151"/>
      <c r="Z337" s="151"/>
    </row>
    <row r="338" customFormat="false" ht="12.75" hidden="false" customHeight="true" outlineLevel="0" collapsed="false">
      <c r="A338" s="151"/>
      <c r="B338" s="156"/>
      <c r="C338" s="151"/>
      <c r="D338" s="151"/>
      <c r="E338" s="151"/>
      <c r="F338" s="151"/>
      <c r="G338" s="151"/>
      <c r="H338" s="151"/>
      <c r="I338" s="151"/>
      <c r="J338" s="151"/>
      <c r="K338" s="151"/>
      <c r="L338" s="151"/>
      <c r="M338" s="151"/>
      <c r="N338" s="151"/>
      <c r="O338" s="151"/>
      <c r="P338" s="151"/>
      <c r="Q338" s="151"/>
      <c r="R338" s="151"/>
      <c r="S338" s="151"/>
      <c r="T338" s="151"/>
      <c r="U338" s="151"/>
      <c r="V338" s="151"/>
      <c r="W338" s="151"/>
      <c r="X338" s="151"/>
      <c r="Y338" s="151"/>
      <c r="Z338" s="151"/>
    </row>
    <row r="339" customFormat="false" ht="12.75" hidden="false" customHeight="true" outlineLevel="0" collapsed="false">
      <c r="A339" s="151"/>
      <c r="B339" s="156"/>
      <c r="C339" s="151"/>
      <c r="D339" s="151"/>
      <c r="E339" s="151"/>
      <c r="F339" s="151"/>
      <c r="G339" s="151"/>
      <c r="H339" s="151"/>
      <c r="I339" s="151"/>
      <c r="J339" s="151"/>
      <c r="K339" s="151"/>
      <c r="L339" s="151"/>
      <c r="M339" s="151"/>
      <c r="N339" s="151"/>
      <c r="O339" s="151"/>
      <c r="P339" s="151"/>
      <c r="Q339" s="151"/>
      <c r="R339" s="151"/>
      <c r="S339" s="151"/>
      <c r="T339" s="151"/>
      <c r="U339" s="151"/>
      <c r="V339" s="151"/>
      <c r="W339" s="151"/>
      <c r="X339" s="151"/>
      <c r="Y339" s="151"/>
      <c r="Z339" s="151"/>
    </row>
    <row r="340" customFormat="false" ht="12.75" hidden="false" customHeight="true" outlineLevel="0" collapsed="false">
      <c r="A340" s="151"/>
      <c r="B340" s="156"/>
      <c r="C340" s="151"/>
      <c r="D340" s="151"/>
      <c r="E340" s="151"/>
      <c r="F340" s="151"/>
      <c r="G340" s="151"/>
      <c r="H340" s="151"/>
      <c r="I340" s="151"/>
      <c r="J340" s="151"/>
      <c r="K340" s="151"/>
      <c r="L340" s="151"/>
      <c r="M340" s="151"/>
      <c r="N340" s="151"/>
      <c r="O340" s="151"/>
      <c r="P340" s="151"/>
      <c r="Q340" s="151"/>
      <c r="R340" s="151"/>
      <c r="S340" s="151"/>
      <c r="T340" s="151"/>
      <c r="U340" s="151"/>
      <c r="V340" s="151"/>
      <c r="W340" s="151"/>
      <c r="X340" s="151"/>
      <c r="Y340" s="151"/>
      <c r="Z340" s="151"/>
    </row>
    <row r="341" customFormat="false" ht="12.75" hidden="false" customHeight="true" outlineLevel="0" collapsed="false">
      <c r="A341" s="151"/>
      <c r="B341" s="156"/>
      <c r="C341" s="151"/>
      <c r="D341" s="151"/>
      <c r="E341" s="151"/>
      <c r="F341" s="151"/>
      <c r="G341" s="151"/>
      <c r="H341" s="151"/>
      <c r="I341" s="151"/>
      <c r="J341" s="151"/>
      <c r="K341" s="151"/>
      <c r="L341" s="151"/>
      <c r="M341" s="151"/>
      <c r="N341" s="151"/>
      <c r="O341" s="151"/>
      <c r="P341" s="151"/>
      <c r="Q341" s="151"/>
      <c r="R341" s="151"/>
      <c r="S341" s="151"/>
      <c r="T341" s="151"/>
      <c r="U341" s="151"/>
      <c r="V341" s="151"/>
      <c r="W341" s="151"/>
      <c r="X341" s="151"/>
      <c r="Y341" s="151"/>
      <c r="Z341" s="151"/>
    </row>
    <row r="342" customFormat="false" ht="12.75" hidden="false" customHeight="true" outlineLevel="0" collapsed="false">
      <c r="A342" s="151"/>
      <c r="B342" s="156"/>
      <c r="C342" s="151"/>
      <c r="D342" s="151"/>
      <c r="E342" s="151"/>
      <c r="F342" s="151"/>
      <c r="G342" s="151"/>
      <c r="H342" s="151"/>
      <c r="I342" s="151"/>
      <c r="J342" s="151"/>
      <c r="K342" s="151"/>
      <c r="L342" s="151"/>
      <c r="M342" s="151"/>
      <c r="N342" s="151"/>
      <c r="O342" s="151"/>
      <c r="P342" s="151"/>
      <c r="Q342" s="151"/>
      <c r="R342" s="151"/>
      <c r="S342" s="151"/>
      <c r="T342" s="151"/>
      <c r="U342" s="151"/>
      <c r="V342" s="151"/>
      <c r="W342" s="151"/>
      <c r="X342" s="151"/>
      <c r="Y342" s="151"/>
      <c r="Z342" s="151"/>
    </row>
    <row r="343" customFormat="false" ht="12.75" hidden="false" customHeight="true" outlineLevel="0" collapsed="false">
      <c r="A343" s="151"/>
      <c r="B343" s="156"/>
      <c r="C343" s="151"/>
      <c r="D343" s="151"/>
      <c r="E343" s="151"/>
      <c r="F343" s="151"/>
      <c r="G343" s="151"/>
      <c r="H343" s="151"/>
      <c r="I343" s="151"/>
      <c r="J343" s="151"/>
      <c r="K343" s="151"/>
      <c r="L343" s="151"/>
      <c r="M343" s="151"/>
      <c r="N343" s="151"/>
      <c r="O343" s="151"/>
      <c r="P343" s="151"/>
      <c r="Q343" s="151"/>
      <c r="R343" s="151"/>
      <c r="S343" s="151"/>
      <c r="T343" s="151"/>
      <c r="U343" s="151"/>
      <c r="V343" s="151"/>
      <c r="W343" s="151"/>
      <c r="X343" s="151"/>
      <c r="Y343" s="151"/>
      <c r="Z343" s="151"/>
    </row>
    <row r="344" customFormat="false" ht="12.75" hidden="false" customHeight="true" outlineLevel="0" collapsed="false">
      <c r="A344" s="151"/>
      <c r="B344" s="156"/>
      <c r="C344" s="151"/>
      <c r="D344" s="151"/>
      <c r="E344" s="151"/>
      <c r="F344" s="151"/>
      <c r="G344" s="151"/>
      <c r="H344" s="151"/>
      <c r="I344" s="151"/>
      <c r="J344" s="151"/>
      <c r="K344" s="151"/>
      <c r="L344" s="151"/>
      <c r="M344" s="151"/>
      <c r="N344" s="151"/>
      <c r="O344" s="151"/>
      <c r="P344" s="151"/>
      <c r="Q344" s="151"/>
      <c r="R344" s="151"/>
      <c r="S344" s="151"/>
      <c r="T344" s="151"/>
      <c r="U344" s="151"/>
      <c r="V344" s="151"/>
      <c r="W344" s="151"/>
      <c r="X344" s="151"/>
      <c r="Y344" s="151"/>
      <c r="Z344" s="151"/>
    </row>
    <row r="345" customFormat="false" ht="12.75" hidden="false" customHeight="true" outlineLevel="0" collapsed="false">
      <c r="A345" s="151"/>
      <c r="B345" s="156"/>
      <c r="C345" s="151"/>
      <c r="D345" s="151"/>
      <c r="E345" s="151"/>
      <c r="F345" s="151"/>
      <c r="G345" s="151"/>
      <c r="H345" s="151"/>
      <c r="I345" s="151"/>
      <c r="J345" s="151"/>
      <c r="K345" s="151"/>
      <c r="L345" s="151"/>
      <c r="M345" s="151"/>
      <c r="N345" s="151"/>
      <c r="O345" s="151"/>
      <c r="P345" s="151"/>
      <c r="Q345" s="151"/>
      <c r="R345" s="151"/>
      <c r="S345" s="151"/>
      <c r="T345" s="151"/>
      <c r="U345" s="151"/>
      <c r="V345" s="151"/>
      <c r="W345" s="151"/>
      <c r="X345" s="151"/>
      <c r="Y345" s="151"/>
      <c r="Z345" s="151"/>
    </row>
    <row r="346" customFormat="false" ht="12.75" hidden="false" customHeight="true" outlineLevel="0" collapsed="false">
      <c r="A346" s="151"/>
      <c r="B346" s="156"/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R346" s="151"/>
      <c r="S346" s="151"/>
      <c r="T346" s="151"/>
      <c r="U346" s="151"/>
      <c r="V346" s="151"/>
      <c r="W346" s="151"/>
      <c r="X346" s="151"/>
      <c r="Y346" s="151"/>
      <c r="Z346" s="151"/>
    </row>
    <row r="347" customFormat="false" ht="12.75" hidden="false" customHeight="true" outlineLevel="0" collapsed="false">
      <c r="A347" s="151"/>
      <c r="B347" s="156"/>
      <c r="C347" s="151"/>
      <c r="D347" s="151"/>
      <c r="E347" s="151"/>
      <c r="F347" s="151"/>
      <c r="G347" s="151"/>
      <c r="H347" s="151"/>
      <c r="I347" s="151"/>
      <c r="J347" s="151"/>
      <c r="K347" s="151"/>
      <c r="L347" s="151"/>
      <c r="M347" s="151"/>
      <c r="N347" s="151"/>
      <c r="O347" s="151"/>
      <c r="P347" s="151"/>
      <c r="Q347" s="151"/>
      <c r="R347" s="151"/>
      <c r="S347" s="151"/>
      <c r="T347" s="151"/>
      <c r="U347" s="151"/>
      <c r="V347" s="151"/>
      <c r="W347" s="151"/>
      <c r="X347" s="151"/>
      <c r="Y347" s="151"/>
      <c r="Z347" s="151"/>
    </row>
    <row r="348" customFormat="false" ht="12.75" hidden="false" customHeight="true" outlineLevel="0" collapsed="false">
      <c r="A348" s="151"/>
      <c r="B348" s="156"/>
      <c r="C348" s="151"/>
      <c r="D348" s="151"/>
      <c r="E348" s="151"/>
      <c r="F348" s="151"/>
      <c r="G348" s="151"/>
      <c r="H348" s="151"/>
      <c r="I348" s="151"/>
      <c r="J348" s="151"/>
      <c r="K348" s="151"/>
      <c r="L348" s="151"/>
      <c r="M348" s="151"/>
      <c r="N348" s="151"/>
      <c r="O348" s="151"/>
      <c r="P348" s="151"/>
      <c r="Q348" s="151"/>
      <c r="R348" s="151"/>
      <c r="S348" s="151"/>
      <c r="T348" s="151"/>
      <c r="U348" s="151"/>
      <c r="V348" s="151"/>
      <c r="W348" s="151"/>
      <c r="X348" s="151"/>
      <c r="Y348" s="151"/>
      <c r="Z348" s="151"/>
    </row>
    <row r="349" customFormat="false" ht="12.75" hidden="false" customHeight="true" outlineLevel="0" collapsed="false">
      <c r="A349" s="151"/>
      <c r="B349" s="156"/>
      <c r="C349" s="151"/>
      <c r="D349" s="151"/>
      <c r="E349" s="151"/>
      <c r="F349" s="151"/>
      <c r="G349" s="151"/>
      <c r="H349" s="151"/>
      <c r="I349" s="151"/>
      <c r="J349" s="151"/>
      <c r="K349" s="151"/>
      <c r="L349" s="151"/>
      <c r="M349" s="151"/>
      <c r="N349" s="151"/>
      <c r="O349" s="151"/>
      <c r="P349" s="151"/>
      <c r="Q349" s="151"/>
      <c r="R349" s="151"/>
      <c r="S349" s="151"/>
      <c r="T349" s="151"/>
      <c r="U349" s="151"/>
      <c r="V349" s="151"/>
      <c r="W349" s="151"/>
      <c r="X349" s="151"/>
      <c r="Y349" s="151"/>
      <c r="Z349" s="151"/>
    </row>
    <row r="350" customFormat="false" ht="12.75" hidden="false" customHeight="true" outlineLevel="0" collapsed="false">
      <c r="A350" s="151"/>
      <c r="B350" s="156"/>
      <c r="C350" s="151"/>
      <c r="D350" s="151"/>
      <c r="E350" s="151"/>
      <c r="F350" s="151"/>
      <c r="G350" s="151"/>
      <c r="H350" s="151"/>
      <c r="I350" s="151"/>
      <c r="J350" s="151"/>
      <c r="K350" s="151"/>
      <c r="L350" s="151"/>
      <c r="M350" s="151"/>
      <c r="N350" s="151"/>
      <c r="O350" s="151"/>
      <c r="P350" s="151"/>
      <c r="Q350" s="151"/>
      <c r="R350" s="151"/>
      <c r="S350" s="151"/>
      <c r="T350" s="151"/>
      <c r="U350" s="151"/>
      <c r="V350" s="151"/>
      <c r="W350" s="151"/>
      <c r="X350" s="151"/>
      <c r="Y350" s="151"/>
      <c r="Z350" s="151"/>
    </row>
    <row r="351" customFormat="false" ht="12.75" hidden="false" customHeight="true" outlineLevel="0" collapsed="false">
      <c r="A351" s="151"/>
      <c r="B351" s="156"/>
      <c r="C351" s="151"/>
      <c r="D351" s="151"/>
      <c r="E351" s="151"/>
      <c r="F351" s="151"/>
      <c r="G351" s="151"/>
      <c r="H351" s="151"/>
      <c r="I351" s="151"/>
      <c r="J351" s="151"/>
      <c r="K351" s="151"/>
      <c r="L351" s="151"/>
      <c r="M351" s="151"/>
      <c r="N351" s="151"/>
      <c r="O351" s="151"/>
      <c r="P351" s="151"/>
      <c r="Q351" s="151"/>
      <c r="R351" s="151"/>
      <c r="S351" s="151"/>
      <c r="T351" s="151"/>
      <c r="U351" s="151"/>
      <c r="V351" s="151"/>
      <c r="W351" s="151"/>
      <c r="X351" s="151"/>
      <c r="Y351" s="151"/>
      <c r="Z351" s="151"/>
    </row>
    <row r="352" customFormat="false" ht="12.75" hidden="false" customHeight="true" outlineLevel="0" collapsed="false">
      <c r="A352" s="151"/>
      <c r="B352" s="156"/>
      <c r="C352" s="151"/>
      <c r="D352" s="151"/>
      <c r="E352" s="151"/>
      <c r="F352" s="151"/>
      <c r="G352" s="151"/>
      <c r="H352" s="151"/>
      <c r="I352" s="151"/>
      <c r="J352" s="151"/>
      <c r="K352" s="151"/>
      <c r="L352" s="151"/>
      <c r="M352" s="151"/>
      <c r="N352" s="151"/>
      <c r="O352" s="151"/>
      <c r="P352" s="151"/>
      <c r="Q352" s="151"/>
      <c r="R352" s="151"/>
      <c r="S352" s="151"/>
      <c r="T352" s="151"/>
      <c r="U352" s="151"/>
      <c r="V352" s="151"/>
      <c r="W352" s="151"/>
      <c r="X352" s="151"/>
      <c r="Y352" s="151"/>
      <c r="Z352" s="151"/>
    </row>
    <row r="353" customFormat="false" ht="12.75" hidden="false" customHeight="true" outlineLevel="0" collapsed="false">
      <c r="A353" s="151"/>
      <c r="B353" s="156"/>
      <c r="C353" s="151"/>
      <c r="D353" s="151"/>
      <c r="E353" s="151"/>
      <c r="F353" s="151"/>
      <c r="G353" s="151"/>
      <c r="H353" s="151"/>
      <c r="I353" s="151"/>
      <c r="J353" s="151"/>
      <c r="K353" s="151"/>
      <c r="L353" s="151"/>
      <c r="M353" s="151"/>
      <c r="N353" s="151"/>
      <c r="O353" s="151"/>
      <c r="P353" s="151"/>
      <c r="Q353" s="151"/>
      <c r="R353" s="151"/>
      <c r="S353" s="151"/>
      <c r="T353" s="151"/>
      <c r="U353" s="151"/>
      <c r="V353" s="151"/>
      <c r="W353" s="151"/>
      <c r="X353" s="151"/>
      <c r="Y353" s="151"/>
      <c r="Z353" s="151"/>
    </row>
    <row r="354" customFormat="false" ht="12.75" hidden="false" customHeight="true" outlineLevel="0" collapsed="false">
      <c r="A354" s="151"/>
      <c r="B354" s="156"/>
      <c r="C354" s="151"/>
      <c r="D354" s="151"/>
      <c r="E354" s="151"/>
      <c r="F354" s="151"/>
      <c r="G354" s="151"/>
      <c r="H354" s="151"/>
      <c r="I354" s="151"/>
      <c r="J354" s="151"/>
      <c r="K354" s="151"/>
      <c r="L354" s="151"/>
      <c r="M354" s="151"/>
      <c r="N354" s="151"/>
      <c r="O354" s="151"/>
      <c r="P354" s="151"/>
      <c r="Q354" s="151"/>
      <c r="R354" s="151"/>
      <c r="S354" s="151"/>
      <c r="T354" s="151"/>
      <c r="U354" s="151"/>
      <c r="V354" s="151"/>
      <c r="W354" s="151"/>
      <c r="X354" s="151"/>
      <c r="Y354" s="151"/>
      <c r="Z354" s="151"/>
    </row>
    <row r="355" customFormat="false" ht="12.75" hidden="false" customHeight="true" outlineLevel="0" collapsed="false">
      <c r="A355" s="151"/>
      <c r="B355" s="156"/>
      <c r="C355" s="151"/>
      <c r="D355" s="151"/>
      <c r="E355" s="151"/>
      <c r="F355" s="151"/>
      <c r="G355" s="151"/>
      <c r="H355" s="151"/>
      <c r="I355" s="151"/>
      <c r="J355" s="151"/>
      <c r="K355" s="151"/>
      <c r="L355" s="151"/>
      <c r="M355" s="151"/>
      <c r="N355" s="151"/>
      <c r="O355" s="151"/>
      <c r="P355" s="151"/>
      <c r="Q355" s="151"/>
      <c r="R355" s="151"/>
      <c r="S355" s="151"/>
      <c r="T355" s="151"/>
      <c r="U355" s="151"/>
      <c r="V355" s="151"/>
      <c r="W355" s="151"/>
      <c r="X355" s="151"/>
      <c r="Y355" s="151"/>
      <c r="Z355" s="151"/>
    </row>
    <row r="356" customFormat="false" ht="12.75" hidden="false" customHeight="true" outlineLevel="0" collapsed="false">
      <c r="A356" s="151"/>
      <c r="B356" s="156"/>
      <c r="C356" s="151"/>
      <c r="D356" s="151"/>
      <c r="E356" s="151"/>
      <c r="F356" s="151"/>
      <c r="G356" s="151"/>
      <c r="H356" s="151"/>
      <c r="I356" s="151"/>
      <c r="J356" s="151"/>
      <c r="K356" s="151"/>
      <c r="L356" s="151"/>
      <c r="M356" s="151"/>
      <c r="N356" s="151"/>
      <c r="O356" s="151"/>
      <c r="P356" s="151"/>
      <c r="Q356" s="151"/>
      <c r="R356" s="151"/>
      <c r="S356" s="151"/>
      <c r="T356" s="151"/>
      <c r="U356" s="151"/>
      <c r="V356" s="151"/>
      <c r="W356" s="151"/>
      <c r="X356" s="151"/>
      <c r="Y356" s="151"/>
      <c r="Z356" s="151"/>
    </row>
    <row r="357" customFormat="false" ht="12.75" hidden="false" customHeight="true" outlineLevel="0" collapsed="false">
      <c r="A357" s="151"/>
      <c r="B357" s="156"/>
      <c r="C357" s="151"/>
      <c r="D357" s="151"/>
      <c r="E357" s="151"/>
      <c r="F357" s="151"/>
      <c r="G357" s="151"/>
      <c r="H357" s="151"/>
      <c r="I357" s="151"/>
      <c r="J357" s="151"/>
      <c r="K357" s="151"/>
      <c r="L357" s="151"/>
      <c r="M357" s="151"/>
      <c r="N357" s="151"/>
      <c r="O357" s="151"/>
      <c r="P357" s="151"/>
      <c r="Q357" s="151"/>
      <c r="R357" s="151"/>
      <c r="S357" s="151"/>
      <c r="T357" s="151"/>
      <c r="U357" s="151"/>
      <c r="V357" s="151"/>
      <c r="W357" s="151"/>
      <c r="X357" s="151"/>
      <c r="Y357" s="151"/>
      <c r="Z357" s="151"/>
    </row>
    <row r="358" customFormat="false" ht="12.75" hidden="false" customHeight="true" outlineLevel="0" collapsed="false">
      <c r="A358" s="151"/>
      <c r="B358" s="156"/>
      <c r="C358" s="151"/>
      <c r="D358" s="151"/>
      <c r="E358" s="151"/>
      <c r="F358" s="151"/>
      <c r="G358" s="151"/>
      <c r="H358" s="151"/>
      <c r="I358" s="151"/>
      <c r="J358" s="151"/>
      <c r="K358" s="151"/>
      <c r="L358" s="151"/>
      <c r="M358" s="151"/>
      <c r="N358" s="151"/>
      <c r="O358" s="151"/>
      <c r="P358" s="151"/>
      <c r="Q358" s="151"/>
      <c r="R358" s="151"/>
      <c r="S358" s="151"/>
      <c r="T358" s="151"/>
      <c r="U358" s="151"/>
      <c r="V358" s="151"/>
      <c r="W358" s="151"/>
      <c r="X358" s="151"/>
      <c r="Y358" s="151"/>
      <c r="Z358" s="151"/>
    </row>
    <row r="359" customFormat="false" ht="12.75" hidden="false" customHeight="true" outlineLevel="0" collapsed="false">
      <c r="A359" s="151"/>
      <c r="B359" s="156"/>
      <c r="C359" s="151"/>
      <c r="D359" s="151"/>
      <c r="E359" s="151"/>
      <c r="F359" s="151"/>
      <c r="G359" s="151"/>
      <c r="H359" s="151"/>
      <c r="I359" s="151"/>
      <c r="J359" s="151"/>
      <c r="K359" s="151"/>
      <c r="L359" s="151"/>
      <c r="M359" s="151"/>
      <c r="N359" s="151"/>
      <c r="O359" s="151"/>
      <c r="P359" s="151"/>
      <c r="Q359" s="151"/>
      <c r="R359" s="151"/>
      <c r="S359" s="151"/>
      <c r="T359" s="151"/>
      <c r="U359" s="151"/>
      <c r="V359" s="151"/>
      <c r="W359" s="151"/>
      <c r="X359" s="151"/>
      <c r="Y359" s="151"/>
      <c r="Z359" s="151"/>
    </row>
    <row r="360" customFormat="false" ht="12.75" hidden="false" customHeight="true" outlineLevel="0" collapsed="false">
      <c r="A360" s="151"/>
      <c r="B360" s="156"/>
      <c r="C360" s="151"/>
      <c r="D360" s="151"/>
      <c r="E360" s="151"/>
      <c r="F360" s="151"/>
      <c r="G360" s="151"/>
      <c r="H360" s="151"/>
      <c r="I360" s="151"/>
      <c r="J360" s="151"/>
      <c r="K360" s="151"/>
      <c r="L360" s="151"/>
      <c r="M360" s="151"/>
      <c r="N360" s="151"/>
      <c r="O360" s="151"/>
      <c r="P360" s="151"/>
      <c r="Q360" s="151"/>
      <c r="R360" s="151"/>
      <c r="S360" s="151"/>
      <c r="T360" s="151"/>
      <c r="U360" s="151"/>
      <c r="V360" s="151"/>
      <c r="W360" s="151"/>
      <c r="X360" s="151"/>
      <c r="Y360" s="151"/>
      <c r="Z360" s="151"/>
    </row>
    <row r="361" customFormat="false" ht="12.75" hidden="false" customHeight="true" outlineLevel="0" collapsed="false">
      <c r="A361" s="151"/>
      <c r="B361" s="156"/>
      <c r="C361" s="151"/>
      <c r="D361" s="151"/>
      <c r="E361" s="151"/>
      <c r="F361" s="151"/>
      <c r="G361" s="151"/>
      <c r="H361" s="151"/>
      <c r="I361" s="151"/>
      <c r="J361" s="151"/>
      <c r="K361" s="151"/>
      <c r="L361" s="151"/>
      <c r="M361" s="151"/>
      <c r="N361" s="151"/>
      <c r="O361" s="151"/>
      <c r="P361" s="151"/>
      <c r="Q361" s="151"/>
      <c r="R361" s="151"/>
      <c r="S361" s="151"/>
      <c r="T361" s="151"/>
      <c r="U361" s="151"/>
      <c r="V361" s="151"/>
      <c r="W361" s="151"/>
      <c r="X361" s="151"/>
      <c r="Y361" s="151"/>
      <c r="Z361" s="151"/>
    </row>
    <row r="362" customFormat="false" ht="12.75" hidden="false" customHeight="true" outlineLevel="0" collapsed="false">
      <c r="A362" s="151"/>
      <c r="B362" s="156"/>
      <c r="C362" s="151"/>
      <c r="D362" s="151"/>
      <c r="E362" s="151"/>
      <c r="F362" s="151"/>
      <c r="G362" s="151"/>
      <c r="H362" s="151"/>
      <c r="I362" s="151"/>
      <c r="J362" s="151"/>
      <c r="K362" s="151"/>
      <c r="L362" s="151"/>
      <c r="M362" s="151"/>
      <c r="N362" s="151"/>
      <c r="O362" s="151"/>
      <c r="P362" s="151"/>
      <c r="Q362" s="151"/>
      <c r="R362" s="151"/>
      <c r="S362" s="151"/>
      <c r="T362" s="151"/>
      <c r="U362" s="151"/>
      <c r="V362" s="151"/>
      <c r="W362" s="151"/>
      <c r="X362" s="151"/>
      <c r="Y362" s="151"/>
      <c r="Z362" s="151"/>
    </row>
    <row r="363" customFormat="false" ht="12.75" hidden="false" customHeight="true" outlineLevel="0" collapsed="false">
      <c r="A363" s="151"/>
      <c r="B363" s="156"/>
      <c r="C363" s="151"/>
      <c r="D363" s="151"/>
      <c r="E363" s="151"/>
      <c r="F363" s="151"/>
      <c r="G363" s="151"/>
      <c r="H363" s="151"/>
      <c r="I363" s="151"/>
      <c r="J363" s="151"/>
      <c r="K363" s="151"/>
      <c r="L363" s="151"/>
      <c r="M363" s="151"/>
      <c r="N363" s="151"/>
      <c r="O363" s="151"/>
      <c r="P363" s="151"/>
      <c r="Q363" s="151"/>
      <c r="R363" s="151"/>
      <c r="S363" s="151"/>
      <c r="T363" s="151"/>
      <c r="U363" s="151"/>
      <c r="V363" s="151"/>
      <c r="W363" s="151"/>
      <c r="X363" s="151"/>
      <c r="Y363" s="151"/>
      <c r="Z363" s="151"/>
    </row>
    <row r="364" customFormat="false" ht="12.75" hidden="false" customHeight="true" outlineLevel="0" collapsed="false">
      <c r="A364" s="151"/>
      <c r="B364" s="156"/>
      <c r="C364" s="151"/>
      <c r="D364" s="151"/>
      <c r="E364" s="151"/>
      <c r="F364" s="151"/>
      <c r="G364" s="151"/>
      <c r="H364" s="151"/>
      <c r="I364" s="151"/>
      <c r="J364" s="151"/>
      <c r="K364" s="151"/>
      <c r="L364" s="151"/>
      <c r="M364" s="151"/>
      <c r="N364" s="151"/>
      <c r="O364" s="151"/>
      <c r="P364" s="151"/>
      <c r="Q364" s="151"/>
      <c r="R364" s="151"/>
      <c r="S364" s="151"/>
      <c r="T364" s="151"/>
      <c r="U364" s="151"/>
      <c r="V364" s="151"/>
      <c r="W364" s="151"/>
      <c r="X364" s="151"/>
      <c r="Y364" s="151"/>
      <c r="Z364" s="151"/>
    </row>
    <row r="365" customFormat="false" ht="12.75" hidden="false" customHeight="true" outlineLevel="0" collapsed="false">
      <c r="A365" s="151"/>
      <c r="B365" s="156"/>
      <c r="C365" s="151"/>
      <c r="D365" s="151"/>
      <c r="E365" s="151"/>
      <c r="F365" s="151"/>
      <c r="G365" s="151"/>
      <c r="H365" s="151"/>
      <c r="I365" s="151"/>
      <c r="J365" s="151"/>
      <c r="K365" s="151"/>
      <c r="L365" s="151"/>
      <c r="M365" s="151"/>
      <c r="N365" s="151"/>
      <c r="O365" s="151"/>
      <c r="P365" s="151"/>
      <c r="Q365" s="151"/>
      <c r="R365" s="151"/>
      <c r="S365" s="151"/>
      <c r="T365" s="151"/>
      <c r="U365" s="151"/>
      <c r="V365" s="151"/>
      <c r="W365" s="151"/>
      <c r="X365" s="151"/>
      <c r="Y365" s="151"/>
      <c r="Z365" s="151"/>
    </row>
    <row r="366" customFormat="false" ht="12.75" hidden="false" customHeight="true" outlineLevel="0" collapsed="false">
      <c r="A366" s="151"/>
      <c r="B366" s="156"/>
      <c r="C366" s="151"/>
      <c r="D366" s="151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R366" s="151"/>
      <c r="S366" s="151"/>
      <c r="T366" s="151"/>
      <c r="U366" s="151"/>
      <c r="V366" s="151"/>
      <c r="W366" s="151"/>
      <c r="X366" s="151"/>
      <c r="Y366" s="151"/>
      <c r="Z366" s="151"/>
    </row>
    <row r="367" customFormat="false" ht="12.75" hidden="false" customHeight="true" outlineLevel="0" collapsed="false">
      <c r="A367" s="151"/>
      <c r="B367" s="156"/>
      <c r="C367" s="151"/>
      <c r="D367" s="151"/>
      <c r="E367" s="151"/>
      <c r="F367" s="151"/>
      <c r="G367" s="151"/>
      <c r="H367" s="151"/>
      <c r="I367" s="151"/>
      <c r="J367" s="151"/>
      <c r="K367" s="151"/>
      <c r="L367" s="151"/>
      <c r="M367" s="151"/>
      <c r="N367" s="151"/>
      <c r="O367" s="151"/>
      <c r="P367" s="151"/>
      <c r="Q367" s="151"/>
      <c r="R367" s="151"/>
      <c r="S367" s="151"/>
      <c r="T367" s="151"/>
      <c r="U367" s="151"/>
      <c r="V367" s="151"/>
      <c r="W367" s="151"/>
      <c r="X367" s="151"/>
      <c r="Y367" s="151"/>
      <c r="Z367" s="151"/>
    </row>
    <row r="368" customFormat="false" ht="12.75" hidden="false" customHeight="true" outlineLevel="0" collapsed="false">
      <c r="A368" s="151"/>
      <c r="B368" s="156"/>
      <c r="C368" s="151"/>
      <c r="D368" s="151"/>
      <c r="E368" s="151"/>
      <c r="F368" s="151"/>
      <c r="G368" s="151"/>
      <c r="H368" s="151"/>
      <c r="I368" s="151"/>
      <c r="J368" s="151"/>
      <c r="K368" s="151"/>
      <c r="L368" s="151"/>
      <c r="M368" s="151"/>
      <c r="N368" s="151"/>
      <c r="O368" s="151"/>
      <c r="P368" s="151"/>
      <c r="Q368" s="151"/>
      <c r="R368" s="151"/>
      <c r="S368" s="151"/>
      <c r="T368" s="151"/>
      <c r="U368" s="151"/>
      <c r="V368" s="151"/>
      <c r="W368" s="151"/>
      <c r="X368" s="151"/>
      <c r="Y368" s="151"/>
      <c r="Z368" s="151"/>
    </row>
    <row r="369" customFormat="false" ht="12.75" hidden="false" customHeight="true" outlineLevel="0" collapsed="false">
      <c r="A369" s="151"/>
      <c r="B369" s="156"/>
      <c r="C369" s="151"/>
      <c r="D369" s="151"/>
      <c r="E369" s="151"/>
      <c r="F369" s="151"/>
      <c r="G369" s="151"/>
      <c r="H369" s="151"/>
      <c r="I369" s="151"/>
      <c r="J369" s="151"/>
      <c r="K369" s="151"/>
      <c r="L369" s="151"/>
      <c r="M369" s="151"/>
      <c r="N369" s="151"/>
      <c r="O369" s="151"/>
      <c r="P369" s="151"/>
      <c r="Q369" s="151"/>
      <c r="R369" s="151"/>
      <c r="S369" s="151"/>
      <c r="T369" s="151"/>
      <c r="U369" s="151"/>
      <c r="V369" s="151"/>
      <c r="W369" s="151"/>
      <c r="X369" s="151"/>
      <c r="Y369" s="151"/>
      <c r="Z369" s="151"/>
    </row>
    <row r="370" customFormat="false" ht="12.75" hidden="false" customHeight="true" outlineLevel="0" collapsed="false">
      <c r="A370" s="151"/>
      <c r="B370" s="156"/>
      <c r="C370" s="151"/>
      <c r="D370" s="151"/>
      <c r="E370" s="151"/>
      <c r="F370" s="151"/>
      <c r="G370" s="151"/>
      <c r="H370" s="151"/>
      <c r="I370" s="151"/>
      <c r="J370" s="151"/>
      <c r="K370" s="151"/>
      <c r="L370" s="151"/>
      <c r="M370" s="151"/>
      <c r="N370" s="151"/>
      <c r="O370" s="151"/>
      <c r="P370" s="151"/>
      <c r="Q370" s="151"/>
      <c r="R370" s="151"/>
      <c r="S370" s="151"/>
      <c r="T370" s="151"/>
      <c r="U370" s="151"/>
      <c r="V370" s="151"/>
      <c r="W370" s="151"/>
      <c r="X370" s="151"/>
      <c r="Y370" s="151"/>
      <c r="Z370" s="151"/>
    </row>
    <row r="371" customFormat="false" ht="12.75" hidden="false" customHeight="true" outlineLevel="0" collapsed="false">
      <c r="A371" s="151"/>
      <c r="B371" s="156"/>
      <c r="C371" s="151"/>
      <c r="D371" s="151"/>
      <c r="E371" s="151"/>
      <c r="F371" s="151"/>
      <c r="G371" s="151"/>
      <c r="H371" s="151"/>
      <c r="I371" s="151"/>
      <c r="J371" s="151"/>
      <c r="K371" s="151"/>
      <c r="L371" s="151"/>
      <c r="M371" s="151"/>
      <c r="N371" s="151"/>
      <c r="O371" s="151"/>
      <c r="P371" s="151"/>
      <c r="Q371" s="151"/>
      <c r="R371" s="151"/>
      <c r="S371" s="151"/>
      <c r="T371" s="151"/>
      <c r="U371" s="151"/>
      <c r="V371" s="151"/>
      <c r="W371" s="151"/>
      <c r="X371" s="151"/>
      <c r="Y371" s="151"/>
      <c r="Z371" s="151"/>
    </row>
    <row r="372" customFormat="false" ht="12.75" hidden="false" customHeight="true" outlineLevel="0" collapsed="false">
      <c r="A372" s="151"/>
      <c r="B372" s="156"/>
      <c r="C372" s="151"/>
      <c r="D372" s="151"/>
      <c r="E372" s="151"/>
      <c r="F372" s="151"/>
      <c r="G372" s="151"/>
      <c r="H372" s="151"/>
      <c r="I372" s="151"/>
      <c r="J372" s="151"/>
      <c r="K372" s="151"/>
      <c r="L372" s="151"/>
      <c r="M372" s="151"/>
      <c r="N372" s="151"/>
      <c r="O372" s="151"/>
      <c r="P372" s="151"/>
      <c r="Q372" s="151"/>
      <c r="R372" s="151"/>
      <c r="S372" s="151"/>
      <c r="T372" s="151"/>
      <c r="U372" s="151"/>
      <c r="V372" s="151"/>
      <c r="W372" s="151"/>
      <c r="X372" s="151"/>
      <c r="Y372" s="151"/>
      <c r="Z372" s="151"/>
    </row>
    <row r="373" customFormat="false" ht="12.75" hidden="false" customHeight="true" outlineLevel="0" collapsed="false">
      <c r="A373" s="151"/>
      <c r="B373" s="156"/>
      <c r="C373" s="151"/>
      <c r="D373" s="151"/>
      <c r="E373" s="151"/>
      <c r="F373" s="151"/>
      <c r="G373" s="151"/>
      <c r="H373" s="151"/>
      <c r="I373" s="151"/>
      <c r="J373" s="151"/>
      <c r="K373" s="151"/>
      <c r="L373" s="151"/>
      <c r="M373" s="151"/>
      <c r="N373" s="151"/>
      <c r="O373" s="151"/>
      <c r="P373" s="151"/>
      <c r="Q373" s="151"/>
      <c r="R373" s="151"/>
      <c r="S373" s="151"/>
      <c r="T373" s="151"/>
      <c r="U373" s="151"/>
      <c r="V373" s="151"/>
      <c r="W373" s="151"/>
      <c r="X373" s="151"/>
      <c r="Y373" s="151"/>
      <c r="Z373" s="151"/>
    </row>
    <row r="374" customFormat="false" ht="12.75" hidden="false" customHeight="true" outlineLevel="0" collapsed="false">
      <c r="A374" s="151"/>
      <c r="B374" s="156"/>
      <c r="C374" s="151"/>
      <c r="D374" s="151"/>
      <c r="E374" s="151"/>
      <c r="F374" s="151"/>
      <c r="G374" s="151"/>
      <c r="H374" s="151"/>
      <c r="I374" s="151"/>
      <c r="J374" s="151"/>
      <c r="K374" s="151"/>
      <c r="L374" s="151"/>
      <c r="M374" s="151"/>
      <c r="N374" s="151"/>
      <c r="O374" s="151"/>
      <c r="P374" s="151"/>
      <c r="Q374" s="151"/>
      <c r="R374" s="151"/>
      <c r="S374" s="151"/>
      <c r="T374" s="151"/>
      <c r="U374" s="151"/>
      <c r="V374" s="151"/>
      <c r="W374" s="151"/>
      <c r="X374" s="151"/>
      <c r="Y374" s="151"/>
      <c r="Z374" s="151"/>
    </row>
    <row r="375" customFormat="false" ht="12.75" hidden="false" customHeight="true" outlineLevel="0" collapsed="false">
      <c r="A375" s="151"/>
      <c r="B375" s="156"/>
      <c r="C375" s="151"/>
      <c r="D375" s="151"/>
      <c r="E375" s="151"/>
      <c r="F375" s="151"/>
      <c r="G375" s="151"/>
      <c r="H375" s="151"/>
      <c r="I375" s="151"/>
      <c r="J375" s="151"/>
      <c r="K375" s="151"/>
      <c r="L375" s="151"/>
      <c r="M375" s="151"/>
      <c r="N375" s="151"/>
      <c r="O375" s="151"/>
      <c r="P375" s="151"/>
      <c r="Q375" s="151"/>
      <c r="R375" s="151"/>
      <c r="S375" s="151"/>
      <c r="T375" s="151"/>
      <c r="U375" s="151"/>
      <c r="V375" s="151"/>
      <c r="W375" s="151"/>
      <c r="X375" s="151"/>
      <c r="Y375" s="151"/>
      <c r="Z375" s="151"/>
    </row>
    <row r="376" customFormat="false" ht="12.75" hidden="false" customHeight="true" outlineLevel="0" collapsed="false">
      <c r="A376" s="151"/>
      <c r="B376" s="156"/>
      <c r="C376" s="151"/>
      <c r="D376" s="151"/>
      <c r="E376" s="151"/>
      <c r="F376" s="151"/>
      <c r="G376" s="151"/>
      <c r="H376" s="151"/>
      <c r="I376" s="151"/>
      <c r="J376" s="151"/>
      <c r="K376" s="151"/>
      <c r="L376" s="151"/>
      <c r="M376" s="151"/>
      <c r="N376" s="151"/>
      <c r="O376" s="151"/>
      <c r="P376" s="151"/>
      <c r="Q376" s="151"/>
      <c r="R376" s="151"/>
      <c r="S376" s="151"/>
      <c r="T376" s="151"/>
      <c r="U376" s="151"/>
      <c r="V376" s="151"/>
      <c r="W376" s="151"/>
      <c r="X376" s="151"/>
      <c r="Y376" s="151"/>
      <c r="Z376" s="151"/>
    </row>
    <row r="377" customFormat="false" ht="12.75" hidden="false" customHeight="true" outlineLevel="0" collapsed="false">
      <c r="A377" s="151"/>
      <c r="B377" s="156"/>
      <c r="C377" s="151"/>
      <c r="D377" s="151"/>
      <c r="E377" s="151"/>
      <c r="F377" s="151"/>
      <c r="G377" s="151"/>
      <c r="H377" s="151"/>
      <c r="I377" s="151"/>
      <c r="J377" s="151"/>
      <c r="K377" s="151"/>
      <c r="L377" s="151"/>
      <c r="M377" s="151"/>
      <c r="N377" s="151"/>
      <c r="O377" s="151"/>
      <c r="P377" s="151"/>
      <c r="Q377" s="151"/>
      <c r="R377" s="151"/>
      <c r="S377" s="151"/>
      <c r="T377" s="151"/>
      <c r="U377" s="151"/>
      <c r="V377" s="151"/>
      <c r="W377" s="151"/>
      <c r="X377" s="151"/>
      <c r="Y377" s="151"/>
      <c r="Z377" s="151"/>
    </row>
    <row r="378" customFormat="false" ht="12.75" hidden="false" customHeight="true" outlineLevel="0" collapsed="false">
      <c r="A378" s="151"/>
      <c r="B378" s="156"/>
      <c r="C378" s="151"/>
      <c r="D378" s="151"/>
      <c r="E378" s="151"/>
      <c r="F378" s="151"/>
      <c r="G378" s="151"/>
      <c r="H378" s="151"/>
      <c r="I378" s="151"/>
      <c r="J378" s="151"/>
      <c r="K378" s="151"/>
      <c r="L378" s="151"/>
      <c r="M378" s="151"/>
      <c r="N378" s="151"/>
      <c r="O378" s="151"/>
      <c r="P378" s="151"/>
      <c r="Q378" s="151"/>
      <c r="R378" s="151"/>
      <c r="S378" s="151"/>
      <c r="T378" s="151"/>
      <c r="U378" s="151"/>
      <c r="V378" s="151"/>
      <c r="W378" s="151"/>
      <c r="X378" s="151"/>
      <c r="Y378" s="151"/>
      <c r="Z378" s="151"/>
    </row>
    <row r="379" customFormat="false" ht="12.75" hidden="false" customHeight="true" outlineLevel="0" collapsed="false">
      <c r="A379" s="151"/>
      <c r="B379" s="156"/>
      <c r="C379" s="151"/>
      <c r="D379" s="151"/>
      <c r="E379" s="151"/>
      <c r="F379" s="151"/>
      <c r="G379" s="151"/>
      <c r="H379" s="151"/>
      <c r="I379" s="151"/>
      <c r="J379" s="151"/>
      <c r="K379" s="151"/>
      <c r="L379" s="151"/>
      <c r="M379" s="151"/>
      <c r="N379" s="151"/>
      <c r="O379" s="151"/>
      <c r="P379" s="151"/>
      <c r="Q379" s="151"/>
      <c r="R379" s="151"/>
      <c r="S379" s="151"/>
      <c r="T379" s="151"/>
      <c r="U379" s="151"/>
      <c r="V379" s="151"/>
      <c r="W379" s="151"/>
      <c r="X379" s="151"/>
      <c r="Y379" s="151"/>
      <c r="Z379" s="151"/>
    </row>
    <row r="380" customFormat="false" ht="12.75" hidden="false" customHeight="true" outlineLevel="0" collapsed="false">
      <c r="A380" s="151"/>
      <c r="B380" s="156"/>
      <c r="C380" s="151"/>
      <c r="D380" s="151"/>
      <c r="E380" s="151"/>
      <c r="F380" s="151"/>
      <c r="G380" s="151"/>
      <c r="H380" s="151"/>
      <c r="I380" s="151"/>
      <c r="J380" s="151"/>
      <c r="K380" s="151"/>
      <c r="L380" s="151"/>
      <c r="M380" s="151"/>
      <c r="N380" s="151"/>
      <c r="O380" s="151"/>
      <c r="P380" s="151"/>
      <c r="Q380" s="151"/>
      <c r="R380" s="151"/>
      <c r="S380" s="151"/>
      <c r="T380" s="151"/>
      <c r="U380" s="151"/>
      <c r="V380" s="151"/>
      <c r="W380" s="151"/>
      <c r="X380" s="151"/>
      <c r="Y380" s="151"/>
      <c r="Z380" s="151"/>
    </row>
    <row r="381" customFormat="false" ht="12.75" hidden="false" customHeight="true" outlineLevel="0" collapsed="false">
      <c r="A381" s="151"/>
      <c r="B381" s="156"/>
      <c r="C381" s="151"/>
      <c r="D381" s="151"/>
      <c r="E381" s="151"/>
      <c r="F381" s="151"/>
      <c r="G381" s="151"/>
      <c r="H381" s="151"/>
      <c r="I381" s="151"/>
      <c r="J381" s="151"/>
      <c r="K381" s="151"/>
      <c r="L381" s="151"/>
      <c r="M381" s="151"/>
      <c r="N381" s="151"/>
      <c r="O381" s="151"/>
      <c r="P381" s="151"/>
      <c r="Q381" s="151"/>
      <c r="R381" s="151"/>
      <c r="S381" s="151"/>
      <c r="T381" s="151"/>
      <c r="U381" s="151"/>
      <c r="V381" s="151"/>
      <c r="W381" s="151"/>
      <c r="X381" s="151"/>
      <c r="Y381" s="151"/>
      <c r="Z381" s="151"/>
    </row>
    <row r="382" customFormat="false" ht="12.75" hidden="false" customHeight="true" outlineLevel="0" collapsed="false">
      <c r="A382" s="151"/>
      <c r="B382" s="156"/>
      <c r="C382" s="151"/>
      <c r="D382" s="151"/>
      <c r="E382" s="151"/>
      <c r="F382" s="151"/>
      <c r="G382" s="151"/>
      <c r="H382" s="151"/>
      <c r="I382" s="151"/>
      <c r="J382" s="151"/>
      <c r="K382" s="151"/>
      <c r="L382" s="151"/>
      <c r="M382" s="151"/>
      <c r="N382" s="151"/>
      <c r="O382" s="151"/>
      <c r="P382" s="151"/>
      <c r="Q382" s="151"/>
      <c r="R382" s="151"/>
      <c r="S382" s="151"/>
      <c r="T382" s="151"/>
      <c r="U382" s="151"/>
      <c r="V382" s="151"/>
      <c r="W382" s="151"/>
      <c r="X382" s="151"/>
      <c r="Y382" s="151"/>
      <c r="Z382" s="151"/>
    </row>
    <row r="383" customFormat="false" ht="12.75" hidden="false" customHeight="true" outlineLevel="0" collapsed="false">
      <c r="A383" s="151"/>
      <c r="B383" s="156"/>
      <c r="C383" s="151"/>
      <c r="D383" s="151"/>
      <c r="E383" s="151"/>
      <c r="F383" s="151"/>
      <c r="G383" s="151"/>
      <c r="H383" s="151"/>
      <c r="I383" s="151"/>
      <c r="J383" s="151"/>
      <c r="K383" s="151"/>
      <c r="L383" s="151"/>
      <c r="M383" s="151"/>
      <c r="N383" s="151"/>
      <c r="O383" s="151"/>
      <c r="P383" s="151"/>
      <c r="Q383" s="151"/>
      <c r="R383" s="151"/>
      <c r="S383" s="151"/>
      <c r="T383" s="151"/>
      <c r="U383" s="151"/>
      <c r="V383" s="151"/>
      <c r="W383" s="151"/>
      <c r="X383" s="151"/>
      <c r="Y383" s="151"/>
      <c r="Z383" s="151"/>
    </row>
    <row r="384" customFormat="false" ht="12.75" hidden="false" customHeight="true" outlineLevel="0" collapsed="false">
      <c r="A384" s="151"/>
      <c r="B384" s="156"/>
      <c r="C384" s="151"/>
      <c r="D384" s="151"/>
      <c r="E384" s="151"/>
      <c r="F384" s="151"/>
      <c r="G384" s="151"/>
      <c r="H384" s="151"/>
      <c r="I384" s="151"/>
      <c r="J384" s="151"/>
      <c r="K384" s="151"/>
      <c r="L384" s="151"/>
      <c r="M384" s="151"/>
      <c r="N384" s="151"/>
      <c r="O384" s="151"/>
      <c r="P384" s="151"/>
      <c r="Q384" s="151"/>
      <c r="R384" s="151"/>
      <c r="S384" s="151"/>
      <c r="T384" s="151"/>
      <c r="U384" s="151"/>
      <c r="V384" s="151"/>
      <c r="W384" s="151"/>
      <c r="X384" s="151"/>
      <c r="Y384" s="151"/>
      <c r="Z384" s="151"/>
    </row>
    <row r="385" customFormat="false" ht="12.75" hidden="false" customHeight="true" outlineLevel="0" collapsed="false">
      <c r="A385" s="151"/>
      <c r="B385" s="156"/>
      <c r="C385" s="151"/>
      <c r="D385" s="151"/>
      <c r="E385" s="151"/>
      <c r="F385" s="151"/>
      <c r="G385" s="151"/>
      <c r="H385" s="151"/>
      <c r="I385" s="151"/>
      <c r="J385" s="151"/>
      <c r="K385" s="151"/>
      <c r="L385" s="151"/>
      <c r="M385" s="151"/>
      <c r="N385" s="151"/>
      <c r="O385" s="151"/>
      <c r="P385" s="151"/>
      <c r="Q385" s="151"/>
      <c r="R385" s="151"/>
      <c r="S385" s="151"/>
      <c r="T385" s="151"/>
      <c r="U385" s="151"/>
      <c r="V385" s="151"/>
      <c r="W385" s="151"/>
      <c r="X385" s="151"/>
      <c r="Y385" s="151"/>
      <c r="Z385" s="151"/>
    </row>
    <row r="386" customFormat="false" ht="12.75" hidden="false" customHeight="true" outlineLevel="0" collapsed="false">
      <c r="A386" s="151"/>
      <c r="B386" s="156"/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R386" s="151"/>
      <c r="S386" s="151"/>
      <c r="T386" s="151"/>
      <c r="U386" s="151"/>
      <c r="V386" s="151"/>
      <c r="W386" s="151"/>
      <c r="X386" s="151"/>
      <c r="Y386" s="151"/>
      <c r="Z386" s="151"/>
    </row>
    <row r="387" customFormat="false" ht="12.75" hidden="false" customHeight="true" outlineLevel="0" collapsed="false">
      <c r="A387" s="151"/>
      <c r="B387" s="156"/>
      <c r="C387" s="151"/>
      <c r="D387" s="151"/>
      <c r="E387" s="151"/>
      <c r="F387" s="151"/>
      <c r="G387" s="151"/>
      <c r="H387" s="151"/>
      <c r="I387" s="151"/>
      <c r="J387" s="151"/>
      <c r="K387" s="151"/>
      <c r="L387" s="151"/>
      <c r="M387" s="151"/>
      <c r="N387" s="151"/>
      <c r="O387" s="151"/>
      <c r="P387" s="151"/>
      <c r="Q387" s="151"/>
      <c r="R387" s="151"/>
      <c r="S387" s="151"/>
      <c r="T387" s="151"/>
      <c r="U387" s="151"/>
      <c r="V387" s="151"/>
      <c r="W387" s="151"/>
      <c r="X387" s="151"/>
      <c r="Y387" s="151"/>
      <c r="Z387" s="151"/>
    </row>
    <row r="388" customFormat="false" ht="12.75" hidden="false" customHeight="true" outlineLevel="0" collapsed="false">
      <c r="A388" s="151"/>
      <c r="B388" s="156"/>
      <c r="C388" s="151"/>
      <c r="D388" s="151"/>
      <c r="E388" s="151"/>
      <c r="F388" s="151"/>
      <c r="G388" s="151"/>
      <c r="H388" s="151"/>
      <c r="I388" s="151"/>
      <c r="J388" s="151"/>
      <c r="K388" s="151"/>
      <c r="L388" s="151"/>
      <c r="M388" s="151"/>
      <c r="N388" s="151"/>
      <c r="O388" s="151"/>
      <c r="P388" s="151"/>
      <c r="Q388" s="151"/>
      <c r="R388" s="151"/>
      <c r="S388" s="151"/>
      <c r="T388" s="151"/>
      <c r="U388" s="151"/>
      <c r="V388" s="151"/>
      <c r="W388" s="151"/>
      <c r="X388" s="151"/>
      <c r="Y388" s="151"/>
      <c r="Z388" s="151"/>
    </row>
    <row r="389" customFormat="false" ht="12.75" hidden="false" customHeight="true" outlineLevel="0" collapsed="false">
      <c r="A389" s="151"/>
      <c r="B389" s="156"/>
      <c r="C389" s="151"/>
      <c r="D389" s="151"/>
      <c r="E389" s="151"/>
      <c r="F389" s="151"/>
      <c r="G389" s="151"/>
      <c r="H389" s="151"/>
      <c r="I389" s="151"/>
      <c r="J389" s="151"/>
      <c r="K389" s="151"/>
      <c r="L389" s="151"/>
      <c r="M389" s="151"/>
      <c r="N389" s="151"/>
      <c r="O389" s="151"/>
      <c r="P389" s="151"/>
      <c r="Q389" s="151"/>
      <c r="R389" s="151"/>
      <c r="S389" s="151"/>
      <c r="T389" s="151"/>
      <c r="U389" s="151"/>
      <c r="V389" s="151"/>
      <c r="W389" s="151"/>
      <c r="X389" s="151"/>
      <c r="Y389" s="151"/>
      <c r="Z389" s="151"/>
    </row>
    <row r="390" customFormat="false" ht="12.75" hidden="false" customHeight="true" outlineLevel="0" collapsed="false">
      <c r="A390" s="151"/>
      <c r="B390" s="156"/>
      <c r="C390" s="151"/>
      <c r="D390" s="151"/>
      <c r="E390" s="151"/>
      <c r="F390" s="151"/>
      <c r="G390" s="151"/>
      <c r="H390" s="151"/>
      <c r="I390" s="151"/>
      <c r="J390" s="151"/>
      <c r="K390" s="151"/>
      <c r="L390" s="151"/>
      <c r="M390" s="151"/>
      <c r="N390" s="151"/>
      <c r="O390" s="151"/>
      <c r="P390" s="151"/>
      <c r="Q390" s="151"/>
      <c r="R390" s="151"/>
      <c r="S390" s="151"/>
      <c r="T390" s="151"/>
      <c r="U390" s="151"/>
      <c r="V390" s="151"/>
      <c r="W390" s="151"/>
      <c r="X390" s="151"/>
      <c r="Y390" s="151"/>
      <c r="Z390" s="151"/>
    </row>
    <row r="391" customFormat="false" ht="12.75" hidden="false" customHeight="true" outlineLevel="0" collapsed="false">
      <c r="A391" s="151"/>
      <c r="B391" s="156"/>
      <c r="C391" s="151"/>
      <c r="D391" s="151"/>
      <c r="E391" s="151"/>
      <c r="F391" s="151"/>
      <c r="G391" s="151"/>
      <c r="H391" s="151"/>
      <c r="I391" s="151"/>
      <c r="J391" s="151"/>
      <c r="K391" s="151"/>
      <c r="L391" s="151"/>
      <c r="M391" s="151"/>
      <c r="N391" s="151"/>
      <c r="O391" s="151"/>
      <c r="P391" s="151"/>
      <c r="Q391" s="151"/>
      <c r="R391" s="151"/>
      <c r="S391" s="151"/>
      <c r="T391" s="151"/>
      <c r="U391" s="151"/>
      <c r="V391" s="151"/>
      <c r="W391" s="151"/>
      <c r="X391" s="151"/>
      <c r="Y391" s="151"/>
      <c r="Z391" s="151"/>
    </row>
    <row r="392" customFormat="false" ht="12.75" hidden="false" customHeight="true" outlineLevel="0" collapsed="false">
      <c r="A392" s="151"/>
      <c r="B392" s="156"/>
      <c r="C392" s="151"/>
      <c r="D392" s="151"/>
      <c r="E392" s="151"/>
      <c r="F392" s="151"/>
      <c r="G392" s="151"/>
      <c r="H392" s="151"/>
      <c r="I392" s="151"/>
      <c r="J392" s="151"/>
      <c r="K392" s="151"/>
      <c r="L392" s="151"/>
      <c r="M392" s="151"/>
      <c r="N392" s="151"/>
      <c r="O392" s="151"/>
      <c r="P392" s="151"/>
      <c r="Q392" s="151"/>
      <c r="R392" s="151"/>
      <c r="S392" s="151"/>
      <c r="T392" s="151"/>
      <c r="U392" s="151"/>
      <c r="V392" s="151"/>
      <c r="W392" s="151"/>
      <c r="X392" s="151"/>
      <c r="Y392" s="151"/>
      <c r="Z392" s="151"/>
    </row>
    <row r="393" customFormat="false" ht="12.75" hidden="false" customHeight="true" outlineLevel="0" collapsed="false">
      <c r="A393" s="151"/>
      <c r="B393" s="156"/>
      <c r="C393" s="151"/>
      <c r="D393" s="151"/>
      <c r="E393" s="151"/>
      <c r="F393" s="151"/>
      <c r="G393" s="151"/>
      <c r="H393" s="151"/>
      <c r="I393" s="151"/>
      <c r="J393" s="151"/>
      <c r="K393" s="151"/>
      <c r="L393" s="151"/>
      <c r="M393" s="151"/>
      <c r="N393" s="151"/>
      <c r="O393" s="151"/>
      <c r="P393" s="151"/>
      <c r="Q393" s="151"/>
      <c r="R393" s="151"/>
      <c r="S393" s="151"/>
      <c r="T393" s="151"/>
      <c r="U393" s="151"/>
      <c r="V393" s="151"/>
      <c r="W393" s="151"/>
      <c r="X393" s="151"/>
      <c r="Y393" s="151"/>
      <c r="Z393" s="151"/>
    </row>
    <row r="394" customFormat="false" ht="12.75" hidden="false" customHeight="true" outlineLevel="0" collapsed="false">
      <c r="A394" s="151"/>
      <c r="B394" s="156"/>
      <c r="C394" s="151"/>
      <c r="D394" s="151"/>
      <c r="E394" s="151"/>
      <c r="F394" s="151"/>
      <c r="G394" s="151"/>
      <c r="H394" s="151"/>
      <c r="I394" s="151"/>
      <c r="J394" s="151"/>
      <c r="K394" s="151"/>
      <c r="L394" s="151"/>
      <c r="M394" s="151"/>
      <c r="N394" s="151"/>
      <c r="O394" s="151"/>
      <c r="P394" s="151"/>
      <c r="Q394" s="151"/>
      <c r="R394" s="151"/>
      <c r="S394" s="151"/>
      <c r="T394" s="151"/>
      <c r="U394" s="151"/>
      <c r="V394" s="151"/>
      <c r="W394" s="151"/>
      <c r="X394" s="151"/>
      <c r="Y394" s="151"/>
      <c r="Z394" s="151"/>
    </row>
    <row r="395" customFormat="false" ht="12.75" hidden="false" customHeight="true" outlineLevel="0" collapsed="false">
      <c r="A395" s="151"/>
      <c r="B395" s="156"/>
      <c r="C395" s="151"/>
      <c r="D395" s="151"/>
      <c r="E395" s="151"/>
      <c r="F395" s="151"/>
      <c r="G395" s="151"/>
      <c r="H395" s="151"/>
      <c r="I395" s="151"/>
      <c r="J395" s="151"/>
      <c r="K395" s="151"/>
      <c r="L395" s="151"/>
      <c r="M395" s="151"/>
      <c r="N395" s="151"/>
      <c r="O395" s="151"/>
      <c r="P395" s="151"/>
      <c r="Q395" s="151"/>
      <c r="R395" s="151"/>
      <c r="S395" s="151"/>
      <c r="T395" s="151"/>
      <c r="U395" s="151"/>
      <c r="V395" s="151"/>
      <c r="W395" s="151"/>
      <c r="X395" s="151"/>
      <c r="Y395" s="151"/>
      <c r="Z395" s="151"/>
    </row>
    <row r="396" customFormat="false" ht="12.75" hidden="false" customHeight="true" outlineLevel="0" collapsed="false">
      <c r="A396" s="151"/>
      <c r="B396" s="156"/>
      <c r="C396" s="151"/>
      <c r="D396" s="151"/>
      <c r="E396" s="151"/>
      <c r="F396" s="151"/>
      <c r="G396" s="151"/>
      <c r="H396" s="151"/>
      <c r="I396" s="151"/>
      <c r="J396" s="151"/>
      <c r="K396" s="151"/>
      <c r="L396" s="151"/>
      <c r="M396" s="151"/>
      <c r="N396" s="151"/>
      <c r="O396" s="151"/>
      <c r="P396" s="151"/>
      <c r="Q396" s="151"/>
      <c r="R396" s="151"/>
      <c r="S396" s="151"/>
      <c r="T396" s="151"/>
      <c r="U396" s="151"/>
      <c r="V396" s="151"/>
      <c r="W396" s="151"/>
      <c r="X396" s="151"/>
      <c r="Y396" s="151"/>
      <c r="Z396" s="151"/>
    </row>
    <row r="397" customFormat="false" ht="12.75" hidden="false" customHeight="true" outlineLevel="0" collapsed="false">
      <c r="A397" s="151"/>
      <c r="B397" s="156"/>
      <c r="C397" s="151"/>
      <c r="D397" s="151"/>
      <c r="E397" s="151"/>
      <c r="F397" s="151"/>
      <c r="G397" s="151"/>
      <c r="H397" s="151"/>
      <c r="I397" s="151"/>
      <c r="J397" s="151"/>
      <c r="K397" s="151"/>
      <c r="L397" s="151"/>
      <c r="M397" s="151"/>
      <c r="N397" s="151"/>
      <c r="O397" s="151"/>
      <c r="P397" s="151"/>
      <c r="Q397" s="151"/>
      <c r="R397" s="151"/>
      <c r="S397" s="151"/>
      <c r="T397" s="151"/>
      <c r="U397" s="151"/>
      <c r="V397" s="151"/>
      <c r="W397" s="151"/>
      <c r="X397" s="151"/>
      <c r="Y397" s="151"/>
      <c r="Z397" s="151"/>
    </row>
    <row r="398" customFormat="false" ht="12.75" hidden="false" customHeight="true" outlineLevel="0" collapsed="false">
      <c r="A398" s="151"/>
      <c r="B398" s="156"/>
      <c r="C398" s="151"/>
      <c r="D398" s="151"/>
      <c r="E398" s="151"/>
      <c r="F398" s="151"/>
      <c r="G398" s="151"/>
      <c r="H398" s="151"/>
      <c r="I398" s="151"/>
      <c r="J398" s="151"/>
      <c r="K398" s="151"/>
      <c r="L398" s="151"/>
      <c r="M398" s="151"/>
      <c r="N398" s="151"/>
      <c r="O398" s="151"/>
      <c r="P398" s="151"/>
      <c r="Q398" s="151"/>
      <c r="R398" s="151"/>
      <c r="S398" s="151"/>
      <c r="T398" s="151"/>
      <c r="U398" s="151"/>
      <c r="V398" s="151"/>
      <c r="W398" s="151"/>
      <c r="X398" s="151"/>
      <c r="Y398" s="151"/>
      <c r="Z398" s="151"/>
    </row>
    <row r="399" customFormat="false" ht="12.75" hidden="false" customHeight="true" outlineLevel="0" collapsed="false">
      <c r="A399" s="151"/>
      <c r="B399" s="156"/>
      <c r="C399" s="151"/>
      <c r="D399" s="151"/>
      <c r="E399" s="151"/>
      <c r="F399" s="151"/>
      <c r="G399" s="151"/>
      <c r="H399" s="151"/>
      <c r="I399" s="151"/>
      <c r="J399" s="151"/>
      <c r="K399" s="151"/>
      <c r="L399" s="151"/>
      <c r="M399" s="151"/>
      <c r="N399" s="151"/>
      <c r="O399" s="151"/>
      <c r="P399" s="151"/>
      <c r="Q399" s="151"/>
      <c r="R399" s="151"/>
      <c r="S399" s="151"/>
      <c r="T399" s="151"/>
      <c r="U399" s="151"/>
      <c r="V399" s="151"/>
      <c r="W399" s="151"/>
      <c r="X399" s="151"/>
      <c r="Y399" s="151"/>
      <c r="Z399" s="151"/>
    </row>
    <row r="400" customFormat="false" ht="12.75" hidden="false" customHeight="true" outlineLevel="0" collapsed="false">
      <c r="A400" s="151"/>
      <c r="B400" s="156"/>
      <c r="C400" s="151"/>
      <c r="D400" s="151"/>
      <c r="E400" s="151"/>
      <c r="F400" s="151"/>
      <c r="G400" s="151"/>
      <c r="H400" s="151"/>
      <c r="I400" s="151"/>
      <c r="J400" s="151"/>
      <c r="K400" s="151"/>
      <c r="L400" s="151"/>
      <c r="M400" s="151"/>
      <c r="N400" s="151"/>
      <c r="O400" s="151"/>
      <c r="P400" s="151"/>
      <c r="Q400" s="151"/>
      <c r="R400" s="151"/>
      <c r="S400" s="151"/>
      <c r="T400" s="151"/>
      <c r="U400" s="151"/>
      <c r="V400" s="151"/>
      <c r="W400" s="151"/>
      <c r="X400" s="151"/>
      <c r="Y400" s="151"/>
      <c r="Z400" s="151"/>
    </row>
    <row r="401" customFormat="false" ht="12.75" hidden="false" customHeight="true" outlineLevel="0" collapsed="false">
      <c r="A401" s="151"/>
      <c r="B401" s="156"/>
      <c r="C401" s="151"/>
      <c r="D401" s="151"/>
      <c r="E401" s="151"/>
      <c r="F401" s="151"/>
      <c r="G401" s="151"/>
      <c r="H401" s="151"/>
      <c r="I401" s="151"/>
      <c r="J401" s="151"/>
      <c r="K401" s="151"/>
      <c r="L401" s="151"/>
      <c r="M401" s="151"/>
      <c r="N401" s="151"/>
      <c r="O401" s="151"/>
      <c r="P401" s="151"/>
      <c r="Q401" s="151"/>
      <c r="R401" s="151"/>
      <c r="S401" s="151"/>
      <c r="T401" s="151"/>
      <c r="U401" s="151"/>
      <c r="V401" s="151"/>
      <c r="W401" s="151"/>
      <c r="X401" s="151"/>
      <c r="Y401" s="151"/>
      <c r="Z401" s="151"/>
    </row>
    <row r="402" customFormat="false" ht="12.75" hidden="false" customHeight="true" outlineLevel="0" collapsed="false">
      <c r="A402" s="151"/>
      <c r="B402" s="156"/>
      <c r="C402" s="151"/>
      <c r="D402" s="151"/>
      <c r="E402" s="151"/>
      <c r="F402" s="151"/>
      <c r="G402" s="151"/>
      <c r="H402" s="151"/>
      <c r="I402" s="151"/>
      <c r="J402" s="151"/>
      <c r="K402" s="151"/>
      <c r="L402" s="151"/>
      <c r="M402" s="151"/>
      <c r="N402" s="151"/>
      <c r="O402" s="151"/>
      <c r="P402" s="151"/>
      <c r="Q402" s="151"/>
      <c r="R402" s="151"/>
      <c r="S402" s="151"/>
      <c r="T402" s="151"/>
      <c r="U402" s="151"/>
      <c r="V402" s="151"/>
      <c r="W402" s="151"/>
      <c r="X402" s="151"/>
      <c r="Y402" s="151"/>
      <c r="Z402" s="151"/>
    </row>
    <row r="403" customFormat="false" ht="12.75" hidden="false" customHeight="true" outlineLevel="0" collapsed="false">
      <c r="A403" s="151"/>
      <c r="B403" s="156"/>
      <c r="C403" s="151"/>
      <c r="D403" s="151"/>
      <c r="E403" s="151"/>
      <c r="F403" s="151"/>
      <c r="G403" s="151"/>
      <c r="H403" s="151"/>
      <c r="I403" s="151"/>
      <c r="J403" s="151"/>
      <c r="K403" s="151"/>
      <c r="L403" s="151"/>
      <c r="M403" s="151"/>
      <c r="N403" s="151"/>
      <c r="O403" s="151"/>
      <c r="P403" s="151"/>
      <c r="Q403" s="151"/>
      <c r="R403" s="151"/>
      <c r="S403" s="151"/>
      <c r="T403" s="151"/>
      <c r="U403" s="151"/>
      <c r="V403" s="151"/>
      <c r="W403" s="151"/>
      <c r="X403" s="151"/>
      <c r="Y403" s="151"/>
      <c r="Z403" s="151"/>
    </row>
    <row r="404" customFormat="false" ht="12.75" hidden="false" customHeight="true" outlineLevel="0" collapsed="false">
      <c r="A404" s="151"/>
      <c r="B404" s="156"/>
      <c r="C404" s="151"/>
      <c r="D404" s="151"/>
      <c r="E404" s="151"/>
      <c r="F404" s="151"/>
      <c r="G404" s="151"/>
      <c r="H404" s="151"/>
      <c r="I404" s="151"/>
      <c r="J404" s="151"/>
      <c r="K404" s="151"/>
      <c r="L404" s="151"/>
      <c r="M404" s="151"/>
      <c r="N404" s="151"/>
      <c r="O404" s="151"/>
      <c r="P404" s="151"/>
      <c r="Q404" s="151"/>
      <c r="R404" s="151"/>
      <c r="S404" s="151"/>
      <c r="T404" s="151"/>
      <c r="U404" s="151"/>
      <c r="V404" s="151"/>
      <c r="W404" s="151"/>
      <c r="X404" s="151"/>
      <c r="Y404" s="151"/>
      <c r="Z404" s="151"/>
    </row>
    <row r="405" customFormat="false" ht="12.75" hidden="false" customHeight="true" outlineLevel="0" collapsed="false">
      <c r="A405" s="151"/>
      <c r="B405" s="156"/>
      <c r="C405" s="151"/>
      <c r="D405" s="151"/>
      <c r="E405" s="151"/>
      <c r="F405" s="151"/>
      <c r="G405" s="151"/>
      <c r="H405" s="151"/>
      <c r="I405" s="151"/>
      <c r="J405" s="151"/>
      <c r="K405" s="151"/>
      <c r="L405" s="151"/>
      <c r="M405" s="151"/>
      <c r="N405" s="151"/>
      <c r="O405" s="151"/>
      <c r="P405" s="151"/>
      <c r="Q405" s="151"/>
      <c r="R405" s="151"/>
      <c r="S405" s="151"/>
      <c r="T405" s="151"/>
      <c r="U405" s="151"/>
      <c r="V405" s="151"/>
      <c r="W405" s="151"/>
      <c r="X405" s="151"/>
      <c r="Y405" s="151"/>
      <c r="Z405" s="151"/>
    </row>
    <row r="406" customFormat="false" ht="12.75" hidden="false" customHeight="true" outlineLevel="0" collapsed="false">
      <c r="A406" s="151"/>
      <c r="B406" s="156"/>
      <c r="C406" s="151"/>
      <c r="D406" s="151"/>
      <c r="E406" s="151"/>
      <c r="F406" s="151"/>
      <c r="G406" s="151"/>
      <c r="H406" s="151"/>
      <c r="I406" s="151"/>
      <c r="J406" s="151"/>
      <c r="K406" s="151"/>
      <c r="L406" s="151"/>
      <c r="M406" s="151"/>
      <c r="N406" s="151"/>
      <c r="O406" s="151"/>
      <c r="P406" s="151"/>
      <c r="Q406" s="151"/>
      <c r="R406" s="151"/>
      <c r="S406" s="151"/>
      <c r="T406" s="151"/>
      <c r="U406" s="151"/>
      <c r="V406" s="151"/>
      <c r="W406" s="151"/>
      <c r="X406" s="151"/>
      <c r="Y406" s="151"/>
      <c r="Z406" s="151"/>
    </row>
    <row r="407" customFormat="false" ht="12.75" hidden="false" customHeight="true" outlineLevel="0" collapsed="false">
      <c r="A407" s="151"/>
      <c r="B407" s="156"/>
      <c r="C407" s="151"/>
      <c r="D407" s="151"/>
      <c r="E407" s="151"/>
      <c r="F407" s="151"/>
      <c r="G407" s="151"/>
      <c r="H407" s="151"/>
      <c r="I407" s="151"/>
      <c r="J407" s="151"/>
      <c r="K407" s="151"/>
      <c r="L407" s="151"/>
      <c r="M407" s="151"/>
      <c r="N407" s="151"/>
      <c r="O407" s="151"/>
      <c r="P407" s="151"/>
      <c r="Q407" s="151"/>
      <c r="R407" s="151"/>
      <c r="S407" s="151"/>
      <c r="T407" s="151"/>
      <c r="U407" s="151"/>
      <c r="V407" s="151"/>
      <c r="W407" s="151"/>
      <c r="X407" s="151"/>
      <c r="Y407" s="151"/>
      <c r="Z407" s="151"/>
    </row>
    <row r="408" customFormat="false" ht="12.75" hidden="false" customHeight="true" outlineLevel="0" collapsed="false">
      <c r="A408" s="151"/>
      <c r="B408" s="156"/>
      <c r="C408" s="151"/>
      <c r="D408" s="151"/>
      <c r="E408" s="151"/>
      <c r="F408" s="151"/>
      <c r="G408" s="151"/>
      <c r="H408" s="151"/>
      <c r="I408" s="151"/>
      <c r="J408" s="151"/>
      <c r="K408" s="151"/>
      <c r="L408" s="151"/>
      <c r="M408" s="151"/>
      <c r="N408" s="151"/>
      <c r="O408" s="151"/>
      <c r="P408" s="151"/>
      <c r="Q408" s="151"/>
      <c r="R408" s="151"/>
      <c r="S408" s="151"/>
      <c r="T408" s="151"/>
      <c r="U408" s="151"/>
      <c r="V408" s="151"/>
      <c r="W408" s="151"/>
      <c r="X408" s="151"/>
      <c r="Y408" s="151"/>
      <c r="Z408" s="151"/>
    </row>
    <row r="409" customFormat="false" ht="12.75" hidden="false" customHeight="true" outlineLevel="0" collapsed="false">
      <c r="A409" s="151"/>
      <c r="B409" s="156"/>
      <c r="C409" s="151"/>
      <c r="D409" s="151"/>
      <c r="E409" s="151"/>
      <c r="F409" s="151"/>
      <c r="G409" s="151"/>
      <c r="H409" s="151"/>
      <c r="I409" s="151"/>
      <c r="J409" s="151"/>
      <c r="K409" s="151"/>
      <c r="L409" s="151"/>
      <c r="M409" s="151"/>
      <c r="N409" s="151"/>
      <c r="O409" s="151"/>
      <c r="P409" s="151"/>
      <c r="Q409" s="151"/>
      <c r="R409" s="151"/>
      <c r="S409" s="151"/>
      <c r="T409" s="151"/>
      <c r="U409" s="151"/>
      <c r="V409" s="151"/>
      <c r="W409" s="151"/>
      <c r="X409" s="151"/>
      <c r="Y409" s="151"/>
      <c r="Z409" s="151"/>
    </row>
    <row r="410" customFormat="false" ht="12.75" hidden="false" customHeight="true" outlineLevel="0" collapsed="false">
      <c r="A410" s="151"/>
      <c r="B410" s="156"/>
      <c r="C410" s="151"/>
      <c r="D410" s="151"/>
      <c r="E410" s="151"/>
      <c r="F410" s="151"/>
      <c r="G410" s="151"/>
      <c r="H410" s="151"/>
      <c r="I410" s="151"/>
      <c r="J410" s="151"/>
      <c r="K410" s="151"/>
      <c r="L410" s="151"/>
      <c r="M410" s="151"/>
      <c r="N410" s="151"/>
      <c r="O410" s="151"/>
      <c r="P410" s="151"/>
      <c r="Q410" s="151"/>
      <c r="R410" s="151"/>
      <c r="S410" s="151"/>
      <c r="T410" s="151"/>
      <c r="U410" s="151"/>
      <c r="V410" s="151"/>
      <c r="W410" s="151"/>
      <c r="X410" s="151"/>
      <c r="Y410" s="151"/>
      <c r="Z410" s="151"/>
    </row>
    <row r="411" customFormat="false" ht="12.75" hidden="false" customHeight="true" outlineLevel="0" collapsed="false">
      <c r="A411" s="151"/>
      <c r="B411" s="156"/>
      <c r="C411" s="151"/>
      <c r="D411" s="151"/>
      <c r="E411" s="151"/>
      <c r="F411" s="151"/>
      <c r="G411" s="151"/>
      <c r="H411" s="151"/>
      <c r="I411" s="151"/>
      <c r="J411" s="151"/>
      <c r="K411" s="151"/>
      <c r="L411" s="151"/>
      <c r="M411" s="151"/>
      <c r="N411" s="151"/>
      <c r="O411" s="151"/>
      <c r="P411" s="151"/>
      <c r="Q411" s="151"/>
      <c r="R411" s="151"/>
      <c r="S411" s="151"/>
      <c r="T411" s="151"/>
      <c r="U411" s="151"/>
      <c r="V411" s="151"/>
      <c r="W411" s="151"/>
      <c r="X411" s="151"/>
      <c r="Y411" s="151"/>
      <c r="Z411" s="151"/>
    </row>
    <row r="412" customFormat="false" ht="12.75" hidden="false" customHeight="true" outlineLevel="0" collapsed="false">
      <c r="A412" s="151"/>
      <c r="B412" s="156"/>
      <c r="C412" s="151"/>
      <c r="D412" s="151"/>
      <c r="E412" s="151"/>
      <c r="F412" s="151"/>
      <c r="G412" s="151"/>
      <c r="H412" s="151"/>
      <c r="I412" s="151"/>
      <c r="J412" s="151"/>
      <c r="K412" s="151"/>
      <c r="L412" s="151"/>
      <c r="M412" s="151"/>
      <c r="N412" s="151"/>
      <c r="O412" s="151"/>
      <c r="P412" s="151"/>
      <c r="Q412" s="151"/>
      <c r="R412" s="151"/>
      <c r="S412" s="151"/>
      <c r="T412" s="151"/>
      <c r="U412" s="151"/>
      <c r="V412" s="151"/>
      <c r="W412" s="151"/>
      <c r="X412" s="151"/>
      <c r="Y412" s="151"/>
      <c r="Z412" s="151"/>
    </row>
    <row r="413" customFormat="false" ht="12.75" hidden="false" customHeight="true" outlineLevel="0" collapsed="false">
      <c r="A413" s="151"/>
      <c r="B413" s="156"/>
      <c r="C413" s="151"/>
      <c r="D413" s="151"/>
      <c r="E413" s="151"/>
      <c r="F413" s="151"/>
      <c r="G413" s="151"/>
      <c r="H413" s="151"/>
      <c r="I413" s="151"/>
      <c r="J413" s="151"/>
      <c r="K413" s="151"/>
      <c r="L413" s="151"/>
      <c r="M413" s="151"/>
      <c r="N413" s="151"/>
      <c r="O413" s="151"/>
      <c r="P413" s="151"/>
      <c r="Q413" s="151"/>
      <c r="R413" s="151"/>
      <c r="S413" s="151"/>
      <c r="T413" s="151"/>
      <c r="U413" s="151"/>
      <c r="V413" s="151"/>
      <c r="W413" s="151"/>
      <c r="X413" s="151"/>
      <c r="Y413" s="151"/>
      <c r="Z413" s="151"/>
    </row>
    <row r="414" customFormat="false" ht="12.75" hidden="false" customHeight="true" outlineLevel="0" collapsed="false">
      <c r="A414" s="151"/>
      <c r="B414" s="156"/>
      <c r="C414" s="151"/>
      <c r="D414" s="151"/>
      <c r="E414" s="151"/>
      <c r="F414" s="151"/>
      <c r="G414" s="151"/>
      <c r="H414" s="151"/>
      <c r="I414" s="151"/>
      <c r="J414" s="151"/>
      <c r="K414" s="151"/>
      <c r="L414" s="151"/>
      <c r="M414" s="151"/>
      <c r="N414" s="151"/>
      <c r="O414" s="151"/>
      <c r="P414" s="151"/>
      <c r="Q414" s="151"/>
      <c r="R414" s="151"/>
      <c r="S414" s="151"/>
      <c r="T414" s="151"/>
      <c r="U414" s="151"/>
      <c r="V414" s="151"/>
      <c r="W414" s="151"/>
      <c r="X414" s="151"/>
      <c r="Y414" s="151"/>
      <c r="Z414" s="151"/>
    </row>
    <row r="415" customFormat="false" ht="12.75" hidden="false" customHeight="true" outlineLevel="0" collapsed="false">
      <c r="A415" s="151"/>
      <c r="B415" s="156"/>
      <c r="C415" s="151"/>
      <c r="D415" s="151"/>
      <c r="E415" s="151"/>
      <c r="F415" s="151"/>
      <c r="G415" s="151"/>
      <c r="H415" s="151"/>
      <c r="I415" s="151"/>
      <c r="J415" s="151"/>
      <c r="K415" s="151"/>
      <c r="L415" s="151"/>
      <c r="M415" s="151"/>
      <c r="N415" s="151"/>
      <c r="O415" s="151"/>
      <c r="P415" s="151"/>
      <c r="Q415" s="151"/>
      <c r="R415" s="151"/>
      <c r="S415" s="151"/>
      <c r="T415" s="151"/>
      <c r="U415" s="151"/>
      <c r="V415" s="151"/>
      <c r="W415" s="151"/>
      <c r="X415" s="151"/>
      <c r="Y415" s="151"/>
      <c r="Z415" s="151"/>
    </row>
    <row r="416" customFormat="false" ht="12.75" hidden="false" customHeight="true" outlineLevel="0" collapsed="false">
      <c r="A416" s="151"/>
      <c r="B416" s="156"/>
      <c r="C416" s="151"/>
      <c r="D416" s="151"/>
      <c r="E416" s="151"/>
      <c r="F416" s="151"/>
      <c r="G416" s="151"/>
      <c r="H416" s="151"/>
      <c r="I416" s="151"/>
      <c r="J416" s="151"/>
      <c r="K416" s="151"/>
      <c r="L416" s="151"/>
      <c r="M416" s="151"/>
      <c r="N416" s="151"/>
      <c r="O416" s="151"/>
      <c r="P416" s="151"/>
      <c r="Q416" s="151"/>
      <c r="R416" s="151"/>
      <c r="S416" s="151"/>
      <c r="T416" s="151"/>
      <c r="U416" s="151"/>
      <c r="V416" s="151"/>
      <c r="W416" s="151"/>
      <c r="X416" s="151"/>
      <c r="Y416" s="151"/>
      <c r="Z416" s="151"/>
    </row>
    <row r="417" customFormat="false" ht="12.75" hidden="false" customHeight="true" outlineLevel="0" collapsed="false">
      <c r="A417" s="151"/>
      <c r="B417" s="156"/>
      <c r="C417" s="151"/>
      <c r="D417" s="151"/>
      <c r="E417" s="151"/>
      <c r="F417" s="151"/>
      <c r="G417" s="151"/>
      <c r="H417" s="151"/>
      <c r="I417" s="151"/>
      <c r="J417" s="151"/>
      <c r="K417" s="151"/>
      <c r="L417" s="151"/>
      <c r="M417" s="151"/>
      <c r="N417" s="151"/>
      <c r="O417" s="151"/>
      <c r="P417" s="151"/>
      <c r="Q417" s="151"/>
      <c r="R417" s="151"/>
      <c r="S417" s="151"/>
      <c r="T417" s="151"/>
      <c r="U417" s="151"/>
      <c r="V417" s="151"/>
      <c r="W417" s="151"/>
      <c r="X417" s="151"/>
      <c r="Y417" s="151"/>
      <c r="Z417" s="151"/>
    </row>
    <row r="418" customFormat="false" ht="12.75" hidden="false" customHeight="true" outlineLevel="0" collapsed="false">
      <c r="A418" s="151"/>
      <c r="B418" s="156"/>
      <c r="C418" s="151"/>
      <c r="D418" s="151"/>
      <c r="E418" s="151"/>
      <c r="F418" s="151"/>
      <c r="G418" s="151"/>
      <c r="H418" s="151"/>
      <c r="I418" s="151"/>
      <c r="J418" s="151"/>
      <c r="K418" s="151"/>
      <c r="L418" s="151"/>
      <c r="M418" s="151"/>
      <c r="N418" s="151"/>
      <c r="O418" s="151"/>
      <c r="P418" s="151"/>
      <c r="Q418" s="151"/>
      <c r="R418" s="151"/>
      <c r="S418" s="151"/>
      <c r="T418" s="151"/>
      <c r="U418" s="151"/>
      <c r="V418" s="151"/>
      <c r="W418" s="151"/>
      <c r="X418" s="151"/>
      <c r="Y418" s="151"/>
      <c r="Z418" s="151"/>
    </row>
    <row r="419" customFormat="false" ht="12.75" hidden="false" customHeight="true" outlineLevel="0" collapsed="false">
      <c r="A419" s="151"/>
      <c r="B419" s="156"/>
      <c r="C419" s="151"/>
      <c r="D419" s="151"/>
      <c r="E419" s="151"/>
      <c r="F419" s="151"/>
      <c r="G419" s="151"/>
      <c r="H419" s="151"/>
      <c r="I419" s="151"/>
      <c r="J419" s="151"/>
      <c r="K419" s="151"/>
      <c r="L419" s="151"/>
      <c r="M419" s="151"/>
      <c r="N419" s="151"/>
      <c r="O419" s="151"/>
      <c r="P419" s="151"/>
      <c r="Q419" s="151"/>
      <c r="R419" s="151"/>
      <c r="S419" s="151"/>
      <c r="T419" s="151"/>
      <c r="U419" s="151"/>
      <c r="V419" s="151"/>
      <c r="W419" s="151"/>
      <c r="X419" s="151"/>
      <c r="Y419" s="151"/>
      <c r="Z419" s="151"/>
    </row>
    <row r="420" customFormat="false" ht="12.75" hidden="false" customHeight="true" outlineLevel="0" collapsed="false">
      <c r="A420" s="151"/>
      <c r="B420" s="156"/>
      <c r="C420" s="151"/>
      <c r="D420" s="151"/>
      <c r="E420" s="151"/>
      <c r="F420" s="151"/>
      <c r="G420" s="151"/>
      <c r="H420" s="151"/>
      <c r="I420" s="151"/>
      <c r="J420" s="151"/>
      <c r="K420" s="151"/>
      <c r="L420" s="151"/>
      <c r="M420" s="151"/>
      <c r="N420" s="151"/>
      <c r="O420" s="151"/>
      <c r="P420" s="151"/>
      <c r="Q420" s="151"/>
      <c r="R420" s="151"/>
      <c r="S420" s="151"/>
      <c r="T420" s="151"/>
      <c r="U420" s="151"/>
      <c r="V420" s="151"/>
      <c r="W420" s="151"/>
      <c r="X420" s="151"/>
      <c r="Y420" s="151"/>
      <c r="Z420" s="151"/>
    </row>
    <row r="421" customFormat="false" ht="12.75" hidden="false" customHeight="true" outlineLevel="0" collapsed="false">
      <c r="A421" s="151"/>
      <c r="B421" s="156"/>
      <c r="C421" s="151"/>
      <c r="D421" s="151"/>
      <c r="E421" s="151"/>
      <c r="F421" s="151"/>
      <c r="G421" s="151"/>
      <c r="H421" s="151"/>
      <c r="I421" s="151"/>
      <c r="J421" s="151"/>
      <c r="K421" s="151"/>
      <c r="L421" s="151"/>
      <c r="M421" s="151"/>
      <c r="N421" s="151"/>
      <c r="O421" s="151"/>
      <c r="P421" s="151"/>
      <c r="Q421" s="151"/>
      <c r="R421" s="151"/>
      <c r="S421" s="151"/>
      <c r="T421" s="151"/>
      <c r="U421" s="151"/>
      <c r="V421" s="151"/>
      <c r="W421" s="151"/>
      <c r="X421" s="151"/>
      <c r="Y421" s="151"/>
      <c r="Z421" s="151"/>
    </row>
    <row r="422" customFormat="false" ht="12.75" hidden="false" customHeight="true" outlineLevel="0" collapsed="false">
      <c r="A422" s="151"/>
      <c r="B422" s="156"/>
      <c r="C422" s="151"/>
      <c r="D422" s="151"/>
      <c r="E422" s="151"/>
      <c r="F422" s="151"/>
      <c r="G422" s="151"/>
      <c r="H422" s="151"/>
      <c r="I422" s="151"/>
      <c r="J422" s="151"/>
      <c r="K422" s="151"/>
      <c r="L422" s="151"/>
      <c r="M422" s="151"/>
      <c r="N422" s="151"/>
      <c r="O422" s="151"/>
      <c r="P422" s="151"/>
      <c r="Q422" s="151"/>
      <c r="R422" s="151"/>
      <c r="S422" s="151"/>
      <c r="T422" s="151"/>
      <c r="U422" s="151"/>
      <c r="V422" s="151"/>
      <c r="W422" s="151"/>
      <c r="X422" s="151"/>
      <c r="Y422" s="151"/>
      <c r="Z422" s="151"/>
    </row>
    <row r="423" customFormat="false" ht="12.75" hidden="false" customHeight="true" outlineLevel="0" collapsed="false">
      <c r="A423" s="151"/>
      <c r="B423" s="156"/>
      <c r="C423" s="151"/>
      <c r="D423" s="151"/>
      <c r="E423" s="151"/>
      <c r="F423" s="151"/>
      <c r="G423" s="151"/>
      <c r="H423" s="151"/>
      <c r="I423" s="151"/>
      <c r="J423" s="151"/>
      <c r="K423" s="151"/>
      <c r="L423" s="151"/>
      <c r="M423" s="151"/>
      <c r="N423" s="151"/>
      <c r="O423" s="151"/>
      <c r="P423" s="151"/>
      <c r="Q423" s="151"/>
      <c r="R423" s="151"/>
      <c r="S423" s="151"/>
      <c r="T423" s="151"/>
      <c r="U423" s="151"/>
      <c r="V423" s="151"/>
      <c r="W423" s="151"/>
      <c r="X423" s="151"/>
      <c r="Y423" s="151"/>
      <c r="Z423" s="151"/>
    </row>
    <row r="424" customFormat="false" ht="12.75" hidden="false" customHeight="true" outlineLevel="0" collapsed="false">
      <c r="A424" s="151"/>
      <c r="B424" s="156"/>
      <c r="C424" s="151"/>
      <c r="D424" s="151"/>
      <c r="E424" s="151"/>
      <c r="F424" s="151"/>
      <c r="G424" s="151"/>
      <c r="H424" s="151"/>
      <c r="I424" s="151"/>
      <c r="J424" s="151"/>
      <c r="K424" s="151"/>
      <c r="L424" s="151"/>
      <c r="M424" s="151"/>
      <c r="N424" s="151"/>
      <c r="O424" s="151"/>
      <c r="P424" s="151"/>
      <c r="Q424" s="151"/>
      <c r="R424" s="151"/>
      <c r="S424" s="151"/>
      <c r="T424" s="151"/>
      <c r="U424" s="151"/>
      <c r="V424" s="151"/>
      <c r="W424" s="151"/>
      <c r="X424" s="151"/>
      <c r="Y424" s="151"/>
      <c r="Z424" s="151"/>
    </row>
    <row r="425" customFormat="false" ht="12.75" hidden="false" customHeight="true" outlineLevel="0" collapsed="false">
      <c r="A425" s="151"/>
      <c r="B425" s="156"/>
      <c r="C425" s="151"/>
      <c r="D425" s="151"/>
      <c r="E425" s="151"/>
      <c r="F425" s="151"/>
      <c r="G425" s="151"/>
      <c r="H425" s="151"/>
      <c r="I425" s="151"/>
      <c r="J425" s="151"/>
      <c r="K425" s="151"/>
      <c r="L425" s="151"/>
      <c r="M425" s="151"/>
      <c r="N425" s="151"/>
      <c r="O425" s="151"/>
      <c r="P425" s="151"/>
      <c r="Q425" s="151"/>
      <c r="R425" s="151"/>
      <c r="S425" s="151"/>
      <c r="T425" s="151"/>
      <c r="U425" s="151"/>
      <c r="V425" s="151"/>
      <c r="W425" s="151"/>
      <c r="X425" s="151"/>
      <c r="Y425" s="151"/>
      <c r="Z425" s="151"/>
    </row>
    <row r="426" customFormat="false" ht="12.75" hidden="false" customHeight="true" outlineLevel="0" collapsed="false">
      <c r="A426" s="151"/>
      <c r="B426" s="156"/>
      <c r="C426" s="151"/>
      <c r="D426" s="151"/>
      <c r="E426" s="151"/>
      <c r="F426" s="151"/>
      <c r="G426" s="151"/>
      <c r="H426" s="151"/>
      <c r="I426" s="151"/>
      <c r="J426" s="151"/>
      <c r="K426" s="151"/>
      <c r="L426" s="151"/>
      <c r="M426" s="151"/>
      <c r="N426" s="151"/>
      <c r="O426" s="151"/>
      <c r="P426" s="151"/>
      <c r="Q426" s="151"/>
      <c r="R426" s="151"/>
      <c r="S426" s="151"/>
      <c r="T426" s="151"/>
      <c r="U426" s="151"/>
      <c r="V426" s="151"/>
      <c r="W426" s="151"/>
      <c r="X426" s="151"/>
      <c r="Y426" s="151"/>
      <c r="Z426" s="151"/>
    </row>
    <row r="427" customFormat="false" ht="12.75" hidden="false" customHeight="true" outlineLevel="0" collapsed="false">
      <c r="A427" s="151"/>
      <c r="B427" s="156"/>
      <c r="C427" s="151"/>
      <c r="D427" s="151"/>
      <c r="E427" s="151"/>
      <c r="F427" s="151"/>
      <c r="G427" s="151"/>
      <c r="H427" s="151"/>
      <c r="I427" s="151"/>
      <c r="J427" s="151"/>
      <c r="K427" s="151"/>
      <c r="L427" s="151"/>
      <c r="M427" s="151"/>
      <c r="N427" s="151"/>
      <c r="O427" s="151"/>
      <c r="P427" s="151"/>
      <c r="Q427" s="151"/>
      <c r="R427" s="151"/>
      <c r="S427" s="151"/>
      <c r="T427" s="151"/>
      <c r="U427" s="151"/>
      <c r="V427" s="151"/>
      <c r="W427" s="151"/>
      <c r="X427" s="151"/>
      <c r="Y427" s="151"/>
      <c r="Z427" s="151"/>
    </row>
    <row r="428" customFormat="false" ht="12.75" hidden="false" customHeight="true" outlineLevel="0" collapsed="false">
      <c r="A428" s="151"/>
      <c r="B428" s="156"/>
      <c r="C428" s="151"/>
      <c r="D428" s="151"/>
      <c r="E428" s="151"/>
      <c r="F428" s="151"/>
      <c r="G428" s="151"/>
      <c r="H428" s="151"/>
      <c r="I428" s="151"/>
      <c r="J428" s="151"/>
      <c r="K428" s="151"/>
      <c r="L428" s="151"/>
      <c r="M428" s="151"/>
      <c r="N428" s="151"/>
      <c r="O428" s="151"/>
      <c r="P428" s="151"/>
      <c r="Q428" s="151"/>
      <c r="R428" s="151"/>
      <c r="S428" s="151"/>
      <c r="T428" s="151"/>
      <c r="U428" s="151"/>
      <c r="V428" s="151"/>
      <c r="W428" s="151"/>
      <c r="X428" s="151"/>
      <c r="Y428" s="151"/>
      <c r="Z428" s="151"/>
    </row>
    <row r="429" customFormat="false" ht="12.75" hidden="false" customHeight="true" outlineLevel="0" collapsed="false">
      <c r="A429" s="151"/>
      <c r="B429" s="156"/>
      <c r="C429" s="151"/>
      <c r="D429" s="151"/>
      <c r="E429" s="151"/>
      <c r="F429" s="151"/>
      <c r="G429" s="151"/>
      <c r="H429" s="151"/>
      <c r="I429" s="151"/>
      <c r="J429" s="151"/>
      <c r="K429" s="151"/>
      <c r="L429" s="151"/>
      <c r="M429" s="151"/>
      <c r="N429" s="151"/>
      <c r="O429" s="151"/>
      <c r="P429" s="151"/>
      <c r="Q429" s="151"/>
      <c r="R429" s="151"/>
      <c r="S429" s="151"/>
      <c r="T429" s="151"/>
      <c r="U429" s="151"/>
      <c r="V429" s="151"/>
      <c r="W429" s="151"/>
      <c r="X429" s="151"/>
      <c r="Y429" s="151"/>
      <c r="Z429" s="151"/>
    </row>
    <row r="430" customFormat="false" ht="12.75" hidden="false" customHeight="true" outlineLevel="0" collapsed="false">
      <c r="A430" s="151"/>
      <c r="B430" s="156"/>
      <c r="C430" s="151"/>
      <c r="D430" s="151"/>
      <c r="E430" s="151"/>
      <c r="F430" s="151"/>
      <c r="G430" s="151"/>
      <c r="H430" s="151"/>
      <c r="I430" s="151"/>
      <c r="J430" s="151"/>
      <c r="K430" s="151"/>
      <c r="L430" s="151"/>
      <c r="M430" s="151"/>
      <c r="N430" s="151"/>
      <c r="O430" s="151"/>
      <c r="P430" s="151"/>
      <c r="Q430" s="151"/>
      <c r="R430" s="151"/>
      <c r="S430" s="151"/>
      <c r="T430" s="151"/>
      <c r="U430" s="151"/>
      <c r="V430" s="151"/>
      <c r="W430" s="151"/>
      <c r="X430" s="151"/>
      <c r="Y430" s="151"/>
      <c r="Z430" s="151"/>
    </row>
    <row r="431" customFormat="false" ht="12.75" hidden="false" customHeight="true" outlineLevel="0" collapsed="false">
      <c r="A431" s="151"/>
      <c r="B431" s="156"/>
      <c r="C431" s="151"/>
      <c r="D431" s="151"/>
      <c r="E431" s="151"/>
      <c r="F431" s="151"/>
      <c r="G431" s="151"/>
      <c r="H431" s="151"/>
      <c r="I431" s="151"/>
      <c r="J431" s="151"/>
      <c r="K431" s="151"/>
      <c r="L431" s="151"/>
      <c r="M431" s="151"/>
      <c r="N431" s="151"/>
      <c r="O431" s="151"/>
      <c r="P431" s="151"/>
      <c r="Q431" s="151"/>
      <c r="R431" s="151"/>
      <c r="S431" s="151"/>
      <c r="T431" s="151"/>
      <c r="U431" s="151"/>
      <c r="V431" s="151"/>
      <c r="W431" s="151"/>
      <c r="X431" s="151"/>
      <c r="Y431" s="151"/>
      <c r="Z431" s="151"/>
    </row>
    <row r="432" customFormat="false" ht="12.75" hidden="false" customHeight="true" outlineLevel="0" collapsed="false">
      <c r="A432" s="151"/>
      <c r="B432" s="156"/>
      <c r="C432" s="151"/>
      <c r="D432" s="151"/>
      <c r="E432" s="151"/>
      <c r="F432" s="151"/>
      <c r="G432" s="151"/>
      <c r="H432" s="151"/>
      <c r="I432" s="151"/>
      <c r="J432" s="151"/>
      <c r="K432" s="151"/>
      <c r="L432" s="151"/>
      <c r="M432" s="151"/>
      <c r="N432" s="151"/>
      <c r="O432" s="151"/>
      <c r="P432" s="151"/>
      <c r="Q432" s="151"/>
      <c r="R432" s="151"/>
      <c r="S432" s="151"/>
      <c r="T432" s="151"/>
      <c r="U432" s="151"/>
      <c r="V432" s="151"/>
      <c r="W432" s="151"/>
      <c r="X432" s="151"/>
      <c r="Y432" s="151"/>
      <c r="Z432" s="151"/>
    </row>
    <row r="433" customFormat="false" ht="12.75" hidden="false" customHeight="true" outlineLevel="0" collapsed="false">
      <c r="A433" s="151"/>
      <c r="B433" s="156"/>
      <c r="C433" s="151"/>
      <c r="D433" s="151"/>
      <c r="E433" s="151"/>
      <c r="F433" s="151"/>
      <c r="G433" s="151"/>
      <c r="H433" s="151"/>
      <c r="I433" s="151"/>
      <c r="J433" s="151"/>
      <c r="K433" s="151"/>
      <c r="L433" s="151"/>
      <c r="M433" s="151"/>
      <c r="N433" s="151"/>
      <c r="O433" s="151"/>
      <c r="P433" s="151"/>
      <c r="Q433" s="151"/>
      <c r="R433" s="151"/>
      <c r="S433" s="151"/>
      <c r="T433" s="151"/>
      <c r="U433" s="151"/>
      <c r="V433" s="151"/>
      <c r="W433" s="151"/>
      <c r="X433" s="151"/>
      <c r="Y433" s="151"/>
      <c r="Z433" s="151"/>
    </row>
    <row r="434" customFormat="false" ht="12.75" hidden="false" customHeight="true" outlineLevel="0" collapsed="false">
      <c r="A434" s="151"/>
      <c r="B434" s="156"/>
      <c r="C434" s="151"/>
      <c r="D434" s="151"/>
      <c r="E434" s="151"/>
      <c r="F434" s="151"/>
      <c r="G434" s="151"/>
      <c r="H434" s="151"/>
      <c r="I434" s="151"/>
      <c r="J434" s="151"/>
      <c r="K434" s="151"/>
      <c r="L434" s="151"/>
      <c r="M434" s="151"/>
      <c r="N434" s="151"/>
      <c r="O434" s="151"/>
      <c r="P434" s="151"/>
      <c r="Q434" s="151"/>
      <c r="R434" s="151"/>
      <c r="S434" s="151"/>
      <c r="T434" s="151"/>
      <c r="U434" s="151"/>
      <c r="V434" s="151"/>
      <c r="W434" s="151"/>
      <c r="X434" s="151"/>
      <c r="Y434" s="151"/>
      <c r="Z434" s="151"/>
    </row>
    <row r="435" customFormat="false" ht="12.75" hidden="false" customHeight="true" outlineLevel="0" collapsed="false">
      <c r="A435" s="151"/>
      <c r="B435" s="156"/>
      <c r="C435" s="151"/>
      <c r="D435" s="151"/>
      <c r="E435" s="151"/>
      <c r="F435" s="151"/>
      <c r="G435" s="151"/>
      <c r="H435" s="151"/>
      <c r="I435" s="151"/>
      <c r="J435" s="151"/>
      <c r="K435" s="151"/>
      <c r="L435" s="151"/>
      <c r="M435" s="151"/>
      <c r="N435" s="151"/>
      <c r="O435" s="151"/>
      <c r="P435" s="151"/>
      <c r="Q435" s="151"/>
      <c r="R435" s="151"/>
      <c r="S435" s="151"/>
      <c r="T435" s="151"/>
      <c r="U435" s="151"/>
      <c r="V435" s="151"/>
      <c r="W435" s="151"/>
      <c r="X435" s="151"/>
      <c r="Y435" s="151"/>
      <c r="Z435" s="151"/>
    </row>
    <row r="436" customFormat="false" ht="12.75" hidden="false" customHeight="true" outlineLevel="0" collapsed="false">
      <c r="A436" s="151"/>
      <c r="B436" s="156"/>
      <c r="C436" s="151"/>
      <c r="D436" s="151"/>
      <c r="E436" s="151"/>
      <c r="F436" s="151"/>
      <c r="G436" s="151"/>
      <c r="H436" s="151"/>
      <c r="I436" s="151"/>
      <c r="J436" s="151"/>
      <c r="K436" s="151"/>
      <c r="L436" s="151"/>
      <c r="M436" s="151"/>
      <c r="N436" s="151"/>
      <c r="O436" s="151"/>
      <c r="P436" s="151"/>
      <c r="Q436" s="151"/>
      <c r="R436" s="151"/>
      <c r="S436" s="151"/>
      <c r="T436" s="151"/>
      <c r="U436" s="151"/>
      <c r="V436" s="151"/>
      <c r="W436" s="151"/>
      <c r="X436" s="151"/>
      <c r="Y436" s="151"/>
      <c r="Z436" s="151"/>
    </row>
    <row r="437" customFormat="false" ht="12.75" hidden="false" customHeight="true" outlineLevel="0" collapsed="false">
      <c r="A437" s="151"/>
      <c r="B437" s="156"/>
      <c r="C437" s="151"/>
      <c r="D437" s="151"/>
      <c r="E437" s="151"/>
      <c r="F437" s="151"/>
      <c r="G437" s="151"/>
      <c r="H437" s="151"/>
      <c r="I437" s="151"/>
      <c r="J437" s="151"/>
      <c r="K437" s="151"/>
      <c r="L437" s="151"/>
      <c r="M437" s="151"/>
      <c r="N437" s="151"/>
      <c r="O437" s="151"/>
      <c r="P437" s="151"/>
      <c r="Q437" s="151"/>
      <c r="R437" s="151"/>
      <c r="S437" s="151"/>
      <c r="T437" s="151"/>
      <c r="U437" s="151"/>
      <c r="V437" s="151"/>
      <c r="W437" s="151"/>
      <c r="X437" s="151"/>
      <c r="Y437" s="151"/>
      <c r="Z437" s="151"/>
    </row>
    <row r="438" customFormat="false" ht="12.75" hidden="false" customHeight="true" outlineLevel="0" collapsed="false">
      <c r="A438" s="151"/>
      <c r="B438" s="156"/>
      <c r="C438" s="151"/>
      <c r="D438" s="151"/>
      <c r="E438" s="151"/>
      <c r="F438" s="151"/>
      <c r="G438" s="151"/>
      <c r="H438" s="151"/>
      <c r="I438" s="151"/>
      <c r="J438" s="151"/>
      <c r="K438" s="151"/>
      <c r="L438" s="151"/>
      <c r="M438" s="151"/>
      <c r="N438" s="151"/>
      <c r="O438" s="151"/>
      <c r="P438" s="151"/>
      <c r="Q438" s="151"/>
      <c r="R438" s="151"/>
      <c r="S438" s="151"/>
      <c r="T438" s="151"/>
      <c r="U438" s="151"/>
      <c r="V438" s="151"/>
      <c r="W438" s="151"/>
      <c r="X438" s="151"/>
      <c r="Y438" s="151"/>
      <c r="Z438" s="151"/>
    </row>
    <row r="439" customFormat="false" ht="12.75" hidden="false" customHeight="true" outlineLevel="0" collapsed="false">
      <c r="A439" s="151"/>
      <c r="B439" s="156"/>
      <c r="C439" s="151"/>
      <c r="D439" s="151"/>
      <c r="E439" s="151"/>
      <c r="F439" s="151"/>
      <c r="G439" s="151"/>
      <c r="H439" s="151"/>
      <c r="I439" s="151"/>
      <c r="J439" s="151"/>
      <c r="K439" s="151"/>
      <c r="L439" s="151"/>
      <c r="M439" s="151"/>
      <c r="N439" s="151"/>
      <c r="O439" s="151"/>
      <c r="P439" s="151"/>
      <c r="Q439" s="151"/>
      <c r="R439" s="151"/>
      <c r="S439" s="151"/>
      <c r="T439" s="151"/>
      <c r="U439" s="151"/>
      <c r="V439" s="151"/>
      <c r="W439" s="151"/>
      <c r="X439" s="151"/>
      <c r="Y439" s="151"/>
      <c r="Z439" s="151"/>
    </row>
    <row r="440" customFormat="false" ht="12.75" hidden="false" customHeight="true" outlineLevel="0" collapsed="false">
      <c r="A440" s="151"/>
      <c r="B440" s="156"/>
      <c r="C440" s="151"/>
      <c r="D440" s="151"/>
      <c r="E440" s="151"/>
      <c r="F440" s="151"/>
      <c r="G440" s="151"/>
      <c r="H440" s="151"/>
      <c r="I440" s="151"/>
      <c r="J440" s="151"/>
      <c r="K440" s="151"/>
      <c r="L440" s="151"/>
      <c r="M440" s="151"/>
      <c r="N440" s="151"/>
      <c r="O440" s="151"/>
      <c r="P440" s="151"/>
      <c r="Q440" s="151"/>
      <c r="R440" s="151"/>
      <c r="S440" s="151"/>
      <c r="T440" s="151"/>
      <c r="U440" s="151"/>
      <c r="V440" s="151"/>
      <c r="W440" s="151"/>
      <c r="X440" s="151"/>
      <c r="Y440" s="151"/>
      <c r="Z440" s="151"/>
    </row>
    <row r="441" customFormat="false" ht="12.75" hidden="false" customHeight="true" outlineLevel="0" collapsed="false">
      <c r="A441" s="151"/>
      <c r="B441" s="156"/>
      <c r="C441" s="151"/>
      <c r="D441" s="151"/>
      <c r="E441" s="151"/>
      <c r="F441" s="151"/>
      <c r="G441" s="151"/>
      <c r="H441" s="151"/>
      <c r="I441" s="151"/>
      <c r="J441" s="151"/>
      <c r="K441" s="151"/>
      <c r="L441" s="151"/>
      <c r="M441" s="151"/>
      <c r="N441" s="151"/>
      <c r="O441" s="151"/>
      <c r="P441" s="151"/>
      <c r="Q441" s="151"/>
      <c r="R441" s="151"/>
      <c r="S441" s="151"/>
      <c r="T441" s="151"/>
      <c r="U441" s="151"/>
      <c r="V441" s="151"/>
      <c r="W441" s="151"/>
      <c r="X441" s="151"/>
      <c r="Y441" s="151"/>
      <c r="Z441" s="151"/>
    </row>
    <row r="442" customFormat="false" ht="12.75" hidden="false" customHeight="true" outlineLevel="0" collapsed="false">
      <c r="A442" s="151"/>
      <c r="B442" s="156"/>
      <c r="C442" s="151"/>
      <c r="D442" s="151"/>
      <c r="E442" s="151"/>
      <c r="F442" s="151"/>
      <c r="G442" s="151"/>
      <c r="H442" s="151"/>
      <c r="I442" s="151"/>
      <c r="J442" s="151"/>
      <c r="K442" s="151"/>
      <c r="L442" s="151"/>
      <c r="M442" s="151"/>
      <c r="N442" s="151"/>
      <c r="O442" s="151"/>
      <c r="P442" s="151"/>
      <c r="Q442" s="151"/>
      <c r="R442" s="151"/>
      <c r="S442" s="151"/>
      <c r="T442" s="151"/>
      <c r="U442" s="151"/>
      <c r="V442" s="151"/>
      <c r="W442" s="151"/>
      <c r="X442" s="151"/>
      <c r="Y442" s="151"/>
      <c r="Z442" s="151"/>
    </row>
    <row r="443" customFormat="false" ht="12.75" hidden="false" customHeight="true" outlineLevel="0" collapsed="false">
      <c r="A443" s="151"/>
      <c r="B443" s="156"/>
      <c r="C443" s="151"/>
      <c r="D443" s="151"/>
      <c r="E443" s="151"/>
      <c r="F443" s="151"/>
      <c r="G443" s="151"/>
      <c r="H443" s="151"/>
      <c r="I443" s="151"/>
      <c r="J443" s="151"/>
      <c r="K443" s="151"/>
      <c r="L443" s="151"/>
      <c r="M443" s="151"/>
      <c r="N443" s="151"/>
      <c r="O443" s="151"/>
      <c r="P443" s="151"/>
      <c r="Q443" s="151"/>
      <c r="R443" s="151"/>
      <c r="S443" s="151"/>
      <c r="T443" s="151"/>
      <c r="U443" s="151"/>
      <c r="V443" s="151"/>
      <c r="W443" s="151"/>
      <c r="X443" s="151"/>
      <c r="Y443" s="151"/>
      <c r="Z443" s="151"/>
    </row>
    <row r="444" customFormat="false" ht="12.75" hidden="false" customHeight="true" outlineLevel="0" collapsed="false">
      <c r="A444" s="151"/>
      <c r="B444" s="156"/>
      <c r="C444" s="151"/>
      <c r="D444" s="151"/>
      <c r="E444" s="151"/>
      <c r="F444" s="151"/>
      <c r="G444" s="151"/>
      <c r="H444" s="151"/>
      <c r="I444" s="151"/>
      <c r="J444" s="151"/>
      <c r="K444" s="151"/>
      <c r="L444" s="151"/>
      <c r="M444" s="151"/>
      <c r="N444" s="151"/>
      <c r="O444" s="151"/>
      <c r="P444" s="151"/>
      <c r="Q444" s="151"/>
      <c r="R444" s="151"/>
      <c r="S444" s="151"/>
      <c r="T444" s="151"/>
      <c r="U444" s="151"/>
      <c r="V444" s="151"/>
      <c r="W444" s="151"/>
      <c r="X444" s="151"/>
      <c r="Y444" s="151"/>
      <c r="Z444" s="151"/>
    </row>
    <row r="445" customFormat="false" ht="12.75" hidden="false" customHeight="true" outlineLevel="0" collapsed="false">
      <c r="A445" s="151"/>
      <c r="B445" s="156"/>
      <c r="C445" s="151"/>
      <c r="D445" s="151"/>
      <c r="E445" s="151"/>
      <c r="F445" s="151"/>
      <c r="G445" s="151"/>
      <c r="H445" s="151"/>
      <c r="I445" s="151"/>
      <c r="J445" s="151"/>
      <c r="K445" s="151"/>
      <c r="L445" s="151"/>
      <c r="M445" s="151"/>
      <c r="N445" s="151"/>
      <c r="O445" s="151"/>
      <c r="P445" s="151"/>
      <c r="Q445" s="151"/>
      <c r="R445" s="151"/>
      <c r="S445" s="151"/>
      <c r="T445" s="151"/>
      <c r="U445" s="151"/>
      <c r="V445" s="151"/>
      <c r="W445" s="151"/>
      <c r="X445" s="151"/>
      <c r="Y445" s="151"/>
      <c r="Z445" s="151"/>
    </row>
    <row r="446" customFormat="false" ht="12.75" hidden="false" customHeight="true" outlineLevel="0" collapsed="false">
      <c r="A446" s="151"/>
      <c r="B446" s="156"/>
      <c r="C446" s="151"/>
      <c r="D446" s="151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R446" s="151"/>
      <c r="S446" s="151"/>
      <c r="T446" s="151"/>
      <c r="U446" s="151"/>
      <c r="V446" s="151"/>
      <c r="W446" s="151"/>
      <c r="X446" s="151"/>
      <c r="Y446" s="151"/>
      <c r="Z446" s="151"/>
    </row>
    <row r="447" customFormat="false" ht="12.75" hidden="false" customHeight="true" outlineLevel="0" collapsed="false">
      <c r="A447" s="151"/>
      <c r="B447" s="156"/>
      <c r="C447" s="151"/>
      <c r="D447" s="151"/>
      <c r="E447" s="151"/>
      <c r="F447" s="151"/>
      <c r="G447" s="151"/>
      <c r="H447" s="151"/>
      <c r="I447" s="151"/>
      <c r="J447" s="151"/>
      <c r="K447" s="151"/>
      <c r="L447" s="151"/>
      <c r="M447" s="151"/>
      <c r="N447" s="151"/>
      <c r="O447" s="151"/>
      <c r="P447" s="151"/>
      <c r="Q447" s="151"/>
      <c r="R447" s="151"/>
      <c r="S447" s="151"/>
      <c r="T447" s="151"/>
      <c r="U447" s="151"/>
      <c r="V447" s="151"/>
      <c r="W447" s="151"/>
      <c r="X447" s="151"/>
      <c r="Y447" s="151"/>
      <c r="Z447" s="151"/>
    </row>
    <row r="448" customFormat="false" ht="12.75" hidden="false" customHeight="true" outlineLevel="0" collapsed="false">
      <c r="A448" s="151"/>
      <c r="B448" s="156"/>
      <c r="C448" s="151"/>
      <c r="D448" s="151"/>
      <c r="E448" s="151"/>
      <c r="F448" s="151"/>
      <c r="G448" s="151"/>
      <c r="H448" s="151"/>
      <c r="I448" s="151"/>
      <c r="J448" s="151"/>
      <c r="K448" s="151"/>
      <c r="L448" s="151"/>
      <c r="M448" s="151"/>
      <c r="N448" s="151"/>
      <c r="O448" s="151"/>
      <c r="P448" s="151"/>
      <c r="Q448" s="151"/>
      <c r="R448" s="151"/>
      <c r="S448" s="151"/>
      <c r="T448" s="151"/>
      <c r="U448" s="151"/>
      <c r="V448" s="151"/>
      <c r="W448" s="151"/>
      <c r="X448" s="151"/>
      <c r="Y448" s="151"/>
      <c r="Z448" s="151"/>
    </row>
    <row r="449" customFormat="false" ht="12.75" hidden="false" customHeight="true" outlineLevel="0" collapsed="false">
      <c r="A449" s="151"/>
      <c r="B449" s="156"/>
      <c r="C449" s="151"/>
      <c r="D449" s="151"/>
      <c r="E449" s="151"/>
      <c r="F449" s="151"/>
      <c r="G449" s="151"/>
      <c r="H449" s="151"/>
      <c r="I449" s="151"/>
      <c r="J449" s="151"/>
      <c r="K449" s="151"/>
      <c r="L449" s="151"/>
      <c r="M449" s="151"/>
      <c r="N449" s="151"/>
      <c r="O449" s="151"/>
      <c r="P449" s="151"/>
      <c r="Q449" s="151"/>
      <c r="R449" s="151"/>
      <c r="S449" s="151"/>
      <c r="T449" s="151"/>
      <c r="U449" s="151"/>
      <c r="V449" s="151"/>
      <c r="W449" s="151"/>
      <c r="X449" s="151"/>
      <c r="Y449" s="151"/>
      <c r="Z449" s="151"/>
    </row>
    <row r="450" customFormat="false" ht="12.75" hidden="false" customHeight="true" outlineLevel="0" collapsed="false">
      <c r="A450" s="151"/>
      <c r="B450" s="156"/>
      <c r="C450" s="151"/>
      <c r="D450" s="151"/>
      <c r="E450" s="151"/>
      <c r="F450" s="151"/>
      <c r="G450" s="151"/>
      <c r="H450" s="151"/>
      <c r="I450" s="151"/>
      <c r="J450" s="151"/>
      <c r="K450" s="151"/>
      <c r="L450" s="151"/>
      <c r="M450" s="151"/>
      <c r="N450" s="151"/>
      <c r="O450" s="151"/>
      <c r="P450" s="151"/>
      <c r="Q450" s="151"/>
      <c r="R450" s="151"/>
      <c r="S450" s="151"/>
      <c r="T450" s="151"/>
      <c r="U450" s="151"/>
      <c r="V450" s="151"/>
      <c r="W450" s="151"/>
      <c r="X450" s="151"/>
      <c r="Y450" s="151"/>
      <c r="Z450" s="151"/>
    </row>
    <row r="451" customFormat="false" ht="12.75" hidden="false" customHeight="true" outlineLevel="0" collapsed="false">
      <c r="A451" s="151"/>
      <c r="B451" s="156"/>
      <c r="C451" s="151"/>
      <c r="D451" s="151"/>
      <c r="E451" s="151"/>
      <c r="F451" s="151"/>
      <c r="G451" s="151"/>
      <c r="H451" s="151"/>
      <c r="I451" s="151"/>
      <c r="J451" s="151"/>
      <c r="K451" s="151"/>
      <c r="L451" s="151"/>
      <c r="M451" s="151"/>
      <c r="N451" s="151"/>
      <c r="O451" s="151"/>
      <c r="P451" s="151"/>
      <c r="Q451" s="151"/>
      <c r="R451" s="151"/>
      <c r="S451" s="151"/>
      <c r="T451" s="151"/>
      <c r="U451" s="151"/>
      <c r="V451" s="151"/>
      <c r="W451" s="151"/>
      <c r="X451" s="151"/>
      <c r="Y451" s="151"/>
      <c r="Z451" s="151"/>
    </row>
    <row r="452" customFormat="false" ht="12.75" hidden="false" customHeight="true" outlineLevel="0" collapsed="false">
      <c r="A452" s="151"/>
      <c r="B452" s="156"/>
      <c r="C452" s="151"/>
      <c r="D452" s="151"/>
      <c r="E452" s="151"/>
      <c r="F452" s="151"/>
      <c r="G452" s="151"/>
      <c r="H452" s="151"/>
      <c r="I452" s="151"/>
      <c r="J452" s="151"/>
      <c r="K452" s="151"/>
      <c r="L452" s="151"/>
      <c r="M452" s="151"/>
      <c r="N452" s="151"/>
      <c r="O452" s="151"/>
      <c r="P452" s="151"/>
      <c r="Q452" s="151"/>
      <c r="R452" s="151"/>
      <c r="S452" s="151"/>
      <c r="T452" s="151"/>
      <c r="U452" s="151"/>
      <c r="V452" s="151"/>
      <c r="W452" s="151"/>
      <c r="X452" s="151"/>
      <c r="Y452" s="151"/>
      <c r="Z452" s="151"/>
    </row>
    <row r="453" customFormat="false" ht="12.75" hidden="false" customHeight="true" outlineLevel="0" collapsed="false">
      <c r="A453" s="151"/>
      <c r="B453" s="156"/>
      <c r="C453" s="151"/>
      <c r="D453" s="151"/>
      <c r="E453" s="151"/>
      <c r="F453" s="151"/>
      <c r="G453" s="151"/>
      <c r="H453" s="151"/>
      <c r="I453" s="151"/>
      <c r="J453" s="151"/>
      <c r="K453" s="151"/>
      <c r="L453" s="151"/>
      <c r="M453" s="151"/>
      <c r="N453" s="151"/>
      <c r="O453" s="151"/>
      <c r="P453" s="151"/>
      <c r="Q453" s="151"/>
      <c r="R453" s="151"/>
      <c r="S453" s="151"/>
      <c r="T453" s="151"/>
      <c r="U453" s="151"/>
      <c r="V453" s="151"/>
      <c r="W453" s="151"/>
      <c r="X453" s="151"/>
      <c r="Y453" s="151"/>
      <c r="Z453" s="151"/>
    </row>
    <row r="454" customFormat="false" ht="12.75" hidden="false" customHeight="true" outlineLevel="0" collapsed="false">
      <c r="A454" s="151"/>
      <c r="B454" s="156"/>
      <c r="C454" s="151"/>
      <c r="D454" s="151"/>
      <c r="E454" s="151"/>
      <c r="F454" s="151"/>
      <c r="G454" s="151"/>
      <c r="H454" s="151"/>
      <c r="I454" s="151"/>
      <c r="J454" s="151"/>
      <c r="K454" s="151"/>
      <c r="L454" s="151"/>
      <c r="M454" s="151"/>
      <c r="N454" s="151"/>
      <c r="O454" s="151"/>
      <c r="P454" s="151"/>
      <c r="Q454" s="151"/>
      <c r="R454" s="151"/>
      <c r="S454" s="151"/>
      <c r="T454" s="151"/>
      <c r="U454" s="151"/>
      <c r="V454" s="151"/>
      <c r="W454" s="151"/>
      <c r="X454" s="151"/>
      <c r="Y454" s="151"/>
      <c r="Z454" s="151"/>
    </row>
    <row r="455" customFormat="false" ht="12.75" hidden="false" customHeight="true" outlineLevel="0" collapsed="false">
      <c r="A455" s="151"/>
      <c r="B455" s="156"/>
      <c r="C455" s="151"/>
      <c r="D455" s="151"/>
      <c r="E455" s="151"/>
      <c r="F455" s="151"/>
      <c r="G455" s="151"/>
      <c r="H455" s="151"/>
      <c r="I455" s="151"/>
      <c r="J455" s="151"/>
      <c r="K455" s="151"/>
      <c r="L455" s="151"/>
      <c r="M455" s="151"/>
      <c r="N455" s="151"/>
      <c r="O455" s="151"/>
      <c r="P455" s="151"/>
      <c r="Q455" s="151"/>
      <c r="R455" s="151"/>
      <c r="S455" s="151"/>
      <c r="T455" s="151"/>
      <c r="U455" s="151"/>
      <c r="V455" s="151"/>
      <c r="W455" s="151"/>
      <c r="X455" s="151"/>
      <c r="Y455" s="151"/>
      <c r="Z455" s="151"/>
    </row>
    <row r="456" customFormat="false" ht="12.75" hidden="false" customHeight="true" outlineLevel="0" collapsed="false">
      <c r="A456" s="151"/>
      <c r="B456" s="156"/>
      <c r="C456" s="151"/>
      <c r="D456" s="151"/>
      <c r="E456" s="151"/>
      <c r="F456" s="151"/>
      <c r="G456" s="151"/>
      <c r="H456" s="151"/>
      <c r="I456" s="151"/>
      <c r="J456" s="151"/>
      <c r="K456" s="151"/>
      <c r="L456" s="151"/>
      <c r="M456" s="151"/>
      <c r="N456" s="151"/>
      <c r="O456" s="151"/>
      <c r="P456" s="151"/>
      <c r="Q456" s="151"/>
      <c r="R456" s="151"/>
      <c r="S456" s="151"/>
      <c r="T456" s="151"/>
      <c r="U456" s="151"/>
      <c r="V456" s="151"/>
      <c r="W456" s="151"/>
      <c r="X456" s="151"/>
      <c r="Y456" s="151"/>
      <c r="Z456" s="151"/>
    </row>
    <row r="457" customFormat="false" ht="12.75" hidden="false" customHeight="true" outlineLevel="0" collapsed="false">
      <c r="A457" s="151"/>
      <c r="B457" s="156"/>
      <c r="C457" s="151"/>
      <c r="D457" s="151"/>
      <c r="E457" s="151"/>
      <c r="F457" s="151"/>
      <c r="G457" s="151"/>
      <c r="H457" s="151"/>
      <c r="I457" s="151"/>
      <c r="J457" s="151"/>
      <c r="K457" s="151"/>
      <c r="L457" s="151"/>
      <c r="M457" s="151"/>
      <c r="N457" s="151"/>
      <c r="O457" s="151"/>
      <c r="P457" s="151"/>
      <c r="Q457" s="151"/>
      <c r="R457" s="151"/>
      <c r="S457" s="151"/>
      <c r="T457" s="151"/>
      <c r="U457" s="151"/>
      <c r="V457" s="151"/>
      <c r="W457" s="151"/>
      <c r="X457" s="151"/>
      <c r="Y457" s="151"/>
      <c r="Z457" s="151"/>
    </row>
    <row r="458" customFormat="false" ht="12.75" hidden="false" customHeight="true" outlineLevel="0" collapsed="false">
      <c r="A458" s="151"/>
      <c r="B458" s="156"/>
      <c r="C458" s="151"/>
      <c r="D458" s="151"/>
      <c r="E458" s="151"/>
      <c r="F458" s="151"/>
      <c r="G458" s="151"/>
      <c r="H458" s="151"/>
      <c r="I458" s="151"/>
      <c r="J458" s="151"/>
      <c r="K458" s="151"/>
      <c r="L458" s="151"/>
      <c r="M458" s="151"/>
      <c r="N458" s="151"/>
      <c r="O458" s="151"/>
      <c r="P458" s="151"/>
      <c r="Q458" s="151"/>
      <c r="R458" s="151"/>
      <c r="S458" s="151"/>
      <c r="T458" s="151"/>
      <c r="U458" s="151"/>
      <c r="V458" s="151"/>
      <c r="W458" s="151"/>
      <c r="X458" s="151"/>
      <c r="Y458" s="151"/>
      <c r="Z458" s="151"/>
    </row>
    <row r="459" customFormat="false" ht="12.75" hidden="false" customHeight="true" outlineLevel="0" collapsed="false">
      <c r="A459" s="151"/>
      <c r="B459" s="156"/>
      <c r="C459" s="151"/>
      <c r="D459" s="151"/>
      <c r="E459" s="151"/>
      <c r="F459" s="151"/>
      <c r="G459" s="151"/>
      <c r="H459" s="151"/>
      <c r="I459" s="151"/>
      <c r="J459" s="151"/>
      <c r="K459" s="151"/>
      <c r="L459" s="151"/>
      <c r="M459" s="151"/>
      <c r="N459" s="151"/>
      <c r="O459" s="151"/>
      <c r="P459" s="151"/>
      <c r="Q459" s="151"/>
      <c r="R459" s="151"/>
      <c r="S459" s="151"/>
      <c r="T459" s="151"/>
      <c r="U459" s="151"/>
      <c r="V459" s="151"/>
      <c r="W459" s="151"/>
      <c r="X459" s="151"/>
      <c r="Y459" s="151"/>
      <c r="Z459" s="151"/>
    </row>
    <row r="460" customFormat="false" ht="12.75" hidden="false" customHeight="true" outlineLevel="0" collapsed="false">
      <c r="A460" s="151"/>
      <c r="B460" s="156"/>
      <c r="C460" s="151"/>
      <c r="D460" s="151"/>
      <c r="E460" s="151"/>
      <c r="F460" s="151"/>
      <c r="G460" s="151"/>
      <c r="H460" s="151"/>
      <c r="I460" s="151"/>
      <c r="J460" s="151"/>
      <c r="K460" s="151"/>
      <c r="L460" s="151"/>
      <c r="M460" s="151"/>
      <c r="N460" s="151"/>
      <c r="O460" s="151"/>
      <c r="P460" s="151"/>
      <c r="Q460" s="151"/>
      <c r="R460" s="151"/>
      <c r="S460" s="151"/>
      <c r="T460" s="151"/>
      <c r="U460" s="151"/>
      <c r="V460" s="151"/>
      <c r="W460" s="151"/>
      <c r="X460" s="151"/>
      <c r="Y460" s="151"/>
      <c r="Z460" s="151"/>
    </row>
    <row r="461" customFormat="false" ht="12.75" hidden="false" customHeight="true" outlineLevel="0" collapsed="false">
      <c r="A461" s="151"/>
      <c r="B461" s="156"/>
      <c r="C461" s="151"/>
      <c r="D461" s="151"/>
      <c r="E461" s="151"/>
      <c r="F461" s="151"/>
      <c r="G461" s="151"/>
      <c r="H461" s="151"/>
      <c r="I461" s="151"/>
      <c r="J461" s="151"/>
      <c r="K461" s="151"/>
      <c r="L461" s="151"/>
      <c r="M461" s="151"/>
      <c r="N461" s="151"/>
      <c r="O461" s="151"/>
      <c r="P461" s="151"/>
      <c r="Q461" s="151"/>
      <c r="R461" s="151"/>
      <c r="S461" s="151"/>
      <c r="T461" s="151"/>
      <c r="U461" s="151"/>
      <c r="V461" s="151"/>
      <c r="W461" s="151"/>
      <c r="X461" s="151"/>
      <c r="Y461" s="151"/>
      <c r="Z461" s="151"/>
    </row>
    <row r="462" customFormat="false" ht="12.75" hidden="false" customHeight="true" outlineLevel="0" collapsed="false">
      <c r="A462" s="151"/>
      <c r="B462" s="156"/>
      <c r="C462" s="151"/>
      <c r="D462" s="151"/>
      <c r="E462" s="151"/>
      <c r="F462" s="151"/>
      <c r="G462" s="151"/>
      <c r="H462" s="151"/>
      <c r="I462" s="151"/>
      <c r="J462" s="151"/>
      <c r="K462" s="151"/>
      <c r="L462" s="151"/>
      <c r="M462" s="151"/>
      <c r="N462" s="151"/>
      <c r="O462" s="151"/>
      <c r="P462" s="151"/>
      <c r="Q462" s="151"/>
      <c r="R462" s="151"/>
      <c r="S462" s="151"/>
      <c r="T462" s="151"/>
      <c r="U462" s="151"/>
      <c r="V462" s="151"/>
      <c r="W462" s="151"/>
      <c r="X462" s="151"/>
      <c r="Y462" s="151"/>
      <c r="Z462" s="151"/>
    </row>
    <row r="463" customFormat="false" ht="12.75" hidden="false" customHeight="true" outlineLevel="0" collapsed="false">
      <c r="A463" s="151"/>
      <c r="B463" s="156"/>
      <c r="C463" s="151"/>
      <c r="D463" s="151"/>
      <c r="E463" s="151"/>
      <c r="F463" s="151"/>
      <c r="G463" s="151"/>
      <c r="H463" s="151"/>
      <c r="I463" s="151"/>
      <c r="J463" s="151"/>
      <c r="K463" s="151"/>
      <c r="L463" s="151"/>
      <c r="M463" s="151"/>
      <c r="N463" s="151"/>
      <c r="O463" s="151"/>
      <c r="P463" s="151"/>
      <c r="Q463" s="151"/>
      <c r="R463" s="151"/>
      <c r="S463" s="151"/>
      <c r="T463" s="151"/>
      <c r="U463" s="151"/>
      <c r="V463" s="151"/>
      <c r="W463" s="151"/>
      <c r="X463" s="151"/>
      <c r="Y463" s="151"/>
      <c r="Z463" s="151"/>
    </row>
    <row r="464" customFormat="false" ht="12.75" hidden="false" customHeight="true" outlineLevel="0" collapsed="false">
      <c r="A464" s="151"/>
      <c r="B464" s="156"/>
      <c r="C464" s="151"/>
      <c r="D464" s="151"/>
      <c r="E464" s="151"/>
      <c r="F464" s="151"/>
      <c r="G464" s="151"/>
      <c r="H464" s="151"/>
      <c r="I464" s="151"/>
      <c r="J464" s="151"/>
      <c r="K464" s="151"/>
      <c r="L464" s="151"/>
      <c r="M464" s="151"/>
      <c r="N464" s="151"/>
      <c r="O464" s="151"/>
      <c r="P464" s="151"/>
      <c r="Q464" s="151"/>
      <c r="R464" s="151"/>
      <c r="S464" s="151"/>
      <c r="T464" s="151"/>
      <c r="U464" s="151"/>
      <c r="V464" s="151"/>
      <c r="W464" s="151"/>
      <c r="X464" s="151"/>
      <c r="Y464" s="151"/>
      <c r="Z464" s="151"/>
    </row>
    <row r="465" customFormat="false" ht="12.75" hidden="false" customHeight="true" outlineLevel="0" collapsed="false">
      <c r="A465" s="151"/>
      <c r="B465" s="156"/>
      <c r="C465" s="151"/>
      <c r="D465" s="151"/>
      <c r="E465" s="151"/>
      <c r="F465" s="151"/>
      <c r="G465" s="151"/>
      <c r="H465" s="151"/>
      <c r="I465" s="151"/>
      <c r="J465" s="151"/>
      <c r="K465" s="151"/>
      <c r="L465" s="151"/>
      <c r="M465" s="151"/>
      <c r="N465" s="151"/>
      <c r="O465" s="151"/>
      <c r="P465" s="151"/>
      <c r="Q465" s="151"/>
      <c r="R465" s="151"/>
      <c r="S465" s="151"/>
      <c r="T465" s="151"/>
      <c r="U465" s="151"/>
      <c r="V465" s="151"/>
      <c r="W465" s="151"/>
      <c r="X465" s="151"/>
      <c r="Y465" s="151"/>
      <c r="Z465" s="151"/>
    </row>
    <row r="466" customFormat="false" ht="12.75" hidden="false" customHeight="true" outlineLevel="0" collapsed="false">
      <c r="A466" s="151"/>
      <c r="B466" s="156"/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R466" s="151"/>
      <c r="S466" s="151"/>
      <c r="T466" s="151"/>
      <c r="U466" s="151"/>
      <c r="V466" s="151"/>
      <c r="W466" s="151"/>
      <c r="X466" s="151"/>
      <c r="Y466" s="151"/>
      <c r="Z466" s="151"/>
    </row>
    <row r="467" customFormat="false" ht="12.75" hidden="false" customHeight="true" outlineLevel="0" collapsed="false">
      <c r="A467" s="151"/>
      <c r="B467" s="156"/>
      <c r="C467" s="151"/>
      <c r="D467" s="151"/>
      <c r="E467" s="151"/>
      <c r="F467" s="151"/>
      <c r="G467" s="151"/>
      <c r="H467" s="151"/>
      <c r="I467" s="151"/>
      <c r="J467" s="151"/>
      <c r="K467" s="151"/>
      <c r="L467" s="151"/>
      <c r="M467" s="151"/>
      <c r="N467" s="151"/>
      <c r="O467" s="151"/>
      <c r="P467" s="151"/>
      <c r="Q467" s="151"/>
      <c r="R467" s="151"/>
      <c r="S467" s="151"/>
      <c r="T467" s="151"/>
      <c r="U467" s="151"/>
      <c r="V467" s="151"/>
      <c r="W467" s="151"/>
      <c r="X467" s="151"/>
      <c r="Y467" s="151"/>
      <c r="Z467" s="151"/>
    </row>
    <row r="468" customFormat="false" ht="12.75" hidden="false" customHeight="true" outlineLevel="0" collapsed="false">
      <c r="A468" s="151"/>
      <c r="B468" s="156"/>
      <c r="C468" s="151"/>
      <c r="D468" s="151"/>
      <c r="E468" s="151"/>
      <c r="F468" s="151"/>
      <c r="G468" s="151"/>
      <c r="H468" s="151"/>
      <c r="I468" s="151"/>
      <c r="J468" s="151"/>
      <c r="K468" s="151"/>
      <c r="L468" s="151"/>
      <c r="M468" s="151"/>
      <c r="N468" s="151"/>
      <c r="O468" s="151"/>
      <c r="P468" s="151"/>
      <c r="Q468" s="151"/>
      <c r="R468" s="151"/>
      <c r="S468" s="151"/>
      <c r="T468" s="151"/>
      <c r="U468" s="151"/>
      <c r="V468" s="151"/>
      <c r="W468" s="151"/>
      <c r="X468" s="151"/>
      <c r="Y468" s="151"/>
      <c r="Z468" s="151"/>
    </row>
    <row r="469" customFormat="false" ht="12.75" hidden="false" customHeight="true" outlineLevel="0" collapsed="false">
      <c r="A469" s="151"/>
      <c r="B469" s="156"/>
      <c r="C469" s="151"/>
      <c r="D469" s="151"/>
      <c r="E469" s="151"/>
      <c r="F469" s="151"/>
      <c r="G469" s="151"/>
      <c r="H469" s="151"/>
      <c r="I469" s="151"/>
      <c r="J469" s="151"/>
      <c r="K469" s="151"/>
      <c r="L469" s="151"/>
      <c r="M469" s="151"/>
      <c r="N469" s="151"/>
      <c r="O469" s="151"/>
      <c r="P469" s="151"/>
      <c r="Q469" s="151"/>
      <c r="R469" s="151"/>
      <c r="S469" s="151"/>
      <c r="T469" s="151"/>
      <c r="U469" s="151"/>
      <c r="V469" s="151"/>
      <c r="W469" s="151"/>
      <c r="X469" s="151"/>
      <c r="Y469" s="151"/>
      <c r="Z469" s="151"/>
    </row>
    <row r="470" customFormat="false" ht="12.75" hidden="false" customHeight="true" outlineLevel="0" collapsed="false">
      <c r="A470" s="151"/>
      <c r="B470" s="156"/>
      <c r="C470" s="151"/>
      <c r="D470" s="151"/>
      <c r="E470" s="151"/>
      <c r="F470" s="151"/>
      <c r="G470" s="151"/>
      <c r="H470" s="151"/>
      <c r="I470" s="151"/>
      <c r="J470" s="151"/>
      <c r="K470" s="151"/>
      <c r="L470" s="151"/>
      <c r="M470" s="151"/>
      <c r="N470" s="151"/>
      <c r="O470" s="151"/>
      <c r="P470" s="151"/>
      <c r="Q470" s="151"/>
      <c r="R470" s="151"/>
      <c r="S470" s="151"/>
      <c r="T470" s="151"/>
      <c r="U470" s="151"/>
      <c r="V470" s="151"/>
      <c r="W470" s="151"/>
      <c r="X470" s="151"/>
      <c r="Y470" s="151"/>
      <c r="Z470" s="151"/>
    </row>
    <row r="471" customFormat="false" ht="12.75" hidden="false" customHeight="true" outlineLevel="0" collapsed="false">
      <c r="A471" s="151"/>
      <c r="B471" s="156"/>
      <c r="C471" s="151"/>
      <c r="D471" s="151"/>
      <c r="E471" s="151"/>
      <c r="F471" s="151"/>
      <c r="G471" s="151"/>
      <c r="H471" s="151"/>
      <c r="I471" s="151"/>
      <c r="J471" s="151"/>
      <c r="K471" s="151"/>
      <c r="L471" s="151"/>
      <c r="M471" s="151"/>
      <c r="N471" s="151"/>
      <c r="O471" s="151"/>
      <c r="P471" s="151"/>
      <c r="Q471" s="151"/>
      <c r="R471" s="151"/>
      <c r="S471" s="151"/>
      <c r="T471" s="151"/>
      <c r="U471" s="151"/>
      <c r="V471" s="151"/>
      <c r="W471" s="151"/>
      <c r="X471" s="151"/>
      <c r="Y471" s="151"/>
      <c r="Z471" s="151"/>
    </row>
    <row r="472" customFormat="false" ht="12.75" hidden="false" customHeight="true" outlineLevel="0" collapsed="false">
      <c r="A472" s="151"/>
      <c r="B472" s="156"/>
      <c r="C472" s="151"/>
      <c r="D472" s="151"/>
      <c r="E472" s="151"/>
      <c r="F472" s="151"/>
      <c r="G472" s="151"/>
      <c r="H472" s="151"/>
      <c r="I472" s="151"/>
      <c r="J472" s="151"/>
      <c r="K472" s="151"/>
      <c r="L472" s="151"/>
      <c r="M472" s="151"/>
      <c r="N472" s="151"/>
      <c r="O472" s="151"/>
      <c r="P472" s="151"/>
      <c r="Q472" s="151"/>
      <c r="R472" s="151"/>
      <c r="S472" s="151"/>
      <c r="T472" s="151"/>
      <c r="U472" s="151"/>
      <c r="V472" s="151"/>
      <c r="W472" s="151"/>
      <c r="X472" s="151"/>
      <c r="Y472" s="151"/>
      <c r="Z472" s="151"/>
    </row>
    <row r="473" customFormat="false" ht="12.75" hidden="false" customHeight="true" outlineLevel="0" collapsed="false">
      <c r="A473" s="151"/>
      <c r="B473" s="156"/>
      <c r="C473" s="151"/>
      <c r="D473" s="151"/>
      <c r="E473" s="151"/>
      <c r="F473" s="151"/>
      <c r="G473" s="151"/>
      <c r="H473" s="151"/>
      <c r="I473" s="151"/>
      <c r="J473" s="151"/>
      <c r="K473" s="151"/>
      <c r="L473" s="151"/>
      <c r="M473" s="151"/>
      <c r="N473" s="151"/>
      <c r="O473" s="151"/>
      <c r="P473" s="151"/>
      <c r="Q473" s="151"/>
      <c r="R473" s="151"/>
      <c r="S473" s="151"/>
      <c r="T473" s="151"/>
      <c r="U473" s="151"/>
      <c r="V473" s="151"/>
      <c r="W473" s="151"/>
      <c r="X473" s="151"/>
      <c r="Y473" s="151"/>
      <c r="Z473" s="151"/>
    </row>
    <row r="474" customFormat="false" ht="12.75" hidden="false" customHeight="true" outlineLevel="0" collapsed="false">
      <c r="A474" s="151"/>
      <c r="B474" s="156"/>
      <c r="C474" s="151"/>
      <c r="D474" s="151"/>
      <c r="E474" s="151"/>
      <c r="F474" s="151"/>
      <c r="G474" s="151"/>
      <c r="H474" s="151"/>
      <c r="I474" s="151"/>
      <c r="J474" s="151"/>
      <c r="K474" s="151"/>
      <c r="L474" s="151"/>
      <c r="M474" s="151"/>
      <c r="N474" s="151"/>
      <c r="O474" s="151"/>
      <c r="P474" s="151"/>
      <c r="Q474" s="151"/>
      <c r="R474" s="151"/>
      <c r="S474" s="151"/>
      <c r="T474" s="151"/>
      <c r="U474" s="151"/>
      <c r="V474" s="151"/>
      <c r="W474" s="151"/>
      <c r="X474" s="151"/>
      <c r="Y474" s="151"/>
      <c r="Z474" s="151"/>
    </row>
    <row r="475" customFormat="false" ht="12.75" hidden="false" customHeight="true" outlineLevel="0" collapsed="false">
      <c r="A475" s="151"/>
      <c r="B475" s="156"/>
      <c r="C475" s="151"/>
      <c r="D475" s="151"/>
      <c r="E475" s="151"/>
      <c r="F475" s="151"/>
      <c r="G475" s="151"/>
      <c r="H475" s="151"/>
      <c r="I475" s="151"/>
      <c r="J475" s="151"/>
      <c r="K475" s="151"/>
      <c r="L475" s="151"/>
      <c r="M475" s="151"/>
      <c r="N475" s="151"/>
      <c r="O475" s="151"/>
      <c r="P475" s="151"/>
      <c r="Q475" s="151"/>
      <c r="R475" s="151"/>
      <c r="S475" s="151"/>
      <c r="T475" s="151"/>
      <c r="U475" s="151"/>
      <c r="V475" s="151"/>
      <c r="W475" s="151"/>
      <c r="X475" s="151"/>
      <c r="Y475" s="151"/>
      <c r="Z475" s="151"/>
    </row>
    <row r="476" customFormat="false" ht="12.75" hidden="false" customHeight="true" outlineLevel="0" collapsed="false">
      <c r="A476" s="151"/>
      <c r="B476" s="156"/>
      <c r="C476" s="151"/>
      <c r="D476" s="151"/>
      <c r="E476" s="151"/>
      <c r="F476" s="151"/>
      <c r="G476" s="151"/>
      <c r="H476" s="151"/>
      <c r="I476" s="151"/>
      <c r="J476" s="151"/>
      <c r="K476" s="151"/>
      <c r="L476" s="151"/>
      <c r="M476" s="151"/>
      <c r="N476" s="151"/>
      <c r="O476" s="151"/>
      <c r="P476" s="151"/>
      <c r="Q476" s="151"/>
      <c r="R476" s="151"/>
      <c r="S476" s="151"/>
      <c r="T476" s="151"/>
      <c r="U476" s="151"/>
      <c r="V476" s="151"/>
      <c r="W476" s="151"/>
      <c r="X476" s="151"/>
      <c r="Y476" s="151"/>
      <c r="Z476" s="151"/>
    </row>
    <row r="477" customFormat="false" ht="12.75" hidden="false" customHeight="true" outlineLevel="0" collapsed="false">
      <c r="A477" s="151"/>
      <c r="B477" s="156"/>
      <c r="C477" s="151"/>
      <c r="D477" s="151"/>
      <c r="E477" s="151"/>
      <c r="F477" s="151"/>
      <c r="G477" s="151"/>
      <c r="H477" s="151"/>
      <c r="I477" s="151"/>
      <c r="J477" s="151"/>
      <c r="K477" s="151"/>
      <c r="L477" s="151"/>
      <c r="M477" s="151"/>
      <c r="N477" s="151"/>
      <c r="O477" s="151"/>
      <c r="P477" s="151"/>
      <c r="Q477" s="151"/>
      <c r="R477" s="151"/>
      <c r="S477" s="151"/>
      <c r="T477" s="151"/>
      <c r="U477" s="151"/>
      <c r="V477" s="151"/>
      <c r="W477" s="151"/>
      <c r="X477" s="151"/>
      <c r="Y477" s="151"/>
      <c r="Z477" s="151"/>
    </row>
    <row r="478" customFormat="false" ht="12.75" hidden="false" customHeight="true" outlineLevel="0" collapsed="false">
      <c r="A478" s="151"/>
      <c r="B478" s="156"/>
      <c r="C478" s="151"/>
      <c r="D478" s="151"/>
      <c r="E478" s="151"/>
      <c r="F478" s="151"/>
      <c r="G478" s="151"/>
      <c r="H478" s="151"/>
      <c r="I478" s="151"/>
      <c r="J478" s="151"/>
      <c r="K478" s="151"/>
      <c r="L478" s="151"/>
      <c r="M478" s="151"/>
      <c r="N478" s="151"/>
      <c r="O478" s="151"/>
      <c r="P478" s="151"/>
      <c r="Q478" s="151"/>
      <c r="R478" s="151"/>
      <c r="S478" s="151"/>
      <c r="T478" s="151"/>
      <c r="U478" s="151"/>
      <c r="V478" s="151"/>
      <c r="W478" s="151"/>
      <c r="X478" s="151"/>
      <c r="Y478" s="151"/>
      <c r="Z478" s="151"/>
    </row>
    <row r="479" customFormat="false" ht="12.75" hidden="false" customHeight="true" outlineLevel="0" collapsed="false">
      <c r="A479" s="151"/>
      <c r="B479" s="156"/>
      <c r="C479" s="151"/>
      <c r="D479" s="151"/>
      <c r="E479" s="151"/>
      <c r="F479" s="151"/>
      <c r="G479" s="151"/>
      <c r="H479" s="151"/>
      <c r="I479" s="151"/>
      <c r="J479" s="151"/>
      <c r="K479" s="151"/>
      <c r="L479" s="151"/>
      <c r="M479" s="151"/>
      <c r="N479" s="151"/>
      <c r="O479" s="151"/>
      <c r="P479" s="151"/>
      <c r="Q479" s="151"/>
      <c r="R479" s="151"/>
      <c r="S479" s="151"/>
      <c r="T479" s="151"/>
      <c r="U479" s="151"/>
      <c r="V479" s="151"/>
      <c r="W479" s="151"/>
      <c r="X479" s="151"/>
      <c r="Y479" s="151"/>
      <c r="Z479" s="151"/>
    </row>
    <row r="480" customFormat="false" ht="12.75" hidden="false" customHeight="true" outlineLevel="0" collapsed="false">
      <c r="A480" s="151"/>
      <c r="B480" s="156"/>
      <c r="C480" s="151"/>
      <c r="D480" s="151"/>
      <c r="E480" s="151"/>
      <c r="F480" s="151"/>
      <c r="G480" s="151"/>
      <c r="H480" s="151"/>
      <c r="I480" s="151"/>
      <c r="J480" s="151"/>
      <c r="K480" s="151"/>
      <c r="L480" s="151"/>
      <c r="M480" s="151"/>
      <c r="N480" s="151"/>
      <c r="O480" s="151"/>
      <c r="P480" s="151"/>
      <c r="Q480" s="151"/>
      <c r="R480" s="151"/>
      <c r="S480" s="151"/>
      <c r="T480" s="151"/>
      <c r="U480" s="151"/>
      <c r="V480" s="151"/>
      <c r="W480" s="151"/>
      <c r="X480" s="151"/>
      <c r="Y480" s="151"/>
      <c r="Z480" s="151"/>
    </row>
    <row r="481" customFormat="false" ht="12.75" hidden="false" customHeight="true" outlineLevel="0" collapsed="false">
      <c r="A481" s="151"/>
      <c r="B481" s="156"/>
      <c r="C481" s="151"/>
      <c r="D481" s="151"/>
      <c r="E481" s="151"/>
      <c r="F481" s="151"/>
      <c r="G481" s="151"/>
      <c r="H481" s="151"/>
      <c r="I481" s="151"/>
      <c r="J481" s="151"/>
      <c r="K481" s="151"/>
      <c r="L481" s="151"/>
      <c r="M481" s="151"/>
      <c r="N481" s="151"/>
      <c r="O481" s="151"/>
      <c r="P481" s="151"/>
      <c r="Q481" s="151"/>
      <c r="R481" s="151"/>
      <c r="S481" s="151"/>
      <c r="T481" s="151"/>
      <c r="U481" s="151"/>
      <c r="V481" s="151"/>
      <c r="W481" s="151"/>
      <c r="X481" s="151"/>
      <c r="Y481" s="151"/>
      <c r="Z481" s="151"/>
    </row>
    <row r="482" customFormat="false" ht="12.75" hidden="false" customHeight="true" outlineLevel="0" collapsed="false">
      <c r="A482" s="151"/>
      <c r="B482" s="156"/>
      <c r="C482" s="151"/>
      <c r="D482" s="151"/>
      <c r="E482" s="151"/>
      <c r="F482" s="151"/>
      <c r="G482" s="151"/>
      <c r="H482" s="151"/>
      <c r="I482" s="151"/>
      <c r="J482" s="151"/>
      <c r="K482" s="151"/>
      <c r="L482" s="151"/>
      <c r="M482" s="151"/>
      <c r="N482" s="151"/>
      <c r="O482" s="151"/>
      <c r="P482" s="151"/>
      <c r="Q482" s="151"/>
      <c r="R482" s="151"/>
      <c r="S482" s="151"/>
      <c r="T482" s="151"/>
      <c r="U482" s="151"/>
      <c r="V482" s="151"/>
      <c r="W482" s="151"/>
      <c r="X482" s="151"/>
      <c r="Y482" s="151"/>
      <c r="Z482" s="151"/>
    </row>
    <row r="483" customFormat="false" ht="12.75" hidden="false" customHeight="true" outlineLevel="0" collapsed="false">
      <c r="A483" s="151"/>
      <c r="B483" s="156"/>
      <c r="C483" s="151"/>
      <c r="D483" s="151"/>
      <c r="E483" s="151"/>
      <c r="F483" s="151"/>
      <c r="G483" s="151"/>
      <c r="H483" s="151"/>
      <c r="I483" s="151"/>
      <c r="J483" s="151"/>
      <c r="K483" s="151"/>
      <c r="L483" s="151"/>
      <c r="M483" s="151"/>
      <c r="N483" s="151"/>
      <c r="O483" s="151"/>
      <c r="P483" s="151"/>
      <c r="Q483" s="151"/>
      <c r="R483" s="151"/>
      <c r="S483" s="151"/>
      <c r="T483" s="151"/>
      <c r="U483" s="151"/>
      <c r="V483" s="151"/>
      <c r="W483" s="151"/>
      <c r="X483" s="151"/>
      <c r="Y483" s="151"/>
      <c r="Z483" s="151"/>
    </row>
    <row r="484" customFormat="false" ht="12.75" hidden="false" customHeight="true" outlineLevel="0" collapsed="false">
      <c r="A484" s="151"/>
      <c r="B484" s="156"/>
      <c r="C484" s="151"/>
      <c r="D484" s="151"/>
      <c r="E484" s="151"/>
      <c r="F484" s="151"/>
      <c r="G484" s="151"/>
      <c r="H484" s="151"/>
      <c r="I484" s="151"/>
      <c r="J484" s="151"/>
      <c r="K484" s="151"/>
      <c r="L484" s="151"/>
      <c r="M484" s="151"/>
      <c r="N484" s="151"/>
      <c r="O484" s="151"/>
      <c r="P484" s="151"/>
      <c r="Q484" s="151"/>
      <c r="R484" s="151"/>
      <c r="S484" s="151"/>
      <c r="T484" s="151"/>
      <c r="U484" s="151"/>
      <c r="V484" s="151"/>
      <c r="W484" s="151"/>
      <c r="X484" s="151"/>
      <c r="Y484" s="151"/>
      <c r="Z484" s="151"/>
    </row>
    <row r="485" customFormat="false" ht="12.75" hidden="false" customHeight="true" outlineLevel="0" collapsed="false">
      <c r="A485" s="151"/>
      <c r="B485" s="156"/>
      <c r="C485" s="151"/>
      <c r="D485" s="151"/>
      <c r="E485" s="151"/>
      <c r="F485" s="151"/>
      <c r="G485" s="151"/>
      <c r="H485" s="151"/>
      <c r="I485" s="151"/>
      <c r="J485" s="151"/>
      <c r="K485" s="151"/>
      <c r="L485" s="151"/>
      <c r="M485" s="151"/>
      <c r="N485" s="151"/>
      <c r="O485" s="151"/>
      <c r="P485" s="151"/>
      <c r="Q485" s="151"/>
      <c r="R485" s="151"/>
      <c r="S485" s="151"/>
      <c r="T485" s="151"/>
      <c r="U485" s="151"/>
      <c r="V485" s="151"/>
      <c r="W485" s="151"/>
      <c r="X485" s="151"/>
      <c r="Y485" s="151"/>
      <c r="Z485" s="151"/>
    </row>
    <row r="486" customFormat="false" ht="12.75" hidden="false" customHeight="true" outlineLevel="0" collapsed="false">
      <c r="A486" s="151"/>
      <c r="B486" s="156"/>
      <c r="C486" s="151"/>
      <c r="D486" s="151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R486" s="151"/>
      <c r="S486" s="151"/>
      <c r="T486" s="151"/>
      <c r="U486" s="151"/>
      <c r="V486" s="151"/>
      <c r="W486" s="151"/>
      <c r="X486" s="151"/>
      <c r="Y486" s="151"/>
      <c r="Z486" s="151"/>
    </row>
    <row r="487" customFormat="false" ht="12.75" hidden="false" customHeight="true" outlineLevel="0" collapsed="false">
      <c r="A487" s="151"/>
      <c r="B487" s="156"/>
      <c r="C487" s="151"/>
      <c r="D487" s="151"/>
      <c r="E487" s="151"/>
      <c r="F487" s="151"/>
      <c r="G487" s="151"/>
      <c r="H487" s="151"/>
      <c r="I487" s="151"/>
      <c r="J487" s="151"/>
      <c r="K487" s="151"/>
      <c r="L487" s="151"/>
      <c r="M487" s="151"/>
      <c r="N487" s="151"/>
      <c r="O487" s="151"/>
      <c r="P487" s="151"/>
      <c r="Q487" s="151"/>
      <c r="R487" s="151"/>
      <c r="S487" s="151"/>
      <c r="T487" s="151"/>
      <c r="U487" s="151"/>
      <c r="V487" s="151"/>
      <c r="W487" s="151"/>
      <c r="X487" s="151"/>
      <c r="Y487" s="151"/>
      <c r="Z487" s="151"/>
    </row>
    <row r="488" customFormat="false" ht="12.75" hidden="false" customHeight="true" outlineLevel="0" collapsed="false">
      <c r="A488" s="151"/>
      <c r="B488" s="156"/>
      <c r="C488" s="151"/>
      <c r="D488" s="151"/>
      <c r="E488" s="151"/>
      <c r="F488" s="151"/>
      <c r="G488" s="151"/>
      <c r="H488" s="151"/>
      <c r="I488" s="151"/>
      <c r="J488" s="151"/>
      <c r="K488" s="151"/>
      <c r="L488" s="151"/>
      <c r="M488" s="151"/>
      <c r="N488" s="151"/>
      <c r="O488" s="151"/>
      <c r="P488" s="151"/>
      <c r="Q488" s="151"/>
      <c r="R488" s="151"/>
      <c r="S488" s="151"/>
      <c r="T488" s="151"/>
      <c r="U488" s="151"/>
      <c r="V488" s="151"/>
      <c r="W488" s="151"/>
      <c r="X488" s="151"/>
      <c r="Y488" s="151"/>
      <c r="Z488" s="151"/>
    </row>
    <row r="489" customFormat="false" ht="12.75" hidden="false" customHeight="true" outlineLevel="0" collapsed="false">
      <c r="A489" s="151"/>
      <c r="B489" s="156"/>
      <c r="C489" s="151"/>
      <c r="D489" s="151"/>
      <c r="E489" s="151"/>
      <c r="F489" s="151"/>
      <c r="G489" s="151"/>
      <c r="H489" s="151"/>
      <c r="I489" s="151"/>
      <c r="J489" s="151"/>
      <c r="K489" s="151"/>
      <c r="L489" s="151"/>
      <c r="M489" s="151"/>
      <c r="N489" s="151"/>
      <c r="O489" s="151"/>
      <c r="P489" s="151"/>
      <c r="Q489" s="151"/>
      <c r="R489" s="151"/>
      <c r="S489" s="151"/>
      <c r="T489" s="151"/>
      <c r="U489" s="151"/>
      <c r="V489" s="151"/>
      <c r="W489" s="151"/>
      <c r="X489" s="151"/>
      <c r="Y489" s="151"/>
      <c r="Z489" s="151"/>
    </row>
    <row r="490" customFormat="false" ht="12.75" hidden="false" customHeight="true" outlineLevel="0" collapsed="false">
      <c r="A490" s="151"/>
      <c r="B490" s="156"/>
      <c r="C490" s="151"/>
      <c r="D490" s="151"/>
      <c r="E490" s="151"/>
      <c r="F490" s="151"/>
      <c r="G490" s="151"/>
      <c r="H490" s="151"/>
      <c r="I490" s="151"/>
      <c r="J490" s="151"/>
      <c r="K490" s="151"/>
      <c r="L490" s="151"/>
      <c r="M490" s="151"/>
      <c r="N490" s="151"/>
      <c r="O490" s="151"/>
      <c r="P490" s="151"/>
      <c r="Q490" s="151"/>
      <c r="R490" s="151"/>
      <c r="S490" s="151"/>
      <c r="T490" s="151"/>
      <c r="U490" s="151"/>
      <c r="V490" s="151"/>
      <c r="W490" s="151"/>
      <c r="X490" s="151"/>
      <c r="Y490" s="151"/>
      <c r="Z490" s="151"/>
    </row>
    <row r="491" customFormat="false" ht="12.75" hidden="false" customHeight="true" outlineLevel="0" collapsed="false">
      <c r="A491" s="151"/>
      <c r="B491" s="156"/>
      <c r="C491" s="151"/>
      <c r="D491" s="151"/>
      <c r="E491" s="151"/>
      <c r="F491" s="151"/>
      <c r="G491" s="151"/>
      <c r="H491" s="151"/>
      <c r="I491" s="151"/>
      <c r="J491" s="151"/>
      <c r="K491" s="151"/>
      <c r="L491" s="151"/>
      <c r="M491" s="151"/>
      <c r="N491" s="151"/>
      <c r="O491" s="151"/>
      <c r="P491" s="151"/>
      <c r="Q491" s="151"/>
      <c r="R491" s="151"/>
      <c r="S491" s="151"/>
      <c r="T491" s="151"/>
      <c r="U491" s="151"/>
      <c r="V491" s="151"/>
      <c r="W491" s="151"/>
      <c r="X491" s="151"/>
      <c r="Y491" s="151"/>
      <c r="Z491" s="151"/>
    </row>
    <row r="492" customFormat="false" ht="12.75" hidden="false" customHeight="true" outlineLevel="0" collapsed="false">
      <c r="A492" s="151"/>
      <c r="B492" s="156"/>
      <c r="C492" s="151"/>
      <c r="D492" s="151"/>
      <c r="E492" s="151"/>
      <c r="F492" s="151"/>
      <c r="G492" s="151"/>
      <c r="H492" s="151"/>
      <c r="I492" s="151"/>
      <c r="J492" s="151"/>
      <c r="K492" s="151"/>
      <c r="L492" s="151"/>
      <c r="M492" s="151"/>
      <c r="N492" s="151"/>
      <c r="O492" s="151"/>
      <c r="P492" s="151"/>
      <c r="Q492" s="151"/>
      <c r="R492" s="151"/>
      <c r="S492" s="151"/>
      <c r="T492" s="151"/>
      <c r="U492" s="151"/>
      <c r="V492" s="151"/>
      <c r="W492" s="151"/>
      <c r="X492" s="151"/>
      <c r="Y492" s="151"/>
      <c r="Z492" s="151"/>
    </row>
    <row r="493" customFormat="false" ht="12.75" hidden="false" customHeight="true" outlineLevel="0" collapsed="false">
      <c r="A493" s="151"/>
      <c r="B493" s="156"/>
      <c r="C493" s="151"/>
      <c r="D493" s="151"/>
      <c r="E493" s="151"/>
      <c r="F493" s="151"/>
      <c r="G493" s="151"/>
      <c r="H493" s="151"/>
      <c r="I493" s="151"/>
      <c r="J493" s="151"/>
      <c r="K493" s="151"/>
      <c r="L493" s="151"/>
      <c r="M493" s="151"/>
      <c r="N493" s="151"/>
      <c r="O493" s="151"/>
      <c r="P493" s="151"/>
      <c r="Q493" s="151"/>
      <c r="R493" s="151"/>
      <c r="S493" s="151"/>
      <c r="T493" s="151"/>
      <c r="U493" s="151"/>
      <c r="V493" s="151"/>
      <c r="W493" s="151"/>
      <c r="X493" s="151"/>
      <c r="Y493" s="151"/>
      <c r="Z493" s="151"/>
    </row>
    <row r="494" customFormat="false" ht="12.75" hidden="false" customHeight="true" outlineLevel="0" collapsed="false">
      <c r="A494" s="151"/>
      <c r="B494" s="156"/>
      <c r="C494" s="151"/>
      <c r="D494" s="151"/>
      <c r="E494" s="151"/>
      <c r="F494" s="151"/>
      <c r="G494" s="151"/>
      <c r="H494" s="151"/>
      <c r="I494" s="151"/>
      <c r="J494" s="151"/>
      <c r="K494" s="151"/>
      <c r="L494" s="151"/>
      <c r="M494" s="151"/>
      <c r="N494" s="151"/>
      <c r="O494" s="151"/>
      <c r="P494" s="151"/>
      <c r="Q494" s="151"/>
      <c r="R494" s="151"/>
      <c r="S494" s="151"/>
      <c r="T494" s="151"/>
      <c r="U494" s="151"/>
      <c r="V494" s="151"/>
      <c r="W494" s="151"/>
      <c r="X494" s="151"/>
      <c r="Y494" s="151"/>
      <c r="Z494" s="151"/>
    </row>
    <row r="495" customFormat="false" ht="12.75" hidden="false" customHeight="true" outlineLevel="0" collapsed="false">
      <c r="A495" s="151"/>
      <c r="B495" s="156"/>
      <c r="C495" s="151"/>
      <c r="D495" s="151"/>
      <c r="E495" s="151"/>
      <c r="F495" s="151"/>
      <c r="G495" s="151"/>
      <c r="H495" s="151"/>
      <c r="I495" s="151"/>
      <c r="J495" s="151"/>
      <c r="K495" s="151"/>
      <c r="L495" s="151"/>
      <c r="M495" s="151"/>
      <c r="N495" s="151"/>
      <c r="O495" s="151"/>
      <c r="P495" s="151"/>
      <c r="Q495" s="151"/>
      <c r="R495" s="151"/>
      <c r="S495" s="151"/>
      <c r="T495" s="151"/>
      <c r="U495" s="151"/>
      <c r="V495" s="151"/>
      <c r="W495" s="151"/>
      <c r="X495" s="151"/>
      <c r="Y495" s="151"/>
      <c r="Z495" s="151"/>
    </row>
    <row r="496" customFormat="false" ht="12.75" hidden="false" customHeight="true" outlineLevel="0" collapsed="false">
      <c r="A496" s="151"/>
      <c r="B496" s="156"/>
      <c r="C496" s="151"/>
      <c r="D496" s="151"/>
      <c r="E496" s="151"/>
      <c r="F496" s="151"/>
      <c r="G496" s="151"/>
      <c r="H496" s="151"/>
      <c r="I496" s="151"/>
      <c r="J496" s="151"/>
      <c r="K496" s="151"/>
      <c r="L496" s="151"/>
      <c r="M496" s="151"/>
      <c r="N496" s="151"/>
      <c r="O496" s="151"/>
      <c r="P496" s="151"/>
      <c r="Q496" s="151"/>
      <c r="R496" s="151"/>
      <c r="S496" s="151"/>
      <c r="T496" s="151"/>
      <c r="U496" s="151"/>
      <c r="V496" s="151"/>
      <c r="W496" s="151"/>
      <c r="X496" s="151"/>
      <c r="Y496" s="151"/>
      <c r="Z496" s="151"/>
    </row>
    <row r="497" customFormat="false" ht="12.75" hidden="false" customHeight="true" outlineLevel="0" collapsed="false">
      <c r="A497" s="151"/>
      <c r="B497" s="156"/>
      <c r="C497" s="151"/>
      <c r="D497" s="151"/>
      <c r="E497" s="151"/>
      <c r="F497" s="151"/>
      <c r="G497" s="151"/>
      <c r="H497" s="151"/>
      <c r="I497" s="151"/>
      <c r="J497" s="151"/>
      <c r="K497" s="151"/>
      <c r="L497" s="151"/>
      <c r="M497" s="151"/>
      <c r="N497" s="151"/>
      <c r="O497" s="151"/>
      <c r="P497" s="151"/>
      <c r="Q497" s="151"/>
      <c r="R497" s="151"/>
      <c r="S497" s="151"/>
      <c r="T497" s="151"/>
      <c r="U497" s="151"/>
      <c r="V497" s="151"/>
      <c r="W497" s="151"/>
      <c r="X497" s="151"/>
      <c r="Y497" s="151"/>
      <c r="Z497" s="151"/>
    </row>
    <row r="498" customFormat="false" ht="12.75" hidden="false" customHeight="true" outlineLevel="0" collapsed="false">
      <c r="A498" s="151"/>
      <c r="B498" s="156"/>
      <c r="C498" s="151"/>
      <c r="D498" s="151"/>
      <c r="E498" s="151"/>
      <c r="F498" s="151"/>
      <c r="G498" s="151"/>
      <c r="H498" s="151"/>
      <c r="I498" s="151"/>
      <c r="J498" s="151"/>
      <c r="K498" s="151"/>
      <c r="L498" s="151"/>
      <c r="M498" s="151"/>
      <c r="N498" s="151"/>
      <c r="O498" s="151"/>
      <c r="P498" s="151"/>
      <c r="Q498" s="151"/>
      <c r="R498" s="151"/>
      <c r="S498" s="151"/>
      <c r="T498" s="151"/>
      <c r="U498" s="151"/>
      <c r="V498" s="151"/>
      <c r="W498" s="151"/>
      <c r="X498" s="151"/>
      <c r="Y498" s="151"/>
      <c r="Z498" s="151"/>
    </row>
    <row r="499" customFormat="false" ht="12.75" hidden="false" customHeight="true" outlineLevel="0" collapsed="false">
      <c r="A499" s="151"/>
      <c r="B499" s="156"/>
      <c r="C499" s="151"/>
      <c r="D499" s="151"/>
      <c r="E499" s="151"/>
      <c r="F499" s="151"/>
      <c r="G499" s="151"/>
      <c r="H499" s="151"/>
      <c r="I499" s="151"/>
      <c r="J499" s="151"/>
      <c r="K499" s="151"/>
      <c r="L499" s="151"/>
      <c r="M499" s="151"/>
      <c r="N499" s="151"/>
      <c r="O499" s="151"/>
      <c r="P499" s="151"/>
      <c r="Q499" s="151"/>
      <c r="R499" s="151"/>
      <c r="S499" s="151"/>
      <c r="T499" s="151"/>
      <c r="U499" s="151"/>
      <c r="V499" s="151"/>
      <c r="W499" s="151"/>
      <c r="X499" s="151"/>
      <c r="Y499" s="151"/>
      <c r="Z499" s="151"/>
    </row>
    <row r="500" customFormat="false" ht="12.75" hidden="false" customHeight="true" outlineLevel="0" collapsed="false">
      <c r="A500" s="151"/>
      <c r="B500" s="156"/>
      <c r="C500" s="151"/>
      <c r="D500" s="151"/>
      <c r="E500" s="151"/>
      <c r="F500" s="151"/>
      <c r="G500" s="151"/>
      <c r="H500" s="151"/>
      <c r="I500" s="151"/>
      <c r="J500" s="151"/>
      <c r="K500" s="151"/>
      <c r="L500" s="151"/>
      <c r="M500" s="151"/>
      <c r="N500" s="151"/>
      <c r="O500" s="151"/>
      <c r="P500" s="151"/>
      <c r="Q500" s="151"/>
      <c r="R500" s="151"/>
      <c r="S500" s="151"/>
      <c r="T500" s="151"/>
      <c r="U500" s="151"/>
      <c r="V500" s="151"/>
      <c r="W500" s="151"/>
      <c r="X500" s="151"/>
      <c r="Y500" s="151"/>
      <c r="Z500" s="151"/>
    </row>
    <row r="501" customFormat="false" ht="12.75" hidden="false" customHeight="true" outlineLevel="0" collapsed="false">
      <c r="A501" s="151"/>
      <c r="B501" s="156"/>
      <c r="C501" s="151"/>
      <c r="D501" s="151"/>
      <c r="E501" s="151"/>
      <c r="F501" s="151"/>
      <c r="G501" s="151"/>
      <c r="H501" s="151"/>
      <c r="I501" s="151"/>
      <c r="J501" s="151"/>
      <c r="K501" s="151"/>
      <c r="L501" s="151"/>
      <c r="M501" s="151"/>
      <c r="N501" s="151"/>
      <c r="O501" s="151"/>
      <c r="P501" s="151"/>
      <c r="Q501" s="151"/>
      <c r="R501" s="151"/>
      <c r="S501" s="151"/>
      <c r="T501" s="151"/>
      <c r="U501" s="151"/>
      <c r="V501" s="151"/>
      <c r="W501" s="151"/>
      <c r="X501" s="151"/>
      <c r="Y501" s="151"/>
      <c r="Z501" s="151"/>
    </row>
    <row r="502" customFormat="false" ht="12.75" hidden="false" customHeight="true" outlineLevel="0" collapsed="false">
      <c r="A502" s="151"/>
      <c r="B502" s="156"/>
      <c r="C502" s="151"/>
      <c r="D502" s="151"/>
      <c r="E502" s="151"/>
      <c r="F502" s="151"/>
      <c r="G502" s="151"/>
      <c r="H502" s="151"/>
      <c r="I502" s="151"/>
      <c r="J502" s="151"/>
      <c r="K502" s="151"/>
      <c r="L502" s="151"/>
      <c r="M502" s="151"/>
      <c r="N502" s="151"/>
      <c r="O502" s="151"/>
      <c r="P502" s="151"/>
      <c r="Q502" s="151"/>
      <c r="R502" s="151"/>
      <c r="S502" s="151"/>
      <c r="T502" s="151"/>
      <c r="U502" s="151"/>
      <c r="V502" s="151"/>
      <c r="W502" s="151"/>
      <c r="X502" s="151"/>
      <c r="Y502" s="151"/>
      <c r="Z502" s="151"/>
    </row>
    <row r="503" customFormat="false" ht="12.75" hidden="false" customHeight="true" outlineLevel="0" collapsed="false">
      <c r="A503" s="151"/>
      <c r="B503" s="156"/>
      <c r="C503" s="151"/>
      <c r="D503" s="151"/>
      <c r="E503" s="151"/>
      <c r="F503" s="151"/>
      <c r="G503" s="151"/>
      <c r="H503" s="151"/>
      <c r="I503" s="151"/>
      <c r="J503" s="151"/>
      <c r="K503" s="151"/>
      <c r="L503" s="151"/>
      <c r="M503" s="151"/>
      <c r="N503" s="151"/>
      <c r="O503" s="151"/>
      <c r="P503" s="151"/>
      <c r="Q503" s="151"/>
      <c r="R503" s="151"/>
      <c r="S503" s="151"/>
      <c r="T503" s="151"/>
      <c r="U503" s="151"/>
      <c r="V503" s="151"/>
      <c r="W503" s="151"/>
      <c r="X503" s="151"/>
      <c r="Y503" s="151"/>
      <c r="Z503" s="151"/>
    </row>
    <row r="504" customFormat="false" ht="12.75" hidden="false" customHeight="true" outlineLevel="0" collapsed="false">
      <c r="A504" s="151"/>
      <c r="C504" s="151"/>
      <c r="D504" s="151"/>
      <c r="E504" s="151"/>
      <c r="F504" s="151"/>
      <c r="G504" s="151"/>
      <c r="H504" s="151"/>
      <c r="I504" s="151"/>
      <c r="J504" s="151"/>
      <c r="K504" s="151"/>
      <c r="L504" s="151"/>
      <c r="M504" s="151"/>
      <c r="N504" s="151"/>
      <c r="O504" s="151"/>
      <c r="P504" s="151"/>
      <c r="Q504" s="151"/>
      <c r="R504" s="151"/>
      <c r="S504" s="151"/>
      <c r="T504" s="151"/>
      <c r="U504" s="151"/>
      <c r="V504" s="151"/>
      <c r="W504" s="151"/>
      <c r="X504" s="151"/>
      <c r="Y504" s="151"/>
      <c r="Z504" s="151"/>
    </row>
    <row r="505" customFormat="false" ht="12.75" hidden="false" customHeight="true" outlineLevel="0" collapsed="false">
      <c r="A505" s="151"/>
      <c r="C505" s="151"/>
      <c r="D505" s="151"/>
      <c r="E505" s="151"/>
      <c r="F505" s="151"/>
      <c r="G505" s="151"/>
      <c r="H505" s="151"/>
      <c r="I505" s="151"/>
      <c r="J505" s="151"/>
      <c r="K505" s="151"/>
      <c r="L505" s="151"/>
      <c r="M505" s="151"/>
      <c r="N505" s="151"/>
      <c r="O505" s="151"/>
      <c r="P505" s="151"/>
      <c r="Q505" s="151"/>
      <c r="R505" s="151"/>
      <c r="S505" s="151"/>
      <c r="T505" s="151"/>
      <c r="U505" s="151"/>
      <c r="V505" s="151"/>
      <c r="W505" s="151"/>
      <c r="X505" s="151"/>
      <c r="Y505" s="151"/>
      <c r="Z505" s="151"/>
    </row>
    <row r="506" customFormat="false" ht="12.75" hidden="false" customHeight="true" outlineLevel="0" collapsed="false">
      <c r="A506" s="151"/>
      <c r="C506" s="151"/>
      <c r="D506" s="151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R506" s="151"/>
      <c r="S506" s="151"/>
      <c r="T506" s="151"/>
      <c r="U506" s="151"/>
      <c r="V506" s="151"/>
      <c r="W506" s="151"/>
      <c r="X506" s="151"/>
      <c r="Y506" s="151"/>
      <c r="Z506" s="151"/>
    </row>
    <row r="507" customFormat="false" ht="12.75" hidden="false" customHeight="true" outlineLevel="0" collapsed="false">
      <c r="A507" s="151"/>
      <c r="C507" s="151"/>
      <c r="D507" s="151"/>
      <c r="E507" s="151"/>
      <c r="F507" s="151"/>
      <c r="G507" s="151"/>
      <c r="H507" s="151"/>
      <c r="I507" s="151"/>
      <c r="J507" s="151"/>
      <c r="K507" s="151"/>
      <c r="L507" s="151"/>
      <c r="M507" s="151"/>
      <c r="N507" s="151"/>
      <c r="O507" s="151"/>
      <c r="P507" s="151"/>
      <c r="Q507" s="151"/>
      <c r="R507" s="151"/>
      <c r="S507" s="151"/>
      <c r="T507" s="151"/>
      <c r="U507" s="151"/>
      <c r="V507" s="151"/>
      <c r="W507" s="151"/>
      <c r="X507" s="151"/>
      <c r="Y507" s="151"/>
      <c r="Z507" s="151"/>
    </row>
    <row r="508" customFormat="false" ht="12.75" hidden="false" customHeight="true" outlineLevel="0" collapsed="false">
      <c r="A508" s="151"/>
      <c r="C508" s="151"/>
      <c r="D508" s="151"/>
      <c r="E508" s="151"/>
      <c r="F508" s="151"/>
      <c r="G508" s="151"/>
      <c r="H508" s="151"/>
      <c r="I508" s="151"/>
      <c r="J508" s="151"/>
      <c r="K508" s="151"/>
      <c r="L508" s="151"/>
      <c r="M508" s="151"/>
      <c r="N508" s="151"/>
      <c r="O508" s="151"/>
      <c r="P508" s="151"/>
      <c r="Q508" s="151"/>
      <c r="R508" s="151"/>
      <c r="S508" s="151"/>
      <c r="T508" s="151"/>
      <c r="U508" s="151"/>
      <c r="V508" s="151"/>
      <c r="W508" s="151"/>
      <c r="X508" s="151"/>
      <c r="Y508" s="151"/>
      <c r="Z508" s="151"/>
    </row>
    <row r="509" customFormat="false" ht="12.75" hidden="false" customHeight="true" outlineLevel="0" collapsed="false">
      <c r="A509" s="151"/>
      <c r="C509" s="151"/>
      <c r="D509" s="151"/>
      <c r="E509" s="151"/>
      <c r="F509" s="151"/>
      <c r="G509" s="151"/>
      <c r="H509" s="151"/>
      <c r="I509" s="151"/>
      <c r="J509" s="151"/>
      <c r="K509" s="151"/>
      <c r="L509" s="151"/>
      <c r="M509" s="151"/>
      <c r="N509" s="151"/>
      <c r="O509" s="151"/>
      <c r="P509" s="151"/>
      <c r="Q509" s="151"/>
      <c r="R509" s="151"/>
      <c r="S509" s="151"/>
      <c r="T509" s="151"/>
      <c r="U509" s="151"/>
      <c r="V509" s="151"/>
      <c r="W509" s="151"/>
      <c r="X509" s="151"/>
      <c r="Y509" s="151"/>
      <c r="Z509" s="151"/>
    </row>
    <row r="510" customFormat="false" ht="12.75" hidden="false" customHeight="true" outlineLevel="0" collapsed="false">
      <c r="A510" s="151"/>
      <c r="C510" s="151"/>
      <c r="D510" s="151"/>
      <c r="E510" s="151"/>
      <c r="F510" s="151"/>
      <c r="G510" s="151"/>
      <c r="H510" s="151"/>
      <c r="I510" s="151"/>
      <c r="J510" s="151"/>
      <c r="K510" s="151"/>
      <c r="L510" s="151"/>
      <c r="M510" s="151"/>
      <c r="N510" s="151"/>
      <c r="O510" s="151"/>
      <c r="P510" s="151"/>
      <c r="Q510" s="151"/>
      <c r="R510" s="151"/>
      <c r="S510" s="151"/>
      <c r="T510" s="151"/>
      <c r="U510" s="151"/>
      <c r="V510" s="151"/>
      <c r="W510" s="151"/>
      <c r="X510" s="151"/>
      <c r="Y510" s="151"/>
      <c r="Z510" s="151"/>
    </row>
    <row r="511" customFormat="false" ht="12.75" hidden="false" customHeight="true" outlineLevel="0" collapsed="false">
      <c r="A511" s="151"/>
      <c r="C511" s="151"/>
      <c r="D511" s="151"/>
      <c r="E511" s="151"/>
      <c r="F511" s="151"/>
      <c r="G511" s="151"/>
      <c r="H511" s="151"/>
      <c r="I511" s="151"/>
      <c r="J511" s="151"/>
      <c r="K511" s="151"/>
      <c r="L511" s="151"/>
      <c r="M511" s="151"/>
      <c r="N511" s="151"/>
      <c r="O511" s="151"/>
      <c r="P511" s="151"/>
      <c r="Q511" s="151"/>
      <c r="R511" s="151"/>
      <c r="S511" s="151"/>
      <c r="T511" s="151"/>
      <c r="U511" s="151"/>
      <c r="V511" s="151"/>
      <c r="W511" s="151"/>
      <c r="X511" s="151"/>
      <c r="Y511" s="151"/>
      <c r="Z511" s="151"/>
    </row>
    <row r="512" customFormat="false" ht="12.75" hidden="false" customHeight="true" outlineLevel="0" collapsed="false">
      <c r="A512" s="151"/>
      <c r="C512" s="151"/>
      <c r="D512" s="151"/>
      <c r="E512" s="151"/>
      <c r="F512" s="151"/>
      <c r="G512" s="151"/>
      <c r="H512" s="151"/>
      <c r="I512" s="151"/>
      <c r="J512" s="151"/>
      <c r="K512" s="151"/>
      <c r="L512" s="151"/>
      <c r="M512" s="151"/>
      <c r="N512" s="151"/>
      <c r="O512" s="151"/>
      <c r="P512" s="151"/>
      <c r="Q512" s="151"/>
      <c r="R512" s="151"/>
      <c r="S512" s="151"/>
      <c r="T512" s="151"/>
      <c r="U512" s="151"/>
      <c r="V512" s="151"/>
      <c r="W512" s="151"/>
      <c r="X512" s="151"/>
      <c r="Y512" s="151"/>
      <c r="Z512" s="151"/>
    </row>
    <row r="513" customFormat="false" ht="12.75" hidden="false" customHeight="true" outlineLevel="0" collapsed="false">
      <c r="A513" s="151"/>
      <c r="C513" s="151"/>
      <c r="D513" s="151"/>
      <c r="E513" s="151"/>
      <c r="F513" s="151"/>
      <c r="G513" s="151"/>
      <c r="H513" s="151"/>
      <c r="I513" s="151"/>
      <c r="J513" s="151"/>
      <c r="K513" s="151"/>
      <c r="L513" s="151"/>
      <c r="M513" s="151"/>
      <c r="N513" s="151"/>
      <c r="O513" s="151"/>
      <c r="P513" s="151"/>
      <c r="Q513" s="151"/>
      <c r="R513" s="151"/>
      <c r="S513" s="151"/>
      <c r="T513" s="151"/>
      <c r="U513" s="151"/>
      <c r="V513" s="151"/>
      <c r="W513" s="151"/>
      <c r="X513" s="151"/>
      <c r="Y513" s="151"/>
      <c r="Z513" s="151"/>
    </row>
    <row r="514" customFormat="false" ht="12.75" hidden="false" customHeight="true" outlineLevel="0" collapsed="false">
      <c r="A514" s="151"/>
      <c r="C514" s="151"/>
      <c r="D514" s="151"/>
      <c r="E514" s="151"/>
      <c r="F514" s="151"/>
      <c r="G514" s="151"/>
      <c r="H514" s="151"/>
      <c r="I514" s="151"/>
      <c r="J514" s="151"/>
      <c r="K514" s="151"/>
      <c r="L514" s="151"/>
      <c r="M514" s="151"/>
      <c r="N514" s="151"/>
      <c r="O514" s="151"/>
      <c r="P514" s="151"/>
      <c r="Q514" s="151"/>
      <c r="R514" s="151"/>
      <c r="S514" s="151"/>
      <c r="T514" s="151"/>
      <c r="U514" s="151"/>
      <c r="V514" s="151"/>
      <c r="W514" s="151"/>
      <c r="X514" s="151"/>
      <c r="Y514" s="151"/>
      <c r="Z514" s="151"/>
    </row>
    <row r="515" customFormat="false" ht="12.75" hidden="false" customHeight="true" outlineLevel="0" collapsed="false">
      <c r="A515" s="151"/>
      <c r="C515" s="151"/>
      <c r="D515" s="151"/>
      <c r="E515" s="151"/>
      <c r="F515" s="151"/>
      <c r="G515" s="151"/>
      <c r="H515" s="151"/>
      <c r="I515" s="151"/>
      <c r="J515" s="151"/>
      <c r="K515" s="151"/>
      <c r="L515" s="151"/>
      <c r="M515" s="151"/>
      <c r="N515" s="151"/>
      <c r="O515" s="151"/>
      <c r="P515" s="151"/>
      <c r="Q515" s="151"/>
      <c r="R515" s="151"/>
      <c r="S515" s="151"/>
      <c r="T515" s="151"/>
      <c r="U515" s="151"/>
      <c r="V515" s="151"/>
      <c r="W515" s="151"/>
      <c r="X515" s="151"/>
      <c r="Y515" s="151"/>
      <c r="Z515" s="151"/>
    </row>
    <row r="516" customFormat="false" ht="12.75" hidden="false" customHeight="true" outlineLevel="0" collapsed="false">
      <c r="A516" s="151"/>
      <c r="C516" s="151"/>
      <c r="D516" s="151"/>
      <c r="E516" s="151"/>
      <c r="F516" s="151"/>
      <c r="G516" s="151"/>
      <c r="H516" s="151"/>
      <c r="I516" s="151"/>
      <c r="J516" s="151"/>
      <c r="K516" s="151"/>
      <c r="L516" s="151"/>
      <c r="M516" s="151"/>
      <c r="N516" s="151"/>
      <c r="O516" s="151"/>
      <c r="P516" s="151"/>
      <c r="Q516" s="151"/>
      <c r="R516" s="151"/>
      <c r="S516" s="151"/>
      <c r="T516" s="151"/>
      <c r="U516" s="151"/>
      <c r="V516" s="151"/>
      <c r="W516" s="151"/>
      <c r="X516" s="151"/>
      <c r="Y516" s="151"/>
      <c r="Z516" s="151"/>
    </row>
    <row r="517" customFormat="false" ht="12.75" hidden="false" customHeight="true" outlineLevel="0" collapsed="false">
      <c r="A517" s="151"/>
      <c r="C517" s="151"/>
      <c r="D517" s="151"/>
      <c r="E517" s="151"/>
      <c r="F517" s="151"/>
      <c r="G517" s="151"/>
      <c r="H517" s="151"/>
      <c r="I517" s="151"/>
      <c r="J517" s="151"/>
      <c r="K517" s="151"/>
      <c r="L517" s="151"/>
      <c r="M517" s="151"/>
      <c r="N517" s="151"/>
      <c r="O517" s="151"/>
      <c r="P517" s="151"/>
      <c r="Q517" s="151"/>
      <c r="R517" s="151"/>
      <c r="S517" s="151"/>
      <c r="T517" s="151"/>
      <c r="U517" s="151"/>
      <c r="V517" s="151"/>
      <c r="W517" s="151"/>
      <c r="X517" s="151"/>
      <c r="Y517" s="151"/>
      <c r="Z517" s="151"/>
    </row>
    <row r="518" customFormat="false" ht="12.75" hidden="false" customHeight="true" outlineLevel="0" collapsed="false">
      <c r="A518" s="151"/>
      <c r="C518" s="151"/>
      <c r="D518" s="151"/>
      <c r="E518" s="151"/>
      <c r="F518" s="151"/>
      <c r="G518" s="151"/>
      <c r="H518" s="151"/>
      <c r="I518" s="151"/>
      <c r="J518" s="151"/>
      <c r="K518" s="151"/>
      <c r="L518" s="151"/>
      <c r="M518" s="151"/>
      <c r="N518" s="151"/>
      <c r="O518" s="151"/>
      <c r="P518" s="151"/>
      <c r="Q518" s="151"/>
      <c r="R518" s="151"/>
      <c r="S518" s="151"/>
      <c r="T518" s="151"/>
      <c r="U518" s="151"/>
      <c r="V518" s="151"/>
      <c r="W518" s="151"/>
      <c r="X518" s="151"/>
      <c r="Y518" s="151"/>
      <c r="Z518" s="151"/>
    </row>
    <row r="519" customFormat="false" ht="12.75" hidden="false" customHeight="true" outlineLevel="0" collapsed="false">
      <c r="A519" s="151"/>
      <c r="C519" s="151"/>
      <c r="D519" s="151"/>
      <c r="E519" s="151"/>
      <c r="F519" s="151"/>
      <c r="G519" s="151"/>
      <c r="H519" s="151"/>
      <c r="I519" s="151"/>
      <c r="J519" s="151"/>
      <c r="K519" s="151"/>
      <c r="L519" s="151"/>
      <c r="M519" s="151"/>
      <c r="N519" s="151"/>
      <c r="O519" s="151"/>
      <c r="P519" s="151"/>
      <c r="Q519" s="151"/>
      <c r="R519" s="151"/>
      <c r="S519" s="151"/>
      <c r="T519" s="151"/>
      <c r="U519" s="151"/>
      <c r="V519" s="151"/>
      <c r="W519" s="151"/>
      <c r="X519" s="151"/>
      <c r="Y519" s="151"/>
      <c r="Z519" s="151"/>
    </row>
    <row r="520" customFormat="false" ht="12.75" hidden="false" customHeight="true" outlineLevel="0" collapsed="false">
      <c r="A520" s="151"/>
      <c r="C520" s="151"/>
      <c r="D520" s="151"/>
      <c r="E520" s="151"/>
      <c r="F520" s="151"/>
      <c r="G520" s="151"/>
      <c r="H520" s="151"/>
      <c r="I520" s="151"/>
      <c r="J520" s="151"/>
      <c r="K520" s="151"/>
      <c r="L520" s="151"/>
      <c r="M520" s="151"/>
      <c r="N520" s="151"/>
      <c r="O520" s="151"/>
      <c r="P520" s="151"/>
      <c r="Q520" s="151"/>
      <c r="R520" s="151"/>
      <c r="S520" s="151"/>
      <c r="T520" s="151"/>
      <c r="U520" s="151"/>
      <c r="V520" s="151"/>
      <c r="W520" s="151"/>
      <c r="X520" s="151"/>
      <c r="Y520" s="151"/>
      <c r="Z520" s="151"/>
    </row>
    <row r="521" customFormat="false" ht="12.75" hidden="false" customHeight="true" outlineLevel="0" collapsed="false">
      <c r="A521" s="151"/>
      <c r="C521" s="151"/>
      <c r="D521" s="151"/>
      <c r="E521" s="151"/>
      <c r="F521" s="151"/>
      <c r="G521" s="151"/>
      <c r="H521" s="151"/>
      <c r="I521" s="151"/>
      <c r="J521" s="151"/>
      <c r="K521" s="151"/>
      <c r="L521" s="151"/>
      <c r="M521" s="151"/>
      <c r="N521" s="151"/>
      <c r="O521" s="151"/>
      <c r="P521" s="151"/>
      <c r="Q521" s="151"/>
      <c r="R521" s="151"/>
      <c r="S521" s="151"/>
      <c r="T521" s="151"/>
      <c r="U521" s="151"/>
      <c r="V521" s="151"/>
      <c r="W521" s="151"/>
      <c r="X521" s="151"/>
      <c r="Y521" s="151"/>
      <c r="Z521" s="151"/>
    </row>
    <row r="522" customFormat="false" ht="12.75" hidden="false" customHeight="true" outlineLevel="0" collapsed="false">
      <c r="A522" s="151"/>
      <c r="C522" s="151"/>
      <c r="D522" s="151"/>
      <c r="E522" s="151"/>
      <c r="F522" s="151"/>
      <c r="G522" s="151"/>
      <c r="H522" s="151"/>
      <c r="I522" s="151"/>
      <c r="J522" s="151"/>
      <c r="K522" s="151"/>
      <c r="L522" s="151"/>
      <c r="M522" s="151"/>
      <c r="N522" s="151"/>
      <c r="O522" s="151"/>
      <c r="P522" s="151"/>
      <c r="Q522" s="151"/>
      <c r="R522" s="151"/>
      <c r="S522" s="151"/>
      <c r="T522" s="151"/>
      <c r="U522" s="151"/>
      <c r="V522" s="151"/>
      <c r="W522" s="151"/>
      <c r="X522" s="151"/>
      <c r="Y522" s="151"/>
      <c r="Z522" s="151"/>
    </row>
    <row r="523" customFormat="false" ht="12.75" hidden="false" customHeight="true" outlineLevel="0" collapsed="false">
      <c r="A523" s="151"/>
      <c r="C523" s="151"/>
      <c r="D523" s="151"/>
      <c r="E523" s="151"/>
      <c r="F523" s="151"/>
      <c r="G523" s="151"/>
      <c r="H523" s="151"/>
      <c r="I523" s="151"/>
      <c r="J523" s="151"/>
      <c r="K523" s="151"/>
      <c r="L523" s="151"/>
      <c r="M523" s="151"/>
      <c r="N523" s="151"/>
      <c r="O523" s="151"/>
      <c r="P523" s="151"/>
      <c r="Q523" s="151"/>
      <c r="R523" s="151"/>
      <c r="S523" s="151"/>
      <c r="T523" s="151"/>
      <c r="U523" s="151"/>
      <c r="V523" s="151"/>
      <c r="W523" s="151"/>
      <c r="X523" s="151"/>
      <c r="Y523" s="151"/>
      <c r="Z523" s="151"/>
    </row>
    <row r="524" customFormat="false" ht="12.75" hidden="false" customHeight="true" outlineLevel="0" collapsed="false">
      <c r="A524" s="151"/>
      <c r="C524" s="151"/>
      <c r="D524" s="151"/>
      <c r="E524" s="151"/>
      <c r="F524" s="151"/>
      <c r="G524" s="151"/>
      <c r="H524" s="151"/>
      <c r="I524" s="151"/>
      <c r="J524" s="151"/>
      <c r="K524" s="151"/>
      <c r="L524" s="151"/>
      <c r="M524" s="151"/>
      <c r="N524" s="151"/>
      <c r="O524" s="151"/>
      <c r="P524" s="151"/>
      <c r="Q524" s="151"/>
      <c r="R524" s="151"/>
      <c r="S524" s="151"/>
      <c r="T524" s="151"/>
      <c r="U524" s="151"/>
      <c r="V524" s="151"/>
      <c r="W524" s="151"/>
      <c r="X524" s="151"/>
      <c r="Y524" s="151"/>
      <c r="Z524" s="151"/>
    </row>
    <row r="525" customFormat="false" ht="12.75" hidden="false" customHeight="true" outlineLevel="0" collapsed="false">
      <c r="A525" s="151"/>
      <c r="C525" s="151"/>
      <c r="D525" s="151"/>
      <c r="E525" s="151"/>
      <c r="F525" s="151"/>
      <c r="G525" s="151"/>
      <c r="H525" s="151"/>
      <c r="I525" s="151"/>
      <c r="J525" s="151"/>
      <c r="K525" s="151"/>
      <c r="L525" s="151"/>
      <c r="M525" s="151"/>
      <c r="N525" s="151"/>
      <c r="O525" s="151"/>
      <c r="P525" s="151"/>
      <c r="Q525" s="151"/>
      <c r="R525" s="151"/>
      <c r="S525" s="151"/>
      <c r="T525" s="151"/>
      <c r="U525" s="151"/>
      <c r="V525" s="151"/>
      <c r="W525" s="151"/>
      <c r="X525" s="151"/>
      <c r="Y525" s="151"/>
      <c r="Z525" s="151"/>
    </row>
    <row r="526" customFormat="false" ht="12.75" hidden="false" customHeight="true" outlineLevel="0" collapsed="false">
      <c r="A526" s="151"/>
      <c r="C526" s="151"/>
      <c r="D526" s="151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R526" s="151"/>
      <c r="S526" s="151"/>
      <c r="T526" s="151"/>
      <c r="U526" s="151"/>
      <c r="V526" s="151"/>
      <c r="W526" s="151"/>
      <c r="X526" s="151"/>
      <c r="Y526" s="151"/>
      <c r="Z526" s="151"/>
    </row>
    <row r="527" customFormat="false" ht="12.75" hidden="false" customHeight="true" outlineLevel="0" collapsed="false">
      <c r="A527" s="151"/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R527" s="151"/>
      <c r="S527" s="151"/>
      <c r="T527" s="151"/>
      <c r="U527" s="151"/>
      <c r="V527" s="151"/>
      <c r="W527" s="151"/>
      <c r="X527" s="151"/>
      <c r="Y527" s="151"/>
      <c r="Z527" s="151"/>
    </row>
    <row r="528" customFormat="false" ht="12.75" hidden="false" customHeight="true" outlineLevel="0" collapsed="false">
      <c r="A528" s="151"/>
      <c r="C528" s="151"/>
      <c r="D528" s="151"/>
      <c r="E528" s="151"/>
      <c r="F528" s="151"/>
      <c r="G528" s="151"/>
      <c r="H528" s="151"/>
      <c r="I528" s="151"/>
      <c r="J528" s="151"/>
      <c r="K528" s="151"/>
      <c r="L528" s="151"/>
      <c r="M528" s="151"/>
      <c r="N528" s="151"/>
      <c r="O528" s="151"/>
      <c r="P528" s="151"/>
      <c r="Q528" s="151"/>
      <c r="R528" s="151"/>
      <c r="S528" s="151"/>
      <c r="T528" s="151"/>
      <c r="U528" s="151"/>
      <c r="V528" s="151"/>
      <c r="W528" s="151"/>
      <c r="X528" s="151"/>
      <c r="Y528" s="151"/>
      <c r="Z528" s="151"/>
    </row>
    <row r="529" customFormat="false" ht="12.75" hidden="false" customHeight="true" outlineLevel="0" collapsed="false">
      <c r="A529" s="151"/>
      <c r="C529" s="151"/>
      <c r="D529" s="151"/>
      <c r="E529" s="151"/>
      <c r="F529" s="151"/>
      <c r="G529" s="151"/>
      <c r="H529" s="151"/>
      <c r="I529" s="151"/>
      <c r="J529" s="151"/>
      <c r="K529" s="151"/>
      <c r="L529" s="151"/>
      <c r="M529" s="151"/>
      <c r="N529" s="151"/>
      <c r="O529" s="151"/>
      <c r="P529" s="151"/>
      <c r="Q529" s="151"/>
      <c r="R529" s="151"/>
      <c r="S529" s="151"/>
      <c r="T529" s="151"/>
      <c r="U529" s="151"/>
      <c r="V529" s="151"/>
      <c r="W529" s="151"/>
      <c r="X529" s="151"/>
      <c r="Y529" s="151"/>
      <c r="Z529" s="151"/>
    </row>
    <row r="530" customFormat="false" ht="12.75" hidden="false" customHeight="true" outlineLevel="0" collapsed="false">
      <c r="A530" s="151"/>
      <c r="C530" s="151"/>
      <c r="D530" s="151"/>
      <c r="E530" s="151"/>
      <c r="F530" s="151"/>
      <c r="G530" s="151"/>
      <c r="H530" s="151"/>
      <c r="I530" s="151"/>
      <c r="J530" s="151"/>
      <c r="K530" s="151"/>
      <c r="L530" s="151"/>
      <c r="M530" s="151"/>
      <c r="N530" s="151"/>
      <c r="O530" s="151"/>
      <c r="P530" s="151"/>
      <c r="Q530" s="151"/>
      <c r="R530" s="151"/>
      <c r="S530" s="151"/>
      <c r="T530" s="151"/>
      <c r="U530" s="151"/>
      <c r="V530" s="151"/>
      <c r="W530" s="151"/>
      <c r="X530" s="151"/>
      <c r="Y530" s="151"/>
      <c r="Z530" s="151"/>
    </row>
    <row r="531" customFormat="false" ht="12.75" hidden="false" customHeight="true" outlineLevel="0" collapsed="false">
      <c r="A531" s="151"/>
      <c r="C531" s="151"/>
      <c r="D531" s="151"/>
      <c r="E531" s="151"/>
      <c r="F531" s="151"/>
      <c r="G531" s="151"/>
      <c r="H531" s="151"/>
      <c r="I531" s="151"/>
      <c r="J531" s="151"/>
      <c r="K531" s="151"/>
      <c r="L531" s="151"/>
      <c r="M531" s="151"/>
      <c r="N531" s="151"/>
      <c r="O531" s="151"/>
      <c r="P531" s="151"/>
      <c r="Q531" s="151"/>
      <c r="R531" s="151"/>
      <c r="S531" s="151"/>
      <c r="T531" s="151"/>
      <c r="U531" s="151"/>
      <c r="V531" s="151"/>
      <c r="W531" s="151"/>
      <c r="X531" s="151"/>
      <c r="Y531" s="151"/>
      <c r="Z531" s="151"/>
    </row>
    <row r="532" customFormat="false" ht="12.75" hidden="false" customHeight="true" outlineLevel="0" collapsed="false">
      <c r="A532" s="151"/>
      <c r="C532" s="151"/>
      <c r="D532" s="151"/>
      <c r="E532" s="151"/>
      <c r="F532" s="151"/>
      <c r="G532" s="151"/>
      <c r="H532" s="151"/>
      <c r="I532" s="151"/>
      <c r="J532" s="151"/>
      <c r="K532" s="151"/>
      <c r="L532" s="151"/>
      <c r="M532" s="151"/>
      <c r="N532" s="151"/>
      <c r="O532" s="151"/>
      <c r="P532" s="151"/>
      <c r="Q532" s="151"/>
      <c r="R532" s="151"/>
      <c r="S532" s="151"/>
      <c r="T532" s="151"/>
      <c r="U532" s="151"/>
      <c r="V532" s="151"/>
      <c r="W532" s="151"/>
      <c r="X532" s="151"/>
      <c r="Y532" s="151"/>
      <c r="Z532" s="151"/>
    </row>
    <row r="533" customFormat="false" ht="12.75" hidden="false" customHeight="true" outlineLevel="0" collapsed="false">
      <c r="A533" s="151"/>
      <c r="C533" s="151"/>
      <c r="D533" s="151"/>
      <c r="E533" s="151"/>
      <c r="F533" s="151"/>
      <c r="G533" s="151"/>
      <c r="H533" s="151"/>
      <c r="I533" s="151"/>
      <c r="J533" s="151"/>
      <c r="K533" s="151"/>
      <c r="L533" s="151"/>
      <c r="M533" s="151"/>
      <c r="N533" s="151"/>
      <c r="O533" s="151"/>
      <c r="P533" s="151"/>
      <c r="Q533" s="151"/>
      <c r="R533" s="151"/>
      <c r="S533" s="151"/>
      <c r="T533" s="151"/>
      <c r="U533" s="151"/>
      <c r="V533" s="151"/>
      <c r="W533" s="151"/>
      <c r="X533" s="151"/>
      <c r="Y533" s="151"/>
      <c r="Z533" s="151"/>
    </row>
    <row r="534" customFormat="false" ht="12.75" hidden="false" customHeight="true" outlineLevel="0" collapsed="false">
      <c r="A534" s="151"/>
      <c r="C534" s="151"/>
      <c r="D534" s="151"/>
      <c r="E534" s="151"/>
      <c r="F534" s="151"/>
      <c r="G534" s="151"/>
      <c r="H534" s="151"/>
      <c r="I534" s="151"/>
      <c r="J534" s="151"/>
      <c r="K534" s="151"/>
      <c r="L534" s="151"/>
      <c r="M534" s="151"/>
      <c r="N534" s="151"/>
      <c r="O534" s="151"/>
      <c r="P534" s="151"/>
      <c r="Q534" s="151"/>
      <c r="R534" s="151"/>
      <c r="S534" s="151"/>
      <c r="T534" s="151"/>
      <c r="U534" s="151"/>
      <c r="V534" s="151"/>
      <c r="W534" s="151"/>
      <c r="X534" s="151"/>
      <c r="Y534" s="151"/>
      <c r="Z534" s="151"/>
    </row>
    <row r="535" customFormat="false" ht="12.75" hidden="false" customHeight="true" outlineLevel="0" collapsed="false">
      <c r="A535" s="151"/>
      <c r="C535" s="151"/>
      <c r="D535" s="151"/>
      <c r="E535" s="151"/>
      <c r="F535" s="151"/>
      <c r="G535" s="151"/>
      <c r="H535" s="151"/>
      <c r="I535" s="151"/>
      <c r="J535" s="151"/>
      <c r="K535" s="151"/>
      <c r="L535" s="151"/>
      <c r="M535" s="151"/>
      <c r="N535" s="151"/>
      <c r="O535" s="151"/>
      <c r="P535" s="151"/>
      <c r="Q535" s="151"/>
      <c r="R535" s="151"/>
      <c r="S535" s="151"/>
      <c r="T535" s="151"/>
      <c r="U535" s="151"/>
      <c r="V535" s="151"/>
      <c r="W535" s="151"/>
      <c r="X535" s="151"/>
      <c r="Y535" s="151"/>
      <c r="Z535" s="151"/>
    </row>
    <row r="536" customFormat="false" ht="12.75" hidden="false" customHeight="true" outlineLevel="0" collapsed="false">
      <c r="A536" s="151"/>
      <c r="C536" s="151"/>
      <c r="D536" s="151"/>
      <c r="E536" s="151"/>
      <c r="F536" s="151"/>
      <c r="G536" s="151"/>
      <c r="H536" s="151"/>
      <c r="I536" s="151"/>
      <c r="J536" s="151"/>
      <c r="K536" s="151"/>
      <c r="L536" s="151"/>
      <c r="M536" s="151"/>
      <c r="N536" s="151"/>
      <c r="O536" s="151"/>
      <c r="P536" s="151"/>
      <c r="Q536" s="151"/>
      <c r="R536" s="151"/>
      <c r="S536" s="151"/>
      <c r="T536" s="151"/>
      <c r="U536" s="151"/>
      <c r="V536" s="151"/>
      <c r="W536" s="151"/>
      <c r="X536" s="151"/>
      <c r="Y536" s="151"/>
      <c r="Z536" s="151"/>
    </row>
    <row r="537" customFormat="false" ht="12.75" hidden="false" customHeight="true" outlineLevel="0" collapsed="false">
      <c r="A537" s="151"/>
      <c r="C537" s="151"/>
      <c r="D537" s="151"/>
      <c r="E537" s="151"/>
      <c r="F537" s="151"/>
      <c r="G537" s="151"/>
      <c r="H537" s="151"/>
      <c r="I537" s="151"/>
      <c r="J537" s="151"/>
      <c r="K537" s="151"/>
      <c r="L537" s="151"/>
      <c r="M537" s="151"/>
      <c r="N537" s="151"/>
      <c r="O537" s="151"/>
      <c r="P537" s="151"/>
      <c r="Q537" s="151"/>
      <c r="R537" s="151"/>
      <c r="S537" s="151"/>
      <c r="T537" s="151"/>
      <c r="U537" s="151"/>
      <c r="V537" s="151"/>
      <c r="W537" s="151"/>
      <c r="X537" s="151"/>
      <c r="Y537" s="151"/>
      <c r="Z537" s="151"/>
    </row>
    <row r="538" customFormat="false" ht="12.75" hidden="false" customHeight="true" outlineLevel="0" collapsed="false">
      <c r="A538" s="151"/>
      <c r="C538" s="151"/>
      <c r="D538" s="151"/>
      <c r="E538" s="151"/>
      <c r="F538" s="151"/>
      <c r="G538" s="151"/>
      <c r="H538" s="151"/>
      <c r="I538" s="151"/>
      <c r="J538" s="151"/>
      <c r="K538" s="151"/>
      <c r="L538" s="151"/>
      <c r="M538" s="151"/>
      <c r="N538" s="151"/>
      <c r="O538" s="151"/>
      <c r="P538" s="151"/>
      <c r="Q538" s="151"/>
      <c r="R538" s="151"/>
      <c r="S538" s="151"/>
      <c r="T538" s="151"/>
      <c r="U538" s="151"/>
      <c r="V538" s="151"/>
      <c r="W538" s="151"/>
      <c r="X538" s="151"/>
      <c r="Y538" s="151"/>
      <c r="Z538" s="151"/>
    </row>
    <row r="539" customFormat="false" ht="12.75" hidden="false" customHeight="true" outlineLevel="0" collapsed="false">
      <c r="A539" s="151"/>
      <c r="C539" s="151"/>
      <c r="D539" s="151"/>
      <c r="E539" s="151"/>
      <c r="F539" s="151"/>
      <c r="G539" s="151"/>
      <c r="H539" s="151"/>
      <c r="I539" s="151"/>
      <c r="J539" s="151"/>
      <c r="K539" s="151"/>
      <c r="L539" s="151"/>
      <c r="M539" s="151"/>
      <c r="N539" s="151"/>
      <c r="O539" s="151"/>
      <c r="P539" s="151"/>
      <c r="Q539" s="151"/>
      <c r="R539" s="151"/>
      <c r="S539" s="151"/>
      <c r="T539" s="151"/>
      <c r="U539" s="151"/>
      <c r="V539" s="151"/>
      <c r="W539" s="151"/>
      <c r="X539" s="151"/>
      <c r="Y539" s="151"/>
      <c r="Z539" s="151"/>
    </row>
    <row r="540" customFormat="false" ht="12.75" hidden="false" customHeight="true" outlineLevel="0" collapsed="false">
      <c r="A540" s="151"/>
      <c r="C540" s="151"/>
      <c r="D540" s="151"/>
      <c r="E540" s="151"/>
      <c r="F540" s="151"/>
      <c r="G540" s="151"/>
      <c r="H540" s="151"/>
      <c r="I540" s="151"/>
      <c r="J540" s="151"/>
      <c r="K540" s="151"/>
      <c r="L540" s="151"/>
      <c r="M540" s="151"/>
      <c r="N540" s="151"/>
      <c r="O540" s="151"/>
      <c r="P540" s="151"/>
      <c r="Q540" s="151"/>
      <c r="R540" s="151"/>
      <c r="S540" s="151"/>
      <c r="T540" s="151"/>
      <c r="U540" s="151"/>
      <c r="V540" s="151"/>
      <c r="W540" s="151"/>
      <c r="X540" s="151"/>
      <c r="Y540" s="151"/>
      <c r="Z540" s="151"/>
    </row>
    <row r="541" customFormat="false" ht="12.75" hidden="false" customHeight="true" outlineLevel="0" collapsed="false">
      <c r="A541" s="151"/>
      <c r="C541" s="151"/>
      <c r="D541" s="151"/>
      <c r="E541" s="151"/>
      <c r="F541" s="151"/>
      <c r="G541" s="151"/>
      <c r="H541" s="151"/>
      <c r="I541" s="151"/>
      <c r="J541" s="151"/>
      <c r="K541" s="151"/>
      <c r="L541" s="151"/>
      <c r="M541" s="151"/>
      <c r="N541" s="151"/>
      <c r="O541" s="151"/>
      <c r="P541" s="151"/>
      <c r="Q541" s="151"/>
      <c r="R541" s="151"/>
      <c r="S541" s="151"/>
      <c r="T541" s="151"/>
      <c r="U541" s="151"/>
      <c r="V541" s="151"/>
      <c r="W541" s="151"/>
      <c r="X541" s="151"/>
      <c r="Y541" s="151"/>
      <c r="Z541" s="151"/>
    </row>
    <row r="542" customFormat="false" ht="12.75" hidden="false" customHeight="true" outlineLevel="0" collapsed="false">
      <c r="A542" s="151"/>
      <c r="C542" s="151"/>
      <c r="D542" s="151"/>
      <c r="E542" s="151"/>
      <c r="F542" s="151"/>
      <c r="G542" s="151"/>
      <c r="H542" s="151"/>
      <c r="I542" s="151"/>
      <c r="J542" s="151"/>
      <c r="K542" s="151"/>
      <c r="L542" s="151"/>
      <c r="M542" s="151"/>
      <c r="N542" s="151"/>
      <c r="O542" s="151"/>
      <c r="P542" s="151"/>
      <c r="Q542" s="151"/>
      <c r="R542" s="151"/>
      <c r="S542" s="151"/>
      <c r="T542" s="151"/>
      <c r="U542" s="151"/>
      <c r="V542" s="151"/>
      <c r="W542" s="151"/>
      <c r="X542" s="151"/>
      <c r="Y542" s="151"/>
      <c r="Z542" s="151"/>
    </row>
    <row r="543" customFormat="false" ht="12.75" hidden="false" customHeight="true" outlineLevel="0" collapsed="false">
      <c r="A543" s="151"/>
      <c r="C543" s="151"/>
      <c r="D543" s="151"/>
      <c r="E543" s="151"/>
      <c r="F543" s="151"/>
      <c r="G543" s="151"/>
      <c r="H543" s="151"/>
      <c r="I543" s="151"/>
      <c r="J543" s="151"/>
      <c r="K543" s="151"/>
      <c r="L543" s="151"/>
      <c r="M543" s="151"/>
      <c r="N543" s="151"/>
      <c r="O543" s="151"/>
      <c r="P543" s="151"/>
      <c r="Q543" s="151"/>
      <c r="R543" s="151"/>
      <c r="S543" s="151"/>
      <c r="T543" s="151"/>
      <c r="U543" s="151"/>
      <c r="V543" s="151"/>
      <c r="W543" s="151"/>
      <c r="X543" s="151"/>
      <c r="Y543" s="151"/>
      <c r="Z543" s="151"/>
    </row>
    <row r="544" customFormat="false" ht="12.75" hidden="false" customHeight="true" outlineLevel="0" collapsed="false">
      <c r="A544" s="151"/>
      <c r="C544" s="151"/>
      <c r="D544" s="151"/>
      <c r="E544" s="151"/>
      <c r="F544" s="151"/>
      <c r="G544" s="151"/>
      <c r="H544" s="151"/>
      <c r="I544" s="151"/>
      <c r="J544" s="151"/>
      <c r="K544" s="151"/>
      <c r="L544" s="151"/>
      <c r="M544" s="151"/>
      <c r="N544" s="151"/>
      <c r="O544" s="151"/>
      <c r="P544" s="151"/>
      <c r="Q544" s="151"/>
      <c r="R544" s="151"/>
      <c r="S544" s="151"/>
      <c r="T544" s="151"/>
      <c r="U544" s="151"/>
      <c r="V544" s="151"/>
      <c r="W544" s="151"/>
      <c r="X544" s="151"/>
      <c r="Y544" s="151"/>
      <c r="Z544" s="151"/>
    </row>
    <row r="545" customFormat="false" ht="12.75" hidden="false" customHeight="true" outlineLevel="0" collapsed="false">
      <c r="A545" s="151"/>
      <c r="C545" s="151"/>
      <c r="D545" s="151"/>
      <c r="E545" s="151"/>
      <c r="F545" s="151"/>
      <c r="G545" s="151"/>
      <c r="H545" s="151"/>
      <c r="I545" s="151"/>
      <c r="J545" s="151"/>
      <c r="K545" s="151"/>
      <c r="L545" s="151"/>
      <c r="M545" s="151"/>
      <c r="N545" s="151"/>
      <c r="O545" s="151"/>
      <c r="P545" s="151"/>
      <c r="Q545" s="151"/>
      <c r="R545" s="151"/>
      <c r="S545" s="151"/>
      <c r="T545" s="151"/>
      <c r="U545" s="151"/>
      <c r="V545" s="151"/>
      <c r="W545" s="151"/>
      <c r="X545" s="151"/>
      <c r="Y545" s="151"/>
      <c r="Z545" s="151"/>
    </row>
    <row r="546" customFormat="false" ht="12.75" hidden="false" customHeight="true" outlineLevel="0" collapsed="false">
      <c r="A546" s="151"/>
      <c r="C546" s="151"/>
      <c r="D546" s="151"/>
      <c r="E546" s="151"/>
      <c r="F546" s="151"/>
      <c r="G546" s="151"/>
      <c r="H546" s="151"/>
      <c r="I546" s="151"/>
      <c r="J546" s="151"/>
      <c r="K546" s="151"/>
      <c r="L546" s="151"/>
      <c r="M546" s="151"/>
      <c r="N546" s="151"/>
      <c r="O546" s="151"/>
      <c r="P546" s="151"/>
      <c r="Q546" s="151"/>
      <c r="R546" s="151"/>
      <c r="S546" s="151"/>
      <c r="T546" s="151"/>
      <c r="U546" s="151"/>
      <c r="V546" s="151"/>
      <c r="W546" s="151"/>
      <c r="X546" s="151"/>
      <c r="Y546" s="151"/>
      <c r="Z546" s="151"/>
    </row>
    <row r="547" customFormat="false" ht="12.75" hidden="false" customHeight="true" outlineLevel="0" collapsed="false">
      <c r="A547" s="151"/>
      <c r="C547" s="151"/>
      <c r="D547" s="151"/>
      <c r="E547" s="151"/>
      <c r="F547" s="151"/>
      <c r="G547" s="151"/>
      <c r="H547" s="151"/>
      <c r="I547" s="151"/>
      <c r="J547" s="151"/>
      <c r="K547" s="151"/>
      <c r="L547" s="151"/>
      <c r="M547" s="151"/>
      <c r="N547" s="151"/>
      <c r="O547" s="151"/>
      <c r="P547" s="151"/>
      <c r="Q547" s="151"/>
      <c r="R547" s="151"/>
      <c r="S547" s="151"/>
      <c r="T547" s="151"/>
      <c r="U547" s="151"/>
      <c r="V547" s="151"/>
      <c r="W547" s="151"/>
      <c r="X547" s="151"/>
      <c r="Y547" s="151"/>
      <c r="Z547" s="151"/>
    </row>
    <row r="548" customFormat="false" ht="12.75" hidden="false" customHeight="true" outlineLevel="0" collapsed="false">
      <c r="A548" s="151"/>
      <c r="C548" s="151"/>
      <c r="D548" s="151"/>
      <c r="E548" s="151"/>
      <c r="F548" s="151"/>
      <c r="G548" s="151"/>
      <c r="H548" s="151"/>
      <c r="I548" s="151"/>
      <c r="J548" s="151"/>
      <c r="K548" s="151"/>
      <c r="L548" s="151"/>
      <c r="M548" s="151"/>
      <c r="N548" s="151"/>
      <c r="O548" s="151"/>
      <c r="P548" s="151"/>
      <c r="Q548" s="151"/>
      <c r="R548" s="151"/>
      <c r="S548" s="151"/>
      <c r="T548" s="151"/>
      <c r="U548" s="151"/>
      <c r="V548" s="151"/>
      <c r="W548" s="151"/>
      <c r="X548" s="151"/>
      <c r="Y548" s="151"/>
      <c r="Z548" s="151"/>
    </row>
    <row r="549" customFormat="false" ht="12.75" hidden="false" customHeight="true" outlineLevel="0" collapsed="false">
      <c r="A549" s="151"/>
      <c r="C549" s="151"/>
      <c r="D549" s="151"/>
      <c r="E549" s="151"/>
      <c r="F549" s="151"/>
      <c r="G549" s="151"/>
      <c r="H549" s="151"/>
      <c r="I549" s="151"/>
      <c r="J549" s="151"/>
      <c r="K549" s="151"/>
      <c r="L549" s="151"/>
      <c r="M549" s="151"/>
      <c r="N549" s="151"/>
      <c r="O549" s="151"/>
      <c r="P549" s="151"/>
      <c r="Q549" s="151"/>
      <c r="R549" s="151"/>
      <c r="S549" s="151"/>
      <c r="T549" s="151"/>
      <c r="U549" s="151"/>
      <c r="V549" s="151"/>
      <c r="W549" s="151"/>
      <c r="X549" s="151"/>
      <c r="Y549" s="151"/>
      <c r="Z549" s="151"/>
    </row>
    <row r="550" customFormat="false" ht="12.75" hidden="false" customHeight="true" outlineLevel="0" collapsed="false">
      <c r="A550" s="151"/>
      <c r="C550" s="151"/>
      <c r="D550" s="151"/>
      <c r="E550" s="151"/>
      <c r="F550" s="151"/>
      <c r="G550" s="151"/>
      <c r="H550" s="151"/>
      <c r="I550" s="151"/>
      <c r="J550" s="151"/>
      <c r="K550" s="151"/>
      <c r="L550" s="151"/>
      <c r="M550" s="151"/>
      <c r="N550" s="151"/>
      <c r="O550" s="151"/>
      <c r="P550" s="151"/>
      <c r="Q550" s="151"/>
      <c r="R550" s="151"/>
      <c r="S550" s="151"/>
      <c r="T550" s="151"/>
      <c r="U550" s="151"/>
      <c r="V550" s="151"/>
      <c r="W550" s="151"/>
      <c r="X550" s="151"/>
      <c r="Y550" s="151"/>
      <c r="Z550" s="151"/>
    </row>
    <row r="551" customFormat="false" ht="12.75" hidden="false" customHeight="true" outlineLevel="0" collapsed="false">
      <c r="A551" s="151"/>
      <c r="C551" s="151"/>
      <c r="D551" s="151"/>
      <c r="E551" s="151"/>
      <c r="F551" s="151"/>
      <c r="G551" s="151"/>
      <c r="H551" s="151"/>
      <c r="I551" s="151"/>
      <c r="J551" s="151"/>
      <c r="K551" s="151"/>
      <c r="L551" s="151"/>
      <c r="M551" s="151"/>
      <c r="N551" s="151"/>
      <c r="O551" s="151"/>
      <c r="P551" s="151"/>
      <c r="Q551" s="151"/>
      <c r="R551" s="151"/>
      <c r="S551" s="151"/>
      <c r="T551" s="151"/>
      <c r="U551" s="151"/>
      <c r="V551" s="151"/>
      <c r="W551" s="151"/>
      <c r="X551" s="151"/>
      <c r="Y551" s="151"/>
      <c r="Z551" s="151"/>
    </row>
    <row r="552" customFormat="false" ht="12.75" hidden="false" customHeight="true" outlineLevel="0" collapsed="false">
      <c r="A552" s="151"/>
      <c r="C552" s="151"/>
      <c r="D552" s="151"/>
      <c r="E552" s="151"/>
      <c r="F552" s="151"/>
      <c r="G552" s="151"/>
      <c r="H552" s="151"/>
      <c r="I552" s="151"/>
      <c r="J552" s="151"/>
      <c r="K552" s="151"/>
      <c r="L552" s="151"/>
      <c r="M552" s="151"/>
      <c r="N552" s="151"/>
      <c r="O552" s="151"/>
      <c r="P552" s="151"/>
      <c r="Q552" s="151"/>
      <c r="R552" s="151"/>
      <c r="S552" s="151"/>
      <c r="T552" s="151"/>
      <c r="U552" s="151"/>
      <c r="V552" s="151"/>
      <c r="W552" s="151"/>
      <c r="X552" s="151"/>
      <c r="Y552" s="151"/>
      <c r="Z552" s="151"/>
    </row>
    <row r="553" customFormat="false" ht="12.75" hidden="false" customHeight="true" outlineLevel="0" collapsed="false">
      <c r="A553" s="151"/>
      <c r="C553" s="151"/>
      <c r="D553" s="151"/>
      <c r="E553" s="151"/>
      <c r="F553" s="151"/>
      <c r="G553" s="151"/>
      <c r="H553" s="151"/>
      <c r="I553" s="151"/>
      <c r="J553" s="151"/>
      <c r="K553" s="151"/>
      <c r="L553" s="151"/>
      <c r="M553" s="151"/>
      <c r="N553" s="151"/>
      <c r="O553" s="151"/>
      <c r="P553" s="151"/>
      <c r="Q553" s="151"/>
      <c r="R553" s="151"/>
      <c r="S553" s="151"/>
      <c r="T553" s="151"/>
      <c r="U553" s="151"/>
      <c r="V553" s="151"/>
      <c r="W553" s="151"/>
      <c r="X553" s="151"/>
      <c r="Y553" s="151"/>
      <c r="Z553" s="151"/>
    </row>
    <row r="554" customFormat="false" ht="12.75" hidden="false" customHeight="true" outlineLevel="0" collapsed="false">
      <c r="A554" s="151"/>
      <c r="C554" s="151"/>
      <c r="D554" s="151"/>
      <c r="E554" s="151"/>
      <c r="F554" s="151"/>
      <c r="G554" s="151"/>
      <c r="H554" s="151"/>
      <c r="I554" s="151"/>
      <c r="J554" s="151"/>
      <c r="K554" s="151"/>
      <c r="L554" s="151"/>
      <c r="M554" s="151"/>
      <c r="N554" s="151"/>
      <c r="O554" s="151"/>
      <c r="P554" s="151"/>
      <c r="Q554" s="151"/>
      <c r="R554" s="151"/>
      <c r="S554" s="151"/>
      <c r="T554" s="151"/>
      <c r="U554" s="151"/>
      <c r="V554" s="151"/>
      <c r="W554" s="151"/>
      <c r="X554" s="151"/>
      <c r="Y554" s="151"/>
      <c r="Z554" s="151"/>
    </row>
    <row r="555" customFormat="false" ht="12.75" hidden="false" customHeight="true" outlineLevel="0" collapsed="false">
      <c r="A555" s="151"/>
      <c r="C555" s="151"/>
      <c r="D555" s="151"/>
      <c r="E555" s="151"/>
      <c r="F555" s="151"/>
      <c r="G555" s="151"/>
      <c r="H555" s="151"/>
      <c r="I555" s="151"/>
      <c r="J555" s="151"/>
      <c r="K555" s="151"/>
      <c r="L555" s="151"/>
      <c r="M555" s="151"/>
      <c r="N555" s="151"/>
      <c r="O555" s="151"/>
      <c r="P555" s="151"/>
      <c r="Q555" s="151"/>
      <c r="R555" s="151"/>
      <c r="S555" s="151"/>
      <c r="T555" s="151"/>
      <c r="U555" s="151"/>
      <c r="V555" s="151"/>
      <c r="W555" s="151"/>
      <c r="X555" s="151"/>
      <c r="Y555" s="151"/>
      <c r="Z555" s="151"/>
    </row>
    <row r="556" customFormat="false" ht="12.75" hidden="false" customHeight="true" outlineLevel="0" collapsed="false">
      <c r="A556" s="151"/>
      <c r="C556" s="151"/>
      <c r="D556" s="151"/>
      <c r="E556" s="151"/>
      <c r="F556" s="151"/>
      <c r="G556" s="151"/>
      <c r="H556" s="151"/>
      <c r="I556" s="151"/>
      <c r="J556" s="151"/>
      <c r="K556" s="151"/>
      <c r="L556" s="151"/>
      <c r="M556" s="151"/>
      <c r="N556" s="151"/>
      <c r="O556" s="151"/>
      <c r="P556" s="151"/>
      <c r="Q556" s="151"/>
      <c r="R556" s="151"/>
      <c r="S556" s="151"/>
      <c r="T556" s="151"/>
      <c r="U556" s="151"/>
      <c r="V556" s="151"/>
      <c r="W556" s="151"/>
      <c r="X556" s="151"/>
      <c r="Y556" s="151"/>
      <c r="Z556" s="151"/>
    </row>
    <row r="557" customFormat="false" ht="12.75" hidden="false" customHeight="true" outlineLevel="0" collapsed="false">
      <c r="A557" s="151"/>
      <c r="C557" s="151"/>
      <c r="D557" s="151"/>
      <c r="E557" s="151"/>
      <c r="F557" s="151"/>
      <c r="G557" s="151"/>
      <c r="H557" s="151"/>
      <c r="I557" s="151"/>
      <c r="J557" s="151"/>
      <c r="K557" s="151"/>
      <c r="L557" s="151"/>
      <c r="M557" s="151"/>
      <c r="N557" s="151"/>
      <c r="O557" s="151"/>
      <c r="P557" s="151"/>
      <c r="Q557" s="151"/>
      <c r="R557" s="151"/>
      <c r="S557" s="151"/>
      <c r="T557" s="151"/>
      <c r="U557" s="151"/>
      <c r="V557" s="151"/>
      <c r="W557" s="151"/>
      <c r="X557" s="151"/>
      <c r="Y557" s="151"/>
      <c r="Z557" s="151"/>
    </row>
    <row r="558" customFormat="false" ht="12.75" hidden="false" customHeight="true" outlineLevel="0" collapsed="false">
      <c r="A558" s="151"/>
      <c r="C558" s="151"/>
      <c r="D558" s="151"/>
      <c r="E558" s="151"/>
      <c r="F558" s="151"/>
      <c r="G558" s="151"/>
      <c r="H558" s="151"/>
      <c r="I558" s="151"/>
      <c r="J558" s="151"/>
      <c r="K558" s="151"/>
      <c r="L558" s="151"/>
      <c r="M558" s="151"/>
      <c r="N558" s="151"/>
      <c r="O558" s="151"/>
      <c r="P558" s="151"/>
      <c r="Q558" s="151"/>
      <c r="R558" s="151"/>
      <c r="S558" s="151"/>
      <c r="T558" s="151"/>
      <c r="U558" s="151"/>
      <c r="V558" s="151"/>
      <c r="W558" s="151"/>
      <c r="X558" s="151"/>
      <c r="Y558" s="151"/>
      <c r="Z558" s="151"/>
    </row>
    <row r="559" customFormat="false" ht="12.75" hidden="false" customHeight="true" outlineLevel="0" collapsed="false">
      <c r="A559" s="151"/>
      <c r="C559" s="151"/>
      <c r="D559" s="151"/>
      <c r="E559" s="151"/>
      <c r="F559" s="151"/>
      <c r="G559" s="151"/>
      <c r="H559" s="151"/>
      <c r="I559" s="151"/>
      <c r="J559" s="151"/>
      <c r="K559" s="151"/>
      <c r="L559" s="151"/>
      <c r="M559" s="151"/>
      <c r="N559" s="151"/>
      <c r="O559" s="151"/>
      <c r="P559" s="151"/>
      <c r="Q559" s="151"/>
      <c r="R559" s="151"/>
      <c r="S559" s="151"/>
      <c r="T559" s="151"/>
      <c r="U559" s="151"/>
      <c r="V559" s="151"/>
      <c r="W559" s="151"/>
      <c r="X559" s="151"/>
      <c r="Y559" s="151"/>
      <c r="Z559" s="151"/>
    </row>
    <row r="560" customFormat="false" ht="12.75" hidden="false" customHeight="true" outlineLevel="0" collapsed="false">
      <c r="A560" s="151"/>
      <c r="C560" s="151"/>
      <c r="D560" s="151"/>
      <c r="E560" s="151"/>
      <c r="F560" s="151"/>
      <c r="G560" s="151"/>
      <c r="H560" s="151"/>
      <c r="I560" s="151"/>
      <c r="J560" s="151"/>
      <c r="K560" s="151"/>
      <c r="L560" s="151"/>
      <c r="M560" s="151"/>
      <c r="N560" s="151"/>
      <c r="O560" s="151"/>
      <c r="P560" s="151"/>
      <c r="Q560" s="151"/>
      <c r="R560" s="151"/>
      <c r="S560" s="151"/>
      <c r="T560" s="151"/>
      <c r="U560" s="151"/>
      <c r="V560" s="151"/>
      <c r="W560" s="151"/>
      <c r="X560" s="151"/>
      <c r="Y560" s="151"/>
      <c r="Z560" s="151"/>
    </row>
    <row r="561" customFormat="false" ht="12.75" hidden="false" customHeight="true" outlineLevel="0" collapsed="false">
      <c r="A561" s="151"/>
      <c r="C561" s="151"/>
      <c r="D561" s="151"/>
      <c r="E561" s="151"/>
      <c r="F561" s="151"/>
      <c r="G561" s="151"/>
      <c r="H561" s="151"/>
      <c r="I561" s="151"/>
      <c r="J561" s="151"/>
      <c r="K561" s="151"/>
      <c r="L561" s="151"/>
      <c r="M561" s="151"/>
      <c r="N561" s="151"/>
      <c r="O561" s="151"/>
      <c r="P561" s="151"/>
      <c r="Q561" s="151"/>
      <c r="R561" s="151"/>
      <c r="S561" s="151"/>
      <c r="T561" s="151"/>
      <c r="U561" s="151"/>
      <c r="V561" s="151"/>
      <c r="W561" s="151"/>
      <c r="X561" s="151"/>
      <c r="Y561" s="151"/>
      <c r="Z561" s="151"/>
    </row>
    <row r="562" customFormat="false" ht="12.75" hidden="false" customHeight="true" outlineLevel="0" collapsed="false">
      <c r="A562" s="151"/>
      <c r="C562" s="151"/>
      <c r="D562" s="151"/>
      <c r="E562" s="151"/>
      <c r="F562" s="151"/>
      <c r="G562" s="151"/>
      <c r="H562" s="151"/>
      <c r="I562" s="151"/>
      <c r="J562" s="151"/>
      <c r="K562" s="151"/>
      <c r="L562" s="151"/>
      <c r="M562" s="151"/>
      <c r="N562" s="151"/>
      <c r="O562" s="151"/>
      <c r="P562" s="151"/>
      <c r="Q562" s="151"/>
      <c r="R562" s="151"/>
      <c r="S562" s="151"/>
      <c r="T562" s="151"/>
      <c r="U562" s="151"/>
      <c r="V562" s="151"/>
      <c r="W562" s="151"/>
      <c r="X562" s="151"/>
      <c r="Y562" s="151"/>
      <c r="Z562" s="151"/>
    </row>
    <row r="563" customFormat="false" ht="12.75" hidden="false" customHeight="true" outlineLevel="0" collapsed="false">
      <c r="A563" s="151"/>
      <c r="C563" s="151"/>
      <c r="D563" s="151"/>
      <c r="E563" s="151"/>
      <c r="F563" s="151"/>
      <c r="G563" s="151"/>
      <c r="H563" s="151"/>
      <c r="I563" s="151"/>
      <c r="J563" s="151"/>
      <c r="K563" s="151"/>
      <c r="L563" s="151"/>
      <c r="M563" s="151"/>
      <c r="N563" s="151"/>
      <c r="O563" s="151"/>
      <c r="P563" s="151"/>
      <c r="Q563" s="151"/>
      <c r="R563" s="151"/>
      <c r="S563" s="151"/>
      <c r="T563" s="151"/>
      <c r="U563" s="151"/>
      <c r="V563" s="151"/>
      <c r="W563" s="151"/>
      <c r="X563" s="151"/>
      <c r="Y563" s="151"/>
      <c r="Z563" s="151"/>
    </row>
    <row r="564" customFormat="false" ht="12.75" hidden="false" customHeight="true" outlineLevel="0" collapsed="false">
      <c r="A564" s="151"/>
      <c r="C564" s="151"/>
      <c r="D564" s="151"/>
      <c r="E564" s="151"/>
      <c r="F564" s="151"/>
      <c r="G564" s="151"/>
      <c r="H564" s="151"/>
      <c r="I564" s="151"/>
      <c r="J564" s="151"/>
      <c r="K564" s="151"/>
      <c r="L564" s="151"/>
      <c r="M564" s="151"/>
      <c r="N564" s="151"/>
      <c r="O564" s="151"/>
      <c r="P564" s="151"/>
      <c r="Q564" s="151"/>
      <c r="R564" s="151"/>
      <c r="S564" s="151"/>
      <c r="T564" s="151"/>
      <c r="U564" s="151"/>
      <c r="V564" s="151"/>
      <c r="W564" s="151"/>
      <c r="X564" s="151"/>
      <c r="Y564" s="151"/>
      <c r="Z564" s="151"/>
    </row>
    <row r="565" customFormat="false" ht="12.75" hidden="false" customHeight="true" outlineLevel="0" collapsed="false">
      <c r="A565" s="151"/>
      <c r="C565" s="151"/>
      <c r="D565" s="151"/>
      <c r="E565" s="151"/>
      <c r="F565" s="151"/>
      <c r="G565" s="151"/>
      <c r="H565" s="151"/>
      <c r="I565" s="151"/>
      <c r="J565" s="151"/>
      <c r="K565" s="151"/>
      <c r="L565" s="151"/>
      <c r="M565" s="151"/>
      <c r="N565" s="151"/>
      <c r="O565" s="151"/>
      <c r="P565" s="151"/>
      <c r="Q565" s="151"/>
      <c r="R565" s="151"/>
      <c r="S565" s="151"/>
      <c r="T565" s="151"/>
      <c r="U565" s="151"/>
      <c r="V565" s="151"/>
      <c r="W565" s="151"/>
      <c r="X565" s="151"/>
      <c r="Y565" s="151"/>
      <c r="Z565" s="151"/>
    </row>
    <row r="566" customFormat="false" ht="12.75" hidden="false" customHeight="true" outlineLevel="0" collapsed="false">
      <c r="A566" s="151"/>
      <c r="C566" s="151"/>
      <c r="D566" s="151"/>
      <c r="E566" s="151"/>
      <c r="F566" s="151"/>
      <c r="G566" s="151"/>
      <c r="H566" s="151"/>
      <c r="I566" s="151"/>
      <c r="J566" s="151"/>
      <c r="K566" s="151"/>
      <c r="L566" s="151"/>
      <c r="M566" s="151"/>
      <c r="N566" s="151"/>
      <c r="O566" s="151"/>
      <c r="P566" s="151"/>
      <c r="Q566" s="151"/>
      <c r="R566" s="151"/>
      <c r="S566" s="151"/>
      <c r="T566" s="151"/>
      <c r="U566" s="151"/>
      <c r="V566" s="151"/>
      <c r="W566" s="151"/>
      <c r="X566" s="151"/>
      <c r="Y566" s="151"/>
      <c r="Z566" s="151"/>
    </row>
    <row r="567" customFormat="false" ht="12.75" hidden="false" customHeight="true" outlineLevel="0" collapsed="false">
      <c r="A567" s="151"/>
      <c r="C567" s="151"/>
      <c r="D567" s="151"/>
      <c r="E567" s="151"/>
      <c r="F567" s="151"/>
      <c r="G567" s="151"/>
      <c r="H567" s="151"/>
      <c r="I567" s="151"/>
      <c r="J567" s="151"/>
      <c r="K567" s="151"/>
      <c r="L567" s="151"/>
      <c r="M567" s="151"/>
      <c r="N567" s="151"/>
      <c r="O567" s="151"/>
      <c r="P567" s="151"/>
      <c r="Q567" s="151"/>
      <c r="R567" s="151"/>
      <c r="S567" s="151"/>
      <c r="T567" s="151"/>
      <c r="U567" s="151"/>
      <c r="V567" s="151"/>
      <c r="W567" s="151"/>
      <c r="X567" s="151"/>
      <c r="Y567" s="151"/>
      <c r="Z567" s="151"/>
    </row>
    <row r="568" customFormat="false" ht="12.75" hidden="false" customHeight="true" outlineLevel="0" collapsed="false">
      <c r="A568" s="151"/>
      <c r="C568" s="151"/>
      <c r="D568" s="151"/>
      <c r="E568" s="151"/>
      <c r="F568" s="151"/>
      <c r="G568" s="151"/>
      <c r="H568" s="151"/>
      <c r="I568" s="151"/>
      <c r="J568" s="151"/>
      <c r="K568" s="151"/>
      <c r="L568" s="151"/>
      <c r="M568" s="151"/>
      <c r="N568" s="151"/>
      <c r="O568" s="151"/>
      <c r="P568" s="151"/>
      <c r="Q568" s="151"/>
      <c r="R568" s="151"/>
      <c r="S568" s="151"/>
      <c r="T568" s="151"/>
      <c r="U568" s="151"/>
      <c r="V568" s="151"/>
      <c r="W568" s="151"/>
      <c r="X568" s="151"/>
      <c r="Y568" s="151"/>
      <c r="Z568" s="151"/>
    </row>
    <row r="569" customFormat="false" ht="12.75" hidden="false" customHeight="true" outlineLevel="0" collapsed="false">
      <c r="A569" s="151"/>
      <c r="C569" s="151"/>
      <c r="D569" s="151"/>
      <c r="E569" s="151"/>
      <c r="F569" s="151"/>
      <c r="G569" s="151"/>
      <c r="H569" s="151"/>
      <c r="I569" s="151"/>
      <c r="J569" s="151"/>
      <c r="K569" s="151"/>
      <c r="L569" s="151"/>
      <c r="M569" s="151"/>
      <c r="N569" s="151"/>
      <c r="O569" s="151"/>
      <c r="P569" s="151"/>
      <c r="Q569" s="151"/>
      <c r="R569" s="151"/>
      <c r="S569" s="151"/>
      <c r="T569" s="151"/>
      <c r="U569" s="151"/>
      <c r="V569" s="151"/>
      <c r="W569" s="151"/>
      <c r="X569" s="151"/>
      <c r="Y569" s="151"/>
      <c r="Z569" s="151"/>
    </row>
    <row r="570" customFormat="false" ht="12.75" hidden="false" customHeight="true" outlineLevel="0" collapsed="false">
      <c r="A570" s="151"/>
      <c r="C570" s="151"/>
      <c r="D570" s="151"/>
      <c r="E570" s="151"/>
      <c r="F570" s="151"/>
      <c r="G570" s="151"/>
      <c r="H570" s="151"/>
      <c r="I570" s="151"/>
      <c r="J570" s="151"/>
      <c r="K570" s="151"/>
      <c r="L570" s="151"/>
      <c r="M570" s="151"/>
      <c r="N570" s="151"/>
      <c r="O570" s="151"/>
      <c r="P570" s="151"/>
      <c r="Q570" s="151"/>
      <c r="R570" s="151"/>
      <c r="S570" s="151"/>
      <c r="T570" s="151"/>
      <c r="U570" s="151"/>
      <c r="V570" s="151"/>
      <c r="W570" s="151"/>
      <c r="X570" s="151"/>
      <c r="Y570" s="151"/>
      <c r="Z570" s="151"/>
    </row>
    <row r="571" customFormat="false" ht="12.75" hidden="false" customHeight="true" outlineLevel="0" collapsed="false">
      <c r="A571" s="151"/>
      <c r="C571" s="151"/>
      <c r="D571" s="151"/>
      <c r="E571" s="151"/>
      <c r="F571" s="151"/>
      <c r="G571" s="151"/>
      <c r="H571" s="151"/>
      <c r="I571" s="151"/>
      <c r="J571" s="151"/>
      <c r="K571" s="151"/>
      <c r="L571" s="151"/>
      <c r="M571" s="151"/>
      <c r="N571" s="151"/>
      <c r="O571" s="151"/>
      <c r="P571" s="151"/>
      <c r="Q571" s="151"/>
      <c r="R571" s="151"/>
      <c r="S571" s="151"/>
      <c r="T571" s="151"/>
      <c r="U571" s="151"/>
      <c r="V571" s="151"/>
      <c r="W571" s="151"/>
      <c r="X571" s="151"/>
      <c r="Y571" s="151"/>
      <c r="Z571" s="151"/>
    </row>
    <row r="572" customFormat="false" ht="12.75" hidden="false" customHeight="true" outlineLevel="0" collapsed="false">
      <c r="A572" s="151"/>
      <c r="C572" s="151"/>
      <c r="D572" s="151"/>
      <c r="E572" s="151"/>
      <c r="F572" s="151"/>
      <c r="G572" s="151"/>
      <c r="H572" s="151"/>
      <c r="I572" s="151"/>
      <c r="J572" s="151"/>
      <c r="K572" s="151"/>
      <c r="L572" s="151"/>
      <c r="M572" s="151"/>
      <c r="N572" s="151"/>
      <c r="O572" s="151"/>
      <c r="P572" s="151"/>
      <c r="Q572" s="151"/>
      <c r="R572" s="151"/>
      <c r="S572" s="151"/>
      <c r="T572" s="151"/>
      <c r="U572" s="151"/>
      <c r="V572" s="151"/>
      <c r="W572" s="151"/>
      <c r="X572" s="151"/>
      <c r="Y572" s="151"/>
      <c r="Z572" s="151"/>
    </row>
    <row r="573" customFormat="false" ht="12.75" hidden="false" customHeight="true" outlineLevel="0" collapsed="false">
      <c r="A573" s="151"/>
      <c r="C573" s="151"/>
      <c r="D573" s="151"/>
      <c r="E573" s="151"/>
      <c r="F573" s="151"/>
      <c r="G573" s="151"/>
      <c r="H573" s="151"/>
      <c r="I573" s="151"/>
      <c r="J573" s="151"/>
      <c r="K573" s="151"/>
      <c r="L573" s="151"/>
      <c r="M573" s="151"/>
      <c r="N573" s="151"/>
      <c r="O573" s="151"/>
      <c r="P573" s="151"/>
      <c r="Q573" s="151"/>
      <c r="R573" s="151"/>
      <c r="S573" s="151"/>
      <c r="T573" s="151"/>
      <c r="U573" s="151"/>
      <c r="V573" s="151"/>
      <c r="W573" s="151"/>
      <c r="X573" s="151"/>
      <c r="Y573" s="151"/>
      <c r="Z573" s="151"/>
    </row>
    <row r="574" customFormat="false" ht="12.75" hidden="false" customHeight="true" outlineLevel="0" collapsed="false">
      <c r="A574" s="151"/>
      <c r="C574" s="151"/>
      <c r="D574" s="151"/>
      <c r="E574" s="151"/>
      <c r="F574" s="151"/>
      <c r="G574" s="151"/>
      <c r="H574" s="151"/>
      <c r="I574" s="151"/>
      <c r="J574" s="151"/>
      <c r="K574" s="151"/>
      <c r="L574" s="151"/>
      <c r="M574" s="151"/>
      <c r="N574" s="151"/>
      <c r="O574" s="151"/>
      <c r="P574" s="151"/>
      <c r="Q574" s="151"/>
      <c r="R574" s="151"/>
      <c r="S574" s="151"/>
      <c r="T574" s="151"/>
      <c r="U574" s="151"/>
      <c r="V574" s="151"/>
      <c r="W574" s="151"/>
      <c r="X574" s="151"/>
      <c r="Y574" s="151"/>
      <c r="Z574" s="151"/>
    </row>
    <row r="575" customFormat="false" ht="12.75" hidden="false" customHeight="true" outlineLevel="0" collapsed="false">
      <c r="A575" s="151"/>
      <c r="C575" s="151"/>
      <c r="D575" s="151"/>
      <c r="E575" s="151"/>
      <c r="F575" s="151"/>
      <c r="G575" s="151"/>
      <c r="H575" s="151"/>
      <c r="I575" s="151"/>
      <c r="J575" s="151"/>
      <c r="K575" s="151"/>
      <c r="L575" s="151"/>
      <c r="M575" s="151"/>
      <c r="N575" s="151"/>
      <c r="O575" s="151"/>
      <c r="P575" s="151"/>
      <c r="Q575" s="151"/>
      <c r="R575" s="151"/>
      <c r="S575" s="151"/>
      <c r="T575" s="151"/>
      <c r="U575" s="151"/>
      <c r="V575" s="151"/>
      <c r="W575" s="151"/>
      <c r="X575" s="151"/>
      <c r="Y575" s="151"/>
      <c r="Z575" s="151"/>
    </row>
    <row r="576" customFormat="false" ht="12.75" hidden="false" customHeight="true" outlineLevel="0" collapsed="false">
      <c r="A576" s="151"/>
      <c r="C576" s="151"/>
      <c r="D576" s="151"/>
      <c r="E576" s="151"/>
      <c r="F576" s="151"/>
      <c r="G576" s="151"/>
      <c r="H576" s="151"/>
      <c r="I576" s="151"/>
      <c r="J576" s="151"/>
      <c r="K576" s="151"/>
      <c r="L576" s="151"/>
      <c r="M576" s="151"/>
      <c r="N576" s="151"/>
      <c r="O576" s="151"/>
      <c r="P576" s="151"/>
      <c r="Q576" s="151"/>
      <c r="R576" s="151"/>
      <c r="S576" s="151"/>
      <c r="T576" s="151"/>
      <c r="U576" s="151"/>
      <c r="V576" s="151"/>
      <c r="W576" s="151"/>
      <c r="X576" s="151"/>
      <c r="Y576" s="151"/>
      <c r="Z576" s="151"/>
    </row>
    <row r="577" customFormat="false" ht="12.75" hidden="false" customHeight="true" outlineLevel="0" collapsed="false">
      <c r="A577" s="151"/>
      <c r="C577" s="151"/>
      <c r="D577" s="151"/>
      <c r="E577" s="151"/>
      <c r="F577" s="151"/>
      <c r="G577" s="151"/>
      <c r="H577" s="151"/>
      <c r="I577" s="151"/>
      <c r="J577" s="151"/>
      <c r="K577" s="151"/>
      <c r="L577" s="151"/>
      <c r="M577" s="151"/>
      <c r="N577" s="151"/>
      <c r="O577" s="151"/>
      <c r="P577" s="151"/>
      <c r="Q577" s="151"/>
      <c r="R577" s="151"/>
      <c r="S577" s="151"/>
      <c r="T577" s="151"/>
      <c r="U577" s="151"/>
      <c r="V577" s="151"/>
      <c r="W577" s="151"/>
      <c r="X577" s="151"/>
      <c r="Y577" s="151"/>
      <c r="Z577" s="151"/>
    </row>
    <row r="578" customFormat="false" ht="12.75" hidden="false" customHeight="true" outlineLevel="0" collapsed="false">
      <c r="A578" s="151"/>
      <c r="C578" s="151"/>
      <c r="D578" s="151"/>
      <c r="E578" s="151"/>
      <c r="F578" s="151"/>
      <c r="G578" s="151"/>
      <c r="H578" s="151"/>
      <c r="I578" s="151"/>
      <c r="J578" s="151"/>
      <c r="K578" s="151"/>
      <c r="L578" s="151"/>
      <c r="M578" s="151"/>
      <c r="N578" s="151"/>
      <c r="O578" s="151"/>
      <c r="P578" s="151"/>
      <c r="Q578" s="151"/>
      <c r="R578" s="151"/>
      <c r="S578" s="151"/>
      <c r="T578" s="151"/>
      <c r="U578" s="151"/>
      <c r="V578" s="151"/>
      <c r="W578" s="151"/>
      <c r="X578" s="151"/>
      <c r="Y578" s="151"/>
      <c r="Z578" s="151"/>
    </row>
    <row r="579" customFormat="false" ht="12.75" hidden="false" customHeight="true" outlineLevel="0" collapsed="false">
      <c r="A579" s="151"/>
      <c r="C579" s="151"/>
      <c r="D579" s="151"/>
      <c r="E579" s="151"/>
      <c r="F579" s="151"/>
      <c r="G579" s="151"/>
      <c r="H579" s="151"/>
      <c r="I579" s="151"/>
      <c r="J579" s="151"/>
      <c r="K579" s="151"/>
      <c r="L579" s="151"/>
      <c r="M579" s="151"/>
      <c r="N579" s="151"/>
      <c r="O579" s="151"/>
      <c r="P579" s="151"/>
      <c r="Q579" s="151"/>
      <c r="R579" s="151"/>
      <c r="S579" s="151"/>
      <c r="T579" s="151"/>
      <c r="U579" s="151"/>
      <c r="V579" s="151"/>
      <c r="W579" s="151"/>
      <c r="X579" s="151"/>
      <c r="Y579" s="151"/>
      <c r="Z579" s="151"/>
    </row>
    <row r="580" customFormat="false" ht="12.75" hidden="false" customHeight="true" outlineLevel="0" collapsed="false">
      <c r="A580" s="151"/>
      <c r="C580" s="151"/>
      <c r="D580" s="151"/>
      <c r="E580" s="151"/>
      <c r="F580" s="151"/>
      <c r="G580" s="151"/>
      <c r="H580" s="151"/>
      <c r="I580" s="151"/>
      <c r="J580" s="151"/>
      <c r="K580" s="151"/>
      <c r="L580" s="151"/>
      <c r="M580" s="151"/>
      <c r="N580" s="151"/>
      <c r="O580" s="151"/>
      <c r="P580" s="151"/>
      <c r="Q580" s="151"/>
      <c r="R580" s="151"/>
      <c r="S580" s="151"/>
      <c r="T580" s="151"/>
      <c r="U580" s="151"/>
      <c r="V580" s="151"/>
      <c r="W580" s="151"/>
      <c r="X580" s="151"/>
      <c r="Y580" s="151"/>
      <c r="Z580" s="151"/>
    </row>
    <row r="581" customFormat="false" ht="12.75" hidden="false" customHeight="true" outlineLevel="0" collapsed="false">
      <c r="A581" s="151"/>
      <c r="C581" s="151"/>
      <c r="D581" s="151"/>
      <c r="E581" s="151"/>
      <c r="F581" s="151"/>
      <c r="G581" s="151"/>
      <c r="H581" s="151"/>
      <c r="I581" s="151"/>
      <c r="J581" s="151"/>
      <c r="K581" s="151"/>
      <c r="L581" s="151"/>
      <c r="M581" s="151"/>
      <c r="N581" s="151"/>
      <c r="O581" s="151"/>
      <c r="P581" s="151"/>
      <c r="Q581" s="151"/>
      <c r="R581" s="151"/>
      <c r="S581" s="151"/>
      <c r="T581" s="151"/>
      <c r="U581" s="151"/>
      <c r="V581" s="151"/>
      <c r="W581" s="151"/>
      <c r="X581" s="151"/>
      <c r="Y581" s="151"/>
      <c r="Z581" s="151"/>
    </row>
    <row r="582" customFormat="false" ht="12.75" hidden="false" customHeight="true" outlineLevel="0" collapsed="false">
      <c r="A582" s="151"/>
      <c r="C582" s="151"/>
      <c r="D582" s="151"/>
      <c r="E582" s="151"/>
      <c r="F582" s="151"/>
      <c r="G582" s="151"/>
      <c r="H582" s="151"/>
      <c r="I582" s="151"/>
      <c r="J582" s="151"/>
      <c r="K582" s="151"/>
      <c r="L582" s="151"/>
      <c r="M582" s="151"/>
      <c r="N582" s="151"/>
      <c r="O582" s="151"/>
      <c r="P582" s="151"/>
      <c r="Q582" s="151"/>
      <c r="R582" s="151"/>
      <c r="S582" s="151"/>
      <c r="T582" s="151"/>
      <c r="U582" s="151"/>
      <c r="V582" s="151"/>
      <c r="W582" s="151"/>
      <c r="X582" s="151"/>
      <c r="Y582" s="151"/>
      <c r="Z582" s="151"/>
    </row>
    <row r="583" customFormat="false" ht="12.75" hidden="false" customHeight="true" outlineLevel="0" collapsed="false">
      <c r="A583" s="151"/>
      <c r="C583" s="151"/>
      <c r="D583" s="151"/>
      <c r="E583" s="151"/>
      <c r="F583" s="151"/>
      <c r="G583" s="151"/>
      <c r="H583" s="151"/>
      <c r="I583" s="151"/>
      <c r="J583" s="151"/>
      <c r="K583" s="151"/>
      <c r="L583" s="151"/>
      <c r="M583" s="151"/>
      <c r="N583" s="151"/>
      <c r="O583" s="151"/>
      <c r="P583" s="151"/>
      <c r="Q583" s="151"/>
      <c r="R583" s="151"/>
      <c r="S583" s="151"/>
      <c r="T583" s="151"/>
      <c r="U583" s="151"/>
      <c r="V583" s="151"/>
      <c r="W583" s="151"/>
      <c r="X583" s="151"/>
      <c r="Y583" s="151"/>
      <c r="Z583" s="151"/>
    </row>
    <row r="584" customFormat="false" ht="12.75" hidden="false" customHeight="true" outlineLevel="0" collapsed="false">
      <c r="A584" s="151"/>
      <c r="C584" s="151"/>
      <c r="D584" s="151"/>
      <c r="E584" s="151"/>
      <c r="F584" s="151"/>
      <c r="G584" s="151"/>
      <c r="H584" s="151"/>
      <c r="I584" s="151"/>
      <c r="J584" s="151"/>
      <c r="K584" s="151"/>
      <c r="L584" s="151"/>
      <c r="M584" s="151"/>
      <c r="N584" s="151"/>
      <c r="O584" s="151"/>
      <c r="P584" s="151"/>
      <c r="Q584" s="151"/>
      <c r="R584" s="151"/>
      <c r="S584" s="151"/>
      <c r="T584" s="151"/>
      <c r="U584" s="151"/>
      <c r="V584" s="151"/>
      <c r="W584" s="151"/>
      <c r="X584" s="151"/>
      <c r="Y584" s="151"/>
      <c r="Z584" s="151"/>
    </row>
    <row r="585" customFormat="false" ht="12.75" hidden="false" customHeight="true" outlineLevel="0" collapsed="false">
      <c r="A585" s="151"/>
      <c r="C585" s="151"/>
      <c r="D585" s="151"/>
      <c r="E585" s="151"/>
      <c r="F585" s="151"/>
      <c r="G585" s="151"/>
      <c r="H585" s="151"/>
      <c r="I585" s="151"/>
      <c r="J585" s="151"/>
      <c r="K585" s="151"/>
      <c r="L585" s="151"/>
      <c r="M585" s="151"/>
      <c r="N585" s="151"/>
      <c r="O585" s="151"/>
      <c r="P585" s="151"/>
      <c r="Q585" s="151"/>
      <c r="R585" s="151"/>
      <c r="S585" s="151"/>
      <c r="T585" s="151"/>
      <c r="U585" s="151"/>
      <c r="V585" s="151"/>
      <c r="W585" s="151"/>
      <c r="X585" s="151"/>
      <c r="Y585" s="151"/>
      <c r="Z585" s="151"/>
    </row>
    <row r="586" customFormat="false" ht="12.75" hidden="false" customHeight="true" outlineLevel="0" collapsed="false">
      <c r="A586" s="151"/>
      <c r="C586" s="151"/>
      <c r="D586" s="151"/>
      <c r="E586" s="151"/>
      <c r="F586" s="151"/>
      <c r="G586" s="151"/>
      <c r="H586" s="151"/>
      <c r="I586" s="151"/>
      <c r="J586" s="151"/>
      <c r="K586" s="151"/>
      <c r="L586" s="151"/>
      <c r="M586" s="151"/>
      <c r="N586" s="151"/>
      <c r="O586" s="151"/>
      <c r="P586" s="151"/>
      <c r="Q586" s="151"/>
      <c r="R586" s="151"/>
      <c r="S586" s="151"/>
      <c r="T586" s="151"/>
      <c r="U586" s="151"/>
      <c r="V586" s="151"/>
      <c r="W586" s="151"/>
      <c r="X586" s="151"/>
      <c r="Y586" s="151"/>
      <c r="Z586" s="151"/>
    </row>
    <row r="587" customFormat="false" ht="12.75" hidden="false" customHeight="true" outlineLevel="0" collapsed="false">
      <c r="A587" s="151"/>
      <c r="C587" s="151"/>
      <c r="D587" s="151"/>
      <c r="E587" s="151"/>
      <c r="F587" s="151"/>
      <c r="G587" s="151"/>
      <c r="H587" s="151"/>
      <c r="I587" s="151"/>
      <c r="J587" s="151"/>
      <c r="K587" s="151"/>
      <c r="L587" s="151"/>
      <c r="M587" s="151"/>
      <c r="N587" s="151"/>
      <c r="O587" s="151"/>
      <c r="P587" s="151"/>
      <c r="Q587" s="151"/>
      <c r="R587" s="151"/>
      <c r="S587" s="151"/>
      <c r="T587" s="151"/>
      <c r="U587" s="151"/>
      <c r="V587" s="151"/>
      <c r="W587" s="151"/>
      <c r="X587" s="151"/>
      <c r="Y587" s="151"/>
      <c r="Z587" s="151"/>
    </row>
    <row r="588" customFormat="false" ht="12.75" hidden="false" customHeight="true" outlineLevel="0" collapsed="false">
      <c r="A588" s="151"/>
      <c r="C588" s="151"/>
      <c r="D588" s="151"/>
      <c r="E588" s="151"/>
      <c r="F588" s="151"/>
      <c r="G588" s="151"/>
      <c r="H588" s="151"/>
      <c r="I588" s="151"/>
      <c r="J588" s="151"/>
      <c r="K588" s="151"/>
      <c r="L588" s="151"/>
      <c r="M588" s="151"/>
      <c r="N588" s="151"/>
      <c r="O588" s="151"/>
      <c r="P588" s="151"/>
      <c r="Q588" s="151"/>
      <c r="R588" s="151"/>
      <c r="S588" s="151"/>
      <c r="T588" s="151"/>
      <c r="U588" s="151"/>
      <c r="V588" s="151"/>
      <c r="W588" s="151"/>
      <c r="X588" s="151"/>
      <c r="Y588" s="151"/>
      <c r="Z588" s="151"/>
    </row>
    <row r="589" customFormat="false" ht="12.75" hidden="false" customHeight="true" outlineLevel="0" collapsed="false">
      <c r="A589" s="151"/>
      <c r="C589" s="151"/>
      <c r="D589" s="151"/>
      <c r="E589" s="151"/>
      <c r="F589" s="151"/>
      <c r="G589" s="151"/>
      <c r="H589" s="151"/>
      <c r="I589" s="151"/>
      <c r="J589" s="151"/>
      <c r="K589" s="151"/>
      <c r="L589" s="151"/>
      <c r="M589" s="151"/>
      <c r="N589" s="151"/>
      <c r="O589" s="151"/>
      <c r="P589" s="151"/>
      <c r="Q589" s="151"/>
      <c r="R589" s="151"/>
      <c r="S589" s="151"/>
      <c r="T589" s="151"/>
      <c r="U589" s="151"/>
      <c r="V589" s="151"/>
      <c r="W589" s="151"/>
      <c r="X589" s="151"/>
      <c r="Y589" s="151"/>
      <c r="Z589" s="151"/>
    </row>
    <row r="590" customFormat="false" ht="12.75" hidden="false" customHeight="true" outlineLevel="0" collapsed="false">
      <c r="A590" s="151"/>
      <c r="C590" s="151"/>
      <c r="D590" s="151"/>
      <c r="E590" s="151"/>
      <c r="F590" s="151"/>
      <c r="G590" s="151"/>
      <c r="H590" s="151"/>
      <c r="I590" s="151"/>
      <c r="J590" s="151"/>
      <c r="K590" s="151"/>
      <c r="L590" s="151"/>
      <c r="M590" s="151"/>
      <c r="N590" s="151"/>
      <c r="O590" s="151"/>
      <c r="P590" s="151"/>
      <c r="Q590" s="151"/>
      <c r="R590" s="151"/>
      <c r="S590" s="151"/>
      <c r="T590" s="151"/>
      <c r="U590" s="151"/>
      <c r="V590" s="151"/>
      <c r="W590" s="151"/>
      <c r="X590" s="151"/>
      <c r="Y590" s="151"/>
      <c r="Z590" s="151"/>
    </row>
    <row r="591" customFormat="false" ht="12.75" hidden="false" customHeight="true" outlineLevel="0" collapsed="false">
      <c r="A591" s="151"/>
      <c r="C591" s="151"/>
      <c r="D591" s="151"/>
      <c r="E591" s="151"/>
      <c r="F591" s="151"/>
      <c r="G591" s="151"/>
      <c r="H591" s="151"/>
      <c r="I591" s="151"/>
      <c r="J591" s="151"/>
      <c r="K591" s="151"/>
      <c r="L591" s="151"/>
      <c r="M591" s="151"/>
      <c r="N591" s="151"/>
      <c r="O591" s="151"/>
      <c r="P591" s="151"/>
      <c r="Q591" s="151"/>
      <c r="R591" s="151"/>
      <c r="S591" s="151"/>
      <c r="T591" s="151"/>
      <c r="U591" s="151"/>
      <c r="V591" s="151"/>
      <c r="W591" s="151"/>
      <c r="X591" s="151"/>
      <c r="Y591" s="151"/>
      <c r="Z591" s="151"/>
    </row>
    <row r="592" customFormat="false" ht="12.75" hidden="false" customHeight="true" outlineLevel="0" collapsed="false">
      <c r="A592" s="151"/>
      <c r="C592" s="151"/>
      <c r="D592" s="151"/>
      <c r="E592" s="151"/>
      <c r="F592" s="151"/>
      <c r="G592" s="151"/>
      <c r="H592" s="151"/>
      <c r="I592" s="151"/>
      <c r="J592" s="151"/>
      <c r="K592" s="151"/>
      <c r="L592" s="151"/>
      <c r="M592" s="151"/>
      <c r="N592" s="151"/>
      <c r="O592" s="151"/>
      <c r="P592" s="151"/>
      <c r="Q592" s="151"/>
      <c r="R592" s="151"/>
      <c r="S592" s="151"/>
      <c r="T592" s="151"/>
      <c r="U592" s="151"/>
      <c r="V592" s="151"/>
      <c r="W592" s="151"/>
      <c r="X592" s="151"/>
      <c r="Y592" s="151"/>
      <c r="Z592" s="151"/>
    </row>
    <row r="593" customFormat="false" ht="12.75" hidden="false" customHeight="true" outlineLevel="0" collapsed="false">
      <c r="A593" s="151"/>
      <c r="C593" s="151"/>
      <c r="D593" s="151"/>
      <c r="E593" s="151"/>
      <c r="F593" s="151"/>
      <c r="G593" s="151"/>
      <c r="H593" s="151"/>
      <c r="I593" s="151"/>
      <c r="J593" s="151"/>
      <c r="K593" s="151"/>
      <c r="L593" s="151"/>
      <c r="M593" s="151"/>
      <c r="N593" s="151"/>
      <c r="O593" s="151"/>
      <c r="P593" s="151"/>
      <c r="Q593" s="151"/>
      <c r="R593" s="151"/>
      <c r="S593" s="151"/>
      <c r="T593" s="151"/>
      <c r="U593" s="151"/>
      <c r="V593" s="151"/>
      <c r="W593" s="151"/>
      <c r="X593" s="151"/>
      <c r="Y593" s="151"/>
      <c r="Z593" s="151"/>
    </row>
    <row r="594" customFormat="false" ht="12.75" hidden="false" customHeight="true" outlineLevel="0" collapsed="false">
      <c r="A594" s="151"/>
      <c r="C594" s="151"/>
      <c r="D594" s="151"/>
      <c r="E594" s="151"/>
      <c r="F594" s="151"/>
      <c r="G594" s="151"/>
      <c r="H594" s="151"/>
      <c r="I594" s="151"/>
      <c r="J594" s="151"/>
      <c r="K594" s="151"/>
      <c r="L594" s="151"/>
      <c r="M594" s="151"/>
      <c r="N594" s="151"/>
      <c r="O594" s="151"/>
      <c r="P594" s="151"/>
      <c r="Q594" s="151"/>
      <c r="R594" s="151"/>
      <c r="S594" s="151"/>
      <c r="T594" s="151"/>
      <c r="U594" s="151"/>
      <c r="V594" s="151"/>
      <c r="W594" s="151"/>
      <c r="X594" s="151"/>
      <c r="Y594" s="151"/>
      <c r="Z594" s="151"/>
    </row>
    <row r="595" customFormat="false" ht="12.75" hidden="false" customHeight="true" outlineLevel="0" collapsed="false">
      <c r="A595" s="151"/>
      <c r="C595" s="151"/>
      <c r="D595" s="151"/>
      <c r="E595" s="151"/>
      <c r="F595" s="151"/>
      <c r="G595" s="151"/>
      <c r="H595" s="151"/>
      <c r="I595" s="151"/>
      <c r="J595" s="151"/>
      <c r="K595" s="151"/>
      <c r="L595" s="151"/>
      <c r="M595" s="151"/>
      <c r="N595" s="151"/>
      <c r="O595" s="151"/>
      <c r="P595" s="151"/>
      <c r="Q595" s="151"/>
      <c r="R595" s="151"/>
      <c r="S595" s="151"/>
      <c r="T595" s="151"/>
      <c r="U595" s="151"/>
      <c r="V595" s="151"/>
      <c r="W595" s="151"/>
      <c r="X595" s="151"/>
      <c r="Y595" s="151"/>
      <c r="Z595" s="151"/>
    </row>
    <row r="596" customFormat="false" ht="12.75" hidden="false" customHeight="true" outlineLevel="0" collapsed="false">
      <c r="A596" s="151"/>
      <c r="C596" s="151"/>
      <c r="D596" s="151"/>
      <c r="E596" s="151"/>
      <c r="F596" s="151"/>
      <c r="G596" s="151"/>
      <c r="H596" s="151"/>
      <c r="I596" s="151"/>
      <c r="J596" s="151"/>
      <c r="K596" s="151"/>
      <c r="L596" s="151"/>
      <c r="M596" s="151"/>
      <c r="N596" s="151"/>
      <c r="O596" s="151"/>
      <c r="P596" s="151"/>
      <c r="Q596" s="151"/>
      <c r="R596" s="151"/>
      <c r="S596" s="151"/>
      <c r="T596" s="151"/>
      <c r="U596" s="151"/>
      <c r="V596" s="151"/>
      <c r="W596" s="151"/>
      <c r="X596" s="151"/>
      <c r="Y596" s="151"/>
      <c r="Z596" s="151"/>
    </row>
    <row r="597" customFormat="false" ht="12.75" hidden="false" customHeight="true" outlineLevel="0" collapsed="false">
      <c r="A597" s="151"/>
      <c r="C597" s="151"/>
      <c r="D597" s="151"/>
      <c r="E597" s="151"/>
      <c r="F597" s="151"/>
      <c r="G597" s="151"/>
      <c r="H597" s="151"/>
      <c r="I597" s="151"/>
      <c r="J597" s="151"/>
      <c r="K597" s="151"/>
      <c r="L597" s="151"/>
      <c r="M597" s="151"/>
      <c r="N597" s="151"/>
      <c r="O597" s="151"/>
      <c r="P597" s="151"/>
      <c r="Q597" s="151"/>
      <c r="R597" s="151"/>
      <c r="S597" s="151"/>
      <c r="T597" s="151"/>
      <c r="U597" s="151"/>
      <c r="V597" s="151"/>
      <c r="W597" s="151"/>
      <c r="X597" s="151"/>
      <c r="Y597" s="151"/>
      <c r="Z597" s="151"/>
    </row>
    <row r="598" customFormat="false" ht="12.75" hidden="false" customHeight="true" outlineLevel="0" collapsed="false">
      <c r="A598" s="151"/>
      <c r="C598" s="151"/>
      <c r="D598" s="151"/>
      <c r="E598" s="151"/>
      <c r="F598" s="151"/>
      <c r="G598" s="151"/>
      <c r="H598" s="151"/>
      <c r="I598" s="151"/>
      <c r="J598" s="151"/>
      <c r="K598" s="151"/>
      <c r="L598" s="151"/>
      <c r="M598" s="151"/>
      <c r="N598" s="151"/>
      <c r="O598" s="151"/>
      <c r="P598" s="151"/>
      <c r="Q598" s="151"/>
      <c r="R598" s="151"/>
      <c r="S598" s="151"/>
      <c r="T598" s="151"/>
      <c r="U598" s="151"/>
      <c r="V598" s="151"/>
      <c r="W598" s="151"/>
      <c r="X598" s="151"/>
      <c r="Y598" s="151"/>
      <c r="Z598" s="151"/>
    </row>
    <row r="599" customFormat="false" ht="12.75" hidden="false" customHeight="true" outlineLevel="0" collapsed="false">
      <c r="A599" s="151"/>
      <c r="C599" s="151"/>
      <c r="D599" s="151"/>
      <c r="E599" s="151"/>
      <c r="F599" s="151"/>
      <c r="G599" s="151"/>
      <c r="H599" s="151"/>
      <c r="I599" s="151"/>
      <c r="J599" s="151"/>
      <c r="K599" s="151"/>
      <c r="L599" s="151"/>
      <c r="M599" s="151"/>
      <c r="N599" s="151"/>
      <c r="O599" s="151"/>
      <c r="P599" s="151"/>
      <c r="Q599" s="151"/>
      <c r="R599" s="151"/>
      <c r="S599" s="151"/>
      <c r="T599" s="151"/>
      <c r="U599" s="151"/>
      <c r="V599" s="151"/>
      <c r="W599" s="151"/>
      <c r="X599" s="151"/>
      <c r="Y599" s="151"/>
      <c r="Z599" s="151"/>
    </row>
    <row r="600" customFormat="false" ht="12.75" hidden="false" customHeight="true" outlineLevel="0" collapsed="false">
      <c r="A600" s="151"/>
      <c r="C600" s="151"/>
      <c r="D600" s="151"/>
      <c r="E600" s="151"/>
      <c r="F600" s="151"/>
      <c r="G600" s="151"/>
      <c r="H600" s="151"/>
      <c r="I600" s="151"/>
      <c r="J600" s="151"/>
      <c r="K600" s="151"/>
      <c r="L600" s="151"/>
      <c r="M600" s="151"/>
      <c r="N600" s="151"/>
      <c r="O600" s="151"/>
      <c r="P600" s="151"/>
      <c r="Q600" s="151"/>
      <c r="R600" s="151"/>
      <c r="S600" s="151"/>
      <c r="T600" s="151"/>
      <c r="U600" s="151"/>
      <c r="V600" s="151"/>
      <c r="W600" s="151"/>
      <c r="X600" s="151"/>
      <c r="Y600" s="151"/>
      <c r="Z600" s="151"/>
    </row>
    <row r="601" customFormat="false" ht="12.75" hidden="false" customHeight="true" outlineLevel="0" collapsed="false">
      <c r="A601" s="151"/>
      <c r="C601" s="151"/>
      <c r="D601" s="151"/>
      <c r="E601" s="151"/>
      <c r="F601" s="151"/>
      <c r="G601" s="151"/>
      <c r="H601" s="151"/>
      <c r="I601" s="151"/>
      <c r="J601" s="151"/>
      <c r="K601" s="151"/>
      <c r="L601" s="151"/>
      <c r="M601" s="151"/>
      <c r="N601" s="151"/>
      <c r="O601" s="151"/>
      <c r="P601" s="151"/>
      <c r="Q601" s="151"/>
      <c r="R601" s="151"/>
      <c r="S601" s="151"/>
      <c r="T601" s="151"/>
      <c r="U601" s="151"/>
      <c r="V601" s="151"/>
      <c r="W601" s="151"/>
      <c r="X601" s="151"/>
      <c r="Y601" s="151"/>
      <c r="Z601" s="151"/>
    </row>
    <row r="602" customFormat="false" ht="12.75" hidden="false" customHeight="true" outlineLevel="0" collapsed="false">
      <c r="A602" s="151"/>
      <c r="C602" s="151"/>
      <c r="D602" s="151"/>
      <c r="E602" s="151"/>
      <c r="F602" s="151"/>
      <c r="G602" s="151"/>
      <c r="H602" s="151"/>
      <c r="I602" s="151"/>
      <c r="J602" s="151"/>
      <c r="K602" s="151"/>
      <c r="L602" s="151"/>
      <c r="M602" s="151"/>
      <c r="N602" s="151"/>
      <c r="O602" s="151"/>
      <c r="P602" s="151"/>
      <c r="Q602" s="151"/>
      <c r="R602" s="151"/>
      <c r="S602" s="151"/>
      <c r="T602" s="151"/>
      <c r="U602" s="151"/>
      <c r="V602" s="151"/>
      <c r="W602" s="151"/>
      <c r="X602" s="151"/>
      <c r="Y602" s="151"/>
      <c r="Z602" s="151"/>
    </row>
    <row r="603" customFormat="false" ht="12.75" hidden="false" customHeight="true" outlineLevel="0" collapsed="false">
      <c r="A603" s="151"/>
      <c r="C603" s="151"/>
      <c r="D603" s="151"/>
      <c r="E603" s="151"/>
      <c r="F603" s="151"/>
      <c r="G603" s="151"/>
      <c r="H603" s="151"/>
      <c r="I603" s="151"/>
      <c r="J603" s="151"/>
      <c r="K603" s="151"/>
      <c r="L603" s="151"/>
      <c r="M603" s="151"/>
      <c r="N603" s="151"/>
      <c r="O603" s="151"/>
      <c r="P603" s="151"/>
      <c r="Q603" s="151"/>
      <c r="R603" s="151"/>
      <c r="S603" s="151"/>
      <c r="T603" s="151"/>
      <c r="U603" s="151"/>
      <c r="V603" s="151"/>
      <c r="W603" s="151"/>
      <c r="X603" s="151"/>
      <c r="Y603" s="151"/>
      <c r="Z603" s="151"/>
    </row>
    <row r="604" customFormat="false" ht="12.75" hidden="false" customHeight="true" outlineLevel="0" collapsed="false">
      <c r="A604" s="151"/>
      <c r="C604" s="151"/>
      <c r="D604" s="151"/>
      <c r="E604" s="151"/>
      <c r="F604" s="151"/>
      <c r="G604" s="151"/>
      <c r="H604" s="151"/>
      <c r="I604" s="151"/>
      <c r="J604" s="151"/>
      <c r="K604" s="151"/>
      <c r="L604" s="151"/>
      <c r="M604" s="151"/>
      <c r="N604" s="151"/>
      <c r="O604" s="151"/>
      <c r="P604" s="151"/>
      <c r="Q604" s="151"/>
      <c r="R604" s="151"/>
      <c r="S604" s="151"/>
      <c r="T604" s="151"/>
      <c r="U604" s="151"/>
      <c r="V604" s="151"/>
      <c r="W604" s="151"/>
      <c r="X604" s="151"/>
      <c r="Y604" s="151"/>
      <c r="Z604" s="151"/>
    </row>
    <row r="605" customFormat="false" ht="12.75" hidden="false" customHeight="true" outlineLevel="0" collapsed="false">
      <c r="A605" s="151"/>
      <c r="C605" s="151"/>
      <c r="D605" s="151"/>
      <c r="E605" s="151"/>
      <c r="F605" s="151"/>
      <c r="G605" s="151"/>
      <c r="H605" s="151"/>
      <c r="I605" s="151"/>
      <c r="J605" s="151"/>
      <c r="K605" s="151"/>
      <c r="L605" s="151"/>
      <c r="M605" s="151"/>
      <c r="N605" s="151"/>
      <c r="O605" s="151"/>
      <c r="P605" s="151"/>
      <c r="Q605" s="151"/>
      <c r="R605" s="151"/>
      <c r="S605" s="151"/>
      <c r="T605" s="151"/>
      <c r="U605" s="151"/>
      <c r="V605" s="151"/>
      <c r="W605" s="151"/>
      <c r="X605" s="151"/>
      <c r="Y605" s="151"/>
      <c r="Z605" s="151"/>
    </row>
    <row r="606" customFormat="false" ht="12.75" hidden="false" customHeight="true" outlineLevel="0" collapsed="false">
      <c r="A606" s="151"/>
      <c r="C606" s="151"/>
      <c r="D606" s="151"/>
      <c r="E606" s="151"/>
      <c r="F606" s="151"/>
      <c r="G606" s="151"/>
      <c r="H606" s="151"/>
      <c r="I606" s="151"/>
      <c r="J606" s="151"/>
      <c r="K606" s="151"/>
      <c r="L606" s="151"/>
      <c r="M606" s="151"/>
      <c r="N606" s="151"/>
      <c r="O606" s="151"/>
      <c r="P606" s="151"/>
      <c r="Q606" s="151"/>
      <c r="R606" s="151"/>
      <c r="S606" s="151"/>
      <c r="T606" s="151"/>
      <c r="U606" s="151"/>
      <c r="V606" s="151"/>
      <c r="W606" s="151"/>
      <c r="X606" s="151"/>
      <c r="Y606" s="151"/>
      <c r="Z606" s="151"/>
    </row>
    <row r="607" customFormat="false" ht="12.75" hidden="false" customHeight="true" outlineLevel="0" collapsed="false">
      <c r="A607" s="151"/>
      <c r="C607" s="151"/>
      <c r="D607" s="151"/>
      <c r="E607" s="151"/>
      <c r="F607" s="151"/>
      <c r="G607" s="151"/>
      <c r="H607" s="151"/>
      <c r="I607" s="151"/>
      <c r="J607" s="151"/>
      <c r="K607" s="151"/>
      <c r="L607" s="151"/>
      <c r="M607" s="151"/>
      <c r="N607" s="151"/>
      <c r="O607" s="151"/>
      <c r="P607" s="151"/>
      <c r="Q607" s="151"/>
      <c r="R607" s="151"/>
      <c r="S607" s="151"/>
      <c r="T607" s="151"/>
      <c r="U607" s="151"/>
      <c r="V607" s="151"/>
      <c r="W607" s="151"/>
      <c r="X607" s="151"/>
      <c r="Y607" s="151"/>
      <c r="Z607" s="151"/>
    </row>
    <row r="608" customFormat="false" ht="12.75" hidden="false" customHeight="true" outlineLevel="0" collapsed="false">
      <c r="A608" s="151"/>
      <c r="C608" s="151"/>
      <c r="D608" s="151"/>
      <c r="E608" s="151"/>
      <c r="F608" s="151"/>
      <c r="G608" s="151"/>
      <c r="H608" s="151"/>
      <c r="I608" s="151"/>
      <c r="J608" s="151"/>
      <c r="K608" s="151"/>
      <c r="L608" s="151"/>
      <c r="M608" s="151"/>
      <c r="N608" s="151"/>
      <c r="O608" s="151"/>
      <c r="P608" s="151"/>
      <c r="Q608" s="151"/>
      <c r="R608" s="151"/>
      <c r="S608" s="151"/>
      <c r="T608" s="151"/>
      <c r="U608" s="151"/>
      <c r="V608" s="151"/>
      <c r="W608" s="151"/>
      <c r="X608" s="151"/>
      <c r="Y608" s="151"/>
      <c r="Z608" s="151"/>
    </row>
    <row r="609" customFormat="false" ht="12.75" hidden="false" customHeight="true" outlineLevel="0" collapsed="false">
      <c r="A609" s="151"/>
      <c r="C609" s="151"/>
      <c r="D609" s="151"/>
      <c r="E609" s="151"/>
      <c r="F609" s="151"/>
      <c r="G609" s="151"/>
      <c r="H609" s="151"/>
      <c r="I609" s="151"/>
      <c r="J609" s="151"/>
      <c r="K609" s="151"/>
      <c r="L609" s="151"/>
      <c r="M609" s="151"/>
      <c r="N609" s="151"/>
      <c r="O609" s="151"/>
      <c r="P609" s="151"/>
      <c r="Q609" s="151"/>
      <c r="R609" s="151"/>
      <c r="S609" s="151"/>
      <c r="T609" s="151"/>
      <c r="U609" s="151"/>
      <c r="V609" s="151"/>
      <c r="W609" s="151"/>
      <c r="X609" s="151"/>
      <c r="Y609" s="151"/>
      <c r="Z609" s="151"/>
    </row>
    <row r="610" customFormat="false" ht="12.75" hidden="false" customHeight="true" outlineLevel="0" collapsed="false">
      <c r="A610" s="151"/>
      <c r="C610" s="151"/>
      <c r="D610" s="151"/>
      <c r="E610" s="151"/>
      <c r="F610" s="151"/>
      <c r="G610" s="151"/>
      <c r="H610" s="151"/>
      <c r="I610" s="151"/>
      <c r="J610" s="151"/>
      <c r="K610" s="151"/>
      <c r="L610" s="151"/>
      <c r="M610" s="151"/>
      <c r="N610" s="151"/>
      <c r="O610" s="151"/>
      <c r="P610" s="151"/>
      <c r="Q610" s="151"/>
      <c r="R610" s="151"/>
      <c r="S610" s="151"/>
      <c r="T610" s="151"/>
      <c r="U610" s="151"/>
      <c r="V610" s="151"/>
      <c r="W610" s="151"/>
      <c r="X610" s="151"/>
      <c r="Y610" s="151"/>
      <c r="Z610" s="151"/>
    </row>
    <row r="611" customFormat="false" ht="12.75" hidden="false" customHeight="true" outlineLevel="0" collapsed="false">
      <c r="A611" s="151"/>
      <c r="C611" s="151"/>
      <c r="D611" s="151"/>
      <c r="E611" s="151"/>
      <c r="F611" s="151"/>
      <c r="G611" s="151"/>
      <c r="H611" s="151"/>
      <c r="I611" s="151"/>
      <c r="J611" s="151"/>
      <c r="K611" s="151"/>
      <c r="L611" s="151"/>
      <c r="M611" s="151"/>
      <c r="N611" s="151"/>
      <c r="O611" s="151"/>
      <c r="P611" s="151"/>
      <c r="Q611" s="151"/>
      <c r="R611" s="151"/>
      <c r="S611" s="151"/>
      <c r="T611" s="151"/>
      <c r="U611" s="151"/>
      <c r="V611" s="151"/>
      <c r="W611" s="151"/>
      <c r="X611" s="151"/>
      <c r="Y611" s="151"/>
      <c r="Z611" s="151"/>
    </row>
    <row r="612" customFormat="false" ht="12.75" hidden="false" customHeight="true" outlineLevel="0" collapsed="false">
      <c r="A612" s="151"/>
      <c r="C612" s="151"/>
      <c r="D612" s="151"/>
      <c r="E612" s="151"/>
      <c r="F612" s="151"/>
      <c r="G612" s="151"/>
      <c r="H612" s="151"/>
      <c r="I612" s="151"/>
      <c r="J612" s="151"/>
      <c r="K612" s="151"/>
      <c r="L612" s="151"/>
      <c r="M612" s="151"/>
      <c r="N612" s="151"/>
      <c r="O612" s="151"/>
      <c r="P612" s="151"/>
      <c r="Q612" s="151"/>
      <c r="R612" s="151"/>
      <c r="S612" s="151"/>
      <c r="T612" s="151"/>
      <c r="U612" s="151"/>
      <c r="V612" s="151"/>
      <c r="W612" s="151"/>
      <c r="X612" s="151"/>
      <c r="Y612" s="151"/>
      <c r="Z612" s="151"/>
    </row>
    <row r="613" customFormat="false" ht="12.75" hidden="false" customHeight="true" outlineLevel="0" collapsed="false">
      <c r="A613" s="151"/>
      <c r="C613" s="151"/>
      <c r="D613" s="151"/>
      <c r="E613" s="151"/>
      <c r="F613" s="151"/>
      <c r="G613" s="151"/>
      <c r="H613" s="151"/>
      <c r="I613" s="151"/>
      <c r="J613" s="151"/>
      <c r="K613" s="151"/>
      <c r="L613" s="151"/>
      <c r="M613" s="151"/>
      <c r="N613" s="151"/>
      <c r="O613" s="151"/>
      <c r="P613" s="151"/>
      <c r="Q613" s="151"/>
      <c r="R613" s="151"/>
      <c r="S613" s="151"/>
      <c r="T613" s="151"/>
      <c r="U613" s="151"/>
      <c r="V613" s="151"/>
      <c r="W613" s="151"/>
      <c r="X613" s="151"/>
      <c r="Y613" s="151"/>
      <c r="Z613" s="151"/>
    </row>
    <row r="614" customFormat="false" ht="12.75" hidden="false" customHeight="true" outlineLevel="0" collapsed="false">
      <c r="A614" s="151"/>
      <c r="C614" s="151"/>
      <c r="D614" s="151"/>
      <c r="E614" s="151"/>
      <c r="F614" s="151"/>
      <c r="G614" s="151"/>
      <c r="H614" s="151"/>
      <c r="I614" s="151"/>
      <c r="J614" s="151"/>
      <c r="K614" s="151"/>
      <c r="L614" s="151"/>
      <c r="M614" s="151"/>
      <c r="N614" s="151"/>
      <c r="O614" s="151"/>
      <c r="P614" s="151"/>
      <c r="Q614" s="151"/>
      <c r="R614" s="151"/>
      <c r="S614" s="151"/>
      <c r="T614" s="151"/>
      <c r="U614" s="151"/>
      <c r="V614" s="151"/>
      <c r="W614" s="151"/>
      <c r="X614" s="151"/>
      <c r="Y614" s="151"/>
      <c r="Z614" s="151"/>
    </row>
    <row r="615" customFormat="false" ht="12.75" hidden="false" customHeight="true" outlineLevel="0" collapsed="false">
      <c r="A615" s="151"/>
      <c r="C615" s="151"/>
      <c r="D615" s="151"/>
      <c r="E615" s="151"/>
      <c r="F615" s="151"/>
      <c r="G615" s="151"/>
      <c r="H615" s="151"/>
      <c r="I615" s="151"/>
      <c r="J615" s="151"/>
      <c r="K615" s="151"/>
      <c r="L615" s="151"/>
      <c r="M615" s="151"/>
      <c r="N615" s="151"/>
      <c r="O615" s="151"/>
      <c r="P615" s="151"/>
      <c r="Q615" s="151"/>
      <c r="R615" s="151"/>
      <c r="S615" s="151"/>
      <c r="T615" s="151"/>
      <c r="U615" s="151"/>
      <c r="V615" s="151"/>
      <c r="W615" s="151"/>
      <c r="X615" s="151"/>
      <c r="Y615" s="151"/>
      <c r="Z615" s="151"/>
    </row>
    <row r="616" customFormat="false" ht="12.75" hidden="false" customHeight="true" outlineLevel="0" collapsed="false">
      <c r="A616" s="151"/>
      <c r="C616" s="151"/>
      <c r="D616" s="151"/>
      <c r="E616" s="151"/>
      <c r="F616" s="151"/>
      <c r="G616" s="151"/>
      <c r="H616" s="151"/>
      <c r="I616" s="151"/>
      <c r="J616" s="151"/>
      <c r="K616" s="151"/>
      <c r="L616" s="151"/>
      <c r="M616" s="151"/>
      <c r="N616" s="151"/>
      <c r="O616" s="151"/>
      <c r="P616" s="151"/>
      <c r="Q616" s="151"/>
      <c r="R616" s="151"/>
      <c r="S616" s="151"/>
      <c r="T616" s="151"/>
      <c r="U616" s="151"/>
      <c r="V616" s="151"/>
      <c r="W616" s="151"/>
      <c r="X616" s="151"/>
      <c r="Y616" s="151"/>
      <c r="Z616" s="151"/>
    </row>
    <row r="617" customFormat="false" ht="12.75" hidden="false" customHeight="true" outlineLevel="0" collapsed="false">
      <c r="A617" s="151"/>
      <c r="C617" s="151"/>
      <c r="D617" s="151"/>
      <c r="E617" s="151"/>
      <c r="F617" s="151"/>
      <c r="G617" s="151"/>
      <c r="H617" s="151"/>
      <c r="I617" s="151"/>
      <c r="J617" s="151"/>
      <c r="K617" s="151"/>
      <c r="L617" s="151"/>
      <c r="M617" s="151"/>
      <c r="N617" s="151"/>
      <c r="O617" s="151"/>
      <c r="P617" s="151"/>
      <c r="Q617" s="151"/>
      <c r="R617" s="151"/>
      <c r="S617" s="151"/>
      <c r="T617" s="151"/>
      <c r="U617" s="151"/>
      <c r="V617" s="151"/>
      <c r="W617" s="151"/>
      <c r="X617" s="151"/>
      <c r="Y617" s="151"/>
      <c r="Z617" s="151"/>
    </row>
    <row r="618" customFormat="false" ht="12.75" hidden="false" customHeight="true" outlineLevel="0" collapsed="false">
      <c r="A618" s="151"/>
      <c r="C618" s="151"/>
      <c r="D618" s="151"/>
      <c r="E618" s="151"/>
      <c r="F618" s="151"/>
      <c r="G618" s="151"/>
      <c r="H618" s="151"/>
      <c r="I618" s="151"/>
      <c r="J618" s="151"/>
      <c r="K618" s="151"/>
      <c r="L618" s="151"/>
      <c r="M618" s="151"/>
      <c r="N618" s="151"/>
      <c r="O618" s="151"/>
      <c r="P618" s="151"/>
      <c r="Q618" s="151"/>
      <c r="R618" s="151"/>
      <c r="S618" s="151"/>
      <c r="T618" s="151"/>
      <c r="U618" s="151"/>
      <c r="V618" s="151"/>
      <c r="W618" s="151"/>
      <c r="X618" s="151"/>
      <c r="Y618" s="151"/>
      <c r="Z618" s="151"/>
    </row>
    <row r="619" customFormat="false" ht="12.75" hidden="false" customHeight="true" outlineLevel="0" collapsed="false">
      <c r="A619" s="151"/>
      <c r="C619" s="151"/>
      <c r="D619" s="151"/>
      <c r="E619" s="151"/>
      <c r="F619" s="151"/>
      <c r="G619" s="151"/>
      <c r="H619" s="151"/>
      <c r="I619" s="151"/>
      <c r="J619" s="151"/>
      <c r="K619" s="151"/>
      <c r="L619" s="151"/>
      <c r="M619" s="151"/>
      <c r="N619" s="151"/>
      <c r="O619" s="151"/>
      <c r="P619" s="151"/>
      <c r="Q619" s="151"/>
      <c r="R619" s="151"/>
      <c r="S619" s="151"/>
      <c r="T619" s="151"/>
      <c r="U619" s="151"/>
      <c r="V619" s="151"/>
      <c r="W619" s="151"/>
      <c r="X619" s="151"/>
      <c r="Y619" s="151"/>
      <c r="Z619" s="151"/>
    </row>
    <row r="620" customFormat="false" ht="12.75" hidden="false" customHeight="true" outlineLevel="0" collapsed="false">
      <c r="A620" s="151"/>
      <c r="C620" s="151"/>
      <c r="D620" s="151"/>
      <c r="E620" s="151"/>
      <c r="F620" s="151"/>
      <c r="G620" s="151"/>
      <c r="H620" s="151"/>
      <c r="I620" s="151"/>
      <c r="J620" s="151"/>
      <c r="K620" s="151"/>
      <c r="L620" s="151"/>
      <c r="M620" s="151"/>
      <c r="N620" s="151"/>
      <c r="O620" s="151"/>
      <c r="P620" s="151"/>
      <c r="Q620" s="151"/>
      <c r="R620" s="151"/>
      <c r="S620" s="151"/>
      <c r="T620" s="151"/>
      <c r="U620" s="151"/>
      <c r="V620" s="151"/>
      <c r="W620" s="151"/>
      <c r="X620" s="151"/>
      <c r="Y620" s="151"/>
      <c r="Z620" s="151"/>
    </row>
    <row r="621" customFormat="false" ht="12.75" hidden="false" customHeight="true" outlineLevel="0" collapsed="false">
      <c r="A621" s="151"/>
      <c r="C621" s="151"/>
      <c r="D621" s="151"/>
      <c r="E621" s="151"/>
      <c r="F621" s="151"/>
      <c r="G621" s="151"/>
      <c r="H621" s="151"/>
      <c r="I621" s="151"/>
      <c r="J621" s="151"/>
      <c r="K621" s="151"/>
      <c r="L621" s="151"/>
      <c r="M621" s="151"/>
      <c r="N621" s="151"/>
      <c r="O621" s="151"/>
      <c r="P621" s="151"/>
      <c r="Q621" s="151"/>
      <c r="R621" s="151"/>
      <c r="S621" s="151"/>
      <c r="T621" s="151"/>
      <c r="U621" s="151"/>
      <c r="V621" s="151"/>
      <c r="W621" s="151"/>
      <c r="X621" s="151"/>
      <c r="Y621" s="151"/>
      <c r="Z621" s="151"/>
    </row>
    <row r="622" customFormat="false" ht="12.75" hidden="false" customHeight="true" outlineLevel="0" collapsed="false">
      <c r="A622" s="151"/>
      <c r="C622" s="151"/>
      <c r="D622" s="151"/>
      <c r="E622" s="151"/>
      <c r="F622" s="151"/>
      <c r="G622" s="151"/>
      <c r="H622" s="151"/>
      <c r="I622" s="151"/>
      <c r="J622" s="151"/>
      <c r="K622" s="151"/>
      <c r="L622" s="151"/>
      <c r="M622" s="151"/>
      <c r="N622" s="151"/>
      <c r="O622" s="151"/>
      <c r="P622" s="151"/>
      <c r="Q622" s="151"/>
      <c r="R622" s="151"/>
      <c r="S622" s="151"/>
      <c r="T622" s="151"/>
      <c r="U622" s="151"/>
      <c r="V622" s="151"/>
      <c r="W622" s="151"/>
      <c r="X622" s="151"/>
      <c r="Y622" s="151"/>
      <c r="Z622" s="151"/>
    </row>
    <row r="623" customFormat="false" ht="12.75" hidden="false" customHeight="true" outlineLevel="0" collapsed="false">
      <c r="A623" s="151"/>
      <c r="C623" s="151"/>
      <c r="D623" s="151"/>
      <c r="E623" s="151"/>
      <c r="F623" s="151"/>
      <c r="G623" s="151"/>
      <c r="H623" s="151"/>
      <c r="I623" s="151"/>
      <c r="J623" s="151"/>
      <c r="K623" s="151"/>
      <c r="L623" s="151"/>
      <c r="M623" s="151"/>
      <c r="N623" s="151"/>
      <c r="O623" s="151"/>
      <c r="P623" s="151"/>
      <c r="Q623" s="151"/>
      <c r="R623" s="151"/>
      <c r="S623" s="151"/>
      <c r="T623" s="151"/>
      <c r="U623" s="151"/>
      <c r="V623" s="151"/>
      <c r="W623" s="151"/>
      <c r="X623" s="151"/>
      <c r="Y623" s="151"/>
      <c r="Z623" s="151"/>
    </row>
    <row r="624" customFormat="false" ht="12.75" hidden="false" customHeight="true" outlineLevel="0" collapsed="false">
      <c r="A624" s="151"/>
      <c r="C624" s="151"/>
      <c r="D624" s="151"/>
      <c r="E624" s="151"/>
      <c r="F624" s="151"/>
      <c r="G624" s="151"/>
      <c r="H624" s="151"/>
      <c r="I624" s="151"/>
      <c r="J624" s="151"/>
      <c r="K624" s="151"/>
      <c r="L624" s="151"/>
      <c r="M624" s="151"/>
      <c r="N624" s="151"/>
      <c r="O624" s="151"/>
      <c r="P624" s="151"/>
      <c r="Q624" s="151"/>
      <c r="R624" s="151"/>
      <c r="S624" s="151"/>
      <c r="T624" s="151"/>
      <c r="U624" s="151"/>
      <c r="V624" s="151"/>
      <c r="W624" s="151"/>
      <c r="X624" s="151"/>
      <c r="Y624" s="151"/>
      <c r="Z624" s="151"/>
    </row>
    <row r="625" customFormat="false" ht="12.75" hidden="false" customHeight="true" outlineLevel="0" collapsed="false">
      <c r="A625" s="151"/>
      <c r="C625" s="151"/>
      <c r="D625" s="151"/>
      <c r="E625" s="151"/>
      <c r="F625" s="151"/>
      <c r="G625" s="151"/>
      <c r="H625" s="151"/>
      <c r="I625" s="151"/>
      <c r="J625" s="151"/>
      <c r="K625" s="151"/>
      <c r="L625" s="151"/>
      <c r="M625" s="151"/>
      <c r="N625" s="151"/>
      <c r="O625" s="151"/>
      <c r="P625" s="151"/>
      <c r="Q625" s="151"/>
      <c r="R625" s="151"/>
      <c r="S625" s="151"/>
      <c r="T625" s="151"/>
      <c r="U625" s="151"/>
      <c r="V625" s="151"/>
      <c r="W625" s="151"/>
      <c r="X625" s="151"/>
      <c r="Y625" s="151"/>
      <c r="Z625" s="151"/>
    </row>
    <row r="626" customFormat="false" ht="12.75" hidden="false" customHeight="true" outlineLevel="0" collapsed="false">
      <c r="A626" s="151"/>
      <c r="C626" s="151"/>
      <c r="D626" s="151"/>
      <c r="E626" s="151"/>
      <c r="F626" s="151"/>
      <c r="G626" s="151"/>
      <c r="H626" s="151"/>
      <c r="I626" s="151"/>
      <c r="J626" s="151"/>
      <c r="K626" s="151"/>
      <c r="L626" s="151"/>
      <c r="M626" s="151"/>
      <c r="N626" s="151"/>
      <c r="O626" s="151"/>
      <c r="P626" s="151"/>
      <c r="Q626" s="151"/>
      <c r="R626" s="151"/>
      <c r="S626" s="151"/>
      <c r="T626" s="151"/>
      <c r="U626" s="151"/>
      <c r="V626" s="151"/>
      <c r="W626" s="151"/>
      <c r="X626" s="151"/>
      <c r="Y626" s="151"/>
      <c r="Z626" s="151"/>
    </row>
    <row r="627" customFormat="false" ht="12.75" hidden="false" customHeight="true" outlineLevel="0" collapsed="false">
      <c r="A627" s="151"/>
      <c r="C627" s="151"/>
      <c r="D627" s="151"/>
      <c r="E627" s="151"/>
      <c r="F627" s="151"/>
      <c r="G627" s="151"/>
      <c r="H627" s="151"/>
      <c r="I627" s="151"/>
      <c r="J627" s="151"/>
      <c r="K627" s="151"/>
      <c r="L627" s="151"/>
      <c r="M627" s="151"/>
      <c r="N627" s="151"/>
      <c r="O627" s="151"/>
      <c r="P627" s="151"/>
      <c r="Q627" s="151"/>
      <c r="R627" s="151"/>
      <c r="S627" s="151"/>
      <c r="T627" s="151"/>
      <c r="U627" s="151"/>
      <c r="V627" s="151"/>
      <c r="W627" s="151"/>
      <c r="X627" s="151"/>
      <c r="Y627" s="151"/>
      <c r="Z627" s="151"/>
    </row>
    <row r="628" customFormat="false" ht="12.75" hidden="false" customHeight="true" outlineLevel="0" collapsed="false">
      <c r="A628" s="151"/>
      <c r="C628" s="151"/>
      <c r="D628" s="151"/>
      <c r="E628" s="151"/>
      <c r="F628" s="151"/>
      <c r="G628" s="151"/>
      <c r="H628" s="151"/>
      <c r="I628" s="151"/>
      <c r="J628" s="151"/>
      <c r="K628" s="151"/>
      <c r="L628" s="151"/>
      <c r="M628" s="151"/>
      <c r="N628" s="151"/>
      <c r="O628" s="151"/>
      <c r="P628" s="151"/>
      <c r="Q628" s="151"/>
      <c r="R628" s="151"/>
      <c r="S628" s="151"/>
      <c r="T628" s="151"/>
      <c r="U628" s="151"/>
      <c r="V628" s="151"/>
      <c r="W628" s="151"/>
      <c r="X628" s="151"/>
      <c r="Y628" s="151"/>
      <c r="Z628" s="151"/>
    </row>
    <row r="629" customFormat="false" ht="12.75" hidden="false" customHeight="true" outlineLevel="0" collapsed="false">
      <c r="A629" s="151"/>
      <c r="C629" s="151"/>
      <c r="D629" s="151"/>
      <c r="E629" s="151"/>
      <c r="F629" s="151"/>
      <c r="G629" s="151"/>
      <c r="H629" s="151"/>
      <c r="I629" s="151"/>
      <c r="J629" s="151"/>
      <c r="K629" s="151"/>
      <c r="L629" s="151"/>
      <c r="M629" s="151"/>
      <c r="N629" s="151"/>
      <c r="O629" s="151"/>
      <c r="P629" s="151"/>
      <c r="Q629" s="151"/>
      <c r="R629" s="151"/>
      <c r="S629" s="151"/>
      <c r="T629" s="151"/>
      <c r="U629" s="151"/>
      <c r="V629" s="151"/>
      <c r="W629" s="151"/>
      <c r="X629" s="151"/>
      <c r="Y629" s="151"/>
      <c r="Z629" s="151"/>
    </row>
    <row r="630" customFormat="false" ht="12.75" hidden="false" customHeight="true" outlineLevel="0" collapsed="false">
      <c r="A630" s="151"/>
      <c r="C630" s="151"/>
      <c r="D630" s="151"/>
      <c r="E630" s="151"/>
      <c r="F630" s="151"/>
      <c r="G630" s="151"/>
      <c r="H630" s="151"/>
      <c r="I630" s="151"/>
      <c r="J630" s="151"/>
      <c r="K630" s="151"/>
      <c r="L630" s="151"/>
      <c r="M630" s="151"/>
      <c r="N630" s="151"/>
      <c r="O630" s="151"/>
      <c r="P630" s="151"/>
      <c r="Q630" s="151"/>
      <c r="R630" s="151"/>
      <c r="S630" s="151"/>
      <c r="T630" s="151"/>
      <c r="U630" s="151"/>
      <c r="V630" s="151"/>
      <c r="W630" s="151"/>
      <c r="X630" s="151"/>
      <c r="Y630" s="151"/>
      <c r="Z630" s="151"/>
    </row>
    <row r="631" customFormat="false" ht="12.75" hidden="false" customHeight="true" outlineLevel="0" collapsed="false">
      <c r="A631" s="151"/>
      <c r="C631" s="151"/>
      <c r="D631" s="151"/>
      <c r="E631" s="151"/>
      <c r="F631" s="151"/>
      <c r="G631" s="151"/>
      <c r="H631" s="151"/>
      <c r="I631" s="151"/>
      <c r="J631" s="151"/>
      <c r="K631" s="151"/>
      <c r="L631" s="151"/>
      <c r="M631" s="151"/>
      <c r="N631" s="151"/>
      <c r="O631" s="151"/>
      <c r="P631" s="151"/>
      <c r="Q631" s="151"/>
      <c r="R631" s="151"/>
      <c r="S631" s="151"/>
      <c r="T631" s="151"/>
      <c r="U631" s="151"/>
      <c r="V631" s="151"/>
      <c r="W631" s="151"/>
      <c r="X631" s="151"/>
      <c r="Y631" s="151"/>
      <c r="Z631" s="151"/>
    </row>
    <row r="632" customFormat="false" ht="12.75" hidden="false" customHeight="true" outlineLevel="0" collapsed="false">
      <c r="A632" s="151"/>
      <c r="C632" s="151"/>
      <c r="D632" s="151"/>
      <c r="E632" s="151"/>
      <c r="F632" s="151"/>
      <c r="G632" s="151"/>
      <c r="H632" s="151"/>
      <c r="I632" s="151"/>
      <c r="J632" s="151"/>
      <c r="K632" s="151"/>
      <c r="L632" s="151"/>
      <c r="M632" s="151"/>
      <c r="N632" s="151"/>
      <c r="O632" s="151"/>
      <c r="P632" s="151"/>
      <c r="Q632" s="151"/>
      <c r="R632" s="151"/>
      <c r="S632" s="151"/>
      <c r="T632" s="151"/>
      <c r="U632" s="151"/>
      <c r="V632" s="151"/>
      <c r="W632" s="151"/>
      <c r="X632" s="151"/>
      <c r="Y632" s="151"/>
      <c r="Z632" s="151"/>
    </row>
    <row r="633" customFormat="false" ht="12.75" hidden="false" customHeight="true" outlineLevel="0" collapsed="false">
      <c r="A633" s="151"/>
      <c r="C633" s="151"/>
      <c r="D633" s="151"/>
      <c r="E633" s="151"/>
      <c r="F633" s="151"/>
      <c r="G633" s="151"/>
      <c r="H633" s="151"/>
      <c r="I633" s="151"/>
      <c r="J633" s="151"/>
      <c r="K633" s="151"/>
      <c r="L633" s="151"/>
      <c r="M633" s="151"/>
      <c r="N633" s="151"/>
      <c r="O633" s="151"/>
      <c r="P633" s="151"/>
      <c r="Q633" s="151"/>
      <c r="R633" s="151"/>
      <c r="S633" s="151"/>
      <c r="T633" s="151"/>
      <c r="U633" s="151"/>
      <c r="V633" s="151"/>
      <c r="W633" s="151"/>
      <c r="X633" s="151"/>
      <c r="Y633" s="151"/>
      <c r="Z633" s="151"/>
    </row>
    <row r="634" customFormat="false" ht="12.75" hidden="false" customHeight="true" outlineLevel="0" collapsed="false">
      <c r="A634" s="151"/>
      <c r="C634" s="151"/>
      <c r="D634" s="151"/>
      <c r="E634" s="151"/>
      <c r="F634" s="151"/>
      <c r="G634" s="151"/>
      <c r="H634" s="151"/>
      <c r="I634" s="151"/>
      <c r="J634" s="151"/>
      <c r="K634" s="151"/>
      <c r="L634" s="151"/>
      <c r="M634" s="151"/>
      <c r="N634" s="151"/>
      <c r="O634" s="151"/>
      <c r="P634" s="151"/>
      <c r="Q634" s="151"/>
      <c r="R634" s="151"/>
      <c r="S634" s="151"/>
      <c r="T634" s="151"/>
      <c r="U634" s="151"/>
      <c r="V634" s="151"/>
      <c r="W634" s="151"/>
      <c r="X634" s="151"/>
      <c r="Y634" s="151"/>
      <c r="Z634" s="151"/>
    </row>
    <row r="635" customFormat="false" ht="12.75" hidden="false" customHeight="true" outlineLevel="0" collapsed="false">
      <c r="A635" s="151"/>
      <c r="C635" s="151"/>
      <c r="D635" s="151"/>
      <c r="E635" s="151"/>
      <c r="F635" s="151"/>
      <c r="G635" s="151"/>
      <c r="H635" s="151"/>
      <c r="I635" s="151"/>
      <c r="J635" s="151"/>
      <c r="K635" s="151"/>
      <c r="L635" s="151"/>
      <c r="M635" s="151"/>
      <c r="N635" s="151"/>
      <c r="O635" s="151"/>
      <c r="P635" s="151"/>
      <c r="Q635" s="151"/>
      <c r="R635" s="151"/>
      <c r="S635" s="151"/>
      <c r="T635" s="151"/>
      <c r="U635" s="151"/>
      <c r="V635" s="151"/>
      <c r="W635" s="151"/>
      <c r="X635" s="151"/>
      <c r="Y635" s="151"/>
      <c r="Z635" s="151"/>
    </row>
    <row r="636" customFormat="false" ht="12.75" hidden="false" customHeight="true" outlineLevel="0" collapsed="false">
      <c r="A636" s="151"/>
      <c r="C636" s="151"/>
      <c r="D636" s="151"/>
      <c r="E636" s="151"/>
      <c r="F636" s="151"/>
      <c r="G636" s="151"/>
      <c r="H636" s="151"/>
      <c r="I636" s="151"/>
      <c r="J636" s="151"/>
      <c r="K636" s="151"/>
      <c r="L636" s="151"/>
      <c r="M636" s="151"/>
      <c r="N636" s="151"/>
      <c r="O636" s="151"/>
      <c r="P636" s="151"/>
      <c r="Q636" s="151"/>
      <c r="R636" s="151"/>
      <c r="S636" s="151"/>
      <c r="T636" s="151"/>
      <c r="U636" s="151"/>
      <c r="V636" s="151"/>
      <c r="W636" s="151"/>
      <c r="X636" s="151"/>
      <c r="Y636" s="151"/>
      <c r="Z636" s="151"/>
    </row>
    <row r="637" customFormat="false" ht="12.75" hidden="false" customHeight="true" outlineLevel="0" collapsed="false">
      <c r="A637" s="151"/>
      <c r="C637" s="151"/>
      <c r="D637" s="151"/>
      <c r="E637" s="151"/>
      <c r="F637" s="151"/>
      <c r="G637" s="151"/>
      <c r="H637" s="151"/>
      <c r="I637" s="151"/>
      <c r="J637" s="151"/>
      <c r="K637" s="151"/>
      <c r="L637" s="151"/>
      <c r="M637" s="151"/>
      <c r="N637" s="151"/>
      <c r="O637" s="151"/>
      <c r="P637" s="151"/>
      <c r="Q637" s="151"/>
      <c r="R637" s="151"/>
      <c r="S637" s="151"/>
      <c r="T637" s="151"/>
      <c r="U637" s="151"/>
      <c r="V637" s="151"/>
      <c r="W637" s="151"/>
      <c r="X637" s="151"/>
      <c r="Y637" s="151"/>
      <c r="Z637" s="151"/>
    </row>
    <row r="638" customFormat="false" ht="12.75" hidden="false" customHeight="true" outlineLevel="0" collapsed="false">
      <c r="A638" s="151"/>
      <c r="C638" s="151"/>
      <c r="D638" s="151"/>
      <c r="E638" s="151"/>
      <c r="F638" s="151"/>
      <c r="G638" s="151"/>
      <c r="H638" s="151"/>
      <c r="I638" s="151"/>
      <c r="J638" s="151"/>
      <c r="K638" s="151"/>
      <c r="L638" s="151"/>
      <c r="M638" s="151"/>
      <c r="N638" s="151"/>
      <c r="O638" s="151"/>
      <c r="P638" s="151"/>
      <c r="Q638" s="151"/>
      <c r="R638" s="151"/>
      <c r="S638" s="151"/>
      <c r="T638" s="151"/>
      <c r="U638" s="151"/>
      <c r="V638" s="151"/>
      <c r="W638" s="151"/>
      <c r="X638" s="151"/>
      <c r="Y638" s="151"/>
      <c r="Z638" s="151"/>
    </row>
    <row r="639" customFormat="false" ht="12.75" hidden="false" customHeight="true" outlineLevel="0" collapsed="false">
      <c r="A639" s="151"/>
      <c r="C639" s="151"/>
      <c r="D639" s="151"/>
      <c r="E639" s="151"/>
      <c r="F639" s="151"/>
      <c r="G639" s="151"/>
      <c r="H639" s="151"/>
      <c r="I639" s="151"/>
      <c r="J639" s="151"/>
      <c r="K639" s="151"/>
      <c r="L639" s="151"/>
      <c r="M639" s="151"/>
      <c r="N639" s="151"/>
      <c r="O639" s="151"/>
      <c r="P639" s="151"/>
      <c r="Q639" s="151"/>
      <c r="R639" s="151"/>
      <c r="S639" s="151"/>
      <c r="T639" s="151"/>
      <c r="U639" s="151"/>
      <c r="V639" s="151"/>
      <c r="W639" s="151"/>
      <c r="X639" s="151"/>
      <c r="Y639" s="151"/>
      <c r="Z639" s="151"/>
    </row>
    <row r="640" customFormat="false" ht="12.75" hidden="false" customHeight="true" outlineLevel="0" collapsed="false">
      <c r="A640" s="151"/>
      <c r="C640" s="151"/>
      <c r="D640" s="151"/>
      <c r="E640" s="151"/>
      <c r="F640" s="151"/>
      <c r="G640" s="151"/>
      <c r="H640" s="151"/>
      <c r="I640" s="151"/>
      <c r="J640" s="151"/>
      <c r="K640" s="151"/>
      <c r="L640" s="151"/>
      <c r="M640" s="151"/>
      <c r="N640" s="151"/>
      <c r="O640" s="151"/>
      <c r="P640" s="151"/>
      <c r="Q640" s="151"/>
      <c r="R640" s="151"/>
      <c r="S640" s="151"/>
      <c r="T640" s="151"/>
      <c r="U640" s="151"/>
      <c r="V640" s="151"/>
      <c r="W640" s="151"/>
      <c r="X640" s="151"/>
      <c r="Y640" s="151"/>
      <c r="Z640" s="151"/>
    </row>
    <row r="641" customFormat="false" ht="12.75" hidden="false" customHeight="true" outlineLevel="0" collapsed="false">
      <c r="A641" s="151"/>
      <c r="C641" s="151"/>
      <c r="D641" s="151"/>
      <c r="E641" s="151"/>
      <c r="F641" s="151"/>
      <c r="G641" s="151"/>
      <c r="H641" s="151"/>
      <c r="I641" s="151"/>
      <c r="J641" s="151"/>
      <c r="K641" s="151"/>
      <c r="L641" s="151"/>
      <c r="M641" s="151"/>
      <c r="N641" s="151"/>
      <c r="O641" s="151"/>
      <c r="P641" s="151"/>
      <c r="Q641" s="151"/>
      <c r="R641" s="151"/>
      <c r="S641" s="151"/>
      <c r="T641" s="151"/>
      <c r="U641" s="151"/>
      <c r="V641" s="151"/>
      <c r="W641" s="151"/>
      <c r="X641" s="151"/>
      <c r="Y641" s="151"/>
      <c r="Z641" s="151"/>
    </row>
    <row r="642" customFormat="false" ht="12.75" hidden="false" customHeight="true" outlineLevel="0" collapsed="false">
      <c r="A642" s="151"/>
      <c r="C642" s="151"/>
      <c r="D642" s="151"/>
      <c r="E642" s="151"/>
      <c r="F642" s="151"/>
      <c r="G642" s="151"/>
      <c r="H642" s="151"/>
      <c r="I642" s="151"/>
      <c r="J642" s="151"/>
      <c r="K642" s="151"/>
      <c r="L642" s="151"/>
      <c r="M642" s="151"/>
      <c r="N642" s="151"/>
      <c r="O642" s="151"/>
      <c r="P642" s="151"/>
      <c r="Q642" s="151"/>
      <c r="R642" s="151"/>
      <c r="S642" s="151"/>
      <c r="T642" s="151"/>
      <c r="U642" s="151"/>
      <c r="V642" s="151"/>
      <c r="W642" s="151"/>
      <c r="X642" s="151"/>
      <c r="Y642" s="151"/>
      <c r="Z642" s="151"/>
    </row>
    <row r="643" customFormat="false" ht="12.75" hidden="false" customHeight="true" outlineLevel="0" collapsed="false">
      <c r="A643" s="151"/>
      <c r="C643" s="151"/>
      <c r="D643" s="151"/>
      <c r="E643" s="151"/>
      <c r="F643" s="151"/>
      <c r="G643" s="151"/>
      <c r="H643" s="151"/>
      <c r="I643" s="151"/>
      <c r="J643" s="151"/>
      <c r="K643" s="151"/>
      <c r="L643" s="151"/>
      <c r="M643" s="151"/>
      <c r="N643" s="151"/>
      <c r="O643" s="151"/>
      <c r="P643" s="151"/>
      <c r="Q643" s="151"/>
      <c r="R643" s="151"/>
      <c r="S643" s="151"/>
      <c r="T643" s="151"/>
      <c r="U643" s="151"/>
      <c r="V643" s="151"/>
      <c r="W643" s="151"/>
      <c r="X643" s="151"/>
      <c r="Y643" s="151"/>
      <c r="Z643" s="151"/>
    </row>
    <row r="644" customFormat="false" ht="12.75" hidden="false" customHeight="true" outlineLevel="0" collapsed="false">
      <c r="A644" s="151"/>
      <c r="C644" s="151"/>
      <c r="D644" s="151"/>
      <c r="E644" s="151"/>
      <c r="F644" s="151"/>
      <c r="G644" s="151"/>
      <c r="H644" s="151"/>
      <c r="I644" s="151"/>
      <c r="J644" s="151"/>
      <c r="K644" s="151"/>
      <c r="L644" s="151"/>
      <c r="M644" s="151"/>
      <c r="N644" s="151"/>
      <c r="O644" s="151"/>
      <c r="P644" s="151"/>
      <c r="Q644" s="151"/>
      <c r="R644" s="151"/>
      <c r="S644" s="151"/>
      <c r="T644" s="151"/>
      <c r="U644" s="151"/>
      <c r="V644" s="151"/>
      <c r="W644" s="151"/>
      <c r="X644" s="151"/>
      <c r="Y644" s="151"/>
      <c r="Z644" s="151"/>
    </row>
    <row r="645" customFormat="false" ht="12.75" hidden="false" customHeight="true" outlineLevel="0" collapsed="false">
      <c r="A645" s="151"/>
      <c r="C645" s="151"/>
      <c r="D645" s="151"/>
      <c r="E645" s="151"/>
      <c r="F645" s="151"/>
      <c r="G645" s="151"/>
      <c r="H645" s="151"/>
      <c r="I645" s="151"/>
      <c r="J645" s="151"/>
      <c r="K645" s="151"/>
      <c r="L645" s="151"/>
      <c r="M645" s="151"/>
      <c r="N645" s="151"/>
      <c r="O645" s="151"/>
      <c r="P645" s="151"/>
      <c r="Q645" s="151"/>
      <c r="R645" s="151"/>
      <c r="S645" s="151"/>
      <c r="T645" s="151"/>
      <c r="U645" s="151"/>
      <c r="V645" s="151"/>
      <c r="W645" s="151"/>
      <c r="X645" s="151"/>
      <c r="Y645" s="151"/>
      <c r="Z645" s="151"/>
    </row>
    <row r="646" customFormat="false" ht="12.75" hidden="false" customHeight="true" outlineLevel="0" collapsed="false">
      <c r="A646" s="151"/>
      <c r="C646" s="151"/>
      <c r="D646" s="151"/>
      <c r="E646" s="151"/>
      <c r="F646" s="151"/>
      <c r="G646" s="151"/>
      <c r="H646" s="151"/>
      <c r="I646" s="151"/>
      <c r="J646" s="151"/>
      <c r="K646" s="151"/>
      <c r="L646" s="151"/>
      <c r="M646" s="151"/>
      <c r="N646" s="151"/>
      <c r="O646" s="151"/>
      <c r="P646" s="151"/>
      <c r="Q646" s="151"/>
      <c r="R646" s="151"/>
      <c r="S646" s="151"/>
      <c r="T646" s="151"/>
      <c r="U646" s="151"/>
      <c r="V646" s="151"/>
      <c r="W646" s="151"/>
      <c r="X646" s="151"/>
      <c r="Y646" s="151"/>
      <c r="Z646" s="151"/>
    </row>
    <row r="647" customFormat="false" ht="12.75" hidden="false" customHeight="true" outlineLevel="0" collapsed="false">
      <c r="A647" s="151"/>
      <c r="C647" s="151"/>
      <c r="D647" s="151"/>
      <c r="E647" s="151"/>
      <c r="F647" s="151"/>
      <c r="G647" s="151"/>
      <c r="H647" s="151"/>
      <c r="I647" s="151"/>
      <c r="J647" s="151"/>
      <c r="K647" s="151"/>
      <c r="L647" s="151"/>
      <c r="M647" s="151"/>
      <c r="N647" s="151"/>
      <c r="O647" s="151"/>
      <c r="P647" s="151"/>
      <c r="Q647" s="151"/>
      <c r="R647" s="151"/>
      <c r="S647" s="151"/>
      <c r="T647" s="151"/>
      <c r="U647" s="151"/>
      <c r="V647" s="151"/>
      <c r="W647" s="151"/>
      <c r="X647" s="151"/>
      <c r="Y647" s="151"/>
      <c r="Z647" s="151"/>
    </row>
    <row r="648" customFormat="false" ht="12.75" hidden="false" customHeight="true" outlineLevel="0" collapsed="false">
      <c r="A648" s="151"/>
      <c r="C648" s="151"/>
      <c r="D648" s="151"/>
      <c r="E648" s="151"/>
      <c r="F648" s="151"/>
      <c r="G648" s="151"/>
      <c r="H648" s="151"/>
      <c r="I648" s="151"/>
      <c r="J648" s="151"/>
      <c r="K648" s="151"/>
      <c r="L648" s="151"/>
      <c r="M648" s="151"/>
      <c r="N648" s="151"/>
      <c r="O648" s="151"/>
      <c r="P648" s="151"/>
      <c r="Q648" s="151"/>
      <c r="R648" s="151"/>
      <c r="S648" s="151"/>
      <c r="T648" s="151"/>
      <c r="U648" s="151"/>
      <c r="V648" s="151"/>
      <c r="W648" s="151"/>
      <c r="X648" s="151"/>
      <c r="Y648" s="151"/>
      <c r="Z648" s="151"/>
    </row>
    <row r="649" customFormat="false" ht="12.75" hidden="false" customHeight="true" outlineLevel="0" collapsed="false">
      <c r="A649" s="151"/>
      <c r="C649" s="151"/>
      <c r="D649" s="151"/>
      <c r="E649" s="151"/>
      <c r="F649" s="151"/>
      <c r="G649" s="151"/>
      <c r="H649" s="151"/>
      <c r="I649" s="151"/>
      <c r="J649" s="151"/>
      <c r="K649" s="151"/>
      <c r="L649" s="151"/>
      <c r="M649" s="151"/>
      <c r="N649" s="151"/>
      <c r="O649" s="151"/>
      <c r="P649" s="151"/>
      <c r="Q649" s="151"/>
      <c r="R649" s="151"/>
      <c r="S649" s="151"/>
      <c r="T649" s="151"/>
      <c r="U649" s="151"/>
      <c r="V649" s="151"/>
      <c r="W649" s="151"/>
      <c r="X649" s="151"/>
      <c r="Y649" s="151"/>
      <c r="Z649" s="151"/>
    </row>
    <row r="650" customFormat="false" ht="12.75" hidden="false" customHeight="true" outlineLevel="0" collapsed="false">
      <c r="A650" s="151"/>
      <c r="C650" s="151"/>
      <c r="D650" s="151"/>
      <c r="E650" s="151"/>
      <c r="F650" s="151"/>
      <c r="G650" s="151"/>
      <c r="H650" s="151"/>
      <c r="I650" s="151"/>
      <c r="J650" s="151"/>
      <c r="K650" s="151"/>
      <c r="L650" s="151"/>
      <c r="M650" s="151"/>
      <c r="N650" s="151"/>
      <c r="O650" s="151"/>
      <c r="P650" s="151"/>
      <c r="Q650" s="151"/>
      <c r="R650" s="151"/>
      <c r="S650" s="151"/>
      <c r="T650" s="151"/>
      <c r="U650" s="151"/>
      <c r="V650" s="151"/>
      <c r="W650" s="151"/>
      <c r="X650" s="151"/>
      <c r="Y650" s="151"/>
      <c r="Z650" s="151"/>
    </row>
    <row r="651" customFormat="false" ht="12.75" hidden="false" customHeight="true" outlineLevel="0" collapsed="false">
      <c r="A651" s="151"/>
      <c r="C651" s="151"/>
      <c r="D651" s="151"/>
      <c r="E651" s="151"/>
      <c r="F651" s="151"/>
      <c r="G651" s="151"/>
      <c r="H651" s="151"/>
      <c r="I651" s="151"/>
      <c r="J651" s="151"/>
      <c r="K651" s="151"/>
      <c r="L651" s="151"/>
      <c r="M651" s="151"/>
      <c r="N651" s="151"/>
      <c r="O651" s="151"/>
      <c r="P651" s="151"/>
      <c r="Q651" s="151"/>
      <c r="R651" s="151"/>
      <c r="S651" s="151"/>
      <c r="T651" s="151"/>
      <c r="U651" s="151"/>
      <c r="V651" s="151"/>
      <c r="W651" s="151"/>
      <c r="X651" s="151"/>
      <c r="Y651" s="151"/>
      <c r="Z651" s="151"/>
    </row>
    <row r="652" customFormat="false" ht="12.75" hidden="false" customHeight="true" outlineLevel="0" collapsed="false">
      <c r="A652" s="151"/>
      <c r="C652" s="151"/>
      <c r="D652" s="151"/>
      <c r="E652" s="151"/>
      <c r="F652" s="151"/>
      <c r="G652" s="151"/>
      <c r="H652" s="151"/>
      <c r="I652" s="151"/>
      <c r="J652" s="151"/>
      <c r="K652" s="151"/>
      <c r="L652" s="151"/>
      <c r="M652" s="151"/>
      <c r="N652" s="151"/>
      <c r="O652" s="151"/>
      <c r="P652" s="151"/>
      <c r="Q652" s="151"/>
      <c r="R652" s="151"/>
      <c r="S652" s="151"/>
      <c r="T652" s="151"/>
      <c r="U652" s="151"/>
      <c r="V652" s="151"/>
      <c r="W652" s="151"/>
      <c r="X652" s="151"/>
      <c r="Y652" s="151"/>
      <c r="Z652" s="151"/>
    </row>
    <row r="653" customFormat="false" ht="12.75" hidden="false" customHeight="true" outlineLevel="0" collapsed="false">
      <c r="A653" s="151"/>
      <c r="C653" s="151"/>
      <c r="D653" s="151"/>
      <c r="E653" s="151"/>
      <c r="F653" s="151"/>
      <c r="G653" s="151"/>
      <c r="H653" s="151"/>
      <c r="I653" s="151"/>
      <c r="J653" s="151"/>
      <c r="K653" s="151"/>
      <c r="L653" s="151"/>
      <c r="M653" s="151"/>
      <c r="N653" s="151"/>
      <c r="O653" s="151"/>
      <c r="P653" s="151"/>
      <c r="Q653" s="151"/>
      <c r="R653" s="151"/>
      <c r="S653" s="151"/>
      <c r="T653" s="151"/>
      <c r="U653" s="151"/>
      <c r="V653" s="151"/>
      <c r="W653" s="151"/>
      <c r="X653" s="151"/>
      <c r="Y653" s="151"/>
      <c r="Z653" s="151"/>
    </row>
    <row r="654" customFormat="false" ht="12.75" hidden="false" customHeight="true" outlineLevel="0" collapsed="false">
      <c r="A654" s="151"/>
      <c r="C654" s="151"/>
      <c r="D654" s="151"/>
      <c r="E654" s="151"/>
      <c r="F654" s="151"/>
      <c r="G654" s="151"/>
      <c r="H654" s="151"/>
      <c r="I654" s="151"/>
      <c r="J654" s="151"/>
      <c r="K654" s="151"/>
      <c r="L654" s="151"/>
      <c r="M654" s="151"/>
      <c r="N654" s="151"/>
      <c r="O654" s="151"/>
      <c r="P654" s="151"/>
      <c r="Q654" s="151"/>
      <c r="R654" s="151"/>
      <c r="S654" s="151"/>
      <c r="T654" s="151"/>
      <c r="U654" s="151"/>
      <c r="V654" s="151"/>
      <c r="W654" s="151"/>
      <c r="X654" s="151"/>
      <c r="Y654" s="151"/>
      <c r="Z654" s="151"/>
    </row>
    <row r="655" customFormat="false" ht="12.75" hidden="false" customHeight="true" outlineLevel="0" collapsed="false">
      <c r="A655" s="151"/>
      <c r="C655" s="151"/>
      <c r="D655" s="151"/>
      <c r="E655" s="151"/>
      <c r="F655" s="151"/>
      <c r="G655" s="151"/>
      <c r="H655" s="151"/>
      <c r="I655" s="151"/>
      <c r="J655" s="151"/>
      <c r="K655" s="151"/>
      <c r="L655" s="151"/>
      <c r="M655" s="151"/>
      <c r="N655" s="151"/>
      <c r="O655" s="151"/>
      <c r="P655" s="151"/>
      <c r="Q655" s="151"/>
      <c r="R655" s="151"/>
      <c r="S655" s="151"/>
      <c r="T655" s="151"/>
      <c r="U655" s="151"/>
      <c r="V655" s="151"/>
      <c r="W655" s="151"/>
      <c r="X655" s="151"/>
      <c r="Y655" s="151"/>
      <c r="Z655" s="151"/>
    </row>
    <row r="656" customFormat="false" ht="12.75" hidden="false" customHeight="true" outlineLevel="0" collapsed="false">
      <c r="A656" s="151"/>
      <c r="C656" s="151"/>
      <c r="D656" s="151"/>
      <c r="E656" s="151"/>
      <c r="F656" s="151"/>
      <c r="G656" s="151"/>
      <c r="H656" s="151"/>
      <c r="I656" s="151"/>
      <c r="J656" s="151"/>
      <c r="K656" s="151"/>
      <c r="L656" s="151"/>
      <c r="M656" s="151"/>
      <c r="N656" s="151"/>
      <c r="O656" s="151"/>
      <c r="P656" s="151"/>
      <c r="Q656" s="151"/>
      <c r="R656" s="151"/>
      <c r="S656" s="151"/>
      <c r="T656" s="151"/>
      <c r="U656" s="151"/>
      <c r="V656" s="151"/>
      <c r="W656" s="151"/>
      <c r="X656" s="151"/>
      <c r="Y656" s="151"/>
      <c r="Z656" s="151"/>
    </row>
    <row r="657" customFormat="false" ht="12.75" hidden="false" customHeight="true" outlineLevel="0" collapsed="false">
      <c r="A657" s="151"/>
      <c r="C657" s="151"/>
      <c r="D657" s="151"/>
      <c r="E657" s="151"/>
      <c r="F657" s="151"/>
      <c r="G657" s="151"/>
      <c r="H657" s="151"/>
      <c r="I657" s="151"/>
      <c r="J657" s="151"/>
      <c r="K657" s="151"/>
      <c r="L657" s="151"/>
      <c r="M657" s="151"/>
      <c r="N657" s="151"/>
      <c r="O657" s="151"/>
      <c r="P657" s="151"/>
      <c r="Q657" s="151"/>
      <c r="R657" s="151"/>
      <c r="S657" s="151"/>
      <c r="T657" s="151"/>
      <c r="U657" s="151"/>
      <c r="V657" s="151"/>
      <c r="W657" s="151"/>
      <c r="X657" s="151"/>
      <c r="Y657" s="151"/>
      <c r="Z657" s="151"/>
    </row>
    <row r="658" customFormat="false" ht="12.75" hidden="false" customHeight="true" outlineLevel="0" collapsed="false">
      <c r="A658" s="151"/>
      <c r="C658" s="151"/>
      <c r="D658" s="151"/>
      <c r="E658" s="151"/>
      <c r="F658" s="151"/>
      <c r="G658" s="151"/>
      <c r="H658" s="151"/>
      <c r="I658" s="151"/>
      <c r="J658" s="151"/>
      <c r="K658" s="151"/>
      <c r="L658" s="151"/>
      <c r="M658" s="151"/>
      <c r="N658" s="151"/>
      <c r="O658" s="151"/>
      <c r="P658" s="151"/>
      <c r="Q658" s="151"/>
      <c r="R658" s="151"/>
      <c r="S658" s="151"/>
      <c r="T658" s="151"/>
      <c r="U658" s="151"/>
      <c r="V658" s="151"/>
      <c r="W658" s="151"/>
      <c r="X658" s="151"/>
      <c r="Y658" s="151"/>
      <c r="Z658" s="151"/>
    </row>
    <row r="659" customFormat="false" ht="12.75" hidden="false" customHeight="true" outlineLevel="0" collapsed="false">
      <c r="A659" s="151"/>
      <c r="C659" s="151"/>
      <c r="D659" s="151"/>
      <c r="E659" s="151"/>
      <c r="F659" s="151"/>
      <c r="G659" s="151"/>
      <c r="H659" s="151"/>
      <c r="I659" s="151"/>
      <c r="J659" s="151"/>
      <c r="K659" s="151"/>
      <c r="L659" s="151"/>
      <c r="M659" s="151"/>
      <c r="N659" s="151"/>
      <c r="O659" s="151"/>
      <c r="P659" s="151"/>
      <c r="Q659" s="151"/>
      <c r="R659" s="151"/>
      <c r="S659" s="151"/>
      <c r="T659" s="151"/>
      <c r="U659" s="151"/>
      <c r="V659" s="151"/>
      <c r="W659" s="151"/>
      <c r="X659" s="151"/>
      <c r="Y659" s="151"/>
      <c r="Z659" s="151"/>
    </row>
    <row r="660" customFormat="false" ht="12.75" hidden="false" customHeight="true" outlineLevel="0" collapsed="false">
      <c r="A660" s="151"/>
      <c r="C660" s="151"/>
      <c r="D660" s="151"/>
      <c r="E660" s="151"/>
      <c r="F660" s="151"/>
      <c r="G660" s="151"/>
      <c r="H660" s="151"/>
      <c r="I660" s="151"/>
      <c r="J660" s="151"/>
      <c r="K660" s="151"/>
      <c r="L660" s="151"/>
      <c r="M660" s="151"/>
      <c r="N660" s="151"/>
      <c r="O660" s="151"/>
      <c r="P660" s="151"/>
      <c r="Q660" s="151"/>
      <c r="R660" s="151"/>
      <c r="S660" s="151"/>
      <c r="T660" s="151"/>
      <c r="U660" s="151"/>
      <c r="V660" s="151"/>
      <c r="W660" s="151"/>
      <c r="X660" s="151"/>
      <c r="Y660" s="151"/>
      <c r="Z660" s="151"/>
    </row>
    <row r="661" customFormat="false" ht="12.75" hidden="false" customHeight="true" outlineLevel="0" collapsed="false">
      <c r="A661" s="151"/>
      <c r="C661" s="151"/>
      <c r="D661" s="151"/>
      <c r="E661" s="151"/>
      <c r="F661" s="151"/>
      <c r="G661" s="151"/>
      <c r="H661" s="151"/>
      <c r="I661" s="151"/>
      <c r="J661" s="151"/>
      <c r="K661" s="151"/>
      <c r="L661" s="151"/>
      <c r="M661" s="151"/>
      <c r="N661" s="151"/>
      <c r="O661" s="151"/>
      <c r="P661" s="151"/>
      <c r="Q661" s="151"/>
      <c r="R661" s="151"/>
      <c r="S661" s="151"/>
      <c r="T661" s="151"/>
      <c r="U661" s="151"/>
      <c r="V661" s="151"/>
      <c r="W661" s="151"/>
      <c r="X661" s="151"/>
      <c r="Y661" s="151"/>
      <c r="Z661" s="151"/>
    </row>
    <row r="662" customFormat="false" ht="12.75" hidden="false" customHeight="true" outlineLevel="0" collapsed="false">
      <c r="A662" s="151"/>
      <c r="C662" s="151"/>
      <c r="D662" s="151"/>
      <c r="E662" s="151"/>
      <c r="F662" s="151"/>
      <c r="G662" s="151"/>
      <c r="H662" s="151"/>
      <c r="I662" s="151"/>
      <c r="J662" s="151"/>
      <c r="K662" s="151"/>
      <c r="L662" s="151"/>
      <c r="M662" s="151"/>
      <c r="N662" s="151"/>
      <c r="O662" s="151"/>
      <c r="P662" s="151"/>
      <c r="Q662" s="151"/>
      <c r="R662" s="151"/>
      <c r="S662" s="151"/>
      <c r="T662" s="151"/>
      <c r="U662" s="151"/>
      <c r="V662" s="151"/>
      <c r="W662" s="151"/>
      <c r="X662" s="151"/>
      <c r="Y662" s="151"/>
      <c r="Z662" s="151"/>
    </row>
    <row r="663" customFormat="false" ht="12.75" hidden="false" customHeight="true" outlineLevel="0" collapsed="false">
      <c r="A663" s="151"/>
      <c r="C663" s="151"/>
      <c r="D663" s="151"/>
      <c r="E663" s="151"/>
      <c r="F663" s="151"/>
      <c r="G663" s="151"/>
      <c r="H663" s="151"/>
      <c r="I663" s="151"/>
      <c r="J663" s="151"/>
      <c r="K663" s="151"/>
      <c r="L663" s="151"/>
      <c r="M663" s="151"/>
      <c r="N663" s="151"/>
      <c r="O663" s="151"/>
      <c r="P663" s="151"/>
      <c r="Q663" s="151"/>
      <c r="R663" s="151"/>
      <c r="S663" s="151"/>
      <c r="T663" s="151"/>
      <c r="U663" s="151"/>
      <c r="V663" s="151"/>
      <c r="W663" s="151"/>
      <c r="X663" s="151"/>
      <c r="Y663" s="151"/>
      <c r="Z663" s="151"/>
    </row>
    <row r="664" customFormat="false" ht="12.75" hidden="false" customHeight="true" outlineLevel="0" collapsed="false">
      <c r="A664" s="151"/>
      <c r="C664" s="151"/>
      <c r="D664" s="151"/>
      <c r="E664" s="151"/>
      <c r="F664" s="151"/>
      <c r="G664" s="151"/>
      <c r="H664" s="151"/>
      <c r="I664" s="151"/>
      <c r="J664" s="151"/>
      <c r="K664" s="151"/>
      <c r="L664" s="151"/>
      <c r="M664" s="151"/>
      <c r="N664" s="151"/>
      <c r="O664" s="151"/>
      <c r="P664" s="151"/>
      <c r="Q664" s="151"/>
      <c r="R664" s="151"/>
      <c r="S664" s="151"/>
      <c r="T664" s="151"/>
      <c r="U664" s="151"/>
      <c r="V664" s="151"/>
      <c r="W664" s="151"/>
      <c r="X664" s="151"/>
      <c r="Y664" s="151"/>
      <c r="Z664" s="151"/>
    </row>
    <row r="665" customFormat="false" ht="12.75" hidden="false" customHeight="true" outlineLevel="0" collapsed="false">
      <c r="A665" s="151"/>
      <c r="C665" s="151"/>
      <c r="D665" s="151"/>
      <c r="E665" s="151"/>
      <c r="F665" s="151"/>
      <c r="G665" s="151"/>
      <c r="H665" s="151"/>
      <c r="I665" s="151"/>
      <c r="J665" s="151"/>
      <c r="K665" s="151"/>
      <c r="L665" s="151"/>
      <c r="M665" s="151"/>
      <c r="N665" s="151"/>
      <c r="O665" s="151"/>
      <c r="P665" s="151"/>
      <c r="Q665" s="151"/>
      <c r="R665" s="151"/>
      <c r="S665" s="151"/>
      <c r="T665" s="151"/>
      <c r="U665" s="151"/>
      <c r="V665" s="151"/>
      <c r="W665" s="151"/>
      <c r="X665" s="151"/>
      <c r="Y665" s="151"/>
      <c r="Z665" s="151"/>
    </row>
    <row r="666" customFormat="false" ht="12.75" hidden="false" customHeight="true" outlineLevel="0" collapsed="false">
      <c r="A666" s="151"/>
      <c r="C666" s="151"/>
      <c r="D666" s="151"/>
      <c r="E666" s="151"/>
      <c r="F666" s="151"/>
      <c r="G666" s="151"/>
      <c r="H666" s="151"/>
      <c r="I666" s="151"/>
      <c r="J666" s="151"/>
      <c r="K666" s="151"/>
      <c r="L666" s="151"/>
      <c r="M666" s="151"/>
      <c r="N666" s="151"/>
      <c r="O666" s="151"/>
      <c r="P666" s="151"/>
      <c r="Q666" s="151"/>
      <c r="R666" s="151"/>
      <c r="S666" s="151"/>
      <c r="T666" s="151"/>
      <c r="U666" s="151"/>
      <c r="V666" s="151"/>
      <c r="W666" s="151"/>
      <c r="X666" s="151"/>
      <c r="Y666" s="151"/>
      <c r="Z666" s="151"/>
    </row>
    <row r="667" customFormat="false" ht="12.75" hidden="false" customHeight="true" outlineLevel="0" collapsed="false">
      <c r="A667" s="151"/>
      <c r="C667" s="151"/>
      <c r="D667" s="151"/>
      <c r="E667" s="151"/>
      <c r="F667" s="151"/>
      <c r="G667" s="151"/>
      <c r="H667" s="151"/>
      <c r="I667" s="151"/>
      <c r="J667" s="151"/>
      <c r="K667" s="151"/>
      <c r="L667" s="151"/>
      <c r="M667" s="151"/>
      <c r="N667" s="151"/>
      <c r="O667" s="151"/>
      <c r="P667" s="151"/>
      <c r="Q667" s="151"/>
      <c r="R667" s="151"/>
      <c r="S667" s="151"/>
      <c r="T667" s="151"/>
      <c r="U667" s="151"/>
      <c r="V667" s="151"/>
      <c r="W667" s="151"/>
      <c r="X667" s="151"/>
      <c r="Y667" s="151"/>
      <c r="Z667" s="151"/>
    </row>
    <row r="668" customFormat="false" ht="12.75" hidden="false" customHeight="true" outlineLevel="0" collapsed="false">
      <c r="A668" s="151"/>
      <c r="C668" s="151"/>
      <c r="D668" s="151"/>
      <c r="E668" s="151"/>
      <c r="F668" s="151"/>
      <c r="G668" s="151"/>
      <c r="H668" s="151"/>
      <c r="I668" s="151"/>
      <c r="J668" s="151"/>
      <c r="K668" s="151"/>
      <c r="L668" s="151"/>
      <c r="M668" s="151"/>
      <c r="N668" s="151"/>
      <c r="O668" s="151"/>
      <c r="P668" s="151"/>
      <c r="Q668" s="151"/>
      <c r="R668" s="151"/>
      <c r="S668" s="151"/>
      <c r="T668" s="151"/>
      <c r="U668" s="151"/>
      <c r="V668" s="151"/>
      <c r="W668" s="151"/>
      <c r="X668" s="151"/>
      <c r="Y668" s="151"/>
      <c r="Z668" s="151"/>
    </row>
    <row r="669" customFormat="false" ht="12.75" hidden="false" customHeight="true" outlineLevel="0" collapsed="false">
      <c r="A669" s="151"/>
      <c r="C669" s="151"/>
      <c r="D669" s="151"/>
      <c r="E669" s="151"/>
      <c r="F669" s="151"/>
      <c r="G669" s="151"/>
      <c r="H669" s="151"/>
      <c r="I669" s="151"/>
      <c r="J669" s="151"/>
      <c r="K669" s="151"/>
      <c r="L669" s="151"/>
      <c r="M669" s="151"/>
      <c r="N669" s="151"/>
      <c r="O669" s="151"/>
      <c r="P669" s="151"/>
      <c r="Q669" s="151"/>
      <c r="R669" s="151"/>
      <c r="S669" s="151"/>
      <c r="T669" s="151"/>
      <c r="U669" s="151"/>
      <c r="V669" s="151"/>
      <c r="W669" s="151"/>
      <c r="X669" s="151"/>
      <c r="Y669" s="151"/>
      <c r="Z669" s="151"/>
    </row>
    <row r="670" customFormat="false" ht="12.75" hidden="false" customHeight="true" outlineLevel="0" collapsed="false">
      <c r="A670" s="151"/>
      <c r="C670" s="151"/>
      <c r="D670" s="151"/>
      <c r="E670" s="151"/>
      <c r="F670" s="151"/>
      <c r="G670" s="151"/>
      <c r="H670" s="151"/>
      <c r="I670" s="151"/>
      <c r="J670" s="151"/>
      <c r="K670" s="151"/>
      <c r="L670" s="151"/>
      <c r="M670" s="151"/>
      <c r="N670" s="151"/>
      <c r="O670" s="151"/>
      <c r="P670" s="151"/>
      <c r="Q670" s="151"/>
      <c r="R670" s="151"/>
      <c r="S670" s="151"/>
      <c r="T670" s="151"/>
      <c r="U670" s="151"/>
      <c r="V670" s="151"/>
      <c r="W670" s="151"/>
      <c r="X670" s="151"/>
      <c r="Y670" s="151"/>
      <c r="Z670" s="151"/>
    </row>
    <row r="671" customFormat="false" ht="12.75" hidden="false" customHeight="true" outlineLevel="0" collapsed="false">
      <c r="A671" s="151"/>
      <c r="C671" s="151"/>
      <c r="D671" s="151"/>
      <c r="E671" s="151"/>
      <c r="F671" s="151"/>
      <c r="G671" s="151"/>
      <c r="H671" s="151"/>
      <c r="I671" s="151"/>
      <c r="J671" s="151"/>
      <c r="K671" s="151"/>
      <c r="L671" s="151"/>
      <c r="M671" s="151"/>
      <c r="N671" s="151"/>
      <c r="O671" s="151"/>
      <c r="P671" s="151"/>
      <c r="Q671" s="151"/>
      <c r="R671" s="151"/>
      <c r="S671" s="151"/>
      <c r="T671" s="151"/>
      <c r="U671" s="151"/>
      <c r="V671" s="151"/>
      <c r="W671" s="151"/>
      <c r="X671" s="151"/>
      <c r="Y671" s="151"/>
      <c r="Z671" s="151"/>
    </row>
    <row r="672" customFormat="false" ht="12.75" hidden="false" customHeight="true" outlineLevel="0" collapsed="false">
      <c r="A672" s="151"/>
      <c r="C672" s="151"/>
      <c r="D672" s="151"/>
      <c r="E672" s="151"/>
      <c r="F672" s="151"/>
      <c r="G672" s="151"/>
      <c r="H672" s="151"/>
      <c r="I672" s="151"/>
      <c r="J672" s="151"/>
      <c r="K672" s="151"/>
      <c r="L672" s="151"/>
      <c r="M672" s="151"/>
      <c r="N672" s="151"/>
      <c r="O672" s="151"/>
      <c r="P672" s="151"/>
      <c r="Q672" s="151"/>
      <c r="R672" s="151"/>
      <c r="S672" s="151"/>
      <c r="T672" s="151"/>
      <c r="U672" s="151"/>
      <c r="V672" s="151"/>
      <c r="W672" s="151"/>
      <c r="X672" s="151"/>
      <c r="Y672" s="151"/>
      <c r="Z672" s="151"/>
    </row>
    <row r="673" customFormat="false" ht="12.75" hidden="false" customHeight="true" outlineLevel="0" collapsed="false">
      <c r="A673" s="151"/>
      <c r="C673" s="151"/>
      <c r="D673" s="151"/>
      <c r="E673" s="151"/>
      <c r="F673" s="151"/>
      <c r="G673" s="151"/>
      <c r="H673" s="151"/>
      <c r="I673" s="151"/>
      <c r="J673" s="151"/>
      <c r="K673" s="151"/>
      <c r="L673" s="151"/>
      <c r="M673" s="151"/>
      <c r="N673" s="151"/>
      <c r="O673" s="151"/>
      <c r="P673" s="151"/>
      <c r="Q673" s="151"/>
      <c r="R673" s="151"/>
      <c r="S673" s="151"/>
      <c r="T673" s="151"/>
      <c r="U673" s="151"/>
      <c r="V673" s="151"/>
      <c r="W673" s="151"/>
      <c r="X673" s="151"/>
      <c r="Y673" s="151"/>
      <c r="Z673" s="151"/>
    </row>
    <row r="674" customFormat="false" ht="12.75" hidden="false" customHeight="true" outlineLevel="0" collapsed="false">
      <c r="A674" s="151"/>
      <c r="C674" s="151"/>
      <c r="D674" s="151"/>
      <c r="E674" s="151"/>
      <c r="F674" s="151"/>
      <c r="G674" s="151"/>
      <c r="H674" s="151"/>
      <c r="I674" s="151"/>
      <c r="J674" s="151"/>
      <c r="K674" s="151"/>
      <c r="L674" s="151"/>
      <c r="M674" s="151"/>
      <c r="N674" s="151"/>
      <c r="O674" s="151"/>
      <c r="P674" s="151"/>
      <c r="Q674" s="151"/>
      <c r="R674" s="151"/>
      <c r="S674" s="151"/>
      <c r="T674" s="151"/>
      <c r="U674" s="151"/>
      <c r="V674" s="151"/>
      <c r="W674" s="151"/>
      <c r="X674" s="151"/>
      <c r="Y674" s="151"/>
      <c r="Z674" s="151"/>
    </row>
    <row r="675" customFormat="false" ht="12.75" hidden="false" customHeight="true" outlineLevel="0" collapsed="false">
      <c r="A675" s="151"/>
      <c r="C675" s="151"/>
      <c r="D675" s="151"/>
      <c r="E675" s="151"/>
      <c r="F675" s="151"/>
      <c r="G675" s="151"/>
      <c r="H675" s="151"/>
      <c r="I675" s="151"/>
      <c r="J675" s="151"/>
      <c r="K675" s="151"/>
      <c r="L675" s="151"/>
      <c r="M675" s="151"/>
      <c r="N675" s="151"/>
      <c r="O675" s="151"/>
      <c r="P675" s="151"/>
      <c r="Q675" s="151"/>
      <c r="R675" s="151"/>
      <c r="S675" s="151"/>
      <c r="T675" s="151"/>
      <c r="U675" s="151"/>
      <c r="V675" s="151"/>
      <c r="W675" s="151"/>
      <c r="X675" s="151"/>
      <c r="Y675" s="151"/>
      <c r="Z675" s="151"/>
    </row>
    <row r="676" customFormat="false" ht="12.75" hidden="false" customHeight="true" outlineLevel="0" collapsed="false">
      <c r="A676" s="151"/>
      <c r="C676" s="151"/>
      <c r="D676" s="151"/>
      <c r="E676" s="151"/>
      <c r="F676" s="151"/>
      <c r="G676" s="151"/>
      <c r="H676" s="151"/>
      <c r="I676" s="151"/>
      <c r="J676" s="151"/>
      <c r="K676" s="151"/>
      <c r="L676" s="151"/>
      <c r="M676" s="151"/>
      <c r="N676" s="151"/>
      <c r="O676" s="151"/>
      <c r="P676" s="151"/>
      <c r="Q676" s="151"/>
      <c r="R676" s="151"/>
      <c r="S676" s="151"/>
      <c r="T676" s="151"/>
      <c r="U676" s="151"/>
      <c r="V676" s="151"/>
      <c r="W676" s="151"/>
      <c r="X676" s="151"/>
      <c r="Y676" s="151"/>
      <c r="Z676" s="151"/>
    </row>
    <row r="677" customFormat="false" ht="12.75" hidden="false" customHeight="true" outlineLevel="0" collapsed="false">
      <c r="A677" s="151"/>
      <c r="C677" s="151"/>
      <c r="D677" s="151"/>
      <c r="E677" s="151"/>
      <c r="F677" s="151"/>
      <c r="G677" s="151"/>
      <c r="H677" s="151"/>
      <c r="I677" s="151"/>
      <c r="J677" s="151"/>
      <c r="K677" s="151"/>
      <c r="L677" s="151"/>
      <c r="M677" s="151"/>
      <c r="N677" s="151"/>
      <c r="O677" s="151"/>
      <c r="P677" s="151"/>
      <c r="Q677" s="151"/>
      <c r="R677" s="151"/>
      <c r="S677" s="151"/>
      <c r="T677" s="151"/>
      <c r="U677" s="151"/>
      <c r="V677" s="151"/>
      <c r="W677" s="151"/>
      <c r="X677" s="151"/>
      <c r="Y677" s="151"/>
      <c r="Z677" s="151"/>
    </row>
    <row r="678" customFormat="false" ht="12.75" hidden="false" customHeight="true" outlineLevel="0" collapsed="false">
      <c r="A678" s="151"/>
      <c r="C678" s="151"/>
      <c r="D678" s="151"/>
      <c r="E678" s="151"/>
      <c r="F678" s="151"/>
      <c r="G678" s="151"/>
      <c r="H678" s="151"/>
      <c r="I678" s="151"/>
      <c r="J678" s="151"/>
      <c r="K678" s="151"/>
      <c r="L678" s="151"/>
      <c r="M678" s="151"/>
      <c r="N678" s="151"/>
      <c r="O678" s="151"/>
      <c r="P678" s="151"/>
      <c r="Q678" s="151"/>
      <c r="R678" s="151"/>
      <c r="S678" s="151"/>
      <c r="T678" s="151"/>
      <c r="U678" s="151"/>
      <c r="V678" s="151"/>
      <c r="W678" s="151"/>
      <c r="X678" s="151"/>
      <c r="Y678" s="151"/>
      <c r="Z678" s="151"/>
    </row>
    <row r="679" customFormat="false" ht="12.75" hidden="false" customHeight="true" outlineLevel="0" collapsed="false">
      <c r="A679" s="151"/>
      <c r="C679" s="151"/>
      <c r="D679" s="151"/>
      <c r="E679" s="151"/>
      <c r="F679" s="151"/>
      <c r="G679" s="151"/>
      <c r="H679" s="151"/>
      <c r="I679" s="151"/>
      <c r="J679" s="151"/>
      <c r="K679" s="151"/>
      <c r="L679" s="151"/>
      <c r="M679" s="151"/>
      <c r="N679" s="151"/>
      <c r="O679" s="151"/>
      <c r="P679" s="151"/>
      <c r="Q679" s="151"/>
      <c r="R679" s="151"/>
      <c r="S679" s="151"/>
      <c r="T679" s="151"/>
      <c r="U679" s="151"/>
      <c r="V679" s="151"/>
      <c r="W679" s="151"/>
      <c r="X679" s="151"/>
      <c r="Y679" s="151"/>
      <c r="Z679" s="151"/>
    </row>
    <row r="680" customFormat="false" ht="12.75" hidden="false" customHeight="true" outlineLevel="0" collapsed="false">
      <c r="A680" s="151"/>
      <c r="C680" s="151"/>
      <c r="D680" s="151"/>
      <c r="E680" s="151"/>
      <c r="F680" s="151"/>
      <c r="G680" s="151"/>
      <c r="H680" s="151"/>
      <c r="I680" s="151"/>
      <c r="J680" s="151"/>
      <c r="K680" s="151"/>
      <c r="L680" s="151"/>
      <c r="M680" s="151"/>
      <c r="N680" s="151"/>
      <c r="O680" s="151"/>
      <c r="P680" s="151"/>
      <c r="Q680" s="151"/>
      <c r="R680" s="151"/>
      <c r="S680" s="151"/>
      <c r="T680" s="151"/>
      <c r="U680" s="151"/>
      <c r="V680" s="151"/>
      <c r="W680" s="151"/>
      <c r="X680" s="151"/>
      <c r="Y680" s="151"/>
      <c r="Z680" s="151"/>
    </row>
    <row r="681" customFormat="false" ht="12.75" hidden="false" customHeight="true" outlineLevel="0" collapsed="false">
      <c r="A681" s="151"/>
      <c r="C681" s="151"/>
      <c r="D681" s="151"/>
      <c r="E681" s="151"/>
      <c r="F681" s="151"/>
      <c r="G681" s="151"/>
      <c r="H681" s="151"/>
      <c r="I681" s="151"/>
      <c r="J681" s="151"/>
      <c r="K681" s="151"/>
      <c r="L681" s="151"/>
      <c r="M681" s="151"/>
      <c r="N681" s="151"/>
      <c r="O681" s="151"/>
      <c r="P681" s="151"/>
      <c r="Q681" s="151"/>
      <c r="R681" s="151"/>
      <c r="S681" s="151"/>
      <c r="T681" s="151"/>
      <c r="U681" s="151"/>
      <c r="V681" s="151"/>
      <c r="W681" s="151"/>
      <c r="X681" s="151"/>
      <c r="Y681" s="151"/>
      <c r="Z681" s="151"/>
    </row>
    <row r="682" customFormat="false" ht="12.75" hidden="false" customHeight="true" outlineLevel="0" collapsed="false">
      <c r="A682" s="151"/>
      <c r="C682" s="151"/>
      <c r="D682" s="151"/>
      <c r="E682" s="151"/>
      <c r="F682" s="151"/>
      <c r="G682" s="151"/>
      <c r="H682" s="151"/>
      <c r="I682" s="151"/>
      <c r="J682" s="151"/>
      <c r="K682" s="151"/>
      <c r="L682" s="151"/>
      <c r="M682" s="151"/>
      <c r="N682" s="151"/>
      <c r="O682" s="151"/>
      <c r="P682" s="151"/>
      <c r="Q682" s="151"/>
      <c r="R682" s="151"/>
      <c r="S682" s="151"/>
      <c r="T682" s="151"/>
      <c r="U682" s="151"/>
      <c r="V682" s="151"/>
      <c r="W682" s="151"/>
      <c r="X682" s="151"/>
      <c r="Y682" s="151"/>
      <c r="Z682" s="151"/>
    </row>
    <row r="683" customFormat="false" ht="12.75" hidden="false" customHeight="true" outlineLevel="0" collapsed="false">
      <c r="A683" s="151"/>
      <c r="C683" s="151"/>
      <c r="D683" s="151"/>
      <c r="E683" s="151"/>
      <c r="F683" s="151"/>
      <c r="G683" s="151"/>
      <c r="H683" s="151"/>
      <c r="I683" s="151"/>
      <c r="J683" s="151"/>
      <c r="K683" s="151"/>
      <c r="L683" s="151"/>
      <c r="M683" s="151"/>
      <c r="N683" s="151"/>
      <c r="O683" s="151"/>
      <c r="P683" s="151"/>
      <c r="Q683" s="151"/>
      <c r="R683" s="151"/>
      <c r="S683" s="151"/>
      <c r="T683" s="151"/>
      <c r="U683" s="151"/>
      <c r="V683" s="151"/>
      <c r="W683" s="151"/>
      <c r="X683" s="151"/>
      <c r="Y683" s="151"/>
      <c r="Z683" s="151"/>
    </row>
    <row r="684" customFormat="false" ht="12.75" hidden="false" customHeight="true" outlineLevel="0" collapsed="false">
      <c r="A684" s="151"/>
      <c r="C684" s="151"/>
      <c r="D684" s="151"/>
      <c r="E684" s="151"/>
      <c r="F684" s="151"/>
      <c r="G684" s="151"/>
      <c r="H684" s="151"/>
      <c r="I684" s="151"/>
      <c r="J684" s="151"/>
      <c r="K684" s="151"/>
      <c r="L684" s="151"/>
      <c r="M684" s="151"/>
      <c r="N684" s="151"/>
      <c r="O684" s="151"/>
      <c r="P684" s="151"/>
      <c r="Q684" s="151"/>
      <c r="R684" s="151"/>
      <c r="S684" s="151"/>
      <c r="T684" s="151"/>
      <c r="U684" s="151"/>
      <c r="V684" s="151"/>
      <c r="W684" s="151"/>
      <c r="X684" s="151"/>
      <c r="Y684" s="151"/>
      <c r="Z684" s="151"/>
    </row>
    <row r="685" customFormat="false" ht="12.75" hidden="false" customHeight="true" outlineLevel="0" collapsed="false">
      <c r="A685" s="151"/>
      <c r="C685" s="151"/>
      <c r="D685" s="151"/>
      <c r="E685" s="151"/>
      <c r="F685" s="151"/>
      <c r="G685" s="151"/>
      <c r="H685" s="151"/>
      <c r="I685" s="151"/>
      <c r="J685" s="151"/>
      <c r="K685" s="151"/>
      <c r="L685" s="151"/>
      <c r="M685" s="151"/>
      <c r="N685" s="151"/>
      <c r="O685" s="151"/>
      <c r="P685" s="151"/>
      <c r="Q685" s="151"/>
      <c r="R685" s="151"/>
      <c r="S685" s="151"/>
      <c r="T685" s="151"/>
      <c r="U685" s="151"/>
      <c r="V685" s="151"/>
      <c r="W685" s="151"/>
      <c r="X685" s="151"/>
      <c r="Y685" s="151"/>
      <c r="Z685" s="151"/>
    </row>
    <row r="686" customFormat="false" ht="12.75" hidden="false" customHeight="true" outlineLevel="0" collapsed="false">
      <c r="A686" s="151"/>
      <c r="C686" s="151"/>
      <c r="D686" s="151"/>
      <c r="E686" s="151"/>
      <c r="F686" s="151"/>
      <c r="G686" s="151"/>
      <c r="H686" s="151"/>
      <c r="I686" s="151"/>
      <c r="J686" s="151"/>
      <c r="K686" s="151"/>
      <c r="L686" s="151"/>
      <c r="M686" s="151"/>
      <c r="N686" s="151"/>
      <c r="O686" s="151"/>
      <c r="P686" s="151"/>
      <c r="Q686" s="151"/>
      <c r="R686" s="151"/>
      <c r="S686" s="151"/>
      <c r="T686" s="151"/>
      <c r="U686" s="151"/>
      <c r="V686" s="151"/>
      <c r="W686" s="151"/>
      <c r="X686" s="151"/>
      <c r="Y686" s="151"/>
      <c r="Z686" s="151"/>
    </row>
    <row r="687" customFormat="false" ht="12.75" hidden="false" customHeight="true" outlineLevel="0" collapsed="false">
      <c r="A687" s="151"/>
      <c r="C687" s="151"/>
      <c r="D687" s="151"/>
      <c r="E687" s="151"/>
      <c r="F687" s="151"/>
      <c r="G687" s="151"/>
      <c r="H687" s="151"/>
      <c r="I687" s="151"/>
      <c r="J687" s="151"/>
      <c r="K687" s="151"/>
      <c r="L687" s="151"/>
      <c r="M687" s="151"/>
      <c r="N687" s="151"/>
      <c r="O687" s="151"/>
      <c r="P687" s="151"/>
      <c r="Q687" s="151"/>
      <c r="R687" s="151"/>
      <c r="S687" s="151"/>
      <c r="T687" s="151"/>
      <c r="U687" s="151"/>
      <c r="V687" s="151"/>
      <c r="W687" s="151"/>
      <c r="X687" s="151"/>
      <c r="Y687" s="151"/>
      <c r="Z687" s="151"/>
    </row>
    <row r="688" customFormat="false" ht="12.75" hidden="false" customHeight="true" outlineLevel="0" collapsed="false">
      <c r="A688" s="151"/>
      <c r="C688" s="151"/>
      <c r="D688" s="151"/>
      <c r="E688" s="151"/>
      <c r="F688" s="151"/>
      <c r="G688" s="151"/>
      <c r="H688" s="151"/>
      <c r="I688" s="151"/>
      <c r="J688" s="151"/>
      <c r="K688" s="151"/>
      <c r="L688" s="151"/>
      <c r="M688" s="151"/>
      <c r="N688" s="151"/>
      <c r="O688" s="151"/>
      <c r="P688" s="151"/>
      <c r="Q688" s="151"/>
      <c r="R688" s="151"/>
      <c r="S688" s="151"/>
      <c r="T688" s="151"/>
      <c r="U688" s="151"/>
      <c r="V688" s="151"/>
      <c r="W688" s="151"/>
      <c r="X688" s="151"/>
      <c r="Y688" s="151"/>
      <c r="Z688" s="151"/>
    </row>
    <row r="689" customFormat="false" ht="12.75" hidden="false" customHeight="true" outlineLevel="0" collapsed="false">
      <c r="A689" s="151"/>
      <c r="C689" s="151"/>
      <c r="D689" s="151"/>
      <c r="E689" s="151"/>
      <c r="F689" s="151"/>
      <c r="G689" s="151"/>
      <c r="H689" s="151"/>
      <c r="I689" s="151"/>
      <c r="J689" s="151"/>
      <c r="K689" s="151"/>
      <c r="L689" s="151"/>
      <c r="M689" s="151"/>
      <c r="N689" s="151"/>
      <c r="O689" s="151"/>
      <c r="P689" s="151"/>
      <c r="Q689" s="151"/>
      <c r="R689" s="151"/>
      <c r="S689" s="151"/>
      <c r="T689" s="151"/>
      <c r="U689" s="151"/>
      <c r="V689" s="151"/>
      <c r="W689" s="151"/>
      <c r="X689" s="151"/>
      <c r="Y689" s="151"/>
      <c r="Z689" s="151"/>
    </row>
    <row r="690" customFormat="false" ht="12.75" hidden="false" customHeight="true" outlineLevel="0" collapsed="false">
      <c r="A690" s="151"/>
      <c r="C690" s="151"/>
      <c r="D690" s="151"/>
      <c r="E690" s="151"/>
      <c r="F690" s="151"/>
      <c r="G690" s="151"/>
      <c r="H690" s="151"/>
      <c r="I690" s="151"/>
      <c r="J690" s="151"/>
      <c r="K690" s="151"/>
      <c r="L690" s="151"/>
      <c r="M690" s="151"/>
      <c r="N690" s="151"/>
      <c r="O690" s="151"/>
      <c r="P690" s="151"/>
      <c r="Q690" s="151"/>
      <c r="R690" s="151"/>
      <c r="S690" s="151"/>
      <c r="T690" s="151"/>
      <c r="U690" s="151"/>
      <c r="V690" s="151"/>
      <c r="W690" s="151"/>
      <c r="X690" s="151"/>
      <c r="Y690" s="151"/>
      <c r="Z690" s="151"/>
    </row>
    <row r="691" customFormat="false" ht="12.75" hidden="false" customHeight="true" outlineLevel="0" collapsed="false">
      <c r="A691" s="151"/>
      <c r="C691" s="151"/>
      <c r="D691" s="151"/>
      <c r="E691" s="151"/>
      <c r="F691" s="151"/>
      <c r="G691" s="151"/>
      <c r="H691" s="151"/>
      <c r="I691" s="151"/>
      <c r="J691" s="151"/>
      <c r="K691" s="151"/>
      <c r="L691" s="151"/>
      <c r="M691" s="151"/>
      <c r="N691" s="151"/>
      <c r="O691" s="151"/>
      <c r="P691" s="151"/>
      <c r="Q691" s="151"/>
      <c r="R691" s="151"/>
      <c r="S691" s="151"/>
      <c r="T691" s="151"/>
      <c r="U691" s="151"/>
      <c r="V691" s="151"/>
      <c r="W691" s="151"/>
      <c r="X691" s="151"/>
      <c r="Y691" s="151"/>
      <c r="Z691" s="151"/>
    </row>
    <row r="692" customFormat="false" ht="12.75" hidden="false" customHeight="true" outlineLevel="0" collapsed="false">
      <c r="A692" s="151"/>
      <c r="C692" s="151"/>
      <c r="D692" s="151"/>
      <c r="E692" s="151"/>
      <c r="F692" s="151"/>
      <c r="G692" s="151"/>
      <c r="H692" s="151"/>
      <c r="I692" s="151"/>
      <c r="J692" s="151"/>
      <c r="K692" s="151"/>
      <c r="L692" s="151"/>
      <c r="M692" s="151"/>
      <c r="N692" s="151"/>
      <c r="O692" s="151"/>
      <c r="P692" s="151"/>
      <c r="Q692" s="151"/>
      <c r="R692" s="151"/>
      <c r="S692" s="151"/>
      <c r="T692" s="151"/>
      <c r="U692" s="151"/>
      <c r="V692" s="151"/>
      <c r="W692" s="151"/>
      <c r="X692" s="151"/>
      <c r="Y692" s="151"/>
      <c r="Z692" s="151"/>
    </row>
    <row r="693" customFormat="false" ht="12.75" hidden="false" customHeight="true" outlineLevel="0" collapsed="false">
      <c r="A693" s="151"/>
      <c r="C693" s="151"/>
      <c r="D693" s="151"/>
      <c r="E693" s="151"/>
      <c r="F693" s="151"/>
      <c r="G693" s="151"/>
      <c r="H693" s="151"/>
      <c r="I693" s="151"/>
      <c r="J693" s="151"/>
      <c r="K693" s="151"/>
      <c r="L693" s="151"/>
      <c r="M693" s="151"/>
      <c r="N693" s="151"/>
      <c r="O693" s="151"/>
      <c r="P693" s="151"/>
      <c r="Q693" s="151"/>
      <c r="R693" s="151"/>
      <c r="S693" s="151"/>
      <c r="T693" s="151"/>
      <c r="U693" s="151"/>
      <c r="V693" s="151"/>
      <c r="W693" s="151"/>
      <c r="X693" s="151"/>
      <c r="Y693" s="151"/>
      <c r="Z693" s="151"/>
    </row>
    <row r="694" customFormat="false" ht="12.75" hidden="false" customHeight="true" outlineLevel="0" collapsed="false">
      <c r="A694" s="151"/>
      <c r="C694" s="151"/>
      <c r="D694" s="151"/>
      <c r="E694" s="151"/>
      <c r="F694" s="151"/>
      <c r="G694" s="151"/>
      <c r="H694" s="151"/>
      <c r="I694" s="151"/>
      <c r="J694" s="151"/>
      <c r="K694" s="151"/>
      <c r="L694" s="151"/>
      <c r="M694" s="151"/>
      <c r="N694" s="151"/>
      <c r="O694" s="151"/>
      <c r="P694" s="151"/>
      <c r="Q694" s="151"/>
      <c r="R694" s="151"/>
      <c r="S694" s="151"/>
      <c r="T694" s="151"/>
      <c r="U694" s="151"/>
      <c r="V694" s="151"/>
      <c r="W694" s="151"/>
      <c r="X694" s="151"/>
      <c r="Y694" s="151"/>
      <c r="Z694" s="151"/>
    </row>
    <row r="695" customFormat="false" ht="12.75" hidden="false" customHeight="true" outlineLevel="0" collapsed="false">
      <c r="A695" s="151"/>
      <c r="C695" s="151"/>
      <c r="D695" s="151"/>
      <c r="E695" s="151"/>
      <c r="F695" s="151"/>
      <c r="G695" s="151"/>
      <c r="H695" s="151"/>
      <c r="I695" s="151"/>
      <c r="J695" s="151"/>
      <c r="K695" s="151"/>
      <c r="L695" s="151"/>
      <c r="M695" s="151"/>
      <c r="N695" s="151"/>
      <c r="O695" s="151"/>
      <c r="P695" s="151"/>
      <c r="Q695" s="151"/>
      <c r="R695" s="151"/>
      <c r="S695" s="151"/>
      <c r="T695" s="151"/>
      <c r="U695" s="151"/>
      <c r="V695" s="151"/>
      <c r="W695" s="151"/>
      <c r="X695" s="151"/>
      <c r="Y695" s="151"/>
      <c r="Z695" s="151"/>
    </row>
    <row r="696" customFormat="false" ht="12.75" hidden="false" customHeight="true" outlineLevel="0" collapsed="false">
      <c r="A696" s="151"/>
      <c r="C696" s="151"/>
      <c r="D696" s="151"/>
      <c r="E696" s="151"/>
      <c r="F696" s="151"/>
      <c r="G696" s="151"/>
      <c r="H696" s="151"/>
      <c r="I696" s="151"/>
      <c r="J696" s="151"/>
      <c r="K696" s="151"/>
      <c r="L696" s="151"/>
      <c r="M696" s="151"/>
      <c r="N696" s="151"/>
      <c r="O696" s="151"/>
      <c r="P696" s="151"/>
      <c r="Q696" s="151"/>
      <c r="R696" s="151"/>
      <c r="S696" s="151"/>
      <c r="T696" s="151"/>
      <c r="U696" s="151"/>
      <c r="V696" s="151"/>
      <c r="W696" s="151"/>
      <c r="X696" s="151"/>
      <c r="Y696" s="151"/>
      <c r="Z696" s="151"/>
    </row>
    <row r="697" customFormat="false" ht="12.75" hidden="false" customHeight="true" outlineLevel="0" collapsed="false">
      <c r="A697" s="151"/>
      <c r="C697" s="151"/>
      <c r="D697" s="151"/>
      <c r="E697" s="151"/>
      <c r="F697" s="151"/>
      <c r="G697" s="151"/>
      <c r="H697" s="151"/>
      <c r="I697" s="151"/>
      <c r="J697" s="151"/>
      <c r="K697" s="151"/>
      <c r="L697" s="151"/>
      <c r="M697" s="151"/>
      <c r="N697" s="151"/>
      <c r="O697" s="151"/>
      <c r="P697" s="151"/>
      <c r="Q697" s="151"/>
      <c r="R697" s="151"/>
      <c r="S697" s="151"/>
      <c r="T697" s="151"/>
      <c r="U697" s="151"/>
      <c r="V697" s="151"/>
      <c r="W697" s="151"/>
      <c r="X697" s="151"/>
      <c r="Y697" s="151"/>
      <c r="Z697" s="151"/>
    </row>
    <row r="698" customFormat="false" ht="12.75" hidden="false" customHeight="true" outlineLevel="0" collapsed="false">
      <c r="A698" s="151"/>
      <c r="C698" s="151"/>
      <c r="D698" s="151"/>
      <c r="E698" s="151"/>
      <c r="F698" s="151"/>
      <c r="G698" s="151"/>
      <c r="H698" s="151"/>
      <c r="I698" s="151"/>
      <c r="J698" s="151"/>
      <c r="K698" s="151"/>
      <c r="L698" s="151"/>
      <c r="M698" s="151"/>
      <c r="N698" s="151"/>
      <c r="O698" s="151"/>
      <c r="P698" s="151"/>
      <c r="Q698" s="151"/>
      <c r="R698" s="151"/>
      <c r="S698" s="151"/>
      <c r="T698" s="151"/>
      <c r="U698" s="151"/>
      <c r="V698" s="151"/>
      <c r="W698" s="151"/>
      <c r="X698" s="151"/>
      <c r="Y698" s="151"/>
      <c r="Z698" s="151"/>
    </row>
    <row r="699" customFormat="false" ht="12.75" hidden="false" customHeight="true" outlineLevel="0" collapsed="false">
      <c r="A699" s="151"/>
      <c r="C699" s="151"/>
      <c r="D699" s="151"/>
      <c r="E699" s="151"/>
      <c r="F699" s="151"/>
      <c r="G699" s="151"/>
      <c r="H699" s="151"/>
      <c r="I699" s="151"/>
      <c r="J699" s="151"/>
      <c r="K699" s="151"/>
      <c r="L699" s="151"/>
      <c r="M699" s="151"/>
      <c r="N699" s="151"/>
      <c r="O699" s="151"/>
      <c r="P699" s="151"/>
      <c r="Q699" s="151"/>
      <c r="R699" s="151"/>
      <c r="S699" s="151"/>
      <c r="T699" s="151"/>
      <c r="U699" s="151"/>
      <c r="V699" s="151"/>
      <c r="W699" s="151"/>
      <c r="X699" s="151"/>
      <c r="Y699" s="151"/>
      <c r="Z699" s="151"/>
    </row>
    <row r="700" customFormat="false" ht="12.75" hidden="false" customHeight="true" outlineLevel="0" collapsed="false">
      <c r="A700" s="151"/>
      <c r="C700" s="151"/>
      <c r="D700" s="151"/>
      <c r="E700" s="151"/>
      <c r="F700" s="151"/>
      <c r="G700" s="151"/>
      <c r="H700" s="151"/>
      <c r="I700" s="151"/>
      <c r="J700" s="151"/>
      <c r="K700" s="151"/>
      <c r="L700" s="151"/>
      <c r="M700" s="151"/>
      <c r="N700" s="151"/>
      <c r="O700" s="151"/>
      <c r="P700" s="151"/>
      <c r="Q700" s="151"/>
      <c r="R700" s="151"/>
      <c r="S700" s="151"/>
      <c r="T700" s="151"/>
      <c r="U700" s="151"/>
      <c r="V700" s="151"/>
      <c r="W700" s="151"/>
      <c r="X700" s="151"/>
      <c r="Y700" s="151"/>
      <c r="Z700" s="151"/>
    </row>
    <row r="701" customFormat="false" ht="12.75" hidden="false" customHeight="true" outlineLevel="0" collapsed="false">
      <c r="A701" s="151"/>
      <c r="C701" s="151"/>
      <c r="D701" s="151"/>
      <c r="E701" s="151"/>
      <c r="F701" s="151"/>
      <c r="G701" s="151"/>
      <c r="H701" s="151"/>
      <c r="I701" s="151"/>
      <c r="J701" s="151"/>
      <c r="K701" s="151"/>
      <c r="L701" s="151"/>
      <c r="M701" s="151"/>
      <c r="N701" s="151"/>
      <c r="O701" s="151"/>
      <c r="P701" s="151"/>
      <c r="Q701" s="151"/>
      <c r="R701" s="151"/>
      <c r="S701" s="151"/>
      <c r="T701" s="151"/>
      <c r="U701" s="151"/>
      <c r="V701" s="151"/>
      <c r="W701" s="151"/>
      <c r="X701" s="151"/>
      <c r="Y701" s="151"/>
      <c r="Z701" s="151"/>
    </row>
    <row r="702" customFormat="false" ht="12.75" hidden="false" customHeight="true" outlineLevel="0" collapsed="false">
      <c r="A702" s="151"/>
      <c r="C702" s="151"/>
      <c r="D702" s="151"/>
      <c r="E702" s="151"/>
      <c r="F702" s="151"/>
      <c r="G702" s="151"/>
      <c r="H702" s="151"/>
      <c r="I702" s="151"/>
      <c r="J702" s="151"/>
      <c r="K702" s="151"/>
      <c r="L702" s="151"/>
      <c r="M702" s="151"/>
      <c r="N702" s="151"/>
      <c r="O702" s="151"/>
      <c r="P702" s="151"/>
      <c r="Q702" s="151"/>
      <c r="R702" s="151"/>
      <c r="S702" s="151"/>
      <c r="T702" s="151"/>
      <c r="U702" s="151"/>
      <c r="V702" s="151"/>
      <c r="W702" s="151"/>
      <c r="X702" s="151"/>
      <c r="Y702" s="151"/>
      <c r="Z702" s="151"/>
    </row>
    <row r="703" customFormat="false" ht="12.75" hidden="false" customHeight="true" outlineLevel="0" collapsed="false">
      <c r="A703" s="151"/>
      <c r="C703" s="151"/>
      <c r="D703" s="151"/>
      <c r="E703" s="151"/>
      <c r="F703" s="151"/>
      <c r="G703" s="151"/>
      <c r="H703" s="151"/>
      <c r="I703" s="151"/>
      <c r="J703" s="151"/>
      <c r="K703" s="151"/>
      <c r="L703" s="151"/>
      <c r="M703" s="151"/>
      <c r="N703" s="151"/>
      <c r="O703" s="151"/>
      <c r="P703" s="151"/>
      <c r="Q703" s="151"/>
      <c r="R703" s="151"/>
      <c r="S703" s="151"/>
      <c r="T703" s="151"/>
      <c r="U703" s="151"/>
      <c r="V703" s="151"/>
      <c r="W703" s="151"/>
      <c r="X703" s="151"/>
      <c r="Y703" s="151"/>
      <c r="Z703" s="151"/>
    </row>
    <row r="704" customFormat="false" ht="12.75" hidden="false" customHeight="true" outlineLevel="0" collapsed="false">
      <c r="A704" s="151"/>
      <c r="C704" s="151"/>
      <c r="D704" s="151"/>
      <c r="E704" s="151"/>
      <c r="F704" s="151"/>
      <c r="G704" s="151"/>
      <c r="H704" s="151"/>
      <c r="I704" s="151"/>
      <c r="J704" s="151"/>
      <c r="K704" s="151"/>
      <c r="L704" s="151"/>
      <c r="M704" s="151"/>
      <c r="N704" s="151"/>
      <c r="O704" s="151"/>
      <c r="P704" s="151"/>
      <c r="Q704" s="151"/>
      <c r="R704" s="151"/>
      <c r="S704" s="151"/>
      <c r="T704" s="151"/>
      <c r="U704" s="151"/>
      <c r="V704" s="151"/>
      <c r="W704" s="151"/>
      <c r="X704" s="151"/>
      <c r="Y704" s="151"/>
      <c r="Z704" s="151"/>
    </row>
    <row r="705" customFormat="false" ht="12.75" hidden="false" customHeight="true" outlineLevel="0" collapsed="false">
      <c r="A705" s="151"/>
      <c r="C705" s="151"/>
      <c r="D705" s="151"/>
      <c r="E705" s="151"/>
      <c r="F705" s="151"/>
      <c r="G705" s="151"/>
      <c r="H705" s="151"/>
      <c r="I705" s="151"/>
      <c r="J705" s="151"/>
      <c r="K705" s="151"/>
      <c r="L705" s="151"/>
      <c r="M705" s="151"/>
      <c r="N705" s="151"/>
      <c r="O705" s="151"/>
      <c r="P705" s="151"/>
      <c r="Q705" s="151"/>
      <c r="R705" s="151"/>
      <c r="S705" s="151"/>
      <c r="T705" s="151"/>
      <c r="U705" s="151"/>
      <c r="V705" s="151"/>
      <c r="W705" s="151"/>
      <c r="X705" s="151"/>
      <c r="Y705" s="151"/>
      <c r="Z705" s="151"/>
    </row>
    <row r="706" customFormat="false" ht="12.75" hidden="false" customHeight="true" outlineLevel="0" collapsed="false">
      <c r="A706" s="151"/>
      <c r="C706" s="151"/>
      <c r="D706" s="151"/>
      <c r="E706" s="151"/>
      <c r="F706" s="151"/>
      <c r="G706" s="151"/>
      <c r="H706" s="151"/>
      <c r="I706" s="151"/>
      <c r="J706" s="151"/>
      <c r="K706" s="151"/>
      <c r="L706" s="151"/>
      <c r="M706" s="151"/>
      <c r="N706" s="151"/>
      <c r="O706" s="151"/>
      <c r="P706" s="151"/>
      <c r="Q706" s="151"/>
      <c r="R706" s="151"/>
      <c r="S706" s="151"/>
      <c r="T706" s="151"/>
      <c r="U706" s="151"/>
      <c r="V706" s="151"/>
      <c r="W706" s="151"/>
      <c r="X706" s="151"/>
      <c r="Y706" s="151"/>
      <c r="Z706" s="151"/>
    </row>
    <row r="707" customFormat="false" ht="12.75" hidden="false" customHeight="true" outlineLevel="0" collapsed="false">
      <c r="A707" s="151"/>
      <c r="C707" s="151"/>
      <c r="D707" s="151"/>
      <c r="E707" s="151"/>
      <c r="F707" s="151"/>
      <c r="G707" s="151"/>
      <c r="H707" s="151"/>
      <c r="I707" s="151"/>
      <c r="J707" s="151"/>
      <c r="K707" s="151"/>
      <c r="L707" s="151"/>
      <c r="M707" s="151"/>
      <c r="N707" s="151"/>
      <c r="O707" s="151"/>
      <c r="P707" s="151"/>
      <c r="Q707" s="151"/>
      <c r="R707" s="151"/>
      <c r="S707" s="151"/>
      <c r="T707" s="151"/>
      <c r="U707" s="151"/>
      <c r="V707" s="151"/>
      <c r="W707" s="151"/>
      <c r="X707" s="151"/>
      <c r="Y707" s="151"/>
      <c r="Z707" s="151"/>
    </row>
    <row r="708" customFormat="false" ht="12.75" hidden="false" customHeight="true" outlineLevel="0" collapsed="false">
      <c r="A708" s="151"/>
      <c r="C708" s="151"/>
      <c r="D708" s="151"/>
      <c r="E708" s="151"/>
      <c r="F708" s="151"/>
      <c r="G708" s="151"/>
      <c r="H708" s="151"/>
      <c r="I708" s="151"/>
      <c r="J708" s="151"/>
      <c r="K708" s="151"/>
      <c r="L708" s="151"/>
      <c r="M708" s="151"/>
      <c r="N708" s="151"/>
      <c r="O708" s="151"/>
      <c r="P708" s="151"/>
      <c r="Q708" s="151"/>
      <c r="R708" s="151"/>
      <c r="S708" s="151"/>
      <c r="T708" s="151"/>
      <c r="U708" s="151"/>
      <c r="V708" s="151"/>
      <c r="W708" s="151"/>
      <c r="X708" s="151"/>
      <c r="Y708" s="151"/>
      <c r="Z708" s="151"/>
    </row>
    <row r="709" customFormat="false" ht="12.75" hidden="false" customHeight="true" outlineLevel="0" collapsed="false">
      <c r="A709" s="151"/>
      <c r="C709" s="151"/>
      <c r="D709" s="151"/>
      <c r="E709" s="151"/>
      <c r="F709" s="151"/>
      <c r="G709" s="151"/>
      <c r="H709" s="151"/>
      <c r="I709" s="151"/>
      <c r="J709" s="151"/>
      <c r="K709" s="151"/>
      <c r="L709" s="151"/>
      <c r="M709" s="151"/>
      <c r="N709" s="151"/>
      <c r="O709" s="151"/>
      <c r="P709" s="151"/>
      <c r="Q709" s="151"/>
      <c r="R709" s="151"/>
      <c r="S709" s="151"/>
      <c r="T709" s="151"/>
      <c r="U709" s="151"/>
      <c r="V709" s="151"/>
      <c r="W709" s="151"/>
      <c r="X709" s="151"/>
      <c r="Y709" s="151"/>
      <c r="Z709" s="151"/>
    </row>
    <row r="710" customFormat="false" ht="12.75" hidden="false" customHeight="true" outlineLevel="0" collapsed="false">
      <c r="A710" s="151"/>
      <c r="C710" s="151"/>
      <c r="D710" s="151"/>
      <c r="E710" s="151"/>
      <c r="F710" s="151"/>
      <c r="G710" s="151"/>
      <c r="H710" s="151"/>
      <c r="I710" s="151"/>
      <c r="J710" s="151"/>
      <c r="K710" s="151"/>
      <c r="L710" s="151"/>
      <c r="M710" s="151"/>
      <c r="N710" s="151"/>
      <c r="O710" s="151"/>
      <c r="P710" s="151"/>
      <c r="Q710" s="151"/>
      <c r="R710" s="151"/>
      <c r="S710" s="151"/>
      <c r="T710" s="151"/>
      <c r="U710" s="151"/>
      <c r="V710" s="151"/>
      <c r="W710" s="151"/>
      <c r="X710" s="151"/>
      <c r="Y710" s="151"/>
      <c r="Z710" s="151"/>
    </row>
    <row r="711" customFormat="false" ht="12.75" hidden="false" customHeight="true" outlineLevel="0" collapsed="false">
      <c r="A711" s="151"/>
      <c r="C711" s="151"/>
      <c r="D711" s="151"/>
      <c r="E711" s="151"/>
      <c r="F711" s="151"/>
      <c r="G711" s="151"/>
      <c r="H711" s="151"/>
      <c r="I711" s="151"/>
      <c r="J711" s="151"/>
      <c r="K711" s="151"/>
      <c r="L711" s="151"/>
      <c r="M711" s="151"/>
      <c r="N711" s="151"/>
      <c r="O711" s="151"/>
      <c r="P711" s="151"/>
      <c r="Q711" s="151"/>
      <c r="R711" s="151"/>
      <c r="S711" s="151"/>
      <c r="T711" s="151"/>
      <c r="U711" s="151"/>
      <c r="V711" s="151"/>
      <c r="W711" s="151"/>
      <c r="X711" s="151"/>
      <c r="Y711" s="151"/>
      <c r="Z711" s="151"/>
    </row>
    <row r="712" customFormat="false" ht="12.75" hidden="false" customHeight="true" outlineLevel="0" collapsed="false">
      <c r="A712" s="151"/>
      <c r="C712" s="151"/>
      <c r="D712" s="151"/>
      <c r="E712" s="151"/>
      <c r="F712" s="151"/>
      <c r="G712" s="151"/>
      <c r="H712" s="151"/>
      <c r="I712" s="151"/>
      <c r="J712" s="151"/>
      <c r="K712" s="151"/>
      <c r="L712" s="151"/>
      <c r="M712" s="151"/>
      <c r="N712" s="151"/>
      <c r="O712" s="151"/>
      <c r="P712" s="151"/>
      <c r="Q712" s="151"/>
      <c r="R712" s="151"/>
      <c r="S712" s="151"/>
      <c r="T712" s="151"/>
      <c r="U712" s="151"/>
      <c r="V712" s="151"/>
      <c r="W712" s="151"/>
      <c r="X712" s="151"/>
      <c r="Y712" s="151"/>
      <c r="Z712" s="151"/>
    </row>
    <row r="713" customFormat="false" ht="12.75" hidden="false" customHeight="true" outlineLevel="0" collapsed="false">
      <c r="A713" s="151"/>
      <c r="C713" s="151"/>
      <c r="D713" s="151"/>
      <c r="E713" s="151"/>
      <c r="F713" s="151"/>
      <c r="G713" s="151"/>
      <c r="H713" s="151"/>
      <c r="I713" s="151"/>
      <c r="J713" s="151"/>
      <c r="K713" s="151"/>
      <c r="L713" s="151"/>
      <c r="M713" s="151"/>
      <c r="N713" s="151"/>
      <c r="O713" s="151"/>
      <c r="P713" s="151"/>
      <c r="Q713" s="151"/>
      <c r="R713" s="151"/>
      <c r="S713" s="151"/>
      <c r="T713" s="151"/>
      <c r="U713" s="151"/>
      <c r="V713" s="151"/>
      <c r="W713" s="151"/>
      <c r="X713" s="151"/>
      <c r="Y713" s="151"/>
      <c r="Z713" s="151"/>
    </row>
    <row r="714" customFormat="false" ht="12.75" hidden="false" customHeight="true" outlineLevel="0" collapsed="false">
      <c r="A714" s="151"/>
      <c r="C714" s="151"/>
      <c r="D714" s="151"/>
      <c r="E714" s="151"/>
      <c r="F714" s="151"/>
      <c r="G714" s="151"/>
      <c r="H714" s="151"/>
      <c r="I714" s="151"/>
      <c r="J714" s="151"/>
      <c r="K714" s="151"/>
      <c r="L714" s="151"/>
      <c r="M714" s="151"/>
      <c r="N714" s="151"/>
      <c r="O714" s="151"/>
      <c r="P714" s="151"/>
      <c r="Q714" s="151"/>
      <c r="R714" s="151"/>
      <c r="S714" s="151"/>
      <c r="T714" s="151"/>
      <c r="U714" s="151"/>
      <c r="V714" s="151"/>
      <c r="W714" s="151"/>
      <c r="X714" s="151"/>
      <c r="Y714" s="151"/>
      <c r="Z714" s="151"/>
    </row>
    <row r="715" customFormat="false" ht="12.75" hidden="false" customHeight="true" outlineLevel="0" collapsed="false">
      <c r="A715" s="151"/>
      <c r="C715" s="151"/>
      <c r="D715" s="151"/>
      <c r="E715" s="151"/>
      <c r="F715" s="151"/>
      <c r="G715" s="151"/>
      <c r="H715" s="151"/>
      <c r="I715" s="151"/>
      <c r="J715" s="151"/>
      <c r="K715" s="151"/>
      <c r="L715" s="151"/>
      <c r="M715" s="151"/>
      <c r="N715" s="151"/>
      <c r="O715" s="151"/>
      <c r="P715" s="151"/>
      <c r="Q715" s="151"/>
      <c r="R715" s="151"/>
      <c r="S715" s="151"/>
      <c r="T715" s="151"/>
      <c r="U715" s="151"/>
      <c r="V715" s="151"/>
      <c r="W715" s="151"/>
      <c r="X715" s="151"/>
      <c r="Y715" s="151"/>
      <c r="Z715" s="151"/>
    </row>
    <row r="716" customFormat="false" ht="12.75" hidden="false" customHeight="true" outlineLevel="0" collapsed="false">
      <c r="A716" s="151"/>
      <c r="C716" s="151"/>
      <c r="D716" s="151"/>
      <c r="E716" s="151"/>
      <c r="F716" s="151"/>
      <c r="G716" s="151"/>
      <c r="H716" s="151"/>
      <c r="I716" s="151"/>
      <c r="J716" s="151"/>
      <c r="K716" s="151"/>
      <c r="L716" s="151"/>
      <c r="M716" s="151"/>
      <c r="N716" s="151"/>
      <c r="O716" s="151"/>
      <c r="P716" s="151"/>
      <c r="Q716" s="151"/>
      <c r="R716" s="151"/>
      <c r="S716" s="151"/>
      <c r="T716" s="151"/>
      <c r="U716" s="151"/>
      <c r="V716" s="151"/>
      <c r="W716" s="151"/>
      <c r="X716" s="151"/>
      <c r="Y716" s="151"/>
      <c r="Z716" s="151"/>
    </row>
    <row r="717" customFormat="false" ht="12.75" hidden="false" customHeight="true" outlineLevel="0" collapsed="false">
      <c r="A717" s="151"/>
      <c r="C717" s="151"/>
      <c r="D717" s="151"/>
      <c r="E717" s="151"/>
      <c r="F717" s="151"/>
      <c r="G717" s="151"/>
      <c r="H717" s="151"/>
      <c r="I717" s="151"/>
      <c r="J717" s="151"/>
      <c r="K717" s="151"/>
      <c r="L717" s="151"/>
      <c r="M717" s="151"/>
      <c r="N717" s="151"/>
      <c r="O717" s="151"/>
      <c r="P717" s="151"/>
      <c r="Q717" s="151"/>
      <c r="R717" s="151"/>
      <c r="S717" s="151"/>
      <c r="T717" s="151"/>
      <c r="U717" s="151"/>
      <c r="V717" s="151"/>
      <c r="W717" s="151"/>
      <c r="X717" s="151"/>
      <c r="Y717" s="151"/>
      <c r="Z717" s="151"/>
    </row>
    <row r="718" customFormat="false" ht="12.75" hidden="false" customHeight="true" outlineLevel="0" collapsed="false">
      <c r="A718" s="151"/>
      <c r="C718" s="151"/>
      <c r="D718" s="151"/>
      <c r="E718" s="151"/>
      <c r="F718" s="151"/>
      <c r="G718" s="151"/>
      <c r="H718" s="151"/>
      <c r="I718" s="151"/>
      <c r="J718" s="151"/>
      <c r="K718" s="151"/>
      <c r="L718" s="151"/>
      <c r="M718" s="151"/>
      <c r="N718" s="151"/>
      <c r="O718" s="151"/>
      <c r="P718" s="151"/>
      <c r="Q718" s="151"/>
      <c r="R718" s="151"/>
      <c r="S718" s="151"/>
      <c r="T718" s="151"/>
      <c r="U718" s="151"/>
      <c r="V718" s="151"/>
      <c r="W718" s="151"/>
      <c r="X718" s="151"/>
      <c r="Y718" s="151"/>
      <c r="Z718" s="151"/>
    </row>
    <row r="719" customFormat="false" ht="12.75" hidden="false" customHeight="true" outlineLevel="0" collapsed="false">
      <c r="A719" s="151"/>
      <c r="C719" s="151"/>
      <c r="D719" s="151"/>
      <c r="E719" s="151"/>
      <c r="F719" s="151"/>
      <c r="G719" s="151"/>
      <c r="H719" s="151"/>
      <c r="I719" s="151"/>
      <c r="J719" s="151"/>
      <c r="K719" s="151"/>
      <c r="L719" s="151"/>
      <c r="M719" s="151"/>
      <c r="N719" s="151"/>
      <c r="O719" s="151"/>
      <c r="P719" s="151"/>
      <c r="Q719" s="151"/>
      <c r="R719" s="151"/>
      <c r="S719" s="151"/>
      <c r="T719" s="151"/>
      <c r="U719" s="151"/>
      <c r="V719" s="151"/>
      <c r="W719" s="151"/>
      <c r="X719" s="151"/>
      <c r="Y719" s="151"/>
      <c r="Z719" s="151"/>
    </row>
    <row r="720" customFormat="false" ht="12.75" hidden="false" customHeight="true" outlineLevel="0" collapsed="false">
      <c r="A720" s="151"/>
      <c r="C720" s="151"/>
      <c r="D720" s="151"/>
      <c r="E720" s="151"/>
      <c r="F720" s="151"/>
      <c r="G720" s="151"/>
      <c r="H720" s="151"/>
      <c r="I720" s="151"/>
      <c r="J720" s="151"/>
      <c r="K720" s="151"/>
      <c r="L720" s="151"/>
      <c r="M720" s="151"/>
      <c r="N720" s="151"/>
      <c r="O720" s="151"/>
      <c r="P720" s="151"/>
      <c r="Q720" s="151"/>
      <c r="R720" s="151"/>
      <c r="S720" s="151"/>
      <c r="T720" s="151"/>
      <c r="U720" s="151"/>
      <c r="V720" s="151"/>
      <c r="W720" s="151"/>
      <c r="X720" s="151"/>
      <c r="Y720" s="151"/>
      <c r="Z720" s="151"/>
    </row>
    <row r="721" customFormat="false" ht="12.75" hidden="false" customHeight="true" outlineLevel="0" collapsed="false">
      <c r="A721" s="151"/>
      <c r="C721" s="151"/>
      <c r="D721" s="151"/>
      <c r="E721" s="151"/>
      <c r="F721" s="151"/>
      <c r="G721" s="151"/>
      <c r="H721" s="151"/>
      <c r="I721" s="151"/>
      <c r="J721" s="151"/>
      <c r="K721" s="151"/>
      <c r="L721" s="151"/>
      <c r="M721" s="151"/>
      <c r="N721" s="151"/>
      <c r="O721" s="151"/>
      <c r="P721" s="151"/>
      <c r="Q721" s="151"/>
      <c r="R721" s="151"/>
      <c r="S721" s="151"/>
      <c r="T721" s="151"/>
      <c r="U721" s="151"/>
      <c r="V721" s="151"/>
      <c r="W721" s="151"/>
      <c r="X721" s="151"/>
      <c r="Y721" s="151"/>
      <c r="Z721" s="151"/>
    </row>
    <row r="722" customFormat="false" ht="12.75" hidden="false" customHeight="true" outlineLevel="0" collapsed="false">
      <c r="A722" s="151"/>
      <c r="C722" s="151"/>
      <c r="D722" s="151"/>
      <c r="E722" s="151"/>
      <c r="F722" s="151"/>
      <c r="G722" s="151"/>
      <c r="H722" s="151"/>
      <c r="I722" s="151"/>
      <c r="J722" s="151"/>
      <c r="K722" s="151"/>
      <c r="L722" s="151"/>
      <c r="M722" s="151"/>
      <c r="N722" s="151"/>
      <c r="O722" s="151"/>
      <c r="P722" s="151"/>
      <c r="Q722" s="151"/>
      <c r="R722" s="151"/>
      <c r="S722" s="151"/>
      <c r="T722" s="151"/>
      <c r="U722" s="151"/>
      <c r="V722" s="151"/>
      <c r="W722" s="151"/>
      <c r="X722" s="151"/>
      <c r="Y722" s="151"/>
      <c r="Z722" s="151"/>
    </row>
    <row r="723" customFormat="false" ht="12.75" hidden="false" customHeight="true" outlineLevel="0" collapsed="false">
      <c r="A723" s="151"/>
      <c r="C723" s="151"/>
      <c r="D723" s="151"/>
      <c r="E723" s="151"/>
      <c r="F723" s="151"/>
      <c r="G723" s="151"/>
      <c r="H723" s="151"/>
      <c r="I723" s="151"/>
      <c r="J723" s="151"/>
      <c r="K723" s="151"/>
      <c r="L723" s="151"/>
      <c r="M723" s="151"/>
      <c r="N723" s="151"/>
      <c r="O723" s="151"/>
      <c r="P723" s="151"/>
      <c r="Q723" s="151"/>
      <c r="R723" s="151"/>
      <c r="S723" s="151"/>
      <c r="T723" s="151"/>
      <c r="U723" s="151"/>
      <c r="V723" s="151"/>
      <c r="W723" s="151"/>
      <c r="X723" s="151"/>
      <c r="Y723" s="151"/>
      <c r="Z723" s="151"/>
    </row>
    <row r="724" customFormat="false" ht="12.75" hidden="false" customHeight="true" outlineLevel="0" collapsed="false">
      <c r="A724" s="151"/>
      <c r="C724" s="151"/>
      <c r="D724" s="151"/>
      <c r="E724" s="151"/>
      <c r="F724" s="151"/>
      <c r="G724" s="151"/>
      <c r="H724" s="151"/>
      <c r="I724" s="151"/>
      <c r="J724" s="151"/>
      <c r="K724" s="151"/>
      <c r="L724" s="151"/>
      <c r="M724" s="151"/>
      <c r="N724" s="151"/>
      <c r="O724" s="151"/>
      <c r="P724" s="151"/>
      <c r="Q724" s="151"/>
      <c r="R724" s="151"/>
      <c r="S724" s="151"/>
      <c r="T724" s="151"/>
      <c r="U724" s="151"/>
      <c r="V724" s="151"/>
      <c r="W724" s="151"/>
      <c r="X724" s="151"/>
      <c r="Y724" s="151"/>
      <c r="Z724" s="151"/>
    </row>
    <row r="725" customFormat="false" ht="12.75" hidden="false" customHeight="true" outlineLevel="0" collapsed="false">
      <c r="A725" s="151"/>
      <c r="C725" s="151"/>
      <c r="D725" s="151"/>
      <c r="E725" s="151"/>
      <c r="F725" s="151"/>
      <c r="G725" s="151"/>
      <c r="H725" s="151"/>
      <c r="I725" s="151"/>
      <c r="J725" s="151"/>
      <c r="K725" s="151"/>
      <c r="L725" s="151"/>
      <c r="M725" s="151"/>
      <c r="N725" s="151"/>
      <c r="O725" s="151"/>
      <c r="P725" s="151"/>
      <c r="Q725" s="151"/>
      <c r="R725" s="151"/>
      <c r="S725" s="151"/>
      <c r="T725" s="151"/>
      <c r="U725" s="151"/>
      <c r="V725" s="151"/>
      <c r="W725" s="151"/>
      <c r="X725" s="151"/>
      <c r="Y725" s="151"/>
      <c r="Z725" s="151"/>
    </row>
    <row r="726" customFormat="false" ht="12.75" hidden="false" customHeight="true" outlineLevel="0" collapsed="false">
      <c r="A726" s="151"/>
      <c r="C726" s="151"/>
      <c r="D726" s="151"/>
      <c r="E726" s="151"/>
      <c r="F726" s="151"/>
      <c r="G726" s="151"/>
      <c r="H726" s="151"/>
      <c r="I726" s="151"/>
      <c r="J726" s="151"/>
      <c r="K726" s="151"/>
      <c r="L726" s="151"/>
      <c r="M726" s="151"/>
      <c r="N726" s="151"/>
      <c r="O726" s="151"/>
      <c r="P726" s="151"/>
      <c r="Q726" s="151"/>
      <c r="R726" s="151"/>
      <c r="S726" s="151"/>
      <c r="T726" s="151"/>
      <c r="U726" s="151"/>
      <c r="V726" s="151"/>
      <c r="W726" s="151"/>
      <c r="X726" s="151"/>
      <c r="Y726" s="151"/>
      <c r="Z726" s="151"/>
    </row>
    <row r="727" customFormat="false" ht="12.75" hidden="false" customHeight="true" outlineLevel="0" collapsed="false">
      <c r="A727" s="151"/>
      <c r="C727" s="151"/>
      <c r="D727" s="151"/>
      <c r="E727" s="151"/>
      <c r="F727" s="151"/>
      <c r="G727" s="151"/>
      <c r="H727" s="151"/>
      <c r="I727" s="151"/>
      <c r="J727" s="151"/>
      <c r="K727" s="151"/>
      <c r="L727" s="151"/>
      <c r="M727" s="151"/>
      <c r="N727" s="151"/>
      <c r="O727" s="151"/>
      <c r="P727" s="151"/>
      <c r="Q727" s="151"/>
      <c r="R727" s="151"/>
      <c r="S727" s="151"/>
      <c r="T727" s="151"/>
      <c r="U727" s="151"/>
      <c r="V727" s="151"/>
      <c r="W727" s="151"/>
      <c r="X727" s="151"/>
      <c r="Y727" s="151"/>
      <c r="Z727" s="151"/>
    </row>
    <row r="728" customFormat="false" ht="12.75" hidden="false" customHeight="true" outlineLevel="0" collapsed="false">
      <c r="A728" s="151"/>
      <c r="C728" s="151"/>
      <c r="D728" s="151"/>
      <c r="E728" s="151"/>
      <c r="F728" s="151"/>
      <c r="G728" s="151"/>
      <c r="H728" s="151"/>
      <c r="I728" s="151"/>
      <c r="J728" s="151"/>
      <c r="K728" s="151"/>
      <c r="L728" s="151"/>
      <c r="M728" s="151"/>
      <c r="N728" s="151"/>
      <c r="O728" s="151"/>
      <c r="P728" s="151"/>
      <c r="Q728" s="151"/>
      <c r="R728" s="151"/>
      <c r="S728" s="151"/>
      <c r="T728" s="151"/>
      <c r="U728" s="151"/>
      <c r="V728" s="151"/>
      <c r="W728" s="151"/>
      <c r="X728" s="151"/>
      <c r="Y728" s="151"/>
      <c r="Z728" s="151"/>
    </row>
    <row r="729" customFormat="false" ht="12.75" hidden="false" customHeight="true" outlineLevel="0" collapsed="false">
      <c r="A729" s="151"/>
      <c r="C729" s="151"/>
      <c r="D729" s="151"/>
      <c r="E729" s="151"/>
      <c r="F729" s="151"/>
      <c r="G729" s="151"/>
      <c r="H729" s="151"/>
      <c r="I729" s="151"/>
      <c r="J729" s="151"/>
      <c r="K729" s="151"/>
      <c r="L729" s="151"/>
      <c r="M729" s="151"/>
      <c r="N729" s="151"/>
      <c r="O729" s="151"/>
      <c r="P729" s="151"/>
      <c r="Q729" s="151"/>
      <c r="R729" s="151"/>
      <c r="S729" s="151"/>
      <c r="T729" s="151"/>
      <c r="U729" s="151"/>
      <c r="V729" s="151"/>
      <c r="W729" s="151"/>
      <c r="X729" s="151"/>
      <c r="Y729" s="151"/>
      <c r="Z729" s="151"/>
    </row>
    <row r="730" customFormat="false" ht="12.75" hidden="false" customHeight="true" outlineLevel="0" collapsed="false">
      <c r="A730" s="151"/>
      <c r="C730" s="151"/>
      <c r="D730" s="151"/>
      <c r="E730" s="151"/>
      <c r="F730" s="151"/>
      <c r="G730" s="151"/>
      <c r="H730" s="151"/>
      <c r="I730" s="151"/>
      <c r="J730" s="151"/>
      <c r="K730" s="151"/>
      <c r="L730" s="151"/>
      <c r="M730" s="151"/>
      <c r="N730" s="151"/>
      <c r="O730" s="151"/>
      <c r="P730" s="151"/>
      <c r="Q730" s="151"/>
      <c r="R730" s="151"/>
      <c r="S730" s="151"/>
      <c r="T730" s="151"/>
      <c r="U730" s="151"/>
      <c r="V730" s="151"/>
      <c r="W730" s="151"/>
      <c r="X730" s="151"/>
      <c r="Y730" s="151"/>
      <c r="Z730" s="151"/>
    </row>
    <row r="731" customFormat="false" ht="12.75" hidden="false" customHeight="true" outlineLevel="0" collapsed="false">
      <c r="A731" s="151"/>
      <c r="C731" s="151"/>
      <c r="D731" s="151"/>
      <c r="E731" s="151"/>
      <c r="F731" s="151"/>
      <c r="G731" s="151"/>
      <c r="H731" s="151"/>
      <c r="I731" s="151"/>
      <c r="J731" s="151"/>
      <c r="K731" s="151"/>
      <c r="L731" s="151"/>
      <c r="M731" s="151"/>
      <c r="N731" s="151"/>
      <c r="O731" s="151"/>
      <c r="P731" s="151"/>
      <c r="Q731" s="151"/>
      <c r="R731" s="151"/>
      <c r="S731" s="151"/>
      <c r="T731" s="151"/>
      <c r="U731" s="151"/>
      <c r="V731" s="151"/>
      <c r="W731" s="151"/>
      <c r="X731" s="151"/>
      <c r="Y731" s="151"/>
      <c r="Z731" s="151"/>
    </row>
    <row r="732" customFormat="false" ht="12.75" hidden="false" customHeight="true" outlineLevel="0" collapsed="false">
      <c r="A732" s="151"/>
      <c r="C732" s="151"/>
      <c r="D732" s="151"/>
      <c r="E732" s="151"/>
      <c r="F732" s="151"/>
      <c r="G732" s="151"/>
      <c r="H732" s="151"/>
      <c r="I732" s="151"/>
      <c r="J732" s="151"/>
      <c r="K732" s="151"/>
      <c r="L732" s="151"/>
      <c r="M732" s="151"/>
      <c r="N732" s="151"/>
      <c r="O732" s="151"/>
      <c r="P732" s="151"/>
      <c r="Q732" s="151"/>
      <c r="R732" s="151"/>
      <c r="S732" s="151"/>
      <c r="T732" s="151"/>
      <c r="U732" s="151"/>
      <c r="V732" s="151"/>
      <c r="W732" s="151"/>
      <c r="X732" s="151"/>
      <c r="Y732" s="151"/>
      <c r="Z732" s="151"/>
    </row>
    <row r="733" customFormat="false" ht="12.75" hidden="false" customHeight="true" outlineLevel="0" collapsed="false">
      <c r="A733" s="151"/>
      <c r="C733" s="151"/>
      <c r="D733" s="151"/>
      <c r="E733" s="151"/>
      <c r="F733" s="151"/>
      <c r="G733" s="151"/>
      <c r="H733" s="151"/>
      <c r="I733" s="151"/>
      <c r="J733" s="151"/>
      <c r="K733" s="151"/>
      <c r="L733" s="151"/>
      <c r="M733" s="151"/>
      <c r="N733" s="151"/>
      <c r="O733" s="151"/>
      <c r="P733" s="151"/>
      <c r="Q733" s="151"/>
      <c r="R733" s="151"/>
      <c r="S733" s="151"/>
      <c r="T733" s="151"/>
      <c r="U733" s="151"/>
      <c r="V733" s="151"/>
      <c r="W733" s="151"/>
      <c r="X733" s="151"/>
      <c r="Y733" s="151"/>
      <c r="Z733" s="151"/>
    </row>
    <row r="734" customFormat="false" ht="12.75" hidden="false" customHeight="true" outlineLevel="0" collapsed="false">
      <c r="A734" s="151"/>
      <c r="C734" s="151"/>
      <c r="D734" s="151"/>
      <c r="E734" s="151"/>
      <c r="F734" s="151"/>
      <c r="G734" s="151"/>
      <c r="H734" s="151"/>
      <c r="I734" s="151"/>
      <c r="J734" s="151"/>
      <c r="K734" s="151"/>
      <c r="L734" s="151"/>
      <c r="M734" s="151"/>
      <c r="N734" s="151"/>
      <c r="O734" s="151"/>
      <c r="P734" s="151"/>
      <c r="Q734" s="151"/>
      <c r="R734" s="151"/>
      <c r="S734" s="151"/>
      <c r="T734" s="151"/>
      <c r="U734" s="151"/>
      <c r="V734" s="151"/>
      <c r="W734" s="151"/>
      <c r="X734" s="151"/>
      <c r="Y734" s="151"/>
      <c r="Z734" s="151"/>
    </row>
    <row r="735" customFormat="false" ht="12.75" hidden="false" customHeight="true" outlineLevel="0" collapsed="false">
      <c r="A735" s="151"/>
      <c r="C735" s="151"/>
      <c r="D735" s="151"/>
      <c r="E735" s="151"/>
      <c r="F735" s="151"/>
      <c r="G735" s="151"/>
      <c r="H735" s="151"/>
      <c r="I735" s="151"/>
      <c r="J735" s="151"/>
      <c r="K735" s="151"/>
      <c r="L735" s="151"/>
      <c r="M735" s="151"/>
      <c r="N735" s="151"/>
      <c r="O735" s="151"/>
      <c r="P735" s="151"/>
      <c r="Q735" s="151"/>
      <c r="R735" s="151"/>
      <c r="S735" s="151"/>
      <c r="T735" s="151"/>
      <c r="U735" s="151"/>
      <c r="V735" s="151"/>
      <c r="W735" s="151"/>
      <c r="X735" s="151"/>
      <c r="Y735" s="151"/>
      <c r="Z735" s="151"/>
    </row>
    <row r="736" customFormat="false" ht="12.75" hidden="false" customHeight="true" outlineLevel="0" collapsed="false">
      <c r="A736" s="151"/>
      <c r="C736" s="151"/>
      <c r="D736" s="151"/>
      <c r="E736" s="151"/>
      <c r="F736" s="151"/>
      <c r="G736" s="151"/>
      <c r="H736" s="151"/>
      <c r="I736" s="151"/>
      <c r="J736" s="151"/>
      <c r="K736" s="151"/>
      <c r="L736" s="151"/>
      <c r="M736" s="151"/>
      <c r="N736" s="151"/>
      <c r="O736" s="151"/>
      <c r="P736" s="151"/>
      <c r="Q736" s="151"/>
      <c r="R736" s="151"/>
      <c r="S736" s="151"/>
      <c r="T736" s="151"/>
      <c r="U736" s="151"/>
      <c r="V736" s="151"/>
      <c r="W736" s="151"/>
      <c r="X736" s="151"/>
      <c r="Y736" s="151"/>
      <c r="Z736" s="151"/>
    </row>
    <row r="737" customFormat="false" ht="12.75" hidden="false" customHeight="true" outlineLevel="0" collapsed="false">
      <c r="A737" s="151"/>
      <c r="C737" s="151"/>
      <c r="D737" s="151"/>
      <c r="E737" s="151"/>
      <c r="F737" s="151"/>
      <c r="G737" s="151"/>
      <c r="H737" s="151"/>
      <c r="I737" s="151"/>
      <c r="J737" s="151"/>
      <c r="K737" s="151"/>
      <c r="L737" s="151"/>
      <c r="M737" s="151"/>
      <c r="N737" s="151"/>
      <c r="O737" s="151"/>
      <c r="P737" s="151"/>
      <c r="Q737" s="151"/>
      <c r="R737" s="151"/>
      <c r="S737" s="151"/>
      <c r="T737" s="151"/>
      <c r="U737" s="151"/>
      <c r="V737" s="151"/>
      <c r="W737" s="151"/>
      <c r="X737" s="151"/>
      <c r="Y737" s="151"/>
      <c r="Z737" s="151"/>
    </row>
    <row r="738" customFormat="false" ht="12.75" hidden="false" customHeight="true" outlineLevel="0" collapsed="false">
      <c r="A738" s="151"/>
      <c r="C738" s="151"/>
      <c r="D738" s="151"/>
      <c r="E738" s="151"/>
      <c r="F738" s="151"/>
      <c r="G738" s="151"/>
      <c r="H738" s="151"/>
      <c r="I738" s="151"/>
      <c r="J738" s="151"/>
      <c r="K738" s="151"/>
      <c r="L738" s="151"/>
      <c r="M738" s="151"/>
      <c r="N738" s="151"/>
      <c r="O738" s="151"/>
      <c r="P738" s="151"/>
      <c r="Q738" s="151"/>
      <c r="R738" s="151"/>
      <c r="S738" s="151"/>
      <c r="T738" s="151"/>
      <c r="U738" s="151"/>
      <c r="V738" s="151"/>
      <c r="W738" s="151"/>
      <c r="X738" s="151"/>
      <c r="Y738" s="151"/>
      <c r="Z738" s="151"/>
    </row>
    <row r="739" customFormat="false" ht="12.75" hidden="false" customHeight="true" outlineLevel="0" collapsed="false">
      <c r="A739" s="151"/>
      <c r="C739" s="151"/>
      <c r="D739" s="151"/>
      <c r="E739" s="151"/>
      <c r="F739" s="151"/>
      <c r="G739" s="151"/>
      <c r="H739" s="151"/>
      <c r="I739" s="151"/>
      <c r="J739" s="151"/>
      <c r="K739" s="151"/>
      <c r="L739" s="151"/>
      <c r="M739" s="151"/>
      <c r="N739" s="151"/>
      <c r="O739" s="151"/>
      <c r="P739" s="151"/>
      <c r="Q739" s="151"/>
      <c r="R739" s="151"/>
      <c r="S739" s="151"/>
      <c r="T739" s="151"/>
      <c r="U739" s="151"/>
      <c r="V739" s="151"/>
      <c r="W739" s="151"/>
      <c r="X739" s="151"/>
      <c r="Y739" s="151"/>
      <c r="Z739" s="151"/>
    </row>
    <row r="740" customFormat="false" ht="12.75" hidden="false" customHeight="true" outlineLevel="0" collapsed="false">
      <c r="A740" s="151"/>
      <c r="C740" s="151"/>
      <c r="D740" s="151"/>
      <c r="E740" s="151"/>
      <c r="F740" s="151"/>
      <c r="G740" s="151"/>
      <c r="H740" s="151"/>
      <c r="I740" s="151"/>
      <c r="J740" s="151"/>
      <c r="K740" s="151"/>
      <c r="L740" s="151"/>
      <c r="M740" s="151"/>
      <c r="N740" s="151"/>
      <c r="O740" s="151"/>
      <c r="P740" s="151"/>
      <c r="Q740" s="151"/>
      <c r="R740" s="151"/>
      <c r="S740" s="151"/>
      <c r="T740" s="151"/>
      <c r="U740" s="151"/>
      <c r="V740" s="151"/>
      <c r="W740" s="151"/>
      <c r="X740" s="151"/>
      <c r="Y740" s="151"/>
      <c r="Z740" s="151"/>
    </row>
    <row r="741" customFormat="false" ht="12.75" hidden="false" customHeight="true" outlineLevel="0" collapsed="false">
      <c r="A741" s="151"/>
      <c r="C741" s="151"/>
      <c r="D741" s="151"/>
      <c r="E741" s="151"/>
      <c r="F741" s="151"/>
      <c r="G741" s="151"/>
      <c r="H741" s="151"/>
      <c r="I741" s="151"/>
      <c r="J741" s="151"/>
      <c r="K741" s="151"/>
      <c r="L741" s="151"/>
      <c r="M741" s="151"/>
      <c r="N741" s="151"/>
      <c r="O741" s="151"/>
      <c r="P741" s="151"/>
      <c r="Q741" s="151"/>
      <c r="R741" s="151"/>
      <c r="S741" s="151"/>
      <c r="T741" s="151"/>
      <c r="U741" s="151"/>
      <c r="V741" s="151"/>
      <c r="W741" s="151"/>
      <c r="X741" s="151"/>
      <c r="Y741" s="151"/>
      <c r="Z741" s="151"/>
    </row>
    <row r="742" customFormat="false" ht="12.75" hidden="false" customHeight="true" outlineLevel="0" collapsed="false">
      <c r="A742" s="151"/>
      <c r="C742" s="151"/>
      <c r="D742" s="151"/>
      <c r="E742" s="151"/>
      <c r="F742" s="151"/>
      <c r="G742" s="151"/>
      <c r="H742" s="151"/>
      <c r="I742" s="151"/>
      <c r="J742" s="151"/>
      <c r="K742" s="151"/>
      <c r="L742" s="151"/>
      <c r="M742" s="151"/>
      <c r="N742" s="151"/>
      <c r="O742" s="151"/>
      <c r="P742" s="151"/>
      <c r="Q742" s="151"/>
      <c r="R742" s="151"/>
      <c r="S742" s="151"/>
      <c r="T742" s="151"/>
      <c r="U742" s="151"/>
      <c r="V742" s="151"/>
      <c r="W742" s="151"/>
      <c r="X742" s="151"/>
      <c r="Y742" s="151"/>
      <c r="Z742" s="151"/>
    </row>
    <row r="743" customFormat="false" ht="12.75" hidden="false" customHeight="true" outlineLevel="0" collapsed="false">
      <c r="A743" s="151"/>
      <c r="C743" s="151"/>
      <c r="D743" s="151"/>
      <c r="E743" s="151"/>
      <c r="F743" s="151"/>
      <c r="G743" s="151"/>
      <c r="H743" s="151"/>
      <c r="I743" s="151"/>
      <c r="J743" s="151"/>
      <c r="K743" s="151"/>
      <c r="L743" s="151"/>
      <c r="M743" s="151"/>
      <c r="N743" s="151"/>
      <c r="O743" s="151"/>
      <c r="P743" s="151"/>
      <c r="Q743" s="151"/>
      <c r="R743" s="151"/>
      <c r="S743" s="151"/>
      <c r="T743" s="151"/>
      <c r="U743" s="151"/>
      <c r="V743" s="151"/>
      <c r="W743" s="151"/>
      <c r="X743" s="151"/>
      <c r="Y743" s="151"/>
      <c r="Z743" s="151"/>
    </row>
    <row r="744" customFormat="false" ht="12.75" hidden="false" customHeight="true" outlineLevel="0" collapsed="false">
      <c r="A744" s="151"/>
      <c r="C744" s="151"/>
      <c r="D744" s="151"/>
      <c r="E744" s="151"/>
      <c r="F744" s="151"/>
      <c r="G744" s="151"/>
      <c r="H744" s="151"/>
      <c r="I744" s="151"/>
      <c r="J744" s="151"/>
      <c r="K744" s="151"/>
      <c r="L744" s="151"/>
      <c r="M744" s="151"/>
      <c r="N744" s="151"/>
      <c r="O744" s="151"/>
      <c r="P744" s="151"/>
      <c r="Q744" s="151"/>
      <c r="R744" s="151"/>
      <c r="S744" s="151"/>
      <c r="T744" s="151"/>
      <c r="U744" s="151"/>
      <c r="V744" s="151"/>
      <c r="W744" s="151"/>
      <c r="X744" s="151"/>
      <c r="Y744" s="151"/>
      <c r="Z744" s="151"/>
    </row>
    <row r="745" customFormat="false" ht="12.75" hidden="false" customHeight="true" outlineLevel="0" collapsed="false">
      <c r="A745" s="151"/>
      <c r="C745" s="151"/>
      <c r="D745" s="151"/>
      <c r="E745" s="151"/>
      <c r="F745" s="151"/>
      <c r="G745" s="151"/>
      <c r="H745" s="151"/>
      <c r="I745" s="151"/>
      <c r="J745" s="151"/>
      <c r="K745" s="151"/>
      <c r="L745" s="151"/>
      <c r="M745" s="151"/>
      <c r="N745" s="151"/>
      <c r="O745" s="151"/>
      <c r="P745" s="151"/>
      <c r="Q745" s="151"/>
      <c r="R745" s="151"/>
      <c r="S745" s="151"/>
      <c r="T745" s="151"/>
      <c r="U745" s="151"/>
      <c r="V745" s="151"/>
      <c r="W745" s="151"/>
      <c r="X745" s="151"/>
      <c r="Y745" s="151"/>
      <c r="Z745" s="151"/>
    </row>
    <row r="746" customFormat="false" ht="12.75" hidden="false" customHeight="true" outlineLevel="0" collapsed="false">
      <c r="A746" s="151"/>
      <c r="C746" s="151"/>
      <c r="D746" s="151"/>
      <c r="E746" s="151"/>
      <c r="F746" s="151"/>
      <c r="G746" s="151"/>
      <c r="H746" s="151"/>
      <c r="I746" s="151"/>
      <c r="J746" s="151"/>
      <c r="K746" s="151"/>
      <c r="L746" s="151"/>
      <c r="M746" s="151"/>
      <c r="N746" s="151"/>
      <c r="O746" s="151"/>
      <c r="P746" s="151"/>
      <c r="Q746" s="151"/>
      <c r="R746" s="151"/>
      <c r="S746" s="151"/>
      <c r="T746" s="151"/>
      <c r="U746" s="151"/>
      <c r="V746" s="151"/>
      <c r="W746" s="151"/>
      <c r="X746" s="151"/>
      <c r="Y746" s="151"/>
      <c r="Z746" s="151"/>
    </row>
    <row r="747" customFormat="false" ht="12.75" hidden="false" customHeight="true" outlineLevel="0" collapsed="false">
      <c r="A747" s="151"/>
      <c r="C747" s="151"/>
      <c r="D747" s="151"/>
      <c r="E747" s="151"/>
      <c r="F747" s="151"/>
      <c r="G747" s="151"/>
      <c r="H747" s="151"/>
      <c r="I747" s="151"/>
      <c r="J747" s="151"/>
      <c r="K747" s="151"/>
      <c r="L747" s="151"/>
      <c r="M747" s="151"/>
      <c r="N747" s="151"/>
      <c r="O747" s="151"/>
      <c r="P747" s="151"/>
      <c r="Q747" s="151"/>
      <c r="R747" s="151"/>
      <c r="S747" s="151"/>
      <c r="T747" s="151"/>
      <c r="U747" s="151"/>
      <c r="V747" s="151"/>
      <c r="W747" s="151"/>
      <c r="X747" s="151"/>
      <c r="Y747" s="151"/>
      <c r="Z747" s="151"/>
    </row>
    <row r="748" customFormat="false" ht="12.75" hidden="false" customHeight="true" outlineLevel="0" collapsed="false">
      <c r="A748" s="151"/>
      <c r="C748" s="151"/>
      <c r="D748" s="151"/>
      <c r="E748" s="151"/>
      <c r="F748" s="151"/>
      <c r="G748" s="151"/>
      <c r="H748" s="151"/>
      <c r="I748" s="151"/>
      <c r="J748" s="151"/>
      <c r="K748" s="151"/>
      <c r="L748" s="151"/>
      <c r="M748" s="151"/>
      <c r="N748" s="151"/>
      <c r="O748" s="151"/>
      <c r="P748" s="151"/>
      <c r="Q748" s="151"/>
      <c r="R748" s="151"/>
      <c r="S748" s="151"/>
      <c r="T748" s="151"/>
      <c r="U748" s="151"/>
      <c r="V748" s="151"/>
      <c r="W748" s="151"/>
      <c r="X748" s="151"/>
      <c r="Y748" s="151"/>
      <c r="Z748" s="151"/>
    </row>
    <row r="749" customFormat="false" ht="12.75" hidden="false" customHeight="true" outlineLevel="0" collapsed="false">
      <c r="A749" s="151"/>
      <c r="C749" s="151"/>
      <c r="D749" s="151"/>
      <c r="E749" s="151"/>
      <c r="F749" s="151"/>
      <c r="G749" s="151"/>
      <c r="H749" s="151"/>
      <c r="I749" s="151"/>
      <c r="J749" s="151"/>
      <c r="K749" s="151"/>
      <c r="L749" s="151"/>
      <c r="M749" s="151"/>
      <c r="N749" s="151"/>
      <c r="O749" s="151"/>
      <c r="P749" s="151"/>
      <c r="Q749" s="151"/>
      <c r="R749" s="151"/>
      <c r="S749" s="151"/>
      <c r="T749" s="151"/>
      <c r="U749" s="151"/>
      <c r="V749" s="151"/>
      <c r="W749" s="151"/>
      <c r="X749" s="151"/>
      <c r="Y749" s="151"/>
      <c r="Z749" s="151"/>
    </row>
    <row r="750" customFormat="false" ht="12.75" hidden="false" customHeight="true" outlineLevel="0" collapsed="false">
      <c r="A750" s="151"/>
      <c r="C750" s="151"/>
      <c r="D750" s="151"/>
      <c r="E750" s="151"/>
      <c r="F750" s="151"/>
      <c r="G750" s="151"/>
      <c r="H750" s="151"/>
      <c r="I750" s="151"/>
      <c r="J750" s="151"/>
      <c r="K750" s="151"/>
      <c r="L750" s="151"/>
      <c r="M750" s="151"/>
      <c r="N750" s="151"/>
      <c r="O750" s="151"/>
      <c r="P750" s="151"/>
      <c r="Q750" s="151"/>
      <c r="R750" s="151"/>
      <c r="S750" s="151"/>
      <c r="T750" s="151"/>
      <c r="U750" s="151"/>
      <c r="V750" s="151"/>
      <c r="W750" s="151"/>
      <c r="X750" s="151"/>
      <c r="Y750" s="151"/>
      <c r="Z750" s="151"/>
    </row>
    <row r="751" customFormat="false" ht="12.75" hidden="false" customHeight="true" outlineLevel="0" collapsed="false">
      <c r="A751" s="151"/>
      <c r="C751" s="151"/>
      <c r="D751" s="151"/>
      <c r="E751" s="151"/>
      <c r="F751" s="151"/>
      <c r="G751" s="151"/>
      <c r="H751" s="151"/>
      <c r="I751" s="151"/>
      <c r="J751" s="151"/>
      <c r="K751" s="151"/>
      <c r="L751" s="151"/>
      <c r="M751" s="151"/>
      <c r="N751" s="151"/>
      <c r="O751" s="151"/>
      <c r="P751" s="151"/>
      <c r="Q751" s="151"/>
      <c r="R751" s="151"/>
      <c r="S751" s="151"/>
      <c r="T751" s="151"/>
      <c r="U751" s="151"/>
      <c r="V751" s="151"/>
      <c r="W751" s="151"/>
      <c r="X751" s="151"/>
      <c r="Y751" s="151"/>
      <c r="Z751" s="151"/>
    </row>
    <row r="752" customFormat="false" ht="12.75" hidden="false" customHeight="true" outlineLevel="0" collapsed="false">
      <c r="A752" s="151"/>
      <c r="C752" s="151"/>
      <c r="D752" s="151"/>
      <c r="E752" s="151"/>
      <c r="F752" s="151"/>
      <c r="G752" s="151"/>
      <c r="H752" s="151"/>
      <c r="I752" s="151"/>
      <c r="J752" s="151"/>
      <c r="K752" s="151"/>
      <c r="L752" s="151"/>
      <c r="M752" s="151"/>
      <c r="N752" s="151"/>
      <c r="O752" s="151"/>
      <c r="P752" s="151"/>
      <c r="Q752" s="151"/>
      <c r="R752" s="151"/>
      <c r="S752" s="151"/>
      <c r="T752" s="151"/>
      <c r="U752" s="151"/>
      <c r="V752" s="151"/>
      <c r="W752" s="151"/>
      <c r="X752" s="151"/>
      <c r="Y752" s="151"/>
      <c r="Z752" s="151"/>
    </row>
    <row r="753" customFormat="false" ht="12.75" hidden="false" customHeight="true" outlineLevel="0" collapsed="false">
      <c r="A753" s="151"/>
      <c r="C753" s="151"/>
      <c r="D753" s="151"/>
      <c r="E753" s="151"/>
      <c r="F753" s="151"/>
      <c r="G753" s="151"/>
      <c r="H753" s="151"/>
      <c r="I753" s="151"/>
      <c r="J753" s="151"/>
      <c r="K753" s="151"/>
      <c r="L753" s="151"/>
      <c r="M753" s="151"/>
      <c r="N753" s="151"/>
      <c r="O753" s="151"/>
      <c r="P753" s="151"/>
      <c r="Q753" s="151"/>
      <c r="R753" s="151"/>
      <c r="S753" s="151"/>
      <c r="T753" s="151"/>
      <c r="U753" s="151"/>
      <c r="V753" s="151"/>
      <c r="W753" s="151"/>
      <c r="X753" s="151"/>
      <c r="Y753" s="151"/>
      <c r="Z753" s="151"/>
    </row>
    <row r="754" customFormat="false" ht="12.75" hidden="false" customHeight="true" outlineLevel="0" collapsed="false">
      <c r="A754" s="151"/>
      <c r="C754" s="151"/>
      <c r="D754" s="151"/>
      <c r="E754" s="151"/>
      <c r="F754" s="151"/>
      <c r="G754" s="151"/>
      <c r="H754" s="151"/>
      <c r="I754" s="151"/>
      <c r="J754" s="151"/>
      <c r="K754" s="151"/>
      <c r="L754" s="151"/>
      <c r="M754" s="151"/>
      <c r="N754" s="151"/>
      <c r="O754" s="151"/>
      <c r="P754" s="151"/>
      <c r="Q754" s="151"/>
      <c r="R754" s="151"/>
      <c r="S754" s="151"/>
      <c r="T754" s="151"/>
      <c r="U754" s="151"/>
      <c r="V754" s="151"/>
      <c r="W754" s="151"/>
      <c r="X754" s="151"/>
      <c r="Y754" s="151"/>
      <c r="Z754" s="151"/>
    </row>
    <row r="755" customFormat="false" ht="12.75" hidden="false" customHeight="true" outlineLevel="0" collapsed="false">
      <c r="A755" s="151"/>
      <c r="C755" s="151"/>
      <c r="D755" s="151"/>
      <c r="E755" s="151"/>
      <c r="F755" s="151"/>
      <c r="G755" s="151"/>
      <c r="H755" s="151"/>
      <c r="I755" s="151"/>
      <c r="J755" s="151"/>
      <c r="K755" s="151"/>
      <c r="L755" s="151"/>
      <c r="M755" s="151"/>
      <c r="N755" s="151"/>
      <c r="O755" s="151"/>
      <c r="P755" s="151"/>
      <c r="Q755" s="151"/>
      <c r="R755" s="151"/>
      <c r="S755" s="151"/>
      <c r="T755" s="151"/>
      <c r="U755" s="151"/>
      <c r="V755" s="151"/>
      <c r="W755" s="151"/>
      <c r="X755" s="151"/>
      <c r="Y755" s="151"/>
      <c r="Z755" s="151"/>
    </row>
    <row r="756" customFormat="false" ht="12.75" hidden="false" customHeight="true" outlineLevel="0" collapsed="false">
      <c r="A756" s="151"/>
      <c r="C756" s="151"/>
      <c r="D756" s="151"/>
      <c r="E756" s="151"/>
      <c r="F756" s="151"/>
      <c r="G756" s="151"/>
      <c r="H756" s="151"/>
      <c r="I756" s="151"/>
      <c r="J756" s="151"/>
      <c r="K756" s="151"/>
      <c r="L756" s="151"/>
      <c r="M756" s="151"/>
      <c r="N756" s="151"/>
      <c r="O756" s="151"/>
      <c r="P756" s="151"/>
      <c r="Q756" s="151"/>
      <c r="R756" s="151"/>
      <c r="S756" s="151"/>
      <c r="T756" s="151"/>
      <c r="U756" s="151"/>
      <c r="V756" s="151"/>
      <c r="W756" s="151"/>
      <c r="X756" s="151"/>
      <c r="Y756" s="151"/>
      <c r="Z756" s="151"/>
    </row>
    <row r="757" customFormat="false" ht="12.75" hidden="false" customHeight="true" outlineLevel="0" collapsed="false">
      <c r="A757" s="151"/>
      <c r="C757" s="151"/>
      <c r="D757" s="151"/>
      <c r="E757" s="151"/>
      <c r="F757" s="151"/>
      <c r="G757" s="151"/>
      <c r="H757" s="151"/>
      <c r="I757" s="151"/>
      <c r="J757" s="151"/>
      <c r="K757" s="151"/>
      <c r="L757" s="151"/>
      <c r="M757" s="151"/>
      <c r="N757" s="151"/>
      <c r="O757" s="151"/>
      <c r="P757" s="151"/>
      <c r="Q757" s="151"/>
      <c r="R757" s="151"/>
      <c r="S757" s="151"/>
      <c r="T757" s="151"/>
      <c r="U757" s="151"/>
      <c r="V757" s="151"/>
      <c r="W757" s="151"/>
      <c r="X757" s="151"/>
      <c r="Y757" s="151"/>
      <c r="Z757" s="151"/>
    </row>
    <row r="758" customFormat="false" ht="12.75" hidden="false" customHeight="true" outlineLevel="0" collapsed="false">
      <c r="A758" s="151"/>
      <c r="C758" s="151"/>
      <c r="D758" s="151"/>
      <c r="E758" s="151"/>
      <c r="F758" s="151"/>
      <c r="G758" s="151"/>
      <c r="H758" s="151"/>
      <c r="I758" s="151"/>
      <c r="J758" s="151"/>
      <c r="K758" s="151"/>
      <c r="L758" s="151"/>
      <c r="M758" s="151"/>
      <c r="N758" s="151"/>
      <c r="O758" s="151"/>
      <c r="P758" s="151"/>
      <c r="Q758" s="151"/>
      <c r="R758" s="151"/>
      <c r="S758" s="151"/>
      <c r="T758" s="151"/>
      <c r="U758" s="151"/>
      <c r="V758" s="151"/>
      <c r="W758" s="151"/>
      <c r="X758" s="151"/>
      <c r="Y758" s="151"/>
      <c r="Z758" s="151"/>
    </row>
    <row r="759" customFormat="false" ht="12.75" hidden="false" customHeight="true" outlineLevel="0" collapsed="false">
      <c r="A759" s="151"/>
      <c r="C759" s="151"/>
      <c r="D759" s="151"/>
      <c r="E759" s="151"/>
      <c r="F759" s="151"/>
      <c r="G759" s="151"/>
      <c r="H759" s="151"/>
      <c r="I759" s="151"/>
      <c r="J759" s="151"/>
      <c r="K759" s="151"/>
      <c r="L759" s="151"/>
      <c r="M759" s="151"/>
      <c r="N759" s="151"/>
      <c r="O759" s="151"/>
      <c r="P759" s="151"/>
      <c r="Q759" s="151"/>
      <c r="R759" s="151"/>
      <c r="S759" s="151"/>
      <c r="T759" s="151"/>
      <c r="U759" s="151"/>
      <c r="V759" s="151"/>
      <c r="W759" s="151"/>
      <c r="X759" s="151"/>
      <c r="Y759" s="151"/>
      <c r="Z759" s="151"/>
    </row>
    <row r="760" customFormat="false" ht="12.75" hidden="false" customHeight="true" outlineLevel="0" collapsed="false">
      <c r="A760" s="151"/>
      <c r="C760" s="151"/>
      <c r="D760" s="151"/>
      <c r="E760" s="151"/>
      <c r="F760" s="151"/>
      <c r="G760" s="151"/>
      <c r="H760" s="151"/>
      <c r="I760" s="151"/>
      <c r="J760" s="151"/>
      <c r="K760" s="151"/>
      <c r="L760" s="151"/>
      <c r="M760" s="151"/>
      <c r="N760" s="151"/>
      <c r="O760" s="151"/>
      <c r="P760" s="151"/>
      <c r="Q760" s="151"/>
      <c r="R760" s="151"/>
      <c r="S760" s="151"/>
      <c r="T760" s="151"/>
      <c r="U760" s="151"/>
      <c r="V760" s="151"/>
      <c r="W760" s="151"/>
      <c r="X760" s="151"/>
      <c r="Y760" s="151"/>
      <c r="Z760" s="151"/>
    </row>
    <row r="761" customFormat="false" ht="12.75" hidden="false" customHeight="true" outlineLevel="0" collapsed="false">
      <c r="A761" s="151"/>
      <c r="C761" s="151"/>
      <c r="D761" s="151"/>
      <c r="E761" s="151"/>
      <c r="F761" s="151"/>
      <c r="G761" s="151"/>
      <c r="H761" s="151"/>
      <c r="I761" s="151"/>
      <c r="J761" s="151"/>
      <c r="K761" s="151"/>
      <c r="L761" s="151"/>
      <c r="M761" s="151"/>
      <c r="N761" s="151"/>
      <c r="O761" s="151"/>
      <c r="P761" s="151"/>
      <c r="Q761" s="151"/>
      <c r="R761" s="151"/>
      <c r="S761" s="151"/>
      <c r="T761" s="151"/>
      <c r="U761" s="151"/>
      <c r="V761" s="151"/>
      <c r="W761" s="151"/>
      <c r="X761" s="151"/>
      <c r="Y761" s="151"/>
      <c r="Z761" s="151"/>
    </row>
    <row r="762" customFormat="false" ht="12.75" hidden="false" customHeight="true" outlineLevel="0" collapsed="false">
      <c r="A762" s="151"/>
      <c r="C762" s="151"/>
      <c r="D762" s="151"/>
      <c r="E762" s="151"/>
      <c r="F762" s="151"/>
      <c r="G762" s="151"/>
      <c r="H762" s="151"/>
      <c r="I762" s="151"/>
      <c r="J762" s="151"/>
      <c r="K762" s="151"/>
      <c r="L762" s="151"/>
      <c r="M762" s="151"/>
      <c r="N762" s="151"/>
      <c r="O762" s="151"/>
      <c r="P762" s="151"/>
      <c r="Q762" s="151"/>
      <c r="R762" s="151"/>
      <c r="S762" s="151"/>
      <c r="T762" s="151"/>
      <c r="U762" s="151"/>
      <c r="V762" s="151"/>
      <c r="W762" s="151"/>
      <c r="X762" s="151"/>
      <c r="Y762" s="151"/>
      <c r="Z762" s="151"/>
    </row>
    <row r="763" customFormat="false" ht="12.75" hidden="false" customHeight="true" outlineLevel="0" collapsed="false">
      <c r="A763" s="151"/>
      <c r="C763" s="151"/>
      <c r="D763" s="151"/>
      <c r="E763" s="151"/>
      <c r="F763" s="151"/>
      <c r="G763" s="151"/>
      <c r="H763" s="151"/>
      <c r="I763" s="151"/>
      <c r="J763" s="151"/>
      <c r="K763" s="151"/>
      <c r="L763" s="151"/>
      <c r="M763" s="151"/>
      <c r="N763" s="151"/>
      <c r="O763" s="151"/>
      <c r="P763" s="151"/>
      <c r="Q763" s="151"/>
      <c r="R763" s="151"/>
      <c r="S763" s="151"/>
      <c r="T763" s="151"/>
      <c r="U763" s="151"/>
      <c r="V763" s="151"/>
      <c r="W763" s="151"/>
      <c r="X763" s="151"/>
      <c r="Y763" s="151"/>
      <c r="Z763" s="151"/>
    </row>
    <row r="764" customFormat="false" ht="12.75" hidden="false" customHeight="true" outlineLevel="0" collapsed="false">
      <c r="A764" s="151"/>
      <c r="C764" s="151"/>
      <c r="D764" s="151"/>
      <c r="E764" s="151"/>
      <c r="F764" s="151"/>
      <c r="G764" s="151"/>
      <c r="H764" s="151"/>
      <c r="I764" s="151"/>
      <c r="J764" s="151"/>
      <c r="K764" s="151"/>
      <c r="L764" s="151"/>
      <c r="M764" s="151"/>
      <c r="N764" s="151"/>
      <c r="O764" s="151"/>
      <c r="P764" s="151"/>
      <c r="Q764" s="151"/>
      <c r="R764" s="151"/>
      <c r="S764" s="151"/>
      <c r="T764" s="151"/>
      <c r="U764" s="151"/>
      <c r="V764" s="151"/>
      <c r="W764" s="151"/>
      <c r="X764" s="151"/>
      <c r="Y764" s="151"/>
      <c r="Z764" s="151"/>
    </row>
    <row r="765" customFormat="false" ht="12.75" hidden="false" customHeight="true" outlineLevel="0" collapsed="false">
      <c r="A765" s="151"/>
      <c r="C765" s="151"/>
      <c r="D765" s="151"/>
      <c r="E765" s="151"/>
      <c r="F765" s="151"/>
      <c r="G765" s="151"/>
      <c r="H765" s="151"/>
      <c r="I765" s="151"/>
      <c r="J765" s="151"/>
      <c r="K765" s="151"/>
      <c r="L765" s="151"/>
      <c r="M765" s="151"/>
      <c r="N765" s="151"/>
      <c r="O765" s="151"/>
      <c r="P765" s="151"/>
      <c r="Q765" s="151"/>
      <c r="R765" s="151"/>
      <c r="S765" s="151"/>
      <c r="T765" s="151"/>
      <c r="U765" s="151"/>
      <c r="V765" s="151"/>
      <c r="W765" s="151"/>
      <c r="X765" s="151"/>
      <c r="Y765" s="151"/>
      <c r="Z765" s="151"/>
    </row>
    <row r="766" customFormat="false" ht="12.75" hidden="false" customHeight="true" outlineLevel="0" collapsed="false">
      <c r="A766" s="151"/>
      <c r="C766" s="151"/>
      <c r="D766" s="151"/>
      <c r="E766" s="151"/>
      <c r="F766" s="151"/>
      <c r="G766" s="151"/>
      <c r="H766" s="151"/>
      <c r="I766" s="151"/>
      <c r="J766" s="151"/>
      <c r="K766" s="151"/>
      <c r="L766" s="151"/>
      <c r="M766" s="151"/>
      <c r="N766" s="151"/>
      <c r="O766" s="151"/>
      <c r="P766" s="151"/>
      <c r="Q766" s="151"/>
      <c r="R766" s="151"/>
      <c r="S766" s="151"/>
      <c r="T766" s="151"/>
      <c r="U766" s="151"/>
      <c r="V766" s="151"/>
      <c r="W766" s="151"/>
      <c r="X766" s="151"/>
      <c r="Y766" s="151"/>
      <c r="Z766" s="151"/>
    </row>
    <row r="767" customFormat="false" ht="12.75" hidden="false" customHeight="true" outlineLevel="0" collapsed="false">
      <c r="A767" s="151"/>
      <c r="C767" s="151"/>
      <c r="D767" s="151"/>
      <c r="E767" s="151"/>
      <c r="F767" s="151"/>
      <c r="G767" s="151"/>
      <c r="H767" s="151"/>
      <c r="I767" s="151"/>
      <c r="J767" s="151"/>
      <c r="K767" s="151"/>
      <c r="L767" s="151"/>
      <c r="M767" s="151"/>
      <c r="N767" s="151"/>
      <c r="O767" s="151"/>
      <c r="P767" s="151"/>
      <c r="Q767" s="151"/>
      <c r="R767" s="151"/>
      <c r="S767" s="151"/>
      <c r="T767" s="151"/>
      <c r="U767" s="151"/>
      <c r="V767" s="151"/>
      <c r="W767" s="151"/>
      <c r="X767" s="151"/>
      <c r="Y767" s="151"/>
      <c r="Z767" s="151"/>
    </row>
    <row r="768" customFormat="false" ht="12.75" hidden="false" customHeight="true" outlineLevel="0" collapsed="false">
      <c r="A768" s="151"/>
      <c r="C768" s="151"/>
      <c r="D768" s="151"/>
      <c r="E768" s="151"/>
      <c r="F768" s="151"/>
      <c r="G768" s="151"/>
      <c r="H768" s="151"/>
      <c r="I768" s="151"/>
      <c r="J768" s="151"/>
      <c r="K768" s="151"/>
      <c r="L768" s="151"/>
      <c r="M768" s="151"/>
      <c r="N768" s="151"/>
      <c r="O768" s="151"/>
      <c r="P768" s="151"/>
      <c r="Q768" s="151"/>
      <c r="R768" s="151"/>
      <c r="S768" s="151"/>
      <c r="T768" s="151"/>
      <c r="U768" s="151"/>
      <c r="V768" s="151"/>
      <c r="W768" s="151"/>
      <c r="X768" s="151"/>
      <c r="Y768" s="151"/>
      <c r="Z768" s="151"/>
    </row>
    <row r="769" customFormat="false" ht="12.75" hidden="false" customHeight="true" outlineLevel="0" collapsed="false">
      <c r="A769" s="151"/>
      <c r="C769" s="151"/>
      <c r="D769" s="151"/>
      <c r="E769" s="151"/>
      <c r="F769" s="151"/>
      <c r="G769" s="151"/>
      <c r="H769" s="151"/>
      <c r="I769" s="151"/>
      <c r="J769" s="151"/>
      <c r="K769" s="151"/>
      <c r="L769" s="151"/>
      <c r="M769" s="151"/>
      <c r="N769" s="151"/>
      <c r="O769" s="151"/>
      <c r="P769" s="151"/>
      <c r="Q769" s="151"/>
      <c r="R769" s="151"/>
      <c r="S769" s="151"/>
      <c r="T769" s="151"/>
      <c r="U769" s="151"/>
      <c r="V769" s="151"/>
      <c r="W769" s="151"/>
      <c r="X769" s="151"/>
      <c r="Y769" s="151"/>
      <c r="Z769" s="151"/>
    </row>
    <row r="770" customFormat="false" ht="12.75" hidden="false" customHeight="true" outlineLevel="0" collapsed="false">
      <c r="A770" s="151"/>
      <c r="C770" s="151"/>
      <c r="D770" s="151"/>
      <c r="E770" s="151"/>
      <c r="F770" s="151"/>
      <c r="G770" s="151"/>
      <c r="H770" s="151"/>
      <c r="I770" s="151"/>
      <c r="J770" s="151"/>
      <c r="K770" s="151"/>
      <c r="L770" s="151"/>
      <c r="M770" s="151"/>
      <c r="N770" s="151"/>
      <c r="O770" s="151"/>
      <c r="P770" s="151"/>
      <c r="Q770" s="151"/>
      <c r="R770" s="151"/>
      <c r="S770" s="151"/>
      <c r="T770" s="151"/>
      <c r="U770" s="151"/>
      <c r="V770" s="151"/>
      <c r="W770" s="151"/>
      <c r="X770" s="151"/>
      <c r="Y770" s="151"/>
      <c r="Z770" s="151"/>
    </row>
    <row r="771" customFormat="false" ht="12.75" hidden="false" customHeight="true" outlineLevel="0" collapsed="false">
      <c r="A771" s="151"/>
      <c r="C771" s="151"/>
      <c r="D771" s="151"/>
      <c r="E771" s="151"/>
      <c r="F771" s="151"/>
      <c r="G771" s="151"/>
      <c r="H771" s="151"/>
      <c r="I771" s="151"/>
      <c r="J771" s="151"/>
      <c r="K771" s="151"/>
      <c r="L771" s="151"/>
      <c r="M771" s="151"/>
      <c r="N771" s="151"/>
      <c r="O771" s="151"/>
      <c r="P771" s="151"/>
      <c r="Q771" s="151"/>
      <c r="R771" s="151"/>
      <c r="S771" s="151"/>
      <c r="T771" s="151"/>
      <c r="U771" s="151"/>
      <c r="V771" s="151"/>
      <c r="W771" s="151"/>
      <c r="X771" s="151"/>
      <c r="Y771" s="151"/>
      <c r="Z771" s="151"/>
    </row>
    <row r="772" customFormat="false" ht="12.75" hidden="false" customHeight="true" outlineLevel="0" collapsed="false">
      <c r="A772" s="151"/>
      <c r="C772" s="151"/>
      <c r="D772" s="151"/>
      <c r="E772" s="151"/>
      <c r="F772" s="151"/>
      <c r="G772" s="151"/>
      <c r="H772" s="151"/>
      <c r="I772" s="151"/>
      <c r="J772" s="151"/>
      <c r="K772" s="151"/>
      <c r="L772" s="151"/>
      <c r="M772" s="151"/>
      <c r="N772" s="151"/>
      <c r="O772" s="151"/>
      <c r="P772" s="151"/>
      <c r="Q772" s="151"/>
      <c r="R772" s="151"/>
      <c r="S772" s="151"/>
      <c r="T772" s="151"/>
      <c r="U772" s="151"/>
      <c r="V772" s="151"/>
      <c r="W772" s="151"/>
      <c r="X772" s="151"/>
      <c r="Y772" s="151"/>
      <c r="Z772" s="151"/>
    </row>
    <row r="773" customFormat="false" ht="12.75" hidden="false" customHeight="true" outlineLevel="0" collapsed="false">
      <c r="A773" s="151"/>
      <c r="C773" s="151"/>
      <c r="D773" s="151"/>
      <c r="E773" s="151"/>
      <c r="F773" s="151"/>
      <c r="G773" s="151"/>
      <c r="H773" s="151"/>
      <c r="I773" s="151"/>
      <c r="J773" s="151"/>
      <c r="K773" s="151"/>
      <c r="L773" s="151"/>
      <c r="M773" s="151"/>
      <c r="N773" s="151"/>
      <c r="O773" s="151"/>
      <c r="P773" s="151"/>
      <c r="Q773" s="151"/>
      <c r="R773" s="151"/>
      <c r="S773" s="151"/>
      <c r="T773" s="151"/>
      <c r="U773" s="151"/>
      <c r="V773" s="151"/>
      <c r="W773" s="151"/>
      <c r="X773" s="151"/>
      <c r="Y773" s="151"/>
      <c r="Z773" s="151"/>
    </row>
    <row r="774" customFormat="false" ht="12.75" hidden="false" customHeight="true" outlineLevel="0" collapsed="false">
      <c r="A774" s="151"/>
      <c r="C774" s="151"/>
      <c r="D774" s="151"/>
      <c r="E774" s="151"/>
      <c r="F774" s="151"/>
      <c r="G774" s="151"/>
      <c r="H774" s="151"/>
      <c r="I774" s="151"/>
      <c r="J774" s="151"/>
      <c r="K774" s="151"/>
      <c r="L774" s="151"/>
      <c r="M774" s="151"/>
      <c r="N774" s="151"/>
      <c r="O774" s="151"/>
      <c r="P774" s="151"/>
      <c r="Q774" s="151"/>
      <c r="R774" s="151"/>
      <c r="S774" s="151"/>
      <c r="T774" s="151"/>
      <c r="U774" s="151"/>
      <c r="V774" s="151"/>
      <c r="W774" s="151"/>
      <c r="X774" s="151"/>
      <c r="Y774" s="151"/>
      <c r="Z774" s="151"/>
    </row>
    <row r="775" customFormat="false" ht="12.75" hidden="false" customHeight="true" outlineLevel="0" collapsed="false">
      <c r="A775" s="151"/>
      <c r="C775" s="151"/>
      <c r="D775" s="151"/>
      <c r="E775" s="151"/>
      <c r="F775" s="151"/>
      <c r="G775" s="151"/>
      <c r="H775" s="151"/>
      <c r="I775" s="151"/>
      <c r="J775" s="151"/>
      <c r="K775" s="151"/>
      <c r="L775" s="151"/>
      <c r="M775" s="151"/>
      <c r="N775" s="151"/>
      <c r="O775" s="151"/>
      <c r="P775" s="151"/>
      <c r="Q775" s="151"/>
      <c r="R775" s="151"/>
      <c r="S775" s="151"/>
      <c r="T775" s="151"/>
      <c r="U775" s="151"/>
      <c r="V775" s="151"/>
      <c r="W775" s="151"/>
      <c r="X775" s="151"/>
      <c r="Y775" s="151"/>
      <c r="Z775" s="151"/>
    </row>
    <row r="776" customFormat="false" ht="12.75" hidden="false" customHeight="true" outlineLevel="0" collapsed="false">
      <c r="A776" s="151"/>
      <c r="C776" s="151"/>
      <c r="D776" s="151"/>
      <c r="E776" s="151"/>
      <c r="F776" s="151"/>
      <c r="G776" s="151"/>
      <c r="H776" s="151"/>
      <c r="I776" s="151"/>
      <c r="J776" s="151"/>
      <c r="K776" s="151"/>
      <c r="L776" s="151"/>
      <c r="M776" s="151"/>
      <c r="N776" s="151"/>
      <c r="O776" s="151"/>
      <c r="P776" s="151"/>
      <c r="Q776" s="151"/>
      <c r="R776" s="151"/>
      <c r="S776" s="151"/>
      <c r="T776" s="151"/>
      <c r="U776" s="151"/>
      <c r="V776" s="151"/>
      <c r="W776" s="151"/>
      <c r="X776" s="151"/>
      <c r="Y776" s="151"/>
      <c r="Z776" s="151"/>
    </row>
    <row r="777" customFormat="false" ht="12.75" hidden="false" customHeight="true" outlineLevel="0" collapsed="false">
      <c r="A777" s="151"/>
      <c r="C777" s="151"/>
      <c r="D777" s="151"/>
      <c r="E777" s="151"/>
      <c r="F777" s="151"/>
      <c r="G777" s="151"/>
      <c r="H777" s="151"/>
      <c r="I777" s="151"/>
      <c r="J777" s="151"/>
      <c r="K777" s="151"/>
      <c r="L777" s="151"/>
      <c r="M777" s="151"/>
      <c r="N777" s="151"/>
      <c r="O777" s="151"/>
      <c r="P777" s="151"/>
      <c r="Q777" s="151"/>
      <c r="R777" s="151"/>
      <c r="S777" s="151"/>
      <c r="T777" s="151"/>
      <c r="U777" s="151"/>
      <c r="V777" s="151"/>
      <c r="W777" s="151"/>
      <c r="X777" s="151"/>
      <c r="Y777" s="151"/>
      <c r="Z777" s="151"/>
    </row>
    <row r="778" customFormat="false" ht="12.75" hidden="false" customHeight="true" outlineLevel="0" collapsed="false">
      <c r="A778" s="151"/>
      <c r="C778" s="151"/>
      <c r="D778" s="151"/>
      <c r="E778" s="151"/>
      <c r="F778" s="151"/>
      <c r="G778" s="151"/>
      <c r="H778" s="151"/>
      <c r="I778" s="151"/>
      <c r="J778" s="151"/>
      <c r="K778" s="151"/>
      <c r="L778" s="151"/>
      <c r="M778" s="151"/>
      <c r="N778" s="151"/>
      <c r="O778" s="151"/>
      <c r="P778" s="151"/>
      <c r="Q778" s="151"/>
      <c r="R778" s="151"/>
      <c r="S778" s="151"/>
      <c r="T778" s="151"/>
      <c r="U778" s="151"/>
      <c r="V778" s="151"/>
      <c r="W778" s="151"/>
      <c r="X778" s="151"/>
      <c r="Y778" s="151"/>
      <c r="Z778" s="151"/>
    </row>
    <row r="779" customFormat="false" ht="12.75" hidden="false" customHeight="true" outlineLevel="0" collapsed="false">
      <c r="A779" s="151"/>
      <c r="C779" s="151"/>
      <c r="D779" s="151"/>
      <c r="E779" s="151"/>
      <c r="F779" s="151"/>
      <c r="G779" s="151"/>
      <c r="H779" s="151"/>
      <c r="I779" s="151"/>
      <c r="J779" s="151"/>
      <c r="K779" s="151"/>
      <c r="L779" s="151"/>
      <c r="M779" s="151"/>
      <c r="N779" s="151"/>
      <c r="O779" s="151"/>
      <c r="P779" s="151"/>
      <c r="Q779" s="151"/>
      <c r="R779" s="151"/>
      <c r="S779" s="151"/>
      <c r="T779" s="151"/>
      <c r="U779" s="151"/>
      <c r="V779" s="151"/>
      <c r="W779" s="151"/>
      <c r="X779" s="151"/>
      <c r="Y779" s="151"/>
      <c r="Z779" s="151"/>
    </row>
    <row r="780" customFormat="false" ht="12.75" hidden="false" customHeight="true" outlineLevel="0" collapsed="false">
      <c r="A780" s="151"/>
      <c r="C780" s="151"/>
      <c r="D780" s="151"/>
      <c r="E780" s="151"/>
      <c r="F780" s="151"/>
      <c r="G780" s="151"/>
      <c r="H780" s="151"/>
      <c r="I780" s="151"/>
      <c r="J780" s="151"/>
      <c r="K780" s="151"/>
      <c r="L780" s="151"/>
      <c r="M780" s="151"/>
      <c r="N780" s="151"/>
      <c r="O780" s="151"/>
      <c r="P780" s="151"/>
      <c r="Q780" s="151"/>
      <c r="R780" s="151"/>
      <c r="S780" s="151"/>
      <c r="T780" s="151"/>
      <c r="U780" s="151"/>
      <c r="V780" s="151"/>
      <c r="W780" s="151"/>
      <c r="X780" s="151"/>
      <c r="Y780" s="151"/>
      <c r="Z780" s="151"/>
    </row>
    <row r="781" customFormat="false" ht="12.75" hidden="false" customHeight="true" outlineLevel="0" collapsed="false">
      <c r="A781" s="151"/>
      <c r="C781" s="151"/>
      <c r="D781" s="151"/>
      <c r="E781" s="151"/>
      <c r="F781" s="151"/>
      <c r="G781" s="151"/>
      <c r="H781" s="151"/>
      <c r="I781" s="151"/>
      <c r="J781" s="151"/>
      <c r="K781" s="151"/>
      <c r="L781" s="151"/>
      <c r="M781" s="151"/>
      <c r="N781" s="151"/>
      <c r="O781" s="151"/>
      <c r="P781" s="151"/>
      <c r="Q781" s="151"/>
      <c r="R781" s="151"/>
      <c r="S781" s="151"/>
      <c r="T781" s="151"/>
      <c r="U781" s="151"/>
      <c r="V781" s="151"/>
      <c r="W781" s="151"/>
      <c r="X781" s="151"/>
      <c r="Y781" s="151"/>
      <c r="Z781" s="151"/>
    </row>
    <row r="782" customFormat="false" ht="12.75" hidden="false" customHeight="true" outlineLevel="0" collapsed="false">
      <c r="A782" s="151"/>
      <c r="C782" s="151"/>
      <c r="D782" s="151"/>
      <c r="E782" s="151"/>
      <c r="F782" s="151"/>
      <c r="G782" s="151"/>
      <c r="H782" s="151"/>
      <c r="I782" s="151"/>
      <c r="J782" s="151"/>
      <c r="K782" s="151"/>
      <c r="L782" s="151"/>
      <c r="M782" s="151"/>
      <c r="N782" s="151"/>
      <c r="O782" s="151"/>
      <c r="P782" s="151"/>
      <c r="Q782" s="151"/>
      <c r="R782" s="151"/>
      <c r="S782" s="151"/>
      <c r="T782" s="151"/>
      <c r="U782" s="151"/>
      <c r="V782" s="151"/>
      <c r="W782" s="151"/>
      <c r="X782" s="151"/>
      <c r="Y782" s="151"/>
      <c r="Z782" s="151"/>
    </row>
    <row r="783" customFormat="false" ht="12.75" hidden="false" customHeight="true" outlineLevel="0" collapsed="false">
      <c r="A783" s="151"/>
      <c r="C783" s="151"/>
      <c r="D783" s="151"/>
      <c r="E783" s="151"/>
      <c r="F783" s="151"/>
      <c r="G783" s="151"/>
      <c r="H783" s="151"/>
      <c r="I783" s="151"/>
      <c r="J783" s="151"/>
      <c r="K783" s="151"/>
      <c r="L783" s="151"/>
      <c r="M783" s="151"/>
      <c r="N783" s="151"/>
      <c r="O783" s="151"/>
      <c r="P783" s="151"/>
      <c r="Q783" s="151"/>
      <c r="R783" s="151"/>
      <c r="S783" s="151"/>
      <c r="T783" s="151"/>
      <c r="U783" s="151"/>
      <c r="V783" s="151"/>
      <c r="W783" s="151"/>
      <c r="X783" s="151"/>
      <c r="Y783" s="151"/>
      <c r="Z783" s="151"/>
    </row>
    <row r="784" customFormat="false" ht="12.75" hidden="false" customHeight="true" outlineLevel="0" collapsed="false">
      <c r="A784" s="151"/>
      <c r="C784" s="151"/>
      <c r="D784" s="151"/>
      <c r="E784" s="151"/>
      <c r="F784" s="151"/>
      <c r="G784" s="151"/>
      <c r="H784" s="151"/>
      <c r="I784" s="151"/>
      <c r="J784" s="151"/>
      <c r="K784" s="151"/>
      <c r="L784" s="151"/>
      <c r="M784" s="151"/>
      <c r="N784" s="151"/>
      <c r="O784" s="151"/>
      <c r="P784" s="151"/>
      <c r="Q784" s="151"/>
      <c r="R784" s="151"/>
      <c r="S784" s="151"/>
      <c r="T784" s="151"/>
      <c r="U784" s="151"/>
      <c r="V784" s="151"/>
      <c r="W784" s="151"/>
      <c r="X784" s="151"/>
      <c r="Y784" s="151"/>
      <c r="Z784" s="151"/>
    </row>
    <row r="785" customFormat="false" ht="12.75" hidden="false" customHeight="true" outlineLevel="0" collapsed="false">
      <c r="A785" s="151"/>
      <c r="C785" s="151"/>
      <c r="D785" s="151"/>
      <c r="E785" s="151"/>
      <c r="F785" s="151"/>
      <c r="G785" s="151"/>
      <c r="H785" s="151"/>
      <c r="I785" s="151"/>
      <c r="J785" s="151"/>
      <c r="K785" s="151"/>
      <c r="L785" s="151"/>
      <c r="M785" s="151"/>
      <c r="N785" s="151"/>
      <c r="O785" s="151"/>
      <c r="P785" s="151"/>
      <c r="Q785" s="151"/>
      <c r="R785" s="151"/>
      <c r="S785" s="151"/>
      <c r="T785" s="151"/>
      <c r="U785" s="151"/>
      <c r="V785" s="151"/>
      <c r="W785" s="151"/>
      <c r="X785" s="151"/>
      <c r="Y785" s="151"/>
      <c r="Z785" s="151"/>
    </row>
    <row r="786" customFormat="false" ht="12.75" hidden="false" customHeight="true" outlineLevel="0" collapsed="false">
      <c r="A786" s="151"/>
      <c r="C786" s="151"/>
      <c r="D786" s="151"/>
      <c r="E786" s="151"/>
      <c r="F786" s="151"/>
      <c r="G786" s="151"/>
      <c r="H786" s="151"/>
      <c r="I786" s="151"/>
      <c r="J786" s="151"/>
      <c r="K786" s="151"/>
      <c r="L786" s="151"/>
      <c r="M786" s="151"/>
      <c r="N786" s="151"/>
      <c r="O786" s="151"/>
      <c r="P786" s="151"/>
      <c r="Q786" s="151"/>
      <c r="R786" s="151"/>
      <c r="S786" s="151"/>
      <c r="T786" s="151"/>
      <c r="U786" s="151"/>
      <c r="V786" s="151"/>
      <c r="W786" s="151"/>
      <c r="X786" s="151"/>
      <c r="Y786" s="151"/>
      <c r="Z786" s="151"/>
    </row>
    <row r="787" customFormat="false" ht="12.75" hidden="false" customHeight="true" outlineLevel="0" collapsed="false">
      <c r="A787" s="151"/>
      <c r="C787" s="151"/>
      <c r="D787" s="151"/>
      <c r="E787" s="151"/>
      <c r="F787" s="151"/>
      <c r="G787" s="151"/>
      <c r="H787" s="151"/>
      <c r="I787" s="151"/>
      <c r="J787" s="151"/>
      <c r="K787" s="151"/>
      <c r="L787" s="151"/>
      <c r="M787" s="151"/>
      <c r="N787" s="151"/>
      <c r="O787" s="151"/>
      <c r="P787" s="151"/>
      <c r="Q787" s="151"/>
      <c r="R787" s="151"/>
      <c r="S787" s="151"/>
      <c r="T787" s="151"/>
      <c r="U787" s="151"/>
      <c r="V787" s="151"/>
      <c r="W787" s="151"/>
      <c r="X787" s="151"/>
      <c r="Y787" s="151"/>
      <c r="Z787" s="151"/>
    </row>
    <row r="788" customFormat="false" ht="12.75" hidden="false" customHeight="true" outlineLevel="0" collapsed="false">
      <c r="A788" s="151"/>
      <c r="C788" s="151"/>
      <c r="D788" s="151"/>
      <c r="E788" s="151"/>
      <c r="F788" s="151"/>
      <c r="G788" s="151"/>
      <c r="H788" s="151"/>
      <c r="I788" s="151"/>
      <c r="J788" s="151"/>
      <c r="K788" s="151"/>
      <c r="L788" s="151"/>
      <c r="M788" s="151"/>
      <c r="N788" s="151"/>
      <c r="O788" s="151"/>
      <c r="P788" s="151"/>
      <c r="Q788" s="151"/>
      <c r="R788" s="151"/>
      <c r="S788" s="151"/>
      <c r="T788" s="151"/>
      <c r="U788" s="151"/>
      <c r="V788" s="151"/>
      <c r="W788" s="151"/>
      <c r="X788" s="151"/>
      <c r="Y788" s="151"/>
      <c r="Z788" s="151"/>
    </row>
    <row r="789" customFormat="false" ht="12.75" hidden="false" customHeight="true" outlineLevel="0" collapsed="false">
      <c r="A789" s="151"/>
      <c r="C789" s="151"/>
      <c r="D789" s="151"/>
      <c r="E789" s="151"/>
      <c r="F789" s="151"/>
      <c r="G789" s="151"/>
      <c r="H789" s="151"/>
      <c r="I789" s="151"/>
      <c r="J789" s="151"/>
      <c r="K789" s="151"/>
      <c r="L789" s="151"/>
      <c r="M789" s="151"/>
      <c r="N789" s="151"/>
      <c r="O789" s="151"/>
      <c r="P789" s="151"/>
      <c r="Q789" s="151"/>
      <c r="R789" s="151"/>
      <c r="S789" s="151"/>
      <c r="T789" s="151"/>
      <c r="U789" s="151"/>
      <c r="V789" s="151"/>
      <c r="W789" s="151"/>
      <c r="X789" s="151"/>
      <c r="Y789" s="151"/>
      <c r="Z789" s="151"/>
    </row>
    <row r="790" customFormat="false" ht="12.75" hidden="false" customHeight="true" outlineLevel="0" collapsed="false">
      <c r="A790" s="151"/>
      <c r="C790" s="151"/>
      <c r="D790" s="151"/>
      <c r="E790" s="151"/>
      <c r="F790" s="151"/>
      <c r="G790" s="151"/>
      <c r="H790" s="151"/>
      <c r="I790" s="151"/>
      <c r="J790" s="151"/>
      <c r="K790" s="151"/>
      <c r="L790" s="151"/>
      <c r="M790" s="151"/>
      <c r="N790" s="151"/>
      <c r="O790" s="151"/>
      <c r="P790" s="151"/>
      <c r="Q790" s="151"/>
      <c r="R790" s="151"/>
      <c r="S790" s="151"/>
      <c r="T790" s="151"/>
      <c r="U790" s="151"/>
      <c r="V790" s="151"/>
      <c r="W790" s="151"/>
      <c r="X790" s="151"/>
      <c r="Y790" s="151"/>
      <c r="Z790" s="151"/>
    </row>
    <row r="791" customFormat="false" ht="12.75" hidden="false" customHeight="true" outlineLevel="0" collapsed="false">
      <c r="A791" s="151"/>
      <c r="C791" s="151"/>
      <c r="D791" s="151"/>
      <c r="E791" s="151"/>
      <c r="F791" s="151"/>
      <c r="G791" s="151"/>
      <c r="H791" s="151"/>
      <c r="I791" s="151"/>
      <c r="J791" s="151"/>
      <c r="K791" s="151"/>
      <c r="L791" s="151"/>
      <c r="M791" s="151"/>
      <c r="N791" s="151"/>
      <c r="O791" s="151"/>
      <c r="P791" s="151"/>
      <c r="Q791" s="151"/>
      <c r="R791" s="151"/>
      <c r="S791" s="151"/>
      <c r="T791" s="151"/>
      <c r="U791" s="151"/>
      <c r="V791" s="151"/>
      <c r="W791" s="151"/>
      <c r="X791" s="151"/>
      <c r="Y791" s="151"/>
      <c r="Z791" s="151"/>
    </row>
    <row r="792" customFormat="false" ht="12.75" hidden="false" customHeight="true" outlineLevel="0" collapsed="false">
      <c r="A792" s="151"/>
      <c r="C792" s="151"/>
      <c r="D792" s="151"/>
      <c r="E792" s="151"/>
      <c r="F792" s="151"/>
      <c r="G792" s="151"/>
      <c r="H792" s="151"/>
      <c r="I792" s="151"/>
      <c r="J792" s="151"/>
      <c r="K792" s="151"/>
      <c r="L792" s="151"/>
      <c r="M792" s="151"/>
      <c r="N792" s="151"/>
      <c r="O792" s="151"/>
      <c r="P792" s="151"/>
      <c r="Q792" s="151"/>
      <c r="R792" s="151"/>
      <c r="S792" s="151"/>
      <c r="T792" s="151"/>
      <c r="U792" s="151"/>
      <c r="V792" s="151"/>
      <c r="W792" s="151"/>
      <c r="X792" s="151"/>
      <c r="Y792" s="151"/>
      <c r="Z792" s="151"/>
    </row>
    <row r="793" customFormat="false" ht="12.75" hidden="false" customHeight="true" outlineLevel="0" collapsed="false">
      <c r="A793" s="151"/>
      <c r="C793" s="151"/>
      <c r="D793" s="151"/>
      <c r="E793" s="151"/>
      <c r="F793" s="151"/>
      <c r="G793" s="151"/>
      <c r="H793" s="151"/>
      <c r="I793" s="151"/>
      <c r="J793" s="151"/>
      <c r="K793" s="151"/>
      <c r="L793" s="151"/>
      <c r="M793" s="151"/>
      <c r="N793" s="151"/>
      <c r="O793" s="151"/>
      <c r="P793" s="151"/>
      <c r="Q793" s="151"/>
      <c r="R793" s="151"/>
      <c r="S793" s="151"/>
      <c r="T793" s="151"/>
      <c r="U793" s="151"/>
      <c r="V793" s="151"/>
      <c r="W793" s="151"/>
      <c r="X793" s="151"/>
      <c r="Y793" s="151"/>
      <c r="Z793" s="151"/>
    </row>
    <row r="794" customFormat="false" ht="12.75" hidden="false" customHeight="true" outlineLevel="0" collapsed="false">
      <c r="A794" s="151"/>
      <c r="C794" s="151"/>
      <c r="D794" s="151"/>
      <c r="E794" s="151"/>
      <c r="F794" s="151"/>
      <c r="G794" s="151"/>
      <c r="H794" s="151"/>
      <c r="I794" s="151"/>
      <c r="J794" s="151"/>
      <c r="K794" s="151"/>
      <c r="L794" s="151"/>
      <c r="M794" s="151"/>
      <c r="N794" s="151"/>
      <c r="O794" s="151"/>
      <c r="P794" s="151"/>
      <c r="Q794" s="151"/>
      <c r="R794" s="151"/>
      <c r="S794" s="151"/>
      <c r="T794" s="151"/>
      <c r="U794" s="151"/>
      <c r="V794" s="151"/>
      <c r="W794" s="151"/>
      <c r="X794" s="151"/>
      <c r="Y794" s="151"/>
      <c r="Z794" s="151"/>
    </row>
    <row r="795" customFormat="false" ht="12.75" hidden="false" customHeight="true" outlineLevel="0" collapsed="false">
      <c r="A795" s="151"/>
      <c r="C795" s="151"/>
      <c r="D795" s="151"/>
      <c r="E795" s="151"/>
      <c r="F795" s="151"/>
      <c r="G795" s="151"/>
      <c r="H795" s="151"/>
      <c r="I795" s="151"/>
      <c r="J795" s="151"/>
      <c r="K795" s="151"/>
      <c r="L795" s="151"/>
      <c r="M795" s="151"/>
      <c r="N795" s="151"/>
      <c r="O795" s="151"/>
      <c r="P795" s="151"/>
      <c r="Q795" s="151"/>
      <c r="R795" s="151"/>
      <c r="S795" s="151"/>
      <c r="T795" s="151"/>
      <c r="U795" s="151"/>
      <c r="V795" s="151"/>
      <c r="W795" s="151"/>
      <c r="X795" s="151"/>
      <c r="Y795" s="151"/>
      <c r="Z795" s="151"/>
    </row>
    <row r="796" customFormat="false" ht="12.75" hidden="false" customHeight="true" outlineLevel="0" collapsed="false">
      <c r="A796" s="151"/>
      <c r="C796" s="151"/>
      <c r="D796" s="151"/>
      <c r="E796" s="151"/>
      <c r="F796" s="151"/>
      <c r="G796" s="151"/>
      <c r="H796" s="151"/>
      <c r="I796" s="151"/>
      <c r="J796" s="151"/>
      <c r="K796" s="151"/>
      <c r="L796" s="151"/>
      <c r="M796" s="151"/>
      <c r="N796" s="151"/>
      <c r="O796" s="151"/>
      <c r="P796" s="151"/>
      <c r="Q796" s="151"/>
      <c r="R796" s="151"/>
      <c r="S796" s="151"/>
      <c r="T796" s="151"/>
      <c r="U796" s="151"/>
      <c r="V796" s="151"/>
      <c r="W796" s="151"/>
      <c r="X796" s="151"/>
      <c r="Y796" s="151"/>
      <c r="Z796" s="151"/>
    </row>
    <row r="797" customFormat="false" ht="12.75" hidden="false" customHeight="true" outlineLevel="0" collapsed="false">
      <c r="A797" s="151"/>
      <c r="C797" s="151"/>
      <c r="D797" s="151"/>
      <c r="E797" s="151"/>
      <c r="F797" s="151"/>
      <c r="G797" s="151"/>
      <c r="H797" s="151"/>
      <c r="I797" s="151"/>
      <c r="J797" s="151"/>
      <c r="K797" s="151"/>
      <c r="L797" s="151"/>
      <c r="M797" s="151"/>
      <c r="N797" s="151"/>
      <c r="O797" s="151"/>
      <c r="P797" s="151"/>
      <c r="Q797" s="151"/>
      <c r="R797" s="151"/>
      <c r="S797" s="151"/>
      <c r="T797" s="151"/>
      <c r="U797" s="151"/>
      <c r="V797" s="151"/>
      <c r="W797" s="151"/>
      <c r="X797" s="151"/>
      <c r="Y797" s="151"/>
      <c r="Z797" s="151"/>
    </row>
    <row r="798" customFormat="false" ht="12.75" hidden="false" customHeight="true" outlineLevel="0" collapsed="false">
      <c r="A798" s="151"/>
      <c r="C798" s="151"/>
      <c r="D798" s="151"/>
      <c r="E798" s="151"/>
      <c r="F798" s="151"/>
      <c r="G798" s="151"/>
      <c r="H798" s="151"/>
      <c r="I798" s="151"/>
      <c r="J798" s="151"/>
      <c r="K798" s="151"/>
      <c r="L798" s="151"/>
      <c r="M798" s="151"/>
      <c r="N798" s="151"/>
      <c r="O798" s="151"/>
      <c r="P798" s="151"/>
      <c r="Q798" s="151"/>
      <c r="R798" s="151"/>
      <c r="S798" s="151"/>
      <c r="T798" s="151"/>
      <c r="U798" s="151"/>
      <c r="V798" s="151"/>
      <c r="W798" s="151"/>
      <c r="X798" s="151"/>
      <c r="Y798" s="151"/>
      <c r="Z798" s="151"/>
    </row>
    <row r="799" customFormat="false" ht="12.75" hidden="false" customHeight="true" outlineLevel="0" collapsed="false">
      <c r="A799" s="151"/>
      <c r="C799" s="151"/>
      <c r="D799" s="151"/>
      <c r="E799" s="151"/>
      <c r="F799" s="151"/>
      <c r="G799" s="151"/>
      <c r="H799" s="151"/>
      <c r="I799" s="151"/>
      <c r="J799" s="151"/>
      <c r="K799" s="151"/>
      <c r="L799" s="151"/>
      <c r="M799" s="151"/>
      <c r="N799" s="151"/>
      <c r="O799" s="151"/>
      <c r="P799" s="151"/>
      <c r="Q799" s="151"/>
      <c r="R799" s="151"/>
      <c r="S799" s="151"/>
      <c r="T799" s="151"/>
      <c r="U799" s="151"/>
      <c r="V799" s="151"/>
      <c r="W799" s="151"/>
      <c r="X799" s="151"/>
      <c r="Y799" s="151"/>
      <c r="Z799" s="151"/>
    </row>
    <row r="800" customFormat="false" ht="12.75" hidden="false" customHeight="true" outlineLevel="0" collapsed="false">
      <c r="A800" s="151"/>
      <c r="C800" s="151"/>
      <c r="D800" s="151"/>
      <c r="E800" s="151"/>
      <c r="F800" s="151"/>
      <c r="G800" s="151"/>
      <c r="H800" s="151"/>
      <c r="I800" s="151"/>
      <c r="J800" s="151"/>
      <c r="K800" s="151"/>
      <c r="L800" s="151"/>
      <c r="M800" s="151"/>
      <c r="N800" s="151"/>
      <c r="O800" s="151"/>
      <c r="P800" s="151"/>
      <c r="Q800" s="151"/>
      <c r="R800" s="151"/>
      <c r="S800" s="151"/>
      <c r="T800" s="151"/>
      <c r="U800" s="151"/>
      <c r="V800" s="151"/>
      <c r="W800" s="151"/>
      <c r="X800" s="151"/>
      <c r="Y800" s="151"/>
      <c r="Z800" s="151"/>
    </row>
    <row r="801" customFormat="false" ht="12.75" hidden="false" customHeight="true" outlineLevel="0" collapsed="false">
      <c r="A801" s="151"/>
      <c r="C801" s="151"/>
      <c r="D801" s="151"/>
      <c r="E801" s="151"/>
      <c r="F801" s="151"/>
      <c r="G801" s="151"/>
      <c r="H801" s="151"/>
      <c r="I801" s="151"/>
      <c r="J801" s="151"/>
      <c r="K801" s="151"/>
      <c r="L801" s="151"/>
      <c r="M801" s="151"/>
      <c r="N801" s="151"/>
      <c r="O801" s="151"/>
      <c r="P801" s="151"/>
      <c r="Q801" s="151"/>
      <c r="R801" s="151"/>
      <c r="S801" s="151"/>
      <c r="T801" s="151"/>
      <c r="U801" s="151"/>
      <c r="V801" s="151"/>
      <c r="W801" s="151"/>
      <c r="X801" s="151"/>
      <c r="Y801" s="151"/>
      <c r="Z801" s="151"/>
    </row>
    <row r="802" customFormat="false" ht="12.75" hidden="false" customHeight="true" outlineLevel="0" collapsed="false">
      <c r="A802" s="151"/>
      <c r="C802" s="151"/>
      <c r="D802" s="151"/>
      <c r="E802" s="151"/>
      <c r="F802" s="151"/>
      <c r="G802" s="151"/>
      <c r="H802" s="151"/>
      <c r="I802" s="151"/>
      <c r="J802" s="151"/>
      <c r="K802" s="151"/>
      <c r="L802" s="151"/>
      <c r="M802" s="151"/>
      <c r="N802" s="151"/>
      <c r="O802" s="151"/>
      <c r="P802" s="151"/>
      <c r="Q802" s="151"/>
      <c r="R802" s="151"/>
      <c r="S802" s="151"/>
      <c r="T802" s="151"/>
      <c r="U802" s="151"/>
      <c r="V802" s="151"/>
      <c r="W802" s="151"/>
      <c r="X802" s="151"/>
      <c r="Y802" s="151"/>
      <c r="Z802" s="151"/>
    </row>
    <row r="803" customFormat="false" ht="12.75" hidden="false" customHeight="true" outlineLevel="0" collapsed="false">
      <c r="A803" s="151"/>
      <c r="C803" s="151"/>
      <c r="D803" s="151"/>
      <c r="E803" s="151"/>
      <c r="F803" s="151"/>
      <c r="G803" s="151"/>
      <c r="H803" s="151"/>
      <c r="I803" s="151"/>
      <c r="J803" s="151"/>
      <c r="K803" s="151"/>
      <c r="L803" s="151"/>
      <c r="M803" s="151"/>
      <c r="N803" s="151"/>
      <c r="O803" s="151"/>
      <c r="P803" s="151"/>
      <c r="Q803" s="151"/>
      <c r="R803" s="151"/>
      <c r="S803" s="151"/>
      <c r="T803" s="151"/>
      <c r="U803" s="151"/>
      <c r="V803" s="151"/>
      <c r="W803" s="151"/>
      <c r="X803" s="151"/>
      <c r="Y803" s="151"/>
      <c r="Z803" s="151"/>
    </row>
    <row r="804" customFormat="false" ht="12.75" hidden="false" customHeight="true" outlineLevel="0" collapsed="false">
      <c r="A804" s="151"/>
      <c r="C804" s="151"/>
      <c r="D804" s="151"/>
      <c r="E804" s="151"/>
      <c r="F804" s="151"/>
      <c r="G804" s="151"/>
      <c r="H804" s="151"/>
      <c r="I804" s="151"/>
      <c r="J804" s="151"/>
      <c r="K804" s="151"/>
      <c r="L804" s="151"/>
      <c r="M804" s="151"/>
      <c r="N804" s="151"/>
      <c r="O804" s="151"/>
      <c r="P804" s="151"/>
      <c r="Q804" s="151"/>
      <c r="R804" s="151"/>
      <c r="S804" s="151"/>
      <c r="T804" s="151"/>
      <c r="U804" s="151"/>
      <c r="V804" s="151"/>
      <c r="W804" s="151"/>
      <c r="X804" s="151"/>
      <c r="Y804" s="151"/>
      <c r="Z804" s="151"/>
    </row>
    <row r="805" customFormat="false" ht="12.75" hidden="false" customHeight="true" outlineLevel="0" collapsed="false">
      <c r="A805" s="151"/>
      <c r="C805" s="151"/>
      <c r="D805" s="151"/>
      <c r="E805" s="151"/>
      <c r="F805" s="151"/>
      <c r="G805" s="151"/>
      <c r="H805" s="151"/>
      <c r="I805" s="151"/>
      <c r="J805" s="151"/>
      <c r="K805" s="151"/>
      <c r="L805" s="151"/>
      <c r="M805" s="151"/>
      <c r="N805" s="151"/>
      <c r="O805" s="151"/>
      <c r="P805" s="151"/>
      <c r="Q805" s="151"/>
      <c r="R805" s="151"/>
      <c r="S805" s="151"/>
      <c r="T805" s="151"/>
      <c r="U805" s="151"/>
      <c r="V805" s="151"/>
      <c r="W805" s="151"/>
      <c r="X805" s="151"/>
      <c r="Y805" s="151"/>
      <c r="Z805" s="151"/>
    </row>
    <row r="806" customFormat="false" ht="12.75" hidden="false" customHeight="true" outlineLevel="0" collapsed="false">
      <c r="A806" s="151"/>
      <c r="C806" s="151"/>
      <c r="D806" s="151"/>
      <c r="E806" s="151"/>
      <c r="F806" s="151"/>
      <c r="G806" s="151"/>
      <c r="H806" s="151"/>
      <c r="I806" s="151"/>
      <c r="J806" s="151"/>
      <c r="K806" s="151"/>
      <c r="L806" s="151"/>
      <c r="M806" s="151"/>
      <c r="N806" s="151"/>
      <c r="O806" s="151"/>
      <c r="P806" s="151"/>
      <c r="Q806" s="151"/>
      <c r="R806" s="151"/>
      <c r="S806" s="151"/>
      <c r="T806" s="151"/>
      <c r="U806" s="151"/>
      <c r="V806" s="151"/>
      <c r="W806" s="151"/>
      <c r="X806" s="151"/>
      <c r="Y806" s="151"/>
      <c r="Z806" s="151"/>
    </row>
    <row r="807" customFormat="false" ht="12.75" hidden="false" customHeight="true" outlineLevel="0" collapsed="false">
      <c r="A807" s="151"/>
      <c r="C807" s="151"/>
      <c r="D807" s="151"/>
      <c r="E807" s="151"/>
      <c r="F807" s="151"/>
      <c r="G807" s="151"/>
      <c r="H807" s="151"/>
      <c r="I807" s="151"/>
      <c r="J807" s="151"/>
      <c r="K807" s="151"/>
      <c r="L807" s="151"/>
      <c r="M807" s="151"/>
      <c r="N807" s="151"/>
      <c r="O807" s="151"/>
      <c r="P807" s="151"/>
      <c r="Q807" s="151"/>
      <c r="R807" s="151"/>
      <c r="S807" s="151"/>
      <c r="T807" s="151"/>
      <c r="U807" s="151"/>
      <c r="V807" s="151"/>
      <c r="W807" s="151"/>
      <c r="X807" s="151"/>
      <c r="Y807" s="151"/>
      <c r="Z807" s="151"/>
    </row>
    <row r="808" customFormat="false" ht="12.75" hidden="false" customHeight="true" outlineLevel="0" collapsed="false">
      <c r="A808" s="151"/>
      <c r="C808" s="151"/>
      <c r="D808" s="151"/>
      <c r="E808" s="151"/>
      <c r="F808" s="151"/>
      <c r="G808" s="151"/>
      <c r="H808" s="151"/>
      <c r="I808" s="151"/>
      <c r="J808" s="151"/>
      <c r="K808" s="151"/>
      <c r="L808" s="151"/>
      <c r="M808" s="151"/>
      <c r="N808" s="151"/>
      <c r="O808" s="151"/>
      <c r="P808" s="151"/>
      <c r="Q808" s="151"/>
      <c r="R808" s="151"/>
      <c r="S808" s="151"/>
      <c r="T808" s="151"/>
      <c r="U808" s="151"/>
      <c r="V808" s="151"/>
      <c r="W808" s="151"/>
      <c r="X808" s="151"/>
      <c r="Y808" s="151"/>
      <c r="Z808" s="151"/>
    </row>
    <row r="809" customFormat="false" ht="12.75" hidden="false" customHeight="true" outlineLevel="0" collapsed="false">
      <c r="A809" s="151"/>
      <c r="C809" s="151"/>
      <c r="D809" s="151"/>
      <c r="E809" s="151"/>
      <c r="F809" s="151"/>
      <c r="G809" s="151"/>
      <c r="H809" s="151"/>
      <c r="I809" s="151"/>
      <c r="J809" s="151"/>
      <c r="K809" s="151"/>
      <c r="L809" s="151"/>
      <c r="M809" s="151"/>
      <c r="N809" s="151"/>
      <c r="O809" s="151"/>
      <c r="P809" s="151"/>
      <c r="Q809" s="151"/>
      <c r="R809" s="151"/>
      <c r="S809" s="151"/>
      <c r="T809" s="151"/>
      <c r="U809" s="151"/>
      <c r="V809" s="151"/>
      <c r="W809" s="151"/>
      <c r="X809" s="151"/>
      <c r="Y809" s="151"/>
      <c r="Z809" s="151"/>
    </row>
    <row r="810" customFormat="false" ht="12.75" hidden="false" customHeight="true" outlineLevel="0" collapsed="false">
      <c r="A810" s="151"/>
      <c r="C810" s="151"/>
      <c r="D810" s="151"/>
      <c r="E810" s="151"/>
      <c r="F810" s="151"/>
      <c r="G810" s="151"/>
      <c r="H810" s="151"/>
      <c r="I810" s="151"/>
      <c r="J810" s="151"/>
      <c r="K810" s="151"/>
      <c r="L810" s="151"/>
      <c r="M810" s="151"/>
      <c r="N810" s="151"/>
      <c r="O810" s="151"/>
      <c r="P810" s="151"/>
      <c r="Q810" s="151"/>
      <c r="R810" s="151"/>
      <c r="S810" s="151"/>
      <c r="T810" s="151"/>
      <c r="U810" s="151"/>
      <c r="V810" s="151"/>
      <c r="W810" s="151"/>
      <c r="X810" s="151"/>
      <c r="Y810" s="151"/>
      <c r="Z810" s="151"/>
    </row>
    <row r="811" customFormat="false" ht="12.75" hidden="false" customHeight="true" outlineLevel="0" collapsed="false">
      <c r="A811" s="151"/>
      <c r="C811" s="151"/>
      <c r="D811" s="151"/>
      <c r="E811" s="151"/>
      <c r="F811" s="151"/>
      <c r="G811" s="151"/>
      <c r="H811" s="151"/>
      <c r="I811" s="151"/>
      <c r="J811" s="151"/>
      <c r="K811" s="151"/>
      <c r="L811" s="151"/>
      <c r="M811" s="151"/>
      <c r="N811" s="151"/>
      <c r="O811" s="151"/>
      <c r="P811" s="151"/>
      <c r="Q811" s="151"/>
      <c r="R811" s="151"/>
      <c r="S811" s="151"/>
      <c r="T811" s="151"/>
      <c r="U811" s="151"/>
      <c r="V811" s="151"/>
      <c r="W811" s="151"/>
      <c r="X811" s="151"/>
      <c r="Y811" s="151"/>
      <c r="Z811" s="151"/>
    </row>
    <row r="812" customFormat="false" ht="12.75" hidden="false" customHeight="true" outlineLevel="0" collapsed="false">
      <c r="A812" s="151"/>
      <c r="C812" s="151"/>
      <c r="D812" s="151"/>
      <c r="E812" s="151"/>
      <c r="F812" s="151"/>
      <c r="G812" s="151"/>
      <c r="H812" s="151"/>
      <c r="I812" s="151"/>
      <c r="J812" s="151"/>
      <c r="K812" s="151"/>
      <c r="L812" s="151"/>
      <c r="M812" s="151"/>
      <c r="N812" s="151"/>
      <c r="O812" s="151"/>
      <c r="P812" s="151"/>
      <c r="Q812" s="151"/>
      <c r="R812" s="151"/>
      <c r="S812" s="151"/>
      <c r="T812" s="151"/>
      <c r="U812" s="151"/>
      <c r="V812" s="151"/>
      <c r="W812" s="151"/>
      <c r="X812" s="151"/>
      <c r="Y812" s="151"/>
      <c r="Z812" s="151"/>
    </row>
    <row r="813" customFormat="false" ht="12.75" hidden="false" customHeight="true" outlineLevel="0" collapsed="false">
      <c r="A813" s="151"/>
      <c r="C813" s="151"/>
      <c r="D813" s="151"/>
      <c r="E813" s="151"/>
      <c r="F813" s="151"/>
      <c r="G813" s="151"/>
      <c r="H813" s="151"/>
      <c r="I813" s="151"/>
      <c r="J813" s="151"/>
      <c r="K813" s="151"/>
      <c r="L813" s="151"/>
      <c r="M813" s="151"/>
      <c r="N813" s="151"/>
      <c r="O813" s="151"/>
      <c r="P813" s="151"/>
      <c r="Q813" s="151"/>
      <c r="R813" s="151"/>
      <c r="S813" s="151"/>
      <c r="T813" s="151"/>
      <c r="U813" s="151"/>
      <c r="V813" s="151"/>
      <c r="W813" s="151"/>
      <c r="X813" s="151"/>
      <c r="Y813" s="151"/>
      <c r="Z813" s="151"/>
    </row>
    <row r="814" customFormat="false" ht="12.75" hidden="false" customHeight="true" outlineLevel="0" collapsed="false">
      <c r="A814" s="151"/>
      <c r="C814" s="151"/>
      <c r="D814" s="151"/>
      <c r="E814" s="151"/>
      <c r="F814" s="151"/>
      <c r="G814" s="151"/>
      <c r="H814" s="151"/>
      <c r="I814" s="151"/>
      <c r="J814" s="151"/>
      <c r="K814" s="151"/>
      <c r="L814" s="151"/>
      <c r="M814" s="151"/>
      <c r="N814" s="151"/>
      <c r="O814" s="151"/>
      <c r="P814" s="151"/>
      <c r="Q814" s="151"/>
      <c r="R814" s="151"/>
      <c r="S814" s="151"/>
      <c r="T814" s="151"/>
      <c r="U814" s="151"/>
      <c r="V814" s="151"/>
      <c r="W814" s="151"/>
      <c r="X814" s="151"/>
      <c r="Y814" s="151"/>
      <c r="Z814" s="151"/>
    </row>
    <row r="815" customFormat="false" ht="12.75" hidden="false" customHeight="true" outlineLevel="0" collapsed="false">
      <c r="A815" s="151"/>
      <c r="C815" s="151"/>
      <c r="D815" s="151"/>
      <c r="E815" s="151"/>
      <c r="F815" s="151"/>
      <c r="G815" s="151"/>
      <c r="H815" s="151"/>
      <c r="I815" s="151"/>
      <c r="J815" s="151"/>
      <c r="K815" s="151"/>
      <c r="L815" s="151"/>
      <c r="M815" s="151"/>
      <c r="N815" s="151"/>
      <c r="O815" s="151"/>
      <c r="P815" s="151"/>
      <c r="Q815" s="151"/>
      <c r="R815" s="151"/>
      <c r="S815" s="151"/>
      <c r="T815" s="151"/>
      <c r="U815" s="151"/>
      <c r="V815" s="151"/>
      <c r="W815" s="151"/>
      <c r="X815" s="151"/>
      <c r="Y815" s="151"/>
      <c r="Z815" s="151"/>
    </row>
    <row r="816" customFormat="false" ht="12.75" hidden="false" customHeight="true" outlineLevel="0" collapsed="false">
      <c r="A816" s="151"/>
      <c r="C816" s="151"/>
      <c r="D816" s="151"/>
      <c r="E816" s="151"/>
      <c r="F816" s="151"/>
      <c r="G816" s="151"/>
      <c r="H816" s="151"/>
      <c r="I816" s="151"/>
      <c r="J816" s="151"/>
      <c r="K816" s="151"/>
      <c r="L816" s="151"/>
      <c r="M816" s="151"/>
      <c r="N816" s="151"/>
      <c r="O816" s="151"/>
      <c r="P816" s="151"/>
      <c r="Q816" s="151"/>
      <c r="R816" s="151"/>
      <c r="S816" s="151"/>
      <c r="T816" s="151"/>
      <c r="U816" s="151"/>
      <c r="V816" s="151"/>
      <c r="W816" s="151"/>
      <c r="X816" s="151"/>
      <c r="Y816" s="151"/>
      <c r="Z816" s="151"/>
    </row>
    <row r="817" customFormat="false" ht="12.75" hidden="false" customHeight="true" outlineLevel="0" collapsed="false">
      <c r="A817" s="151"/>
      <c r="C817" s="151"/>
      <c r="D817" s="151"/>
      <c r="E817" s="151"/>
      <c r="F817" s="151"/>
      <c r="G817" s="151"/>
      <c r="H817" s="151"/>
      <c r="I817" s="151"/>
      <c r="J817" s="151"/>
      <c r="K817" s="151"/>
      <c r="L817" s="151"/>
      <c r="M817" s="151"/>
      <c r="N817" s="151"/>
      <c r="O817" s="151"/>
      <c r="P817" s="151"/>
      <c r="Q817" s="151"/>
      <c r="R817" s="151"/>
      <c r="S817" s="151"/>
      <c r="T817" s="151"/>
      <c r="U817" s="151"/>
      <c r="V817" s="151"/>
      <c r="W817" s="151"/>
      <c r="X817" s="151"/>
      <c r="Y817" s="151"/>
      <c r="Z817" s="151"/>
    </row>
    <row r="818" customFormat="false" ht="12.75" hidden="false" customHeight="true" outlineLevel="0" collapsed="false">
      <c r="A818" s="151"/>
      <c r="C818" s="151"/>
      <c r="D818" s="151"/>
      <c r="E818" s="151"/>
      <c r="F818" s="151"/>
      <c r="G818" s="151"/>
      <c r="H818" s="151"/>
      <c r="I818" s="151"/>
      <c r="J818" s="151"/>
      <c r="K818" s="151"/>
      <c r="L818" s="151"/>
      <c r="M818" s="151"/>
      <c r="N818" s="151"/>
      <c r="O818" s="151"/>
      <c r="P818" s="151"/>
      <c r="Q818" s="151"/>
      <c r="R818" s="151"/>
      <c r="S818" s="151"/>
      <c r="T818" s="151"/>
      <c r="U818" s="151"/>
      <c r="V818" s="151"/>
      <c r="W818" s="151"/>
      <c r="X818" s="151"/>
      <c r="Y818" s="151"/>
      <c r="Z818" s="151"/>
    </row>
    <row r="819" customFormat="false" ht="12.75" hidden="false" customHeight="true" outlineLevel="0" collapsed="false">
      <c r="A819" s="151"/>
      <c r="C819" s="151"/>
      <c r="D819" s="151"/>
      <c r="E819" s="151"/>
      <c r="F819" s="151"/>
      <c r="G819" s="151"/>
      <c r="H819" s="151"/>
      <c r="I819" s="151"/>
      <c r="J819" s="151"/>
      <c r="K819" s="151"/>
      <c r="L819" s="151"/>
      <c r="M819" s="151"/>
      <c r="N819" s="151"/>
      <c r="O819" s="151"/>
      <c r="P819" s="151"/>
      <c r="Q819" s="151"/>
      <c r="R819" s="151"/>
      <c r="S819" s="151"/>
      <c r="T819" s="151"/>
      <c r="U819" s="151"/>
      <c r="V819" s="151"/>
      <c r="W819" s="151"/>
      <c r="X819" s="151"/>
      <c r="Y819" s="151"/>
      <c r="Z819" s="151"/>
    </row>
    <row r="820" customFormat="false" ht="12.75" hidden="false" customHeight="true" outlineLevel="0" collapsed="false">
      <c r="A820" s="151"/>
      <c r="C820" s="151"/>
      <c r="D820" s="151"/>
      <c r="E820" s="151"/>
      <c r="F820" s="151"/>
      <c r="G820" s="151"/>
      <c r="H820" s="151"/>
      <c r="I820" s="151"/>
      <c r="J820" s="151"/>
      <c r="K820" s="151"/>
      <c r="L820" s="151"/>
      <c r="M820" s="151"/>
      <c r="N820" s="151"/>
      <c r="O820" s="151"/>
      <c r="P820" s="151"/>
      <c r="Q820" s="151"/>
      <c r="R820" s="151"/>
      <c r="S820" s="151"/>
      <c r="T820" s="151"/>
      <c r="U820" s="151"/>
      <c r="V820" s="151"/>
      <c r="W820" s="151"/>
      <c r="X820" s="151"/>
      <c r="Y820" s="151"/>
      <c r="Z820" s="151"/>
    </row>
    <row r="821" customFormat="false" ht="12.75" hidden="false" customHeight="true" outlineLevel="0" collapsed="false">
      <c r="A821" s="151"/>
      <c r="C821" s="151"/>
      <c r="D821" s="151"/>
      <c r="E821" s="151"/>
      <c r="F821" s="151"/>
      <c r="G821" s="151"/>
      <c r="H821" s="151"/>
      <c r="I821" s="151"/>
      <c r="J821" s="151"/>
      <c r="K821" s="151"/>
      <c r="L821" s="151"/>
      <c r="M821" s="151"/>
      <c r="N821" s="151"/>
      <c r="O821" s="151"/>
      <c r="P821" s="151"/>
      <c r="Q821" s="151"/>
      <c r="R821" s="151"/>
      <c r="S821" s="151"/>
      <c r="T821" s="151"/>
      <c r="U821" s="151"/>
      <c r="V821" s="151"/>
      <c r="W821" s="151"/>
      <c r="X821" s="151"/>
      <c r="Y821" s="151"/>
      <c r="Z821" s="151"/>
    </row>
    <row r="822" customFormat="false" ht="12.75" hidden="false" customHeight="true" outlineLevel="0" collapsed="false">
      <c r="A822" s="151"/>
      <c r="C822" s="151"/>
      <c r="D822" s="151"/>
      <c r="E822" s="151"/>
      <c r="F822" s="151"/>
      <c r="G822" s="151"/>
      <c r="H822" s="151"/>
      <c r="I822" s="151"/>
      <c r="J822" s="151"/>
      <c r="K822" s="151"/>
      <c r="L822" s="151"/>
      <c r="M822" s="151"/>
      <c r="N822" s="151"/>
      <c r="O822" s="151"/>
      <c r="P822" s="151"/>
      <c r="Q822" s="151"/>
      <c r="R822" s="151"/>
      <c r="S822" s="151"/>
      <c r="T822" s="151"/>
      <c r="U822" s="151"/>
      <c r="V822" s="151"/>
      <c r="W822" s="151"/>
      <c r="X822" s="151"/>
      <c r="Y822" s="151"/>
      <c r="Z822" s="151"/>
    </row>
    <row r="823" customFormat="false" ht="12.75" hidden="false" customHeight="true" outlineLevel="0" collapsed="false">
      <c r="A823" s="151"/>
      <c r="C823" s="151"/>
      <c r="D823" s="151"/>
      <c r="E823" s="151"/>
      <c r="F823" s="151"/>
      <c r="G823" s="151"/>
      <c r="H823" s="151"/>
      <c r="I823" s="151"/>
      <c r="J823" s="151"/>
      <c r="K823" s="151"/>
      <c r="L823" s="151"/>
      <c r="M823" s="151"/>
      <c r="N823" s="151"/>
      <c r="O823" s="151"/>
      <c r="P823" s="151"/>
      <c r="Q823" s="151"/>
      <c r="R823" s="151"/>
      <c r="S823" s="151"/>
      <c r="T823" s="151"/>
      <c r="U823" s="151"/>
      <c r="V823" s="151"/>
      <c r="W823" s="151"/>
      <c r="X823" s="151"/>
      <c r="Y823" s="151"/>
      <c r="Z823" s="151"/>
    </row>
    <row r="824" customFormat="false" ht="12.75" hidden="false" customHeight="true" outlineLevel="0" collapsed="false">
      <c r="A824" s="151"/>
      <c r="C824" s="151"/>
      <c r="D824" s="151"/>
      <c r="E824" s="151"/>
      <c r="F824" s="151"/>
      <c r="G824" s="151"/>
      <c r="H824" s="151"/>
      <c r="I824" s="151"/>
      <c r="J824" s="151"/>
      <c r="K824" s="151"/>
      <c r="L824" s="151"/>
      <c r="M824" s="151"/>
      <c r="N824" s="151"/>
      <c r="O824" s="151"/>
      <c r="P824" s="151"/>
      <c r="Q824" s="151"/>
      <c r="R824" s="151"/>
      <c r="S824" s="151"/>
      <c r="T824" s="151"/>
      <c r="U824" s="151"/>
      <c r="V824" s="151"/>
      <c r="W824" s="151"/>
      <c r="X824" s="151"/>
      <c r="Y824" s="151"/>
      <c r="Z824" s="151"/>
    </row>
    <row r="825" customFormat="false" ht="12.75" hidden="false" customHeight="true" outlineLevel="0" collapsed="false">
      <c r="A825" s="151"/>
      <c r="C825" s="151"/>
      <c r="D825" s="151"/>
      <c r="E825" s="151"/>
      <c r="F825" s="151"/>
      <c r="G825" s="151"/>
      <c r="H825" s="151"/>
      <c r="I825" s="151"/>
      <c r="J825" s="151"/>
      <c r="K825" s="151"/>
      <c r="L825" s="151"/>
      <c r="M825" s="151"/>
      <c r="N825" s="151"/>
      <c r="O825" s="151"/>
      <c r="P825" s="151"/>
      <c r="Q825" s="151"/>
      <c r="R825" s="151"/>
      <c r="S825" s="151"/>
      <c r="T825" s="151"/>
      <c r="U825" s="151"/>
      <c r="V825" s="151"/>
      <c r="W825" s="151"/>
      <c r="X825" s="151"/>
      <c r="Y825" s="151"/>
      <c r="Z825" s="151"/>
    </row>
    <row r="826" customFormat="false" ht="12.75" hidden="false" customHeight="true" outlineLevel="0" collapsed="false">
      <c r="A826" s="151"/>
      <c r="C826" s="151"/>
      <c r="D826" s="151"/>
      <c r="E826" s="151"/>
      <c r="F826" s="151"/>
      <c r="G826" s="151"/>
      <c r="H826" s="151"/>
      <c r="I826" s="151"/>
      <c r="J826" s="151"/>
      <c r="K826" s="151"/>
      <c r="L826" s="151"/>
      <c r="M826" s="151"/>
      <c r="N826" s="151"/>
      <c r="O826" s="151"/>
      <c r="P826" s="151"/>
      <c r="Q826" s="151"/>
      <c r="R826" s="151"/>
      <c r="S826" s="151"/>
      <c r="T826" s="151"/>
      <c r="U826" s="151"/>
      <c r="V826" s="151"/>
      <c r="W826" s="151"/>
      <c r="X826" s="151"/>
      <c r="Y826" s="151"/>
      <c r="Z826" s="151"/>
    </row>
    <row r="827" customFormat="false" ht="12.75" hidden="false" customHeight="true" outlineLevel="0" collapsed="false">
      <c r="A827" s="151"/>
      <c r="C827" s="151"/>
      <c r="D827" s="151"/>
      <c r="E827" s="151"/>
      <c r="F827" s="151"/>
      <c r="G827" s="151"/>
      <c r="H827" s="151"/>
      <c r="I827" s="151"/>
      <c r="J827" s="151"/>
      <c r="K827" s="151"/>
      <c r="L827" s="151"/>
      <c r="M827" s="151"/>
      <c r="N827" s="151"/>
      <c r="O827" s="151"/>
      <c r="P827" s="151"/>
      <c r="Q827" s="151"/>
      <c r="R827" s="151"/>
      <c r="S827" s="151"/>
      <c r="T827" s="151"/>
      <c r="U827" s="151"/>
      <c r="V827" s="151"/>
      <c r="W827" s="151"/>
      <c r="X827" s="151"/>
      <c r="Y827" s="151"/>
      <c r="Z827" s="151"/>
    </row>
    <row r="828" customFormat="false" ht="12.75" hidden="false" customHeight="true" outlineLevel="0" collapsed="false">
      <c r="A828" s="151"/>
      <c r="C828" s="151"/>
      <c r="D828" s="151"/>
      <c r="E828" s="151"/>
      <c r="F828" s="151"/>
      <c r="G828" s="151"/>
      <c r="H828" s="151"/>
      <c r="I828" s="151"/>
      <c r="J828" s="151"/>
      <c r="K828" s="151"/>
      <c r="L828" s="151"/>
      <c r="M828" s="151"/>
      <c r="N828" s="151"/>
      <c r="O828" s="151"/>
      <c r="P828" s="151"/>
      <c r="Q828" s="151"/>
      <c r="R828" s="151"/>
      <c r="S828" s="151"/>
      <c r="T828" s="151"/>
      <c r="U828" s="151"/>
      <c r="V828" s="151"/>
      <c r="W828" s="151"/>
      <c r="X828" s="151"/>
      <c r="Y828" s="151"/>
      <c r="Z828" s="151"/>
    </row>
    <row r="829" customFormat="false" ht="12.75" hidden="false" customHeight="true" outlineLevel="0" collapsed="false">
      <c r="A829" s="151"/>
      <c r="C829" s="151"/>
      <c r="D829" s="151"/>
      <c r="E829" s="151"/>
      <c r="F829" s="151"/>
      <c r="G829" s="151"/>
      <c r="H829" s="151"/>
      <c r="I829" s="151"/>
      <c r="J829" s="151"/>
      <c r="K829" s="151"/>
      <c r="L829" s="151"/>
      <c r="M829" s="151"/>
      <c r="N829" s="151"/>
      <c r="O829" s="151"/>
      <c r="P829" s="151"/>
      <c r="Q829" s="151"/>
      <c r="R829" s="151"/>
      <c r="S829" s="151"/>
      <c r="T829" s="151"/>
      <c r="U829" s="151"/>
      <c r="V829" s="151"/>
      <c r="W829" s="151"/>
      <c r="X829" s="151"/>
      <c r="Y829" s="151"/>
      <c r="Z829" s="151"/>
    </row>
    <row r="830" customFormat="false" ht="12.75" hidden="false" customHeight="true" outlineLevel="0" collapsed="false">
      <c r="A830" s="151"/>
      <c r="C830" s="151"/>
      <c r="D830" s="151"/>
      <c r="E830" s="151"/>
      <c r="F830" s="151"/>
      <c r="G830" s="151"/>
      <c r="H830" s="151"/>
      <c r="I830" s="151"/>
      <c r="J830" s="151"/>
      <c r="K830" s="151"/>
      <c r="L830" s="151"/>
      <c r="M830" s="151"/>
      <c r="N830" s="151"/>
      <c r="O830" s="151"/>
      <c r="P830" s="151"/>
      <c r="Q830" s="151"/>
      <c r="R830" s="151"/>
      <c r="S830" s="151"/>
      <c r="T830" s="151"/>
      <c r="U830" s="151"/>
      <c r="V830" s="151"/>
      <c r="W830" s="151"/>
      <c r="X830" s="151"/>
      <c r="Y830" s="151"/>
      <c r="Z830" s="151"/>
    </row>
    <row r="831" customFormat="false" ht="12.75" hidden="false" customHeight="true" outlineLevel="0" collapsed="false">
      <c r="A831" s="151"/>
      <c r="C831" s="151"/>
      <c r="D831" s="151"/>
      <c r="E831" s="151"/>
      <c r="F831" s="151"/>
      <c r="G831" s="151"/>
      <c r="H831" s="151"/>
      <c r="I831" s="151"/>
      <c r="J831" s="151"/>
      <c r="K831" s="151"/>
      <c r="L831" s="151"/>
      <c r="M831" s="151"/>
      <c r="N831" s="151"/>
      <c r="O831" s="151"/>
      <c r="P831" s="151"/>
      <c r="Q831" s="151"/>
      <c r="R831" s="151"/>
      <c r="S831" s="151"/>
      <c r="T831" s="151"/>
      <c r="U831" s="151"/>
      <c r="V831" s="151"/>
      <c r="W831" s="151"/>
      <c r="X831" s="151"/>
      <c r="Y831" s="151"/>
      <c r="Z831" s="151"/>
    </row>
    <row r="832" customFormat="false" ht="12.75" hidden="false" customHeight="true" outlineLevel="0" collapsed="false">
      <c r="A832" s="151"/>
      <c r="C832" s="151"/>
      <c r="D832" s="151"/>
      <c r="E832" s="151"/>
      <c r="F832" s="151"/>
      <c r="G832" s="151"/>
      <c r="H832" s="151"/>
      <c r="I832" s="151"/>
      <c r="J832" s="151"/>
      <c r="K832" s="151"/>
      <c r="L832" s="151"/>
      <c r="M832" s="151"/>
      <c r="N832" s="151"/>
      <c r="O832" s="151"/>
      <c r="P832" s="151"/>
      <c r="Q832" s="151"/>
      <c r="R832" s="151"/>
      <c r="S832" s="151"/>
      <c r="T832" s="151"/>
      <c r="U832" s="151"/>
      <c r="V832" s="151"/>
      <c r="W832" s="151"/>
      <c r="X832" s="151"/>
      <c r="Y832" s="151"/>
      <c r="Z832" s="151"/>
    </row>
    <row r="833" customFormat="false" ht="12.75" hidden="false" customHeight="true" outlineLevel="0" collapsed="false">
      <c r="A833" s="151"/>
      <c r="C833" s="151"/>
      <c r="D833" s="151"/>
      <c r="E833" s="151"/>
      <c r="F833" s="151"/>
      <c r="G833" s="151"/>
      <c r="H833" s="151"/>
      <c r="I833" s="151"/>
      <c r="J833" s="151"/>
      <c r="K833" s="151"/>
      <c r="L833" s="151"/>
      <c r="M833" s="151"/>
      <c r="N833" s="151"/>
      <c r="O833" s="151"/>
      <c r="P833" s="151"/>
      <c r="Q833" s="151"/>
      <c r="R833" s="151"/>
      <c r="S833" s="151"/>
      <c r="T833" s="151"/>
      <c r="U833" s="151"/>
      <c r="V833" s="151"/>
      <c r="W833" s="151"/>
      <c r="X833" s="151"/>
      <c r="Y833" s="151"/>
      <c r="Z833" s="151"/>
    </row>
    <row r="834" customFormat="false" ht="12.75" hidden="false" customHeight="true" outlineLevel="0" collapsed="false">
      <c r="A834" s="151"/>
      <c r="C834" s="151"/>
      <c r="D834" s="151"/>
      <c r="E834" s="151"/>
      <c r="F834" s="151"/>
      <c r="G834" s="151"/>
      <c r="H834" s="151"/>
      <c r="I834" s="151"/>
      <c r="J834" s="151"/>
      <c r="K834" s="151"/>
      <c r="L834" s="151"/>
      <c r="M834" s="151"/>
      <c r="N834" s="151"/>
      <c r="O834" s="151"/>
      <c r="P834" s="151"/>
      <c r="Q834" s="151"/>
      <c r="R834" s="151"/>
      <c r="S834" s="151"/>
      <c r="T834" s="151"/>
      <c r="U834" s="151"/>
      <c r="V834" s="151"/>
      <c r="W834" s="151"/>
      <c r="X834" s="151"/>
      <c r="Y834" s="151"/>
      <c r="Z834" s="151"/>
    </row>
    <row r="835" customFormat="false" ht="12.75" hidden="false" customHeight="true" outlineLevel="0" collapsed="false">
      <c r="A835" s="151"/>
      <c r="C835" s="151"/>
      <c r="D835" s="151"/>
      <c r="E835" s="151"/>
      <c r="F835" s="151"/>
      <c r="G835" s="151"/>
      <c r="H835" s="151"/>
      <c r="I835" s="151"/>
      <c r="J835" s="151"/>
      <c r="K835" s="151"/>
      <c r="L835" s="151"/>
      <c r="M835" s="151"/>
      <c r="N835" s="151"/>
      <c r="O835" s="151"/>
      <c r="P835" s="151"/>
      <c r="Q835" s="151"/>
      <c r="R835" s="151"/>
      <c r="S835" s="151"/>
      <c r="T835" s="151"/>
      <c r="U835" s="151"/>
      <c r="V835" s="151"/>
      <c r="W835" s="151"/>
      <c r="X835" s="151"/>
      <c r="Y835" s="151"/>
      <c r="Z835" s="151"/>
    </row>
    <row r="836" customFormat="false" ht="12.75" hidden="false" customHeight="true" outlineLevel="0" collapsed="false">
      <c r="A836" s="151"/>
      <c r="C836" s="151"/>
      <c r="D836" s="151"/>
      <c r="E836" s="151"/>
      <c r="F836" s="151"/>
      <c r="G836" s="151"/>
      <c r="H836" s="151"/>
      <c r="I836" s="151"/>
      <c r="J836" s="151"/>
      <c r="K836" s="151"/>
      <c r="L836" s="151"/>
      <c r="M836" s="151"/>
      <c r="N836" s="151"/>
      <c r="O836" s="151"/>
      <c r="P836" s="151"/>
      <c r="Q836" s="151"/>
      <c r="R836" s="151"/>
      <c r="S836" s="151"/>
      <c r="T836" s="151"/>
      <c r="U836" s="151"/>
      <c r="V836" s="151"/>
      <c r="W836" s="151"/>
      <c r="X836" s="151"/>
      <c r="Y836" s="151"/>
      <c r="Z836" s="151"/>
    </row>
    <row r="837" customFormat="false" ht="12.75" hidden="false" customHeight="true" outlineLevel="0" collapsed="false">
      <c r="A837" s="151"/>
      <c r="C837" s="151"/>
      <c r="D837" s="151"/>
      <c r="E837" s="151"/>
      <c r="F837" s="151"/>
      <c r="G837" s="151"/>
      <c r="H837" s="151"/>
      <c r="I837" s="151"/>
      <c r="J837" s="151"/>
      <c r="K837" s="151"/>
      <c r="L837" s="151"/>
      <c r="M837" s="151"/>
      <c r="N837" s="151"/>
      <c r="O837" s="151"/>
      <c r="P837" s="151"/>
      <c r="Q837" s="151"/>
      <c r="R837" s="151"/>
      <c r="S837" s="151"/>
      <c r="T837" s="151"/>
      <c r="U837" s="151"/>
      <c r="V837" s="151"/>
      <c r="W837" s="151"/>
      <c r="X837" s="151"/>
      <c r="Y837" s="151"/>
      <c r="Z837" s="151"/>
    </row>
    <row r="838" customFormat="false" ht="12.75" hidden="false" customHeight="true" outlineLevel="0" collapsed="false">
      <c r="A838" s="151"/>
      <c r="C838" s="151"/>
      <c r="D838" s="151"/>
      <c r="E838" s="151"/>
      <c r="F838" s="151"/>
      <c r="G838" s="151"/>
      <c r="H838" s="151"/>
      <c r="I838" s="151"/>
      <c r="J838" s="151"/>
      <c r="K838" s="151"/>
      <c r="L838" s="151"/>
      <c r="M838" s="151"/>
      <c r="N838" s="151"/>
      <c r="O838" s="151"/>
      <c r="P838" s="151"/>
      <c r="Q838" s="151"/>
      <c r="R838" s="151"/>
      <c r="S838" s="151"/>
      <c r="T838" s="151"/>
      <c r="U838" s="151"/>
      <c r="V838" s="151"/>
      <c r="W838" s="151"/>
      <c r="X838" s="151"/>
      <c r="Y838" s="151"/>
      <c r="Z838" s="151"/>
    </row>
    <row r="839" customFormat="false" ht="12.75" hidden="false" customHeight="true" outlineLevel="0" collapsed="false">
      <c r="A839" s="151"/>
      <c r="C839" s="151"/>
      <c r="D839" s="151"/>
      <c r="E839" s="151"/>
      <c r="F839" s="151"/>
      <c r="G839" s="151"/>
      <c r="H839" s="151"/>
      <c r="I839" s="151"/>
      <c r="J839" s="151"/>
      <c r="K839" s="151"/>
      <c r="L839" s="151"/>
      <c r="M839" s="151"/>
      <c r="N839" s="151"/>
      <c r="O839" s="151"/>
      <c r="P839" s="151"/>
      <c r="Q839" s="151"/>
      <c r="R839" s="151"/>
      <c r="S839" s="151"/>
      <c r="T839" s="151"/>
      <c r="U839" s="151"/>
      <c r="V839" s="151"/>
      <c r="W839" s="151"/>
      <c r="X839" s="151"/>
      <c r="Y839" s="151"/>
      <c r="Z839" s="151"/>
    </row>
    <row r="840" customFormat="false" ht="12.75" hidden="false" customHeight="true" outlineLevel="0" collapsed="false">
      <c r="A840" s="151"/>
      <c r="C840" s="151"/>
      <c r="D840" s="151"/>
      <c r="E840" s="151"/>
      <c r="F840" s="151"/>
      <c r="G840" s="151"/>
      <c r="H840" s="151"/>
      <c r="I840" s="151"/>
      <c r="J840" s="151"/>
      <c r="K840" s="151"/>
      <c r="L840" s="151"/>
      <c r="M840" s="151"/>
      <c r="N840" s="151"/>
      <c r="O840" s="151"/>
      <c r="P840" s="151"/>
      <c r="Q840" s="151"/>
      <c r="R840" s="151"/>
      <c r="S840" s="151"/>
      <c r="T840" s="151"/>
      <c r="U840" s="151"/>
      <c r="V840" s="151"/>
      <c r="W840" s="151"/>
      <c r="X840" s="151"/>
      <c r="Y840" s="151"/>
      <c r="Z840" s="151"/>
    </row>
    <row r="841" customFormat="false" ht="12.75" hidden="false" customHeight="true" outlineLevel="0" collapsed="false">
      <c r="A841" s="151"/>
      <c r="C841" s="151"/>
      <c r="D841" s="151"/>
      <c r="E841" s="151"/>
      <c r="F841" s="151"/>
      <c r="G841" s="151"/>
      <c r="H841" s="151"/>
      <c r="I841" s="151"/>
      <c r="J841" s="151"/>
      <c r="K841" s="151"/>
      <c r="L841" s="151"/>
      <c r="M841" s="151"/>
      <c r="N841" s="151"/>
      <c r="O841" s="151"/>
      <c r="P841" s="151"/>
      <c r="Q841" s="151"/>
      <c r="R841" s="151"/>
      <c r="S841" s="151"/>
      <c r="T841" s="151"/>
      <c r="U841" s="151"/>
      <c r="V841" s="151"/>
      <c r="W841" s="151"/>
      <c r="X841" s="151"/>
      <c r="Y841" s="151"/>
      <c r="Z841" s="151"/>
    </row>
    <row r="842" customFormat="false" ht="12.75" hidden="false" customHeight="true" outlineLevel="0" collapsed="false">
      <c r="A842" s="151"/>
      <c r="C842" s="151"/>
      <c r="D842" s="151"/>
      <c r="E842" s="151"/>
      <c r="F842" s="151"/>
      <c r="G842" s="151"/>
      <c r="H842" s="151"/>
      <c r="I842" s="151"/>
      <c r="J842" s="151"/>
      <c r="K842" s="151"/>
      <c r="L842" s="151"/>
      <c r="M842" s="151"/>
      <c r="N842" s="151"/>
      <c r="O842" s="151"/>
      <c r="P842" s="151"/>
      <c r="Q842" s="151"/>
      <c r="R842" s="151"/>
      <c r="S842" s="151"/>
      <c r="T842" s="151"/>
      <c r="U842" s="151"/>
      <c r="V842" s="151"/>
      <c r="W842" s="151"/>
      <c r="X842" s="151"/>
      <c r="Y842" s="151"/>
      <c r="Z842" s="151"/>
    </row>
    <row r="843" customFormat="false" ht="12.75" hidden="false" customHeight="true" outlineLevel="0" collapsed="false">
      <c r="A843" s="151"/>
      <c r="C843" s="151"/>
      <c r="D843" s="151"/>
      <c r="E843" s="151"/>
      <c r="F843" s="151"/>
      <c r="G843" s="151"/>
      <c r="H843" s="151"/>
      <c r="I843" s="151"/>
      <c r="J843" s="151"/>
      <c r="K843" s="151"/>
      <c r="L843" s="151"/>
      <c r="M843" s="151"/>
      <c r="N843" s="151"/>
      <c r="O843" s="151"/>
      <c r="P843" s="151"/>
      <c r="Q843" s="151"/>
      <c r="R843" s="151"/>
      <c r="S843" s="151"/>
      <c r="T843" s="151"/>
      <c r="U843" s="151"/>
      <c r="V843" s="151"/>
      <c r="W843" s="151"/>
      <c r="X843" s="151"/>
      <c r="Y843" s="151"/>
      <c r="Z843" s="151"/>
    </row>
    <row r="844" customFormat="false" ht="12.75" hidden="false" customHeight="true" outlineLevel="0" collapsed="false">
      <c r="A844" s="151"/>
      <c r="C844" s="151"/>
      <c r="D844" s="151"/>
      <c r="E844" s="151"/>
      <c r="F844" s="151"/>
      <c r="G844" s="151"/>
      <c r="H844" s="151"/>
      <c r="I844" s="151"/>
      <c r="J844" s="151"/>
      <c r="K844" s="151"/>
      <c r="L844" s="151"/>
      <c r="M844" s="151"/>
      <c r="N844" s="151"/>
      <c r="O844" s="151"/>
      <c r="P844" s="151"/>
      <c r="Q844" s="151"/>
      <c r="R844" s="151"/>
      <c r="S844" s="151"/>
      <c r="T844" s="151"/>
      <c r="U844" s="151"/>
      <c r="V844" s="151"/>
      <c r="W844" s="151"/>
      <c r="X844" s="151"/>
      <c r="Y844" s="151"/>
      <c r="Z844" s="151"/>
    </row>
    <row r="845" customFormat="false" ht="12.75" hidden="false" customHeight="true" outlineLevel="0" collapsed="false">
      <c r="A845" s="151"/>
      <c r="C845" s="151"/>
      <c r="D845" s="151"/>
      <c r="E845" s="151"/>
      <c r="F845" s="151"/>
      <c r="G845" s="151"/>
      <c r="H845" s="151"/>
      <c r="I845" s="151"/>
      <c r="J845" s="151"/>
      <c r="K845" s="151"/>
      <c r="L845" s="151"/>
      <c r="M845" s="151"/>
      <c r="N845" s="151"/>
      <c r="O845" s="151"/>
      <c r="P845" s="151"/>
      <c r="Q845" s="151"/>
      <c r="R845" s="151"/>
      <c r="S845" s="151"/>
      <c r="T845" s="151"/>
      <c r="U845" s="151"/>
      <c r="V845" s="151"/>
      <c r="W845" s="151"/>
      <c r="X845" s="151"/>
      <c r="Y845" s="151"/>
      <c r="Z845" s="151"/>
    </row>
    <row r="846" customFormat="false" ht="12.75" hidden="false" customHeight="true" outlineLevel="0" collapsed="false">
      <c r="A846" s="151"/>
      <c r="C846" s="151"/>
      <c r="D846" s="151"/>
      <c r="E846" s="151"/>
      <c r="F846" s="151"/>
      <c r="G846" s="151"/>
      <c r="H846" s="151"/>
      <c r="I846" s="151"/>
      <c r="J846" s="151"/>
      <c r="K846" s="151"/>
      <c r="L846" s="151"/>
      <c r="M846" s="151"/>
      <c r="N846" s="151"/>
      <c r="O846" s="151"/>
      <c r="P846" s="151"/>
      <c r="Q846" s="151"/>
      <c r="R846" s="151"/>
      <c r="S846" s="151"/>
      <c r="T846" s="151"/>
      <c r="U846" s="151"/>
      <c r="V846" s="151"/>
      <c r="W846" s="151"/>
      <c r="X846" s="151"/>
      <c r="Y846" s="151"/>
      <c r="Z846" s="151"/>
    </row>
    <row r="847" customFormat="false" ht="12.75" hidden="false" customHeight="true" outlineLevel="0" collapsed="false">
      <c r="A847" s="151"/>
      <c r="C847" s="151"/>
      <c r="D847" s="151"/>
      <c r="E847" s="151"/>
      <c r="F847" s="151"/>
      <c r="G847" s="151"/>
      <c r="H847" s="151"/>
      <c r="I847" s="151"/>
      <c r="J847" s="151"/>
      <c r="K847" s="151"/>
      <c r="L847" s="151"/>
      <c r="M847" s="151"/>
      <c r="N847" s="151"/>
      <c r="O847" s="151"/>
      <c r="P847" s="151"/>
      <c r="Q847" s="151"/>
      <c r="R847" s="151"/>
      <c r="S847" s="151"/>
      <c r="T847" s="151"/>
      <c r="U847" s="151"/>
      <c r="V847" s="151"/>
      <c r="W847" s="151"/>
      <c r="X847" s="151"/>
      <c r="Y847" s="151"/>
      <c r="Z847" s="151"/>
    </row>
    <row r="848" customFormat="false" ht="12.75" hidden="false" customHeight="true" outlineLevel="0" collapsed="false">
      <c r="A848" s="151"/>
      <c r="C848" s="151"/>
      <c r="D848" s="151"/>
      <c r="E848" s="151"/>
      <c r="F848" s="151"/>
      <c r="G848" s="151"/>
      <c r="H848" s="151"/>
      <c r="I848" s="151"/>
      <c r="J848" s="151"/>
      <c r="K848" s="151"/>
      <c r="L848" s="151"/>
      <c r="M848" s="151"/>
      <c r="N848" s="151"/>
      <c r="O848" s="151"/>
      <c r="P848" s="151"/>
      <c r="Q848" s="151"/>
      <c r="R848" s="151"/>
      <c r="S848" s="151"/>
      <c r="T848" s="151"/>
      <c r="U848" s="151"/>
      <c r="V848" s="151"/>
      <c r="W848" s="151"/>
      <c r="X848" s="151"/>
      <c r="Y848" s="151"/>
      <c r="Z848" s="151"/>
    </row>
    <row r="849" customFormat="false" ht="12.75" hidden="false" customHeight="true" outlineLevel="0" collapsed="false">
      <c r="A849" s="151"/>
      <c r="C849" s="151"/>
      <c r="D849" s="151"/>
      <c r="E849" s="151"/>
      <c r="F849" s="151"/>
      <c r="G849" s="151"/>
      <c r="H849" s="151"/>
      <c r="I849" s="151"/>
      <c r="J849" s="151"/>
      <c r="K849" s="151"/>
      <c r="L849" s="151"/>
      <c r="M849" s="151"/>
      <c r="N849" s="151"/>
      <c r="O849" s="151"/>
      <c r="P849" s="151"/>
      <c r="Q849" s="151"/>
      <c r="R849" s="151"/>
      <c r="S849" s="151"/>
      <c r="T849" s="151"/>
      <c r="U849" s="151"/>
      <c r="V849" s="151"/>
      <c r="W849" s="151"/>
      <c r="X849" s="151"/>
      <c r="Y849" s="151"/>
      <c r="Z849" s="151"/>
    </row>
    <row r="850" customFormat="false" ht="12.75" hidden="false" customHeight="true" outlineLevel="0" collapsed="false">
      <c r="A850" s="151"/>
      <c r="C850" s="151"/>
      <c r="D850" s="151"/>
      <c r="E850" s="151"/>
      <c r="F850" s="151"/>
      <c r="G850" s="151"/>
      <c r="H850" s="151"/>
      <c r="I850" s="151"/>
      <c r="J850" s="151"/>
      <c r="K850" s="151"/>
      <c r="L850" s="151"/>
      <c r="M850" s="151"/>
      <c r="N850" s="151"/>
      <c r="O850" s="151"/>
      <c r="P850" s="151"/>
      <c r="Q850" s="151"/>
      <c r="R850" s="151"/>
      <c r="S850" s="151"/>
      <c r="T850" s="151"/>
      <c r="U850" s="151"/>
      <c r="V850" s="151"/>
      <c r="W850" s="151"/>
      <c r="X850" s="151"/>
      <c r="Y850" s="151"/>
      <c r="Z850" s="151"/>
    </row>
    <row r="851" customFormat="false" ht="12.75" hidden="false" customHeight="true" outlineLevel="0" collapsed="false">
      <c r="A851" s="151"/>
      <c r="C851" s="151"/>
      <c r="D851" s="151"/>
      <c r="E851" s="151"/>
      <c r="F851" s="151"/>
      <c r="G851" s="151"/>
      <c r="H851" s="151"/>
      <c r="I851" s="151"/>
      <c r="J851" s="151"/>
      <c r="K851" s="151"/>
      <c r="L851" s="151"/>
      <c r="M851" s="151"/>
      <c r="N851" s="151"/>
      <c r="O851" s="151"/>
      <c r="P851" s="151"/>
      <c r="Q851" s="151"/>
      <c r="R851" s="151"/>
      <c r="S851" s="151"/>
      <c r="T851" s="151"/>
      <c r="U851" s="151"/>
      <c r="V851" s="151"/>
      <c r="W851" s="151"/>
      <c r="X851" s="151"/>
      <c r="Y851" s="151"/>
      <c r="Z851" s="151"/>
    </row>
    <row r="852" customFormat="false" ht="12.75" hidden="false" customHeight="true" outlineLevel="0" collapsed="false">
      <c r="A852" s="151"/>
      <c r="C852" s="151"/>
      <c r="D852" s="151"/>
      <c r="E852" s="151"/>
      <c r="F852" s="151"/>
      <c r="G852" s="151"/>
      <c r="H852" s="151"/>
      <c r="I852" s="151"/>
      <c r="J852" s="151"/>
      <c r="K852" s="151"/>
      <c r="L852" s="151"/>
      <c r="M852" s="151"/>
      <c r="N852" s="151"/>
      <c r="O852" s="151"/>
      <c r="P852" s="151"/>
      <c r="Q852" s="151"/>
      <c r="R852" s="151"/>
      <c r="S852" s="151"/>
      <c r="T852" s="151"/>
      <c r="U852" s="151"/>
      <c r="V852" s="151"/>
      <c r="W852" s="151"/>
      <c r="X852" s="151"/>
      <c r="Y852" s="151"/>
      <c r="Z852" s="151"/>
    </row>
    <row r="853" customFormat="false" ht="12.75" hidden="false" customHeight="true" outlineLevel="0" collapsed="false">
      <c r="A853" s="151"/>
      <c r="C853" s="151"/>
      <c r="D853" s="151"/>
      <c r="E853" s="151"/>
      <c r="F853" s="151"/>
      <c r="G853" s="151"/>
      <c r="H853" s="151"/>
      <c r="I853" s="151"/>
      <c r="J853" s="151"/>
      <c r="K853" s="151"/>
      <c r="L853" s="151"/>
      <c r="M853" s="151"/>
      <c r="N853" s="151"/>
      <c r="O853" s="151"/>
      <c r="P853" s="151"/>
      <c r="Q853" s="151"/>
      <c r="R853" s="151"/>
      <c r="S853" s="151"/>
      <c r="T853" s="151"/>
      <c r="U853" s="151"/>
      <c r="V853" s="151"/>
      <c r="W853" s="151"/>
      <c r="X853" s="151"/>
      <c r="Y853" s="151"/>
      <c r="Z853" s="151"/>
    </row>
    <row r="854" customFormat="false" ht="12.75" hidden="false" customHeight="true" outlineLevel="0" collapsed="false">
      <c r="A854" s="151"/>
      <c r="C854" s="151"/>
      <c r="D854" s="151"/>
      <c r="E854" s="151"/>
      <c r="F854" s="151"/>
      <c r="G854" s="151"/>
      <c r="H854" s="151"/>
      <c r="I854" s="151"/>
      <c r="J854" s="151"/>
      <c r="K854" s="151"/>
      <c r="L854" s="151"/>
      <c r="M854" s="151"/>
      <c r="N854" s="151"/>
      <c r="O854" s="151"/>
      <c r="P854" s="151"/>
      <c r="Q854" s="151"/>
      <c r="R854" s="151"/>
      <c r="S854" s="151"/>
      <c r="T854" s="151"/>
      <c r="U854" s="151"/>
      <c r="V854" s="151"/>
      <c r="W854" s="151"/>
      <c r="X854" s="151"/>
      <c r="Y854" s="151"/>
      <c r="Z854" s="151"/>
    </row>
    <row r="855" customFormat="false" ht="12.75" hidden="false" customHeight="true" outlineLevel="0" collapsed="false">
      <c r="A855" s="151"/>
      <c r="C855" s="151"/>
      <c r="D855" s="151"/>
      <c r="E855" s="151"/>
      <c r="F855" s="151"/>
      <c r="G855" s="151"/>
      <c r="H855" s="151"/>
      <c r="I855" s="151"/>
      <c r="J855" s="151"/>
      <c r="K855" s="151"/>
      <c r="L855" s="151"/>
      <c r="M855" s="151"/>
      <c r="N855" s="151"/>
      <c r="O855" s="151"/>
      <c r="P855" s="151"/>
      <c r="Q855" s="151"/>
      <c r="R855" s="151"/>
      <c r="S855" s="151"/>
      <c r="T855" s="151"/>
      <c r="U855" s="151"/>
      <c r="V855" s="151"/>
      <c r="W855" s="151"/>
      <c r="X855" s="151"/>
      <c r="Y855" s="151"/>
      <c r="Z855" s="151"/>
    </row>
    <row r="856" customFormat="false" ht="12.75" hidden="false" customHeight="true" outlineLevel="0" collapsed="false">
      <c r="A856" s="151"/>
      <c r="C856" s="151"/>
      <c r="D856" s="151"/>
      <c r="E856" s="151"/>
      <c r="F856" s="151"/>
      <c r="G856" s="151"/>
      <c r="H856" s="151"/>
      <c r="I856" s="151"/>
      <c r="J856" s="151"/>
      <c r="K856" s="151"/>
      <c r="L856" s="151"/>
      <c r="M856" s="151"/>
      <c r="N856" s="151"/>
      <c r="O856" s="151"/>
      <c r="P856" s="151"/>
      <c r="Q856" s="151"/>
      <c r="R856" s="151"/>
      <c r="S856" s="151"/>
      <c r="T856" s="151"/>
      <c r="U856" s="151"/>
      <c r="V856" s="151"/>
      <c r="W856" s="151"/>
      <c r="X856" s="151"/>
      <c r="Y856" s="151"/>
      <c r="Z856" s="151"/>
    </row>
    <row r="857" customFormat="false" ht="12.75" hidden="false" customHeight="true" outlineLevel="0" collapsed="false">
      <c r="A857" s="151"/>
      <c r="C857" s="151"/>
      <c r="D857" s="151"/>
      <c r="E857" s="151"/>
      <c r="F857" s="151"/>
      <c r="G857" s="151"/>
      <c r="H857" s="151"/>
      <c r="I857" s="151"/>
      <c r="J857" s="151"/>
      <c r="K857" s="151"/>
      <c r="L857" s="151"/>
      <c r="M857" s="151"/>
      <c r="N857" s="151"/>
      <c r="O857" s="151"/>
      <c r="P857" s="151"/>
      <c r="Q857" s="151"/>
      <c r="R857" s="151"/>
      <c r="S857" s="151"/>
      <c r="T857" s="151"/>
      <c r="U857" s="151"/>
      <c r="V857" s="151"/>
      <c r="W857" s="151"/>
      <c r="X857" s="151"/>
      <c r="Y857" s="151"/>
      <c r="Z857" s="151"/>
    </row>
    <row r="858" customFormat="false" ht="12.75" hidden="false" customHeight="true" outlineLevel="0" collapsed="false">
      <c r="A858" s="151"/>
      <c r="C858" s="151"/>
      <c r="D858" s="151"/>
      <c r="E858" s="151"/>
      <c r="F858" s="151"/>
      <c r="G858" s="151"/>
      <c r="H858" s="151"/>
      <c r="I858" s="151"/>
      <c r="J858" s="151"/>
      <c r="K858" s="151"/>
      <c r="L858" s="151"/>
      <c r="M858" s="151"/>
      <c r="N858" s="151"/>
      <c r="O858" s="151"/>
      <c r="P858" s="151"/>
      <c r="Q858" s="151"/>
      <c r="R858" s="151"/>
      <c r="S858" s="151"/>
      <c r="T858" s="151"/>
      <c r="U858" s="151"/>
      <c r="V858" s="151"/>
      <c r="W858" s="151"/>
      <c r="X858" s="151"/>
      <c r="Y858" s="151"/>
      <c r="Z858" s="151"/>
    </row>
    <row r="859" customFormat="false" ht="12.75" hidden="false" customHeight="true" outlineLevel="0" collapsed="false">
      <c r="A859" s="151"/>
      <c r="C859" s="151"/>
      <c r="D859" s="151"/>
      <c r="E859" s="151"/>
      <c r="F859" s="151"/>
      <c r="G859" s="151"/>
      <c r="H859" s="151"/>
      <c r="I859" s="151"/>
      <c r="J859" s="151"/>
      <c r="K859" s="151"/>
      <c r="L859" s="151"/>
      <c r="M859" s="151"/>
      <c r="N859" s="151"/>
      <c r="O859" s="151"/>
      <c r="P859" s="151"/>
      <c r="Q859" s="151"/>
      <c r="R859" s="151"/>
      <c r="S859" s="151"/>
      <c r="T859" s="151"/>
      <c r="U859" s="151"/>
      <c r="V859" s="151"/>
      <c r="W859" s="151"/>
      <c r="X859" s="151"/>
      <c r="Y859" s="151"/>
      <c r="Z859" s="151"/>
    </row>
    <row r="860" customFormat="false" ht="12.75" hidden="false" customHeight="true" outlineLevel="0" collapsed="false">
      <c r="A860" s="151"/>
      <c r="C860" s="151"/>
      <c r="D860" s="151"/>
      <c r="E860" s="151"/>
      <c r="F860" s="151"/>
      <c r="G860" s="151"/>
      <c r="H860" s="151"/>
      <c r="I860" s="151"/>
      <c r="J860" s="151"/>
      <c r="K860" s="151"/>
      <c r="L860" s="151"/>
      <c r="M860" s="151"/>
      <c r="N860" s="151"/>
      <c r="O860" s="151"/>
      <c r="P860" s="151"/>
      <c r="Q860" s="151"/>
      <c r="R860" s="151"/>
      <c r="S860" s="151"/>
      <c r="T860" s="151"/>
      <c r="U860" s="151"/>
      <c r="V860" s="151"/>
      <c r="W860" s="151"/>
      <c r="X860" s="151"/>
      <c r="Y860" s="151"/>
      <c r="Z860" s="151"/>
    </row>
    <row r="861" customFormat="false" ht="12.75" hidden="false" customHeight="true" outlineLevel="0" collapsed="false">
      <c r="A861" s="151"/>
      <c r="C861" s="151"/>
      <c r="D861" s="151"/>
      <c r="E861" s="151"/>
      <c r="F861" s="151"/>
      <c r="G861" s="151"/>
      <c r="H861" s="151"/>
      <c r="I861" s="151"/>
      <c r="J861" s="151"/>
      <c r="K861" s="151"/>
      <c r="L861" s="151"/>
      <c r="M861" s="151"/>
      <c r="N861" s="151"/>
      <c r="O861" s="151"/>
      <c r="P861" s="151"/>
      <c r="Q861" s="151"/>
      <c r="R861" s="151"/>
      <c r="S861" s="151"/>
      <c r="T861" s="151"/>
      <c r="U861" s="151"/>
      <c r="V861" s="151"/>
      <c r="W861" s="151"/>
      <c r="X861" s="151"/>
      <c r="Y861" s="151"/>
      <c r="Z861" s="151"/>
    </row>
    <row r="862" customFormat="false" ht="12.75" hidden="false" customHeight="true" outlineLevel="0" collapsed="false">
      <c r="A862" s="151"/>
      <c r="C862" s="151"/>
      <c r="D862" s="151"/>
      <c r="E862" s="151"/>
      <c r="F862" s="151"/>
      <c r="G862" s="151"/>
      <c r="H862" s="151"/>
      <c r="I862" s="151"/>
      <c r="J862" s="151"/>
      <c r="K862" s="151"/>
      <c r="L862" s="151"/>
      <c r="M862" s="151"/>
      <c r="N862" s="151"/>
      <c r="O862" s="151"/>
      <c r="P862" s="151"/>
      <c r="Q862" s="151"/>
      <c r="R862" s="151"/>
      <c r="S862" s="151"/>
      <c r="T862" s="151"/>
      <c r="U862" s="151"/>
      <c r="V862" s="151"/>
      <c r="W862" s="151"/>
      <c r="X862" s="151"/>
      <c r="Y862" s="151"/>
      <c r="Z862" s="151"/>
    </row>
    <row r="863" customFormat="false" ht="12.75" hidden="false" customHeight="true" outlineLevel="0" collapsed="false">
      <c r="A863" s="151"/>
      <c r="C863" s="151"/>
      <c r="D863" s="151"/>
      <c r="E863" s="151"/>
      <c r="F863" s="151"/>
      <c r="G863" s="151"/>
      <c r="H863" s="151"/>
      <c r="I863" s="151"/>
      <c r="J863" s="151"/>
      <c r="K863" s="151"/>
      <c r="L863" s="151"/>
      <c r="M863" s="151"/>
      <c r="N863" s="151"/>
      <c r="O863" s="151"/>
      <c r="P863" s="151"/>
      <c r="Q863" s="151"/>
      <c r="R863" s="151"/>
      <c r="S863" s="151"/>
      <c r="T863" s="151"/>
      <c r="U863" s="151"/>
      <c r="V863" s="151"/>
      <c r="W863" s="151"/>
      <c r="X863" s="151"/>
      <c r="Y863" s="151"/>
      <c r="Z863" s="151"/>
    </row>
    <row r="864" customFormat="false" ht="12.75" hidden="false" customHeight="true" outlineLevel="0" collapsed="false">
      <c r="A864" s="151"/>
      <c r="C864" s="151"/>
      <c r="D864" s="151"/>
      <c r="E864" s="151"/>
      <c r="F864" s="151"/>
      <c r="G864" s="151"/>
      <c r="H864" s="151"/>
      <c r="I864" s="151"/>
      <c r="J864" s="151"/>
      <c r="K864" s="151"/>
      <c r="L864" s="151"/>
      <c r="M864" s="151"/>
      <c r="N864" s="151"/>
      <c r="O864" s="151"/>
      <c r="P864" s="151"/>
      <c r="Q864" s="151"/>
      <c r="R864" s="151"/>
      <c r="S864" s="151"/>
      <c r="T864" s="151"/>
      <c r="U864" s="151"/>
      <c r="V864" s="151"/>
      <c r="W864" s="151"/>
      <c r="X864" s="151"/>
      <c r="Y864" s="151"/>
      <c r="Z864" s="151"/>
    </row>
    <row r="865" customFormat="false" ht="12.75" hidden="false" customHeight="true" outlineLevel="0" collapsed="false">
      <c r="A865" s="151"/>
      <c r="C865" s="151"/>
      <c r="D865" s="151"/>
      <c r="E865" s="151"/>
      <c r="F865" s="151"/>
      <c r="G865" s="151"/>
      <c r="H865" s="151"/>
      <c r="I865" s="151"/>
      <c r="J865" s="151"/>
      <c r="K865" s="151"/>
      <c r="L865" s="151"/>
      <c r="M865" s="151"/>
      <c r="N865" s="151"/>
      <c r="O865" s="151"/>
      <c r="P865" s="151"/>
      <c r="Q865" s="151"/>
      <c r="R865" s="151"/>
      <c r="S865" s="151"/>
      <c r="T865" s="151"/>
      <c r="U865" s="151"/>
      <c r="V865" s="151"/>
      <c r="W865" s="151"/>
      <c r="X865" s="151"/>
      <c r="Y865" s="151"/>
      <c r="Z865" s="151"/>
    </row>
    <row r="866" customFormat="false" ht="12.75" hidden="false" customHeight="true" outlineLevel="0" collapsed="false">
      <c r="A866" s="151"/>
      <c r="C866" s="151"/>
      <c r="D866" s="151"/>
      <c r="E866" s="151"/>
      <c r="F866" s="151"/>
      <c r="G866" s="151"/>
      <c r="H866" s="151"/>
      <c r="I866" s="151"/>
      <c r="J866" s="151"/>
      <c r="K866" s="151"/>
      <c r="L866" s="151"/>
      <c r="M866" s="151"/>
      <c r="N866" s="151"/>
      <c r="O866" s="151"/>
      <c r="P866" s="151"/>
      <c r="Q866" s="151"/>
      <c r="R866" s="151"/>
      <c r="S866" s="151"/>
      <c r="T866" s="151"/>
      <c r="U866" s="151"/>
      <c r="V866" s="151"/>
      <c r="W866" s="151"/>
      <c r="X866" s="151"/>
      <c r="Y866" s="151"/>
      <c r="Z866" s="151"/>
    </row>
    <row r="867" customFormat="false" ht="12.75" hidden="false" customHeight="true" outlineLevel="0" collapsed="false">
      <c r="A867" s="151"/>
      <c r="C867" s="151"/>
      <c r="D867" s="151"/>
      <c r="E867" s="151"/>
      <c r="F867" s="151"/>
      <c r="G867" s="151"/>
      <c r="H867" s="151"/>
      <c r="I867" s="151"/>
      <c r="J867" s="151"/>
      <c r="K867" s="151"/>
      <c r="L867" s="151"/>
      <c r="M867" s="151"/>
      <c r="N867" s="151"/>
      <c r="O867" s="151"/>
      <c r="P867" s="151"/>
      <c r="Q867" s="151"/>
      <c r="R867" s="151"/>
      <c r="S867" s="151"/>
      <c r="T867" s="151"/>
      <c r="U867" s="151"/>
      <c r="V867" s="151"/>
      <c r="W867" s="151"/>
      <c r="X867" s="151"/>
      <c r="Y867" s="151"/>
      <c r="Z867" s="151"/>
    </row>
    <row r="868" customFormat="false" ht="12.75" hidden="false" customHeight="true" outlineLevel="0" collapsed="false">
      <c r="A868" s="151"/>
      <c r="C868" s="151"/>
      <c r="D868" s="151"/>
      <c r="E868" s="151"/>
      <c r="F868" s="151"/>
      <c r="G868" s="151"/>
      <c r="H868" s="151"/>
      <c r="I868" s="151"/>
      <c r="J868" s="151"/>
      <c r="K868" s="151"/>
      <c r="L868" s="151"/>
      <c r="M868" s="151"/>
      <c r="N868" s="151"/>
      <c r="O868" s="151"/>
      <c r="P868" s="151"/>
      <c r="Q868" s="151"/>
      <c r="R868" s="151"/>
      <c r="S868" s="151"/>
      <c r="T868" s="151"/>
      <c r="U868" s="151"/>
      <c r="V868" s="151"/>
      <c r="W868" s="151"/>
      <c r="X868" s="151"/>
      <c r="Y868" s="151"/>
      <c r="Z868" s="151"/>
    </row>
    <row r="869" customFormat="false" ht="12.75" hidden="false" customHeight="true" outlineLevel="0" collapsed="false">
      <c r="A869" s="151"/>
      <c r="C869" s="151"/>
      <c r="D869" s="151"/>
      <c r="E869" s="151"/>
      <c r="F869" s="151"/>
      <c r="G869" s="151"/>
      <c r="H869" s="151"/>
      <c r="I869" s="151"/>
      <c r="J869" s="151"/>
      <c r="K869" s="151"/>
      <c r="L869" s="151"/>
      <c r="M869" s="151"/>
      <c r="N869" s="151"/>
      <c r="O869" s="151"/>
      <c r="P869" s="151"/>
      <c r="Q869" s="151"/>
      <c r="R869" s="151"/>
      <c r="S869" s="151"/>
      <c r="T869" s="151"/>
      <c r="U869" s="151"/>
      <c r="V869" s="151"/>
      <c r="W869" s="151"/>
      <c r="X869" s="151"/>
      <c r="Y869" s="151"/>
      <c r="Z869" s="151"/>
    </row>
    <row r="870" customFormat="false" ht="12.75" hidden="false" customHeight="true" outlineLevel="0" collapsed="false">
      <c r="A870" s="151"/>
      <c r="C870" s="151"/>
      <c r="D870" s="151"/>
      <c r="E870" s="151"/>
      <c r="F870" s="151"/>
      <c r="G870" s="151"/>
      <c r="H870" s="151"/>
      <c r="I870" s="151"/>
      <c r="J870" s="151"/>
      <c r="K870" s="151"/>
      <c r="L870" s="151"/>
      <c r="M870" s="151"/>
      <c r="N870" s="151"/>
      <c r="O870" s="151"/>
      <c r="P870" s="151"/>
      <c r="Q870" s="151"/>
      <c r="R870" s="151"/>
      <c r="S870" s="151"/>
      <c r="T870" s="151"/>
      <c r="U870" s="151"/>
      <c r="V870" s="151"/>
      <c r="W870" s="151"/>
      <c r="X870" s="151"/>
      <c r="Y870" s="151"/>
      <c r="Z870" s="151"/>
    </row>
    <row r="871" customFormat="false" ht="12.75" hidden="false" customHeight="true" outlineLevel="0" collapsed="false">
      <c r="A871" s="151"/>
      <c r="C871" s="151"/>
      <c r="D871" s="151"/>
      <c r="E871" s="151"/>
      <c r="F871" s="151"/>
      <c r="G871" s="151"/>
      <c r="H871" s="151"/>
      <c r="I871" s="151"/>
      <c r="J871" s="151"/>
      <c r="K871" s="151"/>
      <c r="L871" s="151"/>
      <c r="M871" s="151"/>
      <c r="N871" s="151"/>
      <c r="O871" s="151"/>
      <c r="P871" s="151"/>
      <c r="Q871" s="151"/>
      <c r="R871" s="151"/>
      <c r="S871" s="151"/>
      <c r="T871" s="151"/>
      <c r="U871" s="151"/>
      <c r="V871" s="151"/>
      <c r="W871" s="151"/>
      <c r="X871" s="151"/>
      <c r="Y871" s="151"/>
      <c r="Z871" s="151"/>
    </row>
    <row r="872" customFormat="false" ht="12.75" hidden="false" customHeight="true" outlineLevel="0" collapsed="false">
      <c r="A872" s="151"/>
      <c r="C872" s="151"/>
      <c r="D872" s="151"/>
      <c r="E872" s="151"/>
      <c r="F872" s="151"/>
      <c r="G872" s="151"/>
      <c r="H872" s="151"/>
      <c r="I872" s="151"/>
      <c r="J872" s="151"/>
      <c r="K872" s="151"/>
      <c r="L872" s="151"/>
      <c r="M872" s="151"/>
      <c r="N872" s="151"/>
      <c r="O872" s="151"/>
      <c r="P872" s="151"/>
      <c r="Q872" s="151"/>
      <c r="R872" s="151"/>
      <c r="S872" s="151"/>
      <c r="T872" s="151"/>
      <c r="U872" s="151"/>
      <c r="V872" s="151"/>
      <c r="W872" s="151"/>
      <c r="X872" s="151"/>
      <c r="Y872" s="151"/>
      <c r="Z872" s="151"/>
    </row>
    <row r="873" customFormat="false" ht="12.75" hidden="false" customHeight="true" outlineLevel="0" collapsed="false">
      <c r="A873" s="151"/>
      <c r="C873" s="151"/>
      <c r="D873" s="151"/>
      <c r="E873" s="151"/>
      <c r="F873" s="151"/>
      <c r="G873" s="151"/>
      <c r="H873" s="151"/>
      <c r="I873" s="151"/>
      <c r="J873" s="151"/>
      <c r="K873" s="151"/>
      <c r="L873" s="151"/>
      <c r="M873" s="151"/>
      <c r="N873" s="151"/>
      <c r="O873" s="151"/>
      <c r="P873" s="151"/>
      <c r="Q873" s="151"/>
      <c r="R873" s="151"/>
      <c r="S873" s="151"/>
      <c r="T873" s="151"/>
      <c r="U873" s="151"/>
      <c r="V873" s="151"/>
      <c r="W873" s="151"/>
      <c r="X873" s="151"/>
      <c r="Y873" s="151"/>
      <c r="Z873" s="151"/>
    </row>
    <row r="874" customFormat="false" ht="12.75" hidden="false" customHeight="true" outlineLevel="0" collapsed="false">
      <c r="A874" s="151"/>
      <c r="C874" s="151"/>
      <c r="D874" s="151"/>
      <c r="E874" s="151"/>
      <c r="F874" s="151"/>
      <c r="G874" s="151"/>
      <c r="H874" s="151"/>
      <c r="I874" s="151"/>
      <c r="J874" s="151"/>
      <c r="K874" s="151"/>
      <c r="L874" s="151"/>
      <c r="M874" s="151"/>
      <c r="N874" s="151"/>
      <c r="O874" s="151"/>
      <c r="P874" s="151"/>
      <c r="Q874" s="151"/>
      <c r="R874" s="151"/>
      <c r="S874" s="151"/>
      <c r="T874" s="151"/>
      <c r="U874" s="151"/>
      <c r="V874" s="151"/>
      <c r="W874" s="151"/>
      <c r="X874" s="151"/>
      <c r="Y874" s="151"/>
      <c r="Z874" s="151"/>
    </row>
    <row r="875" customFormat="false" ht="12.75" hidden="false" customHeight="true" outlineLevel="0" collapsed="false">
      <c r="A875" s="151"/>
      <c r="C875" s="151"/>
      <c r="D875" s="151"/>
      <c r="E875" s="151"/>
      <c r="F875" s="151"/>
      <c r="G875" s="151"/>
      <c r="H875" s="151"/>
      <c r="I875" s="151"/>
      <c r="J875" s="151"/>
      <c r="K875" s="151"/>
      <c r="L875" s="151"/>
      <c r="M875" s="151"/>
      <c r="N875" s="151"/>
      <c r="O875" s="151"/>
      <c r="P875" s="151"/>
      <c r="Q875" s="151"/>
      <c r="R875" s="151"/>
      <c r="S875" s="151"/>
      <c r="T875" s="151"/>
      <c r="U875" s="151"/>
      <c r="V875" s="151"/>
      <c r="W875" s="151"/>
      <c r="X875" s="151"/>
      <c r="Y875" s="151"/>
      <c r="Z875" s="151"/>
    </row>
    <row r="876" customFormat="false" ht="12.75" hidden="false" customHeight="true" outlineLevel="0" collapsed="false">
      <c r="A876" s="151"/>
      <c r="C876" s="151"/>
      <c r="D876" s="151"/>
      <c r="E876" s="151"/>
      <c r="F876" s="151"/>
      <c r="G876" s="151"/>
      <c r="H876" s="151"/>
      <c r="I876" s="151"/>
      <c r="J876" s="151"/>
      <c r="K876" s="151"/>
      <c r="L876" s="151"/>
      <c r="M876" s="151"/>
      <c r="N876" s="151"/>
      <c r="O876" s="151"/>
      <c r="P876" s="151"/>
      <c r="Q876" s="151"/>
      <c r="R876" s="151"/>
      <c r="S876" s="151"/>
      <c r="T876" s="151"/>
      <c r="U876" s="151"/>
      <c r="V876" s="151"/>
      <c r="W876" s="151"/>
      <c r="X876" s="151"/>
      <c r="Y876" s="151"/>
      <c r="Z876" s="151"/>
    </row>
    <row r="877" customFormat="false" ht="12.75" hidden="false" customHeight="true" outlineLevel="0" collapsed="false">
      <c r="A877" s="151"/>
      <c r="C877" s="151"/>
      <c r="D877" s="151"/>
      <c r="E877" s="151"/>
      <c r="F877" s="151"/>
      <c r="G877" s="151"/>
      <c r="H877" s="151"/>
      <c r="I877" s="151"/>
      <c r="J877" s="151"/>
      <c r="K877" s="151"/>
      <c r="L877" s="151"/>
      <c r="M877" s="151"/>
      <c r="N877" s="151"/>
      <c r="O877" s="151"/>
      <c r="P877" s="151"/>
      <c r="Q877" s="151"/>
      <c r="R877" s="151"/>
      <c r="S877" s="151"/>
      <c r="T877" s="151"/>
      <c r="U877" s="151"/>
      <c r="V877" s="151"/>
      <c r="W877" s="151"/>
      <c r="X877" s="151"/>
      <c r="Y877" s="151"/>
      <c r="Z877" s="151"/>
    </row>
    <row r="878" customFormat="false" ht="12.75" hidden="false" customHeight="true" outlineLevel="0" collapsed="false">
      <c r="A878" s="151"/>
      <c r="C878" s="151"/>
      <c r="D878" s="151"/>
      <c r="E878" s="151"/>
      <c r="F878" s="151"/>
      <c r="G878" s="151"/>
      <c r="H878" s="151"/>
      <c r="I878" s="151"/>
      <c r="J878" s="151"/>
      <c r="K878" s="151"/>
      <c r="L878" s="151"/>
      <c r="M878" s="151"/>
      <c r="N878" s="151"/>
      <c r="O878" s="151"/>
      <c r="P878" s="151"/>
      <c r="Q878" s="151"/>
      <c r="R878" s="151"/>
      <c r="S878" s="151"/>
      <c r="T878" s="151"/>
      <c r="U878" s="151"/>
      <c r="V878" s="151"/>
      <c r="W878" s="151"/>
      <c r="X878" s="151"/>
      <c r="Y878" s="151"/>
      <c r="Z878" s="151"/>
    </row>
    <row r="879" customFormat="false" ht="12.75" hidden="false" customHeight="true" outlineLevel="0" collapsed="false">
      <c r="A879" s="151"/>
      <c r="C879" s="151"/>
      <c r="D879" s="151"/>
      <c r="E879" s="151"/>
      <c r="F879" s="151"/>
      <c r="G879" s="151"/>
      <c r="H879" s="151"/>
      <c r="I879" s="151"/>
      <c r="J879" s="151"/>
      <c r="K879" s="151"/>
      <c r="L879" s="151"/>
      <c r="M879" s="151"/>
      <c r="N879" s="151"/>
      <c r="O879" s="151"/>
      <c r="P879" s="151"/>
      <c r="Q879" s="151"/>
      <c r="R879" s="151"/>
      <c r="S879" s="151"/>
      <c r="T879" s="151"/>
      <c r="U879" s="151"/>
      <c r="V879" s="151"/>
      <c r="W879" s="151"/>
      <c r="X879" s="151"/>
      <c r="Y879" s="151"/>
      <c r="Z879" s="151"/>
    </row>
    <row r="880" customFormat="false" ht="12.75" hidden="false" customHeight="true" outlineLevel="0" collapsed="false">
      <c r="A880" s="151"/>
      <c r="C880" s="151"/>
      <c r="D880" s="151"/>
      <c r="E880" s="151"/>
      <c r="F880" s="151"/>
      <c r="G880" s="151"/>
      <c r="H880" s="151"/>
      <c r="I880" s="151"/>
      <c r="J880" s="151"/>
      <c r="K880" s="151"/>
      <c r="L880" s="151"/>
      <c r="M880" s="151"/>
      <c r="N880" s="151"/>
      <c r="O880" s="151"/>
      <c r="P880" s="151"/>
      <c r="Q880" s="151"/>
      <c r="R880" s="151"/>
      <c r="S880" s="151"/>
      <c r="T880" s="151"/>
      <c r="U880" s="151"/>
      <c r="V880" s="151"/>
      <c r="W880" s="151"/>
      <c r="X880" s="151"/>
      <c r="Y880" s="151"/>
      <c r="Z880" s="151"/>
    </row>
    <row r="881" customFormat="false" ht="12.75" hidden="false" customHeight="true" outlineLevel="0" collapsed="false">
      <c r="A881" s="151"/>
      <c r="C881" s="151"/>
      <c r="D881" s="151"/>
      <c r="E881" s="151"/>
      <c r="F881" s="151"/>
      <c r="G881" s="151"/>
      <c r="H881" s="151"/>
      <c r="I881" s="151"/>
      <c r="J881" s="151"/>
      <c r="K881" s="151"/>
      <c r="L881" s="151"/>
      <c r="M881" s="151"/>
      <c r="N881" s="151"/>
      <c r="O881" s="151"/>
      <c r="P881" s="151"/>
      <c r="Q881" s="151"/>
      <c r="R881" s="151"/>
      <c r="S881" s="151"/>
      <c r="T881" s="151"/>
      <c r="U881" s="151"/>
      <c r="V881" s="151"/>
      <c r="W881" s="151"/>
      <c r="X881" s="151"/>
      <c r="Y881" s="151"/>
      <c r="Z881" s="151"/>
    </row>
    <row r="882" customFormat="false" ht="12.75" hidden="false" customHeight="true" outlineLevel="0" collapsed="false">
      <c r="A882" s="151"/>
      <c r="C882" s="151"/>
      <c r="D882" s="151"/>
      <c r="E882" s="151"/>
      <c r="F882" s="151"/>
      <c r="G882" s="151"/>
      <c r="H882" s="151"/>
      <c r="I882" s="151"/>
      <c r="J882" s="151"/>
      <c r="K882" s="151"/>
      <c r="L882" s="151"/>
      <c r="M882" s="151"/>
      <c r="N882" s="151"/>
      <c r="O882" s="151"/>
      <c r="P882" s="151"/>
      <c r="Q882" s="151"/>
      <c r="R882" s="151"/>
      <c r="S882" s="151"/>
      <c r="T882" s="151"/>
      <c r="U882" s="151"/>
      <c r="V882" s="151"/>
      <c r="W882" s="151"/>
      <c r="X882" s="151"/>
      <c r="Y882" s="151"/>
      <c r="Z882" s="151"/>
    </row>
    <row r="883" customFormat="false" ht="12.75" hidden="false" customHeight="true" outlineLevel="0" collapsed="false">
      <c r="A883" s="151"/>
      <c r="C883" s="151"/>
      <c r="D883" s="151"/>
      <c r="E883" s="151"/>
      <c r="F883" s="151"/>
      <c r="G883" s="151"/>
      <c r="H883" s="151"/>
      <c r="I883" s="151"/>
      <c r="J883" s="151"/>
      <c r="K883" s="151"/>
      <c r="L883" s="151"/>
      <c r="M883" s="151"/>
      <c r="N883" s="151"/>
      <c r="O883" s="151"/>
      <c r="P883" s="151"/>
      <c r="Q883" s="151"/>
      <c r="R883" s="151"/>
      <c r="S883" s="151"/>
      <c r="T883" s="151"/>
      <c r="U883" s="151"/>
      <c r="V883" s="151"/>
      <c r="W883" s="151"/>
      <c r="X883" s="151"/>
      <c r="Y883" s="151"/>
      <c r="Z883" s="151"/>
    </row>
    <row r="884" customFormat="false" ht="12.75" hidden="false" customHeight="true" outlineLevel="0" collapsed="false">
      <c r="A884" s="151"/>
      <c r="C884" s="151"/>
      <c r="D884" s="151"/>
      <c r="E884" s="151"/>
      <c r="F884" s="151"/>
      <c r="G884" s="151"/>
      <c r="H884" s="151"/>
      <c r="I884" s="151"/>
      <c r="J884" s="151"/>
      <c r="K884" s="151"/>
      <c r="L884" s="151"/>
      <c r="M884" s="151"/>
      <c r="N884" s="151"/>
      <c r="O884" s="151"/>
      <c r="P884" s="151"/>
      <c r="Q884" s="151"/>
      <c r="R884" s="151"/>
      <c r="S884" s="151"/>
      <c r="T884" s="151"/>
      <c r="U884" s="151"/>
      <c r="V884" s="151"/>
      <c r="W884" s="151"/>
      <c r="X884" s="151"/>
      <c r="Y884" s="151"/>
      <c r="Z884" s="151"/>
    </row>
    <row r="885" customFormat="false" ht="12.75" hidden="false" customHeight="true" outlineLevel="0" collapsed="false">
      <c r="A885" s="151"/>
      <c r="C885" s="151"/>
      <c r="D885" s="151"/>
      <c r="E885" s="151"/>
      <c r="F885" s="151"/>
      <c r="G885" s="151"/>
      <c r="H885" s="151"/>
      <c r="I885" s="151"/>
      <c r="J885" s="151"/>
      <c r="K885" s="151"/>
      <c r="L885" s="151"/>
      <c r="M885" s="151"/>
      <c r="N885" s="151"/>
      <c r="O885" s="151"/>
      <c r="P885" s="151"/>
      <c r="Q885" s="151"/>
      <c r="R885" s="151"/>
      <c r="S885" s="151"/>
      <c r="T885" s="151"/>
      <c r="U885" s="151"/>
      <c r="V885" s="151"/>
      <c r="W885" s="151"/>
      <c r="X885" s="151"/>
      <c r="Y885" s="151"/>
      <c r="Z885" s="151"/>
    </row>
    <row r="886" customFormat="false" ht="12.75" hidden="false" customHeight="true" outlineLevel="0" collapsed="false">
      <c r="A886" s="151"/>
      <c r="C886" s="151"/>
      <c r="D886" s="151"/>
      <c r="E886" s="151"/>
      <c r="F886" s="151"/>
      <c r="G886" s="151"/>
      <c r="H886" s="151"/>
      <c r="I886" s="151"/>
      <c r="J886" s="151"/>
      <c r="K886" s="151"/>
      <c r="L886" s="151"/>
      <c r="M886" s="151"/>
      <c r="N886" s="151"/>
      <c r="O886" s="151"/>
      <c r="P886" s="151"/>
      <c r="Q886" s="151"/>
      <c r="R886" s="151"/>
      <c r="S886" s="151"/>
      <c r="T886" s="151"/>
      <c r="U886" s="151"/>
      <c r="V886" s="151"/>
      <c r="W886" s="151"/>
      <c r="X886" s="151"/>
      <c r="Y886" s="151"/>
      <c r="Z886" s="151"/>
    </row>
    <row r="887" customFormat="false" ht="12.75" hidden="false" customHeight="true" outlineLevel="0" collapsed="false">
      <c r="A887" s="151"/>
      <c r="C887" s="151"/>
      <c r="D887" s="151"/>
      <c r="E887" s="151"/>
      <c r="F887" s="151"/>
      <c r="G887" s="151"/>
      <c r="H887" s="151"/>
      <c r="I887" s="151"/>
      <c r="J887" s="151"/>
      <c r="K887" s="151"/>
      <c r="L887" s="151"/>
      <c r="M887" s="151"/>
      <c r="N887" s="151"/>
      <c r="O887" s="151"/>
      <c r="P887" s="151"/>
      <c r="Q887" s="151"/>
      <c r="R887" s="151"/>
      <c r="S887" s="151"/>
      <c r="T887" s="151"/>
      <c r="U887" s="151"/>
      <c r="V887" s="151"/>
      <c r="W887" s="151"/>
      <c r="X887" s="151"/>
      <c r="Y887" s="151"/>
      <c r="Z887" s="151"/>
    </row>
    <row r="888" customFormat="false" ht="12.75" hidden="false" customHeight="true" outlineLevel="0" collapsed="false">
      <c r="A888" s="151"/>
      <c r="C888" s="151"/>
      <c r="D888" s="151"/>
      <c r="E888" s="151"/>
      <c r="F888" s="151"/>
      <c r="G888" s="151"/>
      <c r="H888" s="151"/>
      <c r="I888" s="151"/>
      <c r="J888" s="151"/>
      <c r="K888" s="151"/>
      <c r="L888" s="151"/>
      <c r="M888" s="151"/>
      <c r="N888" s="151"/>
      <c r="O888" s="151"/>
      <c r="P888" s="151"/>
      <c r="Q888" s="151"/>
      <c r="R888" s="151"/>
      <c r="S888" s="151"/>
      <c r="T888" s="151"/>
      <c r="U888" s="151"/>
      <c r="V888" s="151"/>
      <c r="W888" s="151"/>
      <c r="X888" s="151"/>
      <c r="Y888" s="151"/>
      <c r="Z888" s="151"/>
    </row>
    <row r="889" customFormat="false" ht="12.75" hidden="false" customHeight="true" outlineLevel="0" collapsed="false">
      <c r="A889" s="151"/>
      <c r="C889" s="151"/>
      <c r="D889" s="151"/>
      <c r="E889" s="151"/>
      <c r="F889" s="151"/>
      <c r="G889" s="151"/>
      <c r="H889" s="151"/>
      <c r="I889" s="151"/>
      <c r="J889" s="151"/>
      <c r="K889" s="151"/>
      <c r="L889" s="151"/>
      <c r="M889" s="151"/>
      <c r="N889" s="151"/>
      <c r="O889" s="151"/>
      <c r="P889" s="151"/>
      <c r="Q889" s="151"/>
      <c r="R889" s="151"/>
      <c r="S889" s="151"/>
      <c r="T889" s="151"/>
      <c r="U889" s="151"/>
      <c r="V889" s="151"/>
      <c r="W889" s="151"/>
      <c r="X889" s="151"/>
      <c r="Y889" s="151"/>
      <c r="Z889" s="151"/>
    </row>
    <row r="890" customFormat="false" ht="12.75" hidden="false" customHeight="true" outlineLevel="0" collapsed="false">
      <c r="A890" s="151"/>
      <c r="C890" s="151"/>
      <c r="D890" s="151"/>
      <c r="E890" s="151"/>
      <c r="F890" s="151"/>
      <c r="G890" s="151"/>
      <c r="H890" s="151"/>
      <c r="I890" s="151"/>
      <c r="J890" s="151"/>
      <c r="K890" s="151"/>
      <c r="L890" s="151"/>
      <c r="M890" s="151"/>
      <c r="N890" s="151"/>
      <c r="O890" s="151"/>
      <c r="P890" s="151"/>
      <c r="Q890" s="151"/>
      <c r="R890" s="151"/>
      <c r="S890" s="151"/>
      <c r="T890" s="151"/>
      <c r="U890" s="151"/>
      <c r="V890" s="151"/>
      <c r="W890" s="151"/>
      <c r="X890" s="151"/>
      <c r="Y890" s="151"/>
      <c r="Z890" s="151"/>
    </row>
    <row r="891" customFormat="false" ht="12.75" hidden="false" customHeight="true" outlineLevel="0" collapsed="false">
      <c r="A891" s="151"/>
      <c r="C891" s="151"/>
      <c r="D891" s="151"/>
      <c r="E891" s="151"/>
      <c r="F891" s="151"/>
      <c r="G891" s="151"/>
      <c r="H891" s="151"/>
      <c r="I891" s="151"/>
      <c r="J891" s="151"/>
      <c r="K891" s="151"/>
      <c r="L891" s="151"/>
      <c r="M891" s="151"/>
      <c r="N891" s="151"/>
      <c r="O891" s="151"/>
      <c r="P891" s="151"/>
      <c r="Q891" s="151"/>
      <c r="R891" s="151"/>
      <c r="S891" s="151"/>
      <c r="T891" s="151"/>
      <c r="U891" s="151"/>
      <c r="V891" s="151"/>
      <c r="W891" s="151"/>
      <c r="X891" s="151"/>
      <c r="Y891" s="151"/>
      <c r="Z891" s="151"/>
    </row>
    <row r="892" customFormat="false" ht="12.75" hidden="false" customHeight="true" outlineLevel="0" collapsed="false">
      <c r="A892" s="151"/>
      <c r="C892" s="151"/>
      <c r="D892" s="151"/>
      <c r="E892" s="151"/>
      <c r="F892" s="151"/>
      <c r="G892" s="151"/>
      <c r="H892" s="151"/>
      <c r="I892" s="151"/>
      <c r="J892" s="151"/>
      <c r="K892" s="151"/>
      <c r="L892" s="151"/>
      <c r="M892" s="151"/>
      <c r="N892" s="151"/>
      <c r="O892" s="151"/>
      <c r="P892" s="151"/>
      <c r="Q892" s="151"/>
      <c r="R892" s="151"/>
      <c r="S892" s="151"/>
      <c r="T892" s="151"/>
      <c r="U892" s="151"/>
      <c r="V892" s="151"/>
      <c r="W892" s="151"/>
      <c r="X892" s="151"/>
      <c r="Y892" s="151"/>
      <c r="Z892" s="151"/>
    </row>
    <row r="893" customFormat="false" ht="12.75" hidden="false" customHeight="true" outlineLevel="0" collapsed="false">
      <c r="A893" s="151"/>
      <c r="C893" s="151"/>
      <c r="D893" s="151"/>
      <c r="E893" s="151"/>
      <c r="F893" s="151"/>
      <c r="G893" s="151"/>
      <c r="H893" s="151"/>
      <c r="I893" s="151"/>
      <c r="J893" s="151"/>
      <c r="K893" s="151"/>
      <c r="L893" s="151"/>
      <c r="M893" s="151"/>
      <c r="N893" s="151"/>
      <c r="O893" s="151"/>
      <c r="P893" s="151"/>
      <c r="Q893" s="151"/>
      <c r="R893" s="151"/>
      <c r="S893" s="151"/>
      <c r="T893" s="151"/>
      <c r="U893" s="151"/>
      <c r="V893" s="151"/>
      <c r="W893" s="151"/>
      <c r="X893" s="151"/>
      <c r="Y893" s="151"/>
      <c r="Z893" s="151"/>
    </row>
    <row r="894" customFormat="false" ht="12.75" hidden="false" customHeight="true" outlineLevel="0" collapsed="false">
      <c r="A894" s="151"/>
      <c r="C894" s="151"/>
      <c r="D894" s="151"/>
      <c r="E894" s="151"/>
      <c r="F894" s="151"/>
      <c r="G894" s="151"/>
      <c r="H894" s="151"/>
      <c r="I894" s="151"/>
      <c r="J894" s="151"/>
      <c r="K894" s="151"/>
      <c r="L894" s="151"/>
      <c r="M894" s="151"/>
      <c r="N894" s="151"/>
      <c r="O894" s="151"/>
      <c r="P894" s="151"/>
      <c r="Q894" s="151"/>
      <c r="R894" s="151"/>
      <c r="S894" s="151"/>
      <c r="T894" s="151"/>
      <c r="U894" s="151"/>
      <c r="V894" s="151"/>
      <c r="W894" s="151"/>
      <c r="X894" s="151"/>
      <c r="Y894" s="151"/>
      <c r="Z894" s="151"/>
    </row>
    <row r="895" customFormat="false" ht="12.75" hidden="false" customHeight="true" outlineLevel="0" collapsed="false">
      <c r="A895" s="151"/>
      <c r="C895" s="151"/>
      <c r="D895" s="151"/>
      <c r="E895" s="151"/>
      <c r="F895" s="151"/>
      <c r="G895" s="151"/>
      <c r="H895" s="151"/>
      <c r="I895" s="151"/>
      <c r="J895" s="151"/>
      <c r="K895" s="151"/>
      <c r="L895" s="151"/>
      <c r="M895" s="151"/>
      <c r="N895" s="151"/>
      <c r="O895" s="151"/>
      <c r="P895" s="151"/>
      <c r="Q895" s="151"/>
      <c r="R895" s="151"/>
      <c r="S895" s="151"/>
      <c r="T895" s="151"/>
      <c r="U895" s="151"/>
      <c r="V895" s="151"/>
      <c r="W895" s="151"/>
      <c r="X895" s="151"/>
      <c r="Y895" s="151"/>
      <c r="Z895" s="151"/>
    </row>
    <row r="896" customFormat="false" ht="12.75" hidden="false" customHeight="true" outlineLevel="0" collapsed="false">
      <c r="A896" s="151"/>
      <c r="C896" s="151"/>
      <c r="D896" s="151"/>
      <c r="E896" s="151"/>
      <c r="F896" s="151"/>
      <c r="G896" s="151"/>
      <c r="H896" s="151"/>
      <c r="I896" s="151"/>
      <c r="J896" s="151"/>
      <c r="K896" s="151"/>
      <c r="L896" s="151"/>
      <c r="M896" s="151"/>
      <c r="N896" s="151"/>
      <c r="O896" s="151"/>
      <c r="P896" s="151"/>
      <c r="Q896" s="151"/>
      <c r="R896" s="151"/>
      <c r="S896" s="151"/>
      <c r="T896" s="151"/>
      <c r="U896" s="151"/>
      <c r="V896" s="151"/>
      <c r="W896" s="151"/>
      <c r="X896" s="151"/>
      <c r="Y896" s="151"/>
      <c r="Z896" s="151"/>
    </row>
    <row r="897" customFormat="false" ht="12.75" hidden="false" customHeight="true" outlineLevel="0" collapsed="false">
      <c r="A897" s="151"/>
      <c r="C897" s="151"/>
      <c r="D897" s="151"/>
      <c r="E897" s="151"/>
      <c r="F897" s="151"/>
      <c r="G897" s="151"/>
      <c r="H897" s="151"/>
      <c r="I897" s="151"/>
      <c r="J897" s="151"/>
      <c r="K897" s="151"/>
      <c r="L897" s="151"/>
      <c r="M897" s="151"/>
      <c r="N897" s="151"/>
      <c r="O897" s="151"/>
      <c r="P897" s="151"/>
      <c r="Q897" s="151"/>
      <c r="R897" s="151"/>
      <c r="S897" s="151"/>
      <c r="T897" s="151"/>
      <c r="U897" s="151"/>
      <c r="V897" s="151"/>
      <c r="W897" s="151"/>
      <c r="X897" s="151"/>
      <c r="Y897" s="151"/>
      <c r="Z897" s="151"/>
    </row>
    <row r="898" customFormat="false" ht="12.75" hidden="false" customHeight="true" outlineLevel="0" collapsed="false">
      <c r="A898" s="151"/>
      <c r="C898" s="151"/>
      <c r="D898" s="151"/>
      <c r="E898" s="151"/>
      <c r="F898" s="151"/>
      <c r="G898" s="151"/>
      <c r="H898" s="151"/>
      <c r="I898" s="151"/>
      <c r="J898" s="151"/>
      <c r="K898" s="151"/>
      <c r="L898" s="151"/>
      <c r="M898" s="151"/>
      <c r="N898" s="151"/>
      <c r="O898" s="151"/>
      <c r="P898" s="151"/>
      <c r="Q898" s="151"/>
      <c r="R898" s="151"/>
      <c r="S898" s="151"/>
      <c r="T898" s="151"/>
      <c r="U898" s="151"/>
      <c r="V898" s="151"/>
      <c r="W898" s="151"/>
      <c r="X898" s="151"/>
      <c r="Y898" s="151"/>
      <c r="Z898" s="151"/>
    </row>
    <row r="899" customFormat="false" ht="12.75" hidden="false" customHeight="true" outlineLevel="0" collapsed="false">
      <c r="A899" s="151"/>
      <c r="C899" s="151"/>
      <c r="D899" s="151"/>
      <c r="E899" s="151"/>
      <c r="F899" s="151"/>
      <c r="G899" s="151"/>
      <c r="H899" s="151"/>
      <c r="I899" s="151"/>
      <c r="J899" s="151"/>
      <c r="K899" s="151"/>
      <c r="L899" s="151"/>
      <c r="M899" s="151"/>
      <c r="N899" s="151"/>
      <c r="O899" s="151"/>
      <c r="P899" s="151"/>
      <c r="Q899" s="151"/>
      <c r="R899" s="151"/>
      <c r="S899" s="151"/>
      <c r="T899" s="151"/>
      <c r="U899" s="151"/>
      <c r="V899" s="151"/>
      <c r="W899" s="151"/>
      <c r="X899" s="151"/>
      <c r="Y899" s="151"/>
      <c r="Z899" s="151"/>
    </row>
    <row r="900" customFormat="false" ht="12.75" hidden="false" customHeight="true" outlineLevel="0" collapsed="false">
      <c r="A900" s="151"/>
      <c r="C900" s="151"/>
      <c r="D900" s="151"/>
      <c r="E900" s="151"/>
      <c r="F900" s="151"/>
      <c r="G900" s="151"/>
      <c r="H900" s="151"/>
      <c r="I900" s="151"/>
      <c r="J900" s="151"/>
      <c r="K900" s="151"/>
      <c r="L900" s="151"/>
      <c r="M900" s="151"/>
      <c r="N900" s="151"/>
      <c r="O900" s="151"/>
      <c r="P900" s="151"/>
      <c r="Q900" s="151"/>
      <c r="R900" s="151"/>
      <c r="S900" s="151"/>
      <c r="T900" s="151"/>
      <c r="U900" s="151"/>
      <c r="V900" s="151"/>
      <c r="W900" s="151"/>
      <c r="X900" s="151"/>
      <c r="Y900" s="151"/>
      <c r="Z900" s="151"/>
    </row>
    <row r="901" customFormat="false" ht="12.75" hidden="false" customHeight="true" outlineLevel="0" collapsed="false">
      <c r="A901" s="151"/>
      <c r="C901" s="151"/>
      <c r="D901" s="151"/>
      <c r="E901" s="151"/>
      <c r="F901" s="151"/>
      <c r="G901" s="151"/>
      <c r="H901" s="151"/>
      <c r="I901" s="151"/>
      <c r="J901" s="151"/>
      <c r="K901" s="151"/>
      <c r="L901" s="151"/>
      <c r="M901" s="151"/>
      <c r="N901" s="151"/>
      <c r="O901" s="151"/>
      <c r="P901" s="151"/>
      <c r="Q901" s="151"/>
      <c r="R901" s="151"/>
      <c r="S901" s="151"/>
      <c r="T901" s="151"/>
      <c r="U901" s="151"/>
      <c r="V901" s="151"/>
      <c r="W901" s="151"/>
      <c r="X901" s="151"/>
      <c r="Y901" s="151"/>
      <c r="Z901" s="151"/>
    </row>
    <row r="902" customFormat="false" ht="12.75" hidden="false" customHeight="true" outlineLevel="0" collapsed="false">
      <c r="A902" s="151"/>
      <c r="C902" s="151"/>
      <c r="D902" s="151"/>
      <c r="E902" s="151"/>
      <c r="F902" s="151"/>
      <c r="G902" s="151"/>
      <c r="H902" s="151"/>
      <c r="I902" s="151"/>
      <c r="J902" s="151"/>
      <c r="K902" s="151"/>
      <c r="L902" s="151"/>
      <c r="M902" s="151"/>
      <c r="N902" s="151"/>
      <c r="O902" s="151"/>
      <c r="P902" s="151"/>
      <c r="Q902" s="151"/>
      <c r="R902" s="151"/>
      <c r="S902" s="151"/>
      <c r="T902" s="151"/>
      <c r="U902" s="151"/>
      <c r="V902" s="151"/>
      <c r="W902" s="151"/>
      <c r="X902" s="151"/>
      <c r="Y902" s="151"/>
      <c r="Z902" s="151"/>
    </row>
    <row r="903" customFormat="false" ht="12.75" hidden="false" customHeight="true" outlineLevel="0" collapsed="false">
      <c r="A903" s="151"/>
      <c r="C903" s="151"/>
      <c r="D903" s="151"/>
      <c r="E903" s="151"/>
      <c r="F903" s="151"/>
      <c r="G903" s="151"/>
      <c r="H903" s="151"/>
      <c r="I903" s="151"/>
      <c r="J903" s="151"/>
      <c r="K903" s="151"/>
      <c r="L903" s="151"/>
      <c r="M903" s="151"/>
      <c r="N903" s="151"/>
      <c r="O903" s="151"/>
      <c r="P903" s="151"/>
      <c r="Q903" s="151"/>
      <c r="R903" s="151"/>
      <c r="S903" s="151"/>
      <c r="T903" s="151"/>
      <c r="U903" s="151"/>
      <c r="V903" s="151"/>
      <c r="W903" s="151"/>
      <c r="X903" s="151"/>
      <c r="Y903" s="151"/>
      <c r="Z903" s="151"/>
    </row>
    <row r="904" customFormat="false" ht="12.75" hidden="false" customHeight="true" outlineLevel="0" collapsed="false">
      <c r="A904" s="151"/>
      <c r="C904" s="151"/>
      <c r="D904" s="151"/>
      <c r="E904" s="151"/>
      <c r="F904" s="151"/>
      <c r="G904" s="151"/>
      <c r="H904" s="151"/>
      <c r="I904" s="151"/>
      <c r="J904" s="151"/>
      <c r="K904" s="151"/>
      <c r="L904" s="151"/>
      <c r="M904" s="151"/>
      <c r="N904" s="151"/>
      <c r="O904" s="151"/>
      <c r="P904" s="151"/>
      <c r="Q904" s="151"/>
      <c r="R904" s="151"/>
      <c r="S904" s="151"/>
      <c r="T904" s="151"/>
      <c r="U904" s="151"/>
      <c r="V904" s="151"/>
      <c r="W904" s="151"/>
      <c r="X904" s="151"/>
      <c r="Y904" s="151"/>
      <c r="Z904" s="151"/>
    </row>
    <row r="905" customFormat="false" ht="12.75" hidden="false" customHeight="true" outlineLevel="0" collapsed="false">
      <c r="A905" s="151"/>
      <c r="C905" s="151"/>
      <c r="D905" s="151"/>
      <c r="E905" s="151"/>
      <c r="F905" s="151"/>
      <c r="G905" s="151"/>
      <c r="H905" s="151"/>
      <c r="I905" s="151"/>
      <c r="J905" s="151"/>
      <c r="K905" s="151"/>
      <c r="L905" s="151"/>
      <c r="M905" s="151"/>
      <c r="N905" s="151"/>
      <c r="O905" s="151"/>
      <c r="P905" s="151"/>
      <c r="Q905" s="151"/>
      <c r="R905" s="151"/>
      <c r="S905" s="151"/>
      <c r="T905" s="151"/>
      <c r="U905" s="151"/>
      <c r="V905" s="151"/>
      <c r="W905" s="151"/>
      <c r="X905" s="151"/>
      <c r="Y905" s="151"/>
      <c r="Z905" s="151"/>
    </row>
    <row r="906" customFormat="false" ht="12.75" hidden="false" customHeight="true" outlineLevel="0" collapsed="false">
      <c r="A906" s="151"/>
      <c r="C906" s="151"/>
      <c r="D906" s="151"/>
      <c r="E906" s="151"/>
      <c r="F906" s="151"/>
      <c r="G906" s="151"/>
      <c r="H906" s="151"/>
      <c r="I906" s="151"/>
      <c r="J906" s="151"/>
      <c r="K906" s="151"/>
      <c r="L906" s="151"/>
      <c r="M906" s="151"/>
      <c r="N906" s="151"/>
      <c r="O906" s="151"/>
      <c r="P906" s="151"/>
      <c r="Q906" s="151"/>
      <c r="R906" s="151"/>
      <c r="S906" s="151"/>
      <c r="T906" s="151"/>
      <c r="U906" s="151"/>
      <c r="V906" s="151"/>
      <c r="W906" s="151"/>
      <c r="X906" s="151"/>
      <c r="Y906" s="151"/>
      <c r="Z906" s="151"/>
    </row>
    <row r="907" customFormat="false" ht="12.75" hidden="false" customHeight="true" outlineLevel="0" collapsed="false">
      <c r="A907" s="151"/>
      <c r="C907" s="151"/>
      <c r="D907" s="151"/>
      <c r="E907" s="151"/>
      <c r="F907" s="151"/>
      <c r="G907" s="151"/>
      <c r="H907" s="151"/>
      <c r="I907" s="151"/>
      <c r="J907" s="151"/>
      <c r="K907" s="151"/>
      <c r="L907" s="151"/>
      <c r="M907" s="151"/>
      <c r="N907" s="151"/>
      <c r="O907" s="151"/>
      <c r="P907" s="151"/>
      <c r="Q907" s="151"/>
      <c r="R907" s="151"/>
      <c r="S907" s="151"/>
      <c r="T907" s="151"/>
      <c r="U907" s="151"/>
      <c r="V907" s="151"/>
      <c r="W907" s="151"/>
      <c r="X907" s="151"/>
      <c r="Y907" s="151"/>
      <c r="Z907" s="151"/>
    </row>
    <row r="908" customFormat="false" ht="12.75" hidden="false" customHeight="true" outlineLevel="0" collapsed="false">
      <c r="A908" s="151"/>
      <c r="C908" s="151"/>
      <c r="D908" s="151"/>
      <c r="E908" s="151"/>
      <c r="F908" s="151"/>
      <c r="G908" s="151"/>
      <c r="H908" s="151"/>
      <c r="I908" s="151"/>
      <c r="J908" s="151"/>
      <c r="K908" s="151"/>
      <c r="L908" s="151"/>
      <c r="M908" s="151"/>
      <c r="N908" s="151"/>
      <c r="O908" s="151"/>
      <c r="P908" s="151"/>
      <c r="Q908" s="151"/>
      <c r="R908" s="151"/>
      <c r="S908" s="151"/>
      <c r="T908" s="151"/>
      <c r="U908" s="151"/>
      <c r="V908" s="151"/>
      <c r="W908" s="151"/>
      <c r="X908" s="151"/>
      <c r="Y908" s="151"/>
      <c r="Z908" s="151"/>
    </row>
    <row r="909" customFormat="false" ht="12.75" hidden="false" customHeight="true" outlineLevel="0" collapsed="false">
      <c r="A909" s="151"/>
      <c r="C909" s="151"/>
      <c r="D909" s="151"/>
      <c r="E909" s="151"/>
      <c r="F909" s="151"/>
      <c r="G909" s="151"/>
      <c r="H909" s="151"/>
      <c r="I909" s="151"/>
      <c r="J909" s="151"/>
      <c r="K909" s="151"/>
      <c r="L909" s="151"/>
      <c r="M909" s="151"/>
      <c r="N909" s="151"/>
      <c r="O909" s="151"/>
      <c r="P909" s="151"/>
      <c r="Q909" s="151"/>
      <c r="R909" s="151"/>
      <c r="S909" s="151"/>
      <c r="T909" s="151"/>
      <c r="U909" s="151"/>
      <c r="V909" s="151"/>
      <c r="W909" s="151"/>
      <c r="X909" s="151"/>
      <c r="Y909" s="151"/>
      <c r="Z909" s="151"/>
    </row>
    <row r="910" customFormat="false" ht="12.75" hidden="false" customHeight="true" outlineLevel="0" collapsed="false">
      <c r="A910" s="151"/>
      <c r="C910" s="151"/>
      <c r="D910" s="151"/>
      <c r="E910" s="151"/>
      <c r="F910" s="151"/>
      <c r="G910" s="151"/>
      <c r="H910" s="151"/>
      <c r="I910" s="151"/>
      <c r="J910" s="151"/>
      <c r="K910" s="151"/>
      <c r="L910" s="151"/>
      <c r="M910" s="151"/>
      <c r="N910" s="151"/>
      <c r="O910" s="151"/>
      <c r="P910" s="151"/>
      <c r="Q910" s="151"/>
      <c r="R910" s="151"/>
      <c r="S910" s="151"/>
      <c r="T910" s="151"/>
      <c r="U910" s="151"/>
      <c r="V910" s="151"/>
      <c r="W910" s="151"/>
      <c r="X910" s="151"/>
      <c r="Y910" s="151"/>
      <c r="Z910" s="151"/>
    </row>
    <row r="911" customFormat="false" ht="12.75" hidden="false" customHeight="true" outlineLevel="0" collapsed="false">
      <c r="A911" s="151"/>
      <c r="C911" s="151"/>
      <c r="D911" s="151"/>
      <c r="E911" s="151"/>
      <c r="F911" s="151"/>
      <c r="G911" s="151"/>
      <c r="H911" s="151"/>
      <c r="I911" s="151"/>
      <c r="J911" s="151"/>
      <c r="K911" s="151"/>
      <c r="L911" s="151"/>
      <c r="M911" s="151"/>
      <c r="N911" s="151"/>
      <c r="O911" s="151"/>
      <c r="P911" s="151"/>
      <c r="Q911" s="151"/>
      <c r="R911" s="151"/>
      <c r="S911" s="151"/>
      <c r="T911" s="151"/>
      <c r="U911" s="151"/>
      <c r="V911" s="151"/>
      <c r="W911" s="151"/>
      <c r="X911" s="151"/>
      <c r="Y911" s="151"/>
      <c r="Z911" s="151"/>
    </row>
    <row r="912" customFormat="false" ht="12.75" hidden="false" customHeight="true" outlineLevel="0" collapsed="false">
      <c r="A912" s="151"/>
      <c r="C912" s="151"/>
      <c r="D912" s="151"/>
      <c r="E912" s="151"/>
      <c r="F912" s="151"/>
      <c r="G912" s="151"/>
      <c r="H912" s="151"/>
      <c r="I912" s="151"/>
      <c r="J912" s="151"/>
      <c r="K912" s="151"/>
      <c r="L912" s="151"/>
      <c r="M912" s="151"/>
      <c r="N912" s="151"/>
      <c r="O912" s="151"/>
      <c r="P912" s="151"/>
      <c r="Q912" s="151"/>
      <c r="R912" s="151"/>
      <c r="S912" s="151"/>
      <c r="T912" s="151"/>
      <c r="U912" s="151"/>
      <c r="V912" s="151"/>
      <c r="W912" s="151"/>
      <c r="X912" s="151"/>
      <c r="Y912" s="151"/>
      <c r="Z912" s="151"/>
    </row>
    <row r="913" customFormat="false" ht="12.75" hidden="false" customHeight="true" outlineLevel="0" collapsed="false">
      <c r="A913" s="151"/>
      <c r="C913" s="151"/>
      <c r="D913" s="151"/>
      <c r="E913" s="151"/>
      <c r="F913" s="151"/>
      <c r="G913" s="151"/>
      <c r="H913" s="151"/>
      <c r="I913" s="151"/>
      <c r="J913" s="151"/>
      <c r="K913" s="151"/>
      <c r="L913" s="151"/>
      <c r="M913" s="151"/>
      <c r="N913" s="151"/>
      <c r="O913" s="151"/>
      <c r="P913" s="151"/>
      <c r="Q913" s="151"/>
      <c r="R913" s="151"/>
      <c r="S913" s="151"/>
      <c r="T913" s="151"/>
      <c r="U913" s="151"/>
      <c r="V913" s="151"/>
      <c r="W913" s="151"/>
      <c r="X913" s="151"/>
      <c r="Y913" s="151"/>
      <c r="Z913" s="151"/>
    </row>
    <row r="914" customFormat="false" ht="12.75" hidden="false" customHeight="true" outlineLevel="0" collapsed="false">
      <c r="A914" s="151"/>
      <c r="C914" s="151"/>
      <c r="D914" s="151"/>
      <c r="E914" s="151"/>
      <c r="F914" s="151"/>
      <c r="G914" s="151"/>
      <c r="H914" s="151"/>
      <c r="I914" s="151"/>
      <c r="J914" s="151"/>
      <c r="K914" s="151"/>
      <c r="L914" s="151"/>
      <c r="M914" s="151"/>
      <c r="N914" s="151"/>
      <c r="O914" s="151"/>
      <c r="P914" s="151"/>
      <c r="Q914" s="151"/>
      <c r="R914" s="151"/>
      <c r="S914" s="151"/>
      <c r="T914" s="151"/>
      <c r="U914" s="151"/>
      <c r="V914" s="151"/>
      <c r="W914" s="151"/>
      <c r="X914" s="151"/>
      <c r="Y914" s="151"/>
      <c r="Z914" s="151"/>
    </row>
    <row r="915" customFormat="false" ht="12.75" hidden="false" customHeight="true" outlineLevel="0" collapsed="false">
      <c r="A915" s="151"/>
      <c r="C915" s="151"/>
      <c r="D915" s="151"/>
      <c r="E915" s="151"/>
      <c r="F915" s="151"/>
      <c r="G915" s="151"/>
      <c r="H915" s="151"/>
      <c r="I915" s="151"/>
      <c r="J915" s="151"/>
      <c r="K915" s="151"/>
      <c r="L915" s="151"/>
      <c r="M915" s="151"/>
      <c r="N915" s="151"/>
      <c r="O915" s="151"/>
      <c r="P915" s="151"/>
      <c r="Q915" s="151"/>
      <c r="R915" s="151"/>
      <c r="S915" s="151"/>
      <c r="T915" s="151"/>
      <c r="U915" s="151"/>
      <c r="V915" s="151"/>
      <c r="W915" s="151"/>
      <c r="X915" s="151"/>
      <c r="Y915" s="151"/>
      <c r="Z915" s="151"/>
    </row>
    <row r="916" customFormat="false" ht="12.75" hidden="false" customHeight="true" outlineLevel="0" collapsed="false">
      <c r="A916" s="151"/>
      <c r="C916" s="151"/>
      <c r="D916" s="151"/>
      <c r="E916" s="151"/>
      <c r="F916" s="151"/>
      <c r="G916" s="151"/>
      <c r="H916" s="151"/>
      <c r="I916" s="151"/>
      <c r="J916" s="151"/>
      <c r="K916" s="151"/>
      <c r="L916" s="151"/>
      <c r="M916" s="151"/>
      <c r="N916" s="151"/>
      <c r="O916" s="151"/>
      <c r="P916" s="151"/>
      <c r="Q916" s="151"/>
      <c r="R916" s="151"/>
      <c r="S916" s="151"/>
      <c r="T916" s="151"/>
      <c r="U916" s="151"/>
      <c r="V916" s="151"/>
      <c r="W916" s="151"/>
      <c r="X916" s="151"/>
      <c r="Y916" s="151"/>
      <c r="Z916" s="151"/>
    </row>
    <row r="917" customFormat="false" ht="12.75" hidden="false" customHeight="true" outlineLevel="0" collapsed="false">
      <c r="A917" s="151"/>
      <c r="C917" s="151"/>
      <c r="D917" s="151"/>
      <c r="E917" s="151"/>
      <c r="F917" s="151"/>
      <c r="G917" s="151"/>
      <c r="H917" s="151"/>
      <c r="I917" s="151"/>
      <c r="J917" s="151"/>
      <c r="K917" s="151"/>
      <c r="L917" s="151"/>
      <c r="M917" s="151"/>
      <c r="N917" s="151"/>
      <c r="O917" s="151"/>
      <c r="P917" s="151"/>
      <c r="Q917" s="151"/>
      <c r="R917" s="151"/>
      <c r="S917" s="151"/>
      <c r="T917" s="151"/>
      <c r="U917" s="151"/>
      <c r="V917" s="151"/>
      <c r="W917" s="151"/>
      <c r="X917" s="151"/>
      <c r="Y917" s="151"/>
      <c r="Z917" s="151"/>
    </row>
    <row r="918" customFormat="false" ht="12.75" hidden="false" customHeight="true" outlineLevel="0" collapsed="false">
      <c r="A918" s="151"/>
      <c r="C918" s="151"/>
      <c r="D918" s="151"/>
      <c r="E918" s="151"/>
      <c r="F918" s="151"/>
      <c r="G918" s="151"/>
      <c r="H918" s="151"/>
      <c r="I918" s="151"/>
      <c r="J918" s="151"/>
      <c r="K918" s="151"/>
      <c r="L918" s="151"/>
      <c r="M918" s="151"/>
      <c r="N918" s="151"/>
      <c r="O918" s="151"/>
      <c r="P918" s="151"/>
      <c r="Q918" s="151"/>
      <c r="R918" s="151"/>
      <c r="S918" s="151"/>
      <c r="T918" s="151"/>
      <c r="U918" s="151"/>
      <c r="V918" s="151"/>
      <c r="W918" s="151"/>
      <c r="X918" s="151"/>
      <c r="Y918" s="151"/>
      <c r="Z918" s="151"/>
    </row>
    <row r="919" customFormat="false" ht="12.75" hidden="false" customHeight="true" outlineLevel="0" collapsed="false">
      <c r="A919" s="151"/>
      <c r="C919" s="151"/>
      <c r="D919" s="151"/>
      <c r="E919" s="151"/>
      <c r="F919" s="151"/>
      <c r="G919" s="151"/>
      <c r="H919" s="151"/>
      <c r="I919" s="151"/>
      <c r="J919" s="151"/>
      <c r="K919" s="151"/>
      <c r="L919" s="151"/>
      <c r="M919" s="151"/>
      <c r="N919" s="151"/>
      <c r="O919" s="151"/>
      <c r="P919" s="151"/>
      <c r="Q919" s="151"/>
      <c r="R919" s="151"/>
      <c r="S919" s="151"/>
      <c r="T919" s="151"/>
      <c r="U919" s="151"/>
      <c r="V919" s="151"/>
      <c r="W919" s="151"/>
      <c r="X919" s="151"/>
      <c r="Y919" s="151"/>
      <c r="Z919" s="151"/>
    </row>
    <row r="920" customFormat="false" ht="12.75" hidden="false" customHeight="true" outlineLevel="0" collapsed="false">
      <c r="A920" s="151"/>
      <c r="C920" s="151"/>
      <c r="D920" s="151"/>
      <c r="E920" s="151"/>
      <c r="F920" s="151"/>
      <c r="G920" s="151"/>
      <c r="H920" s="151"/>
      <c r="I920" s="151"/>
      <c r="J920" s="151"/>
      <c r="K920" s="151"/>
      <c r="L920" s="151"/>
      <c r="M920" s="151"/>
      <c r="N920" s="151"/>
      <c r="O920" s="151"/>
      <c r="P920" s="151"/>
      <c r="Q920" s="151"/>
      <c r="R920" s="151"/>
      <c r="S920" s="151"/>
      <c r="T920" s="151"/>
      <c r="U920" s="151"/>
      <c r="V920" s="151"/>
      <c r="W920" s="151"/>
      <c r="X920" s="151"/>
      <c r="Y920" s="151"/>
      <c r="Z920" s="151"/>
    </row>
    <row r="921" customFormat="false" ht="12.75" hidden="false" customHeight="true" outlineLevel="0" collapsed="false">
      <c r="A921" s="151"/>
      <c r="C921" s="151"/>
      <c r="D921" s="151"/>
      <c r="E921" s="151"/>
      <c r="F921" s="151"/>
      <c r="G921" s="151"/>
      <c r="H921" s="151"/>
      <c r="I921" s="151"/>
      <c r="J921" s="151"/>
      <c r="K921" s="151"/>
      <c r="L921" s="151"/>
      <c r="M921" s="151"/>
      <c r="N921" s="151"/>
      <c r="O921" s="151"/>
      <c r="P921" s="151"/>
      <c r="Q921" s="151"/>
      <c r="R921" s="151"/>
      <c r="S921" s="151"/>
      <c r="T921" s="151"/>
      <c r="U921" s="151"/>
      <c r="V921" s="151"/>
      <c r="W921" s="151"/>
      <c r="X921" s="151"/>
      <c r="Y921" s="151"/>
      <c r="Z921" s="151"/>
    </row>
    <row r="922" customFormat="false" ht="12.75" hidden="false" customHeight="true" outlineLevel="0" collapsed="false">
      <c r="A922" s="151"/>
      <c r="C922" s="151"/>
      <c r="D922" s="151"/>
      <c r="E922" s="151"/>
      <c r="F922" s="151"/>
      <c r="G922" s="151"/>
      <c r="H922" s="151"/>
      <c r="I922" s="151"/>
      <c r="J922" s="151"/>
      <c r="K922" s="151"/>
      <c r="L922" s="151"/>
      <c r="M922" s="151"/>
      <c r="N922" s="151"/>
      <c r="O922" s="151"/>
      <c r="P922" s="151"/>
      <c r="Q922" s="151"/>
      <c r="R922" s="151"/>
      <c r="S922" s="151"/>
      <c r="T922" s="151"/>
      <c r="U922" s="151"/>
      <c r="V922" s="151"/>
      <c r="W922" s="151"/>
      <c r="X922" s="151"/>
      <c r="Y922" s="151"/>
      <c r="Z922" s="151"/>
    </row>
    <row r="923" customFormat="false" ht="12.75" hidden="false" customHeight="true" outlineLevel="0" collapsed="false">
      <c r="A923" s="151"/>
      <c r="C923" s="151"/>
      <c r="D923" s="151"/>
      <c r="E923" s="151"/>
      <c r="F923" s="151"/>
      <c r="G923" s="151"/>
      <c r="H923" s="151"/>
      <c r="I923" s="151"/>
      <c r="J923" s="151"/>
      <c r="K923" s="151"/>
      <c r="L923" s="151"/>
      <c r="M923" s="151"/>
      <c r="N923" s="151"/>
      <c r="O923" s="151"/>
      <c r="P923" s="151"/>
      <c r="Q923" s="151"/>
      <c r="R923" s="151"/>
      <c r="S923" s="151"/>
      <c r="T923" s="151"/>
      <c r="U923" s="151"/>
      <c r="V923" s="151"/>
      <c r="W923" s="151"/>
      <c r="X923" s="151"/>
      <c r="Y923" s="151"/>
      <c r="Z923" s="151"/>
    </row>
    <row r="924" customFormat="false" ht="12.75" hidden="false" customHeight="true" outlineLevel="0" collapsed="false">
      <c r="A924" s="151"/>
      <c r="C924" s="151"/>
      <c r="D924" s="151"/>
      <c r="E924" s="151"/>
      <c r="F924" s="151"/>
      <c r="G924" s="151"/>
      <c r="H924" s="151"/>
      <c r="I924" s="151"/>
      <c r="J924" s="151"/>
      <c r="K924" s="151"/>
      <c r="L924" s="151"/>
      <c r="M924" s="151"/>
      <c r="N924" s="151"/>
      <c r="O924" s="151"/>
      <c r="P924" s="151"/>
      <c r="Q924" s="151"/>
      <c r="R924" s="151"/>
      <c r="S924" s="151"/>
      <c r="T924" s="151"/>
      <c r="U924" s="151"/>
      <c r="V924" s="151"/>
      <c r="W924" s="151"/>
      <c r="X924" s="151"/>
      <c r="Y924" s="151"/>
      <c r="Z924" s="151"/>
    </row>
    <row r="925" customFormat="false" ht="12.75" hidden="false" customHeight="true" outlineLevel="0" collapsed="false">
      <c r="A925" s="151"/>
      <c r="C925" s="151"/>
      <c r="D925" s="151"/>
      <c r="E925" s="151"/>
      <c r="F925" s="151"/>
      <c r="G925" s="151"/>
      <c r="H925" s="151"/>
      <c r="I925" s="151"/>
      <c r="J925" s="151"/>
      <c r="K925" s="151"/>
      <c r="L925" s="151"/>
      <c r="M925" s="151"/>
      <c r="N925" s="151"/>
      <c r="O925" s="151"/>
      <c r="P925" s="151"/>
      <c r="Q925" s="151"/>
      <c r="R925" s="151"/>
      <c r="S925" s="151"/>
      <c r="T925" s="151"/>
      <c r="U925" s="151"/>
      <c r="V925" s="151"/>
      <c r="W925" s="151"/>
      <c r="X925" s="151"/>
      <c r="Y925" s="151"/>
      <c r="Z925" s="151"/>
    </row>
    <row r="926" customFormat="false" ht="12.75" hidden="false" customHeight="true" outlineLevel="0" collapsed="false">
      <c r="A926" s="151"/>
      <c r="C926" s="151"/>
      <c r="D926" s="151"/>
      <c r="E926" s="151"/>
      <c r="F926" s="151"/>
      <c r="G926" s="151"/>
      <c r="H926" s="151"/>
      <c r="I926" s="151"/>
      <c r="J926" s="151"/>
      <c r="K926" s="151"/>
      <c r="L926" s="151"/>
      <c r="M926" s="151"/>
      <c r="N926" s="151"/>
      <c r="O926" s="151"/>
      <c r="P926" s="151"/>
      <c r="Q926" s="151"/>
      <c r="R926" s="151"/>
      <c r="S926" s="151"/>
      <c r="T926" s="151"/>
      <c r="U926" s="151"/>
      <c r="V926" s="151"/>
      <c r="W926" s="151"/>
      <c r="X926" s="151"/>
      <c r="Y926" s="151"/>
      <c r="Z926" s="151"/>
    </row>
    <row r="927" customFormat="false" ht="12.75" hidden="false" customHeight="true" outlineLevel="0" collapsed="false">
      <c r="A927" s="151"/>
      <c r="C927" s="151"/>
      <c r="D927" s="151"/>
      <c r="E927" s="151"/>
      <c r="F927" s="151"/>
      <c r="G927" s="151"/>
      <c r="H927" s="151"/>
      <c r="I927" s="151"/>
      <c r="J927" s="151"/>
      <c r="K927" s="151"/>
      <c r="L927" s="151"/>
      <c r="M927" s="151"/>
      <c r="N927" s="151"/>
      <c r="O927" s="151"/>
      <c r="P927" s="151"/>
      <c r="Q927" s="151"/>
      <c r="R927" s="151"/>
      <c r="S927" s="151"/>
      <c r="T927" s="151"/>
      <c r="U927" s="151"/>
      <c r="V927" s="151"/>
      <c r="W927" s="151"/>
      <c r="X927" s="151"/>
      <c r="Y927" s="151"/>
      <c r="Z927" s="151"/>
    </row>
    <row r="928" customFormat="false" ht="12.75" hidden="false" customHeight="true" outlineLevel="0" collapsed="false">
      <c r="A928" s="151"/>
      <c r="C928" s="151"/>
      <c r="D928" s="151"/>
      <c r="E928" s="151"/>
      <c r="F928" s="151"/>
      <c r="G928" s="151"/>
      <c r="H928" s="151"/>
      <c r="I928" s="151"/>
      <c r="J928" s="151"/>
      <c r="K928" s="151"/>
      <c r="L928" s="151"/>
      <c r="M928" s="151"/>
      <c r="N928" s="151"/>
      <c r="O928" s="151"/>
      <c r="P928" s="151"/>
      <c r="Q928" s="151"/>
      <c r="R928" s="151"/>
      <c r="S928" s="151"/>
      <c r="T928" s="151"/>
      <c r="U928" s="151"/>
      <c r="V928" s="151"/>
      <c r="W928" s="151"/>
      <c r="X928" s="151"/>
      <c r="Y928" s="151"/>
      <c r="Z928" s="151"/>
    </row>
    <row r="929" customFormat="false" ht="12.75" hidden="false" customHeight="true" outlineLevel="0" collapsed="false">
      <c r="A929" s="151"/>
      <c r="C929" s="151"/>
      <c r="D929" s="151"/>
      <c r="E929" s="151"/>
      <c r="F929" s="151"/>
      <c r="G929" s="151"/>
      <c r="H929" s="151"/>
      <c r="I929" s="151"/>
      <c r="J929" s="151"/>
      <c r="K929" s="151"/>
      <c r="L929" s="151"/>
      <c r="M929" s="151"/>
      <c r="N929" s="151"/>
      <c r="O929" s="151"/>
      <c r="P929" s="151"/>
      <c r="Q929" s="151"/>
      <c r="R929" s="151"/>
      <c r="S929" s="151"/>
      <c r="T929" s="151"/>
      <c r="U929" s="151"/>
      <c r="V929" s="151"/>
      <c r="W929" s="151"/>
      <c r="X929" s="151"/>
      <c r="Y929" s="151"/>
      <c r="Z929" s="151"/>
    </row>
    <row r="930" customFormat="false" ht="12.75" hidden="false" customHeight="true" outlineLevel="0" collapsed="false">
      <c r="A930" s="151"/>
      <c r="C930" s="151"/>
      <c r="D930" s="151"/>
      <c r="E930" s="151"/>
      <c r="F930" s="151"/>
      <c r="G930" s="151"/>
      <c r="H930" s="151"/>
      <c r="I930" s="151"/>
      <c r="J930" s="151"/>
      <c r="K930" s="151"/>
      <c r="L930" s="151"/>
      <c r="M930" s="151"/>
      <c r="N930" s="151"/>
      <c r="O930" s="151"/>
      <c r="P930" s="151"/>
      <c r="Q930" s="151"/>
      <c r="R930" s="151"/>
      <c r="S930" s="151"/>
      <c r="T930" s="151"/>
      <c r="U930" s="151"/>
      <c r="V930" s="151"/>
      <c r="W930" s="151"/>
      <c r="X930" s="151"/>
      <c r="Y930" s="151"/>
      <c r="Z930" s="151"/>
    </row>
    <row r="931" customFormat="false" ht="12.75" hidden="false" customHeight="true" outlineLevel="0" collapsed="false">
      <c r="A931" s="151"/>
      <c r="C931" s="151"/>
      <c r="D931" s="151"/>
      <c r="E931" s="151"/>
      <c r="F931" s="151"/>
      <c r="G931" s="151"/>
      <c r="H931" s="151"/>
      <c r="I931" s="151"/>
      <c r="J931" s="151"/>
      <c r="K931" s="151"/>
      <c r="L931" s="151"/>
      <c r="M931" s="151"/>
      <c r="N931" s="151"/>
      <c r="O931" s="151"/>
      <c r="P931" s="151"/>
      <c r="Q931" s="151"/>
      <c r="R931" s="151"/>
      <c r="S931" s="151"/>
      <c r="T931" s="151"/>
      <c r="U931" s="151"/>
      <c r="V931" s="151"/>
      <c r="W931" s="151"/>
      <c r="X931" s="151"/>
      <c r="Y931" s="151"/>
      <c r="Z931" s="151"/>
    </row>
    <row r="932" customFormat="false" ht="12.75" hidden="false" customHeight="true" outlineLevel="0" collapsed="false">
      <c r="A932" s="151"/>
      <c r="C932" s="151"/>
      <c r="D932" s="151"/>
      <c r="E932" s="151"/>
      <c r="F932" s="151"/>
      <c r="G932" s="151"/>
      <c r="H932" s="151"/>
      <c r="I932" s="151"/>
      <c r="J932" s="151"/>
      <c r="K932" s="151"/>
      <c r="L932" s="151"/>
      <c r="M932" s="151"/>
      <c r="N932" s="151"/>
      <c r="O932" s="151"/>
      <c r="P932" s="151"/>
      <c r="Q932" s="151"/>
      <c r="R932" s="151"/>
      <c r="S932" s="151"/>
      <c r="T932" s="151"/>
      <c r="U932" s="151"/>
      <c r="V932" s="151"/>
      <c r="W932" s="151"/>
      <c r="X932" s="151"/>
      <c r="Y932" s="151"/>
      <c r="Z932" s="151"/>
    </row>
    <row r="933" customFormat="false" ht="12.75" hidden="false" customHeight="true" outlineLevel="0" collapsed="false">
      <c r="A933" s="151"/>
      <c r="C933" s="151"/>
      <c r="D933" s="151"/>
      <c r="E933" s="151"/>
      <c r="F933" s="151"/>
      <c r="G933" s="151"/>
      <c r="H933" s="151"/>
      <c r="I933" s="151"/>
      <c r="J933" s="151"/>
      <c r="K933" s="151"/>
      <c r="L933" s="151"/>
      <c r="M933" s="151"/>
      <c r="N933" s="151"/>
      <c r="O933" s="151"/>
      <c r="P933" s="151"/>
      <c r="Q933" s="151"/>
      <c r="R933" s="151"/>
      <c r="S933" s="151"/>
      <c r="T933" s="151"/>
      <c r="U933" s="151"/>
      <c r="V933" s="151"/>
      <c r="W933" s="151"/>
      <c r="X933" s="151"/>
      <c r="Y933" s="151"/>
      <c r="Z933" s="151"/>
    </row>
    <row r="934" customFormat="false" ht="12.75" hidden="false" customHeight="true" outlineLevel="0" collapsed="false">
      <c r="A934" s="151"/>
      <c r="C934" s="151"/>
      <c r="D934" s="151"/>
      <c r="E934" s="151"/>
      <c r="F934" s="151"/>
      <c r="G934" s="151"/>
      <c r="H934" s="151"/>
      <c r="I934" s="151"/>
      <c r="J934" s="151"/>
      <c r="K934" s="151"/>
      <c r="L934" s="151"/>
      <c r="M934" s="151"/>
      <c r="N934" s="151"/>
      <c r="O934" s="151"/>
      <c r="P934" s="151"/>
      <c r="Q934" s="151"/>
      <c r="R934" s="151"/>
      <c r="S934" s="151"/>
      <c r="T934" s="151"/>
      <c r="U934" s="151"/>
      <c r="V934" s="151"/>
      <c r="W934" s="151"/>
      <c r="X934" s="151"/>
      <c r="Y934" s="151"/>
      <c r="Z934" s="151"/>
    </row>
    <row r="935" customFormat="false" ht="12.75" hidden="false" customHeight="true" outlineLevel="0" collapsed="false">
      <c r="A935" s="151"/>
      <c r="C935" s="151"/>
      <c r="D935" s="151"/>
      <c r="E935" s="151"/>
      <c r="F935" s="151"/>
      <c r="G935" s="151"/>
      <c r="H935" s="151"/>
      <c r="I935" s="151"/>
      <c r="J935" s="151"/>
      <c r="K935" s="151"/>
      <c r="L935" s="151"/>
      <c r="M935" s="151"/>
      <c r="N935" s="151"/>
      <c r="O935" s="151"/>
      <c r="P935" s="151"/>
      <c r="Q935" s="151"/>
      <c r="R935" s="151"/>
      <c r="S935" s="151"/>
      <c r="T935" s="151"/>
      <c r="U935" s="151"/>
      <c r="V935" s="151"/>
      <c r="W935" s="151"/>
      <c r="X935" s="151"/>
      <c r="Y935" s="151"/>
      <c r="Z935" s="151"/>
    </row>
    <row r="936" customFormat="false" ht="12.75" hidden="false" customHeight="true" outlineLevel="0" collapsed="false">
      <c r="A936" s="151"/>
      <c r="C936" s="151"/>
      <c r="D936" s="151"/>
      <c r="E936" s="151"/>
      <c r="F936" s="151"/>
      <c r="G936" s="151"/>
      <c r="H936" s="151"/>
      <c r="I936" s="151"/>
      <c r="J936" s="151"/>
      <c r="K936" s="151"/>
      <c r="L936" s="151"/>
      <c r="M936" s="151"/>
      <c r="N936" s="151"/>
      <c r="O936" s="151"/>
      <c r="P936" s="151"/>
      <c r="Q936" s="151"/>
      <c r="R936" s="151"/>
      <c r="S936" s="151"/>
      <c r="T936" s="151"/>
      <c r="U936" s="151"/>
      <c r="V936" s="151"/>
      <c r="W936" s="151"/>
      <c r="X936" s="151"/>
      <c r="Y936" s="151"/>
      <c r="Z936" s="151"/>
    </row>
    <row r="937" customFormat="false" ht="12.75" hidden="false" customHeight="true" outlineLevel="0" collapsed="false">
      <c r="A937" s="151"/>
      <c r="C937" s="151"/>
      <c r="D937" s="151"/>
      <c r="E937" s="151"/>
      <c r="F937" s="151"/>
      <c r="G937" s="151"/>
      <c r="H937" s="151"/>
      <c r="I937" s="151"/>
      <c r="J937" s="151"/>
      <c r="K937" s="151"/>
      <c r="L937" s="151"/>
      <c r="M937" s="151"/>
      <c r="N937" s="151"/>
      <c r="O937" s="151"/>
      <c r="P937" s="151"/>
      <c r="Q937" s="151"/>
      <c r="R937" s="151"/>
      <c r="S937" s="151"/>
      <c r="T937" s="151"/>
      <c r="U937" s="151"/>
      <c r="V937" s="151"/>
      <c r="W937" s="151"/>
      <c r="X937" s="151"/>
      <c r="Y937" s="151"/>
      <c r="Z937" s="151"/>
    </row>
    <row r="938" customFormat="false" ht="12.75" hidden="false" customHeight="true" outlineLevel="0" collapsed="false">
      <c r="A938" s="151"/>
      <c r="C938" s="151"/>
      <c r="D938" s="151"/>
      <c r="E938" s="151"/>
      <c r="F938" s="151"/>
      <c r="G938" s="151"/>
      <c r="H938" s="151"/>
      <c r="I938" s="151"/>
      <c r="J938" s="151"/>
      <c r="K938" s="151"/>
      <c r="L938" s="151"/>
      <c r="M938" s="151"/>
      <c r="N938" s="151"/>
      <c r="O938" s="151"/>
      <c r="P938" s="151"/>
      <c r="Q938" s="151"/>
      <c r="R938" s="151"/>
      <c r="S938" s="151"/>
      <c r="T938" s="151"/>
      <c r="U938" s="151"/>
      <c r="V938" s="151"/>
      <c r="W938" s="151"/>
      <c r="X938" s="151"/>
      <c r="Y938" s="151"/>
      <c r="Z938" s="151"/>
    </row>
    <row r="939" customFormat="false" ht="12.75" hidden="false" customHeight="true" outlineLevel="0" collapsed="false">
      <c r="A939" s="151"/>
      <c r="C939" s="151"/>
      <c r="D939" s="151"/>
      <c r="E939" s="151"/>
      <c r="F939" s="151"/>
      <c r="G939" s="151"/>
      <c r="H939" s="151"/>
      <c r="I939" s="151"/>
      <c r="J939" s="151"/>
      <c r="K939" s="151"/>
      <c r="L939" s="151"/>
      <c r="M939" s="151"/>
      <c r="N939" s="151"/>
      <c r="O939" s="151"/>
      <c r="P939" s="151"/>
      <c r="Q939" s="151"/>
      <c r="R939" s="151"/>
      <c r="S939" s="151"/>
      <c r="T939" s="151"/>
      <c r="U939" s="151"/>
      <c r="V939" s="151"/>
      <c r="W939" s="151"/>
      <c r="X939" s="151"/>
      <c r="Y939" s="151"/>
      <c r="Z939" s="151"/>
    </row>
    <row r="940" customFormat="false" ht="12.75" hidden="false" customHeight="true" outlineLevel="0" collapsed="false">
      <c r="A940" s="151"/>
      <c r="C940" s="151"/>
      <c r="D940" s="151"/>
      <c r="E940" s="151"/>
      <c r="F940" s="151"/>
      <c r="G940" s="151"/>
      <c r="H940" s="151"/>
      <c r="I940" s="151"/>
      <c r="J940" s="151"/>
      <c r="K940" s="151"/>
      <c r="L940" s="151"/>
      <c r="M940" s="151"/>
      <c r="N940" s="151"/>
      <c r="O940" s="151"/>
      <c r="P940" s="151"/>
      <c r="Q940" s="151"/>
      <c r="R940" s="151"/>
      <c r="S940" s="151"/>
      <c r="T940" s="151"/>
      <c r="U940" s="151"/>
      <c r="V940" s="151"/>
      <c r="W940" s="151"/>
      <c r="X940" s="151"/>
      <c r="Y940" s="151"/>
      <c r="Z940" s="151"/>
    </row>
    <row r="941" customFormat="false" ht="12.75" hidden="false" customHeight="true" outlineLevel="0" collapsed="false">
      <c r="A941" s="151"/>
      <c r="C941" s="151"/>
      <c r="D941" s="151"/>
      <c r="E941" s="151"/>
      <c r="F941" s="151"/>
      <c r="G941" s="151"/>
      <c r="H941" s="151"/>
      <c r="I941" s="151"/>
      <c r="J941" s="151"/>
      <c r="K941" s="151"/>
      <c r="L941" s="151"/>
      <c r="M941" s="151"/>
      <c r="N941" s="151"/>
      <c r="O941" s="151"/>
      <c r="P941" s="151"/>
      <c r="Q941" s="151"/>
      <c r="R941" s="151"/>
      <c r="S941" s="151"/>
      <c r="T941" s="151"/>
      <c r="U941" s="151"/>
      <c r="V941" s="151"/>
      <c r="W941" s="151"/>
      <c r="X941" s="151"/>
      <c r="Y941" s="151"/>
      <c r="Z941" s="151"/>
    </row>
    <row r="942" customFormat="false" ht="12.75" hidden="false" customHeight="true" outlineLevel="0" collapsed="false">
      <c r="A942" s="151"/>
      <c r="C942" s="151"/>
      <c r="D942" s="151"/>
      <c r="E942" s="151"/>
      <c r="F942" s="151"/>
      <c r="G942" s="151"/>
      <c r="H942" s="151"/>
      <c r="I942" s="151"/>
      <c r="J942" s="151"/>
      <c r="K942" s="151"/>
      <c r="L942" s="151"/>
      <c r="M942" s="151"/>
      <c r="N942" s="151"/>
      <c r="O942" s="151"/>
      <c r="P942" s="151"/>
      <c r="Q942" s="151"/>
      <c r="R942" s="151"/>
      <c r="S942" s="151"/>
      <c r="T942" s="151"/>
      <c r="U942" s="151"/>
      <c r="V942" s="151"/>
      <c r="W942" s="151"/>
      <c r="X942" s="151"/>
      <c r="Y942" s="151"/>
      <c r="Z942" s="151"/>
    </row>
    <row r="943" customFormat="false" ht="12.75" hidden="false" customHeight="true" outlineLevel="0" collapsed="false">
      <c r="A943" s="151"/>
      <c r="C943" s="151"/>
      <c r="D943" s="151"/>
      <c r="E943" s="151"/>
      <c r="F943" s="151"/>
      <c r="G943" s="151"/>
      <c r="H943" s="151"/>
      <c r="I943" s="151"/>
      <c r="J943" s="151"/>
      <c r="K943" s="151"/>
      <c r="L943" s="151"/>
      <c r="M943" s="151"/>
      <c r="N943" s="151"/>
      <c r="O943" s="151"/>
      <c r="P943" s="151"/>
      <c r="Q943" s="151"/>
      <c r="R943" s="151"/>
      <c r="S943" s="151"/>
      <c r="T943" s="151"/>
      <c r="U943" s="151"/>
      <c r="V943" s="151"/>
      <c r="W943" s="151"/>
      <c r="X943" s="151"/>
      <c r="Y943" s="151"/>
      <c r="Z943" s="151"/>
    </row>
    <row r="944" customFormat="false" ht="12.75" hidden="false" customHeight="true" outlineLevel="0" collapsed="false">
      <c r="A944" s="151"/>
      <c r="C944" s="151"/>
      <c r="D944" s="151"/>
      <c r="E944" s="151"/>
      <c r="F944" s="151"/>
      <c r="G944" s="151"/>
      <c r="H944" s="151"/>
      <c r="I944" s="151"/>
      <c r="J944" s="151"/>
      <c r="K944" s="151"/>
      <c r="L944" s="151"/>
      <c r="M944" s="151"/>
      <c r="N944" s="151"/>
      <c r="O944" s="151"/>
      <c r="P944" s="151"/>
      <c r="Q944" s="151"/>
      <c r="R944" s="151"/>
      <c r="S944" s="151"/>
      <c r="T944" s="151"/>
      <c r="U944" s="151"/>
      <c r="V944" s="151"/>
      <c r="W944" s="151"/>
      <c r="X944" s="151"/>
      <c r="Y944" s="151"/>
      <c r="Z944" s="151"/>
    </row>
    <row r="945" customFormat="false" ht="12.75" hidden="false" customHeight="true" outlineLevel="0" collapsed="false">
      <c r="A945" s="151"/>
      <c r="C945" s="151"/>
      <c r="D945" s="151"/>
      <c r="E945" s="151"/>
      <c r="F945" s="151"/>
      <c r="G945" s="151"/>
      <c r="H945" s="151"/>
      <c r="I945" s="151"/>
      <c r="J945" s="151"/>
      <c r="K945" s="151"/>
      <c r="L945" s="151"/>
      <c r="M945" s="151"/>
      <c r="N945" s="151"/>
      <c r="O945" s="151"/>
      <c r="P945" s="151"/>
      <c r="Q945" s="151"/>
      <c r="R945" s="151"/>
      <c r="S945" s="151"/>
      <c r="T945" s="151"/>
      <c r="U945" s="151"/>
      <c r="V945" s="151"/>
      <c r="W945" s="151"/>
      <c r="X945" s="151"/>
      <c r="Y945" s="151"/>
      <c r="Z945" s="151"/>
    </row>
    <row r="946" customFormat="false" ht="12.75" hidden="false" customHeight="true" outlineLevel="0" collapsed="false">
      <c r="A946" s="151"/>
      <c r="C946" s="151"/>
      <c r="D946" s="151"/>
      <c r="E946" s="151"/>
      <c r="F946" s="151"/>
      <c r="G946" s="151"/>
      <c r="H946" s="151"/>
      <c r="I946" s="151"/>
      <c r="J946" s="151"/>
      <c r="K946" s="151"/>
      <c r="L946" s="151"/>
      <c r="M946" s="151"/>
      <c r="N946" s="151"/>
      <c r="O946" s="151"/>
      <c r="P946" s="151"/>
      <c r="Q946" s="151"/>
      <c r="R946" s="151"/>
      <c r="S946" s="151"/>
      <c r="T946" s="151"/>
      <c r="U946" s="151"/>
      <c r="V946" s="151"/>
      <c r="W946" s="151"/>
      <c r="X946" s="151"/>
      <c r="Y946" s="151"/>
      <c r="Z946" s="151"/>
    </row>
    <row r="947" customFormat="false" ht="12.75" hidden="false" customHeight="true" outlineLevel="0" collapsed="false">
      <c r="A947" s="151"/>
      <c r="C947" s="151"/>
      <c r="D947" s="151"/>
      <c r="E947" s="151"/>
      <c r="F947" s="151"/>
      <c r="G947" s="151"/>
      <c r="H947" s="151"/>
      <c r="I947" s="151"/>
      <c r="J947" s="151"/>
      <c r="K947" s="151"/>
      <c r="L947" s="151"/>
      <c r="M947" s="151"/>
      <c r="N947" s="151"/>
      <c r="O947" s="151"/>
      <c r="P947" s="151"/>
      <c r="Q947" s="151"/>
      <c r="R947" s="151"/>
      <c r="S947" s="151"/>
      <c r="T947" s="151"/>
      <c r="U947" s="151"/>
      <c r="V947" s="151"/>
      <c r="W947" s="151"/>
      <c r="X947" s="151"/>
      <c r="Y947" s="151"/>
      <c r="Z947" s="151"/>
    </row>
    <row r="948" customFormat="false" ht="12.75" hidden="false" customHeight="true" outlineLevel="0" collapsed="false">
      <c r="A948" s="151"/>
      <c r="C948" s="151"/>
      <c r="D948" s="151"/>
      <c r="E948" s="151"/>
      <c r="F948" s="151"/>
      <c r="G948" s="151"/>
      <c r="H948" s="151"/>
      <c r="I948" s="151"/>
      <c r="J948" s="151"/>
      <c r="K948" s="151"/>
      <c r="L948" s="151"/>
      <c r="M948" s="151"/>
      <c r="N948" s="151"/>
      <c r="O948" s="151"/>
      <c r="P948" s="151"/>
      <c r="Q948" s="151"/>
      <c r="R948" s="151"/>
      <c r="S948" s="151"/>
      <c r="T948" s="151"/>
      <c r="U948" s="151"/>
      <c r="V948" s="151"/>
      <c r="W948" s="151"/>
      <c r="X948" s="151"/>
      <c r="Y948" s="151"/>
      <c r="Z948" s="151"/>
    </row>
    <row r="949" customFormat="false" ht="12.75" hidden="false" customHeight="true" outlineLevel="0" collapsed="false">
      <c r="A949" s="151"/>
      <c r="C949" s="151"/>
      <c r="D949" s="151"/>
      <c r="E949" s="151"/>
      <c r="F949" s="151"/>
      <c r="G949" s="151"/>
      <c r="H949" s="151"/>
      <c r="I949" s="151"/>
      <c r="J949" s="151"/>
      <c r="K949" s="151"/>
      <c r="L949" s="151"/>
      <c r="M949" s="151"/>
      <c r="N949" s="151"/>
      <c r="O949" s="151"/>
      <c r="P949" s="151"/>
      <c r="Q949" s="151"/>
      <c r="R949" s="151"/>
      <c r="S949" s="151"/>
      <c r="T949" s="151"/>
      <c r="U949" s="151"/>
      <c r="V949" s="151"/>
      <c r="W949" s="151"/>
      <c r="X949" s="151"/>
      <c r="Y949" s="151"/>
      <c r="Z949" s="151"/>
    </row>
    <row r="950" customFormat="false" ht="12.75" hidden="false" customHeight="true" outlineLevel="0" collapsed="false">
      <c r="A950" s="151"/>
      <c r="C950" s="151"/>
      <c r="D950" s="151"/>
      <c r="E950" s="151"/>
      <c r="F950" s="151"/>
      <c r="G950" s="151"/>
      <c r="H950" s="151"/>
      <c r="I950" s="151"/>
      <c r="J950" s="151"/>
      <c r="K950" s="151"/>
      <c r="L950" s="151"/>
      <c r="M950" s="151"/>
      <c r="N950" s="151"/>
      <c r="O950" s="151"/>
      <c r="P950" s="151"/>
      <c r="Q950" s="151"/>
      <c r="R950" s="151"/>
      <c r="S950" s="151"/>
      <c r="T950" s="151"/>
      <c r="U950" s="151"/>
      <c r="V950" s="151"/>
      <c r="W950" s="151"/>
      <c r="X950" s="151"/>
      <c r="Y950" s="151"/>
      <c r="Z950" s="151"/>
    </row>
    <row r="951" customFormat="false" ht="12.75" hidden="false" customHeight="true" outlineLevel="0" collapsed="false">
      <c r="A951" s="151"/>
      <c r="C951" s="151"/>
      <c r="D951" s="151"/>
      <c r="E951" s="151"/>
      <c r="F951" s="151"/>
      <c r="G951" s="151"/>
      <c r="H951" s="151"/>
      <c r="I951" s="151"/>
      <c r="J951" s="151"/>
      <c r="K951" s="151"/>
      <c r="L951" s="151"/>
      <c r="M951" s="151"/>
      <c r="N951" s="151"/>
      <c r="O951" s="151"/>
      <c r="P951" s="151"/>
      <c r="Q951" s="151"/>
      <c r="R951" s="151"/>
      <c r="S951" s="151"/>
      <c r="T951" s="151"/>
      <c r="U951" s="151"/>
      <c r="V951" s="151"/>
      <c r="W951" s="151"/>
      <c r="X951" s="151"/>
      <c r="Y951" s="151"/>
      <c r="Z951" s="151"/>
    </row>
    <row r="952" customFormat="false" ht="12.75" hidden="false" customHeight="true" outlineLevel="0" collapsed="false">
      <c r="A952" s="151"/>
      <c r="C952" s="151"/>
      <c r="D952" s="151"/>
      <c r="E952" s="151"/>
      <c r="F952" s="151"/>
      <c r="G952" s="151"/>
      <c r="H952" s="151"/>
      <c r="I952" s="151"/>
      <c r="J952" s="151"/>
      <c r="K952" s="151"/>
      <c r="L952" s="151"/>
      <c r="M952" s="151"/>
      <c r="N952" s="151"/>
      <c r="O952" s="151"/>
      <c r="P952" s="151"/>
      <c r="Q952" s="151"/>
      <c r="R952" s="151"/>
      <c r="S952" s="151"/>
      <c r="T952" s="151"/>
      <c r="U952" s="151"/>
      <c r="V952" s="151"/>
      <c r="W952" s="151"/>
      <c r="X952" s="151"/>
      <c r="Y952" s="151"/>
      <c r="Z952" s="151"/>
    </row>
    <row r="953" customFormat="false" ht="12.75" hidden="false" customHeight="true" outlineLevel="0" collapsed="false">
      <c r="A953" s="151"/>
      <c r="C953" s="151"/>
      <c r="D953" s="151"/>
      <c r="E953" s="151"/>
      <c r="F953" s="151"/>
      <c r="G953" s="151"/>
      <c r="H953" s="151"/>
      <c r="I953" s="151"/>
      <c r="J953" s="151"/>
      <c r="K953" s="151"/>
      <c r="L953" s="151"/>
      <c r="M953" s="151"/>
      <c r="N953" s="151"/>
      <c r="O953" s="151"/>
      <c r="P953" s="151"/>
      <c r="Q953" s="151"/>
      <c r="R953" s="151"/>
      <c r="S953" s="151"/>
      <c r="T953" s="151"/>
      <c r="U953" s="151"/>
      <c r="V953" s="151"/>
      <c r="W953" s="151"/>
      <c r="X953" s="151"/>
      <c r="Y953" s="151"/>
      <c r="Z953" s="151"/>
    </row>
    <row r="954" customFormat="false" ht="12.75" hidden="false" customHeight="true" outlineLevel="0" collapsed="false">
      <c r="A954" s="151"/>
      <c r="C954" s="151"/>
      <c r="D954" s="151"/>
      <c r="E954" s="151"/>
      <c r="F954" s="151"/>
      <c r="G954" s="151"/>
      <c r="H954" s="151"/>
      <c r="I954" s="151"/>
      <c r="J954" s="151"/>
      <c r="K954" s="151"/>
      <c r="L954" s="151"/>
      <c r="M954" s="151"/>
      <c r="N954" s="151"/>
      <c r="O954" s="151"/>
      <c r="P954" s="151"/>
      <c r="Q954" s="151"/>
      <c r="R954" s="151"/>
      <c r="S954" s="151"/>
      <c r="T954" s="151"/>
      <c r="U954" s="151"/>
      <c r="V954" s="151"/>
      <c r="W954" s="151"/>
      <c r="X954" s="151"/>
      <c r="Y954" s="151"/>
      <c r="Z954" s="151"/>
    </row>
    <row r="955" customFormat="false" ht="12.75" hidden="false" customHeight="true" outlineLevel="0" collapsed="false">
      <c r="A955" s="151"/>
      <c r="C955" s="151"/>
      <c r="D955" s="151"/>
      <c r="E955" s="151"/>
      <c r="F955" s="151"/>
      <c r="G955" s="151"/>
      <c r="H955" s="151"/>
      <c r="I955" s="151"/>
      <c r="J955" s="151"/>
      <c r="K955" s="151"/>
      <c r="L955" s="151"/>
      <c r="M955" s="151"/>
      <c r="N955" s="151"/>
      <c r="O955" s="151"/>
      <c r="P955" s="151"/>
      <c r="Q955" s="151"/>
      <c r="R955" s="151"/>
      <c r="S955" s="151"/>
      <c r="T955" s="151"/>
      <c r="U955" s="151"/>
      <c r="V955" s="151"/>
      <c r="W955" s="151"/>
      <c r="X955" s="151"/>
      <c r="Y955" s="151"/>
      <c r="Z955" s="151"/>
    </row>
    <row r="956" customFormat="false" ht="12.75" hidden="false" customHeight="true" outlineLevel="0" collapsed="false">
      <c r="A956" s="151"/>
      <c r="C956" s="151"/>
      <c r="D956" s="151"/>
      <c r="E956" s="151"/>
      <c r="F956" s="151"/>
      <c r="G956" s="151"/>
      <c r="H956" s="151"/>
      <c r="I956" s="151"/>
      <c r="J956" s="151"/>
      <c r="K956" s="151"/>
      <c r="L956" s="151"/>
      <c r="M956" s="151"/>
      <c r="N956" s="151"/>
      <c r="O956" s="151"/>
      <c r="P956" s="151"/>
      <c r="Q956" s="151"/>
      <c r="R956" s="151"/>
      <c r="S956" s="151"/>
      <c r="T956" s="151"/>
      <c r="U956" s="151"/>
      <c r="V956" s="151"/>
      <c r="W956" s="151"/>
      <c r="X956" s="151"/>
      <c r="Y956" s="151"/>
      <c r="Z956" s="151"/>
    </row>
    <row r="957" customFormat="false" ht="12.75" hidden="false" customHeight="true" outlineLevel="0" collapsed="false">
      <c r="A957" s="151"/>
      <c r="C957" s="151"/>
      <c r="D957" s="151"/>
      <c r="E957" s="151"/>
      <c r="F957" s="151"/>
      <c r="G957" s="151"/>
      <c r="H957" s="151"/>
      <c r="I957" s="151"/>
      <c r="J957" s="151"/>
      <c r="K957" s="151"/>
      <c r="L957" s="151"/>
      <c r="M957" s="151"/>
      <c r="N957" s="151"/>
      <c r="O957" s="151"/>
      <c r="P957" s="151"/>
      <c r="Q957" s="151"/>
      <c r="R957" s="151"/>
      <c r="S957" s="151"/>
      <c r="T957" s="151"/>
      <c r="U957" s="151"/>
      <c r="V957" s="151"/>
      <c r="W957" s="151"/>
      <c r="X957" s="151"/>
      <c r="Y957" s="151"/>
      <c r="Z957" s="151"/>
    </row>
    <row r="958" customFormat="false" ht="12.75" hidden="false" customHeight="true" outlineLevel="0" collapsed="false">
      <c r="A958" s="151"/>
      <c r="C958" s="151"/>
      <c r="D958" s="151"/>
      <c r="E958" s="151"/>
      <c r="F958" s="151"/>
      <c r="G958" s="151"/>
      <c r="H958" s="151"/>
      <c r="I958" s="151"/>
      <c r="J958" s="151"/>
      <c r="K958" s="151"/>
      <c r="L958" s="151"/>
      <c r="M958" s="151"/>
      <c r="N958" s="151"/>
      <c r="O958" s="151"/>
      <c r="P958" s="151"/>
      <c r="Q958" s="151"/>
      <c r="R958" s="151"/>
      <c r="S958" s="151"/>
      <c r="T958" s="151"/>
      <c r="U958" s="151"/>
      <c r="V958" s="151"/>
      <c r="W958" s="151"/>
      <c r="X958" s="151"/>
      <c r="Y958" s="151"/>
      <c r="Z958" s="151"/>
    </row>
    <row r="959" customFormat="false" ht="12.75" hidden="false" customHeight="true" outlineLevel="0" collapsed="false">
      <c r="A959" s="151"/>
      <c r="C959" s="151"/>
      <c r="D959" s="151"/>
      <c r="E959" s="151"/>
      <c r="F959" s="151"/>
      <c r="G959" s="151"/>
      <c r="H959" s="151"/>
      <c r="I959" s="151"/>
      <c r="J959" s="151"/>
      <c r="K959" s="151"/>
      <c r="L959" s="151"/>
      <c r="M959" s="151"/>
      <c r="N959" s="151"/>
      <c r="O959" s="151"/>
      <c r="P959" s="151"/>
      <c r="Q959" s="151"/>
      <c r="R959" s="151"/>
      <c r="S959" s="151"/>
      <c r="T959" s="151"/>
      <c r="U959" s="151"/>
      <c r="V959" s="151"/>
      <c r="W959" s="151"/>
      <c r="X959" s="151"/>
      <c r="Y959" s="151"/>
      <c r="Z959" s="151"/>
    </row>
    <row r="960" customFormat="false" ht="12.75" hidden="false" customHeight="true" outlineLevel="0" collapsed="false">
      <c r="A960" s="151"/>
      <c r="C960" s="151"/>
      <c r="D960" s="151"/>
      <c r="E960" s="151"/>
      <c r="F960" s="151"/>
      <c r="G960" s="151"/>
      <c r="H960" s="151"/>
      <c r="I960" s="151"/>
      <c r="J960" s="151"/>
      <c r="K960" s="151"/>
      <c r="L960" s="151"/>
      <c r="M960" s="151"/>
      <c r="N960" s="151"/>
      <c r="O960" s="151"/>
      <c r="P960" s="151"/>
      <c r="Q960" s="151"/>
      <c r="R960" s="151"/>
      <c r="S960" s="151"/>
      <c r="T960" s="151"/>
      <c r="U960" s="151"/>
      <c r="V960" s="151"/>
      <c r="W960" s="151"/>
      <c r="X960" s="151"/>
      <c r="Y960" s="151"/>
      <c r="Z960" s="151"/>
    </row>
    <row r="961" customFormat="false" ht="12.75" hidden="false" customHeight="true" outlineLevel="0" collapsed="false">
      <c r="A961" s="151"/>
      <c r="C961" s="151"/>
      <c r="D961" s="151"/>
      <c r="E961" s="151"/>
      <c r="F961" s="151"/>
      <c r="G961" s="151"/>
      <c r="H961" s="151"/>
      <c r="I961" s="151"/>
      <c r="J961" s="151"/>
      <c r="K961" s="151"/>
      <c r="L961" s="151"/>
      <c r="M961" s="151"/>
      <c r="N961" s="151"/>
      <c r="O961" s="151"/>
      <c r="P961" s="151"/>
      <c r="Q961" s="151"/>
      <c r="R961" s="151"/>
      <c r="S961" s="151"/>
      <c r="T961" s="151"/>
      <c r="U961" s="151"/>
      <c r="V961" s="151"/>
      <c r="W961" s="151"/>
      <c r="X961" s="151"/>
      <c r="Y961" s="151"/>
      <c r="Z961" s="151"/>
    </row>
    <row r="962" customFormat="false" ht="12.75" hidden="false" customHeight="true" outlineLevel="0" collapsed="false">
      <c r="A962" s="151"/>
      <c r="C962" s="151"/>
      <c r="D962" s="151"/>
      <c r="E962" s="151"/>
      <c r="F962" s="151"/>
      <c r="G962" s="151"/>
      <c r="H962" s="151"/>
      <c r="I962" s="151"/>
      <c r="J962" s="151"/>
      <c r="K962" s="151"/>
      <c r="L962" s="151"/>
      <c r="M962" s="151"/>
      <c r="N962" s="151"/>
      <c r="O962" s="151"/>
      <c r="P962" s="151"/>
      <c r="Q962" s="151"/>
      <c r="R962" s="151"/>
      <c r="S962" s="151"/>
      <c r="T962" s="151"/>
      <c r="U962" s="151"/>
      <c r="V962" s="151"/>
      <c r="W962" s="151"/>
      <c r="X962" s="151"/>
      <c r="Y962" s="151"/>
      <c r="Z962" s="151"/>
    </row>
    <row r="963" customFormat="false" ht="12.75" hidden="false" customHeight="true" outlineLevel="0" collapsed="false">
      <c r="A963" s="151"/>
      <c r="C963" s="151"/>
      <c r="D963" s="151"/>
      <c r="E963" s="151"/>
      <c r="F963" s="151"/>
      <c r="G963" s="151"/>
      <c r="H963" s="151"/>
      <c r="I963" s="151"/>
      <c r="J963" s="151"/>
      <c r="K963" s="151"/>
      <c r="L963" s="151"/>
      <c r="M963" s="151"/>
      <c r="N963" s="151"/>
      <c r="O963" s="151"/>
      <c r="P963" s="151"/>
      <c r="Q963" s="151"/>
      <c r="R963" s="151"/>
      <c r="S963" s="151"/>
      <c r="T963" s="151"/>
      <c r="U963" s="151"/>
      <c r="V963" s="151"/>
      <c r="W963" s="151"/>
      <c r="X963" s="151"/>
      <c r="Y963" s="151"/>
      <c r="Z963" s="151"/>
    </row>
    <row r="964" customFormat="false" ht="12.75" hidden="false" customHeight="true" outlineLevel="0" collapsed="false">
      <c r="A964" s="151"/>
      <c r="C964" s="151"/>
      <c r="D964" s="151"/>
      <c r="E964" s="151"/>
      <c r="F964" s="151"/>
      <c r="G964" s="151"/>
      <c r="H964" s="151"/>
      <c r="I964" s="151"/>
      <c r="J964" s="151"/>
      <c r="K964" s="151"/>
      <c r="L964" s="151"/>
      <c r="M964" s="151"/>
      <c r="N964" s="151"/>
      <c r="O964" s="151"/>
      <c r="P964" s="151"/>
      <c r="Q964" s="151"/>
      <c r="R964" s="151"/>
      <c r="S964" s="151"/>
      <c r="T964" s="151"/>
      <c r="U964" s="151"/>
      <c r="V964" s="151"/>
      <c r="W964" s="151"/>
      <c r="X964" s="151"/>
      <c r="Y964" s="151"/>
      <c r="Z964" s="151"/>
    </row>
    <row r="965" customFormat="false" ht="12.75" hidden="false" customHeight="true" outlineLevel="0" collapsed="false">
      <c r="A965" s="151"/>
      <c r="C965" s="151"/>
      <c r="D965" s="151"/>
      <c r="E965" s="151"/>
      <c r="F965" s="151"/>
      <c r="G965" s="151"/>
      <c r="H965" s="151"/>
      <c r="I965" s="151"/>
      <c r="J965" s="151"/>
      <c r="K965" s="151"/>
      <c r="L965" s="151"/>
      <c r="M965" s="151"/>
      <c r="N965" s="151"/>
      <c r="O965" s="151"/>
      <c r="P965" s="151"/>
      <c r="Q965" s="151"/>
      <c r="R965" s="151"/>
      <c r="S965" s="151"/>
      <c r="T965" s="151"/>
      <c r="U965" s="151"/>
      <c r="V965" s="151"/>
      <c r="W965" s="151"/>
      <c r="X965" s="151"/>
      <c r="Y965" s="151"/>
      <c r="Z965" s="151"/>
    </row>
    <row r="966" customFormat="false" ht="12.75" hidden="false" customHeight="true" outlineLevel="0" collapsed="false">
      <c r="A966" s="151"/>
      <c r="C966" s="151"/>
      <c r="D966" s="151"/>
      <c r="E966" s="151"/>
      <c r="F966" s="151"/>
      <c r="G966" s="151"/>
      <c r="H966" s="151"/>
      <c r="I966" s="151"/>
      <c r="J966" s="151"/>
      <c r="K966" s="151"/>
      <c r="L966" s="151"/>
      <c r="M966" s="151"/>
      <c r="N966" s="151"/>
      <c r="O966" s="151"/>
      <c r="P966" s="151"/>
      <c r="Q966" s="151"/>
      <c r="R966" s="151"/>
      <c r="S966" s="151"/>
      <c r="T966" s="151"/>
      <c r="U966" s="151"/>
      <c r="V966" s="151"/>
      <c r="W966" s="151"/>
      <c r="X966" s="151"/>
      <c r="Y966" s="151"/>
      <c r="Z966" s="151"/>
    </row>
    <row r="967" customFormat="false" ht="12.75" hidden="false" customHeight="true" outlineLevel="0" collapsed="false">
      <c r="A967" s="151"/>
      <c r="C967" s="151"/>
      <c r="D967" s="151"/>
      <c r="E967" s="151"/>
      <c r="F967" s="151"/>
      <c r="G967" s="151"/>
      <c r="H967" s="151"/>
      <c r="I967" s="151"/>
      <c r="J967" s="151"/>
      <c r="K967" s="151"/>
      <c r="L967" s="151"/>
      <c r="M967" s="151"/>
      <c r="N967" s="151"/>
      <c r="O967" s="151"/>
      <c r="P967" s="151"/>
      <c r="Q967" s="151"/>
      <c r="R967" s="151"/>
      <c r="S967" s="151"/>
      <c r="T967" s="151"/>
      <c r="U967" s="151"/>
      <c r="V967" s="151"/>
      <c r="W967" s="151"/>
      <c r="X967" s="151"/>
      <c r="Y967" s="151"/>
      <c r="Z967" s="151"/>
    </row>
    <row r="968" customFormat="false" ht="12.75" hidden="false" customHeight="true" outlineLevel="0" collapsed="false">
      <c r="A968" s="151"/>
      <c r="C968" s="151"/>
      <c r="D968" s="151"/>
      <c r="E968" s="151"/>
      <c r="F968" s="151"/>
      <c r="G968" s="151"/>
      <c r="H968" s="151"/>
      <c r="I968" s="151"/>
      <c r="J968" s="151"/>
      <c r="K968" s="151"/>
      <c r="L968" s="151"/>
      <c r="M968" s="151"/>
      <c r="N968" s="151"/>
      <c r="O968" s="151"/>
      <c r="P968" s="151"/>
      <c r="Q968" s="151"/>
      <c r="R968" s="151"/>
      <c r="S968" s="151"/>
      <c r="T968" s="151"/>
      <c r="U968" s="151"/>
      <c r="V968" s="151"/>
      <c r="W968" s="151"/>
      <c r="X968" s="151"/>
      <c r="Y968" s="151"/>
      <c r="Z968" s="151"/>
    </row>
    <row r="969" customFormat="false" ht="12.75" hidden="false" customHeight="true" outlineLevel="0" collapsed="false">
      <c r="A969" s="151"/>
      <c r="C969" s="151"/>
      <c r="D969" s="151"/>
      <c r="E969" s="151"/>
      <c r="F969" s="151"/>
      <c r="G969" s="151"/>
      <c r="H969" s="151"/>
      <c r="I969" s="151"/>
      <c r="J969" s="151"/>
      <c r="K969" s="151"/>
      <c r="L969" s="151"/>
      <c r="M969" s="151"/>
      <c r="N969" s="151"/>
      <c r="O969" s="151"/>
      <c r="P969" s="151"/>
      <c r="Q969" s="151"/>
      <c r="R969" s="151"/>
      <c r="S969" s="151"/>
      <c r="T969" s="151"/>
      <c r="U969" s="151"/>
      <c r="V969" s="151"/>
      <c r="W969" s="151"/>
      <c r="X969" s="151"/>
      <c r="Y969" s="151"/>
      <c r="Z969" s="151"/>
    </row>
    <row r="970" customFormat="false" ht="12.75" hidden="false" customHeight="true" outlineLevel="0" collapsed="false">
      <c r="A970" s="151"/>
      <c r="C970" s="151"/>
      <c r="D970" s="151"/>
      <c r="E970" s="151"/>
      <c r="F970" s="151"/>
      <c r="G970" s="151"/>
      <c r="H970" s="151"/>
      <c r="I970" s="151"/>
      <c r="J970" s="151"/>
      <c r="K970" s="151"/>
      <c r="L970" s="151"/>
      <c r="M970" s="151"/>
      <c r="N970" s="151"/>
      <c r="O970" s="151"/>
      <c r="P970" s="151"/>
      <c r="Q970" s="151"/>
      <c r="R970" s="151"/>
      <c r="S970" s="151"/>
      <c r="T970" s="151"/>
      <c r="U970" s="151"/>
      <c r="V970" s="151"/>
      <c r="W970" s="151"/>
      <c r="X970" s="151"/>
      <c r="Y970" s="151"/>
      <c r="Z970" s="151"/>
    </row>
    <row r="971" customFormat="false" ht="12.75" hidden="false" customHeight="true" outlineLevel="0" collapsed="false">
      <c r="A971" s="151"/>
      <c r="C971" s="151"/>
      <c r="D971" s="151"/>
      <c r="E971" s="151"/>
      <c r="F971" s="151"/>
      <c r="G971" s="151"/>
      <c r="H971" s="151"/>
      <c r="I971" s="151"/>
      <c r="J971" s="151"/>
      <c r="K971" s="151"/>
      <c r="L971" s="151"/>
      <c r="M971" s="151"/>
      <c r="N971" s="151"/>
      <c r="O971" s="151"/>
      <c r="P971" s="151"/>
      <c r="Q971" s="151"/>
      <c r="R971" s="151"/>
      <c r="S971" s="151"/>
      <c r="T971" s="151"/>
      <c r="U971" s="151"/>
      <c r="V971" s="151"/>
      <c r="W971" s="151"/>
      <c r="X971" s="151"/>
      <c r="Y971" s="151"/>
      <c r="Z971" s="151"/>
    </row>
    <row r="972" customFormat="false" ht="12.75" hidden="false" customHeight="true" outlineLevel="0" collapsed="false">
      <c r="A972" s="151"/>
      <c r="C972" s="151"/>
      <c r="D972" s="151"/>
      <c r="E972" s="151"/>
      <c r="F972" s="151"/>
      <c r="G972" s="151"/>
      <c r="H972" s="151"/>
      <c r="I972" s="151"/>
      <c r="J972" s="151"/>
      <c r="K972" s="151"/>
      <c r="L972" s="151"/>
      <c r="M972" s="151"/>
      <c r="N972" s="151"/>
      <c r="O972" s="151"/>
      <c r="P972" s="151"/>
      <c r="Q972" s="151"/>
      <c r="R972" s="151"/>
      <c r="S972" s="151"/>
      <c r="T972" s="151"/>
      <c r="U972" s="151"/>
      <c r="V972" s="151"/>
      <c r="W972" s="151"/>
      <c r="X972" s="151"/>
      <c r="Y972" s="151"/>
      <c r="Z972" s="151"/>
    </row>
    <row r="973" customFormat="false" ht="12.75" hidden="false" customHeight="true" outlineLevel="0" collapsed="false">
      <c r="A973" s="151"/>
      <c r="C973" s="151"/>
      <c r="D973" s="151"/>
      <c r="E973" s="151"/>
      <c r="F973" s="151"/>
      <c r="G973" s="151"/>
      <c r="H973" s="151"/>
      <c r="I973" s="151"/>
      <c r="J973" s="151"/>
      <c r="K973" s="151"/>
      <c r="L973" s="151"/>
      <c r="M973" s="151"/>
      <c r="N973" s="151"/>
      <c r="O973" s="151"/>
      <c r="P973" s="151"/>
      <c r="Q973" s="151"/>
      <c r="R973" s="151"/>
      <c r="S973" s="151"/>
      <c r="T973" s="151"/>
      <c r="U973" s="151"/>
      <c r="V973" s="151"/>
      <c r="W973" s="151"/>
      <c r="X973" s="151"/>
      <c r="Y973" s="151"/>
      <c r="Z973" s="151"/>
    </row>
    <row r="974" customFormat="false" ht="12.75" hidden="false" customHeight="true" outlineLevel="0" collapsed="false">
      <c r="A974" s="151"/>
      <c r="C974" s="151"/>
      <c r="D974" s="151"/>
      <c r="E974" s="151"/>
      <c r="F974" s="151"/>
      <c r="G974" s="151"/>
      <c r="H974" s="151"/>
      <c r="I974" s="151"/>
      <c r="J974" s="151"/>
      <c r="K974" s="151"/>
      <c r="L974" s="151"/>
      <c r="M974" s="151"/>
      <c r="N974" s="151"/>
      <c r="O974" s="151"/>
      <c r="P974" s="151"/>
      <c r="Q974" s="151"/>
      <c r="R974" s="151"/>
      <c r="S974" s="151"/>
      <c r="T974" s="151"/>
      <c r="U974" s="151"/>
      <c r="V974" s="151"/>
      <c r="W974" s="151"/>
      <c r="X974" s="151"/>
      <c r="Y974" s="151"/>
      <c r="Z974" s="151"/>
    </row>
    <row r="975" customFormat="false" ht="12.75" hidden="false" customHeight="true" outlineLevel="0" collapsed="false">
      <c r="A975" s="151"/>
      <c r="C975" s="151"/>
      <c r="D975" s="151"/>
      <c r="E975" s="151"/>
      <c r="F975" s="151"/>
      <c r="G975" s="151"/>
      <c r="H975" s="151"/>
      <c r="I975" s="151"/>
      <c r="J975" s="151"/>
      <c r="K975" s="151"/>
      <c r="L975" s="151"/>
      <c r="M975" s="151"/>
      <c r="N975" s="151"/>
      <c r="O975" s="151"/>
      <c r="P975" s="151"/>
      <c r="Q975" s="151"/>
      <c r="R975" s="151"/>
      <c r="S975" s="151"/>
      <c r="T975" s="151"/>
      <c r="U975" s="151"/>
      <c r="V975" s="151"/>
      <c r="W975" s="151"/>
      <c r="X975" s="151"/>
      <c r="Y975" s="151"/>
      <c r="Z975" s="151"/>
    </row>
    <row r="976" customFormat="false" ht="12.75" hidden="false" customHeight="true" outlineLevel="0" collapsed="false">
      <c r="A976" s="151"/>
      <c r="C976" s="151"/>
      <c r="D976" s="151"/>
      <c r="E976" s="151"/>
      <c r="F976" s="151"/>
      <c r="G976" s="151"/>
      <c r="H976" s="151"/>
      <c r="I976" s="151"/>
      <c r="J976" s="151"/>
      <c r="K976" s="151"/>
      <c r="L976" s="151"/>
      <c r="M976" s="151"/>
      <c r="N976" s="151"/>
      <c r="O976" s="151"/>
      <c r="P976" s="151"/>
      <c r="Q976" s="151"/>
      <c r="R976" s="151"/>
      <c r="S976" s="151"/>
      <c r="T976" s="151"/>
      <c r="U976" s="151"/>
      <c r="V976" s="151"/>
      <c r="W976" s="151"/>
      <c r="X976" s="151"/>
      <c r="Y976" s="151"/>
      <c r="Z976" s="151"/>
    </row>
    <row r="977" customFormat="false" ht="12.75" hidden="false" customHeight="true" outlineLevel="0" collapsed="false">
      <c r="A977" s="151"/>
      <c r="C977" s="151"/>
      <c r="D977" s="151"/>
      <c r="E977" s="151"/>
      <c r="F977" s="151"/>
      <c r="G977" s="151"/>
      <c r="H977" s="151"/>
      <c r="I977" s="151"/>
      <c r="J977" s="151"/>
      <c r="K977" s="151"/>
      <c r="L977" s="151"/>
      <c r="M977" s="151"/>
      <c r="N977" s="151"/>
      <c r="O977" s="151"/>
      <c r="P977" s="151"/>
      <c r="Q977" s="151"/>
      <c r="R977" s="151"/>
      <c r="S977" s="151"/>
      <c r="T977" s="151"/>
      <c r="U977" s="151"/>
      <c r="V977" s="151"/>
      <c r="W977" s="151"/>
      <c r="X977" s="151"/>
      <c r="Y977" s="151"/>
      <c r="Z977" s="151"/>
    </row>
    <row r="978" customFormat="false" ht="12.75" hidden="false" customHeight="true" outlineLevel="0" collapsed="false">
      <c r="A978" s="151"/>
      <c r="C978" s="151"/>
      <c r="D978" s="151"/>
      <c r="E978" s="151"/>
      <c r="F978" s="151"/>
      <c r="G978" s="151"/>
      <c r="H978" s="151"/>
      <c r="I978" s="151"/>
      <c r="J978" s="151"/>
      <c r="K978" s="151"/>
      <c r="L978" s="151"/>
      <c r="M978" s="151"/>
      <c r="N978" s="151"/>
      <c r="O978" s="151"/>
      <c r="P978" s="151"/>
      <c r="Q978" s="151"/>
      <c r="R978" s="151"/>
      <c r="S978" s="151"/>
      <c r="T978" s="151"/>
      <c r="U978" s="151"/>
      <c r="V978" s="151"/>
      <c r="W978" s="151"/>
      <c r="X978" s="151"/>
      <c r="Y978" s="151"/>
      <c r="Z978" s="151"/>
    </row>
    <row r="979" customFormat="false" ht="12.75" hidden="false" customHeight="true" outlineLevel="0" collapsed="false">
      <c r="A979" s="151"/>
      <c r="C979" s="151"/>
      <c r="D979" s="151"/>
      <c r="E979" s="151"/>
      <c r="F979" s="151"/>
      <c r="G979" s="151"/>
      <c r="H979" s="151"/>
      <c r="I979" s="151"/>
      <c r="J979" s="151"/>
      <c r="K979" s="151"/>
      <c r="L979" s="151"/>
      <c r="M979" s="151"/>
      <c r="N979" s="151"/>
      <c r="O979" s="151"/>
      <c r="P979" s="151"/>
      <c r="Q979" s="151"/>
      <c r="R979" s="151"/>
      <c r="S979" s="151"/>
      <c r="T979" s="151"/>
      <c r="U979" s="151"/>
      <c r="V979" s="151"/>
      <c r="W979" s="151"/>
      <c r="X979" s="151"/>
      <c r="Y979" s="151"/>
      <c r="Z979" s="151"/>
    </row>
    <row r="980" customFormat="false" ht="12.75" hidden="false" customHeight="true" outlineLevel="0" collapsed="false">
      <c r="A980" s="151"/>
      <c r="C980" s="151"/>
      <c r="D980" s="151"/>
      <c r="E980" s="151"/>
      <c r="F980" s="151"/>
      <c r="G980" s="151"/>
      <c r="H980" s="151"/>
      <c r="I980" s="151"/>
      <c r="J980" s="151"/>
      <c r="K980" s="151"/>
      <c r="L980" s="151"/>
      <c r="M980" s="151"/>
      <c r="N980" s="151"/>
      <c r="O980" s="151"/>
      <c r="P980" s="151"/>
      <c r="Q980" s="151"/>
      <c r="R980" s="151"/>
      <c r="S980" s="151"/>
      <c r="T980" s="151"/>
      <c r="U980" s="151"/>
      <c r="V980" s="151"/>
      <c r="W980" s="151"/>
      <c r="X980" s="151"/>
      <c r="Y980" s="151"/>
      <c r="Z980" s="151"/>
    </row>
    <row r="981" customFormat="false" ht="12.75" hidden="false" customHeight="true" outlineLevel="0" collapsed="false">
      <c r="A981" s="151"/>
      <c r="C981" s="151"/>
      <c r="D981" s="151"/>
      <c r="E981" s="151"/>
      <c r="F981" s="151"/>
      <c r="G981" s="151"/>
      <c r="H981" s="151"/>
      <c r="I981" s="151"/>
      <c r="J981" s="151"/>
      <c r="K981" s="151"/>
      <c r="L981" s="151"/>
      <c r="M981" s="151"/>
      <c r="N981" s="151"/>
      <c r="O981" s="151"/>
      <c r="P981" s="151"/>
      <c r="Q981" s="151"/>
      <c r="R981" s="151"/>
      <c r="S981" s="151"/>
      <c r="T981" s="151"/>
      <c r="U981" s="151"/>
      <c r="V981" s="151"/>
      <c r="W981" s="151"/>
      <c r="X981" s="151"/>
      <c r="Y981" s="151"/>
      <c r="Z981" s="151"/>
    </row>
    <row r="982" customFormat="false" ht="12.75" hidden="false" customHeight="true" outlineLevel="0" collapsed="false">
      <c r="A982" s="151"/>
      <c r="C982" s="151"/>
      <c r="D982" s="151"/>
      <c r="E982" s="151"/>
      <c r="F982" s="151"/>
      <c r="G982" s="151"/>
      <c r="H982" s="151"/>
      <c r="I982" s="151"/>
      <c r="J982" s="151"/>
      <c r="K982" s="151"/>
      <c r="L982" s="151"/>
      <c r="M982" s="151"/>
      <c r="N982" s="151"/>
      <c r="O982" s="151"/>
      <c r="P982" s="151"/>
      <c r="Q982" s="151"/>
      <c r="R982" s="151"/>
      <c r="S982" s="151"/>
      <c r="T982" s="151"/>
      <c r="U982" s="151"/>
      <c r="V982" s="151"/>
      <c r="W982" s="151"/>
      <c r="X982" s="151"/>
      <c r="Y982" s="151"/>
      <c r="Z982" s="151"/>
    </row>
    <row r="983" customFormat="false" ht="12.75" hidden="false" customHeight="true" outlineLevel="0" collapsed="false">
      <c r="A983" s="151"/>
      <c r="C983" s="151"/>
      <c r="D983" s="151"/>
      <c r="E983" s="151"/>
      <c r="F983" s="151"/>
      <c r="G983" s="151"/>
      <c r="H983" s="151"/>
      <c r="I983" s="151"/>
      <c r="J983" s="151"/>
      <c r="K983" s="151"/>
      <c r="L983" s="151"/>
      <c r="M983" s="151"/>
      <c r="N983" s="151"/>
      <c r="O983" s="151"/>
      <c r="P983" s="151"/>
      <c r="Q983" s="151"/>
      <c r="R983" s="151"/>
      <c r="S983" s="151"/>
      <c r="T983" s="151"/>
      <c r="U983" s="151"/>
      <c r="V983" s="151"/>
      <c r="W983" s="151"/>
      <c r="X983" s="151"/>
      <c r="Y983" s="151"/>
      <c r="Z983" s="151"/>
    </row>
    <row r="984" customFormat="false" ht="12.75" hidden="false" customHeight="true" outlineLevel="0" collapsed="false">
      <c r="A984" s="151"/>
      <c r="C984" s="151"/>
      <c r="D984" s="151"/>
      <c r="E984" s="151"/>
      <c r="F984" s="151"/>
      <c r="G984" s="151"/>
      <c r="H984" s="151"/>
      <c r="I984" s="151"/>
      <c r="J984" s="151"/>
      <c r="K984" s="151"/>
      <c r="L984" s="151"/>
      <c r="M984" s="151"/>
      <c r="N984" s="151"/>
      <c r="O984" s="151"/>
      <c r="P984" s="151"/>
      <c r="Q984" s="151"/>
      <c r="R984" s="151"/>
      <c r="S984" s="151"/>
      <c r="T984" s="151"/>
      <c r="U984" s="151"/>
      <c r="V984" s="151"/>
      <c r="W984" s="151"/>
      <c r="X984" s="151"/>
      <c r="Y984" s="151"/>
      <c r="Z984" s="151"/>
    </row>
    <row r="985" customFormat="false" ht="12.75" hidden="false" customHeight="true" outlineLevel="0" collapsed="false">
      <c r="A985" s="151"/>
      <c r="C985" s="151"/>
      <c r="D985" s="151"/>
      <c r="E985" s="151"/>
      <c r="F985" s="151"/>
      <c r="G985" s="151"/>
      <c r="H985" s="151"/>
      <c r="I985" s="151"/>
      <c r="J985" s="151"/>
      <c r="K985" s="151"/>
      <c r="L985" s="151"/>
      <c r="M985" s="151"/>
      <c r="N985" s="151"/>
      <c r="O985" s="151"/>
      <c r="P985" s="151"/>
      <c r="Q985" s="151"/>
      <c r="R985" s="151"/>
      <c r="S985" s="151"/>
      <c r="T985" s="151"/>
      <c r="U985" s="151"/>
      <c r="V985" s="151"/>
      <c r="W985" s="151"/>
      <c r="X985" s="151"/>
      <c r="Y985" s="151"/>
      <c r="Z985" s="151"/>
    </row>
    <row r="986" customFormat="false" ht="12.75" hidden="false" customHeight="true" outlineLevel="0" collapsed="false">
      <c r="A986" s="151"/>
      <c r="C986" s="151"/>
      <c r="D986" s="151"/>
      <c r="E986" s="151"/>
      <c r="F986" s="151"/>
      <c r="G986" s="151"/>
      <c r="H986" s="151"/>
      <c r="I986" s="151"/>
      <c r="J986" s="151"/>
      <c r="K986" s="151"/>
      <c r="L986" s="151"/>
      <c r="M986" s="151"/>
      <c r="N986" s="151"/>
      <c r="O986" s="151"/>
      <c r="P986" s="151"/>
      <c r="Q986" s="151"/>
      <c r="R986" s="151"/>
      <c r="S986" s="151"/>
      <c r="T986" s="151"/>
      <c r="U986" s="151"/>
      <c r="V986" s="151"/>
      <c r="W986" s="151"/>
      <c r="X986" s="151"/>
      <c r="Y986" s="151"/>
      <c r="Z986" s="151"/>
    </row>
    <row r="987" customFormat="false" ht="12.75" hidden="false" customHeight="true" outlineLevel="0" collapsed="false">
      <c r="A987" s="151"/>
      <c r="C987" s="151"/>
      <c r="D987" s="151"/>
      <c r="E987" s="151"/>
      <c r="F987" s="151"/>
      <c r="G987" s="151"/>
      <c r="H987" s="151"/>
      <c r="I987" s="151"/>
      <c r="J987" s="151"/>
      <c r="K987" s="151"/>
      <c r="L987" s="151"/>
      <c r="M987" s="151"/>
      <c r="N987" s="151"/>
      <c r="O987" s="151"/>
      <c r="P987" s="151"/>
      <c r="Q987" s="151"/>
      <c r="R987" s="151"/>
      <c r="S987" s="151"/>
      <c r="T987" s="151"/>
      <c r="U987" s="151"/>
      <c r="V987" s="151"/>
      <c r="W987" s="151"/>
      <c r="X987" s="151"/>
      <c r="Y987" s="151"/>
      <c r="Z987" s="151"/>
    </row>
    <row r="988" customFormat="false" ht="12.75" hidden="false" customHeight="true" outlineLevel="0" collapsed="false">
      <c r="A988" s="151"/>
      <c r="C988" s="151"/>
      <c r="D988" s="151"/>
      <c r="E988" s="151"/>
      <c r="F988" s="151"/>
      <c r="G988" s="151"/>
      <c r="H988" s="151"/>
      <c r="I988" s="151"/>
      <c r="J988" s="151"/>
      <c r="K988" s="151"/>
      <c r="L988" s="151"/>
      <c r="M988" s="151"/>
      <c r="N988" s="151"/>
      <c r="O988" s="151"/>
      <c r="P988" s="151"/>
      <c r="Q988" s="151"/>
      <c r="R988" s="151"/>
      <c r="S988" s="151"/>
      <c r="T988" s="151"/>
      <c r="U988" s="151"/>
      <c r="V988" s="151"/>
      <c r="W988" s="151"/>
      <c r="X988" s="151"/>
      <c r="Y988" s="151"/>
      <c r="Z988" s="151"/>
    </row>
    <row r="989" customFormat="false" ht="12.75" hidden="false" customHeight="true" outlineLevel="0" collapsed="false">
      <c r="A989" s="151"/>
      <c r="C989" s="151"/>
      <c r="D989" s="151"/>
      <c r="E989" s="151"/>
      <c r="F989" s="151"/>
      <c r="G989" s="151"/>
      <c r="H989" s="151"/>
      <c r="I989" s="151"/>
      <c r="J989" s="151"/>
      <c r="K989" s="151"/>
      <c r="L989" s="151"/>
      <c r="M989" s="151"/>
      <c r="N989" s="151"/>
      <c r="O989" s="151"/>
      <c r="P989" s="151"/>
      <c r="Q989" s="151"/>
      <c r="R989" s="151"/>
      <c r="S989" s="151"/>
      <c r="T989" s="151"/>
      <c r="U989" s="151"/>
      <c r="V989" s="151"/>
      <c r="W989" s="151"/>
      <c r="X989" s="151"/>
      <c r="Y989" s="151"/>
      <c r="Z989" s="151"/>
    </row>
    <row r="990" customFormat="false" ht="12.75" hidden="false" customHeight="true" outlineLevel="0" collapsed="false">
      <c r="A990" s="151"/>
      <c r="C990" s="151"/>
      <c r="D990" s="151"/>
      <c r="E990" s="151"/>
      <c r="F990" s="151"/>
      <c r="G990" s="151"/>
      <c r="H990" s="151"/>
      <c r="I990" s="151"/>
      <c r="J990" s="151"/>
      <c r="K990" s="151"/>
      <c r="L990" s="151"/>
      <c r="M990" s="151"/>
      <c r="N990" s="151"/>
      <c r="O990" s="151"/>
      <c r="P990" s="151"/>
      <c r="Q990" s="151"/>
      <c r="R990" s="151"/>
      <c r="S990" s="151"/>
      <c r="T990" s="151"/>
      <c r="U990" s="151"/>
      <c r="V990" s="151"/>
      <c r="W990" s="151"/>
      <c r="X990" s="151"/>
      <c r="Y990" s="151"/>
      <c r="Z990" s="151"/>
    </row>
    <row r="991" customFormat="false" ht="12.75" hidden="false" customHeight="true" outlineLevel="0" collapsed="false">
      <c r="A991" s="151"/>
      <c r="C991" s="151"/>
      <c r="D991" s="151"/>
      <c r="E991" s="151"/>
      <c r="F991" s="151"/>
      <c r="G991" s="151"/>
      <c r="H991" s="151"/>
      <c r="I991" s="151"/>
      <c r="J991" s="151"/>
      <c r="K991" s="151"/>
      <c r="L991" s="151"/>
      <c r="M991" s="151"/>
      <c r="N991" s="151"/>
      <c r="O991" s="151"/>
      <c r="P991" s="151"/>
      <c r="Q991" s="151"/>
      <c r="R991" s="151"/>
      <c r="S991" s="151"/>
      <c r="T991" s="151"/>
      <c r="U991" s="151"/>
      <c r="V991" s="151"/>
      <c r="W991" s="151"/>
      <c r="X991" s="151"/>
      <c r="Y991" s="151"/>
      <c r="Z991" s="151"/>
    </row>
    <row r="992" customFormat="false" ht="12.75" hidden="false" customHeight="true" outlineLevel="0" collapsed="false">
      <c r="A992" s="151"/>
      <c r="C992" s="151"/>
      <c r="D992" s="151"/>
      <c r="E992" s="151"/>
      <c r="F992" s="151"/>
      <c r="G992" s="151"/>
      <c r="H992" s="151"/>
      <c r="I992" s="151"/>
      <c r="J992" s="151"/>
      <c r="K992" s="151"/>
      <c r="L992" s="151"/>
      <c r="M992" s="151"/>
      <c r="N992" s="151"/>
      <c r="O992" s="151"/>
      <c r="P992" s="151"/>
      <c r="Q992" s="151"/>
      <c r="R992" s="151"/>
      <c r="S992" s="151"/>
      <c r="T992" s="151"/>
      <c r="U992" s="151"/>
      <c r="V992" s="151"/>
      <c r="W992" s="151"/>
      <c r="X992" s="151"/>
      <c r="Y992" s="151"/>
      <c r="Z992" s="151"/>
    </row>
    <row r="993" customFormat="false" ht="12.75" hidden="false" customHeight="true" outlineLevel="0" collapsed="false">
      <c r="A993" s="151"/>
      <c r="C993" s="151"/>
      <c r="D993" s="151"/>
      <c r="E993" s="151"/>
      <c r="F993" s="151"/>
      <c r="G993" s="151"/>
      <c r="H993" s="151"/>
      <c r="I993" s="151"/>
      <c r="J993" s="151"/>
      <c r="K993" s="151"/>
      <c r="L993" s="151"/>
      <c r="M993" s="151"/>
      <c r="N993" s="151"/>
      <c r="O993" s="151"/>
      <c r="P993" s="151"/>
      <c r="Q993" s="151"/>
      <c r="R993" s="151"/>
      <c r="S993" s="151"/>
      <c r="T993" s="151"/>
      <c r="U993" s="151"/>
      <c r="V993" s="151"/>
      <c r="W993" s="151"/>
      <c r="X993" s="151"/>
      <c r="Y993" s="151"/>
      <c r="Z993" s="151"/>
    </row>
    <row r="994" customFormat="false" ht="12.75" hidden="false" customHeight="true" outlineLevel="0" collapsed="false">
      <c r="A994" s="151"/>
      <c r="C994" s="151"/>
      <c r="D994" s="151"/>
      <c r="E994" s="151"/>
      <c r="F994" s="151"/>
      <c r="G994" s="151"/>
      <c r="H994" s="151"/>
      <c r="I994" s="151"/>
      <c r="J994" s="151"/>
      <c r="K994" s="151"/>
      <c r="L994" s="151"/>
      <c r="M994" s="151"/>
      <c r="N994" s="151"/>
      <c r="O994" s="151"/>
      <c r="P994" s="151"/>
      <c r="Q994" s="151"/>
      <c r="R994" s="151"/>
      <c r="S994" s="151"/>
      <c r="T994" s="151"/>
      <c r="U994" s="151"/>
      <c r="V994" s="151"/>
      <c r="W994" s="151"/>
      <c r="X994" s="151"/>
      <c r="Y994" s="151"/>
      <c r="Z994" s="151"/>
    </row>
    <row r="995" customFormat="false" ht="12.75" hidden="false" customHeight="true" outlineLevel="0" collapsed="false">
      <c r="A995" s="151"/>
      <c r="C995" s="151"/>
      <c r="D995" s="151"/>
      <c r="E995" s="151"/>
      <c r="F995" s="151"/>
      <c r="G995" s="151"/>
      <c r="H995" s="151"/>
      <c r="I995" s="151"/>
      <c r="J995" s="151"/>
      <c r="K995" s="151"/>
      <c r="L995" s="151"/>
      <c r="M995" s="151"/>
      <c r="N995" s="151"/>
      <c r="O995" s="151"/>
      <c r="P995" s="151"/>
      <c r="Q995" s="151"/>
      <c r="R995" s="151"/>
      <c r="S995" s="151"/>
      <c r="T995" s="151"/>
      <c r="U995" s="151"/>
      <c r="V995" s="151"/>
      <c r="W995" s="151"/>
      <c r="X995" s="151"/>
      <c r="Y995" s="151"/>
      <c r="Z995" s="151"/>
    </row>
    <row r="996" customFormat="false" ht="12.75" hidden="false" customHeight="true" outlineLevel="0" collapsed="false">
      <c r="A996" s="151"/>
      <c r="C996" s="151"/>
      <c r="D996" s="151"/>
      <c r="E996" s="151"/>
      <c r="F996" s="151"/>
      <c r="G996" s="151"/>
      <c r="H996" s="151"/>
      <c r="I996" s="151"/>
      <c r="J996" s="151"/>
      <c r="K996" s="151"/>
      <c r="L996" s="151"/>
      <c r="M996" s="151"/>
      <c r="N996" s="151"/>
      <c r="O996" s="151"/>
      <c r="P996" s="151"/>
      <c r="Q996" s="151"/>
      <c r="R996" s="151"/>
      <c r="S996" s="151"/>
      <c r="T996" s="151"/>
      <c r="U996" s="151"/>
      <c r="V996" s="151"/>
      <c r="W996" s="151"/>
      <c r="X996" s="151"/>
      <c r="Y996" s="151"/>
      <c r="Z996" s="151"/>
    </row>
    <row r="997" customFormat="false" ht="12.75" hidden="false" customHeight="true" outlineLevel="0" collapsed="false">
      <c r="A997" s="151"/>
      <c r="C997" s="151"/>
      <c r="D997" s="151"/>
      <c r="E997" s="151"/>
      <c r="F997" s="151"/>
      <c r="G997" s="151"/>
      <c r="H997" s="151"/>
      <c r="I997" s="151"/>
      <c r="J997" s="151"/>
      <c r="K997" s="151"/>
      <c r="L997" s="151"/>
      <c r="M997" s="151"/>
      <c r="N997" s="151"/>
      <c r="O997" s="151"/>
      <c r="P997" s="151"/>
      <c r="Q997" s="151"/>
      <c r="R997" s="151"/>
      <c r="S997" s="151"/>
      <c r="T997" s="151"/>
      <c r="U997" s="151"/>
      <c r="V997" s="151"/>
      <c r="W997" s="151"/>
      <c r="X997" s="151"/>
      <c r="Y997" s="151"/>
      <c r="Z997" s="151"/>
    </row>
    <row r="998" customFormat="false" ht="12.75" hidden="false" customHeight="true" outlineLevel="0" collapsed="false">
      <c r="A998" s="151"/>
      <c r="C998" s="151"/>
      <c r="D998" s="151"/>
      <c r="E998" s="151"/>
      <c r="F998" s="151"/>
      <c r="G998" s="151"/>
      <c r="H998" s="151"/>
      <c r="I998" s="151"/>
      <c r="J998" s="151"/>
      <c r="K998" s="151"/>
      <c r="L998" s="151"/>
      <c r="M998" s="151"/>
      <c r="N998" s="151"/>
      <c r="O998" s="151"/>
      <c r="P998" s="151"/>
      <c r="Q998" s="151"/>
      <c r="R998" s="151"/>
      <c r="S998" s="151"/>
      <c r="T998" s="151"/>
      <c r="U998" s="151"/>
      <c r="V998" s="151"/>
      <c r="W998" s="151"/>
      <c r="X998" s="151"/>
      <c r="Y998" s="151"/>
      <c r="Z998" s="151"/>
    </row>
    <row r="999" customFormat="false" ht="12.75" hidden="false" customHeight="true" outlineLevel="0" collapsed="false">
      <c r="A999" s="151"/>
      <c r="C999" s="151"/>
      <c r="D999" s="151"/>
      <c r="E999" s="151"/>
      <c r="F999" s="151"/>
      <c r="G999" s="151"/>
      <c r="H999" s="151"/>
      <c r="I999" s="151"/>
      <c r="J999" s="151"/>
      <c r="K999" s="151"/>
      <c r="L999" s="151"/>
      <c r="M999" s="151"/>
      <c r="N999" s="151"/>
      <c r="O999" s="151"/>
      <c r="P999" s="151"/>
      <c r="Q999" s="151"/>
      <c r="R999" s="151"/>
      <c r="S999" s="151"/>
      <c r="T999" s="151"/>
      <c r="U999" s="151"/>
      <c r="V999" s="151"/>
      <c r="W999" s="151"/>
      <c r="X999" s="151"/>
      <c r="Y999" s="151"/>
      <c r="Z999" s="151"/>
    </row>
    <row r="1000" customFormat="false" ht="12.75" hidden="false" customHeight="true" outlineLevel="0" collapsed="false">
      <c r="A1000" s="151"/>
      <c r="C1000" s="151"/>
      <c r="D1000" s="151"/>
      <c r="E1000" s="151"/>
      <c r="F1000" s="151"/>
      <c r="G1000" s="151"/>
      <c r="H1000" s="151"/>
      <c r="I1000" s="151"/>
      <c r="J1000" s="151"/>
      <c r="K1000" s="151"/>
      <c r="L1000" s="151"/>
      <c r="M1000" s="151"/>
      <c r="N1000" s="151"/>
      <c r="O1000" s="151"/>
      <c r="P1000" s="151"/>
      <c r="Q1000" s="151"/>
      <c r="R1000" s="151"/>
      <c r="S1000" s="151"/>
      <c r="T1000" s="151"/>
      <c r="U1000" s="151"/>
      <c r="V1000" s="151"/>
      <c r="W1000" s="151"/>
      <c r="X1000" s="151"/>
      <c r="Y1000" s="151"/>
      <c r="Z1000" s="151"/>
    </row>
    <row r="1001" customFormat="false" ht="12.75" hidden="false" customHeight="true" outlineLevel="0" collapsed="false">
      <c r="A1001" s="151"/>
      <c r="C1001" s="151"/>
      <c r="D1001" s="151"/>
      <c r="E1001" s="151"/>
      <c r="F1001" s="151"/>
      <c r="G1001" s="151"/>
      <c r="H1001" s="151"/>
      <c r="I1001" s="151"/>
      <c r="J1001" s="151"/>
      <c r="K1001" s="151"/>
      <c r="L1001" s="151"/>
      <c r="M1001" s="151"/>
      <c r="N1001" s="151"/>
      <c r="O1001" s="151"/>
      <c r="P1001" s="151"/>
      <c r="Q1001" s="151"/>
      <c r="R1001" s="151"/>
      <c r="S1001" s="151"/>
      <c r="T1001" s="151"/>
      <c r="U1001" s="151"/>
      <c r="V1001" s="151"/>
      <c r="W1001" s="151"/>
      <c r="X1001" s="151"/>
      <c r="Y1001" s="151"/>
      <c r="Z1001" s="15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W3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2" activeCellId="0" sqref="A2"/>
    </sheetView>
  </sheetViews>
  <sheetFormatPr defaultColWidth="8.66796875" defaultRowHeight="12.75" customHeight="true" zeroHeight="false" outlineLevelRow="0" outlineLevelCol="0"/>
  <cols>
    <col collapsed="false" customWidth="true" hidden="false" outlineLevel="0" max="1" min="1" style="157" width="19.88"/>
    <col collapsed="false" customWidth="true" hidden="false" outlineLevel="0" max="4" min="2" style="157" width="9"/>
    <col collapsed="false" customWidth="true" hidden="false" outlineLevel="0" max="5" min="5" style="157" width="8.44"/>
    <col collapsed="false" customWidth="true" hidden="false" outlineLevel="0" max="6" min="6" style="157" width="8"/>
    <col collapsed="false" customWidth="true" hidden="false" outlineLevel="0" max="7" min="7" style="157" width="10.66"/>
    <col collapsed="false" customWidth="true" hidden="false" outlineLevel="0" max="8" min="8" style="157" width="13.11"/>
    <col collapsed="false" customWidth="true" hidden="false" outlineLevel="0" max="9" min="9" style="157" width="10"/>
    <col collapsed="false" customWidth="true" hidden="false" outlineLevel="0" max="10" min="10" style="157" width="6"/>
    <col collapsed="false" customWidth="true" hidden="false" outlineLevel="0" max="11" min="11" style="157" width="7"/>
    <col collapsed="false" customWidth="true" hidden="false" outlineLevel="0" max="12" min="12" style="157" width="11.44"/>
    <col collapsed="false" customWidth="true" hidden="false" outlineLevel="0" max="15" min="13" style="157" width="9"/>
    <col collapsed="false" customWidth="true" hidden="false" outlineLevel="0" max="17" min="16" style="157" width="10.33"/>
    <col collapsed="false" customWidth="true" hidden="false" outlineLevel="0" max="18" min="18" style="157" width="9"/>
    <col collapsed="false" customWidth="true" hidden="false" outlineLevel="0" max="19" min="19" style="157" width="11.33"/>
    <col collapsed="false" customWidth="true" hidden="false" outlineLevel="0" max="20" min="20" style="157" width="12.44"/>
    <col collapsed="false" customWidth="true" hidden="false" outlineLevel="0" max="21" min="21" style="157" width="11"/>
    <col collapsed="false" customWidth="true" hidden="false" outlineLevel="0" max="22" min="22" style="157" width="11.33"/>
    <col collapsed="false" customWidth="false" hidden="false" outlineLevel="0" max="16384" min="23" style="157" width="8.67"/>
  </cols>
  <sheetData>
    <row r="1" customFormat="false" ht="12.75" hidden="false" customHeight="true" outlineLevel="0" collapsed="false">
      <c r="A1" s="157" t="s">
        <v>633</v>
      </c>
      <c r="B1" s="157" t="s">
        <v>634</v>
      </c>
      <c r="C1" s="157" t="s">
        <v>635</v>
      </c>
      <c r="D1" s="157" t="s">
        <v>636</v>
      </c>
      <c r="E1" s="157" t="s">
        <v>637</v>
      </c>
      <c r="F1" s="157" t="s">
        <v>638</v>
      </c>
      <c r="G1" s="157" t="s">
        <v>639</v>
      </c>
      <c r="H1" s="157" t="s">
        <v>640</v>
      </c>
      <c r="I1" s="157" t="s">
        <v>641</v>
      </c>
      <c r="J1" s="157" t="s">
        <v>642</v>
      </c>
      <c r="K1" s="157" t="s">
        <v>643</v>
      </c>
      <c r="L1" s="157" t="s">
        <v>644</v>
      </c>
      <c r="M1" s="157" t="s">
        <v>645</v>
      </c>
      <c r="N1" s="157" t="s">
        <v>646</v>
      </c>
      <c r="O1" s="157" t="s">
        <v>647</v>
      </c>
      <c r="P1" s="157" t="s">
        <v>648</v>
      </c>
      <c r="Q1" s="157" t="s">
        <v>649</v>
      </c>
      <c r="R1" s="157" t="s">
        <v>650</v>
      </c>
      <c r="S1" s="157" t="s">
        <v>651</v>
      </c>
      <c r="T1" s="157" t="s">
        <v>652</v>
      </c>
      <c r="U1" s="157" t="s">
        <v>653</v>
      </c>
      <c r="V1" s="157" t="s">
        <v>654</v>
      </c>
      <c r="W1" s="158"/>
    </row>
    <row r="2" customFormat="false" ht="12.75" hidden="false" customHeight="true" outlineLevel="0" collapsed="false">
      <c r="A2" s="157" t="s">
        <v>2365</v>
      </c>
      <c r="B2" s="157" t="n">
        <v>67540.1</v>
      </c>
      <c r="C2" s="157" t="n">
        <v>68252.3</v>
      </c>
      <c r="D2" s="157" t="n">
        <v>67510.45</v>
      </c>
      <c r="E2" s="157" t="n">
        <v>-0.636</v>
      </c>
      <c r="F2" s="157" t="n">
        <v>694</v>
      </c>
      <c r="G2" s="157" t="n">
        <v>69179.25</v>
      </c>
      <c r="H2" s="157" t="n">
        <v>65378.6</v>
      </c>
      <c r="I2" s="157" t="n">
        <v>95.73</v>
      </c>
      <c r="J2" s="157" t="n">
        <v>55.57</v>
      </c>
      <c r="K2" s="157" t="n">
        <v>0</v>
      </c>
      <c r="M2" s="157" t="n">
        <v>66741.51</v>
      </c>
      <c r="N2" s="157" t="n">
        <v>67441.22</v>
      </c>
      <c r="O2" s="157" t="n">
        <v>67972.65</v>
      </c>
      <c r="P2" s="157" t="n">
        <v>66741.51</v>
      </c>
      <c r="Q2" s="157" t="n">
        <v>67441.22</v>
      </c>
      <c r="R2" s="157" t="n">
        <v>68049.2</v>
      </c>
      <c r="S2" s="157" t="n">
        <v>13.32</v>
      </c>
      <c r="T2" s="157" t="n">
        <v>0</v>
      </c>
      <c r="U2" s="157" t="n">
        <v>77918</v>
      </c>
      <c r="V2" s="157" t="n">
        <v>56192.45</v>
      </c>
    </row>
    <row r="3" customFormat="false" ht="12.75" hidden="false" customHeight="true" outlineLevel="0" collapsed="false">
      <c r="A3" s="157" t="s">
        <v>2366</v>
      </c>
      <c r="B3" s="157" t="n">
        <v>57629.75</v>
      </c>
      <c r="C3" s="157" t="n">
        <v>57868.65</v>
      </c>
      <c r="D3" s="157" t="n">
        <v>57577.65</v>
      </c>
      <c r="E3" s="157" t="n">
        <v>-0.137</v>
      </c>
      <c r="F3" s="157" t="n">
        <v>629.83</v>
      </c>
      <c r="G3" s="157" t="n">
        <v>59955.5</v>
      </c>
      <c r="H3" s="157" t="n">
        <v>55792.85</v>
      </c>
      <c r="I3" s="157" t="n">
        <v>62.65</v>
      </c>
      <c r="J3" s="157" t="n">
        <v>56.96</v>
      </c>
      <c r="K3" s="157" t="n">
        <v>0</v>
      </c>
      <c r="M3" s="157" t="n">
        <v>56565.81</v>
      </c>
      <c r="N3" s="157" t="n">
        <v>57254.39</v>
      </c>
      <c r="O3" s="157" t="n">
        <v>57708.95</v>
      </c>
      <c r="P3" s="157" t="n">
        <v>56565.81</v>
      </c>
      <c r="Q3" s="157" t="n">
        <v>57254.39</v>
      </c>
      <c r="R3" s="157" t="n">
        <v>57759.1</v>
      </c>
      <c r="S3" s="157" t="n">
        <v>5.41</v>
      </c>
      <c r="T3" s="157" t="n">
        <v>0</v>
      </c>
      <c r="U3" s="157" t="n">
        <v>60925.95</v>
      </c>
      <c r="V3" s="157" t="n">
        <v>46865.7</v>
      </c>
    </row>
    <row r="4" customFormat="false" ht="12.75" hidden="false" customHeight="true" outlineLevel="0" collapsed="false">
      <c r="A4" s="157" t="s">
        <v>2367</v>
      </c>
      <c r="B4" s="157" t="n">
        <v>55737.45</v>
      </c>
      <c r="C4" s="157" t="n">
        <v>56429</v>
      </c>
      <c r="D4" s="157" t="n">
        <v>55694.4</v>
      </c>
      <c r="E4" s="157" t="n">
        <v>-1</v>
      </c>
      <c r="F4" s="157" t="n">
        <v>728.63</v>
      </c>
      <c r="G4" s="157" t="n">
        <v>57032.9</v>
      </c>
      <c r="H4" s="157" t="n">
        <v>54066.05</v>
      </c>
      <c r="I4" s="157" t="n">
        <v>70.41</v>
      </c>
      <c r="J4" s="157" t="n">
        <v>51.68</v>
      </c>
      <c r="K4" s="157" t="n">
        <v>0</v>
      </c>
      <c r="M4" s="157" t="n">
        <v>55047.34</v>
      </c>
      <c r="N4" s="157" t="n">
        <v>56771.9</v>
      </c>
      <c r="O4" s="157" t="n">
        <v>56303.05</v>
      </c>
      <c r="P4" s="157" t="n">
        <v>55047.34</v>
      </c>
      <c r="Q4" s="157" t="n">
        <v>55754.83</v>
      </c>
      <c r="R4" s="157" t="n">
        <v>56303.6</v>
      </c>
      <c r="S4" s="157" t="n">
        <v>16.11</v>
      </c>
      <c r="T4" s="157" t="n">
        <v>0</v>
      </c>
      <c r="U4" s="157" t="n">
        <v>66438.7</v>
      </c>
      <c r="V4" s="157" t="n">
        <v>50199.35</v>
      </c>
    </row>
    <row r="5" customFormat="false" ht="12.75" hidden="false" customHeight="true" outlineLevel="0" collapsed="false">
      <c r="A5" s="157" t="s">
        <v>2368</v>
      </c>
      <c r="B5" s="157" t="n">
        <v>55149.4</v>
      </c>
      <c r="C5" s="157" t="n">
        <v>55745</v>
      </c>
      <c r="D5" s="157" t="n">
        <v>55102.6</v>
      </c>
      <c r="E5" s="157" t="n">
        <v>-1.09</v>
      </c>
      <c r="F5" s="157" t="n">
        <v>488.65</v>
      </c>
      <c r="G5" s="157" t="n">
        <v>57628.4</v>
      </c>
      <c r="H5" s="157" t="n">
        <v>54905.6</v>
      </c>
      <c r="I5" s="157" t="n">
        <v>-66.59</v>
      </c>
      <c r="J5" s="157" t="n">
        <v>36.9</v>
      </c>
      <c r="K5" s="157" t="n">
        <v>0</v>
      </c>
      <c r="M5" s="157" t="n">
        <v>56222.78</v>
      </c>
      <c r="N5" s="157" t="n">
        <v>55918.14</v>
      </c>
      <c r="O5" s="157" t="n">
        <v>55755.45</v>
      </c>
      <c r="P5" s="157" t="n">
        <v>56222.78</v>
      </c>
      <c r="Q5" s="157" t="n">
        <v>55374.2</v>
      </c>
      <c r="R5" s="157" t="n">
        <v>55669.25</v>
      </c>
      <c r="S5" s="157" t="n">
        <v>4.3</v>
      </c>
      <c r="T5" s="157" t="n">
        <v>0</v>
      </c>
      <c r="U5" s="157" t="n">
        <v>57628.4</v>
      </c>
      <c r="V5" s="157" t="n">
        <v>47702.9</v>
      </c>
    </row>
    <row r="6" customFormat="false" ht="12.75" hidden="false" customHeight="true" outlineLevel="0" collapsed="false">
      <c r="A6" s="157" t="s">
        <v>2369</v>
      </c>
      <c r="B6" s="157" t="n">
        <v>38787.95</v>
      </c>
      <c r="C6" s="157" t="n">
        <v>38956.95</v>
      </c>
      <c r="D6" s="157" t="n">
        <v>38703.1</v>
      </c>
      <c r="E6" s="157" t="n">
        <v>0.097</v>
      </c>
      <c r="F6" s="157" t="n">
        <v>495.54</v>
      </c>
      <c r="G6" s="157" t="n">
        <v>39376.6</v>
      </c>
      <c r="H6" s="157" t="n">
        <v>36292.55</v>
      </c>
      <c r="I6" s="157" t="n">
        <v>95.12</v>
      </c>
      <c r="J6" s="157" t="n">
        <v>65.77</v>
      </c>
      <c r="K6" s="157" t="n">
        <v>0</v>
      </c>
      <c r="M6" s="157" t="n">
        <v>37820.59</v>
      </c>
      <c r="N6" s="157" t="n">
        <v>38330.39</v>
      </c>
      <c r="O6" s="157" t="n">
        <v>38750.2</v>
      </c>
      <c r="P6" s="157" t="n">
        <v>37770.59</v>
      </c>
      <c r="Q6" s="157" t="n">
        <v>38330.39</v>
      </c>
      <c r="R6" s="157" t="n">
        <v>38753.4</v>
      </c>
      <c r="S6" s="157" t="n">
        <v>12.69</v>
      </c>
      <c r="T6" s="157" t="n">
        <v>0</v>
      </c>
      <c r="U6" s="157" t="n">
        <v>44426.55</v>
      </c>
      <c r="V6" s="157" t="n">
        <v>32205.3</v>
      </c>
    </row>
    <row r="7" customFormat="false" ht="12.75" hidden="false" customHeight="true" outlineLevel="0" collapsed="false">
      <c r="A7" s="157" t="s">
        <v>2370</v>
      </c>
      <c r="B7" s="157" t="n">
        <v>35440.85</v>
      </c>
      <c r="C7" s="157" t="n">
        <v>35767.15</v>
      </c>
      <c r="D7" s="157" t="n">
        <v>35415.4</v>
      </c>
      <c r="E7" s="157" t="n">
        <v>-0.792</v>
      </c>
      <c r="F7" s="157" t="n">
        <v>537.07</v>
      </c>
      <c r="G7" s="157" t="n">
        <v>39572.5</v>
      </c>
      <c r="H7" s="157" t="n">
        <v>34224.55</v>
      </c>
      <c r="I7" s="157" t="n">
        <v>96.21</v>
      </c>
      <c r="J7" s="157" t="n">
        <v>57.41</v>
      </c>
      <c r="K7" s="157" t="n">
        <v>0</v>
      </c>
      <c r="M7" s="157" t="n">
        <v>34573.89</v>
      </c>
      <c r="N7" s="157" t="n">
        <v>35132.95</v>
      </c>
      <c r="O7" s="157" t="n">
        <v>35723.9</v>
      </c>
      <c r="P7" s="157" t="n">
        <v>34573.89</v>
      </c>
      <c r="Q7" s="157" t="n">
        <v>35132.95</v>
      </c>
      <c r="R7" s="157" t="n">
        <v>35735.45</v>
      </c>
      <c r="S7" s="157" t="n">
        <v>23.1</v>
      </c>
      <c r="T7" s="157" t="n">
        <v>0</v>
      </c>
      <c r="U7" s="157" t="n">
        <v>46088.9</v>
      </c>
      <c r="V7" s="157" t="n">
        <v>30918.95</v>
      </c>
    </row>
    <row r="8" customFormat="false" ht="12.75" hidden="false" customHeight="true" outlineLevel="0" collapsed="false">
      <c r="A8" s="157" t="s">
        <v>2371</v>
      </c>
      <c r="B8" s="157" t="n">
        <v>34507.6</v>
      </c>
      <c r="C8" s="157" t="n">
        <v>34729.85</v>
      </c>
      <c r="D8" s="157" t="n">
        <v>34477.9</v>
      </c>
      <c r="E8" s="157" t="n">
        <v>-0.502</v>
      </c>
      <c r="F8" s="157" t="n">
        <v>329.85</v>
      </c>
      <c r="G8" s="157" t="n">
        <v>36755.25</v>
      </c>
      <c r="H8" s="157" t="n">
        <v>34114.35</v>
      </c>
      <c r="I8" s="157" t="n">
        <v>-75.49</v>
      </c>
      <c r="J8" s="157" t="n">
        <v>36.66</v>
      </c>
      <c r="K8" s="157" t="n">
        <v>0</v>
      </c>
      <c r="M8" s="157" t="n">
        <v>35184.9</v>
      </c>
      <c r="N8" s="157" t="n">
        <v>34500.53</v>
      </c>
      <c r="O8" s="157" t="n">
        <v>34681.6</v>
      </c>
      <c r="P8" s="157" t="n">
        <v>35184.9</v>
      </c>
      <c r="Q8" s="157" t="n">
        <v>34500.53</v>
      </c>
      <c r="R8" s="157" t="n">
        <v>34687.25</v>
      </c>
      <c r="S8" s="157" t="n">
        <v>22.84</v>
      </c>
      <c r="T8" s="157" t="n">
        <v>0</v>
      </c>
      <c r="U8" s="157" t="n">
        <v>45022.15</v>
      </c>
      <c r="V8" s="157" t="n">
        <v>29313.2</v>
      </c>
    </row>
    <row r="9" customFormat="false" ht="12.75" hidden="false" customHeight="true" outlineLevel="0" collapsed="false">
      <c r="A9" s="157" t="s">
        <v>2372</v>
      </c>
      <c r="B9" s="157" t="n">
        <v>29564.45</v>
      </c>
      <c r="C9" s="157" t="n">
        <v>29733.7</v>
      </c>
      <c r="D9" s="157" t="n">
        <v>29536.7</v>
      </c>
      <c r="F9" s="157" t="n">
        <v>716.93</v>
      </c>
      <c r="K9" s="157" t="n">
        <v>0</v>
      </c>
      <c r="R9" s="157" t="n">
        <v>29655.4</v>
      </c>
    </row>
    <row r="10" customFormat="false" ht="12.75" hidden="false" customHeight="true" outlineLevel="0" collapsed="false">
      <c r="A10" s="157" t="s">
        <v>2373</v>
      </c>
      <c r="B10" s="157" t="n">
        <v>26691.85</v>
      </c>
      <c r="C10" s="157" t="n">
        <v>26951.45</v>
      </c>
      <c r="D10" s="157" t="n">
        <v>26665.25</v>
      </c>
      <c r="E10" s="157" t="n">
        <v>-1.06</v>
      </c>
      <c r="F10" s="157" t="n">
        <v>252.94</v>
      </c>
      <c r="G10" s="157" t="n">
        <v>28577.65</v>
      </c>
      <c r="H10" s="157" t="n">
        <v>26513.3</v>
      </c>
      <c r="I10" s="157" t="n">
        <v>-64.08</v>
      </c>
      <c r="J10" s="157" t="n">
        <v>38.16</v>
      </c>
      <c r="K10" s="157" t="n">
        <v>0</v>
      </c>
      <c r="M10" s="157" t="n">
        <v>27162.34</v>
      </c>
      <c r="N10" s="157" t="n">
        <v>27064.54</v>
      </c>
      <c r="O10" s="157" t="n">
        <v>26976.9</v>
      </c>
      <c r="P10" s="157" t="n">
        <v>27162.34</v>
      </c>
      <c r="Q10" s="157" t="n">
        <v>26782.2</v>
      </c>
      <c r="R10" s="157" t="n">
        <v>26921.95</v>
      </c>
      <c r="S10" s="157" t="n">
        <v>6.6</v>
      </c>
      <c r="T10" s="157" t="n">
        <v>0</v>
      </c>
      <c r="U10" s="157" t="n">
        <v>28577.65</v>
      </c>
      <c r="V10" s="157" t="n">
        <v>23508.05</v>
      </c>
    </row>
    <row r="11" customFormat="false" ht="12.75" hidden="false" customHeight="true" outlineLevel="0" collapsed="false">
      <c r="A11" s="157" t="s">
        <v>2374</v>
      </c>
      <c r="B11" s="157" t="n">
        <v>26317.05</v>
      </c>
      <c r="C11" s="157" t="n">
        <v>26565</v>
      </c>
      <c r="D11" s="157" t="n">
        <v>26297.15</v>
      </c>
      <c r="E11" s="157" t="n">
        <v>-0.965</v>
      </c>
      <c r="F11" s="157" t="n">
        <v>239.58</v>
      </c>
      <c r="G11" s="157" t="n">
        <v>27369.8</v>
      </c>
      <c r="H11" s="157" t="n">
        <v>26112.7</v>
      </c>
      <c r="I11" s="157" t="n">
        <v>-39.04</v>
      </c>
      <c r="J11" s="157" t="n">
        <v>41.71</v>
      </c>
      <c r="K11" s="157" t="n">
        <v>0</v>
      </c>
      <c r="M11" s="157" t="n">
        <v>26701.22</v>
      </c>
      <c r="N11" s="157" t="n">
        <v>26672.57</v>
      </c>
      <c r="O11" s="157" t="n">
        <v>26573.35</v>
      </c>
      <c r="P11" s="157" t="n">
        <v>26701.22</v>
      </c>
      <c r="Q11" s="157" t="n">
        <v>26450.74</v>
      </c>
      <c r="R11" s="157" t="n">
        <v>26537.75</v>
      </c>
      <c r="S11" s="157" t="n">
        <v>3.85</v>
      </c>
      <c r="T11" s="157" t="n">
        <v>0.001</v>
      </c>
      <c r="U11" s="157" t="n">
        <v>27369.8</v>
      </c>
      <c r="V11" s="157" t="n">
        <v>22320.85</v>
      </c>
    </row>
    <row r="12" customFormat="false" ht="12.75" hidden="false" customHeight="true" outlineLevel="0" collapsed="false">
      <c r="A12" s="157" t="s">
        <v>2375</v>
      </c>
      <c r="B12" s="157" t="n">
        <v>25495.6</v>
      </c>
      <c r="C12" s="157" t="n">
        <v>25709</v>
      </c>
      <c r="D12" s="157" t="n">
        <v>25485.55</v>
      </c>
      <c r="E12" s="157" t="n">
        <v>-0.815</v>
      </c>
      <c r="F12" s="157" t="n">
        <v>199.87</v>
      </c>
      <c r="G12" s="157" t="n">
        <v>26265.15</v>
      </c>
      <c r="H12" s="157" t="n">
        <v>24908.05</v>
      </c>
      <c r="I12" s="157" t="n">
        <v>86.11</v>
      </c>
      <c r="J12" s="157" t="n">
        <v>53.54</v>
      </c>
      <c r="K12" s="157" t="n">
        <v>0</v>
      </c>
      <c r="M12" s="157" t="n">
        <v>25332.71</v>
      </c>
      <c r="N12" s="157" t="n">
        <v>25772.3</v>
      </c>
      <c r="O12" s="157" t="n">
        <v>25705.1</v>
      </c>
      <c r="P12" s="157" t="n">
        <v>25332.71</v>
      </c>
      <c r="Q12" s="157" t="n">
        <v>25533.44</v>
      </c>
      <c r="R12" s="157" t="n">
        <v>25693.4</v>
      </c>
      <c r="S12" s="157" t="n">
        <v>6.73</v>
      </c>
      <c r="T12" s="157" t="n">
        <v>0.001</v>
      </c>
      <c r="U12" s="157" t="n">
        <v>27335.65</v>
      </c>
      <c r="V12" s="157" t="n">
        <v>22177.35</v>
      </c>
    </row>
    <row r="13" customFormat="false" ht="12.75" hidden="false" customHeight="true" outlineLevel="0" collapsed="false">
      <c r="A13" s="157" t="s">
        <v>2376</v>
      </c>
      <c r="B13" s="157" t="n">
        <v>25329.45</v>
      </c>
      <c r="C13" s="157" t="n">
        <v>25464.8</v>
      </c>
      <c r="D13" s="157" t="n">
        <v>25291.55</v>
      </c>
      <c r="E13" s="157" t="n">
        <v>-0.189</v>
      </c>
      <c r="F13" s="157" t="n">
        <v>342.08</v>
      </c>
      <c r="G13" s="157" t="n">
        <v>25562.5</v>
      </c>
      <c r="H13" s="157" t="n">
        <v>22915.65</v>
      </c>
      <c r="I13" s="157" t="n">
        <v>137.25</v>
      </c>
      <c r="J13" s="157" t="n">
        <v>77.34</v>
      </c>
      <c r="K13" s="157" t="n">
        <v>0</v>
      </c>
      <c r="M13" s="157" t="n">
        <v>24720.44</v>
      </c>
      <c r="N13" s="157" t="n">
        <v>25091.33</v>
      </c>
      <c r="O13" s="157" t="n">
        <v>25377.5</v>
      </c>
      <c r="P13" s="157" t="n">
        <v>24720.44</v>
      </c>
      <c r="Q13" s="157" t="n">
        <v>25091.33</v>
      </c>
      <c r="R13" s="157" t="n">
        <v>25409.05</v>
      </c>
      <c r="S13" s="157" t="n">
        <v>8.55</v>
      </c>
      <c r="T13" s="157" t="n">
        <v>0.001</v>
      </c>
      <c r="U13" s="157" t="n">
        <v>27696.1</v>
      </c>
      <c r="V13" s="157" t="n">
        <v>19316.65</v>
      </c>
    </row>
    <row r="14" customFormat="false" ht="12.75" hidden="false" customHeight="true" outlineLevel="0" collapsed="false">
      <c r="A14" s="157" t="s">
        <v>10</v>
      </c>
      <c r="B14" s="157" t="n">
        <v>24870.1</v>
      </c>
      <c r="C14" s="157" t="n">
        <v>25084.85</v>
      </c>
      <c r="D14" s="157" t="n">
        <v>24859.15</v>
      </c>
      <c r="E14" s="157" t="n">
        <v>-0.852</v>
      </c>
      <c r="F14" s="157" t="n">
        <v>195.7</v>
      </c>
      <c r="G14" s="157" t="n">
        <v>25669.35</v>
      </c>
      <c r="H14" s="157" t="n">
        <v>24337.5</v>
      </c>
      <c r="I14" s="157" t="n">
        <v>85.4</v>
      </c>
      <c r="J14" s="157" t="n">
        <v>52.89</v>
      </c>
      <c r="K14" s="157" t="n">
        <v>0</v>
      </c>
      <c r="M14" s="157" t="n">
        <v>24714</v>
      </c>
      <c r="N14" s="157" t="n">
        <v>25153.81</v>
      </c>
      <c r="O14" s="157" t="n">
        <v>25083.75</v>
      </c>
      <c r="P14" s="157" t="n">
        <v>24714</v>
      </c>
      <c r="Q14" s="157" t="n">
        <v>24909.14</v>
      </c>
      <c r="R14" s="157" t="n">
        <v>25064.15</v>
      </c>
      <c r="S14" s="157" t="n">
        <v>5.36</v>
      </c>
      <c r="T14" s="157" t="n">
        <v>0.001</v>
      </c>
      <c r="U14" s="157" t="n">
        <v>26277.35</v>
      </c>
      <c r="V14" s="157" t="n">
        <v>21743.65</v>
      </c>
    </row>
    <row r="15" customFormat="false" ht="12.75" hidden="false" customHeight="true" outlineLevel="0" collapsed="false">
      <c r="A15" s="157" t="s">
        <v>2377</v>
      </c>
      <c r="B15" s="157" t="n">
        <v>22991.3</v>
      </c>
      <c r="C15" s="157" t="n">
        <v>23144.55</v>
      </c>
      <c r="D15" s="157" t="n">
        <v>22980.85</v>
      </c>
      <c r="E15" s="157" t="n">
        <v>-0.63</v>
      </c>
      <c r="F15" s="157" t="n">
        <v>186.88</v>
      </c>
      <c r="G15" s="157" t="n">
        <v>23677.55</v>
      </c>
      <c r="H15" s="157" t="n">
        <v>22406</v>
      </c>
      <c r="I15" s="157" t="n">
        <v>74.32</v>
      </c>
      <c r="J15" s="157" t="n">
        <v>55.07</v>
      </c>
      <c r="K15" s="157" t="n">
        <v>0</v>
      </c>
      <c r="M15" s="157" t="n">
        <v>22791.21</v>
      </c>
      <c r="N15" s="157" t="n">
        <v>22985.03</v>
      </c>
      <c r="O15" s="157" t="n">
        <v>23137.15</v>
      </c>
      <c r="P15" s="157" t="n">
        <v>22791.21</v>
      </c>
      <c r="Q15" s="157" t="n">
        <v>22985.03</v>
      </c>
      <c r="R15" s="157" t="n">
        <v>23133.85</v>
      </c>
      <c r="S15" s="157" t="n">
        <v>6.44</v>
      </c>
      <c r="T15" s="157" t="n">
        <v>0.001</v>
      </c>
      <c r="U15" s="157" t="n">
        <v>24573.4</v>
      </c>
      <c r="V15" s="157" t="n">
        <v>19519.85</v>
      </c>
    </row>
    <row r="16" customFormat="false" ht="12.75" hidden="false" customHeight="true" outlineLevel="0" collapsed="false">
      <c r="A16" s="157" t="s">
        <v>2378</v>
      </c>
      <c r="B16" s="157" t="n">
        <v>22265</v>
      </c>
      <c r="C16" s="157" t="n">
        <v>22304.65</v>
      </c>
      <c r="D16" s="157" t="n">
        <v>22171.6</v>
      </c>
      <c r="E16" s="157" t="n">
        <v>0.394</v>
      </c>
      <c r="F16" s="157" t="n">
        <v>286.26</v>
      </c>
      <c r="G16" s="157" t="n">
        <v>23162.45</v>
      </c>
      <c r="H16" s="157" t="n">
        <v>21324.05</v>
      </c>
      <c r="I16" s="157" t="n">
        <v>14.17</v>
      </c>
      <c r="J16" s="157" t="n">
        <v>59.57</v>
      </c>
      <c r="K16" s="157" t="n">
        <v>0</v>
      </c>
      <c r="M16" s="157" t="n">
        <v>21651.98</v>
      </c>
      <c r="N16" s="157" t="n">
        <v>21945.05</v>
      </c>
      <c r="O16" s="157" t="n">
        <v>22177.7</v>
      </c>
      <c r="P16" s="157" t="n">
        <v>22188.57</v>
      </c>
      <c r="Q16" s="157" t="n">
        <v>21877.61</v>
      </c>
      <c r="R16" s="157" t="n">
        <v>22213.2</v>
      </c>
      <c r="S16" s="157" t="n">
        <v>6.87</v>
      </c>
      <c r="T16" s="157" t="n">
        <v>0.001</v>
      </c>
      <c r="U16" s="157" t="n">
        <v>23907.9</v>
      </c>
      <c r="V16" s="157" t="n">
        <v>19121.1</v>
      </c>
    </row>
    <row r="17" customFormat="false" ht="12.75" hidden="false" customHeight="true" outlineLevel="0" collapsed="false">
      <c r="A17" s="157" t="s">
        <v>2379</v>
      </c>
      <c r="B17" s="157" t="n">
        <v>18418.6</v>
      </c>
      <c r="C17" s="157" t="n">
        <v>18530.45</v>
      </c>
      <c r="D17" s="157" t="n">
        <v>18398.15</v>
      </c>
      <c r="F17" s="157" t="n">
        <v>431.05</v>
      </c>
      <c r="K17" s="157" t="n">
        <v>0</v>
      </c>
      <c r="R17" s="157" t="n">
        <v>18439.8</v>
      </c>
    </row>
    <row r="18" customFormat="false" ht="12.75" hidden="false" customHeight="true" outlineLevel="0" collapsed="false">
      <c r="A18" s="157" t="s">
        <v>2380</v>
      </c>
      <c r="B18" s="157" t="n">
        <v>17919.5</v>
      </c>
      <c r="C18" s="157" t="n">
        <v>17996.3</v>
      </c>
      <c r="D18" s="157" t="n">
        <v>17876.1</v>
      </c>
      <c r="E18" s="157" t="n">
        <v>-0.261</v>
      </c>
      <c r="F18" s="157" t="n">
        <v>190.61</v>
      </c>
      <c r="G18" s="157" t="n">
        <v>19224.95</v>
      </c>
      <c r="H18" s="157" t="n">
        <v>17331.55</v>
      </c>
      <c r="I18" s="157" t="n">
        <v>27.06</v>
      </c>
      <c r="J18" s="157" t="n">
        <v>55.19</v>
      </c>
      <c r="K18" s="157" t="n">
        <v>0</v>
      </c>
      <c r="M18" s="157" t="n">
        <v>17609.36</v>
      </c>
      <c r="N18" s="157" t="n">
        <v>17819.56</v>
      </c>
      <c r="O18" s="157" t="n">
        <v>17966.35</v>
      </c>
      <c r="P18" s="157" t="n">
        <v>17609.36</v>
      </c>
      <c r="Q18" s="157" t="n">
        <v>17819.56</v>
      </c>
      <c r="R18" s="157" t="n">
        <v>17969.7</v>
      </c>
      <c r="S18" s="157" t="n">
        <v>9.11</v>
      </c>
      <c r="T18" s="157" t="n">
        <v>0.001</v>
      </c>
      <c r="U18" s="157" t="n">
        <v>19716.2</v>
      </c>
      <c r="V18" s="157" t="n">
        <v>14084.3</v>
      </c>
    </row>
    <row r="19" customFormat="false" ht="12.75" hidden="false" customHeight="true" outlineLevel="0" collapsed="false">
      <c r="A19" s="157" t="s">
        <v>2381</v>
      </c>
      <c r="B19" s="157" t="n">
        <v>16306.85</v>
      </c>
      <c r="C19" s="157" t="n">
        <v>16372.15</v>
      </c>
      <c r="D19" s="157" t="n">
        <v>16285.75</v>
      </c>
      <c r="E19" s="157" t="n">
        <v>-0.06</v>
      </c>
      <c r="F19" s="157" t="n">
        <v>189.06</v>
      </c>
      <c r="G19" s="157" t="n">
        <v>16941.1</v>
      </c>
      <c r="H19" s="157" t="n">
        <v>15717.05</v>
      </c>
      <c r="I19" s="157" t="n">
        <v>73.91</v>
      </c>
      <c r="J19" s="157" t="n">
        <v>58.98</v>
      </c>
      <c r="K19" s="157" t="n">
        <v>0</v>
      </c>
      <c r="M19" s="157" t="n">
        <v>15970.63</v>
      </c>
      <c r="N19" s="157" t="n">
        <v>16176.59</v>
      </c>
      <c r="O19" s="157" t="n">
        <v>16316.6</v>
      </c>
      <c r="P19" s="157" t="n">
        <v>15970.63</v>
      </c>
      <c r="Q19" s="157" t="n">
        <v>16176.59</v>
      </c>
      <c r="R19" s="157" t="n">
        <v>16341.5</v>
      </c>
      <c r="S19" s="157" t="n">
        <v>4.45</v>
      </c>
      <c r="T19" s="157" t="n">
        <v>0.001</v>
      </c>
      <c r="U19" s="157" t="n">
        <v>17066.75</v>
      </c>
      <c r="V19" s="157" t="n">
        <v>13269.65</v>
      </c>
    </row>
    <row r="20" customFormat="false" ht="12.75" hidden="false" customHeight="true" outlineLevel="0" collapsed="false">
      <c r="A20" s="157" t="s">
        <v>2382</v>
      </c>
      <c r="B20" s="157" t="n">
        <v>14738.8</v>
      </c>
      <c r="C20" s="157" t="n">
        <v>14781.8</v>
      </c>
      <c r="D20" s="157" t="n">
        <v>14699.15</v>
      </c>
      <c r="E20" s="157" t="n">
        <v>0.108</v>
      </c>
      <c r="F20" s="157" t="n">
        <v>172.45</v>
      </c>
      <c r="G20" s="157" t="n">
        <v>15079.85</v>
      </c>
      <c r="H20" s="157" t="n">
        <v>13934.65</v>
      </c>
      <c r="I20" s="157" t="n">
        <v>46.55</v>
      </c>
      <c r="J20" s="157" t="n">
        <v>62.6</v>
      </c>
      <c r="K20" s="157" t="n">
        <v>0</v>
      </c>
      <c r="M20" s="157" t="n">
        <v>14385.13</v>
      </c>
      <c r="N20" s="157" t="n">
        <v>14562.8</v>
      </c>
      <c r="O20" s="157" t="n">
        <v>14722.95</v>
      </c>
      <c r="P20" s="157" t="n">
        <v>14274.59</v>
      </c>
      <c r="Q20" s="157" t="n">
        <v>14467.66</v>
      </c>
      <c r="R20" s="157" t="n">
        <v>14741.1</v>
      </c>
      <c r="S20" s="157" t="n">
        <v>2.45</v>
      </c>
      <c r="T20" s="157" t="n">
        <v>0.001</v>
      </c>
      <c r="U20" s="157" t="n">
        <v>15108.8</v>
      </c>
      <c r="V20" s="157" t="n">
        <v>12561.7</v>
      </c>
    </row>
    <row r="21" customFormat="false" ht="12.75" hidden="false" customHeight="true" outlineLevel="0" collapsed="false">
      <c r="A21" s="157" t="s">
        <v>2383</v>
      </c>
      <c r="B21" s="157" t="n">
        <v>13875.4</v>
      </c>
      <c r="C21" s="157" t="n">
        <v>13976.5</v>
      </c>
      <c r="D21" s="157" t="n">
        <v>13869.05</v>
      </c>
      <c r="E21" s="157" t="n">
        <v>-0.701</v>
      </c>
      <c r="F21" s="157" t="n">
        <v>112.46</v>
      </c>
      <c r="G21" s="157" t="n">
        <v>14305.75</v>
      </c>
      <c r="H21" s="157" t="n">
        <v>13540.95</v>
      </c>
      <c r="I21" s="157" t="n">
        <v>80.35</v>
      </c>
      <c r="J21" s="157" t="n">
        <v>54.34</v>
      </c>
      <c r="K21" s="157" t="n">
        <v>0</v>
      </c>
      <c r="M21" s="157" t="n">
        <v>13764.93</v>
      </c>
      <c r="N21" s="157" t="n">
        <v>14013.61</v>
      </c>
      <c r="O21" s="157" t="n">
        <v>13973.3</v>
      </c>
      <c r="P21" s="157" t="n">
        <v>13764.93</v>
      </c>
      <c r="Q21" s="157" t="n">
        <v>13880.25</v>
      </c>
      <c r="R21" s="157" t="n">
        <v>13970.05</v>
      </c>
      <c r="S21" s="157" t="n">
        <v>6.46</v>
      </c>
      <c r="T21" s="157" t="n">
        <v>0.001</v>
      </c>
      <c r="U21" s="157" t="n">
        <v>14833.75</v>
      </c>
      <c r="V21" s="157" t="n">
        <v>11941.45</v>
      </c>
    </row>
    <row r="22" customFormat="false" ht="12.75" hidden="false" customHeight="true" outlineLevel="0" collapsed="false">
      <c r="A22" s="157" t="s">
        <v>2384</v>
      </c>
      <c r="B22" s="157" t="n">
        <v>12569</v>
      </c>
      <c r="C22" s="157" t="n">
        <v>12687.95</v>
      </c>
      <c r="D22" s="157" t="n">
        <v>12560.95</v>
      </c>
      <c r="E22" s="157" t="n">
        <v>-0.89</v>
      </c>
      <c r="F22" s="157" t="n">
        <v>104.55</v>
      </c>
      <c r="G22" s="157" t="n">
        <v>13026.45</v>
      </c>
      <c r="H22" s="157" t="n">
        <v>12232.6</v>
      </c>
      <c r="I22" s="157" t="n">
        <v>77.21</v>
      </c>
      <c r="J22" s="157" t="n">
        <v>54.02</v>
      </c>
      <c r="K22" s="157" t="n">
        <v>0</v>
      </c>
      <c r="M22" s="157" t="n">
        <v>12482.02</v>
      </c>
      <c r="N22" s="157" t="n">
        <v>12729.41</v>
      </c>
      <c r="O22" s="157" t="n">
        <v>12681.9</v>
      </c>
      <c r="P22" s="157" t="n">
        <v>12482.02</v>
      </c>
      <c r="Q22" s="157" t="n">
        <v>12584.54</v>
      </c>
      <c r="R22" s="157" t="n">
        <v>12677.55</v>
      </c>
      <c r="S22" s="157" t="n">
        <v>14.68</v>
      </c>
      <c r="T22" s="157" t="n">
        <v>0.001</v>
      </c>
      <c r="U22" s="157" t="n">
        <v>14731.65</v>
      </c>
      <c r="V22" s="157" t="n">
        <v>11375.5</v>
      </c>
    </row>
    <row r="23" customFormat="false" ht="12.75" hidden="false" customHeight="true" outlineLevel="0" collapsed="false">
      <c r="A23" s="157" t="s">
        <v>2385</v>
      </c>
      <c r="B23" s="157" t="n">
        <v>12196.3</v>
      </c>
      <c r="C23" s="157" t="n">
        <v>12282.4</v>
      </c>
      <c r="D23" s="157" t="n">
        <v>12183.2</v>
      </c>
      <c r="E23" s="157" t="n">
        <v>-0.511</v>
      </c>
      <c r="F23" s="157" t="n">
        <v>121.68</v>
      </c>
      <c r="G23" s="157" t="n">
        <v>12313.6</v>
      </c>
      <c r="H23" s="157" t="n">
        <v>11243.7</v>
      </c>
      <c r="I23" s="157" t="n">
        <v>140.46</v>
      </c>
      <c r="J23" s="157" t="n">
        <v>70.45</v>
      </c>
      <c r="K23" s="157" t="n">
        <v>0</v>
      </c>
      <c r="M23" s="157" t="n">
        <v>12031.3</v>
      </c>
      <c r="N23" s="157" t="n">
        <v>12154.72</v>
      </c>
      <c r="O23" s="157" t="n">
        <v>12258.9</v>
      </c>
      <c r="P23" s="157" t="n">
        <v>12031.3</v>
      </c>
      <c r="Q23" s="157" t="n">
        <v>12154.72</v>
      </c>
      <c r="R23" s="157" t="n">
        <v>12266.45</v>
      </c>
      <c r="S23" s="157" t="n">
        <v>6.6</v>
      </c>
      <c r="T23" s="157" t="n">
        <v>0.001</v>
      </c>
      <c r="U23" s="157" t="n">
        <v>13057.6</v>
      </c>
      <c r="V23" s="157" t="n">
        <v>10090.65</v>
      </c>
    </row>
    <row r="24" customFormat="false" ht="12.75" hidden="false" customHeight="true" outlineLevel="0" collapsed="false">
      <c r="A24" s="157" t="s">
        <v>2386</v>
      </c>
      <c r="B24" s="157" t="n">
        <v>11805.9</v>
      </c>
      <c r="C24" s="157" t="n">
        <v>11847.5</v>
      </c>
      <c r="D24" s="157" t="n">
        <v>11787.8</v>
      </c>
      <c r="E24" s="157" t="n">
        <v>-0.051</v>
      </c>
      <c r="F24" s="157" t="n">
        <v>131.04</v>
      </c>
      <c r="G24" s="157" t="n">
        <v>11847.5</v>
      </c>
      <c r="H24" s="157" t="n">
        <v>11104.2</v>
      </c>
      <c r="I24" s="157" t="n">
        <v>175.06</v>
      </c>
      <c r="J24" s="157" t="n">
        <v>77.59</v>
      </c>
      <c r="K24" s="157" t="n">
        <v>0</v>
      </c>
      <c r="M24" s="157" t="n">
        <v>11554.57</v>
      </c>
      <c r="N24" s="157" t="n">
        <v>11686.11</v>
      </c>
      <c r="O24" s="157" t="n">
        <v>11811.95</v>
      </c>
      <c r="P24" s="157" t="n">
        <v>11513.5</v>
      </c>
      <c r="Q24" s="157" t="n">
        <v>11653.03</v>
      </c>
      <c r="R24" s="157" t="n">
        <v>11828.45</v>
      </c>
      <c r="S24" s="157" t="n">
        <v>9.64</v>
      </c>
      <c r="T24" s="157" t="n">
        <v>0.002</v>
      </c>
      <c r="U24" s="157" t="n">
        <v>13065.05</v>
      </c>
      <c r="V24" s="157" t="n">
        <v>9722.65</v>
      </c>
    </row>
    <row r="25" customFormat="false" ht="12.75" hidden="false" customHeight="true" outlineLevel="0" collapsed="false">
      <c r="A25" s="157" t="s">
        <v>2387</v>
      </c>
      <c r="B25" s="157" t="n">
        <v>11126.1</v>
      </c>
      <c r="C25" s="157" t="n">
        <v>11214.15</v>
      </c>
      <c r="D25" s="157" t="n">
        <v>11119.35</v>
      </c>
      <c r="E25" s="157" t="n">
        <v>-0.829</v>
      </c>
      <c r="F25" s="157" t="n">
        <v>124.14</v>
      </c>
      <c r="G25" s="157" t="n">
        <v>12099.55</v>
      </c>
      <c r="H25" s="157" t="n">
        <v>10837.1</v>
      </c>
      <c r="I25" s="157" t="n">
        <v>-5.71</v>
      </c>
      <c r="J25" s="157" t="n">
        <v>46.41</v>
      </c>
      <c r="K25" s="157" t="n">
        <v>0</v>
      </c>
      <c r="M25" s="157" t="n">
        <v>11220.33</v>
      </c>
      <c r="N25" s="157" t="n">
        <v>11116.19</v>
      </c>
      <c r="O25" s="157" t="n">
        <v>11219.15</v>
      </c>
      <c r="P25" s="157" t="n">
        <v>11220.33</v>
      </c>
      <c r="Q25" s="157" t="n">
        <v>11116.19</v>
      </c>
      <c r="R25" s="157" t="n">
        <v>11201.85</v>
      </c>
      <c r="S25" s="157" t="n">
        <v>18.23</v>
      </c>
      <c r="T25" s="157" t="n">
        <v>0.002</v>
      </c>
      <c r="U25" s="157" t="n">
        <v>13607.2</v>
      </c>
      <c r="V25" s="157" t="n">
        <v>9327.5</v>
      </c>
    </row>
    <row r="26" customFormat="false" ht="12.75" hidden="false" customHeight="true" outlineLevel="0" collapsed="false">
      <c r="A26" s="157" t="s">
        <v>2388</v>
      </c>
      <c r="B26" s="157" t="n">
        <v>9613.35</v>
      </c>
      <c r="C26" s="157" t="n">
        <v>9661.5</v>
      </c>
      <c r="D26" s="157" t="n">
        <v>9541.55</v>
      </c>
      <c r="F26" s="157" t="n">
        <v>270.87</v>
      </c>
      <c r="K26" s="157" t="n">
        <v>0</v>
      </c>
      <c r="R26" s="157" t="n">
        <v>9582</v>
      </c>
    </row>
    <row r="27" customFormat="false" ht="12.75" hidden="false" customHeight="true" outlineLevel="0" collapsed="false">
      <c r="A27" s="157" t="s">
        <v>2389</v>
      </c>
      <c r="B27" s="157" t="n">
        <v>9375.45</v>
      </c>
      <c r="C27" s="157" t="n">
        <v>9499.75</v>
      </c>
      <c r="D27" s="157" t="n">
        <v>9363.15</v>
      </c>
      <c r="E27" s="157" t="n">
        <v>-1.25</v>
      </c>
      <c r="F27" s="157" t="n">
        <v>134.77</v>
      </c>
      <c r="G27" s="157" t="n">
        <v>9786.15</v>
      </c>
      <c r="H27" s="157" t="n">
        <v>8997.35</v>
      </c>
      <c r="I27" s="157" t="n">
        <v>64.97</v>
      </c>
      <c r="J27" s="157" t="n">
        <v>50.51</v>
      </c>
      <c r="K27" s="157" t="n">
        <v>0</v>
      </c>
      <c r="M27" s="157" t="n">
        <v>9238.66</v>
      </c>
      <c r="N27" s="157" t="n">
        <v>9375</v>
      </c>
      <c r="O27" s="157" t="n">
        <v>9493.65</v>
      </c>
      <c r="P27" s="157" t="n">
        <v>9238.66</v>
      </c>
      <c r="Q27" s="157" t="n">
        <v>9375</v>
      </c>
      <c r="R27" s="157" t="n">
        <v>9494.35</v>
      </c>
      <c r="S27" s="157" t="n">
        <v>9.17</v>
      </c>
      <c r="T27" s="157" t="n">
        <v>0.002</v>
      </c>
      <c r="U27" s="157" t="n">
        <v>10322.05</v>
      </c>
      <c r="V27" s="157" t="n">
        <v>7690.2</v>
      </c>
    </row>
    <row r="28" customFormat="false" ht="12.75" hidden="false" customHeight="true" outlineLevel="0" collapsed="false">
      <c r="A28" s="157" t="s">
        <v>2390</v>
      </c>
      <c r="B28" s="157" t="n">
        <v>9106.25</v>
      </c>
      <c r="C28" s="157" t="n">
        <v>9177.6</v>
      </c>
      <c r="D28" s="157" t="n">
        <v>9101.25</v>
      </c>
      <c r="E28" s="157" t="n">
        <v>-0.733</v>
      </c>
      <c r="F28" s="157" t="n">
        <v>82.49</v>
      </c>
      <c r="G28" s="157" t="n">
        <v>9494.55</v>
      </c>
      <c r="H28" s="157" t="n">
        <v>8861</v>
      </c>
      <c r="I28" s="157" t="n">
        <v>89.96</v>
      </c>
      <c r="J28" s="157" t="n">
        <v>54.15</v>
      </c>
      <c r="K28" s="157" t="n">
        <v>0</v>
      </c>
      <c r="M28" s="157" t="n">
        <v>9019.74</v>
      </c>
      <c r="N28" s="157" t="n">
        <v>9105.57</v>
      </c>
      <c r="O28" s="157" t="n">
        <v>9173.45</v>
      </c>
      <c r="P28" s="157" t="n">
        <v>9019.74</v>
      </c>
      <c r="Q28" s="157" t="n">
        <v>9105.57</v>
      </c>
      <c r="R28" s="157" t="n">
        <v>9172.6</v>
      </c>
      <c r="S28" s="157" t="n">
        <v>6.16</v>
      </c>
      <c r="T28" s="157" t="n">
        <v>0.002</v>
      </c>
      <c r="U28" s="157" t="n">
        <v>9704.2</v>
      </c>
      <c r="V28" s="157" t="n">
        <v>7589.95</v>
      </c>
    </row>
    <row r="29" customFormat="false" ht="12.75" hidden="false" customHeight="true" outlineLevel="0" collapsed="false">
      <c r="A29" s="157" t="s">
        <v>2391</v>
      </c>
      <c r="B29" s="157" t="n">
        <v>8761.35</v>
      </c>
      <c r="C29" s="157" t="n">
        <v>8859.2</v>
      </c>
      <c r="D29" s="157" t="n">
        <v>8755.35</v>
      </c>
      <c r="E29" s="157" t="n">
        <v>-1.08</v>
      </c>
      <c r="F29" s="157" t="n">
        <v>86.95</v>
      </c>
      <c r="G29" s="157" t="n">
        <v>9079.5</v>
      </c>
      <c r="H29" s="157" t="n">
        <v>8526.15</v>
      </c>
      <c r="I29" s="157" t="n">
        <v>39.27</v>
      </c>
      <c r="J29" s="157" t="n">
        <v>46.61</v>
      </c>
      <c r="K29" s="157" t="n">
        <v>0</v>
      </c>
      <c r="M29" s="157" t="n">
        <v>8699.65</v>
      </c>
      <c r="N29" s="157" t="n">
        <v>8895.08</v>
      </c>
      <c r="O29" s="157" t="n">
        <v>8857.45</v>
      </c>
      <c r="P29" s="157" t="n">
        <v>8699.65</v>
      </c>
      <c r="Q29" s="157" t="n">
        <v>8785.68</v>
      </c>
      <c r="R29" s="157" t="n">
        <v>8855.5</v>
      </c>
      <c r="S29" s="157" t="n">
        <v>11.47</v>
      </c>
      <c r="T29" s="157" t="n">
        <v>0.002</v>
      </c>
      <c r="U29" s="157" t="n">
        <v>9896.35</v>
      </c>
      <c r="V29" s="157" t="n">
        <v>7502.95</v>
      </c>
    </row>
    <row r="30" customFormat="false" ht="12.75" hidden="false" customHeight="true" outlineLevel="0" collapsed="false">
      <c r="A30" s="157" t="s">
        <v>2392</v>
      </c>
      <c r="B30" s="157" t="n">
        <v>6998.1</v>
      </c>
      <c r="C30" s="157" t="n">
        <v>7094.35</v>
      </c>
      <c r="D30" s="157" t="n">
        <v>6995.2</v>
      </c>
      <c r="E30" s="157" t="n">
        <v>-1.12</v>
      </c>
      <c r="F30" s="157" t="n">
        <v>87.74</v>
      </c>
      <c r="G30" s="157" t="n">
        <v>7304.8</v>
      </c>
      <c r="H30" s="157" t="n">
        <v>6709.1</v>
      </c>
      <c r="I30" s="157" t="n">
        <v>47.83</v>
      </c>
      <c r="J30" s="157" t="n">
        <v>45.71</v>
      </c>
      <c r="K30" s="157" t="n">
        <v>0</v>
      </c>
      <c r="M30" s="157" t="n">
        <v>6938.16</v>
      </c>
      <c r="N30" s="157" t="n">
        <v>7127.11</v>
      </c>
      <c r="O30" s="157" t="n">
        <v>7077.25</v>
      </c>
      <c r="P30" s="157" t="n">
        <v>6938.16</v>
      </c>
      <c r="Q30" s="157" t="n">
        <v>7030.11</v>
      </c>
      <c r="R30" s="157" t="n">
        <v>7067.55</v>
      </c>
      <c r="S30" s="157" t="n">
        <v>4.2</v>
      </c>
      <c r="T30" s="157" t="n">
        <v>0.003</v>
      </c>
      <c r="U30" s="157" t="n">
        <v>8053.3</v>
      </c>
      <c r="V30" s="157" t="n">
        <v>5530.35</v>
      </c>
    </row>
    <row r="31" customFormat="false" ht="12.75" hidden="false" customHeight="true" outlineLevel="0" collapsed="false">
      <c r="A31" s="157" t="s">
        <v>2393</v>
      </c>
      <c r="B31" s="157" t="n">
        <v>6281.1</v>
      </c>
      <c r="C31" s="157" t="n">
        <v>6316.85</v>
      </c>
      <c r="D31" s="157" t="n">
        <v>6275.45</v>
      </c>
      <c r="E31" s="157" t="n">
        <v>-0.434</v>
      </c>
      <c r="F31" s="157" t="n">
        <v>58.1</v>
      </c>
      <c r="G31" s="157" t="n">
        <v>6681.8</v>
      </c>
      <c r="H31" s="157" t="n">
        <v>6267.85</v>
      </c>
      <c r="I31" s="157" t="n">
        <v>-133.4</v>
      </c>
      <c r="J31" s="157" t="n">
        <v>27.08</v>
      </c>
      <c r="K31" s="157" t="n">
        <v>0</v>
      </c>
      <c r="M31" s="157" t="n">
        <v>6416.75</v>
      </c>
      <c r="N31" s="157" t="n">
        <v>6356.45</v>
      </c>
      <c r="O31" s="157" t="n">
        <v>6308.5</v>
      </c>
      <c r="P31" s="157" t="n">
        <v>6445.07</v>
      </c>
      <c r="Q31" s="157" t="n">
        <v>6398.6</v>
      </c>
      <c r="R31" s="157" t="n">
        <v>6305.55</v>
      </c>
      <c r="S31" s="157" t="n">
        <v>16</v>
      </c>
      <c r="T31" s="157" t="n">
        <v>0.003</v>
      </c>
      <c r="U31" s="157" t="n">
        <v>7661.9</v>
      </c>
      <c r="V31" s="157" t="n">
        <v>5284.25</v>
      </c>
    </row>
    <row r="32" customFormat="false" ht="12.75" hidden="false" customHeight="true" outlineLevel="0" collapsed="false">
      <c r="A32" s="157" t="s">
        <v>2394</v>
      </c>
      <c r="B32" s="157" t="n">
        <v>1653.95</v>
      </c>
      <c r="C32" s="157" t="n">
        <v>1660.65</v>
      </c>
      <c r="D32" s="157" t="n">
        <v>1636.4</v>
      </c>
      <c r="E32" s="157" t="n">
        <v>0.949</v>
      </c>
      <c r="F32" s="157" t="n">
        <v>26.7</v>
      </c>
      <c r="G32" s="157" t="n">
        <v>1786.15</v>
      </c>
      <c r="H32" s="157" t="n">
        <v>1600.2</v>
      </c>
      <c r="I32" s="157" t="n">
        <v>37.86</v>
      </c>
      <c r="J32" s="157" t="n">
        <v>52.07</v>
      </c>
      <c r="K32" s="157" t="n">
        <v>0</v>
      </c>
      <c r="M32" s="157" t="n">
        <v>1687.88</v>
      </c>
      <c r="N32" s="157" t="n">
        <v>1636.07</v>
      </c>
      <c r="O32" s="157" t="n">
        <v>1638.4</v>
      </c>
      <c r="P32" s="157" t="n">
        <v>1687.88</v>
      </c>
      <c r="Q32" s="157" t="n">
        <v>1636.07</v>
      </c>
      <c r="R32" s="157" t="n">
        <v>1639</v>
      </c>
      <c r="S32" s="157" t="n">
        <v>24.21</v>
      </c>
      <c r="T32" s="157" t="n">
        <v>0.011</v>
      </c>
      <c r="U32" s="157" t="n">
        <v>2182.35</v>
      </c>
      <c r="V32" s="157" t="n">
        <v>1344.4</v>
      </c>
    </row>
    <row r="33" customFormat="false" ht="12.75" hidden="false" customHeight="true" outlineLevel="0" collapsed="false">
      <c r="A33" s="157" t="s">
        <v>2395</v>
      </c>
      <c r="B33" s="157" t="n">
        <v>909.65</v>
      </c>
      <c r="C33" s="157" t="n">
        <v>919.25</v>
      </c>
      <c r="D33" s="157" t="n">
        <v>908.5</v>
      </c>
      <c r="E33" s="157" t="n">
        <v>-0.839</v>
      </c>
      <c r="F33" s="157" t="n">
        <v>16.86</v>
      </c>
      <c r="G33" s="157" t="n">
        <v>1038.7</v>
      </c>
      <c r="H33" s="157" t="n">
        <v>871.4</v>
      </c>
      <c r="I33" s="157" t="n">
        <v>36.21</v>
      </c>
      <c r="J33" s="157" t="n">
        <v>53.44</v>
      </c>
      <c r="K33" s="157" t="n">
        <v>0</v>
      </c>
      <c r="M33" s="157" t="n">
        <v>921.17</v>
      </c>
      <c r="N33" s="157" t="n">
        <v>904.85</v>
      </c>
      <c r="O33" s="157" t="n">
        <v>917.35</v>
      </c>
      <c r="P33" s="157" t="n">
        <v>921.17</v>
      </c>
      <c r="Q33" s="157" t="n">
        <v>904.85</v>
      </c>
      <c r="R33" s="157" t="n">
        <v>918.5</v>
      </c>
      <c r="S33" s="157" t="n">
        <v>20.23</v>
      </c>
      <c r="T33" s="157" t="n">
        <v>0.018</v>
      </c>
      <c r="U33" s="157" t="n">
        <v>1157.35</v>
      </c>
      <c r="V33" s="157" t="n">
        <v>765.8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977"/>
  <sheetViews>
    <sheetView showFormulas="false" showGridLines="true" showRowColHeaders="true" showZeros="true" rightToLeft="false" tabSelected="false" showOutlineSymbols="true" defaultGridColor="true" view="normal" topLeftCell="A52" colorId="64" zoomScale="65" zoomScaleNormal="65" zoomScalePageLayoutView="100" workbookViewId="0">
      <selection pane="topLeft" activeCell="A2" activeCellId="0" sqref="A2"/>
    </sheetView>
  </sheetViews>
  <sheetFormatPr defaultColWidth="12.66796875" defaultRowHeight="12.75" customHeight="true" zeroHeight="false" outlineLevelRow="0" outlineLevelCol="0"/>
  <cols>
    <col collapsed="false" customWidth="true" hidden="false" outlineLevel="0" max="2" min="2" style="34" width="23.88"/>
  </cols>
  <sheetData>
    <row r="1" customFormat="false" ht="15.75" hidden="false" customHeight="true" outlineLevel="0" collapsed="false">
      <c r="A1" s="159" t="s">
        <v>24</v>
      </c>
      <c r="B1" s="160" t="s">
        <v>15</v>
      </c>
    </row>
    <row r="2" customFormat="false" ht="15.75" hidden="false" customHeight="true" outlineLevel="0" collapsed="false">
      <c r="A2" s="34" t="s">
        <v>172</v>
      </c>
      <c r="B2" s="34" t="s">
        <v>2396</v>
      </c>
      <c r="D2" s="63"/>
      <c r="E2" s="161"/>
    </row>
    <row r="3" customFormat="false" ht="15.75" hidden="false" customHeight="true" outlineLevel="0" collapsed="false">
      <c r="A3" s="34" t="s">
        <v>65</v>
      </c>
      <c r="B3" s="34" t="s">
        <v>2397</v>
      </c>
      <c r="D3" s="63"/>
      <c r="E3" s="161"/>
    </row>
    <row r="4" customFormat="false" ht="15.75" hidden="false" customHeight="true" outlineLevel="0" collapsed="false">
      <c r="A4" s="34" t="s">
        <v>69</v>
      </c>
      <c r="B4" s="34" t="s">
        <v>2398</v>
      </c>
      <c r="D4" s="63"/>
      <c r="E4" s="161"/>
    </row>
    <row r="5" customFormat="false" ht="15.75" hidden="false" customHeight="true" outlineLevel="0" collapsed="false">
      <c r="A5" s="34" t="s">
        <v>44</v>
      </c>
      <c r="B5" s="34" t="s">
        <v>2397</v>
      </c>
      <c r="D5" s="63"/>
      <c r="E5" s="161"/>
    </row>
    <row r="6" customFormat="false" ht="15.75" hidden="false" customHeight="true" outlineLevel="0" collapsed="false">
      <c r="A6" s="34" t="s">
        <v>66</v>
      </c>
      <c r="B6" s="34" t="s">
        <v>2399</v>
      </c>
      <c r="D6" s="63"/>
      <c r="E6" s="161"/>
    </row>
    <row r="7" customFormat="false" ht="15.75" hidden="false" customHeight="true" outlineLevel="0" collapsed="false">
      <c r="A7" s="34" t="s">
        <v>238</v>
      </c>
      <c r="B7" s="34" t="s">
        <v>2400</v>
      </c>
      <c r="D7" s="63"/>
      <c r="E7" s="161"/>
    </row>
    <row r="8" customFormat="false" ht="15.75" hidden="false" customHeight="true" outlineLevel="0" collapsed="false">
      <c r="A8" s="34" t="s">
        <v>100</v>
      </c>
      <c r="B8" s="34" t="s">
        <v>2401</v>
      </c>
      <c r="D8" s="63"/>
      <c r="E8" s="161"/>
    </row>
    <row r="9" customFormat="false" ht="15.75" hidden="false" customHeight="true" outlineLevel="0" collapsed="false">
      <c r="A9" s="34" t="s">
        <v>242</v>
      </c>
      <c r="B9" s="34" t="s">
        <v>2402</v>
      </c>
      <c r="D9" s="63"/>
      <c r="E9" s="161"/>
    </row>
    <row r="10" customFormat="false" ht="15.75" hidden="false" customHeight="true" outlineLevel="0" collapsed="false">
      <c r="A10" s="34" t="s">
        <v>176</v>
      </c>
      <c r="B10" s="34" t="s">
        <v>2396</v>
      </c>
      <c r="D10" s="63"/>
      <c r="E10" s="161"/>
    </row>
    <row r="11" customFormat="false" ht="15.75" hidden="false" customHeight="true" outlineLevel="0" collapsed="false">
      <c r="A11" s="34" t="s">
        <v>137</v>
      </c>
      <c r="B11" s="34" t="s">
        <v>2403</v>
      </c>
      <c r="D11" s="63"/>
      <c r="E11" s="161"/>
    </row>
    <row r="12" customFormat="false" ht="15.75" hidden="false" customHeight="true" outlineLevel="0" collapsed="false">
      <c r="A12" s="34" t="s">
        <v>143</v>
      </c>
      <c r="B12" s="34" t="s">
        <v>2399</v>
      </c>
      <c r="D12" s="63"/>
      <c r="E12" s="161"/>
    </row>
    <row r="13" customFormat="false" ht="15.75" hidden="false" customHeight="true" outlineLevel="0" collapsed="false">
      <c r="A13" s="36" t="s">
        <v>229</v>
      </c>
      <c r="B13" s="36" t="s">
        <v>2398</v>
      </c>
      <c r="D13" s="63"/>
      <c r="E13" s="161"/>
    </row>
    <row r="14" customFormat="false" ht="15.75" hidden="false" customHeight="true" outlineLevel="0" collapsed="false">
      <c r="A14" s="34" t="s">
        <v>235</v>
      </c>
      <c r="B14" s="34" t="s">
        <v>2401</v>
      </c>
      <c r="D14" s="63"/>
      <c r="E14" s="161"/>
    </row>
    <row r="15" customFormat="false" ht="15.75" hidden="false" customHeight="true" outlineLevel="0" collapsed="false">
      <c r="A15" s="34" t="s">
        <v>129</v>
      </c>
      <c r="B15" s="34" t="s">
        <v>2403</v>
      </c>
      <c r="D15" s="63"/>
      <c r="E15" s="161"/>
    </row>
    <row r="16" customFormat="false" ht="15.75" hidden="false" customHeight="true" outlineLevel="0" collapsed="false">
      <c r="A16" s="34" t="s">
        <v>86</v>
      </c>
      <c r="B16" s="34" t="s">
        <v>2404</v>
      </c>
      <c r="D16" s="63"/>
      <c r="E16" s="161"/>
    </row>
    <row r="17" customFormat="false" ht="15.75" hidden="false" customHeight="true" outlineLevel="0" collapsed="false">
      <c r="A17" s="34" t="s">
        <v>175</v>
      </c>
      <c r="B17" s="34" t="s">
        <v>2404</v>
      </c>
      <c r="D17" s="63"/>
      <c r="E17" s="161"/>
    </row>
    <row r="18" customFormat="false" ht="15.75" hidden="false" customHeight="true" outlineLevel="0" collapsed="false">
      <c r="A18" s="34" t="s">
        <v>119</v>
      </c>
      <c r="B18" s="34" t="s">
        <v>2396</v>
      </c>
      <c r="D18" s="63"/>
      <c r="E18" s="161"/>
    </row>
    <row r="19" customFormat="false" ht="15.75" hidden="false" customHeight="true" outlineLevel="0" collapsed="false">
      <c r="A19" s="34" t="s">
        <v>195</v>
      </c>
      <c r="B19" s="34" t="s">
        <v>2397</v>
      </c>
      <c r="D19" s="63"/>
      <c r="E19" s="161"/>
    </row>
    <row r="20" customFormat="false" ht="15.75" hidden="false" customHeight="true" outlineLevel="0" collapsed="false">
      <c r="A20" s="36" t="s">
        <v>210</v>
      </c>
      <c r="B20" s="36" t="s">
        <v>2405</v>
      </c>
      <c r="D20" s="63"/>
      <c r="E20" s="161"/>
    </row>
    <row r="21" customFormat="false" ht="15.75" hidden="false" customHeight="true" outlineLevel="0" collapsed="false">
      <c r="A21" s="34" t="s">
        <v>174</v>
      </c>
      <c r="B21" s="34" t="s">
        <v>2406</v>
      </c>
      <c r="D21" s="63"/>
      <c r="E21" s="161"/>
    </row>
    <row r="22" customFormat="false" ht="15.75" hidden="false" customHeight="true" outlineLevel="0" collapsed="false">
      <c r="A22" s="34" t="s">
        <v>125</v>
      </c>
      <c r="B22" s="34" t="s">
        <v>2403</v>
      </c>
      <c r="D22" s="63"/>
      <c r="E22" s="161"/>
    </row>
    <row r="23" customFormat="false" ht="15.75" hidden="false" customHeight="true" outlineLevel="0" collapsed="false">
      <c r="A23" s="34" t="s">
        <v>40</v>
      </c>
      <c r="B23" s="34" t="s">
        <v>2406</v>
      </c>
      <c r="D23" s="63"/>
      <c r="E23" s="161"/>
    </row>
    <row r="24" customFormat="false" ht="15.75" hidden="false" customHeight="true" outlineLevel="0" collapsed="false">
      <c r="A24" s="34" t="s">
        <v>131</v>
      </c>
      <c r="B24" s="34" t="s">
        <v>2404</v>
      </c>
      <c r="D24" s="63"/>
      <c r="E24" s="161"/>
    </row>
    <row r="25" customFormat="false" ht="15.75" hidden="false" customHeight="true" outlineLevel="0" collapsed="false">
      <c r="A25" s="34" t="s">
        <v>136</v>
      </c>
      <c r="B25" s="34" t="s">
        <v>2398</v>
      </c>
      <c r="D25" s="63"/>
      <c r="E25" s="161"/>
    </row>
    <row r="26" customFormat="false" ht="15.75" hidden="false" customHeight="true" outlineLevel="0" collapsed="false">
      <c r="A26" s="34" t="s">
        <v>140</v>
      </c>
      <c r="B26" s="34" t="s">
        <v>2398</v>
      </c>
      <c r="D26" s="63"/>
      <c r="E26" s="161"/>
    </row>
    <row r="27" customFormat="false" ht="15.75" hidden="false" customHeight="true" outlineLevel="0" collapsed="false">
      <c r="A27" s="34" t="s">
        <v>322</v>
      </c>
      <c r="B27" s="34" t="s">
        <v>2397</v>
      </c>
      <c r="D27" s="63"/>
      <c r="E27" s="161"/>
    </row>
    <row r="28" customFormat="false" ht="15.75" hidden="false" customHeight="true" outlineLevel="0" collapsed="false">
      <c r="A28" s="34" t="s">
        <v>67</v>
      </c>
      <c r="B28" s="34" t="s">
        <v>2406</v>
      </c>
      <c r="D28" s="63"/>
      <c r="E28" s="161"/>
    </row>
    <row r="29" customFormat="false" ht="15.75" hidden="false" customHeight="true" outlineLevel="0" collapsed="false">
      <c r="A29" s="34" t="s">
        <v>111</v>
      </c>
      <c r="B29" s="34" t="s">
        <v>2406</v>
      </c>
      <c r="D29" s="63"/>
      <c r="E29" s="161"/>
    </row>
    <row r="30" customFormat="false" ht="15.75" hidden="false" customHeight="true" outlineLevel="0" collapsed="false">
      <c r="A30" s="34" t="s">
        <v>227</v>
      </c>
      <c r="B30" s="34" t="s">
        <v>2406</v>
      </c>
      <c r="D30" s="63"/>
      <c r="E30" s="161"/>
    </row>
    <row r="31" customFormat="false" ht="15.75" hidden="false" customHeight="true" outlineLevel="0" collapsed="false">
      <c r="A31" s="34" t="s">
        <v>160</v>
      </c>
      <c r="B31" s="34" t="s">
        <v>2407</v>
      </c>
      <c r="D31" s="63"/>
      <c r="E31" s="161"/>
    </row>
    <row r="32" customFormat="false" ht="15.75" hidden="false" customHeight="true" outlineLevel="0" collapsed="false">
      <c r="A32" s="34" t="s">
        <v>77</v>
      </c>
      <c r="B32" s="34" t="s">
        <v>2396</v>
      </c>
      <c r="D32" s="63"/>
      <c r="E32" s="161"/>
    </row>
    <row r="33" customFormat="false" ht="15.75" hidden="false" customHeight="true" outlineLevel="0" collapsed="false">
      <c r="A33" s="34" t="s">
        <v>134</v>
      </c>
      <c r="B33" s="34" t="s">
        <v>2404</v>
      </c>
      <c r="D33" s="63"/>
      <c r="E33" s="161"/>
    </row>
    <row r="34" customFormat="false" ht="15.75" hidden="false" customHeight="true" outlineLevel="0" collapsed="false">
      <c r="A34" s="34" t="s">
        <v>123</v>
      </c>
      <c r="B34" s="34" t="s">
        <v>2408</v>
      </c>
      <c r="D34" s="63"/>
      <c r="E34" s="161"/>
    </row>
    <row r="35" customFormat="false" ht="15.75" hidden="false" customHeight="true" outlineLevel="0" collapsed="false">
      <c r="A35" s="34" t="s">
        <v>107</v>
      </c>
      <c r="B35" s="34" t="s">
        <v>2397</v>
      </c>
      <c r="D35" s="63"/>
      <c r="E35" s="161"/>
    </row>
    <row r="36" customFormat="false" ht="15.75" hidden="false" customHeight="true" outlineLevel="0" collapsed="false">
      <c r="A36" s="34" t="s">
        <v>91</v>
      </c>
      <c r="B36" s="34" t="s">
        <v>2403</v>
      </c>
      <c r="D36" s="63"/>
      <c r="E36" s="161"/>
    </row>
    <row r="37" customFormat="false" ht="15.75" hidden="false" customHeight="true" outlineLevel="0" collapsed="false">
      <c r="A37" s="34" t="s">
        <v>141</v>
      </c>
      <c r="B37" s="34" t="s">
        <v>2404</v>
      </c>
      <c r="D37" s="63"/>
      <c r="E37" s="161"/>
    </row>
    <row r="38" customFormat="false" ht="15.75" hidden="false" customHeight="true" outlineLevel="0" collapsed="false">
      <c r="A38" s="34" t="s">
        <v>198</v>
      </c>
      <c r="B38" s="34" t="s">
        <v>2405</v>
      </c>
      <c r="D38" s="63"/>
      <c r="E38" s="161"/>
    </row>
    <row r="39" customFormat="false" ht="15.75" hidden="false" customHeight="true" outlineLevel="0" collapsed="false">
      <c r="A39" s="34" t="s">
        <v>153</v>
      </c>
      <c r="B39" s="34" t="s">
        <v>2397</v>
      </c>
      <c r="D39" s="63"/>
      <c r="E39" s="161"/>
    </row>
    <row r="40" customFormat="false" ht="15.75" hidden="false" customHeight="true" outlineLevel="0" collapsed="false">
      <c r="A40" s="34" t="s">
        <v>232</v>
      </c>
      <c r="B40" s="34" t="s">
        <v>2398</v>
      </c>
      <c r="D40" s="63"/>
      <c r="E40" s="63"/>
    </row>
    <row r="41" customFormat="false" ht="15.75" hidden="false" customHeight="true" outlineLevel="0" collapsed="false">
      <c r="A41" s="34" t="s">
        <v>168</v>
      </c>
      <c r="B41" s="34" t="s">
        <v>2409</v>
      </c>
      <c r="D41" s="63"/>
      <c r="E41" s="161"/>
    </row>
    <row r="42" customFormat="false" ht="15.75" hidden="false" customHeight="true" outlineLevel="0" collapsed="false">
      <c r="A42" s="36" t="s">
        <v>208</v>
      </c>
      <c r="B42" s="36" t="s">
        <v>2398</v>
      </c>
      <c r="D42" s="63"/>
      <c r="E42" s="161"/>
    </row>
    <row r="43" customFormat="false" ht="15.75" hidden="false" customHeight="true" outlineLevel="0" collapsed="false">
      <c r="A43" s="34" t="s">
        <v>104</v>
      </c>
      <c r="B43" s="34" t="s">
        <v>2406</v>
      </c>
      <c r="D43" s="63"/>
      <c r="E43" s="161"/>
    </row>
    <row r="44" customFormat="false" ht="15.75" hidden="false" customHeight="true" outlineLevel="0" collapsed="false">
      <c r="A44" s="36" t="s">
        <v>214</v>
      </c>
      <c r="B44" s="36" t="s">
        <v>2398</v>
      </c>
      <c r="D44" s="162"/>
      <c r="E44" s="161"/>
    </row>
    <row r="45" customFormat="false" ht="15.75" hidden="false" customHeight="true" outlineLevel="0" collapsed="false">
      <c r="A45" s="34" t="s">
        <v>244</v>
      </c>
      <c r="B45" s="34" t="s">
        <v>2400</v>
      </c>
      <c r="D45" s="63"/>
      <c r="E45" s="161"/>
    </row>
    <row r="46" customFormat="false" ht="15.75" hidden="false" customHeight="true" outlineLevel="0" collapsed="false">
      <c r="A46" s="36" t="s">
        <v>224</v>
      </c>
      <c r="B46" s="36" t="s">
        <v>2402</v>
      </c>
      <c r="D46" s="63"/>
      <c r="E46" s="161"/>
    </row>
    <row r="47" customFormat="false" ht="15.75" hidden="false" customHeight="true" outlineLevel="0" collapsed="false">
      <c r="A47" s="34" t="s">
        <v>103</v>
      </c>
      <c r="B47" s="34" t="s">
        <v>2396</v>
      </c>
      <c r="D47" s="63"/>
      <c r="E47" s="161"/>
    </row>
    <row r="48" customFormat="false" ht="15.75" hidden="false" customHeight="true" outlineLevel="0" collapsed="false">
      <c r="A48" s="34" t="s">
        <v>130</v>
      </c>
      <c r="B48" s="34" t="s">
        <v>2398</v>
      </c>
      <c r="D48" s="63"/>
      <c r="E48" s="161"/>
    </row>
    <row r="49" customFormat="false" ht="15.75" hidden="false" customHeight="true" outlineLevel="0" collapsed="false">
      <c r="A49" s="34" t="s">
        <v>84</v>
      </c>
      <c r="B49" s="34" t="s">
        <v>2403</v>
      </c>
      <c r="D49" s="63"/>
      <c r="E49" s="161"/>
    </row>
    <row r="50" customFormat="false" ht="15.75" hidden="false" customHeight="true" outlineLevel="0" collapsed="false">
      <c r="A50" s="34" t="s">
        <v>161</v>
      </c>
      <c r="B50" s="34" t="s">
        <v>2396</v>
      </c>
      <c r="D50" s="63"/>
      <c r="E50" s="161"/>
    </row>
    <row r="51" customFormat="false" ht="15.75" hidden="false" customHeight="true" outlineLevel="0" collapsed="false">
      <c r="A51" s="34" t="s">
        <v>85</v>
      </c>
      <c r="B51" s="34" t="s">
        <v>2409</v>
      </c>
      <c r="D51" s="63"/>
      <c r="E51" s="161"/>
    </row>
    <row r="52" customFormat="false" ht="15.75" hidden="false" customHeight="true" outlineLevel="0" collapsed="false">
      <c r="A52" s="34" t="s">
        <v>121</v>
      </c>
      <c r="B52" s="34" t="s">
        <v>2397</v>
      </c>
      <c r="D52" s="63"/>
      <c r="E52" s="161"/>
    </row>
    <row r="53" customFormat="false" ht="15.75" hidden="false" customHeight="true" outlineLevel="0" collapsed="false">
      <c r="A53" s="34" t="s">
        <v>152</v>
      </c>
      <c r="B53" s="34" t="s">
        <v>2410</v>
      </c>
      <c r="D53" s="63"/>
      <c r="E53" s="161"/>
    </row>
    <row r="54" customFormat="false" ht="15.75" hidden="false" customHeight="true" outlineLevel="0" collapsed="false">
      <c r="A54" s="34" t="s">
        <v>205</v>
      </c>
      <c r="B54" s="34" t="s">
        <v>2397</v>
      </c>
      <c r="D54" s="63"/>
      <c r="E54" s="161"/>
    </row>
    <row r="55" customFormat="false" ht="15.75" hidden="false" customHeight="true" outlineLevel="0" collapsed="false">
      <c r="A55" s="34" t="s">
        <v>96</v>
      </c>
      <c r="B55" s="34" t="s">
        <v>2397</v>
      </c>
      <c r="D55" s="63"/>
      <c r="E55" s="161"/>
    </row>
    <row r="56" customFormat="false" ht="15.75" hidden="false" customHeight="true" outlineLevel="0" collapsed="false">
      <c r="A56" s="36" t="s">
        <v>233</v>
      </c>
      <c r="B56" s="36" t="s">
        <v>2409</v>
      </c>
      <c r="D56" s="63"/>
      <c r="E56" s="161"/>
    </row>
    <row r="57" customFormat="false" ht="15.75" hidden="false" customHeight="true" outlineLevel="0" collapsed="false">
      <c r="A57" s="34" t="s">
        <v>126</v>
      </c>
      <c r="B57" s="34" t="s">
        <v>2397</v>
      </c>
      <c r="D57" s="63"/>
      <c r="E57" s="161"/>
    </row>
    <row r="58" customFormat="false" ht="15.75" hidden="false" customHeight="true" outlineLevel="0" collapsed="false">
      <c r="A58" s="34" t="s">
        <v>200</v>
      </c>
      <c r="B58" s="34" t="s">
        <v>2399</v>
      </c>
      <c r="D58" s="63"/>
      <c r="E58" s="161"/>
    </row>
    <row r="59" customFormat="false" ht="15.75" hidden="false" customHeight="true" outlineLevel="0" collapsed="false">
      <c r="A59" s="34" t="s">
        <v>188</v>
      </c>
      <c r="B59" s="34" t="s">
        <v>2396</v>
      </c>
      <c r="D59" s="162"/>
      <c r="E59" s="161"/>
    </row>
    <row r="60" customFormat="false" ht="15.75" hidden="false" customHeight="true" outlineLevel="0" collapsed="false">
      <c r="A60" s="34" t="s">
        <v>247</v>
      </c>
      <c r="B60" s="34" t="s">
        <v>2411</v>
      </c>
      <c r="D60" s="63"/>
      <c r="E60" s="161"/>
    </row>
    <row r="61" customFormat="false" ht="15.75" hidden="false" customHeight="true" outlineLevel="0" collapsed="false">
      <c r="A61" s="34" t="s">
        <v>90</v>
      </c>
      <c r="B61" s="34" t="s">
        <v>2403</v>
      </c>
      <c r="D61" s="63"/>
      <c r="E61" s="161"/>
    </row>
    <row r="62" customFormat="false" ht="15.75" hidden="false" customHeight="true" outlineLevel="0" collapsed="false">
      <c r="A62" s="34" t="s">
        <v>36</v>
      </c>
      <c r="B62" s="34" t="s">
        <v>2397</v>
      </c>
      <c r="D62" s="63"/>
      <c r="E62" s="161"/>
    </row>
    <row r="63" customFormat="false" ht="15.75" hidden="false" customHeight="true" outlineLevel="0" collapsed="false">
      <c r="A63" s="34" t="s">
        <v>60</v>
      </c>
      <c r="B63" s="34" t="s">
        <v>2412</v>
      </c>
      <c r="D63" s="63"/>
      <c r="E63" s="161"/>
    </row>
    <row r="64" customFormat="false" ht="15.75" hidden="false" customHeight="true" outlineLevel="0" collapsed="false">
      <c r="A64" s="34" t="s">
        <v>246</v>
      </c>
      <c r="B64" s="34" t="s">
        <v>2413</v>
      </c>
      <c r="D64" s="63"/>
      <c r="E64" s="161"/>
    </row>
    <row r="65" customFormat="false" ht="15.75" hidden="false" customHeight="true" outlineLevel="0" collapsed="false">
      <c r="A65" s="34" t="s">
        <v>177</v>
      </c>
      <c r="B65" s="34" t="s">
        <v>2403</v>
      </c>
      <c r="D65" s="63"/>
      <c r="E65" s="161"/>
    </row>
    <row r="66" customFormat="false" ht="15.75" hidden="false" customHeight="true" outlineLevel="0" collapsed="false">
      <c r="A66" s="34" t="s">
        <v>73</v>
      </c>
      <c r="B66" s="34" t="s">
        <v>2404</v>
      </c>
      <c r="D66" s="63"/>
      <c r="E66" s="161"/>
    </row>
    <row r="67" customFormat="false" ht="15.75" hidden="false" customHeight="true" outlineLevel="0" collapsed="false">
      <c r="A67" s="34" t="s">
        <v>55</v>
      </c>
      <c r="B67" s="34" t="s">
        <v>2404</v>
      </c>
      <c r="D67" s="63"/>
      <c r="E67" s="161"/>
    </row>
    <row r="68" customFormat="false" ht="15.75" hidden="false" customHeight="true" outlineLevel="0" collapsed="false">
      <c r="A68" s="34" t="s">
        <v>98</v>
      </c>
      <c r="B68" s="34" t="s">
        <v>2404</v>
      </c>
      <c r="D68" s="63"/>
      <c r="E68" s="161"/>
    </row>
    <row r="69" customFormat="false" ht="15.75" hidden="false" customHeight="true" outlineLevel="0" collapsed="false">
      <c r="A69" s="34" t="s">
        <v>155</v>
      </c>
      <c r="B69" s="34" t="s">
        <v>2406</v>
      </c>
      <c r="D69" s="63"/>
      <c r="E69" s="161"/>
    </row>
    <row r="70" customFormat="false" ht="15.75" hidden="false" customHeight="true" outlineLevel="0" collapsed="false">
      <c r="A70" s="34" t="s">
        <v>180</v>
      </c>
      <c r="B70" s="34" t="s">
        <v>2405</v>
      </c>
      <c r="D70" s="63"/>
      <c r="E70" s="63"/>
    </row>
    <row r="71" customFormat="false" ht="15.75" hidden="false" customHeight="true" outlineLevel="0" collapsed="false">
      <c r="A71" s="34" t="s">
        <v>95</v>
      </c>
      <c r="B71" s="34" t="s">
        <v>2403</v>
      </c>
      <c r="D71" s="63"/>
      <c r="E71" s="161"/>
    </row>
    <row r="72" customFormat="false" ht="15.75" hidden="false" customHeight="true" outlineLevel="0" collapsed="false">
      <c r="A72" s="34" t="s">
        <v>297</v>
      </c>
      <c r="B72" s="34" t="s">
        <v>2414</v>
      </c>
      <c r="D72" s="63"/>
      <c r="E72" s="161"/>
    </row>
    <row r="73" customFormat="false" ht="15.75" hidden="false" customHeight="true" outlineLevel="0" collapsed="false">
      <c r="A73" s="34" t="s">
        <v>197</v>
      </c>
      <c r="B73" s="34" t="s">
        <v>2397</v>
      </c>
      <c r="D73" s="63"/>
      <c r="E73" s="161"/>
    </row>
    <row r="74" customFormat="false" ht="15.75" hidden="false" customHeight="true" outlineLevel="0" collapsed="false">
      <c r="A74" s="34" t="s">
        <v>165</v>
      </c>
      <c r="B74" s="34" t="s">
        <v>2412</v>
      </c>
      <c r="D74" s="63"/>
      <c r="E74" s="161"/>
    </row>
    <row r="75" customFormat="false" ht="15.75" hidden="false" customHeight="true" outlineLevel="0" collapsed="false">
      <c r="A75" s="34" t="s">
        <v>194</v>
      </c>
      <c r="B75" s="34" t="s">
        <v>2403</v>
      </c>
      <c r="D75" s="63"/>
      <c r="E75" s="161"/>
    </row>
    <row r="76" customFormat="false" ht="15.75" hidden="false" customHeight="true" outlineLevel="0" collapsed="false">
      <c r="A76" s="34" t="s">
        <v>81</v>
      </c>
      <c r="B76" s="34" t="s">
        <v>2415</v>
      </c>
      <c r="D76" s="63"/>
      <c r="E76" s="161"/>
    </row>
    <row r="77" customFormat="false" ht="15.75" hidden="false" customHeight="true" outlineLevel="0" collapsed="false">
      <c r="A77" s="34" t="s">
        <v>192</v>
      </c>
      <c r="B77" s="34" t="s">
        <v>2407</v>
      </c>
      <c r="D77" s="63"/>
      <c r="E77" s="161"/>
    </row>
    <row r="78" customFormat="false" ht="15.75" hidden="false" customHeight="true" outlineLevel="0" collapsed="false">
      <c r="A78" s="34" t="s">
        <v>128</v>
      </c>
      <c r="B78" s="34" t="s">
        <v>2397</v>
      </c>
      <c r="D78" s="63"/>
      <c r="E78" s="161"/>
    </row>
    <row r="79" customFormat="false" ht="15.75" hidden="false" customHeight="true" outlineLevel="0" collapsed="false">
      <c r="A79" s="34" t="s">
        <v>75</v>
      </c>
      <c r="B79" s="34" t="s">
        <v>2409</v>
      </c>
      <c r="D79" s="63"/>
      <c r="E79" s="161"/>
    </row>
    <row r="80" customFormat="false" ht="15.75" hidden="false" customHeight="true" outlineLevel="0" collapsed="false">
      <c r="A80" s="34" t="s">
        <v>108</v>
      </c>
      <c r="B80" s="34" t="s">
        <v>2398</v>
      </c>
      <c r="D80" s="63"/>
      <c r="E80" s="161"/>
    </row>
    <row r="81" customFormat="false" ht="15.75" hidden="false" customHeight="true" outlineLevel="0" collapsed="false">
      <c r="A81" s="34" t="s">
        <v>59</v>
      </c>
      <c r="B81" s="34" t="s">
        <v>2406</v>
      </c>
      <c r="D81" s="63"/>
      <c r="E81" s="161"/>
    </row>
    <row r="82" customFormat="false" ht="15.75" hidden="false" customHeight="true" outlineLevel="0" collapsed="false">
      <c r="A82" s="34" t="s">
        <v>184</v>
      </c>
      <c r="B82" s="34" t="s">
        <v>2416</v>
      </c>
      <c r="D82" s="63"/>
      <c r="E82" s="161"/>
    </row>
    <row r="83" customFormat="false" ht="15.75" hidden="false" customHeight="true" outlineLevel="0" collapsed="false">
      <c r="A83" s="34" t="s">
        <v>139</v>
      </c>
      <c r="B83" s="34" t="s">
        <v>2404</v>
      </c>
      <c r="D83" s="63"/>
      <c r="E83" s="161"/>
    </row>
    <row r="84" customFormat="false" ht="15.75" hidden="false" customHeight="true" outlineLevel="0" collapsed="false">
      <c r="A84" s="34" t="s">
        <v>218</v>
      </c>
      <c r="B84" s="34" t="s">
        <v>2408</v>
      </c>
      <c r="D84" s="63"/>
      <c r="E84" s="161"/>
    </row>
    <row r="85" customFormat="false" ht="15.75" hidden="false" customHeight="true" outlineLevel="0" collapsed="false">
      <c r="A85" s="34" t="s">
        <v>72</v>
      </c>
      <c r="B85" s="34" t="s">
        <v>2401</v>
      </c>
      <c r="D85" s="63"/>
      <c r="E85" s="161"/>
    </row>
    <row r="86" customFormat="false" ht="15.75" hidden="false" customHeight="true" outlineLevel="0" collapsed="false">
      <c r="A86" s="34" t="s">
        <v>41</v>
      </c>
      <c r="B86" s="34" t="s">
        <v>2401</v>
      </c>
      <c r="D86" s="63"/>
      <c r="E86" s="161"/>
    </row>
    <row r="87" customFormat="false" ht="15.75" hidden="false" customHeight="true" outlineLevel="0" collapsed="false">
      <c r="A87" s="34" t="s">
        <v>193</v>
      </c>
      <c r="B87" s="34" t="s">
        <v>2405</v>
      </c>
      <c r="D87" s="63"/>
      <c r="E87" s="161"/>
    </row>
    <row r="88" customFormat="false" ht="15.75" hidden="false" customHeight="true" outlineLevel="0" collapsed="false">
      <c r="A88" s="34" t="s">
        <v>187</v>
      </c>
      <c r="B88" s="34" t="s">
        <v>2397</v>
      </c>
      <c r="D88" s="63"/>
      <c r="E88" s="161"/>
    </row>
    <row r="89" customFormat="false" ht="15.75" hidden="false" customHeight="true" outlineLevel="0" collapsed="false">
      <c r="A89" s="34" t="s">
        <v>212</v>
      </c>
      <c r="B89" s="34" t="s">
        <v>2398</v>
      </c>
      <c r="D89" s="63"/>
      <c r="E89" s="161"/>
    </row>
    <row r="90" customFormat="false" ht="15.75" hidden="false" customHeight="true" outlineLevel="0" collapsed="false">
      <c r="A90" s="34" t="s">
        <v>42</v>
      </c>
      <c r="B90" s="34" t="s">
        <v>2406</v>
      </c>
      <c r="D90" s="63"/>
      <c r="E90" s="161"/>
    </row>
    <row r="91" customFormat="false" ht="15.75" hidden="false" customHeight="true" outlineLevel="0" collapsed="false">
      <c r="A91" s="34" t="s">
        <v>199</v>
      </c>
      <c r="B91" s="34" t="s">
        <v>2416</v>
      </c>
      <c r="D91" s="63"/>
      <c r="E91" s="161"/>
    </row>
    <row r="92" customFormat="false" ht="15.75" hidden="false" customHeight="true" outlineLevel="0" collapsed="false">
      <c r="A92" s="34" t="s">
        <v>186</v>
      </c>
      <c r="B92" s="34" t="s">
        <v>2416</v>
      </c>
      <c r="D92" s="63"/>
      <c r="E92" s="161"/>
    </row>
    <row r="93" customFormat="false" ht="15.75" hidden="false" customHeight="true" outlineLevel="0" collapsed="false">
      <c r="A93" s="34" t="s">
        <v>353</v>
      </c>
      <c r="B93" s="34" t="s">
        <v>2408</v>
      </c>
      <c r="D93" s="63"/>
      <c r="E93" s="161"/>
    </row>
    <row r="94" customFormat="false" ht="15.75" hidden="false" customHeight="true" outlineLevel="0" collapsed="false">
      <c r="A94" s="34" t="s">
        <v>106</v>
      </c>
      <c r="B94" s="34" t="s">
        <v>2406</v>
      </c>
      <c r="D94" s="63"/>
      <c r="E94" s="161"/>
    </row>
    <row r="95" customFormat="false" ht="15.75" hidden="false" customHeight="true" outlineLevel="0" collapsed="false">
      <c r="A95" s="34" t="s">
        <v>76</v>
      </c>
      <c r="B95" s="34" t="s">
        <v>2400</v>
      </c>
      <c r="D95" s="63"/>
      <c r="E95" s="161"/>
    </row>
    <row r="96" customFormat="false" ht="15.75" hidden="false" customHeight="true" outlineLevel="0" collapsed="false">
      <c r="A96" s="34" t="s">
        <v>151</v>
      </c>
      <c r="B96" s="34" t="s">
        <v>2405</v>
      </c>
      <c r="D96" s="63"/>
      <c r="E96" s="161"/>
    </row>
    <row r="97" customFormat="false" ht="15.75" hidden="false" customHeight="true" outlineLevel="0" collapsed="false">
      <c r="A97" s="34" t="s">
        <v>309</v>
      </c>
      <c r="B97" s="34" t="s">
        <v>2398</v>
      </c>
      <c r="D97" s="63"/>
      <c r="E97" s="161"/>
    </row>
    <row r="98" customFormat="false" ht="15.75" hidden="false" customHeight="true" outlineLevel="0" collapsed="false">
      <c r="A98" s="34" t="s">
        <v>150</v>
      </c>
      <c r="B98" s="34" t="s">
        <v>2410</v>
      </c>
      <c r="D98" s="63"/>
      <c r="E98" s="161"/>
    </row>
    <row r="99" customFormat="false" ht="15.75" hidden="false" customHeight="true" outlineLevel="0" collapsed="false">
      <c r="A99" s="34" t="s">
        <v>156</v>
      </c>
      <c r="B99" s="34" t="s">
        <v>2409</v>
      </c>
      <c r="D99" s="63"/>
      <c r="E99" s="161"/>
    </row>
    <row r="100" customFormat="false" ht="15.75" hidden="false" customHeight="true" outlineLevel="0" collapsed="false">
      <c r="A100" s="36" t="s">
        <v>225</v>
      </c>
      <c r="B100" s="36" t="s">
        <v>2406</v>
      </c>
      <c r="D100" s="63"/>
      <c r="E100" s="161"/>
    </row>
    <row r="101" customFormat="false" ht="15.75" hidden="false" customHeight="true" outlineLevel="0" collapsed="false">
      <c r="A101" s="34" t="s">
        <v>144</v>
      </c>
      <c r="B101" s="34" t="s">
        <v>2410</v>
      </c>
      <c r="D101" s="63"/>
      <c r="E101" s="162"/>
    </row>
    <row r="102" customFormat="false" ht="15.75" hidden="false" customHeight="true" outlineLevel="0" collapsed="false">
      <c r="A102" s="34" t="s">
        <v>47</v>
      </c>
      <c r="B102" s="34" t="s">
        <v>2406</v>
      </c>
      <c r="D102" s="63"/>
      <c r="E102" s="161"/>
    </row>
    <row r="103" customFormat="false" ht="15.75" hidden="false" customHeight="true" outlineLevel="0" collapsed="false">
      <c r="A103" s="34" t="s">
        <v>190</v>
      </c>
      <c r="B103" s="34" t="s">
        <v>2408</v>
      </c>
      <c r="D103" s="63"/>
      <c r="E103" s="161"/>
    </row>
    <row r="104" customFormat="false" ht="15.75" hidden="false" customHeight="true" outlineLevel="0" collapsed="false">
      <c r="A104" s="34" t="s">
        <v>132</v>
      </c>
      <c r="B104" s="34" t="s">
        <v>2409</v>
      </c>
      <c r="D104" s="63"/>
      <c r="E104" s="161"/>
    </row>
    <row r="105" customFormat="false" ht="15.75" hidden="false" customHeight="true" outlineLevel="0" collapsed="false">
      <c r="A105" s="34" t="s">
        <v>182</v>
      </c>
      <c r="B105" s="34" t="s">
        <v>2405</v>
      </c>
      <c r="D105" s="63"/>
      <c r="E105" s="161"/>
    </row>
    <row r="106" customFormat="false" ht="15.75" hidden="false" customHeight="true" outlineLevel="0" collapsed="false">
      <c r="A106" s="34" t="s">
        <v>221</v>
      </c>
      <c r="B106" s="34" t="s">
        <v>2414</v>
      </c>
      <c r="D106" s="63"/>
      <c r="E106" s="161"/>
    </row>
    <row r="107" customFormat="false" ht="15.75" hidden="false" customHeight="true" outlineLevel="0" collapsed="false">
      <c r="A107" s="34" t="s">
        <v>157</v>
      </c>
      <c r="B107" s="34" t="s">
        <v>2402</v>
      </c>
      <c r="D107" s="63"/>
      <c r="E107" s="161"/>
    </row>
    <row r="108" customFormat="false" ht="15.75" hidden="false" customHeight="true" outlineLevel="0" collapsed="false">
      <c r="A108" s="34" t="s">
        <v>230</v>
      </c>
      <c r="B108" s="34" t="s">
        <v>2398</v>
      </c>
      <c r="D108" s="63"/>
      <c r="E108" s="63"/>
    </row>
    <row r="109" customFormat="false" ht="15.75" hidden="false" customHeight="true" outlineLevel="0" collapsed="false">
      <c r="A109" s="34" t="s">
        <v>178</v>
      </c>
      <c r="B109" s="34" t="s">
        <v>2397</v>
      </c>
      <c r="D109" s="63"/>
      <c r="E109" s="161"/>
    </row>
    <row r="110" customFormat="false" ht="15.75" hidden="false" customHeight="true" outlineLevel="0" collapsed="false">
      <c r="A110" s="34" t="s">
        <v>263</v>
      </c>
      <c r="B110" s="34" t="s">
        <v>2401</v>
      </c>
      <c r="D110" s="63"/>
      <c r="E110" s="161"/>
    </row>
    <row r="111" customFormat="false" ht="15.75" hidden="false" customHeight="true" outlineLevel="0" collapsed="false">
      <c r="A111" s="36" t="s">
        <v>217</v>
      </c>
      <c r="B111" s="36" t="s">
        <v>2398</v>
      </c>
      <c r="D111" s="63"/>
      <c r="E111" s="161"/>
    </row>
    <row r="112" customFormat="false" ht="15.75" hidden="false" customHeight="true" outlineLevel="0" collapsed="false">
      <c r="A112" s="34" t="s">
        <v>57</v>
      </c>
      <c r="B112" s="34" t="s">
        <v>2399</v>
      </c>
      <c r="D112" s="63"/>
      <c r="E112" s="161"/>
    </row>
    <row r="113" customFormat="false" ht="15.75" hidden="false" customHeight="true" outlineLevel="0" collapsed="false">
      <c r="A113" s="34" t="s">
        <v>239</v>
      </c>
      <c r="B113" s="34" t="s">
        <v>2401</v>
      </c>
      <c r="D113" s="63"/>
      <c r="E113" s="161"/>
    </row>
    <row r="114" customFormat="false" ht="15.75" hidden="false" customHeight="true" outlineLevel="0" collapsed="false">
      <c r="A114" s="34" t="s">
        <v>248</v>
      </c>
      <c r="B114" s="34" t="s">
        <v>2400</v>
      </c>
      <c r="D114" s="63"/>
      <c r="E114" s="63"/>
    </row>
    <row r="115" customFormat="false" ht="15.75" hidden="false" customHeight="true" outlineLevel="0" collapsed="false">
      <c r="A115" s="34" t="s">
        <v>45</v>
      </c>
      <c r="B115" s="34" t="s">
        <v>2401</v>
      </c>
      <c r="D115" s="63"/>
      <c r="E115" s="161"/>
    </row>
    <row r="116" customFormat="false" ht="15.75" hidden="false" customHeight="true" outlineLevel="0" collapsed="false">
      <c r="A116" s="34" t="s">
        <v>145</v>
      </c>
      <c r="B116" s="34" t="s">
        <v>2397</v>
      </c>
      <c r="D116" s="63"/>
      <c r="E116" s="161"/>
    </row>
    <row r="117" customFormat="false" ht="15.75" hidden="false" customHeight="true" outlineLevel="0" collapsed="false">
      <c r="A117" s="36" t="s">
        <v>216</v>
      </c>
      <c r="B117" s="36" t="s">
        <v>2402</v>
      </c>
      <c r="D117" s="63"/>
      <c r="E117" s="161"/>
    </row>
    <row r="118" customFormat="false" ht="15.75" hidden="false" customHeight="true" outlineLevel="0" collapsed="false">
      <c r="A118" s="36" t="s">
        <v>209</v>
      </c>
      <c r="B118" s="36" t="s">
        <v>2396</v>
      </c>
      <c r="D118" s="63"/>
      <c r="E118" s="161"/>
    </row>
    <row r="119" customFormat="false" ht="15.75" hidden="false" customHeight="true" outlineLevel="0" collapsed="false">
      <c r="A119" s="34" t="s">
        <v>58</v>
      </c>
      <c r="B119" s="34" t="s">
        <v>2406</v>
      </c>
      <c r="D119" s="63"/>
      <c r="E119" s="161"/>
    </row>
    <row r="120" customFormat="false" ht="15.75" hidden="false" customHeight="true" outlineLevel="0" collapsed="false">
      <c r="A120" s="34" t="s">
        <v>237</v>
      </c>
      <c r="B120" s="34" t="s">
        <v>2409</v>
      </c>
      <c r="D120" s="63"/>
      <c r="E120" s="161"/>
    </row>
    <row r="121" customFormat="false" ht="15.75" hidden="false" customHeight="true" outlineLevel="0" collapsed="false">
      <c r="A121" s="34" t="s">
        <v>138</v>
      </c>
      <c r="B121" s="34" t="s">
        <v>2403</v>
      </c>
      <c r="D121" s="63"/>
      <c r="E121" s="161"/>
    </row>
    <row r="122" customFormat="false" ht="15.75" hidden="false" customHeight="true" outlineLevel="0" collapsed="false">
      <c r="A122" s="34" t="s">
        <v>164</v>
      </c>
      <c r="B122" s="34" t="s">
        <v>2398</v>
      </c>
      <c r="D122" s="63"/>
      <c r="E122" s="161"/>
    </row>
    <row r="123" customFormat="false" ht="15.75" hidden="false" customHeight="true" outlineLevel="0" collapsed="false">
      <c r="A123" s="36" t="s">
        <v>207</v>
      </c>
      <c r="B123" s="36" t="s">
        <v>626</v>
      </c>
      <c r="D123" s="63"/>
      <c r="E123" s="161"/>
    </row>
    <row r="124" customFormat="false" ht="15.75" hidden="false" customHeight="true" outlineLevel="0" collapsed="false">
      <c r="A124" s="36" t="s">
        <v>222</v>
      </c>
      <c r="B124" s="36" t="s">
        <v>2412</v>
      </c>
      <c r="D124" s="63"/>
      <c r="E124" s="161"/>
    </row>
    <row r="125" customFormat="false" ht="15.75" hidden="false" customHeight="true" outlineLevel="0" collapsed="false">
      <c r="A125" s="34" t="s">
        <v>93</v>
      </c>
      <c r="B125" s="34" t="s">
        <v>2414</v>
      </c>
      <c r="D125" s="63"/>
      <c r="E125" s="161"/>
    </row>
    <row r="126" customFormat="false" ht="15.75" hidden="false" customHeight="true" outlineLevel="0" collapsed="false">
      <c r="A126" s="34" t="s">
        <v>118</v>
      </c>
      <c r="B126" s="34" t="s">
        <v>2398</v>
      </c>
      <c r="D126" s="63"/>
      <c r="E126" s="63"/>
    </row>
    <row r="127" customFormat="false" ht="15.75" hidden="false" customHeight="true" outlineLevel="0" collapsed="false">
      <c r="A127" s="34" t="s">
        <v>87</v>
      </c>
      <c r="B127" s="34" t="s">
        <v>2409</v>
      </c>
      <c r="D127" s="63"/>
      <c r="E127" s="161"/>
    </row>
    <row r="128" customFormat="false" ht="15.75" hidden="false" customHeight="true" outlineLevel="0" collapsed="false">
      <c r="A128" s="34" t="s">
        <v>133</v>
      </c>
      <c r="B128" s="34" t="s">
        <v>2409</v>
      </c>
      <c r="D128" s="63"/>
      <c r="E128" s="161"/>
    </row>
    <row r="129" customFormat="false" ht="15.75" hidden="false" customHeight="true" outlineLevel="0" collapsed="false">
      <c r="A129" s="34" t="s">
        <v>146</v>
      </c>
      <c r="B129" s="34" t="s">
        <v>2403</v>
      </c>
      <c r="D129" s="63"/>
      <c r="E129" s="161"/>
    </row>
    <row r="130" customFormat="false" ht="15.75" hidden="false" customHeight="true" outlineLevel="0" collapsed="false">
      <c r="A130" s="34" t="s">
        <v>94</v>
      </c>
      <c r="B130" s="34" t="s">
        <v>2404</v>
      </c>
      <c r="D130" s="63"/>
      <c r="E130" s="161"/>
    </row>
    <row r="131" customFormat="false" ht="15.75" hidden="false" customHeight="true" outlineLevel="0" collapsed="false">
      <c r="A131" s="34" t="s">
        <v>116</v>
      </c>
      <c r="B131" s="34" t="s">
        <v>2398</v>
      </c>
      <c r="D131" s="63"/>
      <c r="E131" s="161"/>
    </row>
    <row r="132" customFormat="false" ht="15.75" hidden="false" customHeight="true" outlineLevel="0" collapsed="false">
      <c r="A132" s="34" t="s">
        <v>97</v>
      </c>
      <c r="B132" s="34" t="s">
        <v>2398</v>
      </c>
      <c r="D132" s="63"/>
      <c r="E132" s="161"/>
    </row>
    <row r="133" customFormat="false" ht="15.75" hidden="false" customHeight="true" outlineLevel="0" collapsed="false">
      <c r="A133" s="34" t="s">
        <v>63</v>
      </c>
      <c r="B133" s="34" t="s">
        <v>2397</v>
      </c>
      <c r="D133" s="63"/>
      <c r="E133" s="161"/>
    </row>
    <row r="134" customFormat="false" ht="15.75" hidden="false" customHeight="true" outlineLevel="0" collapsed="false">
      <c r="A134" s="34" t="s">
        <v>158</v>
      </c>
      <c r="B134" s="34" t="s">
        <v>2404</v>
      </c>
      <c r="D134" s="63"/>
      <c r="E134" s="161"/>
    </row>
    <row r="135" customFormat="false" ht="15.75" hidden="false" customHeight="true" outlineLevel="0" collapsed="false">
      <c r="A135" s="34" t="s">
        <v>249</v>
      </c>
      <c r="B135" s="34" t="s">
        <v>2403</v>
      </c>
      <c r="D135" s="63"/>
      <c r="E135" s="161"/>
    </row>
    <row r="136" customFormat="false" ht="15.75" hidden="false" customHeight="true" outlineLevel="0" collapsed="false">
      <c r="A136" s="34" t="s">
        <v>27</v>
      </c>
      <c r="B136" s="34" t="s">
        <v>2398</v>
      </c>
      <c r="D136" s="63"/>
      <c r="E136" s="161"/>
    </row>
    <row r="137" customFormat="false" ht="15.75" hidden="false" customHeight="true" outlineLevel="0" collapsed="false">
      <c r="A137" s="34" t="s">
        <v>183</v>
      </c>
      <c r="B137" s="34" t="s">
        <v>2398</v>
      </c>
      <c r="D137" s="63"/>
      <c r="E137" s="161"/>
    </row>
    <row r="138" customFormat="false" ht="15.75" hidden="false" customHeight="true" outlineLevel="0" collapsed="false">
      <c r="A138" s="34" t="s">
        <v>167</v>
      </c>
      <c r="B138" s="34" t="s">
        <v>2405</v>
      </c>
      <c r="D138" s="63"/>
      <c r="E138" s="161"/>
    </row>
    <row r="139" customFormat="false" ht="15.75" hidden="false" customHeight="true" outlineLevel="0" collapsed="false">
      <c r="A139" s="34" t="s">
        <v>68</v>
      </c>
      <c r="B139" s="34" t="s">
        <v>2404</v>
      </c>
      <c r="D139" s="63"/>
      <c r="E139" s="161"/>
    </row>
    <row r="140" customFormat="false" ht="15.75" hidden="false" customHeight="true" outlineLevel="0" collapsed="false">
      <c r="A140" s="34" t="s">
        <v>122</v>
      </c>
      <c r="B140" s="34" t="s">
        <v>2409</v>
      </c>
      <c r="D140" s="63"/>
      <c r="E140" s="161"/>
    </row>
    <row r="141" customFormat="false" ht="15.75" hidden="false" customHeight="true" outlineLevel="0" collapsed="false">
      <c r="A141" s="34" t="s">
        <v>83</v>
      </c>
      <c r="B141" s="34" t="s">
        <v>2404</v>
      </c>
      <c r="D141" s="63"/>
      <c r="E141" s="161"/>
    </row>
    <row r="142" customFormat="false" ht="15.75" hidden="false" customHeight="true" outlineLevel="0" collapsed="false">
      <c r="A142" s="34" t="s">
        <v>117</v>
      </c>
      <c r="B142" s="34" t="s">
        <v>2398</v>
      </c>
      <c r="D142" s="63"/>
      <c r="E142" s="161"/>
    </row>
    <row r="143" customFormat="false" ht="15.75" hidden="false" customHeight="true" outlineLevel="0" collapsed="false">
      <c r="A143" s="34" t="s">
        <v>39</v>
      </c>
      <c r="B143" s="34" t="s">
        <v>2401</v>
      </c>
      <c r="D143" s="63"/>
      <c r="E143" s="161"/>
    </row>
    <row r="144" customFormat="false" ht="15.75" hidden="false" customHeight="true" outlineLevel="0" collapsed="false">
      <c r="A144" s="34" t="s">
        <v>46</v>
      </c>
      <c r="B144" s="34" t="s">
        <v>2409</v>
      </c>
      <c r="D144" s="63"/>
      <c r="E144" s="161"/>
    </row>
    <row r="145" customFormat="false" ht="15.75" hidden="false" customHeight="true" outlineLevel="0" collapsed="false">
      <c r="A145" s="34" t="s">
        <v>261</v>
      </c>
      <c r="B145" s="34" t="s">
        <v>2412</v>
      </c>
      <c r="D145" s="63"/>
      <c r="E145" s="161"/>
    </row>
    <row r="146" customFormat="false" ht="15.75" hidden="false" customHeight="true" outlineLevel="0" collapsed="false">
      <c r="A146" s="34" t="s">
        <v>223</v>
      </c>
      <c r="B146" s="34" t="s">
        <v>2414</v>
      </c>
      <c r="D146" s="63"/>
      <c r="E146" s="161"/>
    </row>
    <row r="147" customFormat="false" ht="15.75" hidden="false" customHeight="true" outlineLevel="0" collapsed="false">
      <c r="A147" s="34" t="s">
        <v>147</v>
      </c>
      <c r="B147" s="34" t="s">
        <v>2397</v>
      </c>
      <c r="D147" s="63"/>
      <c r="E147" s="161"/>
    </row>
    <row r="148" customFormat="false" ht="15.75" hidden="false" customHeight="true" outlineLevel="0" collapsed="false">
      <c r="A148" s="34" t="s">
        <v>231</v>
      </c>
      <c r="B148" s="34" t="s">
        <v>2400</v>
      </c>
      <c r="D148" s="63"/>
      <c r="E148" s="161"/>
    </row>
    <row r="149" customFormat="false" ht="15.75" hidden="false" customHeight="true" outlineLevel="0" collapsed="false">
      <c r="A149" s="34" t="s">
        <v>64</v>
      </c>
      <c r="B149" s="34" t="s">
        <v>2401</v>
      </c>
      <c r="D149" s="63"/>
      <c r="E149" s="161"/>
    </row>
    <row r="150" customFormat="false" ht="15.75" hidden="false" customHeight="true" outlineLevel="0" collapsed="false">
      <c r="A150" s="34" t="s">
        <v>74</v>
      </c>
      <c r="B150" s="34" t="s">
        <v>2400</v>
      </c>
      <c r="D150" s="63"/>
      <c r="E150" s="161"/>
    </row>
    <row r="151" customFormat="false" ht="15.75" hidden="false" customHeight="true" outlineLevel="0" collapsed="false">
      <c r="A151" s="34" t="s">
        <v>243</v>
      </c>
      <c r="B151" s="34" t="s">
        <v>2402</v>
      </c>
      <c r="D151" s="63"/>
      <c r="E151" s="161"/>
    </row>
    <row r="152" customFormat="false" ht="15.75" hidden="false" customHeight="true" outlineLevel="0" collapsed="false">
      <c r="A152" s="34" t="s">
        <v>53</v>
      </c>
      <c r="B152" s="34" t="s">
        <v>2412</v>
      </c>
      <c r="D152" s="63"/>
      <c r="E152" s="161"/>
    </row>
    <row r="153" customFormat="false" ht="15.75" hidden="false" customHeight="true" outlineLevel="0" collapsed="false">
      <c r="A153" s="34" t="s">
        <v>54</v>
      </c>
      <c r="B153" s="34" t="s">
        <v>2409</v>
      </c>
      <c r="D153" s="63"/>
      <c r="E153" s="161"/>
    </row>
    <row r="154" customFormat="false" ht="15.75" hidden="false" customHeight="true" outlineLevel="0" collapsed="false">
      <c r="A154" s="34" t="s">
        <v>236</v>
      </c>
      <c r="B154" s="34" t="s">
        <v>2405</v>
      </c>
      <c r="D154" s="63"/>
      <c r="E154" s="161"/>
    </row>
    <row r="155" customFormat="false" ht="15.75" hidden="false" customHeight="true" outlineLevel="0" collapsed="false">
      <c r="A155" s="34" t="s">
        <v>166</v>
      </c>
      <c r="B155" s="34" t="s">
        <v>2405</v>
      </c>
      <c r="D155" s="63"/>
      <c r="E155" s="161"/>
    </row>
    <row r="156" customFormat="false" ht="15.75" hidden="false" customHeight="true" outlineLevel="0" collapsed="false">
      <c r="A156" s="34" t="s">
        <v>124</v>
      </c>
      <c r="B156" s="34" t="s">
        <v>2397</v>
      </c>
      <c r="D156" s="63"/>
      <c r="E156" s="161"/>
    </row>
    <row r="157" customFormat="false" ht="15.75" hidden="false" customHeight="true" outlineLevel="0" collapsed="false">
      <c r="A157" s="34" t="s">
        <v>425</v>
      </c>
      <c r="B157" s="34" t="s">
        <v>2417</v>
      </c>
      <c r="D157" s="63"/>
      <c r="E157" s="161"/>
    </row>
    <row r="158" customFormat="false" ht="15.75" hidden="false" customHeight="true" outlineLevel="0" collapsed="false">
      <c r="A158" s="36" t="s">
        <v>215</v>
      </c>
      <c r="B158" s="36" t="s">
        <v>2409</v>
      </c>
      <c r="D158" s="63"/>
      <c r="E158" s="161"/>
    </row>
    <row r="159" customFormat="false" ht="15.75" hidden="false" customHeight="true" outlineLevel="0" collapsed="false">
      <c r="A159" s="34" t="s">
        <v>43</v>
      </c>
      <c r="B159" s="34" t="s">
        <v>2398</v>
      </c>
      <c r="D159" s="63"/>
      <c r="E159" s="161"/>
    </row>
    <row r="160" customFormat="false" ht="15.75" hidden="false" customHeight="true" outlineLevel="0" collapsed="false">
      <c r="A160" s="34" t="s">
        <v>149</v>
      </c>
      <c r="B160" s="34" t="s">
        <v>2409</v>
      </c>
      <c r="D160" s="63"/>
      <c r="E160" s="161"/>
    </row>
    <row r="161" customFormat="false" ht="15.75" hidden="false" customHeight="true" outlineLevel="0" collapsed="false">
      <c r="A161" s="34" t="s">
        <v>189</v>
      </c>
      <c r="B161" s="34" t="s">
        <v>2405</v>
      </c>
      <c r="D161" s="63"/>
      <c r="E161" s="161"/>
    </row>
    <row r="162" customFormat="false" ht="15.75" hidden="false" customHeight="true" outlineLevel="0" collapsed="false">
      <c r="A162" s="34" t="s">
        <v>201</v>
      </c>
      <c r="B162" s="34" t="s">
        <v>2398</v>
      </c>
      <c r="D162" s="63"/>
      <c r="E162" s="161"/>
    </row>
    <row r="163" customFormat="false" ht="15.75" hidden="false" customHeight="true" outlineLevel="0" collapsed="false">
      <c r="A163" s="34" t="s">
        <v>331</v>
      </c>
      <c r="B163" s="34" t="s">
        <v>2412</v>
      </c>
      <c r="D163" s="63"/>
      <c r="E163" s="161"/>
    </row>
    <row r="164" customFormat="false" ht="15.75" hidden="false" customHeight="true" outlineLevel="0" collapsed="false">
      <c r="A164" s="34" t="s">
        <v>79</v>
      </c>
      <c r="B164" s="34" t="s">
        <v>2396</v>
      </c>
      <c r="D164" s="63"/>
      <c r="E164" s="161"/>
    </row>
    <row r="165" customFormat="false" ht="15.75" hidden="false" customHeight="true" outlineLevel="0" collapsed="false">
      <c r="A165" s="34" t="s">
        <v>148</v>
      </c>
      <c r="B165" s="34" t="s">
        <v>2396</v>
      </c>
      <c r="D165" s="63"/>
      <c r="E165" s="161"/>
    </row>
    <row r="166" customFormat="false" ht="15.75" hidden="false" customHeight="true" outlineLevel="0" collapsed="false">
      <c r="A166" s="163" t="s">
        <v>113</v>
      </c>
      <c r="B166" s="164" t="s">
        <v>2406</v>
      </c>
      <c r="D166" s="63"/>
      <c r="E166" s="161"/>
    </row>
    <row r="167" customFormat="false" ht="15.75" hidden="false" customHeight="true" outlineLevel="0" collapsed="false">
      <c r="A167" s="165" t="s">
        <v>211</v>
      </c>
      <c r="B167" s="166" t="s">
        <v>626</v>
      </c>
      <c r="D167" s="63"/>
      <c r="E167" s="161"/>
    </row>
    <row r="168" customFormat="false" ht="15.75" hidden="false" customHeight="true" outlineLevel="0" collapsed="false">
      <c r="A168" s="163" t="s">
        <v>173</v>
      </c>
      <c r="B168" s="164" t="s">
        <v>2396</v>
      </c>
      <c r="D168" s="63"/>
      <c r="E168" s="161"/>
    </row>
    <row r="169" customFormat="false" ht="15.75" hidden="false" customHeight="true" outlineLevel="0" collapsed="false">
      <c r="A169" s="163" t="s">
        <v>245</v>
      </c>
      <c r="B169" s="164" t="s">
        <v>2398</v>
      </c>
      <c r="D169" s="63"/>
      <c r="E169" s="161"/>
    </row>
    <row r="170" customFormat="false" ht="15.75" hidden="false" customHeight="true" outlineLevel="0" collapsed="false">
      <c r="A170" s="163" t="s">
        <v>80</v>
      </c>
      <c r="B170" s="164" t="s">
        <v>2400</v>
      </c>
      <c r="D170" s="63"/>
      <c r="E170" s="161"/>
    </row>
    <row r="171" customFormat="false" ht="15.75" hidden="false" customHeight="true" outlineLevel="0" collapsed="false">
      <c r="A171" s="165" t="s">
        <v>228</v>
      </c>
      <c r="B171" s="166" t="s">
        <v>2412</v>
      </c>
      <c r="D171" s="63"/>
      <c r="E171" s="161"/>
    </row>
    <row r="172" customFormat="false" ht="15.75" hidden="false" customHeight="true" outlineLevel="0" collapsed="false">
      <c r="A172" s="163" t="s">
        <v>62</v>
      </c>
      <c r="B172" s="164" t="s">
        <v>2399</v>
      </c>
      <c r="D172" s="63"/>
      <c r="E172" s="161"/>
    </row>
    <row r="173" customFormat="false" ht="15.75" hidden="false" customHeight="true" outlineLevel="0" collapsed="false">
      <c r="A173" s="163" t="s">
        <v>112</v>
      </c>
      <c r="B173" s="164" t="s">
        <v>2406</v>
      </c>
      <c r="D173" s="63"/>
      <c r="E173" s="161"/>
    </row>
    <row r="174" customFormat="false" ht="15.75" hidden="false" customHeight="true" outlineLevel="0" collapsed="false">
      <c r="A174" s="163" t="s">
        <v>196</v>
      </c>
      <c r="B174" s="164" t="s">
        <v>2398</v>
      </c>
      <c r="D174" s="63"/>
      <c r="E174" s="161"/>
    </row>
    <row r="175" customFormat="false" ht="15.75" hidden="false" customHeight="true" outlineLevel="0" collapsed="false">
      <c r="A175" s="163" t="s">
        <v>162</v>
      </c>
      <c r="B175" s="164" t="s">
        <v>2405</v>
      </c>
      <c r="D175" s="63"/>
      <c r="E175" s="161"/>
    </row>
    <row r="176" customFormat="false" ht="15.75" hidden="false" customHeight="true" outlineLevel="0" collapsed="false">
      <c r="A176" s="163" t="s">
        <v>88</v>
      </c>
      <c r="B176" s="164" t="s">
        <v>2401</v>
      </c>
      <c r="D176" s="63"/>
      <c r="E176" s="161"/>
    </row>
    <row r="177" customFormat="false" ht="15.75" hidden="false" customHeight="true" outlineLevel="0" collapsed="false">
      <c r="A177" s="163" t="s">
        <v>163</v>
      </c>
      <c r="B177" s="164" t="s">
        <v>2398</v>
      </c>
      <c r="D177" s="63"/>
      <c r="E177" s="161"/>
    </row>
    <row r="178" customFormat="false" ht="15.75" hidden="false" customHeight="true" outlineLevel="0" collapsed="false">
      <c r="A178" s="163" t="s">
        <v>204</v>
      </c>
      <c r="B178" s="164" t="s">
        <v>2416</v>
      </c>
      <c r="D178" s="63"/>
      <c r="E178" s="161"/>
    </row>
    <row r="179" customFormat="false" ht="15.75" hidden="false" customHeight="true" outlineLevel="0" collapsed="false">
      <c r="A179" s="163" t="s">
        <v>159</v>
      </c>
      <c r="B179" s="164" t="s">
        <v>2406</v>
      </c>
      <c r="D179" s="63"/>
      <c r="E179" s="161"/>
    </row>
    <row r="180" customFormat="false" ht="15.75" hidden="false" customHeight="true" outlineLevel="0" collapsed="false">
      <c r="A180" s="163" t="s">
        <v>171</v>
      </c>
      <c r="B180" s="164" t="s">
        <v>2399</v>
      </c>
      <c r="D180" s="63"/>
      <c r="E180" s="161"/>
    </row>
    <row r="181" customFormat="false" ht="15.75" hidden="false" customHeight="true" outlineLevel="0" collapsed="false">
      <c r="A181" s="163" t="s">
        <v>70</v>
      </c>
      <c r="B181" s="164" t="s">
        <v>2398</v>
      </c>
      <c r="D181" s="63"/>
      <c r="E181" s="63"/>
    </row>
    <row r="182" customFormat="false" ht="15.75" hidden="false" customHeight="true" outlineLevel="0" collapsed="false">
      <c r="A182" s="163" t="s">
        <v>101</v>
      </c>
      <c r="B182" s="164" t="s">
        <v>2397</v>
      </c>
      <c r="D182" s="63"/>
      <c r="E182" s="161"/>
    </row>
    <row r="183" customFormat="false" ht="15.75" hidden="false" customHeight="true" outlineLevel="0" collapsed="false">
      <c r="A183" s="48" t="s">
        <v>220</v>
      </c>
      <c r="B183" s="48" t="s">
        <v>2400</v>
      </c>
      <c r="D183" s="63"/>
      <c r="E183" s="161"/>
    </row>
    <row r="184" customFormat="false" ht="15.75" hidden="false" customHeight="true" outlineLevel="0" collapsed="false">
      <c r="A184" s="48" t="s">
        <v>440</v>
      </c>
      <c r="B184" s="48" t="s">
        <v>2400</v>
      </c>
      <c r="D184" s="63"/>
      <c r="E184" s="161"/>
    </row>
    <row r="185" customFormat="false" ht="15.75" hidden="false" customHeight="true" outlineLevel="0" collapsed="false">
      <c r="A185" s="48" t="s">
        <v>250</v>
      </c>
      <c r="B185" s="48" t="s">
        <v>2404</v>
      </c>
      <c r="D185" s="63"/>
      <c r="E185" s="161"/>
    </row>
    <row r="186" customFormat="false" ht="15.75" hidden="false" customHeight="true" outlineLevel="0" collapsed="false">
      <c r="A186" s="48" t="s">
        <v>203</v>
      </c>
      <c r="B186" s="48" t="s">
        <v>2396</v>
      </c>
      <c r="D186" s="63"/>
      <c r="E186" s="161"/>
    </row>
    <row r="187" customFormat="false" ht="15.75" hidden="false" customHeight="true" outlineLevel="0" collapsed="false">
      <c r="A187" s="48" t="s">
        <v>82</v>
      </c>
      <c r="B187" s="48" t="s">
        <v>2403</v>
      </c>
      <c r="D187" s="63"/>
      <c r="E187" s="161"/>
    </row>
    <row r="188" customFormat="false" ht="15.75" hidden="false" customHeight="true" outlineLevel="0" collapsed="false">
      <c r="A188" s="50" t="s">
        <v>226</v>
      </c>
      <c r="B188" s="50" t="s">
        <v>2402</v>
      </c>
      <c r="D188" s="63"/>
      <c r="E188" s="161"/>
    </row>
    <row r="189" customFormat="false" ht="15.75" hidden="false" customHeight="true" outlineLevel="0" collapsed="false">
      <c r="A189" s="48" t="s">
        <v>51</v>
      </c>
      <c r="B189" s="48" t="s">
        <v>2403</v>
      </c>
      <c r="D189" s="63"/>
      <c r="E189" s="161"/>
    </row>
    <row r="190" customFormat="false" ht="15.75" hidden="false" customHeight="true" outlineLevel="0" collapsed="false">
      <c r="A190" s="48" t="s">
        <v>169</v>
      </c>
      <c r="B190" s="48" t="s">
        <v>2396</v>
      </c>
      <c r="D190" s="63"/>
      <c r="E190" s="161"/>
    </row>
    <row r="191" customFormat="false" ht="15.75" hidden="false" customHeight="true" outlineLevel="0" collapsed="false">
      <c r="A191" s="48" t="s">
        <v>71</v>
      </c>
      <c r="B191" s="48" t="s">
        <v>2408</v>
      </c>
      <c r="D191" s="63"/>
      <c r="E191" s="161"/>
    </row>
    <row r="192" customFormat="false" ht="15.75" hidden="false" customHeight="true" outlineLevel="0" collapsed="false">
      <c r="A192" s="48" t="s">
        <v>99</v>
      </c>
      <c r="B192" s="48" t="s">
        <v>2397</v>
      </c>
      <c r="D192" s="63"/>
      <c r="E192" s="161"/>
    </row>
    <row r="193" customFormat="false" ht="15.75" hidden="false" customHeight="true" outlineLevel="0" collapsed="false">
      <c r="A193" s="48" t="s">
        <v>240</v>
      </c>
      <c r="B193" s="48" t="s">
        <v>2409</v>
      </c>
      <c r="D193" s="63"/>
      <c r="E193" s="161"/>
    </row>
    <row r="194" customFormat="false" ht="15.75" hidden="false" customHeight="true" outlineLevel="0" collapsed="false">
      <c r="A194" s="48" t="s">
        <v>170</v>
      </c>
      <c r="B194" s="48" t="s">
        <v>2404</v>
      </c>
      <c r="D194" s="63"/>
      <c r="E194" s="161"/>
    </row>
    <row r="195" customFormat="false" ht="15.75" hidden="false" customHeight="true" outlineLevel="0" collapsed="false">
      <c r="A195" s="48" t="s">
        <v>92</v>
      </c>
      <c r="B195" s="48" t="s">
        <v>2400</v>
      </c>
      <c r="D195" s="63"/>
      <c r="E195" s="161"/>
    </row>
    <row r="196" customFormat="false" ht="15.75" hidden="false" customHeight="true" outlineLevel="0" collapsed="false">
      <c r="A196" s="48" t="s">
        <v>61</v>
      </c>
      <c r="B196" s="48" t="s">
        <v>2401</v>
      </c>
      <c r="D196" s="63"/>
      <c r="E196" s="161"/>
    </row>
    <row r="197" customFormat="false" ht="15.75" hidden="false" customHeight="true" outlineLevel="0" collapsed="false">
      <c r="A197" s="48" t="s">
        <v>458</v>
      </c>
      <c r="B197" s="48" t="s">
        <v>2409</v>
      </c>
      <c r="D197" s="63"/>
      <c r="E197" s="161"/>
    </row>
    <row r="198" customFormat="false" ht="15.75" hidden="false" customHeight="true" outlineLevel="0" collapsed="false">
      <c r="A198" s="48" t="s">
        <v>135</v>
      </c>
      <c r="B198" s="48" t="s">
        <v>2409</v>
      </c>
      <c r="D198" s="63"/>
      <c r="E198" s="161"/>
    </row>
    <row r="199" customFormat="false" ht="15.75" hidden="false" customHeight="true" outlineLevel="0" collapsed="false">
      <c r="A199" s="48" t="s">
        <v>89</v>
      </c>
      <c r="B199" s="48" t="s">
        <v>2409</v>
      </c>
      <c r="D199" s="63"/>
      <c r="E199" s="161"/>
    </row>
    <row r="200" customFormat="false" ht="15.75" hidden="false" customHeight="true" outlineLevel="0" collapsed="false">
      <c r="A200" s="48" t="s">
        <v>241</v>
      </c>
      <c r="B200" s="48" t="s">
        <v>2404</v>
      </c>
      <c r="D200" s="63"/>
      <c r="E200" s="161"/>
    </row>
    <row r="201" customFormat="false" ht="15.75" hidden="false" customHeight="true" outlineLevel="0" collapsed="false">
      <c r="A201" s="48" t="s">
        <v>530</v>
      </c>
      <c r="B201" s="48" t="s">
        <v>2418</v>
      </c>
      <c r="D201" s="63"/>
      <c r="E201" s="161"/>
    </row>
    <row r="202" customFormat="false" ht="15.75" hidden="false" customHeight="true" outlineLevel="0" collapsed="false">
      <c r="A202" s="48" t="s">
        <v>142</v>
      </c>
      <c r="B202" s="48" t="s">
        <v>2417</v>
      </c>
      <c r="D202" s="63"/>
      <c r="E202" s="161"/>
    </row>
    <row r="203" customFormat="false" ht="15.75" hidden="false" customHeight="true" outlineLevel="0" collapsed="false">
      <c r="A203" s="48" t="s">
        <v>115</v>
      </c>
      <c r="B203" s="48" t="s">
        <v>2403</v>
      </c>
      <c r="D203" s="63"/>
      <c r="E203" s="161"/>
    </row>
    <row r="204" customFormat="false" ht="15.75" hidden="false" customHeight="true" outlineLevel="0" collapsed="false">
      <c r="A204" s="48" t="s">
        <v>264</v>
      </c>
      <c r="B204" s="48" t="s">
        <v>2400</v>
      </c>
      <c r="D204" s="63"/>
      <c r="E204" s="161"/>
    </row>
    <row r="205" customFormat="false" ht="15.75" hidden="false" customHeight="true" outlineLevel="0" collapsed="false">
      <c r="A205" s="48" t="s">
        <v>38</v>
      </c>
      <c r="B205" s="48" t="s">
        <v>2397</v>
      </c>
      <c r="D205" s="63"/>
      <c r="E205" s="161"/>
    </row>
    <row r="206" customFormat="false" ht="15.75" hidden="false" customHeight="true" outlineLevel="0" collapsed="false">
      <c r="A206" s="48" t="s">
        <v>78</v>
      </c>
      <c r="B206" s="48" t="s">
        <v>2404</v>
      </c>
      <c r="D206" s="63"/>
      <c r="E206" s="161"/>
    </row>
    <row r="207" customFormat="false" ht="15.75" hidden="false" customHeight="true" outlineLevel="0" collapsed="false">
      <c r="A207" s="48" t="s">
        <v>127</v>
      </c>
      <c r="B207" s="48" t="s">
        <v>2399</v>
      </c>
      <c r="D207" s="63"/>
      <c r="E207" s="161"/>
    </row>
    <row r="208" customFormat="false" ht="15.75" hidden="false" customHeight="true" outlineLevel="0" collapsed="false">
      <c r="A208" s="48" t="s">
        <v>213</v>
      </c>
      <c r="B208" s="48" t="s">
        <v>2406</v>
      </c>
      <c r="D208" s="63"/>
      <c r="E208" s="161"/>
    </row>
    <row r="209" customFormat="false" ht="15.75" hidden="false" customHeight="true" outlineLevel="0" collapsed="false">
      <c r="A209" s="50" t="s">
        <v>49</v>
      </c>
      <c r="B209" s="50" t="s">
        <v>2402</v>
      </c>
      <c r="D209" s="63"/>
      <c r="E209" s="161"/>
    </row>
    <row r="210" customFormat="false" ht="15.75" hidden="false" customHeight="true" outlineLevel="0" collapsed="false">
      <c r="A210" s="48" t="s">
        <v>181</v>
      </c>
      <c r="B210" s="48" t="s">
        <v>2396</v>
      </c>
      <c r="D210" s="63"/>
      <c r="E210" s="161"/>
    </row>
    <row r="211" customFormat="false" ht="15.75" hidden="false" customHeight="true" outlineLevel="0" collapsed="false">
      <c r="A211" s="50" t="s">
        <v>219</v>
      </c>
      <c r="B211" s="50" t="s">
        <v>2397</v>
      </c>
      <c r="D211" s="63"/>
      <c r="E211" s="161"/>
    </row>
    <row r="212" customFormat="false" ht="15.75" hidden="false" customHeight="true" outlineLevel="0" collapsed="false">
      <c r="A212" s="48" t="s">
        <v>110</v>
      </c>
      <c r="B212" s="48" t="s">
        <v>2401</v>
      </c>
      <c r="D212" s="63"/>
      <c r="E212" s="161"/>
    </row>
    <row r="213" customFormat="false" ht="15.75" hidden="false" customHeight="true" outlineLevel="0" collapsed="false">
      <c r="A213" s="48" t="s">
        <v>56</v>
      </c>
      <c r="B213" s="48" t="s">
        <v>2397</v>
      </c>
      <c r="D213" s="63"/>
      <c r="E213" s="161"/>
    </row>
    <row r="214" customFormat="false" ht="15.75" hidden="false" customHeight="true" outlineLevel="0" collapsed="false">
      <c r="A214" s="48" t="s">
        <v>48</v>
      </c>
      <c r="B214" s="48" t="s">
        <v>2409</v>
      </c>
      <c r="D214" s="63"/>
      <c r="E214" s="161"/>
    </row>
    <row r="215" customFormat="false" ht="15.75" hidden="false" customHeight="true" outlineLevel="0" collapsed="false">
      <c r="A215" s="48" t="s">
        <v>234</v>
      </c>
      <c r="B215" s="48" t="s">
        <v>2406</v>
      </c>
      <c r="D215" s="63"/>
      <c r="E215" s="161"/>
    </row>
    <row r="216" customFormat="false" ht="15.75" hidden="false" customHeight="true" outlineLevel="0" collapsed="false">
      <c r="A216" s="48" t="s">
        <v>550</v>
      </c>
      <c r="B216" s="48" t="s">
        <v>2402</v>
      </c>
      <c r="D216" s="63"/>
      <c r="E216" s="161"/>
    </row>
    <row r="217" customFormat="false" ht="15.75" hidden="false" customHeight="true" outlineLevel="0" collapsed="false">
      <c r="A217" s="48" t="s">
        <v>109</v>
      </c>
      <c r="B217" s="48" t="s">
        <v>2403</v>
      </c>
      <c r="D217" s="63"/>
      <c r="E217" s="161"/>
    </row>
    <row r="218" customFormat="false" ht="15.75" hidden="false" customHeight="true" outlineLevel="0" collapsed="false">
      <c r="D218" s="63"/>
      <c r="E218" s="161"/>
    </row>
    <row r="219" customFormat="false" ht="15.75" hidden="false" customHeight="true" outlineLevel="0" collapsed="false">
      <c r="D219" s="63"/>
      <c r="E219" s="161"/>
    </row>
    <row r="220" customFormat="false" ht="15.75" hidden="false" customHeight="true" outlineLevel="0" collapsed="false">
      <c r="D220" s="63"/>
      <c r="E220" s="161"/>
    </row>
    <row r="221" customFormat="false" ht="15.75" hidden="false" customHeight="true" outlineLevel="0" collapsed="false">
      <c r="D221" s="63"/>
      <c r="E221" s="161"/>
    </row>
    <row r="222" customFormat="false" ht="15.75" hidden="false" customHeight="true" outlineLevel="0" collapsed="false">
      <c r="D222" s="63"/>
      <c r="E222" s="161"/>
    </row>
    <row r="223" customFormat="false" ht="15.75" hidden="false" customHeight="true" outlineLevel="0" collapsed="false">
      <c r="D223" s="63"/>
      <c r="E223" s="161"/>
    </row>
    <row r="224" customFormat="false" ht="15.75" hidden="false" customHeight="true" outlineLevel="0" collapsed="false">
      <c r="D224" s="63"/>
      <c r="E224" s="161"/>
    </row>
    <row r="225" customFormat="false" ht="15.75" hidden="false" customHeight="true" outlineLevel="0" collapsed="false">
      <c r="D225" s="63"/>
      <c r="E225" s="161"/>
    </row>
    <row r="226" customFormat="false" ht="15.75" hidden="false" customHeight="true" outlineLevel="0" collapsed="false">
      <c r="D226" s="63"/>
      <c r="E226" s="161"/>
    </row>
    <row r="227" customFormat="false" ht="15.75" hidden="false" customHeight="true" outlineLevel="0" collapsed="false">
      <c r="D227" s="63"/>
      <c r="E227" s="161"/>
    </row>
    <row r="228" customFormat="false" ht="15.75" hidden="false" customHeight="true" outlineLevel="0" collapsed="false">
      <c r="D228" s="63"/>
      <c r="E228" s="161"/>
    </row>
    <row r="229" customFormat="false" ht="15.75" hidden="false" customHeight="true" outlineLevel="0" collapsed="false">
      <c r="D229" s="63"/>
      <c r="E229" s="161"/>
    </row>
    <row r="230" customFormat="false" ht="15.75" hidden="false" customHeight="true" outlineLevel="0" collapsed="false">
      <c r="D230" s="63"/>
      <c r="E230" s="161"/>
    </row>
    <row r="231" customFormat="false" ht="15.75" hidden="false" customHeight="true" outlineLevel="0" collapsed="false">
      <c r="D231" s="63"/>
      <c r="E231" s="161"/>
    </row>
    <row r="232" customFormat="false" ht="15.75" hidden="false" customHeight="true" outlineLevel="0" collapsed="false">
      <c r="D232" s="63"/>
      <c r="E232" s="161"/>
    </row>
    <row r="233" customFormat="false" ht="15.75" hidden="false" customHeight="true" outlineLevel="0" collapsed="false">
      <c r="D233" s="63"/>
      <c r="E233" s="161"/>
    </row>
    <row r="234" customFormat="false" ht="15.75" hidden="false" customHeight="true" outlineLevel="0" collapsed="false">
      <c r="D234" s="63"/>
      <c r="E234" s="161"/>
    </row>
    <row r="235" customFormat="false" ht="15.75" hidden="false" customHeight="true" outlineLevel="0" collapsed="false">
      <c r="D235" s="63"/>
      <c r="E235" s="161"/>
    </row>
    <row r="236" customFormat="false" ht="15.75" hidden="false" customHeight="true" outlineLevel="0" collapsed="false">
      <c r="D236" s="63"/>
      <c r="E236" s="161"/>
    </row>
    <row r="237" customFormat="false" ht="15.75" hidden="false" customHeight="true" outlineLevel="0" collapsed="false">
      <c r="D237" s="63"/>
      <c r="E237" s="161"/>
    </row>
    <row r="238" customFormat="false" ht="15.75" hidden="false" customHeight="true" outlineLevel="0" collapsed="false">
      <c r="D238" s="63"/>
      <c r="E238" s="161"/>
    </row>
    <row r="239" customFormat="false" ht="15.75" hidden="false" customHeight="true" outlineLevel="0" collapsed="false">
      <c r="D239" s="63"/>
      <c r="E239" s="161"/>
    </row>
    <row r="240" customFormat="false" ht="15.75" hidden="false" customHeight="true" outlineLevel="0" collapsed="false">
      <c r="D240" s="63"/>
      <c r="E240" s="161"/>
    </row>
    <row r="241" customFormat="false" ht="15.75" hidden="false" customHeight="true" outlineLevel="0" collapsed="false">
      <c r="D241" s="63"/>
      <c r="E241" s="161"/>
    </row>
    <row r="242" customFormat="false" ht="15.75" hidden="false" customHeight="true" outlineLevel="0" collapsed="false">
      <c r="D242" s="63"/>
      <c r="E242" s="161"/>
    </row>
    <row r="243" customFormat="false" ht="15.75" hidden="false" customHeight="true" outlineLevel="0" collapsed="false">
      <c r="D243" s="63"/>
      <c r="E243" s="161"/>
    </row>
    <row r="244" customFormat="false" ht="15.75" hidden="false" customHeight="true" outlineLevel="0" collapsed="false">
      <c r="D244" s="63"/>
      <c r="E244" s="161"/>
    </row>
    <row r="245" customFormat="false" ht="15.75" hidden="false" customHeight="true" outlineLevel="0" collapsed="false">
      <c r="D245" s="63"/>
      <c r="E245" s="161"/>
    </row>
    <row r="246" customFormat="false" ht="15.75" hidden="false" customHeight="true" outlineLevel="0" collapsed="false">
      <c r="D246" s="63"/>
      <c r="E246" s="161"/>
    </row>
    <row r="247" customFormat="false" ht="15.75" hidden="false" customHeight="true" outlineLevel="0" collapsed="false">
      <c r="D247" s="63"/>
      <c r="E247" s="161"/>
    </row>
    <row r="248" customFormat="false" ht="15.75" hidden="false" customHeight="true" outlineLevel="0" collapsed="false">
      <c r="D248" s="63"/>
      <c r="E248" s="161"/>
    </row>
    <row r="249" customFormat="false" ht="15.75" hidden="false" customHeight="true" outlineLevel="0" collapsed="false">
      <c r="D249" s="63"/>
      <c r="E249" s="161"/>
    </row>
    <row r="250" customFormat="false" ht="15.75" hidden="false" customHeight="true" outlineLevel="0" collapsed="false">
      <c r="D250" s="63"/>
      <c r="E250" s="161"/>
    </row>
    <row r="251" customFormat="false" ht="15.75" hidden="false" customHeight="true" outlineLevel="0" collapsed="false">
      <c r="D251" s="63"/>
      <c r="E251" s="161"/>
    </row>
    <row r="252" customFormat="false" ht="15.75" hidden="false" customHeight="true" outlineLevel="0" collapsed="false">
      <c r="D252" s="63"/>
      <c r="E252" s="161"/>
    </row>
    <row r="253" customFormat="false" ht="15.75" hidden="false" customHeight="true" outlineLevel="0" collapsed="false">
      <c r="D253" s="63"/>
      <c r="E253" s="161"/>
    </row>
    <row r="254" customFormat="false" ht="15.75" hidden="false" customHeight="true" outlineLevel="0" collapsed="false">
      <c r="D254" s="63"/>
      <c r="E254" s="161"/>
    </row>
    <row r="255" customFormat="false" ht="15.75" hidden="false" customHeight="true" outlineLevel="0" collapsed="false">
      <c r="D255" s="63"/>
      <c r="E255" s="161"/>
    </row>
    <row r="256" customFormat="false" ht="15.75" hidden="false" customHeight="true" outlineLevel="0" collapsed="false">
      <c r="D256" s="63"/>
      <c r="E256" s="63"/>
    </row>
    <row r="257" customFormat="false" ht="15.75" hidden="false" customHeight="true" outlineLevel="0" collapsed="false">
      <c r="D257" s="63"/>
      <c r="E257" s="161"/>
    </row>
    <row r="258" customFormat="false" ht="15.75" hidden="false" customHeight="true" outlineLevel="0" collapsed="false">
      <c r="D258" s="63"/>
      <c r="E258" s="161"/>
    </row>
    <row r="259" customFormat="false" ht="15.75" hidden="false" customHeight="true" outlineLevel="0" collapsed="false">
      <c r="D259" s="63"/>
      <c r="E259" s="161"/>
    </row>
    <row r="260" customFormat="false" ht="15.75" hidden="false" customHeight="true" outlineLevel="0" collapsed="false">
      <c r="D260" s="63"/>
      <c r="E260" s="161"/>
    </row>
    <row r="261" customFormat="false" ht="15.75" hidden="false" customHeight="true" outlineLevel="0" collapsed="false">
      <c r="D261" s="63"/>
      <c r="E261" s="161"/>
    </row>
    <row r="262" customFormat="false" ht="15.75" hidden="false" customHeight="true" outlineLevel="0" collapsed="false">
      <c r="D262" s="63"/>
      <c r="E262" s="161"/>
    </row>
    <row r="263" customFormat="false" ht="15.75" hidden="false" customHeight="true" outlineLevel="0" collapsed="false">
      <c r="D263" s="63"/>
      <c r="E263" s="161"/>
    </row>
    <row r="264" customFormat="false" ht="15.75" hidden="false" customHeight="true" outlineLevel="0" collapsed="false">
      <c r="D264" s="63"/>
      <c r="E264" s="161"/>
    </row>
    <row r="265" customFormat="false" ht="15.75" hidden="false" customHeight="true" outlineLevel="0" collapsed="false">
      <c r="D265" s="63"/>
      <c r="E265" s="161"/>
    </row>
    <row r="266" customFormat="false" ht="15.75" hidden="false" customHeight="true" outlineLevel="0" collapsed="false">
      <c r="D266" s="63"/>
      <c r="E266" s="161"/>
    </row>
    <row r="267" customFormat="false" ht="15.75" hidden="false" customHeight="true" outlineLevel="0" collapsed="false">
      <c r="D267" s="63"/>
      <c r="E267" s="161"/>
    </row>
    <row r="268" customFormat="false" ht="15.75" hidden="false" customHeight="true" outlineLevel="0" collapsed="false">
      <c r="D268" s="63"/>
      <c r="E268" s="161"/>
    </row>
    <row r="269" customFormat="false" ht="15.75" hidden="false" customHeight="true" outlineLevel="0" collapsed="false">
      <c r="D269" s="63"/>
      <c r="E269" s="161"/>
    </row>
    <row r="270" customFormat="false" ht="15.75" hidden="false" customHeight="true" outlineLevel="0" collapsed="false">
      <c r="D270" s="63"/>
      <c r="E270" s="161"/>
    </row>
    <row r="271" customFormat="false" ht="15.75" hidden="false" customHeight="true" outlineLevel="0" collapsed="false">
      <c r="D271" s="63"/>
      <c r="E271" s="161"/>
    </row>
    <row r="272" customFormat="false" ht="15.75" hidden="false" customHeight="true" outlineLevel="0" collapsed="false">
      <c r="D272" s="63"/>
      <c r="E272" s="161"/>
    </row>
    <row r="273" customFormat="false" ht="15.75" hidden="false" customHeight="true" outlineLevel="0" collapsed="false">
      <c r="D273" s="63"/>
      <c r="E273" s="161"/>
    </row>
    <row r="274" customFormat="false" ht="15.75" hidden="false" customHeight="true" outlineLevel="0" collapsed="false">
      <c r="D274" s="63"/>
      <c r="E274" s="161"/>
    </row>
    <row r="275" customFormat="false" ht="15.75" hidden="false" customHeight="true" outlineLevel="0" collapsed="false">
      <c r="D275" s="63"/>
      <c r="E275" s="161"/>
    </row>
    <row r="276" customFormat="false" ht="15.75" hidden="false" customHeight="true" outlineLevel="0" collapsed="false">
      <c r="D276" s="63"/>
      <c r="E276" s="161"/>
    </row>
    <row r="277" customFormat="false" ht="15.75" hidden="false" customHeight="true" outlineLevel="0" collapsed="false">
      <c r="D277" s="63"/>
      <c r="E277" s="161"/>
    </row>
    <row r="278" customFormat="false" ht="15.75" hidden="false" customHeight="true" outlineLevel="0" collapsed="false">
      <c r="D278" s="63"/>
      <c r="E278" s="161"/>
    </row>
    <row r="279" customFormat="false" ht="15.75" hidden="false" customHeight="true" outlineLevel="0" collapsed="false">
      <c r="D279" s="63"/>
      <c r="E279" s="161"/>
    </row>
    <row r="280" customFormat="false" ht="15.75" hidden="false" customHeight="true" outlineLevel="0" collapsed="false">
      <c r="D280" s="63"/>
      <c r="E280" s="161"/>
    </row>
    <row r="281" customFormat="false" ht="15.75" hidden="false" customHeight="true" outlineLevel="0" collapsed="false">
      <c r="D281" s="63"/>
      <c r="E281" s="161"/>
    </row>
    <row r="282" customFormat="false" ht="15.75" hidden="false" customHeight="true" outlineLevel="0" collapsed="false">
      <c r="D282" s="63"/>
      <c r="E282" s="161"/>
    </row>
    <row r="283" customFormat="false" ht="15.75" hidden="false" customHeight="true" outlineLevel="0" collapsed="false">
      <c r="D283" s="63"/>
      <c r="E283" s="161"/>
    </row>
    <row r="284" customFormat="false" ht="15.75" hidden="false" customHeight="true" outlineLevel="0" collapsed="false">
      <c r="D284" s="63"/>
      <c r="E284" s="161"/>
    </row>
    <row r="285" customFormat="false" ht="15.75" hidden="false" customHeight="true" outlineLevel="0" collapsed="false">
      <c r="D285" s="63"/>
      <c r="E285" s="161"/>
    </row>
    <row r="286" customFormat="false" ht="15.75" hidden="false" customHeight="true" outlineLevel="0" collapsed="false">
      <c r="D286" s="63"/>
      <c r="E286" s="161"/>
    </row>
    <row r="287" customFormat="false" ht="15.75" hidden="false" customHeight="true" outlineLevel="0" collapsed="false">
      <c r="D287" s="63"/>
      <c r="E287" s="161"/>
    </row>
    <row r="288" customFormat="false" ht="15.75" hidden="false" customHeight="true" outlineLevel="0" collapsed="false">
      <c r="D288" s="63"/>
      <c r="E288" s="161"/>
    </row>
    <row r="289" customFormat="false" ht="15.75" hidden="false" customHeight="true" outlineLevel="0" collapsed="false">
      <c r="D289" s="63"/>
      <c r="E289" s="161"/>
    </row>
    <row r="290" customFormat="false" ht="15.75" hidden="false" customHeight="true" outlineLevel="0" collapsed="false">
      <c r="D290" s="63"/>
      <c r="E290" s="161"/>
    </row>
    <row r="291" customFormat="false" ht="15.75" hidden="false" customHeight="true" outlineLevel="0" collapsed="false">
      <c r="D291" s="63"/>
      <c r="E291" s="161"/>
    </row>
    <row r="292" customFormat="false" ht="15.75" hidden="false" customHeight="true" outlineLevel="0" collapsed="false">
      <c r="D292" s="63"/>
      <c r="E292" s="161"/>
    </row>
    <row r="293" customFormat="false" ht="15.75" hidden="false" customHeight="true" outlineLevel="0" collapsed="false">
      <c r="D293" s="63"/>
      <c r="E293" s="161"/>
    </row>
    <row r="294" customFormat="false" ht="15.75" hidden="false" customHeight="true" outlineLevel="0" collapsed="false">
      <c r="D294" s="63"/>
      <c r="E294" s="161"/>
    </row>
    <row r="295" customFormat="false" ht="15.75" hidden="false" customHeight="true" outlineLevel="0" collapsed="false">
      <c r="D295" s="63"/>
      <c r="E295" s="161"/>
    </row>
    <row r="296" customFormat="false" ht="15.75" hidden="false" customHeight="true" outlineLevel="0" collapsed="false">
      <c r="D296" s="63"/>
      <c r="E296" s="161"/>
    </row>
    <row r="297" customFormat="false" ht="15.75" hidden="false" customHeight="true" outlineLevel="0" collapsed="false">
      <c r="D297" s="63"/>
      <c r="E297" s="161"/>
    </row>
    <row r="298" customFormat="false" ht="15.75" hidden="false" customHeight="true" outlineLevel="0" collapsed="false">
      <c r="D298" s="63"/>
      <c r="E298" s="161"/>
    </row>
    <row r="299" customFormat="false" ht="15.75" hidden="false" customHeight="true" outlineLevel="0" collapsed="false">
      <c r="D299" s="63"/>
      <c r="E299" s="161"/>
    </row>
    <row r="300" customFormat="false" ht="15.75" hidden="false" customHeight="true" outlineLevel="0" collapsed="false">
      <c r="D300" s="63"/>
      <c r="E300" s="161"/>
    </row>
    <row r="301" customFormat="false" ht="15.75" hidden="false" customHeight="true" outlineLevel="0" collapsed="false">
      <c r="D301" s="63"/>
      <c r="E301" s="161"/>
    </row>
    <row r="302" customFormat="false" ht="15.75" hidden="false" customHeight="true" outlineLevel="0" collapsed="false">
      <c r="D302" s="63"/>
      <c r="E302" s="161"/>
    </row>
    <row r="303" customFormat="false" ht="15.75" hidden="false" customHeight="true" outlineLevel="0" collapsed="false">
      <c r="D303" s="63"/>
      <c r="E303" s="161"/>
    </row>
    <row r="304" customFormat="false" ht="15.75" hidden="false" customHeight="true" outlineLevel="0" collapsed="false"/>
    <row r="305" customFormat="false" ht="15.75" hidden="false" customHeight="true" outlineLevel="0" collapsed="false">
      <c r="D305" s="63"/>
      <c r="E305" s="161"/>
    </row>
    <row r="306" customFormat="false" ht="15.75" hidden="false" customHeight="true" outlineLevel="0" collapsed="false">
      <c r="D306" s="63"/>
      <c r="E306" s="161"/>
    </row>
    <row r="307" customFormat="false" ht="15.75" hidden="false" customHeight="true" outlineLevel="0" collapsed="false">
      <c r="D307" s="63"/>
      <c r="E307" s="161"/>
    </row>
    <row r="308" customFormat="false" ht="15.75" hidden="false" customHeight="true" outlineLevel="0" collapsed="false">
      <c r="D308" s="63"/>
      <c r="E308" s="161"/>
    </row>
    <row r="309" customFormat="false" ht="15.75" hidden="false" customHeight="true" outlineLevel="0" collapsed="false">
      <c r="D309" s="63"/>
      <c r="E309" s="161"/>
    </row>
    <row r="310" customFormat="false" ht="15.75" hidden="false" customHeight="true" outlineLevel="0" collapsed="false">
      <c r="D310" s="63"/>
      <c r="E310" s="161"/>
    </row>
    <row r="311" customFormat="false" ht="15.75" hidden="false" customHeight="true" outlineLevel="0" collapsed="false">
      <c r="D311" s="63"/>
      <c r="E311" s="161"/>
    </row>
    <row r="312" customFormat="false" ht="15.75" hidden="false" customHeight="true" outlineLevel="0" collapsed="false">
      <c r="D312" s="63"/>
      <c r="E312" s="162"/>
    </row>
    <row r="313" customFormat="false" ht="15.75" hidden="false" customHeight="true" outlineLevel="0" collapsed="false">
      <c r="D313" s="63"/>
      <c r="E313" s="161"/>
    </row>
    <row r="314" customFormat="false" ht="15.75" hidden="false" customHeight="true" outlineLevel="0" collapsed="false">
      <c r="D314" s="63"/>
      <c r="E314" s="161"/>
    </row>
    <row r="315" customFormat="false" ht="15.75" hidden="false" customHeight="true" outlineLevel="0" collapsed="false">
      <c r="D315" s="63"/>
      <c r="E315" s="161"/>
    </row>
    <row r="316" customFormat="false" ht="15.75" hidden="false" customHeight="true" outlineLevel="0" collapsed="false">
      <c r="D316" s="63"/>
      <c r="E316" s="161"/>
    </row>
    <row r="317" customFormat="false" ht="15.75" hidden="false" customHeight="true" outlineLevel="0" collapsed="false">
      <c r="D317" s="63"/>
      <c r="E317" s="161"/>
    </row>
    <row r="318" customFormat="false" ht="15.75" hidden="false" customHeight="true" outlineLevel="0" collapsed="false">
      <c r="D318" s="63"/>
      <c r="E318" s="161"/>
    </row>
    <row r="319" customFormat="false" ht="15.75" hidden="false" customHeight="true" outlineLevel="0" collapsed="false">
      <c r="D319" s="63"/>
      <c r="E319" s="161"/>
    </row>
    <row r="320" customFormat="false" ht="15.75" hidden="false" customHeight="true" outlineLevel="0" collapsed="false">
      <c r="D320" s="63"/>
      <c r="E320" s="161"/>
    </row>
    <row r="321" customFormat="false" ht="15.75" hidden="false" customHeight="true" outlineLevel="0" collapsed="false">
      <c r="D321" s="63"/>
      <c r="E321" s="161"/>
    </row>
    <row r="322" customFormat="false" ht="15.75" hidden="false" customHeight="true" outlineLevel="0" collapsed="false">
      <c r="D322" s="63"/>
      <c r="E322" s="161"/>
    </row>
    <row r="323" customFormat="false" ht="15.75" hidden="false" customHeight="true" outlineLevel="0" collapsed="false">
      <c r="D323" s="63"/>
      <c r="E323" s="161"/>
    </row>
    <row r="324" customFormat="false" ht="15.75" hidden="false" customHeight="true" outlineLevel="0" collapsed="false">
      <c r="D324" s="63"/>
      <c r="E324" s="161"/>
    </row>
    <row r="325" customFormat="false" ht="15.75" hidden="false" customHeight="true" outlineLevel="0" collapsed="false">
      <c r="D325" s="63"/>
      <c r="E325" s="161"/>
    </row>
    <row r="326" customFormat="false" ht="15.75" hidden="false" customHeight="true" outlineLevel="0" collapsed="false">
      <c r="D326" s="63"/>
      <c r="E326" s="161"/>
    </row>
    <row r="327" customFormat="false" ht="15.75" hidden="false" customHeight="true" outlineLevel="0" collapsed="false">
      <c r="D327" s="63"/>
      <c r="E327" s="161"/>
    </row>
    <row r="328" customFormat="false" ht="15.75" hidden="false" customHeight="true" outlineLevel="0" collapsed="false">
      <c r="D328" s="63"/>
      <c r="E328" s="161"/>
    </row>
    <row r="329" customFormat="false" ht="15.75" hidden="false" customHeight="true" outlineLevel="0" collapsed="false">
      <c r="D329" s="63"/>
      <c r="E329" s="161"/>
    </row>
    <row r="330" customFormat="false" ht="15.75" hidden="false" customHeight="true" outlineLevel="0" collapsed="false">
      <c r="D330" s="63"/>
      <c r="E330" s="161"/>
    </row>
    <row r="331" customFormat="false" ht="15.75" hidden="false" customHeight="true" outlineLevel="0" collapsed="false">
      <c r="D331" s="63"/>
      <c r="E331" s="161"/>
    </row>
    <row r="332" customFormat="false" ht="15.75" hidden="false" customHeight="true" outlineLevel="0" collapsed="false">
      <c r="D332" s="63"/>
      <c r="E332" s="161"/>
    </row>
    <row r="333" customFormat="false" ht="15.75" hidden="false" customHeight="true" outlineLevel="0" collapsed="false">
      <c r="D333" s="63"/>
      <c r="E333" s="161"/>
    </row>
    <row r="334" customFormat="false" ht="15.75" hidden="false" customHeight="true" outlineLevel="0" collapsed="false">
      <c r="D334" s="63"/>
      <c r="E334" s="161"/>
    </row>
    <row r="335" customFormat="false" ht="15.75" hidden="false" customHeight="true" outlineLevel="0" collapsed="false">
      <c r="D335" s="63"/>
      <c r="E335" s="161"/>
    </row>
    <row r="336" customFormat="false" ht="15.75" hidden="false" customHeight="true" outlineLevel="0" collapsed="false">
      <c r="D336" s="63"/>
      <c r="E336" s="161"/>
    </row>
    <row r="337" customFormat="false" ht="15.75" hidden="false" customHeight="true" outlineLevel="0" collapsed="false">
      <c r="D337" s="63"/>
      <c r="E337" s="161"/>
    </row>
    <row r="338" customFormat="false" ht="15.75" hidden="false" customHeight="true" outlineLevel="0" collapsed="false">
      <c r="D338" s="63"/>
      <c r="E338" s="161"/>
    </row>
    <row r="339" customFormat="false" ht="15.75" hidden="false" customHeight="true" outlineLevel="0" collapsed="false">
      <c r="D339" s="63"/>
      <c r="E339" s="161"/>
    </row>
    <row r="340" customFormat="false" ht="15.75" hidden="false" customHeight="true" outlineLevel="0" collapsed="false">
      <c r="D340" s="63"/>
      <c r="E340" s="161"/>
    </row>
    <row r="341" customFormat="false" ht="15.75" hidden="false" customHeight="true" outlineLevel="0" collapsed="false">
      <c r="D341" s="63"/>
      <c r="E341" s="161"/>
    </row>
    <row r="342" customFormat="false" ht="15.75" hidden="false" customHeight="true" outlineLevel="0" collapsed="false">
      <c r="D342" s="63"/>
      <c r="E342" s="161"/>
    </row>
    <row r="343" customFormat="false" ht="15.75" hidden="false" customHeight="true" outlineLevel="0" collapsed="false">
      <c r="D343" s="63"/>
      <c r="E343" s="161"/>
    </row>
    <row r="344" customFormat="false" ht="15.75" hidden="false" customHeight="true" outlineLevel="0" collapsed="false">
      <c r="D344" s="63"/>
      <c r="E344" s="161"/>
    </row>
    <row r="345" customFormat="false" ht="15.75" hidden="false" customHeight="true" outlineLevel="0" collapsed="false">
      <c r="D345" s="63"/>
      <c r="E345" s="161"/>
    </row>
    <row r="346" customFormat="false" ht="15.75" hidden="false" customHeight="true" outlineLevel="0" collapsed="false">
      <c r="D346" s="63"/>
      <c r="E346" s="63"/>
    </row>
    <row r="347" customFormat="false" ht="15.75" hidden="false" customHeight="true" outlineLevel="0" collapsed="false">
      <c r="D347" s="63"/>
      <c r="E347" s="161"/>
    </row>
    <row r="348" customFormat="false" ht="15.75" hidden="false" customHeight="true" outlineLevel="0" collapsed="false">
      <c r="D348" s="63"/>
      <c r="E348" s="161"/>
    </row>
    <row r="349" customFormat="false" ht="15.75" hidden="false" customHeight="true" outlineLevel="0" collapsed="false">
      <c r="D349" s="63"/>
      <c r="E349" s="161"/>
    </row>
    <row r="350" customFormat="false" ht="15.75" hidden="false" customHeight="true" outlineLevel="0" collapsed="false">
      <c r="D350" s="63"/>
      <c r="E350" s="161"/>
    </row>
    <row r="351" customFormat="false" ht="15.75" hidden="false" customHeight="true" outlineLevel="0" collapsed="false">
      <c r="D351" s="63"/>
      <c r="E351" s="161"/>
    </row>
    <row r="352" customFormat="false" ht="15.75" hidden="false" customHeight="true" outlineLevel="0" collapsed="false">
      <c r="D352" s="63"/>
      <c r="E352" s="161"/>
    </row>
    <row r="353" customFormat="false" ht="15.75" hidden="false" customHeight="true" outlineLevel="0" collapsed="false">
      <c r="D353" s="162"/>
      <c r="E353" s="161"/>
    </row>
    <row r="354" customFormat="false" ht="15.75" hidden="false" customHeight="true" outlineLevel="0" collapsed="false">
      <c r="D354" s="63"/>
      <c r="E354" s="161"/>
    </row>
    <row r="355" customFormat="false" ht="15.75" hidden="false" customHeight="true" outlineLevel="0" collapsed="false">
      <c r="D355" s="63"/>
      <c r="E355" s="161"/>
    </row>
    <row r="356" customFormat="false" ht="15.75" hidden="false" customHeight="true" outlineLevel="0" collapsed="false">
      <c r="D356" s="63"/>
      <c r="E356" s="161"/>
    </row>
    <row r="357" customFormat="false" ht="15.75" hidden="false" customHeight="true" outlineLevel="0" collapsed="false">
      <c r="D357" s="63"/>
      <c r="E357" s="63"/>
    </row>
    <row r="358" customFormat="false" ht="15.75" hidden="false" customHeight="true" outlineLevel="0" collapsed="false">
      <c r="D358" s="63"/>
      <c r="E358" s="161"/>
    </row>
    <row r="359" customFormat="false" ht="15.75" hidden="false" customHeight="true" outlineLevel="0" collapsed="false">
      <c r="D359" s="63"/>
      <c r="E359" s="161"/>
    </row>
    <row r="360" customFormat="false" ht="15.75" hidden="false" customHeight="true" outlineLevel="0" collapsed="false">
      <c r="D360" s="63"/>
      <c r="E360" s="161"/>
    </row>
    <row r="361" customFormat="false" ht="15.75" hidden="false" customHeight="true" outlineLevel="0" collapsed="false">
      <c r="D361" s="63"/>
      <c r="E361" s="161"/>
    </row>
    <row r="362" customFormat="false" ht="15.75" hidden="false" customHeight="true" outlineLevel="0" collapsed="false">
      <c r="D362" s="63"/>
      <c r="E362" s="161"/>
    </row>
    <row r="363" customFormat="false" ht="15.75" hidden="false" customHeight="true" outlineLevel="0" collapsed="false">
      <c r="D363" s="63"/>
      <c r="E363" s="161"/>
    </row>
    <row r="364" customFormat="false" ht="15.75" hidden="false" customHeight="true" outlineLevel="0" collapsed="false">
      <c r="D364" s="63"/>
      <c r="E364" s="161"/>
    </row>
    <row r="365" customFormat="false" ht="15.75" hidden="false" customHeight="true" outlineLevel="0" collapsed="false">
      <c r="D365" s="63"/>
      <c r="E365" s="161"/>
    </row>
    <row r="366" customFormat="false" ht="15.75" hidden="false" customHeight="true" outlineLevel="0" collapsed="false">
      <c r="D366" s="63"/>
      <c r="E366" s="161"/>
    </row>
    <row r="367" customFormat="false" ht="15.75" hidden="false" customHeight="true" outlineLevel="0" collapsed="false">
      <c r="D367" s="63"/>
      <c r="E367" s="161"/>
    </row>
    <row r="368" customFormat="false" ht="15.75" hidden="false" customHeight="true" outlineLevel="0" collapsed="false">
      <c r="D368" s="63"/>
      <c r="E368" s="161"/>
    </row>
    <row r="369" customFormat="false" ht="15.75" hidden="false" customHeight="true" outlineLevel="0" collapsed="false">
      <c r="D369" s="63"/>
      <c r="E369" s="161"/>
    </row>
    <row r="370" customFormat="false" ht="15.75" hidden="false" customHeight="true" outlineLevel="0" collapsed="false">
      <c r="D370" s="63"/>
      <c r="E370" s="161"/>
    </row>
    <row r="371" customFormat="false" ht="15.75" hidden="false" customHeight="true" outlineLevel="0" collapsed="false">
      <c r="D371" s="63"/>
      <c r="E371" s="161"/>
    </row>
    <row r="372" customFormat="false" ht="15.75" hidden="false" customHeight="true" outlineLevel="0" collapsed="false">
      <c r="D372" s="63"/>
      <c r="E372" s="161"/>
    </row>
    <row r="373" customFormat="false" ht="15.75" hidden="false" customHeight="true" outlineLevel="0" collapsed="false">
      <c r="D373" s="63"/>
      <c r="E373" s="161"/>
    </row>
    <row r="374" customFormat="false" ht="15.75" hidden="false" customHeight="true" outlineLevel="0" collapsed="false">
      <c r="D374" s="63"/>
      <c r="E374" s="161"/>
    </row>
    <row r="375" customFormat="false" ht="15.75" hidden="false" customHeight="true" outlineLevel="0" collapsed="false">
      <c r="D375" s="63"/>
      <c r="E375" s="161"/>
    </row>
    <row r="376" customFormat="false" ht="15.75" hidden="false" customHeight="true" outlineLevel="0" collapsed="false">
      <c r="D376" s="63"/>
      <c r="E376" s="161"/>
    </row>
    <row r="377" customFormat="false" ht="15.75" hidden="false" customHeight="true" outlineLevel="0" collapsed="false">
      <c r="D377" s="63"/>
      <c r="E377" s="161"/>
    </row>
    <row r="378" customFormat="false" ht="15.75" hidden="false" customHeight="true" outlineLevel="0" collapsed="false">
      <c r="D378" s="63"/>
      <c r="E378" s="161"/>
    </row>
    <row r="379" customFormat="false" ht="15.75" hidden="false" customHeight="true" outlineLevel="0" collapsed="false">
      <c r="D379" s="63"/>
      <c r="E379" s="161"/>
    </row>
    <row r="380" customFormat="false" ht="15.75" hidden="false" customHeight="true" outlineLevel="0" collapsed="false">
      <c r="D380" s="63"/>
      <c r="E380" s="162"/>
    </row>
    <row r="381" customFormat="false" ht="15.75" hidden="false" customHeight="true" outlineLevel="0" collapsed="false">
      <c r="D381" s="63"/>
      <c r="E381" s="161"/>
    </row>
    <row r="382" customFormat="false" ht="15.75" hidden="false" customHeight="true" outlineLevel="0" collapsed="false">
      <c r="D382" s="63"/>
      <c r="E382" s="161"/>
    </row>
    <row r="383" customFormat="false" ht="15.75" hidden="false" customHeight="true" outlineLevel="0" collapsed="false">
      <c r="D383" s="63"/>
      <c r="E383" s="161"/>
    </row>
    <row r="384" customFormat="false" ht="15.75" hidden="false" customHeight="true" outlineLevel="0" collapsed="false">
      <c r="D384" s="63"/>
      <c r="E384" s="162"/>
    </row>
    <row r="385" customFormat="false" ht="15.75" hidden="false" customHeight="true" outlineLevel="0" collapsed="false">
      <c r="D385" s="63"/>
      <c r="E385" s="161"/>
    </row>
    <row r="386" customFormat="false" ht="15.75" hidden="false" customHeight="true" outlineLevel="0" collapsed="false">
      <c r="D386" s="63"/>
      <c r="E386" s="161"/>
    </row>
    <row r="387" customFormat="false" ht="15.75" hidden="false" customHeight="true" outlineLevel="0" collapsed="false">
      <c r="D387" s="63"/>
      <c r="E387" s="161"/>
    </row>
    <row r="388" customFormat="false" ht="15.75" hidden="false" customHeight="true" outlineLevel="0" collapsed="false">
      <c r="D388" s="63"/>
      <c r="E388" s="161"/>
    </row>
    <row r="389" customFormat="false" ht="15.75" hidden="false" customHeight="true" outlineLevel="0" collapsed="false">
      <c r="D389" s="63"/>
      <c r="E389" s="161"/>
    </row>
    <row r="390" customFormat="false" ht="15.75" hidden="false" customHeight="true" outlineLevel="0" collapsed="false">
      <c r="D390" s="63"/>
      <c r="E390" s="161"/>
    </row>
    <row r="391" customFormat="false" ht="15.75" hidden="false" customHeight="true" outlineLevel="0" collapsed="false">
      <c r="D391" s="63"/>
      <c r="E391" s="161"/>
    </row>
    <row r="392" customFormat="false" ht="15.75" hidden="false" customHeight="true" outlineLevel="0" collapsed="false">
      <c r="D392" s="63"/>
      <c r="E392" s="161"/>
    </row>
    <row r="393" customFormat="false" ht="15.75" hidden="false" customHeight="true" outlineLevel="0" collapsed="false">
      <c r="D393" s="63"/>
      <c r="E393" s="161"/>
    </row>
    <row r="394" customFormat="false" ht="15.75" hidden="false" customHeight="true" outlineLevel="0" collapsed="false">
      <c r="D394" s="63"/>
      <c r="E394" s="161"/>
    </row>
    <row r="395" customFormat="false" ht="15.75" hidden="false" customHeight="true" outlineLevel="0" collapsed="false">
      <c r="D395" s="63"/>
      <c r="E395" s="161"/>
    </row>
    <row r="396" customFormat="false" ht="15.75" hidden="false" customHeight="true" outlineLevel="0" collapsed="false">
      <c r="D396" s="63"/>
      <c r="E396" s="161"/>
    </row>
    <row r="397" customFormat="false" ht="15.75" hidden="false" customHeight="true" outlineLevel="0" collapsed="false">
      <c r="D397" s="63"/>
      <c r="E397" s="161"/>
    </row>
    <row r="398" customFormat="false" ht="15.75" hidden="false" customHeight="true" outlineLevel="0" collapsed="false">
      <c r="D398" s="63"/>
      <c r="E398" s="161"/>
    </row>
    <row r="399" customFormat="false" ht="15.75" hidden="false" customHeight="true" outlineLevel="0" collapsed="false">
      <c r="D399" s="63"/>
      <c r="E399" s="161"/>
    </row>
    <row r="400" customFormat="false" ht="15.75" hidden="false" customHeight="true" outlineLevel="0" collapsed="false">
      <c r="D400" s="63"/>
      <c r="E400" s="161"/>
    </row>
    <row r="401" customFormat="false" ht="15.75" hidden="false" customHeight="true" outlineLevel="0" collapsed="false">
      <c r="D401" s="63"/>
      <c r="E401" s="161"/>
    </row>
    <row r="402" customFormat="false" ht="15.75" hidden="false" customHeight="true" outlineLevel="0" collapsed="false">
      <c r="D402" s="63"/>
      <c r="E402" s="161"/>
    </row>
    <row r="403" customFormat="false" ht="15.75" hidden="false" customHeight="true" outlineLevel="0" collapsed="false">
      <c r="D403" s="63"/>
      <c r="E403" s="161"/>
    </row>
    <row r="404" customFormat="false" ht="15.75" hidden="false" customHeight="true" outlineLevel="0" collapsed="false">
      <c r="D404" s="63"/>
      <c r="E404" s="161"/>
    </row>
    <row r="405" customFormat="false" ht="15.75" hidden="false" customHeight="true" outlineLevel="0" collapsed="false">
      <c r="D405" s="63"/>
      <c r="E405" s="161"/>
    </row>
    <row r="406" customFormat="false" ht="15.75" hidden="false" customHeight="true" outlineLevel="0" collapsed="false">
      <c r="D406" s="63"/>
      <c r="E406" s="161"/>
    </row>
    <row r="407" customFormat="false" ht="15.75" hidden="false" customHeight="true" outlineLevel="0" collapsed="false">
      <c r="D407" s="63"/>
      <c r="E407" s="161"/>
    </row>
    <row r="408" customFormat="false" ht="15.75" hidden="false" customHeight="true" outlineLevel="0" collapsed="false">
      <c r="D408" s="63"/>
      <c r="E408" s="161"/>
    </row>
    <row r="409" customFormat="false" ht="15.75" hidden="false" customHeight="true" outlineLevel="0" collapsed="false">
      <c r="D409" s="63"/>
      <c r="E409" s="161"/>
    </row>
    <row r="410" customFormat="false" ht="15.75" hidden="false" customHeight="true" outlineLevel="0" collapsed="false">
      <c r="D410" s="63"/>
      <c r="E410" s="161"/>
    </row>
    <row r="411" customFormat="false" ht="15.75" hidden="false" customHeight="true" outlineLevel="0" collapsed="false">
      <c r="D411" s="63"/>
      <c r="E411" s="161"/>
    </row>
    <row r="412" customFormat="false" ht="15.75" hidden="false" customHeight="true" outlineLevel="0" collapsed="false">
      <c r="D412" s="63"/>
      <c r="E412" s="161"/>
    </row>
    <row r="413" customFormat="false" ht="15.75" hidden="false" customHeight="true" outlineLevel="0" collapsed="false">
      <c r="D413" s="63"/>
      <c r="E413" s="161"/>
    </row>
    <row r="414" customFormat="false" ht="15.75" hidden="false" customHeight="true" outlineLevel="0" collapsed="false">
      <c r="D414" s="63"/>
      <c r="E414" s="161"/>
    </row>
    <row r="415" customFormat="false" ht="15.75" hidden="false" customHeight="true" outlineLevel="0" collapsed="false">
      <c r="D415" s="63"/>
      <c r="E415" s="161"/>
    </row>
    <row r="416" customFormat="false" ht="15.75" hidden="false" customHeight="true" outlineLevel="0" collapsed="false">
      <c r="D416" s="63"/>
      <c r="E416" s="161"/>
    </row>
    <row r="417" customFormat="false" ht="15.75" hidden="false" customHeight="true" outlineLevel="0" collapsed="false">
      <c r="D417" s="63"/>
      <c r="E417" s="161"/>
    </row>
    <row r="418" customFormat="false" ht="15.75" hidden="false" customHeight="true" outlineLevel="0" collapsed="false">
      <c r="D418" s="63"/>
      <c r="E418" s="161"/>
    </row>
    <row r="419" customFormat="false" ht="15.75" hidden="false" customHeight="true" outlineLevel="0" collapsed="false">
      <c r="D419" s="63"/>
      <c r="E419" s="161"/>
    </row>
    <row r="420" customFormat="false" ht="15.75" hidden="false" customHeight="true" outlineLevel="0" collapsed="false">
      <c r="D420" s="63"/>
      <c r="E420" s="161"/>
    </row>
    <row r="421" customFormat="false" ht="15.75" hidden="false" customHeight="true" outlineLevel="0" collapsed="false">
      <c r="D421" s="63"/>
      <c r="E421" s="161"/>
    </row>
    <row r="422" customFormat="false" ht="15.75" hidden="false" customHeight="true" outlineLevel="0" collapsed="false">
      <c r="D422" s="63"/>
      <c r="E422" s="161"/>
    </row>
    <row r="423" customFormat="false" ht="15.75" hidden="false" customHeight="true" outlineLevel="0" collapsed="false">
      <c r="D423" s="63"/>
      <c r="E423" s="161"/>
    </row>
    <row r="424" customFormat="false" ht="15.75" hidden="false" customHeight="true" outlineLevel="0" collapsed="false">
      <c r="D424" s="63"/>
      <c r="E424" s="161"/>
    </row>
    <row r="425" customFormat="false" ht="15.75" hidden="false" customHeight="true" outlineLevel="0" collapsed="false">
      <c r="D425" s="63"/>
      <c r="E425" s="161"/>
    </row>
    <row r="426" customFormat="false" ht="15.75" hidden="false" customHeight="true" outlineLevel="0" collapsed="false">
      <c r="D426" s="63"/>
      <c r="E426" s="161"/>
    </row>
    <row r="427" customFormat="false" ht="15.75" hidden="false" customHeight="true" outlineLevel="0" collapsed="false">
      <c r="D427" s="63"/>
      <c r="E427" s="161"/>
    </row>
    <row r="428" customFormat="false" ht="15.75" hidden="false" customHeight="true" outlineLevel="0" collapsed="false">
      <c r="D428" s="63"/>
      <c r="E428" s="161"/>
    </row>
    <row r="429" customFormat="false" ht="15.75" hidden="false" customHeight="true" outlineLevel="0" collapsed="false">
      <c r="D429" s="63"/>
      <c r="E429" s="161"/>
    </row>
    <row r="430" customFormat="false" ht="15.75" hidden="false" customHeight="true" outlineLevel="0" collapsed="false">
      <c r="D430" s="63"/>
      <c r="E430" s="161"/>
    </row>
    <row r="431" customFormat="false" ht="15.75" hidden="false" customHeight="true" outlineLevel="0" collapsed="false">
      <c r="D431" s="63"/>
      <c r="E431" s="161"/>
    </row>
    <row r="432" customFormat="false" ht="15.75" hidden="false" customHeight="true" outlineLevel="0" collapsed="false">
      <c r="D432" s="63"/>
      <c r="E432" s="161"/>
    </row>
    <row r="433" customFormat="false" ht="15.75" hidden="false" customHeight="true" outlineLevel="0" collapsed="false">
      <c r="D433" s="63"/>
      <c r="E433" s="161"/>
    </row>
    <row r="434" customFormat="false" ht="15.75" hidden="false" customHeight="true" outlineLevel="0" collapsed="false">
      <c r="D434" s="63"/>
      <c r="E434" s="161"/>
    </row>
    <row r="435" customFormat="false" ht="15.75" hidden="false" customHeight="true" outlineLevel="0" collapsed="false">
      <c r="D435" s="63"/>
      <c r="E435" s="161"/>
    </row>
    <row r="436" customFormat="false" ht="15.75" hidden="false" customHeight="true" outlineLevel="0" collapsed="false">
      <c r="D436" s="63"/>
      <c r="E436" s="161"/>
    </row>
    <row r="437" customFormat="false" ht="15.75" hidden="false" customHeight="true" outlineLevel="0" collapsed="false">
      <c r="D437" s="63"/>
      <c r="E437" s="161"/>
    </row>
    <row r="438" customFormat="false" ht="15.75" hidden="false" customHeight="true" outlineLevel="0" collapsed="false">
      <c r="D438" s="63"/>
      <c r="E438" s="161"/>
    </row>
    <row r="439" customFormat="false" ht="15.75" hidden="false" customHeight="true" outlineLevel="0" collapsed="false">
      <c r="D439" s="63"/>
      <c r="E439" s="161"/>
    </row>
    <row r="440" customFormat="false" ht="15.75" hidden="false" customHeight="true" outlineLevel="0" collapsed="false">
      <c r="D440" s="63"/>
      <c r="E440" s="161"/>
    </row>
    <row r="441" customFormat="false" ht="15.75" hidden="false" customHeight="true" outlineLevel="0" collapsed="false">
      <c r="D441" s="63"/>
      <c r="E441" s="161"/>
    </row>
    <row r="442" customFormat="false" ht="15.75" hidden="false" customHeight="true" outlineLevel="0" collapsed="false">
      <c r="D442" s="63"/>
      <c r="E442" s="161"/>
    </row>
    <row r="443" customFormat="false" ht="15.75" hidden="false" customHeight="true" outlineLevel="0" collapsed="false">
      <c r="D443" s="63"/>
      <c r="E443" s="161"/>
    </row>
    <row r="444" customFormat="false" ht="15.75" hidden="false" customHeight="true" outlineLevel="0" collapsed="false">
      <c r="D444" s="63"/>
      <c r="E444" s="161"/>
    </row>
    <row r="445" customFormat="false" ht="15.75" hidden="false" customHeight="true" outlineLevel="0" collapsed="false">
      <c r="D445" s="63"/>
      <c r="E445" s="161"/>
    </row>
    <row r="446" customFormat="false" ht="15.75" hidden="false" customHeight="true" outlineLevel="0" collapsed="false">
      <c r="D446" s="63"/>
      <c r="E446" s="161"/>
    </row>
    <row r="447" customFormat="false" ht="15.75" hidden="false" customHeight="true" outlineLevel="0" collapsed="false">
      <c r="D447" s="63"/>
      <c r="E447" s="161"/>
    </row>
    <row r="448" customFormat="false" ht="15.75" hidden="false" customHeight="true" outlineLevel="0" collapsed="false">
      <c r="D448" s="63"/>
      <c r="E448" s="161"/>
    </row>
    <row r="449" customFormat="false" ht="15.75" hidden="false" customHeight="true" outlineLevel="0" collapsed="false">
      <c r="D449" s="63"/>
      <c r="E449" s="161"/>
    </row>
    <row r="450" customFormat="false" ht="15.75" hidden="false" customHeight="true" outlineLevel="0" collapsed="false">
      <c r="D450" s="63"/>
      <c r="E450" s="161"/>
    </row>
    <row r="451" customFormat="false" ht="15.75" hidden="false" customHeight="true" outlineLevel="0" collapsed="false">
      <c r="D451" s="63"/>
      <c r="E451" s="161"/>
    </row>
    <row r="452" customFormat="false" ht="15.75" hidden="false" customHeight="true" outlineLevel="0" collapsed="false">
      <c r="D452" s="63"/>
      <c r="E452" s="161"/>
    </row>
    <row r="453" customFormat="false" ht="15.75" hidden="false" customHeight="true" outlineLevel="0" collapsed="false">
      <c r="D453" s="63"/>
      <c r="E453" s="161"/>
    </row>
    <row r="454" customFormat="false" ht="15.75" hidden="false" customHeight="true" outlineLevel="0" collapsed="false">
      <c r="D454" s="63"/>
      <c r="E454" s="161"/>
    </row>
    <row r="455" customFormat="false" ht="15.75" hidden="false" customHeight="true" outlineLevel="0" collapsed="false">
      <c r="D455" s="63"/>
      <c r="E455" s="161"/>
    </row>
    <row r="456" customFormat="false" ht="15.75" hidden="false" customHeight="true" outlineLevel="0" collapsed="false">
      <c r="D456" s="63"/>
      <c r="E456" s="161"/>
    </row>
    <row r="457" customFormat="false" ht="15.75" hidden="false" customHeight="true" outlineLevel="0" collapsed="false">
      <c r="D457" s="63"/>
      <c r="E457" s="161"/>
    </row>
    <row r="458" customFormat="false" ht="15.75" hidden="false" customHeight="true" outlineLevel="0" collapsed="false">
      <c r="D458" s="63"/>
      <c r="E458" s="161"/>
    </row>
    <row r="459" customFormat="false" ht="15.75" hidden="false" customHeight="true" outlineLevel="0" collapsed="false">
      <c r="D459" s="63"/>
      <c r="E459" s="161"/>
    </row>
    <row r="460" customFormat="false" ht="15.75" hidden="false" customHeight="true" outlineLevel="0" collapsed="false">
      <c r="D460" s="63"/>
      <c r="E460" s="161"/>
    </row>
    <row r="461" customFormat="false" ht="15.75" hidden="false" customHeight="true" outlineLevel="0" collapsed="false">
      <c r="D461" s="63"/>
      <c r="E461" s="161"/>
    </row>
    <row r="462" customFormat="false" ht="15.75" hidden="false" customHeight="true" outlineLevel="0" collapsed="false">
      <c r="D462" s="63"/>
      <c r="E462" s="161"/>
    </row>
    <row r="463" customFormat="false" ht="15.75" hidden="false" customHeight="true" outlineLevel="0" collapsed="false">
      <c r="D463" s="63"/>
      <c r="E463" s="161"/>
    </row>
    <row r="464" customFormat="false" ht="15.75" hidden="false" customHeight="true" outlineLevel="0" collapsed="false">
      <c r="D464" s="63"/>
      <c r="E464" s="161"/>
    </row>
    <row r="465" customFormat="false" ht="15.75" hidden="false" customHeight="true" outlineLevel="0" collapsed="false">
      <c r="D465" s="63"/>
      <c r="E465" s="161"/>
    </row>
    <row r="466" customFormat="false" ht="15.75" hidden="false" customHeight="true" outlineLevel="0" collapsed="false">
      <c r="D466" s="63"/>
      <c r="E466" s="161"/>
    </row>
    <row r="467" customFormat="false" ht="15.75" hidden="false" customHeight="true" outlineLevel="0" collapsed="false">
      <c r="D467" s="63"/>
      <c r="E467" s="161"/>
    </row>
    <row r="468" customFormat="false" ht="15.75" hidden="false" customHeight="true" outlineLevel="0" collapsed="false">
      <c r="D468" s="63"/>
      <c r="E468" s="161"/>
    </row>
    <row r="469" customFormat="false" ht="15.75" hidden="false" customHeight="true" outlineLevel="0" collapsed="false">
      <c r="D469" s="63"/>
      <c r="E469" s="161"/>
    </row>
    <row r="470" customFormat="false" ht="15.75" hidden="false" customHeight="true" outlineLevel="0" collapsed="false">
      <c r="D470" s="63"/>
      <c r="E470" s="161"/>
    </row>
    <row r="471" customFormat="false" ht="15.75" hidden="false" customHeight="true" outlineLevel="0" collapsed="false">
      <c r="D471" s="63"/>
      <c r="E471" s="161"/>
    </row>
    <row r="472" customFormat="false" ht="15.75" hidden="false" customHeight="true" outlineLevel="0" collapsed="false">
      <c r="D472" s="63"/>
      <c r="E472" s="161"/>
    </row>
    <row r="473" customFormat="false" ht="15.75" hidden="false" customHeight="true" outlineLevel="0" collapsed="false">
      <c r="D473" s="63"/>
      <c r="E473" s="161"/>
    </row>
    <row r="474" customFormat="false" ht="15.75" hidden="false" customHeight="true" outlineLevel="0" collapsed="false">
      <c r="D474" s="63"/>
      <c r="E474" s="161"/>
    </row>
    <row r="475" customFormat="false" ht="15.75" hidden="false" customHeight="true" outlineLevel="0" collapsed="false">
      <c r="D475" s="63"/>
      <c r="E475" s="161"/>
    </row>
    <row r="476" customFormat="false" ht="15.75" hidden="false" customHeight="true" outlineLevel="0" collapsed="false">
      <c r="D476" s="63"/>
      <c r="E476" s="161"/>
    </row>
    <row r="477" customFormat="false" ht="15.75" hidden="false" customHeight="true" outlineLevel="0" collapsed="false">
      <c r="D477" s="63"/>
      <c r="E477" s="161"/>
    </row>
    <row r="478" customFormat="false" ht="15.75" hidden="false" customHeight="true" outlineLevel="0" collapsed="false">
      <c r="D478" s="63"/>
      <c r="E478" s="161"/>
    </row>
    <row r="479" customFormat="false" ht="15.75" hidden="false" customHeight="true" outlineLevel="0" collapsed="false">
      <c r="D479" s="63"/>
      <c r="E479" s="161"/>
    </row>
    <row r="480" customFormat="false" ht="15.75" hidden="false" customHeight="true" outlineLevel="0" collapsed="false">
      <c r="D480" s="63"/>
      <c r="E480" s="167"/>
    </row>
    <row r="481" customFormat="false" ht="15.75" hidden="false" customHeight="true" outlineLevel="0" collapsed="false">
      <c r="D481" s="63"/>
      <c r="E481" s="167"/>
    </row>
    <row r="482" customFormat="false" ht="15.75" hidden="false" customHeight="true" outlineLevel="0" collapsed="false">
      <c r="D482" s="63"/>
    </row>
    <row r="483" customFormat="false" ht="15.75" hidden="false" customHeight="true" outlineLevel="0" collapsed="false">
      <c r="D483" s="63"/>
    </row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</sheetData>
  <sheetProtection sheet="true" password="c626" objects="true" scenarios="true" insertColumns="false" insertRows="false" deleteColumns="false" deleteRows="false"/>
  <autoFilter ref="A1:E209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1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8.6796875" defaultRowHeight="15" customHeight="true" zeroHeight="false" outlineLevelRow="0" outlineLevelCol="0"/>
  <sheetData>
    <row r="1" customFormat="false" ht="15" hidden="false" customHeight="true" outlineLevel="0" collapsed="false">
      <c r="A1" s="34" t="s">
        <v>633</v>
      </c>
      <c r="B1" s="34" t="s">
        <v>634</v>
      </c>
      <c r="C1" s="34" t="s">
        <v>635</v>
      </c>
      <c r="D1" s="34" t="s">
        <v>636</v>
      </c>
      <c r="E1" s="34" t="s">
        <v>637</v>
      </c>
      <c r="F1" s="34" t="s">
        <v>638</v>
      </c>
      <c r="G1" s="34" t="s">
        <v>639</v>
      </c>
      <c r="H1" s="34" t="s">
        <v>640</v>
      </c>
      <c r="I1" s="34" t="s">
        <v>641</v>
      </c>
      <c r="J1" s="34" t="s">
        <v>642</v>
      </c>
      <c r="K1" s="34" t="s">
        <v>643</v>
      </c>
      <c r="L1" s="34" t="s">
        <v>644</v>
      </c>
      <c r="M1" s="34" t="s">
        <v>645</v>
      </c>
      <c r="N1" s="34" t="s">
        <v>646</v>
      </c>
      <c r="O1" s="34" t="s">
        <v>647</v>
      </c>
      <c r="P1" s="34" t="s">
        <v>648</v>
      </c>
      <c r="Q1" s="34" t="s">
        <v>649</v>
      </c>
      <c r="R1" s="34" t="s">
        <v>650</v>
      </c>
      <c r="S1" s="34" t="s">
        <v>651</v>
      </c>
      <c r="T1" s="34" t="s">
        <v>652</v>
      </c>
      <c r="U1" s="34" t="s">
        <v>653</v>
      </c>
      <c r="V1" s="34" t="s">
        <v>654</v>
      </c>
    </row>
    <row r="2" customFormat="false" ht="15" hidden="false" customHeight="true" outlineLevel="0" collapsed="false">
      <c r="A2" s="34" t="s">
        <v>83</v>
      </c>
      <c r="B2" s="34" t="n">
        <v>15000</v>
      </c>
      <c r="C2" s="34" t="n">
        <v>142460</v>
      </c>
      <c r="D2" s="34" t="n">
        <v>140000</v>
      </c>
      <c r="E2" s="34" t="n">
        <v>-0.705</v>
      </c>
      <c r="F2" s="34" t="n">
        <v>2825.79</v>
      </c>
      <c r="G2" s="34" t="n">
        <v>143275</v>
      </c>
      <c r="H2" s="34" t="n">
        <v>102124.05</v>
      </c>
      <c r="I2" s="34" t="n">
        <v>91.55</v>
      </c>
      <c r="J2" s="34" t="n">
        <v>69.28</v>
      </c>
      <c r="K2" s="34" t="n">
        <v>9731</v>
      </c>
      <c r="L2" s="34" t="n">
        <v>1.63</v>
      </c>
      <c r="M2" s="34" t="n">
        <v>135483.96</v>
      </c>
      <c r="N2" s="34" t="n">
        <v>138426.98</v>
      </c>
      <c r="O2" s="34" t="n">
        <v>141140</v>
      </c>
      <c r="P2" s="34" t="n">
        <v>135483.96</v>
      </c>
      <c r="Q2" s="34" t="n">
        <v>138426.98</v>
      </c>
      <c r="R2" s="34" t="n">
        <v>141765</v>
      </c>
      <c r="S2" s="34" t="n">
        <v>2.58</v>
      </c>
      <c r="T2" s="34" t="n">
        <v>0</v>
      </c>
      <c r="U2" s="34" t="n">
        <v>151445</v>
      </c>
      <c r="V2" s="34" t="n">
        <v>102124.05</v>
      </c>
    </row>
    <row r="3" customFormat="false" ht="15" hidden="false" customHeight="true" outlineLevel="0" collapsed="false">
      <c r="A3" s="34" t="s">
        <v>124</v>
      </c>
      <c r="B3" s="34" t="n">
        <v>50000</v>
      </c>
      <c r="C3" s="34" t="n">
        <v>48455</v>
      </c>
      <c r="D3" s="34" t="n">
        <v>46585</v>
      </c>
      <c r="E3" s="34" t="n">
        <v>1.9</v>
      </c>
      <c r="F3" s="34" t="n">
        <v>1269.93</v>
      </c>
      <c r="G3" s="34" t="n">
        <v>48455</v>
      </c>
      <c r="H3" s="34" t="n">
        <v>38850</v>
      </c>
      <c r="I3" s="34" t="n">
        <v>209.23</v>
      </c>
      <c r="J3" s="34" t="n">
        <v>71.25</v>
      </c>
      <c r="K3" s="34" t="n">
        <v>45707</v>
      </c>
      <c r="L3" s="34" t="n">
        <v>0.78</v>
      </c>
      <c r="M3" s="34" t="n">
        <v>45024.41</v>
      </c>
      <c r="N3" s="34" t="n">
        <v>46272.2</v>
      </c>
      <c r="O3" s="34" t="n">
        <v>46940</v>
      </c>
      <c r="P3" s="34" t="n">
        <v>44400.16</v>
      </c>
      <c r="Q3" s="34" t="n">
        <v>45592.58</v>
      </c>
      <c r="R3" s="34" t="n">
        <v>47500</v>
      </c>
      <c r="S3" s="34" t="n">
        <v>4.05</v>
      </c>
      <c r="T3" s="34" t="n">
        <v>0.001</v>
      </c>
      <c r="U3" s="34" t="n">
        <v>49849.95</v>
      </c>
      <c r="V3" s="34" t="n">
        <v>34525</v>
      </c>
    </row>
    <row r="4" customFormat="false" ht="15" hidden="false" customHeight="true" outlineLevel="0" collapsed="false">
      <c r="A4" s="34" t="s">
        <v>141</v>
      </c>
      <c r="B4" s="34" t="n">
        <v>40000</v>
      </c>
      <c r="C4" s="34" t="n">
        <v>31885</v>
      </c>
      <c r="D4" s="34" t="n">
        <v>31470</v>
      </c>
      <c r="E4" s="34" t="n">
        <v>-0.236</v>
      </c>
      <c r="F4" s="34" t="n">
        <v>690.84</v>
      </c>
      <c r="G4" s="34" t="n">
        <v>31885</v>
      </c>
      <c r="H4" s="34" t="n">
        <v>25921.6</v>
      </c>
      <c r="I4" s="34" t="n">
        <v>120.05</v>
      </c>
      <c r="J4" s="34" t="n">
        <v>79.07</v>
      </c>
      <c r="K4" s="34" t="n">
        <v>18391</v>
      </c>
      <c r="L4" s="34" t="n">
        <v>0.754</v>
      </c>
      <c r="M4" s="34" t="n">
        <v>30274.28</v>
      </c>
      <c r="N4" s="34" t="n">
        <v>30975.89</v>
      </c>
      <c r="O4" s="34" t="n">
        <v>31730</v>
      </c>
      <c r="P4" s="34" t="n">
        <v>30095.59</v>
      </c>
      <c r="Q4" s="34" t="n">
        <v>30829.05</v>
      </c>
      <c r="R4" s="34" t="n">
        <v>31730</v>
      </c>
      <c r="S4" s="34" t="n">
        <v>19.02</v>
      </c>
      <c r="T4" s="34" t="n">
        <v>0.001</v>
      </c>
      <c r="U4" s="34" t="n">
        <v>39088.8</v>
      </c>
      <c r="V4" s="34" t="n">
        <v>25921.6</v>
      </c>
    </row>
    <row r="5" customFormat="false" ht="15" hidden="false" customHeight="true" outlineLevel="0" collapsed="false">
      <c r="A5" s="34" t="s">
        <v>171</v>
      </c>
      <c r="B5" s="34" t="n">
        <v>31615</v>
      </c>
      <c r="C5" s="34" t="n">
        <v>31720</v>
      </c>
      <c r="D5" s="34" t="n">
        <v>31005</v>
      </c>
      <c r="E5" s="34" t="n">
        <v>0.685</v>
      </c>
      <c r="F5" s="34" t="n">
        <v>809.26</v>
      </c>
      <c r="G5" s="34" t="n">
        <v>31835</v>
      </c>
      <c r="H5" s="34" t="n">
        <v>27002.2</v>
      </c>
      <c r="I5" s="34" t="n">
        <v>132.06</v>
      </c>
      <c r="J5" s="34" t="n">
        <v>79.44</v>
      </c>
      <c r="K5" s="34" t="n">
        <v>34223</v>
      </c>
      <c r="L5" s="34" t="n">
        <v>0.199</v>
      </c>
      <c r="M5" s="34" t="n">
        <v>29771.65</v>
      </c>
      <c r="N5" s="34" t="n">
        <v>30567.07</v>
      </c>
      <c r="O5" s="34" t="n">
        <v>31400</v>
      </c>
      <c r="P5" s="34" t="n">
        <v>29756.28</v>
      </c>
      <c r="Q5" s="34" t="n">
        <v>30560.64</v>
      </c>
      <c r="R5" s="34" t="n">
        <v>31400</v>
      </c>
      <c r="S5" s="34" t="n">
        <v>0.691</v>
      </c>
      <c r="T5" s="34" t="n">
        <v>0.001</v>
      </c>
      <c r="U5" s="34" t="n">
        <v>31835</v>
      </c>
      <c r="V5" s="34" t="n">
        <v>23500</v>
      </c>
    </row>
    <row r="6" customFormat="false" ht="15" hidden="false" customHeight="true" outlineLevel="0" collapsed="false">
      <c r="A6" s="34" t="s">
        <v>36</v>
      </c>
      <c r="B6" s="34" t="n">
        <v>16660</v>
      </c>
      <c r="C6" s="34" t="n">
        <v>16749</v>
      </c>
      <c r="D6" s="34" t="n">
        <v>16301</v>
      </c>
      <c r="E6" s="34" t="n">
        <v>1.38</v>
      </c>
      <c r="F6" s="34" t="n">
        <v>582.25</v>
      </c>
      <c r="G6" s="34" t="n">
        <v>17069</v>
      </c>
      <c r="H6" s="34" t="n">
        <v>12202.2</v>
      </c>
      <c r="I6" s="34" t="n">
        <v>71.04</v>
      </c>
      <c r="J6" s="34" t="n">
        <v>64.47</v>
      </c>
      <c r="K6" s="34" t="n">
        <v>367626</v>
      </c>
      <c r="L6" s="34" t="n">
        <v>0.81</v>
      </c>
      <c r="M6" s="34" t="n">
        <v>15347.84</v>
      </c>
      <c r="N6" s="34" t="n">
        <v>15936.42</v>
      </c>
      <c r="O6" s="34" t="n">
        <v>16433</v>
      </c>
      <c r="P6" s="34" t="n">
        <v>16476.01</v>
      </c>
      <c r="Q6" s="34" t="n">
        <v>15649.95</v>
      </c>
      <c r="R6" s="34" t="n">
        <v>16370</v>
      </c>
      <c r="S6" s="34" t="n">
        <v>13</v>
      </c>
      <c r="T6" s="34" t="n">
        <v>0.003</v>
      </c>
      <c r="U6" s="34" t="n">
        <v>19148.9</v>
      </c>
      <c r="V6" s="34" t="n">
        <v>8453</v>
      </c>
    </row>
    <row r="7" customFormat="false" ht="15" hidden="false" customHeight="true" outlineLevel="0" collapsed="false">
      <c r="A7" s="34" t="s">
        <v>440</v>
      </c>
      <c r="B7" s="34" t="n">
        <v>14025</v>
      </c>
      <c r="C7" s="34" t="n">
        <v>14339</v>
      </c>
      <c r="D7" s="34" t="n">
        <v>13880</v>
      </c>
      <c r="E7" s="34" t="n">
        <v>1.04</v>
      </c>
      <c r="F7" s="34" t="n">
        <v>417.01</v>
      </c>
      <c r="G7" s="34" t="n">
        <v>14339</v>
      </c>
      <c r="H7" s="34" t="n">
        <v>8482.5</v>
      </c>
      <c r="I7" s="34" t="n">
        <v>192.69</v>
      </c>
      <c r="J7" s="34" t="n">
        <v>76.33</v>
      </c>
      <c r="K7" s="34" t="n">
        <v>220490</v>
      </c>
      <c r="L7" s="34" t="n">
        <v>2.16</v>
      </c>
      <c r="M7" s="34" t="n">
        <v>13278.95</v>
      </c>
      <c r="N7" s="34" t="n">
        <v>13694.22</v>
      </c>
      <c r="O7" s="34" t="n">
        <v>13880</v>
      </c>
      <c r="P7" s="34" t="n">
        <v>12969.66</v>
      </c>
      <c r="Q7" s="34" t="n">
        <v>13380.08</v>
      </c>
      <c r="R7" s="34" t="n">
        <v>13935</v>
      </c>
      <c r="S7" s="34" t="n">
        <v>2.19</v>
      </c>
      <c r="T7" s="34" t="n">
        <v>0.003</v>
      </c>
      <c r="U7" s="34" t="n">
        <v>14339</v>
      </c>
      <c r="V7" s="34" t="n">
        <v>7888.25</v>
      </c>
    </row>
    <row r="8" customFormat="false" ht="15" hidden="false" customHeight="true" outlineLevel="0" collapsed="false">
      <c r="A8" s="34" t="s">
        <v>158</v>
      </c>
      <c r="B8" s="34" t="n">
        <v>12995</v>
      </c>
      <c r="C8" s="34" t="n">
        <v>13086</v>
      </c>
      <c r="D8" s="34" t="n">
        <v>12912</v>
      </c>
      <c r="E8" s="34" t="n">
        <v>0.332</v>
      </c>
      <c r="F8" s="34" t="n">
        <v>307.57</v>
      </c>
      <c r="G8" s="34" t="n">
        <v>13086</v>
      </c>
      <c r="H8" s="34" t="n">
        <v>11059.45</v>
      </c>
      <c r="I8" s="34" t="n">
        <v>138.62</v>
      </c>
      <c r="J8" s="34" t="n">
        <v>74.57</v>
      </c>
      <c r="K8" s="34" t="n">
        <v>425275</v>
      </c>
      <c r="L8" s="34" t="n">
        <v>0.757</v>
      </c>
      <c r="M8" s="34" t="n">
        <v>12390.55</v>
      </c>
      <c r="N8" s="34" t="n">
        <v>12694.77</v>
      </c>
      <c r="O8" s="34" t="n">
        <v>12952</v>
      </c>
      <c r="P8" s="34" t="n">
        <v>12148.11</v>
      </c>
      <c r="Q8" s="34" t="n">
        <v>12466.8</v>
      </c>
      <c r="R8" s="34" t="n">
        <v>12950</v>
      </c>
      <c r="S8" s="34" t="n">
        <v>5.01</v>
      </c>
      <c r="T8" s="34" t="n">
        <v>0.001</v>
      </c>
      <c r="U8" s="34" t="n">
        <v>13680</v>
      </c>
      <c r="V8" s="34" t="n">
        <v>10725</v>
      </c>
    </row>
    <row r="9" customFormat="false" ht="15" hidden="false" customHeight="true" outlineLevel="0" collapsed="false">
      <c r="A9" s="34" t="s">
        <v>127</v>
      </c>
      <c r="B9" s="34" t="n">
        <v>11892</v>
      </c>
      <c r="C9" s="34" t="n">
        <v>11990</v>
      </c>
      <c r="D9" s="34" t="n">
        <v>11857</v>
      </c>
      <c r="E9" s="34" t="n">
        <v>-0.017</v>
      </c>
      <c r="F9" s="34" t="n">
        <v>236.97</v>
      </c>
      <c r="G9" s="34" t="n">
        <v>12339</v>
      </c>
      <c r="H9" s="34" t="n">
        <v>10047.85</v>
      </c>
      <c r="I9" s="34" t="n">
        <v>44.33</v>
      </c>
      <c r="J9" s="34" t="n">
        <v>61.3</v>
      </c>
      <c r="K9" s="34" t="n">
        <v>209706</v>
      </c>
      <c r="L9" s="34" t="n">
        <v>0.565</v>
      </c>
      <c r="M9" s="34" t="n">
        <v>11971.57</v>
      </c>
      <c r="N9" s="34" t="n">
        <v>11676.73</v>
      </c>
      <c r="O9" s="34" t="n">
        <v>11894</v>
      </c>
      <c r="P9" s="34" t="n">
        <v>11971.57</v>
      </c>
      <c r="Q9" s="34" t="n">
        <v>11528.09</v>
      </c>
      <c r="R9" s="34" t="n">
        <v>11950</v>
      </c>
      <c r="S9" s="34" t="n">
        <v>3.62</v>
      </c>
      <c r="T9" s="34" t="n">
        <v>0.002</v>
      </c>
      <c r="U9" s="34" t="n">
        <v>12339</v>
      </c>
      <c r="V9" s="34" t="n">
        <v>9534.95</v>
      </c>
    </row>
    <row r="10" customFormat="false" ht="15" hidden="false" customHeight="true" outlineLevel="0" collapsed="false">
      <c r="A10" s="34" t="s">
        <v>140</v>
      </c>
      <c r="B10" s="34" t="n">
        <v>9167</v>
      </c>
      <c r="C10" s="34" t="n">
        <v>9286</v>
      </c>
      <c r="D10" s="34" t="n">
        <v>9133.5</v>
      </c>
      <c r="E10" s="34" t="n">
        <v>-0.234</v>
      </c>
      <c r="F10" s="34" t="n">
        <v>225.81</v>
      </c>
      <c r="G10" s="34" t="n">
        <v>9660</v>
      </c>
      <c r="H10" s="34" t="n">
        <v>8211.25</v>
      </c>
      <c r="I10" s="34" t="n">
        <v>64.49</v>
      </c>
      <c r="J10" s="34" t="n">
        <v>60.34</v>
      </c>
      <c r="K10" s="34" t="n">
        <v>625815</v>
      </c>
      <c r="L10" s="34" t="n">
        <v>0.603</v>
      </c>
      <c r="M10" s="34" t="n">
        <v>9219.94</v>
      </c>
      <c r="N10" s="34" t="n">
        <v>8976.02</v>
      </c>
      <c r="O10" s="34" t="n">
        <v>9188.5</v>
      </c>
      <c r="P10" s="34" t="n">
        <v>9219.94</v>
      </c>
      <c r="Q10" s="34" t="n">
        <v>8878.74</v>
      </c>
      <c r="R10" s="34" t="n">
        <v>9188.5</v>
      </c>
      <c r="S10" s="34" t="n">
        <v>5.1</v>
      </c>
      <c r="T10" s="34" t="n">
        <v>0.004</v>
      </c>
      <c r="U10" s="34" t="n">
        <v>9660</v>
      </c>
      <c r="V10" s="34" t="n">
        <v>6375.7</v>
      </c>
    </row>
    <row r="11" customFormat="false" ht="15" hidden="false" customHeight="true" outlineLevel="0" collapsed="false">
      <c r="A11" s="34" t="s">
        <v>54</v>
      </c>
      <c r="B11" s="34" t="n">
        <v>8696.5</v>
      </c>
      <c r="C11" s="34" t="n">
        <v>8730</v>
      </c>
      <c r="D11" s="34" t="n">
        <v>8508</v>
      </c>
      <c r="E11" s="34" t="n">
        <v>1.7</v>
      </c>
      <c r="F11" s="34" t="n">
        <v>286.91</v>
      </c>
      <c r="G11" s="34" t="n">
        <v>8899.5</v>
      </c>
      <c r="H11" s="34" t="n">
        <v>7038</v>
      </c>
      <c r="I11" s="34" t="n">
        <v>51.67</v>
      </c>
      <c r="J11" s="34" t="n">
        <v>59.7</v>
      </c>
      <c r="K11" s="34" t="n">
        <v>123530</v>
      </c>
      <c r="L11" s="34" t="n">
        <v>1.39</v>
      </c>
      <c r="M11" s="34" t="n">
        <v>8038.4</v>
      </c>
      <c r="N11" s="34" t="n">
        <v>8328.7</v>
      </c>
      <c r="O11" s="34" t="n">
        <v>8551</v>
      </c>
      <c r="P11" s="34" t="n">
        <v>7911.72</v>
      </c>
      <c r="Q11" s="34" t="n">
        <v>8233.24</v>
      </c>
      <c r="R11" s="34" t="n">
        <v>8585</v>
      </c>
      <c r="S11" s="34" t="n">
        <v>34.22</v>
      </c>
      <c r="T11" s="34" t="n">
        <v>0.002</v>
      </c>
      <c r="U11" s="34" t="n">
        <v>13220</v>
      </c>
      <c r="V11" s="34" t="n">
        <v>7022.55</v>
      </c>
    </row>
    <row r="12" customFormat="false" ht="15" hidden="false" customHeight="true" outlineLevel="0" collapsed="false">
      <c r="A12" s="34" t="s">
        <v>85</v>
      </c>
      <c r="B12" s="34" t="n">
        <v>8426</v>
      </c>
      <c r="C12" s="34" t="n">
        <v>8499.5</v>
      </c>
      <c r="D12" s="34" t="n">
        <v>8410</v>
      </c>
      <c r="E12" s="34" t="n">
        <v>-0.414</v>
      </c>
      <c r="F12" s="34" t="n">
        <v>277.11</v>
      </c>
      <c r="G12" s="34" t="n">
        <v>8545</v>
      </c>
      <c r="H12" s="34" t="n">
        <v>5970.05</v>
      </c>
      <c r="I12" s="34" t="n">
        <v>139.4</v>
      </c>
      <c r="J12" s="34" t="n">
        <v>78.8</v>
      </c>
      <c r="K12" s="34" t="n">
        <v>237346</v>
      </c>
      <c r="L12" s="34" t="n">
        <v>0.468</v>
      </c>
      <c r="M12" s="34" t="n">
        <v>7879.59</v>
      </c>
      <c r="N12" s="34" t="n">
        <v>8167.17</v>
      </c>
      <c r="O12" s="34" t="n">
        <v>8461</v>
      </c>
      <c r="P12" s="34" t="n">
        <v>7834.08</v>
      </c>
      <c r="Q12" s="34" t="n">
        <v>8143.66</v>
      </c>
      <c r="R12" s="34" t="n">
        <v>8480</v>
      </c>
      <c r="S12" s="34" t="n">
        <v>15.97</v>
      </c>
      <c r="T12" s="34" t="n">
        <v>0.006</v>
      </c>
      <c r="U12" s="34" t="n">
        <v>10026.8</v>
      </c>
      <c r="V12" s="34" t="n">
        <v>4722.95</v>
      </c>
    </row>
    <row r="13" customFormat="false" ht="15" hidden="false" customHeight="true" outlineLevel="0" collapsed="false">
      <c r="A13" s="34" t="s">
        <v>131</v>
      </c>
      <c r="B13" s="34" t="n">
        <v>8482.5</v>
      </c>
      <c r="C13" s="34" t="n">
        <v>8495</v>
      </c>
      <c r="D13" s="34" t="n">
        <v>8280</v>
      </c>
      <c r="E13" s="34" t="n">
        <v>1.88</v>
      </c>
      <c r="F13" s="34" t="n">
        <v>209.54</v>
      </c>
      <c r="G13" s="34" t="n">
        <v>8495</v>
      </c>
      <c r="H13" s="34" t="n">
        <v>7089.35</v>
      </c>
      <c r="I13" s="34" t="n">
        <v>188.8</v>
      </c>
      <c r="J13" s="34" t="n">
        <v>76.58</v>
      </c>
      <c r="K13" s="34" t="n">
        <v>483124</v>
      </c>
      <c r="L13" s="34" t="n">
        <v>0.97</v>
      </c>
      <c r="M13" s="34" t="n">
        <v>7970.24</v>
      </c>
      <c r="N13" s="34" t="n">
        <v>8178.87</v>
      </c>
      <c r="O13" s="34" t="n">
        <v>8326</v>
      </c>
      <c r="P13" s="34" t="n">
        <v>7805.65</v>
      </c>
      <c r="Q13" s="34" t="n">
        <v>8013.58</v>
      </c>
      <c r="R13" s="34" t="n">
        <v>8350</v>
      </c>
      <c r="S13" s="34" t="n">
        <v>33.6</v>
      </c>
      <c r="T13" s="34" t="n">
        <v>0.002</v>
      </c>
      <c r="U13" s="34" t="n">
        <v>12774</v>
      </c>
      <c r="V13" s="34" t="n">
        <v>7089.35</v>
      </c>
    </row>
    <row r="14" customFormat="false" ht="15" hidden="false" customHeight="true" outlineLevel="0" collapsed="false">
      <c r="A14" s="34" t="s">
        <v>232</v>
      </c>
      <c r="B14" s="34" t="n">
        <v>7279</v>
      </c>
      <c r="C14" s="34" t="n">
        <v>7315</v>
      </c>
      <c r="D14" s="34" t="n">
        <v>7191.5</v>
      </c>
      <c r="E14" s="34" t="n">
        <v>1.83</v>
      </c>
      <c r="F14" s="34" t="n">
        <v>280.99</v>
      </c>
      <c r="G14" s="34" t="n">
        <v>7422.5</v>
      </c>
      <c r="H14" s="34" t="n">
        <v>3682</v>
      </c>
      <c r="I14" s="34" t="n">
        <v>139.52</v>
      </c>
      <c r="J14" s="34" t="n">
        <v>70.07</v>
      </c>
      <c r="K14" s="34" t="n">
        <v>1813304</v>
      </c>
      <c r="L14" s="34" t="n">
        <v>0.54</v>
      </c>
      <c r="M14" s="34" t="n">
        <v>6730.48</v>
      </c>
      <c r="N14" s="34" t="n">
        <v>7033.74</v>
      </c>
      <c r="O14" s="34" t="n">
        <v>7148</v>
      </c>
      <c r="P14" s="34" t="n">
        <v>6730.48</v>
      </c>
      <c r="Q14" s="34" t="n">
        <v>7033.74</v>
      </c>
      <c r="R14" s="34" t="n">
        <v>7200</v>
      </c>
      <c r="S14" s="34" t="n">
        <v>1.93</v>
      </c>
      <c r="T14" s="34" t="n">
        <v>0.01</v>
      </c>
      <c r="U14" s="34" t="n">
        <v>7422.5</v>
      </c>
      <c r="V14" s="34" t="n">
        <v>2115</v>
      </c>
    </row>
    <row r="15" customFormat="false" ht="15" hidden="false" customHeight="true" outlineLevel="0" collapsed="false">
      <c r="A15" s="34" t="s">
        <v>129</v>
      </c>
      <c r="B15" s="34" t="n">
        <v>7015</v>
      </c>
      <c r="C15" s="34" t="n">
        <v>7105</v>
      </c>
      <c r="D15" s="34" t="n">
        <v>6993</v>
      </c>
      <c r="E15" s="34" t="n">
        <v>-0.813</v>
      </c>
      <c r="F15" s="34" t="n">
        <v>150.12</v>
      </c>
      <c r="G15" s="34" t="n">
        <v>7243</v>
      </c>
      <c r="H15" s="34" t="n">
        <v>6001</v>
      </c>
      <c r="I15" s="34" t="n">
        <v>35.57</v>
      </c>
      <c r="J15" s="34" t="n">
        <v>56.66</v>
      </c>
      <c r="K15" s="34" t="n">
        <v>270775</v>
      </c>
      <c r="L15" s="34" t="n">
        <v>0.413</v>
      </c>
      <c r="M15" s="34" t="n">
        <v>6751.9</v>
      </c>
      <c r="N15" s="34" t="n">
        <v>6900.45</v>
      </c>
      <c r="O15" s="34" t="n">
        <v>7072.5</v>
      </c>
      <c r="P15" s="34" t="n">
        <v>6678.02</v>
      </c>
      <c r="Q15" s="34" t="n">
        <v>6830.64</v>
      </c>
      <c r="R15" s="34" t="n">
        <v>7080</v>
      </c>
      <c r="S15" s="34" t="n">
        <v>7.03</v>
      </c>
      <c r="T15" s="34" t="n">
        <v>0.003</v>
      </c>
      <c r="U15" s="34" t="n">
        <v>7545.35</v>
      </c>
      <c r="V15" s="34" t="n">
        <v>5693.2</v>
      </c>
    </row>
    <row r="16" customFormat="false" ht="15" hidden="false" customHeight="true" outlineLevel="0" collapsed="false">
      <c r="A16" s="34" t="s">
        <v>27</v>
      </c>
      <c r="B16" s="34" t="n">
        <v>6450</v>
      </c>
      <c r="C16" s="34" t="n">
        <v>6508.5</v>
      </c>
      <c r="D16" s="34" t="n">
        <v>6210</v>
      </c>
      <c r="E16" s="34" t="n">
        <v>3.96</v>
      </c>
      <c r="F16" s="34" t="n">
        <v>262.1</v>
      </c>
      <c r="G16" s="34" t="n">
        <v>6508.5</v>
      </c>
      <c r="H16" s="34" t="n">
        <v>4408.15</v>
      </c>
      <c r="I16" s="34" t="n">
        <v>153.86</v>
      </c>
      <c r="J16" s="34" t="n">
        <v>67.74</v>
      </c>
      <c r="K16" s="34" t="n">
        <v>738918</v>
      </c>
      <c r="L16" s="34" t="n">
        <v>1.84</v>
      </c>
      <c r="M16" s="34" t="n">
        <v>5843.95</v>
      </c>
      <c r="N16" s="34" t="n">
        <v>6101.6</v>
      </c>
      <c r="O16" s="34" t="n">
        <v>6204.5</v>
      </c>
      <c r="P16" s="34" t="n">
        <v>6226.25</v>
      </c>
      <c r="Q16" s="34" t="n">
        <v>5966.5</v>
      </c>
      <c r="R16" s="34" t="n">
        <v>6250</v>
      </c>
      <c r="S16" s="34" t="n">
        <v>8.49</v>
      </c>
      <c r="T16" s="34" t="n">
        <v>0.009</v>
      </c>
      <c r="U16" s="34" t="n">
        <v>7048.6</v>
      </c>
      <c r="V16" s="34" t="n">
        <v>2917.85</v>
      </c>
    </row>
    <row r="17" customFormat="false" ht="15" hidden="false" customHeight="true" outlineLevel="0" collapsed="false">
      <c r="A17" s="34" t="s">
        <v>240</v>
      </c>
      <c r="B17" s="34" t="n">
        <v>6212</v>
      </c>
      <c r="C17" s="34" t="n">
        <v>6228</v>
      </c>
      <c r="D17" s="34" t="n">
        <v>6165</v>
      </c>
      <c r="E17" s="34" t="n">
        <v>0.51</v>
      </c>
      <c r="F17" s="34" t="n">
        <v>191.74</v>
      </c>
      <c r="G17" s="34" t="n">
        <v>6228</v>
      </c>
      <c r="H17" s="34" t="n">
        <v>4700</v>
      </c>
      <c r="I17" s="34" t="n">
        <v>147.84</v>
      </c>
      <c r="J17" s="34" t="n">
        <v>74.82</v>
      </c>
      <c r="K17" s="34" t="n">
        <v>140767</v>
      </c>
      <c r="L17" s="34" t="n">
        <v>0.547</v>
      </c>
      <c r="M17" s="34" t="n">
        <v>5802.63</v>
      </c>
      <c r="N17" s="34" t="n">
        <v>5999.57</v>
      </c>
      <c r="O17" s="34" t="n">
        <v>6180.5</v>
      </c>
      <c r="P17" s="34" t="n">
        <v>5712.12</v>
      </c>
      <c r="Q17" s="34" t="n">
        <v>5923.93</v>
      </c>
      <c r="R17" s="34" t="n">
        <v>6219.5</v>
      </c>
      <c r="S17" s="34" t="n">
        <v>31.59</v>
      </c>
      <c r="T17" s="34" t="n">
        <v>0.004</v>
      </c>
      <c r="U17" s="34" t="n">
        <v>9200</v>
      </c>
      <c r="V17" s="34" t="n">
        <v>4700</v>
      </c>
    </row>
    <row r="18" customFormat="false" ht="15" hidden="false" customHeight="true" outlineLevel="0" collapsed="false">
      <c r="A18" s="34" t="s">
        <v>90</v>
      </c>
      <c r="B18" s="34" t="n">
        <v>6279.5</v>
      </c>
      <c r="C18" s="34" t="n">
        <v>6323</v>
      </c>
      <c r="D18" s="34" t="n">
        <v>6162</v>
      </c>
      <c r="E18" s="34" t="n">
        <v>1.05</v>
      </c>
      <c r="F18" s="34" t="n">
        <v>179.59</v>
      </c>
      <c r="G18" s="34" t="n">
        <v>6323</v>
      </c>
      <c r="H18" s="34" t="n">
        <v>4955</v>
      </c>
      <c r="I18" s="34" t="n">
        <v>139.71</v>
      </c>
      <c r="J18" s="34" t="n">
        <v>69.03</v>
      </c>
      <c r="K18" s="34" t="n">
        <v>556578</v>
      </c>
      <c r="L18" s="34" t="n">
        <v>1.2</v>
      </c>
      <c r="M18" s="34" t="n">
        <v>5874.95</v>
      </c>
      <c r="N18" s="34" t="n">
        <v>6058.72</v>
      </c>
      <c r="O18" s="34" t="n">
        <v>6214.5</v>
      </c>
      <c r="P18" s="34" t="n">
        <v>5838.88</v>
      </c>
      <c r="Q18" s="34" t="n">
        <v>6025.19</v>
      </c>
      <c r="R18" s="34" t="n">
        <v>6239</v>
      </c>
      <c r="S18" s="34" t="n">
        <v>0.688</v>
      </c>
      <c r="T18" s="34" t="n">
        <v>0.007</v>
      </c>
      <c r="U18" s="34" t="n">
        <v>6323</v>
      </c>
      <c r="V18" s="34" t="n">
        <v>3850</v>
      </c>
    </row>
    <row r="19" customFormat="false" ht="15" hidden="false" customHeight="true" outlineLevel="0" collapsed="false">
      <c r="A19" s="34" t="s">
        <v>173</v>
      </c>
      <c r="B19" s="34" t="n">
        <v>6094.5</v>
      </c>
      <c r="C19" s="34" t="n">
        <v>6116</v>
      </c>
      <c r="D19" s="34" t="n">
        <v>6016.5</v>
      </c>
      <c r="E19" s="34" t="n">
        <v>0.869</v>
      </c>
      <c r="F19" s="34" t="n">
        <v>165.67</v>
      </c>
      <c r="G19" s="34" t="n">
        <v>6116</v>
      </c>
      <c r="H19" s="34" t="n">
        <v>4555</v>
      </c>
      <c r="I19" s="34" t="n">
        <v>119.05</v>
      </c>
      <c r="J19" s="34" t="n">
        <v>77.07</v>
      </c>
      <c r="K19" s="34" t="n">
        <v>233003</v>
      </c>
      <c r="L19" s="34" t="n">
        <v>0.923</v>
      </c>
      <c r="M19" s="34" t="n">
        <v>5721.22</v>
      </c>
      <c r="N19" s="34" t="n">
        <v>5893.73</v>
      </c>
      <c r="O19" s="34" t="n">
        <v>6042</v>
      </c>
      <c r="P19" s="34" t="n">
        <v>5667.24</v>
      </c>
      <c r="Q19" s="34" t="n">
        <v>5847.87</v>
      </c>
      <c r="R19" s="34" t="n">
        <v>6069</v>
      </c>
      <c r="S19" s="34" t="n">
        <v>19.86</v>
      </c>
      <c r="T19" s="34" t="n">
        <v>0.004</v>
      </c>
      <c r="U19" s="34" t="n">
        <v>7605</v>
      </c>
      <c r="V19" s="34" t="n">
        <v>4555</v>
      </c>
    </row>
    <row r="20" customFormat="false" ht="15" hidden="false" customHeight="true" outlineLevel="0" collapsed="false">
      <c r="A20" s="34" t="s">
        <v>65</v>
      </c>
      <c r="B20" s="34" t="n">
        <v>5820</v>
      </c>
      <c r="C20" s="34" t="n">
        <v>5866</v>
      </c>
      <c r="D20" s="34" t="n">
        <v>5701</v>
      </c>
      <c r="E20" s="34" t="n">
        <v>1.48</v>
      </c>
      <c r="F20" s="34" t="n">
        <v>178.15</v>
      </c>
      <c r="G20" s="34" t="n">
        <v>5866</v>
      </c>
      <c r="H20" s="34" t="n">
        <v>4684.45</v>
      </c>
      <c r="I20" s="34" t="n">
        <v>149.6</v>
      </c>
      <c r="J20" s="34" t="n">
        <v>74.04</v>
      </c>
      <c r="K20" s="34" t="n">
        <v>418266</v>
      </c>
      <c r="L20" s="34" t="n">
        <v>1.17</v>
      </c>
      <c r="M20" s="34" t="n">
        <v>5426.38</v>
      </c>
      <c r="N20" s="34" t="n">
        <v>5604.94</v>
      </c>
      <c r="O20" s="34" t="n">
        <v>5735</v>
      </c>
      <c r="P20" s="34" t="n">
        <v>5317.61</v>
      </c>
      <c r="Q20" s="34" t="n">
        <v>5497.68</v>
      </c>
      <c r="R20" s="34" t="n">
        <v>5745</v>
      </c>
      <c r="S20" s="34" t="n">
        <v>36.39</v>
      </c>
      <c r="T20" s="34" t="n">
        <v>0.004</v>
      </c>
      <c r="U20" s="34" t="n">
        <v>9149.95</v>
      </c>
      <c r="V20" s="34" t="n">
        <v>4684.45</v>
      </c>
    </row>
    <row r="21" customFormat="false" ht="15" hidden="false" customHeight="true" outlineLevel="0" collapsed="false">
      <c r="A21" s="34" t="s">
        <v>149</v>
      </c>
      <c r="B21" s="34" t="n">
        <v>5699</v>
      </c>
      <c r="C21" s="34" t="n">
        <v>5708</v>
      </c>
      <c r="D21" s="34" t="n">
        <v>5625</v>
      </c>
      <c r="E21" s="34" t="n">
        <v>0.805</v>
      </c>
      <c r="F21" s="34" t="n">
        <v>205.84</v>
      </c>
      <c r="G21" s="34" t="n">
        <v>5955</v>
      </c>
      <c r="H21" s="34" t="n">
        <v>4148.95</v>
      </c>
      <c r="I21" s="34" t="n">
        <v>86.58</v>
      </c>
      <c r="J21" s="34" t="n">
        <v>62.6</v>
      </c>
      <c r="K21" s="34" t="n">
        <v>410772</v>
      </c>
      <c r="L21" s="34" t="n">
        <v>0.41</v>
      </c>
      <c r="M21" s="34" t="n">
        <v>5396.22</v>
      </c>
      <c r="N21" s="34" t="n">
        <v>5623.86</v>
      </c>
      <c r="O21" s="34" t="n">
        <v>5653.5</v>
      </c>
      <c r="P21" s="34" t="n">
        <v>5396.22</v>
      </c>
      <c r="Q21" s="34" t="n">
        <v>5623.86</v>
      </c>
      <c r="R21" s="34" t="n">
        <v>5667</v>
      </c>
      <c r="S21" s="34" t="n">
        <v>16.05</v>
      </c>
      <c r="T21" s="34" t="n">
        <v>0.008</v>
      </c>
      <c r="U21" s="34" t="n">
        <v>6788.9</v>
      </c>
      <c r="V21" s="34" t="n">
        <v>3232.05</v>
      </c>
    </row>
    <row r="22" customFormat="false" ht="15" hidden="false" customHeight="true" outlineLevel="0" collapsed="false">
      <c r="A22" s="34" t="s">
        <v>38</v>
      </c>
      <c r="B22" s="34" t="n">
        <v>5583</v>
      </c>
      <c r="C22" s="34" t="n">
        <v>5610.5</v>
      </c>
      <c r="D22" s="34" t="n">
        <v>5545</v>
      </c>
      <c r="E22" s="34" t="n">
        <v>0.099</v>
      </c>
      <c r="F22" s="34" t="n">
        <v>192.48</v>
      </c>
      <c r="G22" s="34" t="n">
        <v>5751</v>
      </c>
      <c r="H22" s="34" t="n">
        <v>4488</v>
      </c>
      <c r="I22" s="34" t="n">
        <v>213.79</v>
      </c>
      <c r="J22" s="34" t="n">
        <v>66.81</v>
      </c>
      <c r="K22" s="34" t="n">
        <v>808195</v>
      </c>
      <c r="L22" s="34" t="n">
        <v>0.531</v>
      </c>
      <c r="M22" s="34" t="n">
        <v>5181.38</v>
      </c>
      <c r="N22" s="34" t="n">
        <v>5379.56</v>
      </c>
      <c r="O22" s="34" t="n">
        <v>5577.5</v>
      </c>
      <c r="P22" s="34" t="n">
        <v>5044.89</v>
      </c>
      <c r="Q22" s="34" t="n">
        <v>5257.82</v>
      </c>
      <c r="R22" s="34" t="n">
        <v>5594</v>
      </c>
      <c r="S22" s="34" t="n">
        <v>33.1</v>
      </c>
      <c r="T22" s="34" t="n">
        <v>0.005</v>
      </c>
      <c r="U22" s="34" t="n">
        <v>8345</v>
      </c>
      <c r="V22" s="34" t="n">
        <v>4196</v>
      </c>
    </row>
    <row r="23" customFormat="false" ht="15" hidden="false" customHeight="true" outlineLevel="0" collapsed="false">
      <c r="A23" s="34" t="s">
        <v>144</v>
      </c>
      <c r="B23" s="34" t="n">
        <v>5562.5</v>
      </c>
      <c r="C23" s="34" t="n">
        <v>5633</v>
      </c>
      <c r="D23" s="34" t="n">
        <v>5544.5</v>
      </c>
      <c r="E23" s="34" t="n">
        <v>-0.474</v>
      </c>
      <c r="F23" s="34" t="n">
        <v>193.37</v>
      </c>
      <c r="G23" s="34" t="n">
        <v>5649</v>
      </c>
      <c r="H23" s="34" t="n">
        <v>4267.55</v>
      </c>
      <c r="I23" s="34" t="n">
        <v>102.22</v>
      </c>
      <c r="J23" s="34" t="n">
        <v>62.03</v>
      </c>
      <c r="K23" s="34" t="n">
        <v>433664</v>
      </c>
      <c r="L23" s="34" t="n">
        <v>0.618</v>
      </c>
      <c r="M23" s="34" t="n">
        <v>5202.11</v>
      </c>
      <c r="N23" s="34" t="n">
        <v>5395.43</v>
      </c>
      <c r="O23" s="34" t="n">
        <v>5589</v>
      </c>
      <c r="P23" s="34" t="n">
        <v>5092.57</v>
      </c>
      <c r="Q23" s="34" t="n">
        <v>5297.54</v>
      </c>
      <c r="R23" s="34" t="n">
        <v>5599</v>
      </c>
      <c r="S23" s="34" t="n">
        <v>1.53</v>
      </c>
      <c r="T23" s="34" t="n">
        <v>0.006</v>
      </c>
      <c r="U23" s="34" t="n">
        <v>5649</v>
      </c>
      <c r="V23" s="34" t="n">
        <v>3780</v>
      </c>
    </row>
    <row r="24" customFormat="false" ht="15" hidden="false" customHeight="true" outlineLevel="0" collapsed="false">
      <c r="A24" s="34" t="s">
        <v>73</v>
      </c>
      <c r="B24" s="34" t="n">
        <v>5509.5</v>
      </c>
      <c r="C24" s="34" t="n">
        <v>5585.5</v>
      </c>
      <c r="D24" s="34" t="n">
        <v>5491</v>
      </c>
      <c r="E24" s="34" t="n">
        <v>0.796</v>
      </c>
      <c r="F24" s="34" t="n">
        <v>147.55</v>
      </c>
      <c r="G24" s="34" t="n">
        <v>5906.5</v>
      </c>
      <c r="H24" s="34" t="n">
        <v>4755</v>
      </c>
      <c r="I24" s="34" t="n">
        <v>-13.48</v>
      </c>
      <c r="J24" s="34" t="n">
        <v>54.29</v>
      </c>
      <c r="K24" s="34" t="n">
        <v>638327</v>
      </c>
      <c r="L24" s="34" t="n">
        <v>0.331</v>
      </c>
      <c r="M24" s="34" t="n">
        <v>5582.44</v>
      </c>
      <c r="N24" s="34" t="n">
        <v>5390.65</v>
      </c>
      <c r="O24" s="34" t="n">
        <v>5466</v>
      </c>
      <c r="P24" s="34" t="n">
        <v>5582.44</v>
      </c>
      <c r="Q24" s="34" t="n">
        <v>5328.93</v>
      </c>
      <c r="R24" s="34" t="n">
        <v>5504</v>
      </c>
      <c r="S24" s="34" t="n">
        <v>6.72</v>
      </c>
      <c r="T24" s="34" t="n">
        <v>0.004</v>
      </c>
      <c r="U24" s="34" t="n">
        <v>5906.5</v>
      </c>
      <c r="V24" s="34" t="n">
        <v>4253.85</v>
      </c>
    </row>
    <row r="25" customFormat="false" ht="15" hidden="false" customHeight="true" outlineLevel="0" collapsed="false">
      <c r="A25" s="34" t="s">
        <v>153</v>
      </c>
      <c r="B25" s="34" t="n">
        <v>5504</v>
      </c>
      <c r="C25" s="34" t="n">
        <v>5527</v>
      </c>
      <c r="D25" s="34" t="n">
        <v>5452.5</v>
      </c>
      <c r="E25" s="34" t="n">
        <v>0.714</v>
      </c>
      <c r="F25" s="34" t="n">
        <v>127.56</v>
      </c>
      <c r="G25" s="34" t="n">
        <v>5640</v>
      </c>
      <c r="H25" s="34" t="n">
        <v>4506</v>
      </c>
      <c r="I25" s="34" t="n">
        <v>68.26</v>
      </c>
      <c r="J25" s="34" t="n">
        <v>58.66</v>
      </c>
      <c r="K25" s="34" t="n">
        <v>154288</v>
      </c>
      <c r="L25" s="34" t="n">
        <v>0.334</v>
      </c>
      <c r="M25" s="34" t="n">
        <v>5266.31</v>
      </c>
      <c r="N25" s="34" t="n">
        <v>5408.65</v>
      </c>
      <c r="O25" s="34" t="n">
        <v>5465</v>
      </c>
      <c r="P25" s="34" t="n">
        <v>5266.31</v>
      </c>
      <c r="Q25" s="34" t="n">
        <v>5408.65</v>
      </c>
      <c r="R25" s="34" t="n">
        <v>5472</v>
      </c>
      <c r="S25" s="34" t="n">
        <v>14.93</v>
      </c>
      <c r="T25" s="34" t="n">
        <v>0.003</v>
      </c>
      <c r="U25" s="34" t="n">
        <v>6469.9</v>
      </c>
      <c r="V25" s="34" t="n">
        <v>4506</v>
      </c>
    </row>
    <row r="26" customFormat="false" ht="15" hidden="false" customHeight="true" outlineLevel="0" collapsed="false">
      <c r="A26" s="34" t="s">
        <v>137</v>
      </c>
      <c r="B26" s="34" t="n">
        <v>5221</v>
      </c>
      <c r="C26" s="34" t="n">
        <v>5316</v>
      </c>
      <c r="D26" s="34" t="n">
        <v>5200</v>
      </c>
      <c r="E26" s="34" t="n">
        <v>-1.06</v>
      </c>
      <c r="F26" s="34" t="n">
        <v>128.62</v>
      </c>
      <c r="G26" s="34" t="n">
        <v>5320.5</v>
      </c>
      <c r="H26" s="34" t="n">
        <v>4491.65</v>
      </c>
      <c r="I26" s="34" t="n">
        <v>155.24</v>
      </c>
      <c r="J26" s="34" t="n">
        <v>66.12</v>
      </c>
      <c r="K26" s="34" t="n">
        <v>93472</v>
      </c>
      <c r="L26" s="34" t="n">
        <v>0.796</v>
      </c>
      <c r="M26" s="34" t="n">
        <v>5003.4</v>
      </c>
      <c r="N26" s="34" t="n">
        <v>5130.7</v>
      </c>
      <c r="O26" s="34" t="n">
        <v>5277</v>
      </c>
      <c r="P26" s="34" t="n">
        <v>4952.64</v>
      </c>
      <c r="Q26" s="34" t="n">
        <v>5081.19</v>
      </c>
      <c r="R26" s="34" t="n">
        <v>5300</v>
      </c>
      <c r="S26" s="34" t="n">
        <v>18.93</v>
      </c>
      <c r="T26" s="34" t="n">
        <v>0.003</v>
      </c>
      <c r="U26" s="34" t="n">
        <v>6439.9</v>
      </c>
      <c r="V26" s="34" t="n">
        <v>4407.05</v>
      </c>
    </row>
    <row r="27" customFormat="false" ht="15" hidden="false" customHeight="true" outlineLevel="0" collapsed="false">
      <c r="A27" s="34" t="s">
        <v>87</v>
      </c>
      <c r="B27" s="34" t="n">
        <v>5047.8</v>
      </c>
      <c r="C27" s="34" t="n">
        <v>5088.8</v>
      </c>
      <c r="D27" s="34" t="n">
        <v>5022.5</v>
      </c>
      <c r="E27" s="34" t="n">
        <v>0.276</v>
      </c>
      <c r="F27" s="34" t="n">
        <v>143.25</v>
      </c>
      <c r="G27" s="34" t="n">
        <v>5088.8</v>
      </c>
      <c r="H27" s="34" t="n">
        <v>3802</v>
      </c>
      <c r="I27" s="34" t="n">
        <v>159.06</v>
      </c>
      <c r="J27" s="34" t="n">
        <v>84.57</v>
      </c>
      <c r="K27" s="34" t="n">
        <v>191677</v>
      </c>
      <c r="L27" s="34" t="n">
        <v>0.551</v>
      </c>
      <c r="M27" s="34" t="n">
        <v>4762.36</v>
      </c>
      <c r="N27" s="34" t="n">
        <v>4909.01</v>
      </c>
      <c r="O27" s="34" t="n">
        <v>5033.9</v>
      </c>
      <c r="P27" s="34" t="n">
        <v>4693.86</v>
      </c>
      <c r="Q27" s="34" t="n">
        <v>4849.43</v>
      </c>
      <c r="R27" s="34" t="n">
        <v>5040</v>
      </c>
      <c r="S27" s="34" t="n">
        <v>25.42</v>
      </c>
      <c r="T27" s="34" t="n">
        <v>0.005</v>
      </c>
      <c r="U27" s="34" t="n">
        <v>6767.95</v>
      </c>
      <c r="V27" s="34" t="n">
        <v>3802</v>
      </c>
    </row>
    <row r="28" customFormat="false" ht="15" hidden="false" customHeight="true" outlineLevel="0" collapsed="false">
      <c r="A28" s="34" t="s">
        <v>192</v>
      </c>
      <c r="B28" s="34" t="n">
        <v>5127.7</v>
      </c>
      <c r="C28" s="34" t="n">
        <v>5165</v>
      </c>
      <c r="D28" s="34" t="n">
        <v>4833.6</v>
      </c>
      <c r="E28" s="34" t="n">
        <v>5.4</v>
      </c>
      <c r="F28" s="34" t="n">
        <v>193.66</v>
      </c>
      <c r="G28" s="34" t="n">
        <v>5165</v>
      </c>
      <c r="H28" s="34" t="n">
        <v>3046.05</v>
      </c>
      <c r="I28" s="34" t="n">
        <v>247.2</v>
      </c>
      <c r="J28" s="34" t="n">
        <v>84.24</v>
      </c>
      <c r="K28" s="34" t="n">
        <v>6753397</v>
      </c>
      <c r="L28" s="34" t="n">
        <v>1.39</v>
      </c>
      <c r="M28" s="34" t="n">
        <v>4629.97</v>
      </c>
      <c r="N28" s="34" t="n">
        <v>4814.64</v>
      </c>
      <c r="O28" s="34" t="n">
        <v>4864.8</v>
      </c>
      <c r="P28" s="34" t="n">
        <v>4478.38</v>
      </c>
      <c r="Q28" s="34" t="n">
        <v>4646.74</v>
      </c>
      <c r="R28" s="34" t="n">
        <v>4874</v>
      </c>
      <c r="S28" s="34" t="n">
        <v>9.64</v>
      </c>
      <c r="T28" s="34" t="n">
        <v>0.009</v>
      </c>
      <c r="U28" s="34" t="n">
        <v>5674.75</v>
      </c>
      <c r="V28" s="34" t="n">
        <v>3046.05</v>
      </c>
    </row>
    <row r="29" customFormat="false" ht="15" hidden="false" customHeight="true" outlineLevel="0" collapsed="false">
      <c r="A29" s="34" t="s">
        <v>108</v>
      </c>
      <c r="B29" s="34" t="n">
        <v>4737.3</v>
      </c>
      <c r="C29" s="34" t="n">
        <v>4772</v>
      </c>
      <c r="D29" s="34" t="n">
        <v>4688.2</v>
      </c>
      <c r="E29" s="34" t="n">
        <v>0.742</v>
      </c>
      <c r="F29" s="34" t="n">
        <v>138.58</v>
      </c>
      <c r="G29" s="34" t="n">
        <v>4772</v>
      </c>
      <c r="H29" s="34" t="n">
        <v>3566.85</v>
      </c>
      <c r="I29" s="34" t="n">
        <v>200.97</v>
      </c>
      <c r="J29" s="34" t="n">
        <v>73.54</v>
      </c>
      <c r="K29" s="34" t="n">
        <v>998010</v>
      </c>
      <c r="L29" s="34" t="n">
        <v>0.83</v>
      </c>
      <c r="M29" s="34" t="n">
        <v>4449.81</v>
      </c>
      <c r="N29" s="34" t="n">
        <v>4589.96</v>
      </c>
      <c r="O29" s="34" t="n">
        <v>4702.4</v>
      </c>
      <c r="P29" s="34" t="n">
        <v>4334.74</v>
      </c>
      <c r="Q29" s="34" t="n">
        <v>4481.15</v>
      </c>
      <c r="R29" s="34" t="n">
        <v>4720</v>
      </c>
      <c r="S29" s="34" t="n">
        <v>2.6</v>
      </c>
      <c r="T29" s="34" t="n">
        <v>0.006</v>
      </c>
      <c r="U29" s="34" t="n">
        <v>4864</v>
      </c>
      <c r="V29" s="34" t="n">
        <v>3415.55</v>
      </c>
    </row>
    <row r="30" customFormat="false" ht="15" hidden="false" customHeight="true" outlineLevel="0" collapsed="false">
      <c r="A30" s="34" t="s">
        <v>139</v>
      </c>
      <c r="B30" s="34" t="n">
        <v>4345.3</v>
      </c>
      <c r="C30" s="34" t="n">
        <v>4363</v>
      </c>
      <c r="D30" s="34" t="n">
        <v>4294.3</v>
      </c>
      <c r="E30" s="34" t="n">
        <v>0.469</v>
      </c>
      <c r="F30" s="34" t="n">
        <v>138.73</v>
      </c>
      <c r="G30" s="34" t="n">
        <v>4363</v>
      </c>
      <c r="H30" s="34" t="n">
        <v>3344</v>
      </c>
      <c r="I30" s="34" t="n">
        <v>260.96</v>
      </c>
      <c r="J30" s="34" t="n">
        <v>84.95</v>
      </c>
      <c r="K30" s="34" t="n">
        <v>765262</v>
      </c>
      <c r="L30" s="34" t="n">
        <v>0.291</v>
      </c>
      <c r="M30" s="34" t="n">
        <v>4060.52</v>
      </c>
      <c r="N30" s="34" t="n">
        <v>4194.58</v>
      </c>
      <c r="O30" s="34" t="n">
        <v>4325</v>
      </c>
      <c r="P30" s="34" t="n">
        <v>3924.44</v>
      </c>
      <c r="Q30" s="34" t="n">
        <v>4065.77</v>
      </c>
      <c r="R30" s="34" t="n">
        <v>4330</v>
      </c>
      <c r="S30" s="34" t="n">
        <v>30.43</v>
      </c>
      <c r="T30" s="34" t="n">
        <v>0.006</v>
      </c>
      <c r="U30" s="34" t="n">
        <v>6246.25</v>
      </c>
      <c r="V30" s="34" t="n">
        <v>3344</v>
      </c>
    </row>
    <row r="31" customFormat="false" ht="15" hidden="false" customHeight="true" outlineLevel="0" collapsed="false">
      <c r="A31" s="34" t="s">
        <v>246</v>
      </c>
      <c r="B31" s="34" t="n">
        <v>4189.7</v>
      </c>
      <c r="C31" s="34" t="n">
        <v>4196</v>
      </c>
      <c r="D31" s="34" t="n">
        <v>4042.5</v>
      </c>
      <c r="E31" s="34" t="n">
        <v>2.85</v>
      </c>
      <c r="F31" s="34" t="n">
        <v>116</v>
      </c>
      <c r="G31" s="34" t="n">
        <v>4557.7</v>
      </c>
      <c r="H31" s="34" t="n">
        <v>3340</v>
      </c>
      <c r="I31" s="34" t="n">
        <v>-20.18</v>
      </c>
      <c r="J31" s="34" t="n">
        <v>65.19</v>
      </c>
      <c r="K31" s="34" t="n">
        <v>386496</v>
      </c>
      <c r="L31" s="34" t="n">
        <v>1.47</v>
      </c>
      <c r="M31" s="34" t="n">
        <v>3881.77</v>
      </c>
      <c r="N31" s="34" t="n">
        <v>4000.51</v>
      </c>
      <c r="O31" s="34" t="n">
        <v>4073.5</v>
      </c>
      <c r="P31" s="34" t="n">
        <v>4185.79</v>
      </c>
      <c r="Q31" s="34" t="n">
        <v>3965.57</v>
      </c>
      <c r="R31" s="34" t="n">
        <v>4070</v>
      </c>
      <c r="S31" s="34" t="n">
        <v>23.61</v>
      </c>
      <c r="T31" s="34" t="n">
        <v>0.005</v>
      </c>
      <c r="U31" s="34" t="n">
        <v>5484.85</v>
      </c>
      <c r="V31" s="34" t="n">
        <v>3340</v>
      </c>
    </row>
    <row r="32" customFormat="false" ht="15" hidden="false" customHeight="true" outlineLevel="0" collapsed="false">
      <c r="A32" s="34" t="s">
        <v>208</v>
      </c>
      <c r="B32" s="34" t="n">
        <v>3890.9</v>
      </c>
      <c r="C32" s="34" t="n">
        <v>3929</v>
      </c>
      <c r="D32" s="34" t="n">
        <v>3737</v>
      </c>
      <c r="E32" s="34" t="n">
        <v>4.41</v>
      </c>
      <c r="F32" s="34" t="n">
        <v>139.91</v>
      </c>
      <c r="G32" s="34" t="n">
        <v>4127</v>
      </c>
      <c r="H32" s="34" t="n">
        <v>3031.05</v>
      </c>
      <c r="I32" s="34" t="n">
        <v>12.05</v>
      </c>
      <c r="J32" s="34" t="n">
        <v>64.52</v>
      </c>
      <c r="K32" s="34" t="n">
        <v>880992</v>
      </c>
      <c r="L32" s="34" t="n">
        <v>1.79</v>
      </c>
      <c r="M32" s="34" t="n">
        <v>3552.12</v>
      </c>
      <c r="N32" s="34" t="n">
        <v>3692.56</v>
      </c>
      <c r="O32" s="34" t="n">
        <v>3726.4</v>
      </c>
      <c r="P32" s="34" t="n">
        <v>3769.3</v>
      </c>
      <c r="Q32" s="34" t="n">
        <v>3553.97</v>
      </c>
      <c r="R32" s="34" t="n">
        <v>3751</v>
      </c>
      <c r="S32" s="34" t="n">
        <v>27.51</v>
      </c>
      <c r="T32" s="34" t="n">
        <v>0.006</v>
      </c>
      <c r="U32" s="34" t="n">
        <v>5367.5</v>
      </c>
      <c r="V32" s="34" t="n">
        <v>3031.05</v>
      </c>
    </row>
    <row r="33" customFormat="false" ht="15" hidden="false" customHeight="true" outlineLevel="0" collapsed="false">
      <c r="A33" s="34" t="s">
        <v>148</v>
      </c>
      <c r="B33" s="34" t="n">
        <v>3769.7</v>
      </c>
      <c r="C33" s="34" t="n">
        <v>3789</v>
      </c>
      <c r="D33" s="34" t="n">
        <v>3652.9</v>
      </c>
      <c r="E33" s="34" t="n">
        <v>2.12</v>
      </c>
      <c r="F33" s="34" t="n">
        <v>102.47</v>
      </c>
      <c r="G33" s="34" t="n">
        <v>3789</v>
      </c>
      <c r="H33" s="34" t="n">
        <v>2951.1</v>
      </c>
      <c r="I33" s="34" t="n">
        <v>178.66</v>
      </c>
      <c r="J33" s="34" t="n">
        <v>68.29</v>
      </c>
      <c r="K33" s="34" t="n">
        <v>602501</v>
      </c>
      <c r="L33" s="34" t="n">
        <v>3.32</v>
      </c>
      <c r="M33" s="34" t="n">
        <v>3514.63</v>
      </c>
      <c r="N33" s="34" t="n">
        <v>3617.79</v>
      </c>
      <c r="O33" s="34" t="n">
        <v>3691.3</v>
      </c>
      <c r="P33" s="34" t="n">
        <v>3499.53</v>
      </c>
      <c r="Q33" s="34" t="n">
        <v>3602.62</v>
      </c>
      <c r="R33" s="34" t="n">
        <v>3712</v>
      </c>
      <c r="S33" s="34" t="n">
        <v>21.53</v>
      </c>
      <c r="T33" s="34" t="n">
        <v>0.006</v>
      </c>
      <c r="U33" s="34" t="n">
        <v>4804.05</v>
      </c>
      <c r="V33" s="34" t="n">
        <v>2951.1</v>
      </c>
    </row>
    <row r="34" customFormat="false" ht="15" hidden="false" customHeight="true" outlineLevel="0" collapsed="false">
      <c r="A34" s="34" t="s">
        <v>226</v>
      </c>
      <c r="B34" s="34" t="n">
        <v>3681.9</v>
      </c>
      <c r="C34" s="34" t="n">
        <v>3720</v>
      </c>
      <c r="D34" s="34" t="n">
        <v>3616</v>
      </c>
      <c r="E34" s="34" t="n">
        <v>1.08</v>
      </c>
      <c r="F34" s="34" t="n">
        <v>108.15</v>
      </c>
      <c r="G34" s="34" t="n">
        <v>3720</v>
      </c>
      <c r="H34" s="34" t="n">
        <v>3095</v>
      </c>
      <c r="I34" s="34" t="n">
        <v>180.44</v>
      </c>
      <c r="J34" s="34" t="n">
        <v>73.89</v>
      </c>
      <c r="K34" s="34" t="n">
        <v>341103</v>
      </c>
      <c r="L34" s="34" t="n">
        <v>1.32</v>
      </c>
      <c r="M34" s="34" t="n">
        <v>3444.97</v>
      </c>
      <c r="N34" s="34" t="n">
        <v>3556.48</v>
      </c>
      <c r="O34" s="34" t="n">
        <v>3642.7</v>
      </c>
      <c r="P34" s="34" t="n">
        <v>3381.84</v>
      </c>
      <c r="Q34" s="34" t="n">
        <v>3494.2</v>
      </c>
      <c r="R34" s="34" t="n">
        <v>3660</v>
      </c>
      <c r="S34" s="34" t="n">
        <v>43</v>
      </c>
      <c r="T34" s="34" t="n">
        <v>0.004</v>
      </c>
      <c r="U34" s="34" t="n">
        <v>6460</v>
      </c>
      <c r="V34" s="34" t="n">
        <v>3095</v>
      </c>
    </row>
    <row r="35" customFormat="false" ht="15" hidden="false" customHeight="true" outlineLevel="0" collapsed="false">
      <c r="A35" s="34" t="s">
        <v>142</v>
      </c>
      <c r="B35" s="34" t="n">
        <v>3633.7</v>
      </c>
      <c r="C35" s="34" t="n">
        <v>3655.9</v>
      </c>
      <c r="D35" s="34" t="n">
        <v>3613.4</v>
      </c>
      <c r="E35" s="34" t="n">
        <v>-0.085</v>
      </c>
      <c r="F35" s="34" t="n">
        <v>79.56</v>
      </c>
      <c r="G35" s="34" t="n">
        <v>3665</v>
      </c>
      <c r="H35" s="34" t="n">
        <v>2925</v>
      </c>
      <c r="I35" s="34" t="n">
        <v>156.34</v>
      </c>
      <c r="J35" s="34" t="n">
        <v>87.31</v>
      </c>
      <c r="K35" s="34" t="n">
        <v>525064</v>
      </c>
      <c r="L35" s="34" t="n">
        <v>0.428</v>
      </c>
      <c r="M35" s="34" t="n">
        <v>3475.15</v>
      </c>
      <c r="N35" s="34" t="n">
        <v>3554.9</v>
      </c>
      <c r="O35" s="34" t="n">
        <v>3636.8</v>
      </c>
      <c r="P35" s="34" t="n">
        <v>3441.67</v>
      </c>
      <c r="Q35" s="34" t="n">
        <v>3525.56</v>
      </c>
      <c r="R35" s="34" t="n">
        <v>3654</v>
      </c>
      <c r="S35" s="34" t="n">
        <v>6.03</v>
      </c>
      <c r="T35" s="34" t="n">
        <v>0.005</v>
      </c>
      <c r="U35" s="34" t="n">
        <v>3886.95</v>
      </c>
      <c r="V35" s="34" t="n">
        <v>2925</v>
      </c>
    </row>
    <row r="36" customFormat="false" ht="15" hidden="false" customHeight="true" outlineLevel="0" collapsed="false">
      <c r="A36" s="34" t="s">
        <v>93</v>
      </c>
      <c r="B36" s="34" t="n">
        <v>3604.7</v>
      </c>
      <c r="C36" s="34" t="n">
        <v>3642</v>
      </c>
      <c r="D36" s="34" t="n">
        <v>3600</v>
      </c>
      <c r="E36" s="34" t="n">
        <v>-0.373</v>
      </c>
      <c r="F36" s="34" t="n">
        <v>78.31</v>
      </c>
      <c r="G36" s="34" t="n">
        <v>3648.7</v>
      </c>
      <c r="H36" s="34" t="n">
        <v>2965.3</v>
      </c>
      <c r="I36" s="34" t="n">
        <v>146.14</v>
      </c>
      <c r="J36" s="34" t="n">
        <v>80.12</v>
      </c>
      <c r="K36" s="34" t="n">
        <v>1278520</v>
      </c>
      <c r="L36" s="34" t="n">
        <v>0.344</v>
      </c>
      <c r="M36" s="34" t="n">
        <v>3462.48</v>
      </c>
      <c r="N36" s="34" t="n">
        <v>3541.74</v>
      </c>
      <c r="O36" s="34" t="n">
        <v>3618.2</v>
      </c>
      <c r="P36" s="34" t="n">
        <v>3430.15</v>
      </c>
      <c r="Q36" s="34" t="n">
        <v>3512.45</v>
      </c>
      <c r="R36" s="34" t="n">
        <v>3642</v>
      </c>
      <c r="S36" s="34" t="n">
        <v>9.05</v>
      </c>
      <c r="T36" s="34" t="n">
        <v>0.005</v>
      </c>
      <c r="U36" s="34" t="n">
        <v>3963.5</v>
      </c>
      <c r="V36" s="34" t="n">
        <v>2965.3</v>
      </c>
    </row>
    <row r="37" customFormat="false" ht="15" hidden="false" customHeight="true" outlineLevel="0" collapsed="false">
      <c r="A37" s="34" t="s">
        <v>135</v>
      </c>
      <c r="B37" s="34" t="n">
        <v>3561.3</v>
      </c>
      <c r="C37" s="34" t="n">
        <v>3593.9</v>
      </c>
      <c r="D37" s="34" t="n">
        <v>3546.1</v>
      </c>
      <c r="E37" s="34" t="n">
        <v>-0.52</v>
      </c>
      <c r="F37" s="34" t="n">
        <v>76.52</v>
      </c>
      <c r="G37" s="34" t="n">
        <v>3710</v>
      </c>
      <c r="H37" s="34" t="n">
        <v>3056.05</v>
      </c>
      <c r="I37" s="34" t="n">
        <v>129.69</v>
      </c>
      <c r="J37" s="34" t="n">
        <v>61.91</v>
      </c>
      <c r="K37" s="34" t="n">
        <v>1666727</v>
      </c>
      <c r="L37" s="34" t="n">
        <v>0.47</v>
      </c>
      <c r="M37" s="34" t="n">
        <v>3416.2</v>
      </c>
      <c r="N37" s="34" t="n">
        <v>3493.1</v>
      </c>
      <c r="O37" s="34" t="n">
        <v>3579.9</v>
      </c>
      <c r="P37" s="34" t="n">
        <v>3408.02</v>
      </c>
      <c r="Q37" s="34" t="n">
        <v>3487.18</v>
      </c>
      <c r="R37" s="34" t="n">
        <v>3593.9</v>
      </c>
      <c r="S37" s="34" t="n">
        <v>22.45</v>
      </c>
      <c r="T37" s="34" t="n">
        <v>0.004</v>
      </c>
      <c r="U37" s="34" t="n">
        <v>4592.25</v>
      </c>
      <c r="V37" s="34" t="n">
        <v>3056.05</v>
      </c>
    </row>
    <row r="38" customFormat="false" ht="15" hidden="false" customHeight="true" outlineLevel="0" collapsed="false">
      <c r="A38" s="34" t="s">
        <v>55</v>
      </c>
      <c r="B38" s="34" t="n">
        <v>3551.5</v>
      </c>
      <c r="C38" s="34" t="n">
        <v>3616.6</v>
      </c>
      <c r="D38" s="34" t="n">
        <v>3530.5</v>
      </c>
      <c r="E38" s="34" t="n">
        <v>0.229</v>
      </c>
      <c r="F38" s="34" t="n">
        <v>112.19</v>
      </c>
      <c r="G38" s="34" t="n">
        <v>3616.6</v>
      </c>
      <c r="H38" s="34" t="n">
        <v>2825.2</v>
      </c>
      <c r="I38" s="34" t="n">
        <v>154.41</v>
      </c>
      <c r="J38" s="34" t="n">
        <v>75.16</v>
      </c>
      <c r="K38" s="34" t="n">
        <v>285982</v>
      </c>
      <c r="L38" s="34" t="n">
        <v>1.05</v>
      </c>
      <c r="M38" s="34" t="n">
        <v>3350.8</v>
      </c>
      <c r="N38" s="34" t="n">
        <v>3462.17</v>
      </c>
      <c r="O38" s="34" t="n">
        <v>3543.4</v>
      </c>
      <c r="P38" s="34" t="n">
        <v>3300.73</v>
      </c>
      <c r="Q38" s="34" t="n">
        <v>3414.91</v>
      </c>
      <c r="R38" s="34" t="n">
        <v>3543.5</v>
      </c>
      <c r="S38" s="34" t="n">
        <v>19.65</v>
      </c>
      <c r="T38" s="34" t="n">
        <v>0.006</v>
      </c>
      <c r="U38" s="34" t="n">
        <v>4420</v>
      </c>
      <c r="V38" s="34" t="n">
        <v>2825.2</v>
      </c>
    </row>
    <row r="39" customFormat="false" ht="15" hidden="false" customHeight="true" outlineLevel="0" collapsed="false">
      <c r="A39" s="34" t="s">
        <v>209</v>
      </c>
      <c r="B39" s="34" t="n">
        <v>3463.2</v>
      </c>
      <c r="C39" s="34" t="n">
        <v>3522.7</v>
      </c>
      <c r="D39" s="34" t="n">
        <v>3449</v>
      </c>
      <c r="E39" s="34" t="n">
        <v>-1.02</v>
      </c>
      <c r="F39" s="34" t="n">
        <v>114.32</v>
      </c>
      <c r="G39" s="34" t="n">
        <v>3522.7</v>
      </c>
      <c r="H39" s="34" t="n">
        <v>2424</v>
      </c>
      <c r="I39" s="34" t="n">
        <v>121</v>
      </c>
      <c r="J39" s="34" t="n">
        <v>74.1</v>
      </c>
      <c r="K39" s="34" t="n">
        <v>313486</v>
      </c>
      <c r="L39" s="34" t="n">
        <v>0.837</v>
      </c>
      <c r="M39" s="34" t="n">
        <v>3253.1</v>
      </c>
      <c r="N39" s="34" t="n">
        <v>3369.47</v>
      </c>
      <c r="O39" s="34" t="n">
        <v>3499</v>
      </c>
      <c r="P39" s="34" t="n">
        <v>3211.96</v>
      </c>
      <c r="Q39" s="34" t="n">
        <v>3333.08</v>
      </c>
      <c r="R39" s="34" t="n">
        <v>3519.6</v>
      </c>
      <c r="S39" s="34" t="n">
        <v>31.28</v>
      </c>
      <c r="T39" s="34" t="n">
        <v>0.009</v>
      </c>
      <c r="U39" s="34" t="n">
        <v>5039.7</v>
      </c>
      <c r="V39" s="34" t="n">
        <v>2424</v>
      </c>
    </row>
    <row r="40" customFormat="false" ht="15" hidden="false" customHeight="true" outlineLevel="0" collapsed="false">
      <c r="A40" s="34" t="s">
        <v>115</v>
      </c>
      <c r="B40" s="34" t="n">
        <v>3266.8</v>
      </c>
      <c r="C40" s="34" t="n">
        <v>3274.8</v>
      </c>
      <c r="D40" s="34" t="n">
        <v>3230</v>
      </c>
      <c r="E40" s="34" t="n">
        <v>0.055</v>
      </c>
      <c r="F40" s="34" t="n">
        <v>83.35</v>
      </c>
      <c r="G40" s="34" t="n">
        <v>3360</v>
      </c>
      <c r="H40" s="34" t="n">
        <v>2886.45</v>
      </c>
      <c r="I40" s="34" t="n">
        <v>-7.86</v>
      </c>
      <c r="J40" s="34" t="n">
        <v>54.47</v>
      </c>
      <c r="K40" s="34" t="n">
        <v>358759</v>
      </c>
      <c r="L40" s="34" t="n">
        <v>1.96</v>
      </c>
      <c r="M40" s="34" t="n">
        <v>3338.12</v>
      </c>
      <c r="N40" s="34" t="n">
        <v>3167.23</v>
      </c>
      <c r="O40" s="34" t="n">
        <v>3265</v>
      </c>
      <c r="P40" s="34" t="n">
        <v>3338.12</v>
      </c>
      <c r="Q40" s="34" t="n">
        <v>3155.44</v>
      </c>
      <c r="R40" s="34" t="n">
        <v>3274.8</v>
      </c>
      <c r="S40" s="34" t="n">
        <v>9.02</v>
      </c>
      <c r="T40" s="34" t="n">
        <v>0.007</v>
      </c>
      <c r="U40" s="34" t="n">
        <v>3590.7</v>
      </c>
      <c r="V40" s="34" t="n">
        <v>2570.45</v>
      </c>
    </row>
    <row r="41" customFormat="false" ht="15" hidden="false" customHeight="true" outlineLevel="0" collapsed="false">
      <c r="A41" s="34" t="s">
        <v>94</v>
      </c>
      <c r="B41" s="34" t="n">
        <v>3135.6</v>
      </c>
      <c r="C41" s="34" t="n">
        <v>3149.5</v>
      </c>
      <c r="D41" s="34" t="n">
        <v>3115</v>
      </c>
      <c r="E41" s="34" t="n">
        <v>-0.277</v>
      </c>
      <c r="F41" s="34" t="n">
        <v>90.17</v>
      </c>
      <c r="G41" s="34" t="n">
        <v>3170.7</v>
      </c>
      <c r="H41" s="34" t="n">
        <v>2425</v>
      </c>
      <c r="I41" s="34" t="n">
        <v>103.73</v>
      </c>
      <c r="J41" s="34" t="n">
        <v>67.02</v>
      </c>
      <c r="K41" s="34" t="n">
        <v>2270179</v>
      </c>
      <c r="L41" s="34" t="n">
        <v>0.632</v>
      </c>
      <c r="M41" s="34" t="n">
        <v>2950.7</v>
      </c>
      <c r="N41" s="34" t="n">
        <v>3041.48</v>
      </c>
      <c r="O41" s="34" t="n">
        <v>3144.3</v>
      </c>
      <c r="P41" s="34" t="n">
        <v>2927.8</v>
      </c>
      <c r="Q41" s="34" t="n">
        <v>3024.82</v>
      </c>
      <c r="R41" s="34" t="n">
        <v>3135</v>
      </c>
      <c r="S41" s="34" t="n">
        <v>4.14</v>
      </c>
      <c r="T41" s="34" t="n">
        <v>0.007</v>
      </c>
      <c r="U41" s="34" t="n">
        <v>3270.95</v>
      </c>
      <c r="V41" s="34" t="n">
        <v>2425</v>
      </c>
    </row>
    <row r="42" customFormat="false" ht="15" hidden="false" customHeight="true" outlineLevel="0" collapsed="false">
      <c r="A42" s="34" t="s">
        <v>79</v>
      </c>
      <c r="B42" s="34" t="n">
        <v>3091.2</v>
      </c>
      <c r="C42" s="34" t="n">
        <v>3129.7</v>
      </c>
      <c r="D42" s="34" t="n">
        <v>3075.4</v>
      </c>
      <c r="E42" s="34" t="n">
        <v>-0.652</v>
      </c>
      <c r="F42" s="34" t="n">
        <v>60.37</v>
      </c>
      <c r="G42" s="34" t="n">
        <v>3144.8</v>
      </c>
      <c r="H42" s="34" t="n">
        <v>2622.2</v>
      </c>
      <c r="I42" s="34" t="n">
        <v>118.56</v>
      </c>
      <c r="J42" s="34" t="n">
        <v>63.08</v>
      </c>
      <c r="K42" s="34" t="n">
        <v>609790</v>
      </c>
      <c r="L42" s="34" t="n">
        <v>0.888</v>
      </c>
      <c r="M42" s="34" t="n">
        <v>2999.65</v>
      </c>
      <c r="N42" s="34" t="n">
        <v>3061.55</v>
      </c>
      <c r="O42" s="34" t="n">
        <v>3111.5</v>
      </c>
      <c r="P42" s="34" t="n">
        <v>2999.65</v>
      </c>
      <c r="Q42" s="34" t="n">
        <v>3061.55</v>
      </c>
      <c r="R42" s="34" t="n">
        <v>3123</v>
      </c>
      <c r="S42" s="34" t="n">
        <v>9.48</v>
      </c>
      <c r="T42" s="34" t="n">
        <v>0.005</v>
      </c>
      <c r="U42" s="34" t="n">
        <v>3415</v>
      </c>
      <c r="V42" s="34" t="n">
        <v>2622.2</v>
      </c>
    </row>
    <row r="43" customFormat="false" ht="15" hidden="false" customHeight="true" outlineLevel="0" collapsed="false">
      <c r="A43" s="34" t="s">
        <v>101</v>
      </c>
      <c r="B43" s="34" t="n">
        <v>3069.5</v>
      </c>
      <c r="C43" s="34" t="n">
        <v>3114.9</v>
      </c>
      <c r="D43" s="34" t="n">
        <v>2996</v>
      </c>
      <c r="E43" s="34" t="n">
        <v>1.99</v>
      </c>
      <c r="F43" s="34" t="n">
        <v>96.32</v>
      </c>
      <c r="G43" s="34" t="n">
        <v>3240.21</v>
      </c>
      <c r="H43" s="34" t="n">
        <v>2450</v>
      </c>
      <c r="I43" s="34" t="n">
        <v>204.01</v>
      </c>
      <c r="J43" s="34" t="n">
        <v>73.7</v>
      </c>
      <c r="K43" s="34" t="n">
        <v>809043</v>
      </c>
      <c r="L43" s="34" t="n">
        <v>1.61</v>
      </c>
      <c r="M43" s="34" t="n">
        <v>2856.19</v>
      </c>
      <c r="N43" s="34" t="n">
        <v>2955.82</v>
      </c>
      <c r="O43" s="34" t="n">
        <v>3009.5</v>
      </c>
      <c r="P43" s="34" t="n">
        <v>3043.85</v>
      </c>
      <c r="Q43" s="34" t="n">
        <v>2902.51</v>
      </c>
      <c r="R43" s="34" t="n">
        <v>3028</v>
      </c>
      <c r="S43" s="34" t="n">
        <v>35.68</v>
      </c>
      <c r="T43" s="34" t="n">
        <v>0.007</v>
      </c>
      <c r="U43" s="34" t="n">
        <v>4772.21</v>
      </c>
      <c r="V43" s="34" t="n">
        <v>2450</v>
      </c>
    </row>
    <row r="44" customFormat="false" ht="15" hidden="false" customHeight="true" outlineLevel="0" collapsed="false">
      <c r="A44" s="34" t="s">
        <v>96</v>
      </c>
      <c r="B44" s="34" t="n">
        <v>3035.6</v>
      </c>
      <c r="C44" s="34" t="n">
        <v>3043</v>
      </c>
      <c r="D44" s="34" t="n">
        <v>2937.7</v>
      </c>
      <c r="E44" s="34" t="n">
        <v>2.93</v>
      </c>
      <c r="F44" s="34" t="n">
        <v>95.3</v>
      </c>
      <c r="G44" s="34" t="n">
        <v>3085</v>
      </c>
      <c r="H44" s="34" t="n">
        <v>2580</v>
      </c>
      <c r="I44" s="34" t="n">
        <v>176.4</v>
      </c>
      <c r="J44" s="34" t="n">
        <v>70.22</v>
      </c>
      <c r="K44" s="34" t="n">
        <v>514600</v>
      </c>
      <c r="L44" s="34" t="n">
        <v>0.768</v>
      </c>
      <c r="M44" s="34" t="n">
        <v>2796.76</v>
      </c>
      <c r="N44" s="34" t="n">
        <v>2893.55</v>
      </c>
      <c r="O44" s="34" t="n">
        <v>2949.2</v>
      </c>
      <c r="P44" s="34" t="n">
        <v>2723.55</v>
      </c>
      <c r="Q44" s="34" t="n">
        <v>2819.4</v>
      </c>
      <c r="R44" s="34" t="n">
        <v>2951.8</v>
      </c>
      <c r="S44" s="34" t="n">
        <v>27.24</v>
      </c>
      <c r="T44" s="34" t="n">
        <v>0.005</v>
      </c>
      <c r="U44" s="34" t="n">
        <v>4171.9</v>
      </c>
      <c r="V44" s="34" t="n">
        <v>2580</v>
      </c>
    </row>
    <row r="45" customFormat="false" ht="15" hidden="false" customHeight="true" outlineLevel="0" collapsed="false">
      <c r="A45" s="34" t="s">
        <v>241</v>
      </c>
      <c r="B45" s="34" t="n">
        <v>3044.6</v>
      </c>
      <c r="C45" s="34" t="n">
        <v>3075</v>
      </c>
      <c r="D45" s="34" t="n">
        <v>2912</v>
      </c>
      <c r="E45" s="34" t="n">
        <v>4.62</v>
      </c>
      <c r="F45" s="34" t="n">
        <v>119.53</v>
      </c>
      <c r="G45" s="34" t="n">
        <v>3075</v>
      </c>
      <c r="H45" s="34" t="n">
        <v>2407.1</v>
      </c>
      <c r="I45" s="34" t="n">
        <v>86.25</v>
      </c>
      <c r="J45" s="34" t="n">
        <v>64.17</v>
      </c>
      <c r="K45" s="34" t="n">
        <v>551636</v>
      </c>
      <c r="L45" s="34" t="n">
        <v>1.2</v>
      </c>
      <c r="M45" s="34" t="n">
        <v>2799.01</v>
      </c>
      <c r="N45" s="34" t="n">
        <v>2901.6</v>
      </c>
      <c r="O45" s="34" t="n">
        <v>2910.2</v>
      </c>
      <c r="P45" s="34" t="n">
        <v>2799.01</v>
      </c>
      <c r="Q45" s="34" t="n">
        <v>2901.6</v>
      </c>
      <c r="R45" s="34" t="n">
        <v>2912</v>
      </c>
      <c r="S45" s="34" t="n">
        <v>36.71</v>
      </c>
      <c r="T45" s="34" t="n">
        <v>0.007</v>
      </c>
      <c r="U45" s="34" t="n">
        <v>4810.8</v>
      </c>
      <c r="V45" s="34" t="n">
        <v>2407.1</v>
      </c>
    </row>
    <row r="46" customFormat="false" ht="15" hidden="false" customHeight="true" outlineLevel="0" collapsed="false">
      <c r="A46" s="34" t="s">
        <v>203</v>
      </c>
      <c r="B46" s="34" t="n">
        <v>2914.9</v>
      </c>
      <c r="C46" s="34" t="n">
        <v>2925</v>
      </c>
      <c r="D46" s="34" t="n">
        <v>2877</v>
      </c>
      <c r="E46" s="34" t="n">
        <v>1.33</v>
      </c>
      <c r="F46" s="34" t="n">
        <v>98.68</v>
      </c>
      <c r="G46" s="34" t="n">
        <v>3098.5</v>
      </c>
      <c r="H46" s="34" t="n">
        <v>2570.2</v>
      </c>
      <c r="I46" s="34" t="n">
        <v>-139.91</v>
      </c>
      <c r="J46" s="34" t="n">
        <v>43.99</v>
      </c>
      <c r="K46" s="34" t="n">
        <v>594325</v>
      </c>
      <c r="L46" s="34" t="n">
        <v>1.01</v>
      </c>
      <c r="M46" s="34" t="n">
        <v>2851.59</v>
      </c>
      <c r="N46" s="34" t="n">
        <v>2980.6</v>
      </c>
      <c r="O46" s="34" t="n">
        <v>2876.6</v>
      </c>
      <c r="P46" s="34" t="n">
        <v>2851.59</v>
      </c>
      <c r="Q46" s="34" t="n">
        <v>2980.6</v>
      </c>
      <c r="R46" s="34" t="n">
        <v>2890</v>
      </c>
      <c r="S46" s="34" t="n">
        <v>5.93</v>
      </c>
      <c r="T46" s="34" t="n">
        <v>0.01</v>
      </c>
      <c r="U46" s="34" t="n">
        <v>3098.5</v>
      </c>
      <c r="V46" s="34" t="n">
        <v>2089.1</v>
      </c>
    </row>
    <row r="47" customFormat="false" ht="15" hidden="false" customHeight="true" outlineLevel="0" collapsed="false">
      <c r="A47" s="34" t="s">
        <v>78</v>
      </c>
      <c r="B47" s="34" t="n">
        <v>2841.5</v>
      </c>
      <c r="C47" s="34" t="n">
        <v>2853.9</v>
      </c>
      <c r="D47" s="34" t="n">
        <v>2777</v>
      </c>
      <c r="E47" s="34" t="n">
        <v>1.85</v>
      </c>
      <c r="F47" s="34" t="n">
        <v>81.08</v>
      </c>
      <c r="G47" s="34" t="n">
        <v>2853.9</v>
      </c>
      <c r="H47" s="34" t="n">
        <v>2192.75</v>
      </c>
      <c r="I47" s="34" t="n">
        <v>155.78</v>
      </c>
      <c r="J47" s="34" t="n">
        <v>66.51</v>
      </c>
      <c r="K47" s="34" t="n">
        <v>823501</v>
      </c>
      <c r="L47" s="34" t="n">
        <v>0.731</v>
      </c>
      <c r="M47" s="34" t="n">
        <v>2651.84</v>
      </c>
      <c r="N47" s="34" t="n">
        <v>2733.64</v>
      </c>
      <c r="O47" s="34" t="n">
        <v>2789.8</v>
      </c>
      <c r="P47" s="34" t="n">
        <v>2627.03</v>
      </c>
      <c r="Q47" s="34" t="n">
        <v>2669.55</v>
      </c>
      <c r="R47" s="34" t="n">
        <v>2799.9</v>
      </c>
      <c r="S47" s="34" t="n">
        <v>3.94</v>
      </c>
      <c r="T47" s="34" t="n">
        <v>0.01</v>
      </c>
      <c r="U47" s="34" t="n">
        <v>2958</v>
      </c>
      <c r="V47" s="34" t="n">
        <v>2069</v>
      </c>
    </row>
    <row r="48" customFormat="false" ht="15" hidden="false" customHeight="true" outlineLevel="0" collapsed="false">
      <c r="A48" s="34" t="s">
        <v>81</v>
      </c>
      <c r="B48" s="34" t="n">
        <v>2804.2</v>
      </c>
      <c r="C48" s="34" t="n">
        <v>2845</v>
      </c>
      <c r="D48" s="34" t="n">
        <v>2775.1</v>
      </c>
      <c r="E48" s="34" t="n">
        <v>-0.729</v>
      </c>
      <c r="F48" s="34" t="n">
        <v>66.55</v>
      </c>
      <c r="G48" s="34" t="n">
        <v>2845</v>
      </c>
      <c r="H48" s="34" t="n">
        <v>2301.65</v>
      </c>
      <c r="I48" s="34" t="n">
        <v>211.38</v>
      </c>
      <c r="J48" s="34" t="n">
        <v>63.11</v>
      </c>
      <c r="K48" s="34" t="n">
        <v>700214</v>
      </c>
      <c r="L48" s="34" t="n">
        <v>0.517</v>
      </c>
      <c r="M48" s="34" t="n">
        <v>2680.07</v>
      </c>
      <c r="N48" s="34" t="n">
        <v>2745.06</v>
      </c>
      <c r="O48" s="34" t="n">
        <v>2824.8</v>
      </c>
      <c r="P48" s="34" t="n">
        <v>2645.87</v>
      </c>
      <c r="Q48" s="34" t="n">
        <v>2710.31</v>
      </c>
      <c r="R48" s="34" t="n">
        <v>2845</v>
      </c>
      <c r="S48" s="34" t="n">
        <v>2.56</v>
      </c>
      <c r="T48" s="34" t="n">
        <v>0.008</v>
      </c>
      <c r="U48" s="34" t="n">
        <v>2877.75</v>
      </c>
      <c r="V48" s="34" t="n">
        <v>2171.6</v>
      </c>
    </row>
    <row r="49" customFormat="false" ht="15" hidden="false" customHeight="true" outlineLevel="0" collapsed="false">
      <c r="A49" s="34" t="s">
        <v>154</v>
      </c>
      <c r="B49" s="34" t="n">
        <v>2709.7</v>
      </c>
      <c r="C49" s="34" t="n">
        <v>2728</v>
      </c>
      <c r="D49" s="34" t="n">
        <v>2690.1</v>
      </c>
      <c r="E49" s="34" t="n">
        <v>0.404</v>
      </c>
      <c r="F49" s="34" t="n">
        <v>75.35</v>
      </c>
      <c r="G49" s="34" t="n">
        <v>2817.5</v>
      </c>
      <c r="H49" s="34" t="n">
        <v>2152.05</v>
      </c>
      <c r="I49" s="34" t="n">
        <v>47.16</v>
      </c>
      <c r="J49" s="34" t="n">
        <v>55.33</v>
      </c>
      <c r="K49" s="34" t="n">
        <v>196166</v>
      </c>
      <c r="L49" s="34" t="n">
        <v>0.579</v>
      </c>
      <c r="M49" s="34" t="n">
        <v>2613.51</v>
      </c>
      <c r="N49" s="34" t="n">
        <v>2694.58</v>
      </c>
      <c r="O49" s="34" t="n">
        <v>2698.8</v>
      </c>
      <c r="P49" s="34" t="n">
        <v>2613.51</v>
      </c>
      <c r="Q49" s="34" t="n">
        <v>2694.58</v>
      </c>
      <c r="R49" s="34" t="n">
        <v>2710</v>
      </c>
      <c r="S49" s="34" t="n">
        <v>19.71</v>
      </c>
      <c r="T49" s="34" t="n">
        <v>0.008</v>
      </c>
      <c r="U49" s="34" t="n">
        <v>3375</v>
      </c>
      <c r="V49" s="34" t="n">
        <v>2152.05</v>
      </c>
    </row>
    <row r="50" customFormat="false" ht="15" hidden="false" customHeight="true" outlineLevel="0" collapsed="false">
      <c r="A50" s="34" t="s">
        <v>121</v>
      </c>
      <c r="B50" s="34" t="n">
        <v>2689.7</v>
      </c>
      <c r="C50" s="34" t="n">
        <v>2698</v>
      </c>
      <c r="D50" s="34" t="n">
        <v>2617.5</v>
      </c>
      <c r="E50" s="34" t="n">
        <v>1.29</v>
      </c>
      <c r="F50" s="34" t="n">
        <v>67.76</v>
      </c>
      <c r="G50" s="34" t="n">
        <v>2744</v>
      </c>
      <c r="H50" s="34" t="n">
        <v>2311.5</v>
      </c>
      <c r="I50" s="34" t="n">
        <v>82.86</v>
      </c>
      <c r="J50" s="34" t="n">
        <v>67.32</v>
      </c>
      <c r="K50" s="34" t="n">
        <v>455406</v>
      </c>
      <c r="L50" s="34" t="n">
        <v>1.61</v>
      </c>
      <c r="M50" s="34" t="n">
        <v>2521.45</v>
      </c>
      <c r="N50" s="34" t="n">
        <v>2589.6</v>
      </c>
      <c r="O50" s="34" t="n">
        <v>2655.4</v>
      </c>
      <c r="P50" s="34" t="n">
        <v>2669.12</v>
      </c>
      <c r="Q50" s="34" t="n">
        <v>2560.97</v>
      </c>
      <c r="R50" s="34" t="n">
        <v>2661</v>
      </c>
      <c r="S50" s="34" t="n">
        <v>30.86</v>
      </c>
      <c r="T50" s="34" t="n">
        <v>0.005</v>
      </c>
      <c r="U50" s="34" t="n">
        <v>3890</v>
      </c>
      <c r="V50" s="34" t="n">
        <v>2311.5</v>
      </c>
    </row>
    <row r="51" customFormat="false" ht="15" hidden="false" customHeight="true" outlineLevel="0" collapsed="false">
      <c r="A51" s="34" t="s">
        <v>122</v>
      </c>
      <c r="B51" s="34" t="n">
        <v>2600.4</v>
      </c>
      <c r="C51" s="34" t="n">
        <v>2643.1</v>
      </c>
      <c r="D51" s="34" t="n">
        <v>2580</v>
      </c>
      <c r="E51" s="34" t="n">
        <v>-0.911</v>
      </c>
      <c r="F51" s="34" t="n">
        <v>88.52</v>
      </c>
      <c r="G51" s="34" t="n">
        <v>2643.1</v>
      </c>
      <c r="H51" s="34" t="n">
        <v>2044.55</v>
      </c>
      <c r="I51" s="34" t="n">
        <v>141.69</v>
      </c>
      <c r="J51" s="34" t="n">
        <v>66.86</v>
      </c>
      <c r="K51" s="34" t="n">
        <v>412947</v>
      </c>
      <c r="L51" s="34" t="n">
        <v>0.642</v>
      </c>
      <c r="M51" s="34" t="n">
        <v>2429.83</v>
      </c>
      <c r="N51" s="34" t="n">
        <v>2520.69</v>
      </c>
      <c r="O51" s="34" t="n">
        <v>2624.3</v>
      </c>
      <c r="P51" s="34" t="n">
        <v>2405.46</v>
      </c>
      <c r="Q51" s="34" t="n">
        <v>2499.4</v>
      </c>
      <c r="R51" s="34" t="n">
        <v>2630</v>
      </c>
      <c r="S51" s="34" t="n">
        <v>19.69</v>
      </c>
      <c r="T51" s="34" t="n">
        <v>0.009</v>
      </c>
      <c r="U51" s="34" t="n">
        <v>3237.95</v>
      </c>
      <c r="V51" s="34" t="n">
        <v>2044.55</v>
      </c>
    </row>
    <row r="52" customFormat="false" ht="15" hidden="false" customHeight="true" outlineLevel="0" collapsed="false">
      <c r="A52" s="34" t="s">
        <v>229</v>
      </c>
      <c r="B52" s="34" t="n">
        <v>2800.6</v>
      </c>
      <c r="C52" s="34" t="n">
        <v>2825</v>
      </c>
      <c r="D52" s="34" t="n">
        <v>2571</v>
      </c>
      <c r="E52" s="34" t="n">
        <v>9.03</v>
      </c>
      <c r="F52" s="34" t="n">
        <v>117.26</v>
      </c>
      <c r="G52" s="34" t="n">
        <v>2825</v>
      </c>
      <c r="H52" s="34" t="n">
        <v>1941</v>
      </c>
      <c r="I52" s="34" t="n">
        <v>224.24</v>
      </c>
      <c r="J52" s="34" t="n">
        <v>84.42</v>
      </c>
      <c r="K52" s="34" t="n">
        <v>3659492</v>
      </c>
      <c r="L52" s="34" t="n">
        <v>4.88</v>
      </c>
      <c r="M52" s="34" t="n">
        <v>2469.53</v>
      </c>
      <c r="N52" s="34" t="n">
        <v>2583.77</v>
      </c>
      <c r="O52" s="34" t="n">
        <v>2568.6</v>
      </c>
      <c r="P52" s="34" t="n">
        <v>2382.47</v>
      </c>
      <c r="Q52" s="34" t="n">
        <v>2480.91</v>
      </c>
      <c r="R52" s="34" t="n">
        <v>2578</v>
      </c>
      <c r="S52" s="34" t="n">
        <v>20.05</v>
      </c>
      <c r="T52" s="34" t="n">
        <v>0.013</v>
      </c>
      <c r="U52" s="34" t="n">
        <v>3896</v>
      </c>
      <c r="V52" s="34" t="n">
        <v>1941</v>
      </c>
    </row>
    <row r="53" customFormat="false" ht="15" hidden="false" customHeight="true" outlineLevel="0" collapsed="false">
      <c r="A53" s="34" t="s">
        <v>100</v>
      </c>
      <c r="B53" s="34" t="n">
        <v>2555</v>
      </c>
      <c r="C53" s="34" t="n">
        <v>2584.2</v>
      </c>
      <c r="D53" s="34" t="n">
        <v>2516.2</v>
      </c>
      <c r="E53" s="34" t="n">
        <v>1.39</v>
      </c>
      <c r="F53" s="34" t="n">
        <v>83.92</v>
      </c>
      <c r="G53" s="34" t="n">
        <v>2584.2</v>
      </c>
      <c r="H53" s="34" t="n">
        <v>2026.55</v>
      </c>
      <c r="I53" s="34" t="n">
        <v>177.44</v>
      </c>
      <c r="J53" s="34" t="n">
        <v>71.53</v>
      </c>
      <c r="K53" s="34" t="n">
        <v>1641135</v>
      </c>
      <c r="L53" s="34" t="n">
        <v>1.06</v>
      </c>
      <c r="M53" s="34" t="n">
        <v>2381.73</v>
      </c>
      <c r="N53" s="34" t="n">
        <v>2465.97</v>
      </c>
      <c r="O53" s="34" t="n">
        <v>2520</v>
      </c>
      <c r="P53" s="34" t="n">
        <v>2316.68</v>
      </c>
      <c r="Q53" s="34" t="n">
        <v>2402.71</v>
      </c>
      <c r="R53" s="34" t="n">
        <v>2529</v>
      </c>
      <c r="S53" s="34" t="n">
        <v>31.76</v>
      </c>
      <c r="T53" s="34" t="n">
        <v>0.009</v>
      </c>
      <c r="U53" s="34" t="n">
        <v>3743.9</v>
      </c>
      <c r="V53" s="34" t="n">
        <v>2025</v>
      </c>
    </row>
    <row r="54" customFormat="false" ht="15" hidden="false" customHeight="true" outlineLevel="0" collapsed="false">
      <c r="A54" s="34" t="s">
        <v>147</v>
      </c>
      <c r="B54" s="34" t="n">
        <v>2408.8</v>
      </c>
      <c r="C54" s="34" t="n">
        <v>2414.6</v>
      </c>
      <c r="D54" s="34" t="n">
        <v>2376.7</v>
      </c>
      <c r="E54" s="34" t="n">
        <v>0.446</v>
      </c>
      <c r="F54" s="34" t="n">
        <v>48.12</v>
      </c>
      <c r="G54" s="34" t="n">
        <v>2515</v>
      </c>
      <c r="H54" s="34" t="n">
        <v>2110</v>
      </c>
      <c r="I54" s="34" t="n">
        <v>50.17</v>
      </c>
      <c r="J54" s="34" t="n">
        <v>66.31</v>
      </c>
      <c r="K54" s="34" t="n">
        <v>684622</v>
      </c>
      <c r="L54" s="34" t="n">
        <v>0.71</v>
      </c>
      <c r="M54" s="34" t="n">
        <v>2417.42</v>
      </c>
      <c r="N54" s="34" t="n">
        <v>2346.84</v>
      </c>
      <c r="O54" s="34" t="n">
        <v>2398.1</v>
      </c>
      <c r="P54" s="34" t="n">
        <v>2417.42</v>
      </c>
      <c r="Q54" s="34" t="n">
        <v>2328.18</v>
      </c>
      <c r="R54" s="34" t="n">
        <v>2414.6</v>
      </c>
      <c r="S54" s="34" t="n">
        <v>13.29</v>
      </c>
      <c r="T54" s="34" t="n">
        <v>0.005</v>
      </c>
      <c r="U54" s="34" t="n">
        <v>2778</v>
      </c>
      <c r="V54" s="34" t="n">
        <v>2110</v>
      </c>
    </row>
    <row r="55" customFormat="false" ht="15" hidden="false" customHeight="true" outlineLevel="0" collapsed="false">
      <c r="A55" s="34" t="s">
        <v>187</v>
      </c>
      <c r="B55" s="34" t="n">
        <v>2381.4</v>
      </c>
      <c r="C55" s="34" t="n">
        <v>2387</v>
      </c>
      <c r="D55" s="34" t="n">
        <v>2349</v>
      </c>
      <c r="E55" s="34" t="n">
        <v>1.11</v>
      </c>
      <c r="F55" s="34" t="n">
        <v>41.42</v>
      </c>
      <c r="G55" s="34" t="n">
        <v>2487.4</v>
      </c>
      <c r="H55" s="34" t="n">
        <v>2136</v>
      </c>
      <c r="I55" s="34" t="n">
        <v>54.29</v>
      </c>
      <c r="J55" s="34" t="n">
        <v>59.86</v>
      </c>
      <c r="K55" s="34" t="n">
        <v>1473002</v>
      </c>
      <c r="L55" s="34" t="n">
        <v>0.455</v>
      </c>
      <c r="M55" s="34" t="n">
        <v>2414.12</v>
      </c>
      <c r="N55" s="34" t="n">
        <v>2328.9</v>
      </c>
      <c r="O55" s="34" t="n">
        <v>2355.2</v>
      </c>
      <c r="P55" s="34" t="n">
        <v>2414.12</v>
      </c>
      <c r="Q55" s="34" t="n">
        <v>2328.9</v>
      </c>
      <c r="R55" s="34" t="n">
        <v>2360</v>
      </c>
      <c r="S55" s="34" t="n">
        <v>21.54</v>
      </c>
      <c r="T55" s="34" t="n">
        <v>0.004</v>
      </c>
      <c r="U55" s="34" t="n">
        <v>3035</v>
      </c>
      <c r="V55" s="34" t="n">
        <v>2136</v>
      </c>
    </row>
    <row r="56" customFormat="false" ht="15" hidden="false" customHeight="true" outlineLevel="0" collapsed="false">
      <c r="A56" s="34" t="s">
        <v>119</v>
      </c>
      <c r="B56" s="34" t="n">
        <v>2353.6</v>
      </c>
      <c r="C56" s="34" t="n">
        <v>2355</v>
      </c>
      <c r="D56" s="34" t="n">
        <v>2315</v>
      </c>
      <c r="E56" s="34" t="n">
        <v>1.02</v>
      </c>
      <c r="F56" s="34" t="n">
        <v>57.99</v>
      </c>
      <c r="G56" s="34" t="n">
        <v>2491</v>
      </c>
      <c r="H56" s="34" t="n">
        <v>2124.75</v>
      </c>
      <c r="I56" s="34" t="n">
        <v>-62.67</v>
      </c>
      <c r="J56" s="34" t="n">
        <v>49.84</v>
      </c>
      <c r="K56" s="34" t="n">
        <v>785138</v>
      </c>
      <c r="L56" s="34" t="n">
        <v>0.469</v>
      </c>
      <c r="M56" s="34" t="n">
        <v>2408.31</v>
      </c>
      <c r="N56" s="34" t="n">
        <v>2356.76</v>
      </c>
      <c r="O56" s="34" t="n">
        <v>2329.9</v>
      </c>
      <c r="P56" s="34" t="n">
        <v>2408.31</v>
      </c>
      <c r="Q56" s="34" t="n">
        <v>2356.76</v>
      </c>
      <c r="R56" s="34" t="n">
        <v>2333.9</v>
      </c>
      <c r="S56" s="34" t="n">
        <v>30.67</v>
      </c>
      <c r="T56" s="34" t="n">
        <v>0.004</v>
      </c>
      <c r="U56" s="34" t="n">
        <v>3422.95</v>
      </c>
      <c r="V56" s="34" t="n">
        <v>2124.75</v>
      </c>
    </row>
    <row r="57" customFormat="false" ht="15" hidden="false" customHeight="true" outlineLevel="0" collapsed="false">
      <c r="A57" s="34" t="s">
        <v>165</v>
      </c>
      <c r="B57" s="34" t="n">
        <v>2176.1</v>
      </c>
      <c r="C57" s="34" t="n">
        <v>2201.6</v>
      </c>
      <c r="D57" s="34" t="n">
        <v>2145.1</v>
      </c>
      <c r="E57" s="34" t="n">
        <v>1.27</v>
      </c>
      <c r="F57" s="34" t="n">
        <v>85.66</v>
      </c>
      <c r="G57" s="34" t="n">
        <v>2319.9</v>
      </c>
      <c r="H57" s="34" t="n">
        <v>1900</v>
      </c>
      <c r="I57" s="34" t="n">
        <v>85.71</v>
      </c>
      <c r="J57" s="34" t="n">
        <v>59.15</v>
      </c>
      <c r="K57" s="34" t="n">
        <v>715618</v>
      </c>
      <c r="L57" s="34" t="n">
        <v>0.571</v>
      </c>
      <c r="M57" s="34" t="n">
        <v>2177.31</v>
      </c>
      <c r="N57" s="34" t="n">
        <v>2086.43</v>
      </c>
      <c r="O57" s="34" t="n">
        <v>2148.9</v>
      </c>
      <c r="P57" s="34" t="n">
        <v>2177.31</v>
      </c>
      <c r="Q57" s="34" t="n">
        <v>2030.7</v>
      </c>
      <c r="R57" s="34" t="n">
        <v>2165</v>
      </c>
      <c r="S57" s="34" t="n">
        <v>36.05</v>
      </c>
      <c r="T57" s="34" t="n">
        <v>0.006</v>
      </c>
      <c r="U57" s="34" t="n">
        <v>3402.7</v>
      </c>
      <c r="V57" s="34" t="n">
        <v>1900</v>
      </c>
    </row>
    <row r="58" customFormat="false" ht="15" hidden="false" customHeight="true" outlineLevel="0" collapsed="false">
      <c r="A58" s="34" t="s">
        <v>58</v>
      </c>
      <c r="B58" s="34" t="n">
        <v>2108.2</v>
      </c>
      <c r="C58" s="34" t="n">
        <v>2114.9</v>
      </c>
      <c r="D58" s="34" t="n">
        <v>2090.1</v>
      </c>
      <c r="E58" s="34" t="n">
        <v>0.086</v>
      </c>
      <c r="F58" s="34" t="n">
        <v>46.72</v>
      </c>
      <c r="G58" s="34" t="n">
        <v>2301.9</v>
      </c>
      <c r="H58" s="34" t="n">
        <v>1893.9</v>
      </c>
      <c r="I58" s="34" t="n">
        <v>-65.15</v>
      </c>
      <c r="J58" s="34" t="n">
        <v>44</v>
      </c>
      <c r="K58" s="34" t="n">
        <v>2057908</v>
      </c>
      <c r="L58" s="34" t="n">
        <v>0.483</v>
      </c>
      <c r="M58" s="34" t="n">
        <v>2188.84</v>
      </c>
      <c r="N58" s="34" t="n">
        <v>2090.86</v>
      </c>
      <c r="O58" s="34" t="n">
        <v>2106.4</v>
      </c>
      <c r="P58" s="34" t="n">
        <v>2188.84</v>
      </c>
      <c r="Q58" s="34" t="n">
        <v>2090.86</v>
      </c>
      <c r="R58" s="34" t="n">
        <v>2099.9</v>
      </c>
      <c r="S58" s="34" t="n">
        <v>8.41</v>
      </c>
      <c r="T58" s="34" t="n">
        <v>0.012</v>
      </c>
      <c r="U58" s="34" t="n">
        <v>2301.9</v>
      </c>
      <c r="V58" s="34" t="n">
        <v>1602.45</v>
      </c>
    </row>
    <row r="59" customFormat="false" ht="15" hidden="false" customHeight="true" outlineLevel="0" collapsed="false">
      <c r="A59" s="34" t="s">
        <v>117</v>
      </c>
      <c r="B59" s="34" t="n">
        <v>2104.8</v>
      </c>
      <c r="C59" s="34" t="n">
        <v>2126.5</v>
      </c>
      <c r="D59" s="34" t="n">
        <v>2080.6</v>
      </c>
      <c r="E59" s="34" t="n">
        <v>0.033</v>
      </c>
      <c r="F59" s="34" t="n">
        <v>85.3</v>
      </c>
      <c r="G59" s="34" t="n">
        <v>2435.4</v>
      </c>
      <c r="H59" s="34" t="n">
        <v>1965</v>
      </c>
      <c r="I59" s="34" t="n">
        <v>-118.24</v>
      </c>
      <c r="J59" s="34" t="n">
        <v>35.38</v>
      </c>
      <c r="K59" s="34" t="n">
        <v>1618071</v>
      </c>
      <c r="L59" s="34" t="n">
        <v>0.311</v>
      </c>
      <c r="M59" s="34" t="n">
        <v>2272.8</v>
      </c>
      <c r="N59" s="34" t="n">
        <v>2188.18</v>
      </c>
      <c r="O59" s="34" t="n">
        <v>2104.1</v>
      </c>
      <c r="P59" s="34" t="n">
        <v>2356.1</v>
      </c>
      <c r="Q59" s="34" t="n">
        <v>2268.93</v>
      </c>
      <c r="R59" s="34" t="n">
        <v>2125</v>
      </c>
      <c r="S59" s="34" t="n">
        <v>13.57</v>
      </c>
      <c r="T59" s="34" t="n">
        <v>0.012</v>
      </c>
      <c r="U59" s="34" t="n">
        <v>2435.4</v>
      </c>
      <c r="V59" s="34" t="n">
        <v>1579.1</v>
      </c>
    </row>
    <row r="60" customFormat="false" ht="15" hidden="false" customHeight="true" outlineLevel="0" collapsed="false">
      <c r="A60" s="34" t="s">
        <v>200</v>
      </c>
      <c r="B60" s="34" t="n">
        <v>2073.2</v>
      </c>
      <c r="C60" s="34" t="n">
        <v>2104.8</v>
      </c>
      <c r="D60" s="34" t="n">
        <v>2059.2</v>
      </c>
      <c r="E60" s="34" t="n">
        <v>-0.604</v>
      </c>
      <c r="F60" s="34" t="n">
        <v>51.56</v>
      </c>
      <c r="G60" s="34" t="n">
        <v>2104.8</v>
      </c>
      <c r="H60" s="34" t="n">
        <v>1601</v>
      </c>
      <c r="I60" s="34" t="n">
        <v>190.86</v>
      </c>
      <c r="J60" s="34" t="n">
        <v>72.71</v>
      </c>
      <c r="K60" s="34" t="n">
        <v>377587</v>
      </c>
      <c r="L60" s="34" t="n">
        <v>0.986</v>
      </c>
      <c r="M60" s="34" t="n">
        <v>1976.84</v>
      </c>
      <c r="N60" s="34" t="n">
        <v>2029.42</v>
      </c>
      <c r="O60" s="34" t="n">
        <v>2085.8</v>
      </c>
      <c r="P60" s="34" t="n">
        <v>1970.09</v>
      </c>
      <c r="Q60" s="34" t="n">
        <v>2023.44</v>
      </c>
      <c r="R60" s="34" t="n">
        <v>2090</v>
      </c>
      <c r="S60" s="34" t="n">
        <v>1.5</v>
      </c>
      <c r="T60" s="34" t="n">
        <v>0.012</v>
      </c>
      <c r="U60" s="34" t="n">
        <v>2430.7</v>
      </c>
      <c r="V60" s="34" t="n">
        <v>1601</v>
      </c>
    </row>
    <row r="61" customFormat="false" ht="15" hidden="false" customHeight="true" outlineLevel="0" collapsed="false">
      <c r="A61" s="34" t="s">
        <v>188</v>
      </c>
      <c r="B61" s="34" t="n">
        <v>2110.9</v>
      </c>
      <c r="C61" s="34" t="n">
        <v>2124</v>
      </c>
      <c r="D61" s="34" t="n">
        <v>2055.5</v>
      </c>
      <c r="E61" s="34" t="n">
        <v>3</v>
      </c>
      <c r="F61" s="34" t="n">
        <v>69.79</v>
      </c>
      <c r="G61" s="34" t="n">
        <v>2124</v>
      </c>
      <c r="H61" s="34" t="n">
        <v>1782</v>
      </c>
      <c r="I61" s="34" t="n">
        <v>236.21</v>
      </c>
      <c r="J61" s="34" t="n">
        <v>70.84</v>
      </c>
      <c r="K61" s="34" t="n">
        <v>344565</v>
      </c>
      <c r="L61" s="34" t="n">
        <v>0.974</v>
      </c>
      <c r="M61" s="34" t="n">
        <v>1951.76</v>
      </c>
      <c r="N61" s="34" t="n">
        <v>2020.75</v>
      </c>
      <c r="O61" s="34" t="n">
        <v>2049.4</v>
      </c>
      <c r="P61" s="34" t="n">
        <v>1887.1</v>
      </c>
      <c r="Q61" s="34" t="n">
        <v>1955.48</v>
      </c>
      <c r="R61" s="34" t="n">
        <v>2084</v>
      </c>
      <c r="S61" s="34" t="n">
        <v>33.39</v>
      </c>
      <c r="T61" s="34" t="n">
        <v>0.008</v>
      </c>
      <c r="U61" s="34" t="n">
        <v>3169</v>
      </c>
      <c r="V61" s="34" t="n">
        <v>1782</v>
      </c>
    </row>
    <row r="62" customFormat="false" ht="15" hidden="false" customHeight="true" outlineLevel="0" collapsed="false">
      <c r="A62" s="34" t="s">
        <v>146</v>
      </c>
      <c r="B62" s="34" t="n">
        <v>2068.4</v>
      </c>
      <c r="C62" s="34" t="n">
        <v>2084</v>
      </c>
      <c r="D62" s="34" t="n">
        <v>2041</v>
      </c>
      <c r="E62" s="34" t="n">
        <v>-0.217</v>
      </c>
      <c r="F62" s="34" t="n">
        <v>64.6</v>
      </c>
      <c r="G62" s="34" t="n">
        <v>2150</v>
      </c>
      <c r="H62" s="34" t="n">
        <v>1795.2</v>
      </c>
      <c r="I62" s="34" t="n">
        <v>23.94</v>
      </c>
      <c r="J62" s="34" t="n">
        <v>54.22</v>
      </c>
      <c r="K62" s="34" t="n">
        <v>2099648</v>
      </c>
      <c r="L62" s="34" t="n">
        <v>0.925</v>
      </c>
      <c r="M62" s="34" t="n">
        <v>1958.05</v>
      </c>
      <c r="N62" s="34" t="n">
        <v>2083.18</v>
      </c>
      <c r="O62" s="34" t="n">
        <v>2072.9</v>
      </c>
      <c r="P62" s="34" t="n">
        <v>1958.05</v>
      </c>
      <c r="Q62" s="34" t="n">
        <v>2083.18</v>
      </c>
      <c r="R62" s="34" t="n">
        <v>2084</v>
      </c>
      <c r="S62" s="34" t="n">
        <v>13.92</v>
      </c>
      <c r="T62" s="34" t="n">
        <v>0.014</v>
      </c>
      <c r="U62" s="34" t="n">
        <v>2402.9</v>
      </c>
      <c r="V62" s="34" t="n">
        <v>1493.3</v>
      </c>
    </row>
    <row r="63" customFormat="false" ht="15" hidden="false" customHeight="true" outlineLevel="0" collapsed="false">
      <c r="A63" s="34" t="s">
        <v>136</v>
      </c>
      <c r="B63" s="34" t="n">
        <v>2033.6</v>
      </c>
      <c r="C63" s="34" t="n">
        <v>2071</v>
      </c>
      <c r="D63" s="34" t="n">
        <v>2022</v>
      </c>
      <c r="E63" s="34" t="n">
        <v>-0.406</v>
      </c>
      <c r="F63" s="34" t="n">
        <v>56.09</v>
      </c>
      <c r="G63" s="34" t="n">
        <v>2135</v>
      </c>
      <c r="H63" s="34" t="n">
        <v>1733</v>
      </c>
      <c r="I63" s="34" t="n">
        <v>13.75</v>
      </c>
      <c r="J63" s="34" t="n">
        <v>53.55</v>
      </c>
      <c r="K63" s="34" t="n">
        <v>1568556</v>
      </c>
      <c r="L63" s="34" t="n">
        <v>0.594</v>
      </c>
      <c r="M63" s="34" t="n">
        <v>2086.91</v>
      </c>
      <c r="N63" s="34" t="n">
        <v>1989.27</v>
      </c>
      <c r="O63" s="34" t="n">
        <v>2041.9</v>
      </c>
      <c r="P63" s="34" t="n">
        <v>2086.91</v>
      </c>
      <c r="Q63" s="34" t="n">
        <v>1974.4</v>
      </c>
      <c r="R63" s="34" t="n">
        <v>2054</v>
      </c>
      <c r="S63" s="34" t="n">
        <v>4.75</v>
      </c>
      <c r="T63" s="34" t="n">
        <v>0.015</v>
      </c>
      <c r="U63" s="34" t="n">
        <v>2135</v>
      </c>
      <c r="V63" s="34" t="n">
        <v>1419.05</v>
      </c>
    </row>
    <row r="64" customFormat="false" ht="15" hidden="false" customHeight="true" outlineLevel="0" collapsed="false">
      <c r="A64" s="34" t="s">
        <v>59</v>
      </c>
      <c r="B64" s="34" t="n">
        <v>1934.7</v>
      </c>
      <c r="C64" s="34" t="n">
        <v>1943.8</v>
      </c>
      <c r="D64" s="34" t="n">
        <v>1928.4</v>
      </c>
      <c r="E64" s="34" t="n">
        <v>0.046</v>
      </c>
      <c r="F64" s="34" t="n">
        <v>34.98</v>
      </c>
      <c r="G64" s="34" t="n">
        <v>1978.9</v>
      </c>
      <c r="H64" s="34" t="n">
        <v>1670.05</v>
      </c>
      <c r="I64" s="34" t="n">
        <v>49.34</v>
      </c>
      <c r="J64" s="34" t="n">
        <v>55.16</v>
      </c>
      <c r="K64" s="34" t="n">
        <v>7934005</v>
      </c>
      <c r="L64" s="34" t="n">
        <v>0.492</v>
      </c>
      <c r="M64" s="34" t="n">
        <v>1874.09</v>
      </c>
      <c r="N64" s="34" t="n">
        <v>1903.64</v>
      </c>
      <c r="O64" s="34" t="n">
        <v>1933.8</v>
      </c>
      <c r="P64" s="34" t="n">
        <v>1874.09</v>
      </c>
      <c r="Q64" s="34" t="n">
        <v>1903.64</v>
      </c>
      <c r="R64" s="34" t="n">
        <v>1933.8</v>
      </c>
      <c r="S64" s="34" t="n">
        <v>2.23</v>
      </c>
      <c r="T64" s="34" t="n">
        <v>0.013</v>
      </c>
      <c r="U64" s="34" t="n">
        <v>1978.9</v>
      </c>
      <c r="V64" s="34" t="n">
        <v>1448.15</v>
      </c>
    </row>
    <row r="65" customFormat="false" ht="15" hidden="false" customHeight="true" outlineLevel="0" collapsed="false">
      <c r="A65" s="34" t="s">
        <v>66</v>
      </c>
      <c r="B65" s="34" t="n">
        <v>1928.4</v>
      </c>
      <c r="C65" s="34" t="n">
        <v>1933.5</v>
      </c>
      <c r="D65" s="34" t="n">
        <v>1885.6</v>
      </c>
      <c r="E65" s="34" t="n">
        <v>2.38</v>
      </c>
      <c r="F65" s="34" t="n">
        <v>43.03</v>
      </c>
      <c r="G65" s="34" t="n">
        <v>2119.9</v>
      </c>
      <c r="H65" s="34" t="n">
        <v>1778.45</v>
      </c>
      <c r="I65" s="34" t="n">
        <v>-9.19</v>
      </c>
      <c r="J65" s="34" t="n">
        <v>64.29</v>
      </c>
      <c r="K65" s="34" t="n">
        <v>533325</v>
      </c>
      <c r="L65" s="34" t="n">
        <v>1.26</v>
      </c>
      <c r="M65" s="34" t="n">
        <v>1820.8</v>
      </c>
      <c r="N65" s="34" t="n">
        <v>1865.17</v>
      </c>
      <c r="O65" s="34" t="n">
        <v>1883.6</v>
      </c>
      <c r="P65" s="34" t="n">
        <v>1898.05</v>
      </c>
      <c r="Q65" s="34" t="n">
        <v>1831.39</v>
      </c>
      <c r="R65" s="34" t="n">
        <v>1892</v>
      </c>
      <c r="S65" s="34" t="n">
        <v>32.19</v>
      </c>
      <c r="T65" s="34" t="n">
        <v>0.004</v>
      </c>
      <c r="U65" s="34" t="n">
        <v>2844</v>
      </c>
      <c r="V65" s="34" t="n">
        <v>1778.45</v>
      </c>
    </row>
    <row r="66" customFormat="false" ht="15" hidden="false" customHeight="true" outlineLevel="0" collapsed="false">
      <c r="A66" s="34" t="s">
        <v>199</v>
      </c>
      <c r="B66" s="34" t="n">
        <v>1849.6</v>
      </c>
      <c r="C66" s="34" t="n">
        <v>1880</v>
      </c>
      <c r="D66" s="34" t="n">
        <v>1843.3</v>
      </c>
      <c r="E66" s="34" t="n">
        <v>-1.25</v>
      </c>
      <c r="F66" s="34" t="n">
        <v>45.99</v>
      </c>
      <c r="G66" s="34" t="n">
        <v>1908.7</v>
      </c>
      <c r="H66" s="34" t="n">
        <v>1613.7</v>
      </c>
      <c r="I66" s="34" t="n">
        <v>40.6</v>
      </c>
      <c r="J66" s="34" t="n">
        <v>52.85</v>
      </c>
      <c r="K66" s="34" t="n">
        <v>332073</v>
      </c>
      <c r="L66" s="34" t="n">
        <v>0.846</v>
      </c>
      <c r="M66" s="34" t="n">
        <v>1772.85</v>
      </c>
      <c r="N66" s="34" t="n">
        <v>1816.09</v>
      </c>
      <c r="O66" s="34" t="n">
        <v>1873.1</v>
      </c>
      <c r="P66" s="34" t="n">
        <v>1772.85</v>
      </c>
      <c r="Q66" s="34" t="n">
        <v>1816.09</v>
      </c>
      <c r="R66" s="34" t="n">
        <v>1880</v>
      </c>
      <c r="S66" s="34" t="n">
        <v>19.65</v>
      </c>
      <c r="T66" s="34" t="n">
        <v>0.011</v>
      </c>
      <c r="U66" s="34" t="n">
        <v>2301.9</v>
      </c>
      <c r="V66" s="34" t="n">
        <v>1480.5</v>
      </c>
    </row>
    <row r="67" customFormat="false" ht="15" hidden="false" customHeight="true" outlineLevel="0" collapsed="false">
      <c r="A67" s="34" t="s">
        <v>123</v>
      </c>
      <c r="B67" s="34" t="n">
        <v>1814</v>
      </c>
      <c r="C67" s="34" t="n">
        <v>1834</v>
      </c>
      <c r="D67" s="34" t="n">
        <v>1810.1</v>
      </c>
      <c r="E67" s="34" t="n">
        <v>-2.85</v>
      </c>
      <c r="F67" s="34" t="n">
        <v>46.63</v>
      </c>
      <c r="G67" s="34" t="n">
        <v>1917</v>
      </c>
      <c r="H67" s="34" t="n">
        <v>1559.5</v>
      </c>
      <c r="I67" s="34" t="n">
        <v>-144.08</v>
      </c>
      <c r="J67" s="34" t="n">
        <v>41.1</v>
      </c>
      <c r="K67" s="34" t="n">
        <v>100662047</v>
      </c>
      <c r="L67" s="34" t="n">
        <v>11.45</v>
      </c>
      <c r="M67" s="34" t="n">
        <v>1901.87</v>
      </c>
      <c r="N67" s="34" t="n">
        <v>1868.08</v>
      </c>
      <c r="O67" s="34" t="n">
        <v>1867.2</v>
      </c>
      <c r="P67" s="34" t="n">
        <v>1815.84</v>
      </c>
      <c r="Q67" s="34" t="n">
        <v>1890.24</v>
      </c>
      <c r="R67" s="34" t="n">
        <v>1834</v>
      </c>
      <c r="S67" s="34" t="n">
        <v>5.37</v>
      </c>
      <c r="T67" s="34" t="n">
        <v>0.018</v>
      </c>
      <c r="U67" s="34" t="n">
        <v>1917</v>
      </c>
      <c r="V67" s="34" t="n">
        <v>1219.05</v>
      </c>
    </row>
    <row r="68" customFormat="false" ht="15" hidden="false" customHeight="true" outlineLevel="0" collapsed="false">
      <c r="A68" s="34" t="s">
        <v>235</v>
      </c>
      <c r="B68" s="34" t="n">
        <v>1785.4</v>
      </c>
      <c r="C68" s="34" t="n">
        <v>1796</v>
      </c>
      <c r="D68" s="34" t="n">
        <v>1775.1</v>
      </c>
      <c r="E68" s="34" t="n">
        <v>0.535</v>
      </c>
      <c r="F68" s="34" t="n">
        <v>45.65</v>
      </c>
      <c r="G68" s="34" t="n">
        <v>1796</v>
      </c>
      <c r="H68" s="34" t="n">
        <v>1365</v>
      </c>
      <c r="I68" s="34" t="n">
        <v>182.3</v>
      </c>
      <c r="J68" s="34" t="n">
        <v>88.21</v>
      </c>
      <c r="K68" s="34" t="n">
        <v>755717</v>
      </c>
      <c r="L68" s="34" t="n">
        <v>0.958</v>
      </c>
      <c r="M68" s="34" t="n">
        <v>1692.35</v>
      </c>
      <c r="N68" s="34" t="n">
        <v>1738.95</v>
      </c>
      <c r="O68" s="34" t="n">
        <v>1775.9</v>
      </c>
      <c r="P68" s="34" t="n">
        <v>1658.79</v>
      </c>
      <c r="Q68" s="34" t="n">
        <v>1708.24</v>
      </c>
      <c r="R68" s="34" t="n">
        <v>1784.9</v>
      </c>
      <c r="S68" s="34" t="n">
        <v>0.59</v>
      </c>
      <c r="T68" s="34" t="n">
        <v>0.017</v>
      </c>
      <c r="U68" s="34" t="n">
        <v>1796</v>
      </c>
      <c r="V68" s="34" t="n">
        <v>1272.7</v>
      </c>
    </row>
    <row r="69" customFormat="false" ht="15" hidden="false" customHeight="true" outlineLevel="0" collapsed="false">
      <c r="A69" s="34" t="s">
        <v>204</v>
      </c>
      <c r="B69" s="34" t="n">
        <v>1773.4</v>
      </c>
      <c r="C69" s="34" t="n">
        <v>1790.9</v>
      </c>
      <c r="D69" s="34" t="n">
        <v>1767.9</v>
      </c>
      <c r="E69" s="34" t="n">
        <v>-0.628</v>
      </c>
      <c r="F69" s="34" t="n">
        <v>40.01</v>
      </c>
      <c r="G69" s="34" t="n">
        <v>1797.8</v>
      </c>
      <c r="H69" s="34" t="n">
        <v>1379.85</v>
      </c>
      <c r="I69" s="34" t="n">
        <v>86.95</v>
      </c>
      <c r="J69" s="34" t="n">
        <v>64.45</v>
      </c>
      <c r="K69" s="34" t="n">
        <v>696146</v>
      </c>
      <c r="L69" s="34" t="n">
        <v>0.528</v>
      </c>
      <c r="M69" s="34" t="n">
        <v>1696.85</v>
      </c>
      <c r="N69" s="34" t="n">
        <v>1738.12</v>
      </c>
      <c r="O69" s="34" t="n">
        <v>1784.6</v>
      </c>
      <c r="P69" s="34" t="n">
        <v>1684.54</v>
      </c>
      <c r="Q69" s="34" t="n">
        <v>1719.44</v>
      </c>
      <c r="R69" s="34" t="n">
        <v>1790</v>
      </c>
      <c r="S69" s="34" t="n">
        <v>8.4</v>
      </c>
      <c r="T69" s="34" t="n">
        <v>0.015</v>
      </c>
      <c r="U69" s="34" t="n">
        <v>1936</v>
      </c>
      <c r="V69" s="34" t="n">
        <v>1307.7</v>
      </c>
    </row>
    <row r="70" customFormat="false" ht="15" hidden="false" customHeight="true" outlineLevel="0" collapsed="false">
      <c r="A70" s="34" t="s">
        <v>425</v>
      </c>
      <c r="B70" s="34" t="n">
        <v>1785</v>
      </c>
      <c r="C70" s="34" t="n">
        <v>1829</v>
      </c>
      <c r="D70" s="34" t="n">
        <v>1751.7</v>
      </c>
      <c r="E70" s="34" t="n">
        <v>-1.44</v>
      </c>
      <c r="F70" s="34" t="n">
        <v>58.39</v>
      </c>
      <c r="G70" s="34" t="n">
        <v>2011</v>
      </c>
      <c r="H70" s="34" t="n">
        <v>1570</v>
      </c>
      <c r="I70" s="34" t="n">
        <v>-91.62</v>
      </c>
      <c r="J70" s="34" t="n">
        <v>36.34</v>
      </c>
      <c r="K70" s="34" t="n">
        <v>2001275</v>
      </c>
      <c r="L70" s="34" t="n">
        <v>2.34</v>
      </c>
      <c r="M70" s="34" t="n">
        <v>1875.83</v>
      </c>
      <c r="N70" s="34" t="n">
        <v>1821.84</v>
      </c>
      <c r="O70" s="34" t="n">
        <v>1811.1</v>
      </c>
      <c r="P70" s="34" t="n">
        <v>1875.83</v>
      </c>
      <c r="Q70" s="34" t="n">
        <v>1821.84</v>
      </c>
      <c r="R70" s="34" t="n">
        <v>1824</v>
      </c>
      <c r="S70" s="34" t="n">
        <v>11.24</v>
      </c>
      <c r="T70" s="34" t="n">
        <v>0.02</v>
      </c>
      <c r="U70" s="34" t="n">
        <v>2011</v>
      </c>
      <c r="V70" s="34" t="n">
        <v>1169.95</v>
      </c>
    </row>
    <row r="71" customFormat="false" ht="15" hidden="false" customHeight="true" outlineLevel="0" collapsed="false">
      <c r="A71" s="34" t="s">
        <v>211</v>
      </c>
      <c r="B71" s="34" t="n">
        <v>1756.2</v>
      </c>
      <c r="C71" s="34" t="n">
        <v>1853.7</v>
      </c>
      <c r="D71" s="34" t="n">
        <v>1735.1</v>
      </c>
      <c r="E71" s="34" t="n">
        <v>-1.21</v>
      </c>
      <c r="F71" s="34" t="n">
        <v>77.56</v>
      </c>
      <c r="G71" s="34" t="n">
        <v>1853.7</v>
      </c>
      <c r="H71" s="34" t="n">
        <v>1311.35</v>
      </c>
      <c r="I71" s="34" t="n">
        <v>191.65</v>
      </c>
      <c r="J71" s="34" t="n">
        <v>66.26</v>
      </c>
      <c r="K71" s="34" t="n">
        <v>4134687</v>
      </c>
      <c r="L71" s="34" t="n">
        <v>1.02</v>
      </c>
      <c r="M71" s="34" t="n">
        <v>1641.67</v>
      </c>
      <c r="N71" s="34" t="n">
        <v>1718.04</v>
      </c>
      <c r="O71" s="34" t="n">
        <v>1777.7</v>
      </c>
      <c r="P71" s="34" t="n">
        <v>1610.91</v>
      </c>
      <c r="Q71" s="34" t="n">
        <v>1682.58</v>
      </c>
      <c r="R71" s="34" t="n">
        <v>1798.8</v>
      </c>
      <c r="S71" s="34" t="n">
        <v>21.84</v>
      </c>
      <c r="T71" s="34" t="n">
        <v>0.021</v>
      </c>
      <c r="U71" s="34" t="n">
        <v>2246.9</v>
      </c>
      <c r="V71" s="34" t="n">
        <v>1161.3</v>
      </c>
    </row>
    <row r="72" customFormat="false" ht="15" hidden="false" customHeight="true" outlineLevel="0" collapsed="false">
      <c r="A72" s="34" t="s">
        <v>82</v>
      </c>
      <c r="B72" s="34" t="n">
        <v>1734.9</v>
      </c>
      <c r="C72" s="34" t="n">
        <v>1741.6</v>
      </c>
      <c r="D72" s="34" t="n">
        <v>1719</v>
      </c>
      <c r="E72" s="34" t="n">
        <v>-0.299</v>
      </c>
      <c r="F72" s="34" t="n">
        <v>46.49</v>
      </c>
      <c r="G72" s="34" t="n">
        <v>1851.2</v>
      </c>
      <c r="H72" s="34" t="n">
        <v>1553.05</v>
      </c>
      <c r="I72" s="34" t="n">
        <v>-61.44</v>
      </c>
      <c r="J72" s="34" t="n">
        <v>44.95</v>
      </c>
      <c r="K72" s="34" t="n">
        <v>1448249</v>
      </c>
      <c r="L72" s="34" t="n">
        <v>0.373</v>
      </c>
      <c r="M72" s="34" t="n">
        <v>1768.71</v>
      </c>
      <c r="N72" s="34" t="n">
        <v>1683.47</v>
      </c>
      <c r="O72" s="34" t="n">
        <v>1740.1</v>
      </c>
      <c r="P72" s="34" t="n">
        <v>1768.71</v>
      </c>
      <c r="Q72" s="34" t="n">
        <v>1668.35</v>
      </c>
      <c r="R72" s="34" t="n">
        <v>1740</v>
      </c>
      <c r="S72" s="34" t="n">
        <v>11.5</v>
      </c>
      <c r="T72" s="34" t="n">
        <v>0.013</v>
      </c>
      <c r="U72" s="34" t="n">
        <v>1960.35</v>
      </c>
      <c r="V72" s="34" t="n">
        <v>1377.2</v>
      </c>
    </row>
    <row r="73" customFormat="false" ht="15" hidden="false" customHeight="true" outlineLevel="0" collapsed="false">
      <c r="A73" s="34" t="s">
        <v>75</v>
      </c>
      <c r="B73" s="34" t="n">
        <v>1659.9</v>
      </c>
      <c r="C73" s="34" t="n">
        <v>1693.5</v>
      </c>
      <c r="D73" s="34" t="n">
        <v>1658</v>
      </c>
      <c r="E73" s="34" t="n">
        <v>-2.13</v>
      </c>
      <c r="F73" s="34" t="n">
        <v>49.25</v>
      </c>
      <c r="G73" s="34" t="n">
        <v>1702.6</v>
      </c>
      <c r="H73" s="34" t="n">
        <v>1302.75</v>
      </c>
      <c r="I73" s="34" t="n">
        <v>150.89</v>
      </c>
      <c r="J73" s="34" t="n">
        <v>61.93</v>
      </c>
      <c r="K73" s="34" t="n">
        <v>2586263</v>
      </c>
      <c r="L73" s="34" t="n">
        <v>0.521</v>
      </c>
      <c r="M73" s="34" t="n">
        <v>1578.4</v>
      </c>
      <c r="N73" s="34" t="n">
        <v>1627.08</v>
      </c>
      <c r="O73" s="34" t="n">
        <v>1696</v>
      </c>
      <c r="P73" s="34" t="n">
        <v>1564.08</v>
      </c>
      <c r="Q73" s="34" t="n">
        <v>1613.94</v>
      </c>
      <c r="R73" s="34" t="n">
        <v>1691.9</v>
      </c>
      <c r="S73" s="34" t="n">
        <v>17.51</v>
      </c>
      <c r="T73" s="34" t="n">
        <v>0.016</v>
      </c>
      <c r="U73" s="34" t="n">
        <v>2012.2</v>
      </c>
      <c r="V73" s="34" t="n">
        <v>1235</v>
      </c>
    </row>
    <row r="74" customFormat="false" ht="15" hidden="false" customHeight="true" outlineLevel="0" collapsed="false">
      <c r="A74" s="34" t="s">
        <v>53</v>
      </c>
      <c r="B74" s="34" t="n">
        <v>1676.2</v>
      </c>
      <c r="C74" s="34" t="n">
        <v>1679</v>
      </c>
      <c r="D74" s="34" t="n">
        <v>1626.3</v>
      </c>
      <c r="E74" s="34" t="n">
        <v>2.61</v>
      </c>
      <c r="F74" s="34" t="n">
        <v>58.04</v>
      </c>
      <c r="G74" s="34" t="n">
        <v>1732</v>
      </c>
      <c r="H74" s="34" t="n">
        <v>1451.95</v>
      </c>
      <c r="I74" s="34" t="n">
        <v>79.43</v>
      </c>
      <c r="J74" s="34" t="n">
        <v>64.48</v>
      </c>
      <c r="K74" s="34" t="n">
        <v>546012</v>
      </c>
      <c r="L74" s="34" t="n">
        <v>1.13</v>
      </c>
      <c r="M74" s="34" t="n">
        <v>1534.65</v>
      </c>
      <c r="N74" s="34" t="n">
        <v>1593.65</v>
      </c>
      <c r="O74" s="34" t="n">
        <v>1633.5</v>
      </c>
      <c r="P74" s="34" t="n">
        <v>1648.39</v>
      </c>
      <c r="Q74" s="34" t="n">
        <v>1557</v>
      </c>
      <c r="R74" s="34" t="n">
        <v>1635</v>
      </c>
      <c r="S74" s="34" t="n">
        <v>28.48</v>
      </c>
      <c r="T74" s="34" t="n">
        <v>0.009</v>
      </c>
      <c r="U74" s="34" t="n">
        <v>2343.65</v>
      </c>
      <c r="V74" s="34" t="n">
        <v>1451.95</v>
      </c>
    </row>
    <row r="75" customFormat="false" ht="15" hidden="false" customHeight="true" outlineLevel="0" collapsed="false">
      <c r="A75" s="34" t="s">
        <v>71</v>
      </c>
      <c r="B75" s="34" t="n">
        <v>1632.3</v>
      </c>
      <c r="C75" s="34" t="n">
        <v>1634.3</v>
      </c>
      <c r="D75" s="34" t="n">
        <v>1604.1</v>
      </c>
      <c r="E75" s="34" t="n">
        <v>1.06</v>
      </c>
      <c r="F75" s="34" t="n">
        <v>44.17</v>
      </c>
      <c r="G75" s="34" t="n">
        <v>1655.3</v>
      </c>
      <c r="H75" s="34" t="n">
        <v>1291</v>
      </c>
      <c r="I75" s="34" t="n">
        <v>155.94</v>
      </c>
      <c r="J75" s="34" t="n">
        <v>69.64</v>
      </c>
      <c r="K75" s="34" t="n">
        <v>537284</v>
      </c>
      <c r="L75" s="34" t="n">
        <v>1.35</v>
      </c>
      <c r="M75" s="34" t="n">
        <v>1527.8</v>
      </c>
      <c r="N75" s="34" t="n">
        <v>1573.5</v>
      </c>
      <c r="O75" s="34" t="n">
        <v>1615.1</v>
      </c>
      <c r="P75" s="34" t="n">
        <v>1512.56</v>
      </c>
      <c r="Q75" s="34" t="n">
        <v>1559.98</v>
      </c>
      <c r="R75" s="34" t="n">
        <v>1615.2</v>
      </c>
      <c r="S75" s="34" t="n">
        <v>24.95</v>
      </c>
      <c r="T75" s="34" t="n">
        <v>0.014</v>
      </c>
      <c r="U75" s="34" t="n">
        <v>2175</v>
      </c>
      <c r="V75" s="34" t="n">
        <v>1291</v>
      </c>
    </row>
    <row r="76" customFormat="false" ht="15" hidden="false" customHeight="true" outlineLevel="0" collapsed="false">
      <c r="A76" s="34" t="s">
        <v>130</v>
      </c>
      <c r="B76" s="34" t="n">
        <v>1615</v>
      </c>
      <c r="C76" s="34" t="n">
        <v>1630</v>
      </c>
      <c r="D76" s="34" t="n">
        <v>1602.7</v>
      </c>
      <c r="E76" s="34" t="n">
        <v>0.36</v>
      </c>
      <c r="F76" s="34" t="n">
        <v>49.92</v>
      </c>
      <c r="G76" s="34" t="n">
        <v>1682</v>
      </c>
      <c r="H76" s="34" t="n">
        <v>1358.65</v>
      </c>
      <c r="I76" s="34" t="n">
        <v>115.21</v>
      </c>
      <c r="J76" s="34" t="n">
        <v>66.75</v>
      </c>
      <c r="K76" s="34" t="n">
        <v>652281</v>
      </c>
      <c r="L76" s="34" t="n">
        <v>0.814</v>
      </c>
      <c r="M76" s="34" t="n">
        <v>1511.74</v>
      </c>
      <c r="N76" s="34" t="n">
        <v>1564.05</v>
      </c>
      <c r="O76" s="34" t="n">
        <v>1609.2</v>
      </c>
      <c r="P76" s="34" t="n">
        <v>1484.29</v>
      </c>
      <c r="Q76" s="34" t="n">
        <v>1539.37</v>
      </c>
      <c r="R76" s="34" t="n">
        <v>1616.2</v>
      </c>
      <c r="S76" s="34" t="n">
        <v>3.98</v>
      </c>
      <c r="T76" s="34" t="n">
        <v>0.018</v>
      </c>
      <c r="U76" s="34" t="n">
        <v>1682</v>
      </c>
      <c r="V76" s="34" t="n">
        <v>1168</v>
      </c>
    </row>
    <row r="77" customFormat="false" ht="15" hidden="false" customHeight="true" outlineLevel="0" collapsed="false">
      <c r="A77" s="34" t="s">
        <v>89</v>
      </c>
      <c r="B77" s="34" t="n">
        <v>1617</v>
      </c>
      <c r="C77" s="34" t="n">
        <v>1635.9</v>
      </c>
      <c r="D77" s="34" t="n">
        <v>1601.3</v>
      </c>
      <c r="E77" s="34" t="n">
        <v>-0.743</v>
      </c>
      <c r="F77" s="34" t="n">
        <v>38.59</v>
      </c>
      <c r="G77" s="34" t="n">
        <v>1636.4</v>
      </c>
      <c r="H77" s="34" t="n">
        <v>1209.4</v>
      </c>
      <c r="I77" s="34" t="n">
        <v>143.8</v>
      </c>
      <c r="J77" s="34" t="n">
        <v>82.66</v>
      </c>
      <c r="K77" s="34" t="n">
        <v>1159095</v>
      </c>
      <c r="L77" s="34" t="n">
        <v>0.39</v>
      </c>
      <c r="M77" s="34" t="n">
        <v>1539.67</v>
      </c>
      <c r="N77" s="34" t="n">
        <v>1579.13</v>
      </c>
      <c r="O77" s="34" t="n">
        <v>1629.1</v>
      </c>
      <c r="P77" s="34" t="n">
        <v>1538.29</v>
      </c>
      <c r="Q77" s="34" t="n">
        <v>1578.29</v>
      </c>
      <c r="R77" s="34" t="n">
        <v>1635</v>
      </c>
      <c r="S77" s="34" t="n">
        <v>10.55</v>
      </c>
      <c r="T77" s="34" t="n">
        <v>0.017</v>
      </c>
      <c r="U77" s="34" t="n">
        <v>1807.7</v>
      </c>
      <c r="V77" s="34" t="n">
        <v>1193.65</v>
      </c>
    </row>
    <row r="78" customFormat="false" ht="15" hidden="false" customHeight="true" outlineLevel="0" collapsed="false">
      <c r="A78" s="34" t="s">
        <v>132</v>
      </c>
      <c r="B78" s="34" t="n">
        <v>1589.9</v>
      </c>
      <c r="C78" s="34" t="n">
        <v>1612.6</v>
      </c>
      <c r="D78" s="34" t="n">
        <v>1581.5</v>
      </c>
      <c r="E78" s="34" t="n">
        <v>-1.43</v>
      </c>
      <c r="F78" s="34" t="n">
        <v>40.79</v>
      </c>
      <c r="G78" s="34" t="n">
        <v>1755.1</v>
      </c>
      <c r="H78" s="34" t="n">
        <v>1307</v>
      </c>
      <c r="I78" s="34" t="n">
        <v>136.69</v>
      </c>
      <c r="J78" s="34" t="n">
        <v>62.29</v>
      </c>
      <c r="K78" s="34" t="n">
        <v>4576751</v>
      </c>
      <c r="L78" s="34" t="n">
        <v>0.41</v>
      </c>
      <c r="M78" s="34" t="n">
        <v>1515.48</v>
      </c>
      <c r="N78" s="34" t="n">
        <v>1556.26</v>
      </c>
      <c r="O78" s="34" t="n">
        <v>1613</v>
      </c>
      <c r="P78" s="34" t="n">
        <v>1511.16</v>
      </c>
      <c r="Q78" s="34" t="n">
        <v>1552.98</v>
      </c>
      <c r="R78" s="34" t="n">
        <v>1612.6</v>
      </c>
      <c r="S78" s="34" t="n">
        <v>20.76</v>
      </c>
      <c r="T78" s="34" t="n">
        <v>0.012</v>
      </c>
      <c r="U78" s="34" t="n">
        <v>2006.45</v>
      </c>
      <c r="V78" s="34" t="n">
        <v>1307</v>
      </c>
    </row>
    <row r="79" customFormat="false" ht="15" hidden="false" customHeight="true" outlineLevel="0" collapsed="false">
      <c r="A79" s="34" t="s">
        <v>128</v>
      </c>
      <c r="B79" s="34" t="n">
        <v>1577.4</v>
      </c>
      <c r="C79" s="34" t="n">
        <v>1600.4</v>
      </c>
      <c r="D79" s="34" t="n">
        <v>1569</v>
      </c>
      <c r="E79" s="34" t="n">
        <v>-0.992</v>
      </c>
      <c r="F79" s="34" t="n">
        <v>34.73</v>
      </c>
      <c r="G79" s="34" t="n">
        <v>1673.8</v>
      </c>
      <c r="H79" s="34" t="n">
        <v>1381.3</v>
      </c>
      <c r="I79" s="34" t="n">
        <v>-42.87</v>
      </c>
      <c r="J79" s="34" t="n">
        <v>47.49</v>
      </c>
      <c r="K79" s="34" t="n">
        <v>1795919</v>
      </c>
      <c r="L79" s="34" t="n">
        <v>1.86</v>
      </c>
      <c r="M79" s="34" t="n">
        <v>1611.43</v>
      </c>
      <c r="N79" s="34" t="n">
        <v>1564.82</v>
      </c>
      <c r="O79" s="34" t="n">
        <v>1593.2</v>
      </c>
      <c r="P79" s="34" t="n">
        <v>1611.43</v>
      </c>
      <c r="Q79" s="34" t="n">
        <v>1564.82</v>
      </c>
      <c r="R79" s="34" t="n">
        <v>1600</v>
      </c>
      <c r="S79" s="34" t="n">
        <v>25.1</v>
      </c>
      <c r="T79" s="34" t="n">
        <v>0.008</v>
      </c>
      <c r="U79" s="34" t="n">
        <v>2106</v>
      </c>
      <c r="V79" s="34" t="n">
        <v>1381.3</v>
      </c>
    </row>
    <row r="80" customFormat="false" ht="15" hidden="false" customHeight="true" outlineLevel="0" collapsed="false">
      <c r="A80" s="34" t="s">
        <v>49</v>
      </c>
      <c r="B80" s="34" t="n">
        <v>1540.3</v>
      </c>
      <c r="C80" s="34" t="n">
        <v>1557.2</v>
      </c>
      <c r="D80" s="34" t="n">
        <v>1531.1</v>
      </c>
      <c r="E80" s="34" t="n">
        <v>0.117</v>
      </c>
      <c r="F80" s="34" t="n">
        <v>36.58</v>
      </c>
      <c r="G80" s="34" t="n">
        <v>1616</v>
      </c>
      <c r="H80" s="34" t="n">
        <v>1271.1</v>
      </c>
      <c r="I80" s="34" t="n">
        <v>-39.65</v>
      </c>
      <c r="J80" s="34" t="n">
        <v>47.88</v>
      </c>
      <c r="K80" s="34" t="n">
        <v>847971</v>
      </c>
      <c r="L80" s="34" t="n">
        <v>1.92</v>
      </c>
      <c r="M80" s="34" t="n">
        <v>1504.4</v>
      </c>
      <c r="N80" s="34" t="n">
        <v>1523.51</v>
      </c>
      <c r="O80" s="34" t="n">
        <v>1538.5</v>
      </c>
      <c r="P80" s="34" t="n">
        <v>1504.4</v>
      </c>
      <c r="Q80" s="34" t="n">
        <v>1523.51</v>
      </c>
      <c r="R80" s="34" t="n">
        <v>1550</v>
      </c>
      <c r="S80" s="34" t="n">
        <v>9.39</v>
      </c>
      <c r="T80" s="34" t="n">
        <v>0.017</v>
      </c>
      <c r="U80" s="34" t="n">
        <v>1700</v>
      </c>
      <c r="V80" s="34" t="n">
        <v>1136.3</v>
      </c>
    </row>
    <row r="81" customFormat="false" ht="15" hidden="false" customHeight="true" outlineLevel="0" collapsed="false">
      <c r="A81" s="34" t="s">
        <v>331</v>
      </c>
      <c r="B81" s="34" t="n">
        <v>1550.9</v>
      </c>
      <c r="C81" s="34" t="n">
        <v>1561.4</v>
      </c>
      <c r="D81" s="34" t="n">
        <v>1529.6</v>
      </c>
      <c r="E81" s="34" t="n">
        <v>-0.27</v>
      </c>
      <c r="F81" s="34" t="n">
        <v>54.02</v>
      </c>
      <c r="G81" s="34" t="n">
        <v>1735.9</v>
      </c>
      <c r="H81" s="34" t="n">
        <v>1438</v>
      </c>
      <c r="I81" s="34" t="n">
        <v>-37.73</v>
      </c>
      <c r="J81" s="34" t="n">
        <v>50.33</v>
      </c>
      <c r="K81" s="34" t="n">
        <v>479187</v>
      </c>
      <c r="L81" s="34" t="n">
        <v>0.995</v>
      </c>
      <c r="M81" s="34" t="n">
        <v>1601.16</v>
      </c>
      <c r="N81" s="34" t="n">
        <v>1488.96</v>
      </c>
      <c r="O81" s="34" t="n">
        <v>1555.1</v>
      </c>
      <c r="P81" s="34" t="n">
        <v>1601.16</v>
      </c>
      <c r="Q81" s="34" t="n">
        <v>1482.22</v>
      </c>
      <c r="R81" s="34" t="n">
        <v>1560</v>
      </c>
      <c r="S81" s="34" t="n">
        <v>25.02</v>
      </c>
      <c r="T81" s="34" t="n">
        <v>0.009</v>
      </c>
      <c r="U81" s="34" t="n">
        <v>2068.5</v>
      </c>
      <c r="V81" s="34" t="n">
        <v>1338.05</v>
      </c>
    </row>
    <row r="82" customFormat="false" ht="15" hidden="false" customHeight="true" outlineLevel="0" collapsed="false">
      <c r="A82" s="34" t="s">
        <v>46</v>
      </c>
      <c r="B82" s="34" t="n">
        <v>1509.5</v>
      </c>
      <c r="C82" s="34" t="n">
        <v>1525</v>
      </c>
      <c r="D82" s="34" t="n">
        <v>1497.5</v>
      </c>
      <c r="E82" s="34" t="n">
        <v>0.366</v>
      </c>
      <c r="F82" s="34" t="n">
        <v>381.97</v>
      </c>
      <c r="G82" s="34" t="n">
        <v>7429.9</v>
      </c>
      <c r="H82" s="34" t="n">
        <v>1319</v>
      </c>
      <c r="I82" s="34" t="n">
        <v>-81.48</v>
      </c>
      <c r="J82" s="34" t="n">
        <v>9.3</v>
      </c>
      <c r="K82" s="34" t="n">
        <v>695221</v>
      </c>
      <c r="L82" s="34" t="n">
        <v>0.735</v>
      </c>
      <c r="M82" s="34" t="n">
        <v>2308.09</v>
      </c>
      <c r="N82" s="34" t="n">
        <v>1909.67</v>
      </c>
      <c r="O82" s="34" t="n">
        <v>1504</v>
      </c>
      <c r="P82" s="34" t="n">
        <v>2357.77</v>
      </c>
      <c r="Q82" s="34" t="n">
        <v>1918.13</v>
      </c>
      <c r="R82" s="34" t="n">
        <v>1512</v>
      </c>
      <c r="S82" s="34" t="n">
        <v>83.46</v>
      </c>
      <c r="T82" s="34" t="n">
        <v>0.009</v>
      </c>
      <c r="U82" s="34" t="n">
        <v>9128.9</v>
      </c>
      <c r="V82" s="34" t="n">
        <v>1319</v>
      </c>
    </row>
    <row r="83" customFormat="false" ht="15" hidden="false" customHeight="true" outlineLevel="0" collapsed="false">
      <c r="A83" s="34" t="s">
        <v>84</v>
      </c>
      <c r="B83" s="34" t="n">
        <v>1499.9</v>
      </c>
      <c r="C83" s="34" t="n">
        <v>1510.2</v>
      </c>
      <c r="D83" s="34" t="n">
        <v>1492</v>
      </c>
      <c r="E83" s="34" t="n">
        <v>-0.153</v>
      </c>
      <c r="F83" s="34" t="n">
        <v>35.22</v>
      </c>
      <c r="G83" s="34" t="n">
        <v>1570.8</v>
      </c>
      <c r="H83" s="34" t="n">
        <v>1335</v>
      </c>
      <c r="I83" s="34" t="n">
        <v>-62.98</v>
      </c>
      <c r="J83" s="34" t="n">
        <v>46.01</v>
      </c>
      <c r="K83" s="34" t="n">
        <v>1660929</v>
      </c>
      <c r="L83" s="34" t="n">
        <v>0.424</v>
      </c>
      <c r="M83" s="34" t="n">
        <v>1478.49</v>
      </c>
      <c r="N83" s="34" t="n">
        <v>1481.69</v>
      </c>
      <c r="O83" s="34" t="n">
        <v>1502.2</v>
      </c>
      <c r="P83" s="34" t="n">
        <v>1478.49</v>
      </c>
      <c r="Q83" s="34" t="n">
        <v>1481.69</v>
      </c>
      <c r="R83" s="34" t="n">
        <v>1509.7</v>
      </c>
      <c r="S83" s="34" t="n">
        <v>11.88</v>
      </c>
      <c r="T83" s="34" t="n">
        <v>0.007</v>
      </c>
      <c r="U83" s="34" t="n">
        <v>1702.05</v>
      </c>
      <c r="V83" s="34" t="n">
        <v>1335</v>
      </c>
    </row>
    <row r="84" customFormat="false" ht="15" hidden="false" customHeight="true" outlineLevel="0" collapsed="false">
      <c r="A84" s="34" t="s">
        <v>162</v>
      </c>
      <c r="B84" s="34" t="n">
        <v>1456.4</v>
      </c>
      <c r="C84" s="34" t="n">
        <v>1461</v>
      </c>
      <c r="D84" s="34" t="n">
        <v>1447.3</v>
      </c>
      <c r="E84" s="34" t="n">
        <v>0.151</v>
      </c>
      <c r="F84" s="34" t="n">
        <v>30.96</v>
      </c>
      <c r="G84" s="34" t="n">
        <v>1461.4</v>
      </c>
      <c r="H84" s="34" t="n">
        <v>1114.85</v>
      </c>
      <c r="I84" s="34" t="n">
        <v>96.79</v>
      </c>
      <c r="J84" s="34" t="n">
        <v>71.48</v>
      </c>
      <c r="K84" s="34" t="n">
        <v>9036695</v>
      </c>
      <c r="L84" s="34" t="n">
        <v>0.448</v>
      </c>
      <c r="M84" s="34" t="n">
        <v>1391.92</v>
      </c>
      <c r="N84" s="34" t="n">
        <v>1423.03</v>
      </c>
      <c r="O84" s="34" t="n">
        <v>1454.2</v>
      </c>
      <c r="P84" s="34" t="n">
        <v>1370.95</v>
      </c>
      <c r="Q84" s="34" t="n">
        <v>1404</v>
      </c>
      <c r="R84" s="34" t="n">
        <v>1453.2</v>
      </c>
      <c r="S84" s="34" t="n">
        <v>9.47</v>
      </c>
      <c r="T84" s="34" t="n">
        <v>0.017</v>
      </c>
      <c r="U84" s="34" t="n">
        <v>1608.8</v>
      </c>
      <c r="V84" s="34" t="n">
        <v>1114.85</v>
      </c>
    </row>
    <row r="85" customFormat="false" ht="15" hidden="false" customHeight="true" outlineLevel="0" collapsed="false">
      <c r="A85" s="34" t="s">
        <v>42</v>
      </c>
      <c r="B85" s="34" t="n">
        <v>1454</v>
      </c>
      <c r="C85" s="34" t="n">
        <v>1458.7</v>
      </c>
      <c r="D85" s="34" t="n">
        <v>1447</v>
      </c>
      <c r="E85" s="34" t="n">
        <v>0.221</v>
      </c>
      <c r="F85" s="34" t="n">
        <v>28.46</v>
      </c>
      <c r="G85" s="34" t="n">
        <v>1458.7</v>
      </c>
      <c r="H85" s="34" t="n">
        <v>1200.1</v>
      </c>
      <c r="I85" s="34" t="n">
        <v>156.4</v>
      </c>
      <c r="J85" s="34" t="n">
        <v>63.24</v>
      </c>
      <c r="K85" s="34" t="n">
        <v>6439208</v>
      </c>
      <c r="L85" s="34" t="n">
        <v>0.354</v>
      </c>
      <c r="M85" s="34" t="n">
        <v>1456.22</v>
      </c>
      <c r="N85" s="34" t="n">
        <v>1424.58</v>
      </c>
      <c r="O85" s="34" t="n">
        <v>1450.8</v>
      </c>
      <c r="P85" s="34" t="n">
        <v>1456.22</v>
      </c>
      <c r="Q85" s="34" t="n">
        <v>1408.14</v>
      </c>
      <c r="R85" s="34" t="n">
        <v>1453.3</v>
      </c>
      <c r="S85" s="34" t="n">
        <v>0.322</v>
      </c>
      <c r="T85" s="34" t="n">
        <v>0.02</v>
      </c>
      <c r="U85" s="34" t="n">
        <v>1458.7</v>
      </c>
      <c r="V85" s="34" t="n">
        <v>1051.05</v>
      </c>
    </row>
    <row r="86" customFormat="false" ht="15" hidden="false" customHeight="true" outlineLevel="0" collapsed="false">
      <c r="A86" s="34" t="s">
        <v>264</v>
      </c>
      <c r="B86" s="34" t="n">
        <v>1442.8</v>
      </c>
      <c r="C86" s="34" t="n">
        <v>1460</v>
      </c>
      <c r="D86" s="34" t="n">
        <v>1432.5</v>
      </c>
      <c r="E86" s="34" t="n">
        <v>0.705</v>
      </c>
      <c r="F86" s="34" t="n">
        <v>57.96</v>
      </c>
      <c r="G86" s="34" t="n">
        <v>1640</v>
      </c>
      <c r="H86" s="34" t="n">
        <v>1225</v>
      </c>
      <c r="I86" s="34" t="n">
        <v>-68.62</v>
      </c>
      <c r="J86" s="34" t="n">
        <v>44.54</v>
      </c>
      <c r="K86" s="34" t="n">
        <v>513476</v>
      </c>
      <c r="L86" s="34" t="n">
        <v>0.416</v>
      </c>
      <c r="M86" s="34" t="n">
        <v>1508.99</v>
      </c>
      <c r="N86" s="34" t="n">
        <v>1388.41</v>
      </c>
      <c r="O86" s="34" t="n">
        <v>1432.7</v>
      </c>
      <c r="P86" s="34" t="n">
        <v>1508.99</v>
      </c>
      <c r="Q86" s="34" t="n">
        <v>1384.08</v>
      </c>
      <c r="R86" s="34" t="n">
        <v>1443</v>
      </c>
      <c r="S86" s="34" t="n">
        <v>29.17</v>
      </c>
      <c r="T86" s="34" t="n">
        <v>0.012</v>
      </c>
      <c r="U86" s="34" t="n">
        <v>2037</v>
      </c>
      <c r="V86" s="34" t="n">
        <v>1207.25</v>
      </c>
    </row>
    <row r="87" customFormat="false" ht="15" hidden="false" customHeight="true" outlineLevel="0" collapsed="false">
      <c r="A87" s="34" t="s">
        <v>95</v>
      </c>
      <c r="B87" s="34" t="n">
        <v>1448.6</v>
      </c>
      <c r="C87" s="34" t="n">
        <v>1463.4</v>
      </c>
      <c r="D87" s="34" t="n">
        <v>1431</v>
      </c>
      <c r="E87" s="34" t="n">
        <v>0.111</v>
      </c>
      <c r="F87" s="34" t="n">
        <v>42.54</v>
      </c>
      <c r="G87" s="34" t="n">
        <v>1582.95</v>
      </c>
      <c r="H87" s="34" t="n">
        <v>1275.5</v>
      </c>
      <c r="I87" s="34" t="n">
        <v>149.45</v>
      </c>
      <c r="J87" s="34" t="n">
        <v>63.95</v>
      </c>
      <c r="K87" s="34" t="n">
        <v>319609</v>
      </c>
      <c r="L87" s="34" t="n">
        <v>0.788</v>
      </c>
      <c r="M87" s="34" t="n">
        <v>1462.77</v>
      </c>
      <c r="N87" s="34" t="n">
        <v>1403.01</v>
      </c>
      <c r="O87" s="34" t="n">
        <v>1447</v>
      </c>
      <c r="P87" s="34" t="n">
        <v>1462.77</v>
      </c>
      <c r="Q87" s="34" t="n">
        <v>1401.95</v>
      </c>
      <c r="R87" s="34" t="n">
        <v>1441</v>
      </c>
      <c r="S87" s="34" t="n">
        <v>20.88</v>
      </c>
      <c r="T87" s="34" t="n">
        <v>0.023</v>
      </c>
      <c r="U87" s="34" t="n">
        <v>1830.95</v>
      </c>
      <c r="V87" s="34" t="n">
        <v>1000</v>
      </c>
    </row>
    <row r="88" customFormat="false" ht="15" hidden="false" customHeight="true" outlineLevel="0" collapsed="false">
      <c r="A88" s="34" t="s">
        <v>176</v>
      </c>
      <c r="B88" s="34" t="n">
        <v>1407.4</v>
      </c>
      <c r="C88" s="34" t="n">
        <v>1424.9</v>
      </c>
      <c r="D88" s="34" t="n">
        <v>1401</v>
      </c>
      <c r="E88" s="34" t="n">
        <v>0.085</v>
      </c>
      <c r="F88" s="34" t="n">
        <v>41.88</v>
      </c>
      <c r="G88" s="34" t="n">
        <v>1424.9</v>
      </c>
      <c r="H88" s="34" t="n">
        <v>1036.5</v>
      </c>
      <c r="I88" s="34" t="n">
        <v>127</v>
      </c>
      <c r="J88" s="34" t="n">
        <v>78.54</v>
      </c>
      <c r="K88" s="34" t="n">
        <v>2777371</v>
      </c>
      <c r="L88" s="34" t="n">
        <v>0.749</v>
      </c>
      <c r="M88" s="34" t="n">
        <v>1327.79</v>
      </c>
      <c r="N88" s="34" t="n">
        <v>1370.37</v>
      </c>
      <c r="O88" s="34" t="n">
        <v>1406.2</v>
      </c>
      <c r="P88" s="34" t="n">
        <v>1301.59</v>
      </c>
      <c r="Q88" s="34" t="n">
        <v>1346.24</v>
      </c>
      <c r="R88" s="34" t="n">
        <v>1410.9</v>
      </c>
      <c r="S88" s="34" t="n">
        <v>13.2</v>
      </c>
      <c r="T88" s="34" t="n">
        <v>0.022</v>
      </c>
      <c r="U88" s="34" t="n">
        <v>1621.4</v>
      </c>
      <c r="V88" s="34" t="n">
        <v>995.65</v>
      </c>
    </row>
    <row r="89" customFormat="false" ht="15" hidden="false" customHeight="true" outlineLevel="0" collapsed="false">
      <c r="A89" s="34" t="s">
        <v>228</v>
      </c>
      <c r="B89" s="34" t="n">
        <v>1433.2</v>
      </c>
      <c r="C89" s="34" t="n">
        <v>1453</v>
      </c>
      <c r="D89" s="34" t="n">
        <v>1398.9</v>
      </c>
      <c r="E89" s="34" t="n">
        <v>1.01</v>
      </c>
      <c r="F89" s="34" t="n">
        <v>59.01</v>
      </c>
      <c r="G89" s="34" t="n">
        <v>1453</v>
      </c>
      <c r="H89" s="34" t="n">
        <v>1048.05</v>
      </c>
      <c r="I89" s="34" t="n">
        <v>138.31</v>
      </c>
      <c r="J89" s="34" t="n">
        <v>70.2</v>
      </c>
      <c r="K89" s="34" t="n">
        <v>620094</v>
      </c>
      <c r="L89" s="34" t="n">
        <v>0.849</v>
      </c>
      <c r="M89" s="34" t="n">
        <v>1308.32</v>
      </c>
      <c r="N89" s="34" t="n">
        <v>1367.14</v>
      </c>
      <c r="O89" s="34" t="n">
        <v>1418.9</v>
      </c>
      <c r="P89" s="34" t="n">
        <v>1286.87</v>
      </c>
      <c r="Q89" s="34" t="n">
        <v>1346.21</v>
      </c>
      <c r="R89" s="34" t="n">
        <v>1418</v>
      </c>
      <c r="S89" s="34" t="n">
        <v>30.92</v>
      </c>
      <c r="T89" s="34" t="n">
        <v>0.02</v>
      </c>
      <c r="U89" s="34" t="n">
        <v>2074.8</v>
      </c>
      <c r="V89" s="34" t="n">
        <v>1048.05</v>
      </c>
    </row>
    <row r="90" customFormat="false" ht="15" hidden="false" customHeight="true" outlineLevel="0" collapsed="false">
      <c r="A90" s="34" t="s">
        <v>167</v>
      </c>
      <c r="B90" s="34" t="n">
        <v>1391.4</v>
      </c>
      <c r="C90" s="34" t="n">
        <v>1401.8</v>
      </c>
      <c r="D90" s="34" t="n">
        <v>1368.6</v>
      </c>
      <c r="E90" s="34" t="n">
        <v>1.4</v>
      </c>
      <c r="F90" s="34" t="n">
        <v>45.83</v>
      </c>
      <c r="G90" s="34" t="n">
        <v>1435.4</v>
      </c>
      <c r="H90" s="34" t="n">
        <v>1195.55</v>
      </c>
      <c r="I90" s="34" t="n">
        <v>66.72</v>
      </c>
      <c r="J90" s="34" t="n">
        <v>56.72</v>
      </c>
      <c r="K90" s="34" t="n">
        <v>507542</v>
      </c>
      <c r="L90" s="34" t="n">
        <v>1.45</v>
      </c>
      <c r="M90" s="34" t="n">
        <v>1295.4</v>
      </c>
      <c r="N90" s="34" t="n">
        <v>1348.93</v>
      </c>
      <c r="O90" s="34" t="n">
        <v>1372.2</v>
      </c>
      <c r="P90" s="34" t="n">
        <v>1295.4</v>
      </c>
      <c r="Q90" s="34" t="n">
        <v>1348.93</v>
      </c>
      <c r="R90" s="34" t="n">
        <v>1378.6</v>
      </c>
      <c r="S90" s="34" t="n">
        <v>30.01</v>
      </c>
      <c r="T90" s="34" t="n">
        <v>0.017</v>
      </c>
      <c r="U90" s="34" t="n">
        <v>1988</v>
      </c>
      <c r="V90" s="34" t="n">
        <v>1075.25</v>
      </c>
    </row>
    <row r="91" customFormat="false" ht="15" hidden="false" customHeight="true" outlineLevel="0" collapsed="false">
      <c r="A91" s="34" t="s">
        <v>237</v>
      </c>
      <c r="B91" s="34" t="n">
        <v>1364.8</v>
      </c>
      <c r="C91" s="34" t="n">
        <v>1404</v>
      </c>
      <c r="D91" s="34" t="n">
        <v>1361.6</v>
      </c>
      <c r="E91" s="34" t="n">
        <v>-2.04</v>
      </c>
      <c r="F91" s="34" t="n">
        <v>50.51</v>
      </c>
      <c r="G91" s="34" t="n">
        <v>1414</v>
      </c>
      <c r="H91" s="34" t="n">
        <v>1020.6</v>
      </c>
      <c r="I91" s="34" t="n">
        <v>154.56</v>
      </c>
      <c r="J91" s="34" t="n">
        <v>67.39</v>
      </c>
      <c r="K91" s="34" t="n">
        <v>1270996</v>
      </c>
      <c r="L91" s="34" t="n">
        <v>0.562</v>
      </c>
      <c r="M91" s="34" t="n">
        <v>1279.66</v>
      </c>
      <c r="N91" s="34" t="n">
        <v>1331.23</v>
      </c>
      <c r="O91" s="34" t="n">
        <v>1393.2</v>
      </c>
      <c r="P91" s="34" t="n">
        <v>1272.27</v>
      </c>
      <c r="Q91" s="34" t="n">
        <v>1324.86</v>
      </c>
      <c r="R91" s="34" t="n">
        <v>1404</v>
      </c>
      <c r="S91" s="34" t="n">
        <v>29.24</v>
      </c>
      <c r="T91" s="34" t="n">
        <v>0.02</v>
      </c>
      <c r="U91" s="34" t="n">
        <v>1928.7</v>
      </c>
      <c r="V91" s="34" t="n">
        <v>1020.6</v>
      </c>
    </row>
    <row r="92" customFormat="false" ht="15" hidden="false" customHeight="true" outlineLevel="0" collapsed="false">
      <c r="A92" s="34" t="s">
        <v>222</v>
      </c>
      <c r="B92" s="34" t="n">
        <v>1394.8</v>
      </c>
      <c r="C92" s="34" t="n">
        <v>1411.8</v>
      </c>
      <c r="D92" s="34" t="n">
        <v>1353.3</v>
      </c>
      <c r="E92" s="34" t="n">
        <v>1.74</v>
      </c>
      <c r="F92" s="34" t="n">
        <v>62.17</v>
      </c>
      <c r="G92" s="34" t="n">
        <v>1411.8</v>
      </c>
      <c r="H92" s="34" t="n">
        <v>1035.15</v>
      </c>
      <c r="I92" s="34" t="n">
        <v>176.73</v>
      </c>
      <c r="J92" s="34" t="n">
        <v>68.75</v>
      </c>
      <c r="K92" s="34" t="n">
        <v>1948485</v>
      </c>
      <c r="L92" s="34" t="n">
        <v>0.867</v>
      </c>
      <c r="M92" s="34" t="n">
        <v>1259.48</v>
      </c>
      <c r="N92" s="34" t="n">
        <v>1321.02</v>
      </c>
      <c r="O92" s="34" t="n">
        <v>1371</v>
      </c>
      <c r="P92" s="34" t="n">
        <v>1234.09</v>
      </c>
      <c r="Q92" s="34" t="n">
        <v>1280.53</v>
      </c>
      <c r="R92" s="34" t="n">
        <v>1378</v>
      </c>
      <c r="S92" s="34" t="n">
        <v>15.46</v>
      </c>
      <c r="T92" s="34" t="n">
        <v>0.021</v>
      </c>
      <c r="U92" s="34" t="n">
        <v>1649.95</v>
      </c>
      <c r="V92" s="34" t="n">
        <v>1035.15</v>
      </c>
    </row>
    <row r="93" customFormat="false" ht="15" hidden="false" customHeight="true" outlineLevel="0" collapsed="false">
      <c r="A93" s="34" t="s">
        <v>183</v>
      </c>
      <c r="B93" s="34" t="n">
        <v>1355.9</v>
      </c>
      <c r="C93" s="34" t="n">
        <v>1372</v>
      </c>
      <c r="D93" s="34" t="n">
        <v>1344</v>
      </c>
      <c r="E93" s="34" t="n">
        <v>-0.184</v>
      </c>
      <c r="F93" s="34" t="n">
        <v>34.61</v>
      </c>
      <c r="G93" s="34" t="n">
        <v>1372</v>
      </c>
      <c r="H93" s="34" t="n">
        <v>950</v>
      </c>
      <c r="I93" s="34" t="n">
        <v>172.87</v>
      </c>
      <c r="J93" s="34" t="n">
        <v>78.39</v>
      </c>
      <c r="K93" s="34" t="n">
        <v>930342</v>
      </c>
      <c r="L93" s="34" t="n">
        <v>0.672</v>
      </c>
      <c r="M93" s="34" t="n">
        <v>1290</v>
      </c>
      <c r="N93" s="34" t="n">
        <v>1324</v>
      </c>
      <c r="O93" s="34" t="n">
        <v>1358.4</v>
      </c>
      <c r="P93" s="34" t="n">
        <v>1274.26</v>
      </c>
      <c r="Q93" s="34" t="n">
        <v>1308.93</v>
      </c>
      <c r="R93" s="34" t="n">
        <v>1344</v>
      </c>
      <c r="S93" s="34" t="n">
        <v>1.17</v>
      </c>
      <c r="T93" s="34" t="n">
        <v>0.028</v>
      </c>
      <c r="U93" s="34" t="n">
        <v>1372</v>
      </c>
      <c r="V93" s="34" t="n">
        <v>864</v>
      </c>
    </row>
    <row r="94" customFormat="false" ht="15" hidden="false" customHeight="true" outlineLevel="0" collapsed="false">
      <c r="A94" s="34" t="s">
        <v>195</v>
      </c>
      <c r="B94" s="34" t="n">
        <v>1359.7</v>
      </c>
      <c r="C94" s="34" t="n">
        <v>1373.9</v>
      </c>
      <c r="D94" s="34" t="n">
        <v>1337.5</v>
      </c>
      <c r="E94" s="34" t="n">
        <v>1.17</v>
      </c>
      <c r="F94" s="34" t="n">
        <v>42.44</v>
      </c>
      <c r="G94" s="34" t="n">
        <v>1413.6</v>
      </c>
      <c r="H94" s="34" t="n">
        <v>1232.3</v>
      </c>
      <c r="I94" s="34" t="n">
        <v>49.16</v>
      </c>
      <c r="J94" s="34" t="n">
        <v>61.83</v>
      </c>
      <c r="K94" s="34" t="n">
        <v>532363</v>
      </c>
      <c r="L94" s="34" t="n">
        <v>0.915</v>
      </c>
      <c r="M94" s="34" t="n">
        <v>1373.82</v>
      </c>
      <c r="N94" s="34" t="n">
        <v>1312.68</v>
      </c>
      <c r="O94" s="34" t="n">
        <v>1344</v>
      </c>
      <c r="P94" s="34" t="n">
        <v>1373.82</v>
      </c>
      <c r="Q94" s="34" t="n">
        <v>1297.22</v>
      </c>
      <c r="R94" s="34" t="n">
        <v>1350.5</v>
      </c>
      <c r="S94" s="34" t="n">
        <v>44.59</v>
      </c>
      <c r="T94" s="34" t="n">
        <v>0.007</v>
      </c>
      <c r="U94" s="34" t="n">
        <v>2454</v>
      </c>
      <c r="V94" s="34" t="n">
        <v>1232.3</v>
      </c>
    </row>
    <row r="95" customFormat="false" ht="15" hidden="false" customHeight="true" outlineLevel="0" collapsed="false">
      <c r="A95" s="34" t="s">
        <v>214</v>
      </c>
      <c r="B95" s="34" t="n">
        <v>1408.8</v>
      </c>
      <c r="C95" s="34" t="n">
        <v>1435</v>
      </c>
      <c r="D95" s="34" t="n">
        <v>1337.1</v>
      </c>
      <c r="E95" s="34" t="n">
        <v>5.35</v>
      </c>
      <c r="F95" s="34" t="n">
        <v>52.47</v>
      </c>
      <c r="G95" s="34" t="n">
        <v>1435</v>
      </c>
      <c r="H95" s="34" t="n">
        <v>1047.45</v>
      </c>
      <c r="I95" s="34" t="n">
        <v>155.86</v>
      </c>
      <c r="J95" s="34" t="n">
        <v>75.85</v>
      </c>
      <c r="K95" s="34" t="n">
        <v>10872895</v>
      </c>
      <c r="L95" s="34" t="n">
        <v>4.2</v>
      </c>
      <c r="M95" s="34" t="n">
        <v>1282.37</v>
      </c>
      <c r="N95" s="34" t="n">
        <v>1334.21</v>
      </c>
      <c r="O95" s="34" t="n">
        <v>1337.2</v>
      </c>
      <c r="P95" s="34" t="n">
        <v>1246.1</v>
      </c>
      <c r="Q95" s="34" t="n">
        <v>1292.83</v>
      </c>
      <c r="R95" s="34" t="n">
        <v>1342</v>
      </c>
      <c r="S95" s="34" t="n">
        <v>29.2</v>
      </c>
      <c r="T95" s="34" t="n">
        <v>0.028</v>
      </c>
      <c r="U95" s="34" t="n">
        <v>1989.8</v>
      </c>
      <c r="V95" s="34" t="n">
        <v>917.63</v>
      </c>
    </row>
    <row r="96" customFormat="false" ht="15" hidden="false" customHeight="true" outlineLevel="0" collapsed="false">
      <c r="A96" s="34" t="s">
        <v>233</v>
      </c>
      <c r="B96" s="34" t="n">
        <v>1304.3</v>
      </c>
      <c r="C96" s="34" t="n">
        <v>1326</v>
      </c>
      <c r="D96" s="34" t="n">
        <v>1293.3</v>
      </c>
      <c r="E96" s="34" t="n">
        <v>0.843</v>
      </c>
      <c r="F96" s="34" t="n">
        <v>44</v>
      </c>
      <c r="G96" s="34" t="n">
        <v>1345.5</v>
      </c>
      <c r="H96" s="34" t="n">
        <v>1084.05</v>
      </c>
      <c r="I96" s="34" t="n">
        <v>167.23</v>
      </c>
      <c r="J96" s="34" t="n">
        <v>74.63</v>
      </c>
      <c r="K96" s="34" t="n">
        <v>368443</v>
      </c>
      <c r="L96" s="34" t="n">
        <v>0.895</v>
      </c>
      <c r="M96" s="34" t="n">
        <v>1219.44</v>
      </c>
      <c r="N96" s="34" t="n">
        <v>1264.55</v>
      </c>
      <c r="O96" s="34" t="n">
        <v>1293.4</v>
      </c>
      <c r="P96" s="34" t="n">
        <v>1205.98</v>
      </c>
      <c r="Q96" s="34" t="n">
        <v>1252.47</v>
      </c>
      <c r="R96" s="34" t="n">
        <v>1304</v>
      </c>
      <c r="S96" s="34" t="n">
        <v>39.54</v>
      </c>
      <c r="T96" s="34" t="n">
        <v>0.014</v>
      </c>
      <c r="U96" s="34" t="n">
        <v>2458.95</v>
      </c>
      <c r="V96" s="34" t="n">
        <v>1084.05</v>
      </c>
    </row>
    <row r="97" customFormat="false" ht="15" hidden="false" customHeight="true" outlineLevel="0" collapsed="false">
      <c r="A97" s="34" t="s">
        <v>197</v>
      </c>
      <c r="B97" s="34" t="n">
        <v>1299.5</v>
      </c>
      <c r="C97" s="34" t="n">
        <v>1305</v>
      </c>
      <c r="D97" s="34" t="n">
        <v>1282.2</v>
      </c>
      <c r="E97" s="34" t="n">
        <v>0.705</v>
      </c>
      <c r="F97" s="34" t="n">
        <v>33.53</v>
      </c>
      <c r="G97" s="34" t="n">
        <v>1305</v>
      </c>
      <c r="H97" s="34" t="n">
        <v>979.5</v>
      </c>
      <c r="I97" s="34" t="n">
        <v>161.64</v>
      </c>
      <c r="J97" s="34" t="n">
        <v>70.5</v>
      </c>
      <c r="K97" s="34" t="n">
        <v>913021</v>
      </c>
      <c r="L97" s="34" t="n">
        <v>1.24</v>
      </c>
      <c r="M97" s="34" t="n">
        <v>1224.93</v>
      </c>
      <c r="N97" s="34" t="n">
        <v>1259.26</v>
      </c>
      <c r="O97" s="34" t="n">
        <v>1290.4</v>
      </c>
      <c r="P97" s="34" t="n">
        <v>1213.12</v>
      </c>
      <c r="Q97" s="34" t="n">
        <v>1248.73</v>
      </c>
      <c r="R97" s="34" t="n">
        <v>1290.5</v>
      </c>
      <c r="S97" s="34" t="n">
        <v>15.72</v>
      </c>
      <c r="T97" s="34" t="n">
        <v>0.02</v>
      </c>
      <c r="U97" s="34" t="n">
        <v>1541.85</v>
      </c>
      <c r="V97" s="34" t="n">
        <v>979.5</v>
      </c>
    </row>
    <row r="98" customFormat="false" ht="15" hidden="false" customHeight="true" outlineLevel="0" collapsed="false">
      <c r="A98" s="34" t="s">
        <v>56</v>
      </c>
      <c r="B98" s="34" t="n">
        <v>1261.4</v>
      </c>
      <c r="C98" s="34" t="n">
        <v>1270</v>
      </c>
      <c r="D98" s="34" t="n">
        <v>1252.5</v>
      </c>
      <c r="E98" s="34" t="n">
        <v>-0.079</v>
      </c>
      <c r="F98" s="34" t="n">
        <v>34.23</v>
      </c>
      <c r="G98" s="34" t="n">
        <v>1531</v>
      </c>
      <c r="H98" s="34" t="n">
        <v>1190</v>
      </c>
      <c r="I98" s="34" t="n">
        <v>4.97</v>
      </c>
      <c r="J98" s="34" t="n">
        <v>53.1</v>
      </c>
      <c r="K98" s="34" t="n">
        <v>1030398</v>
      </c>
      <c r="L98" s="34" t="n">
        <v>1.16</v>
      </c>
      <c r="M98" s="34" t="n">
        <v>1303.77</v>
      </c>
      <c r="N98" s="34" t="n">
        <v>1224.91</v>
      </c>
      <c r="O98" s="34" t="n">
        <v>1262.4</v>
      </c>
      <c r="P98" s="34" t="n">
        <v>1303.77</v>
      </c>
      <c r="Q98" s="34" t="n">
        <v>1223.9</v>
      </c>
      <c r="R98" s="34" t="n">
        <v>1270</v>
      </c>
      <c r="S98" s="34" t="n">
        <v>35.14</v>
      </c>
      <c r="T98" s="34" t="n">
        <v>0.008</v>
      </c>
      <c r="U98" s="34" t="n">
        <v>1944.9</v>
      </c>
      <c r="V98" s="34" t="n">
        <v>1135</v>
      </c>
    </row>
    <row r="99" customFormat="false" ht="15" hidden="false" customHeight="true" outlineLevel="0" collapsed="false">
      <c r="A99" s="34" t="s">
        <v>134</v>
      </c>
      <c r="B99" s="34" t="n">
        <v>1263</v>
      </c>
      <c r="C99" s="34" t="n">
        <v>1270</v>
      </c>
      <c r="D99" s="34" t="n">
        <v>1240.4</v>
      </c>
      <c r="E99" s="34" t="n">
        <v>1.39</v>
      </c>
      <c r="F99" s="34" t="n">
        <v>42.53</v>
      </c>
      <c r="G99" s="34" t="n">
        <v>1270</v>
      </c>
      <c r="H99" s="34" t="n">
        <v>919.1</v>
      </c>
      <c r="I99" s="34" t="n">
        <v>169.72</v>
      </c>
      <c r="J99" s="34" t="n">
        <v>78.43</v>
      </c>
      <c r="K99" s="34" t="n">
        <v>1693384</v>
      </c>
      <c r="L99" s="34" t="n">
        <v>1.31</v>
      </c>
      <c r="M99" s="34" t="n">
        <v>1169.25</v>
      </c>
      <c r="N99" s="34" t="n">
        <v>1212.23</v>
      </c>
      <c r="O99" s="34" t="n">
        <v>1245.7</v>
      </c>
      <c r="P99" s="34" t="n">
        <v>1164.68</v>
      </c>
      <c r="Q99" s="34" t="n">
        <v>1209.14</v>
      </c>
      <c r="R99" s="34" t="n">
        <v>1250</v>
      </c>
      <c r="S99" s="34" t="n">
        <v>30.01</v>
      </c>
      <c r="T99" s="34" t="n">
        <v>0.023</v>
      </c>
      <c r="U99" s="34" t="n">
        <v>1804.5</v>
      </c>
      <c r="V99" s="34" t="n">
        <v>919.1</v>
      </c>
    </row>
    <row r="100" customFormat="false" ht="15" hidden="false" customHeight="true" outlineLevel="0" collapsed="false">
      <c r="A100" s="34" t="s">
        <v>177</v>
      </c>
      <c r="B100" s="34" t="n">
        <v>1230.7</v>
      </c>
      <c r="C100" s="34" t="n">
        <v>1238.9</v>
      </c>
      <c r="D100" s="34" t="n">
        <v>1221</v>
      </c>
      <c r="E100" s="34" t="n">
        <v>-0.453</v>
      </c>
      <c r="F100" s="34" t="n">
        <v>33.29</v>
      </c>
      <c r="G100" s="34" t="n">
        <v>1241</v>
      </c>
      <c r="H100" s="34" t="n">
        <v>1020</v>
      </c>
      <c r="I100" s="34" t="n">
        <v>178.35</v>
      </c>
      <c r="J100" s="34" t="n">
        <v>72.29</v>
      </c>
      <c r="K100" s="34" t="n">
        <v>882873</v>
      </c>
      <c r="L100" s="34" t="n">
        <v>0.43</v>
      </c>
      <c r="M100" s="34" t="n">
        <v>1163.01</v>
      </c>
      <c r="N100" s="34" t="n">
        <v>1196.48</v>
      </c>
      <c r="O100" s="34" t="n">
        <v>1236.3</v>
      </c>
      <c r="P100" s="34" t="n">
        <v>1149.6</v>
      </c>
      <c r="Q100" s="34" t="n">
        <v>1184.8</v>
      </c>
      <c r="R100" s="34" t="n">
        <v>1238.9</v>
      </c>
      <c r="S100" s="34" t="n">
        <v>13.42</v>
      </c>
      <c r="T100" s="34" t="n">
        <v>0.015</v>
      </c>
      <c r="U100" s="34" t="n">
        <v>1421.49</v>
      </c>
      <c r="V100" s="34" t="n">
        <v>1020</v>
      </c>
    </row>
    <row r="101" customFormat="false" ht="15" hidden="false" customHeight="true" outlineLevel="0" collapsed="false">
      <c r="A101" s="34" t="s">
        <v>40</v>
      </c>
      <c r="B101" s="34" t="n">
        <v>1208.8</v>
      </c>
      <c r="C101" s="34" t="n">
        <v>1213.3</v>
      </c>
      <c r="D101" s="34" t="n">
        <v>1203.2</v>
      </c>
      <c r="E101" s="34" t="n">
        <v>-0.025</v>
      </c>
      <c r="F101" s="34" t="n">
        <v>25.71</v>
      </c>
      <c r="G101" s="34" t="n">
        <v>1238.7</v>
      </c>
      <c r="H101" s="34" t="n">
        <v>992</v>
      </c>
      <c r="I101" s="34" t="n">
        <v>78.17</v>
      </c>
      <c r="J101" s="34" t="n">
        <v>64.94</v>
      </c>
      <c r="K101" s="34" t="n">
        <v>4016299</v>
      </c>
      <c r="L101" s="34" t="n">
        <v>0.599</v>
      </c>
      <c r="M101" s="34" t="n">
        <v>1214.64</v>
      </c>
      <c r="N101" s="34" t="n">
        <v>1181.63</v>
      </c>
      <c r="O101" s="34" t="n">
        <v>1209.1</v>
      </c>
      <c r="P101" s="34" t="n">
        <v>1214.64</v>
      </c>
      <c r="Q101" s="34" t="n">
        <v>1172.72</v>
      </c>
      <c r="R101" s="34" t="n">
        <v>1206</v>
      </c>
      <c r="S101" s="34" t="n">
        <v>9.77</v>
      </c>
      <c r="T101" s="34" t="n">
        <v>0.019</v>
      </c>
      <c r="U101" s="34" t="n">
        <v>1339.65</v>
      </c>
      <c r="V101" s="34" t="n">
        <v>933.5</v>
      </c>
    </row>
    <row r="102" customFormat="false" ht="15" hidden="false" customHeight="true" outlineLevel="0" collapsed="false">
      <c r="A102" s="34" t="s">
        <v>125</v>
      </c>
      <c r="B102" s="34" t="n">
        <v>1201.2</v>
      </c>
      <c r="C102" s="34" t="n">
        <v>1225.4</v>
      </c>
      <c r="D102" s="34" t="n">
        <v>1197</v>
      </c>
      <c r="E102" s="34" t="n">
        <v>-1.29</v>
      </c>
      <c r="F102" s="34" t="n">
        <v>41.46</v>
      </c>
      <c r="G102" s="34" t="n">
        <v>1278.6</v>
      </c>
      <c r="H102" s="34" t="n">
        <v>1010</v>
      </c>
      <c r="I102" s="34" t="n">
        <v>-5.78</v>
      </c>
      <c r="J102" s="34" t="n">
        <v>48.77</v>
      </c>
      <c r="K102" s="34" t="n">
        <v>1046820</v>
      </c>
      <c r="L102" s="34" t="n">
        <v>1.26</v>
      </c>
      <c r="M102" s="34" t="n">
        <v>1238.29</v>
      </c>
      <c r="N102" s="34" t="n">
        <v>1185.93</v>
      </c>
      <c r="O102" s="34" t="n">
        <v>1216.9</v>
      </c>
      <c r="P102" s="34" t="n">
        <v>1238.29</v>
      </c>
      <c r="Q102" s="34" t="n">
        <v>1185.93</v>
      </c>
      <c r="R102" s="34" t="n">
        <v>1222.2</v>
      </c>
      <c r="S102" s="34" t="n">
        <v>24.55</v>
      </c>
      <c r="T102" s="34" t="n">
        <v>0.014</v>
      </c>
      <c r="U102" s="34" t="n">
        <v>1592</v>
      </c>
      <c r="V102" s="34" t="n">
        <v>1010</v>
      </c>
    </row>
    <row r="103" customFormat="false" ht="15" hidden="false" customHeight="true" outlineLevel="0" collapsed="false">
      <c r="A103" s="34" t="s">
        <v>249</v>
      </c>
      <c r="B103" s="34" t="n">
        <v>1167.1</v>
      </c>
      <c r="C103" s="34" t="n">
        <v>1196.9</v>
      </c>
      <c r="D103" s="34" t="n">
        <v>1158.6</v>
      </c>
      <c r="E103" s="34" t="n">
        <v>-1.64</v>
      </c>
      <c r="F103" s="34" t="n">
        <v>38.54</v>
      </c>
      <c r="G103" s="34" t="n">
        <v>1204</v>
      </c>
      <c r="H103" s="34" t="n">
        <v>940.05</v>
      </c>
      <c r="I103" s="34" t="n">
        <v>116.45</v>
      </c>
      <c r="J103" s="34" t="n">
        <v>59.18</v>
      </c>
      <c r="K103" s="34" t="n">
        <v>932473</v>
      </c>
      <c r="L103" s="34" t="n">
        <v>0.245</v>
      </c>
      <c r="M103" s="34" t="n">
        <v>1110.58</v>
      </c>
      <c r="N103" s="34" t="n">
        <v>1150.01</v>
      </c>
      <c r="O103" s="34" t="n">
        <v>1186.5</v>
      </c>
      <c r="P103" s="34" t="n">
        <v>1110.58</v>
      </c>
      <c r="Q103" s="34" t="n">
        <v>1150.01</v>
      </c>
      <c r="R103" s="34" t="n">
        <v>1195.7</v>
      </c>
      <c r="S103" s="34" t="n">
        <v>4.96</v>
      </c>
      <c r="T103" s="34" t="n">
        <v>0.032</v>
      </c>
      <c r="U103" s="34" t="n">
        <v>1227.95</v>
      </c>
      <c r="V103" s="34" t="n">
        <v>743.1</v>
      </c>
    </row>
    <row r="104" customFormat="false" ht="15" hidden="false" customHeight="true" outlineLevel="0" collapsed="false">
      <c r="A104" s="34" t="s">
        <v>99</v>
      </c>
      <c r="B104" s="34" t="n">
        <v>1168</v>
      </c>
      <c r="C104" s="34" t="n">
        <v>1173.5</v>
      </c>
      <c r="D104" s="34" t="n">
        <v>1144</v>
      </c>
      <c r="E104" s="34" t="n">
        <v>1.81</v>
      </c>
      <c r="F104" s="34" t="n">
        <v>32.02</v>
      </c>
      <c r="G104" s="34" t="n">
        <v>1180.5</v>
      </c>
      <c r="H104" s="34" t="n">
        <v>930.1</v>
      </c>
      <c r="I104" s="34" t="n">
        <v>84.47</v>
      </c>
      <c r="J104" s="34" t="n">
        <v>65.16</v>
      </c>
      <c r="K104" s="34" t="n">
        <v>1336774</v>
      </c>
      <c r="L104" s="34" t="n">
        <v>0.648</v>
      </c>
      <c r="M104" s="34" t="n">
        <v>1105.4</v>
      </c>
      <c r="N104" s="34" t="n">
        <v>1127.12</v>
      </c>
      <c r="O104" s="34" t="n">
        <v>1147.2</v>
      </c>
      <c r="P104" s="34" t="n">
        <v>1105.4</v>
      </c>
      <c r="Q104" s="34" t="n">
        <v>1108.05</v>
      </c>
      <c r="R104" s="34" t="n">
        <v>1154.9</v>
      </c>
      <c r="S104" s="34" t="n">
        <v>7.49</v>
      </c>
      <c r="T104" s="34" t="n">
        <v>0.022</v>
      </c>
      <c r="U104" s="34" t="n">
        <v>1269</v>
      </c>
      <c r="V104" s="34" t="n">
        <v>882.9</v>
      </c>
    </row>
    <row r="105" customFormat="false" ht="15" hidden="false" customHeight="true" outlineLevel="0" collapsed="false">
      <c r="A105" s="34" t="s">
        <v>43</v>
      </c>
      <c r="B105" s="34" t="n">
        <v>1104.75</v>
      </c>
      <c r="C105" s="34" t="n">
        <v>1111</v>
      </c>
      <c r="D105" s="34" t="n">
        <v>1068</v>
      </c>
      <c r="E105" s="34" t="n">
        <v>3.19</v>
      </c>
      <c r="F105" s="34" t="n">
        <v>38.69</v>
      </c>
      <c r="G105" s="34" t="n">
        <v>1111</v>
      </c>
      <c r="H105" s="34" t="n">
        <v>848.25</v>
      </c>
      <c r="I105" s="34" t="n">
        <v>171.93</v>
      </c>
      <c r="J105" s="34" t="n">
        <v>74.2</v>
      </c>
      <c r="K105" s="34" t="n">
        <v>1194381</v>
      </c>
      <c r="L105" s="34" t="n">
        <v>1.76</v>
      </c>
      <c r="M105" s="34" t="n">
        <v>1011.73</v>
      </c>
      <c r="N105" s="34" t="n">
        <v>1050.61</v>
      </c>
      <c r="O105" s="34" t="n">
        <v>1070.55</v>
      </c>
      <c r="P105" s="34" t="n">
        <v>994.64</v>
      </c>
      <c r="Q105" s="34" t="n">
        <v>1033.24</v>
      </c>
      <c r="R105" s="34" t="n">
        <v>1069.6</v>
      </c>
      <c r="S105" s="34" t="n">
        <v>13.35</v>
      </c>
      <c r="T105" s="34" t="n">
        <v>0.033</v>
      </c>
      <c r="U105" s="34" t="n">
        <v>1275</v>
      </c>
      <c r="V105" s="34" t="n">
        <v>736.6</v>
      </c>
    </row>
    <row r="106" customFormat="false" ht="15" hidden="false" customHeight="true" outlineLevel="0" collapsed="false">
      <c r="A106" s="34" t="s">
        <v>332</v>
      </c>
      <c r="B106" s="34" t="n">
        <v>1072.1</v>
      </c>
      <c r="C106" s="34" t="n">
        <v>1089.5</v>
      </c>
      <c r="D106" s="34" t="n">
        <v>1065</v>
      </c>
      <c r="E106" s="34" t="n">
        <v>-0.177</v>
      </c>
      <c r="F106" s="34" t="n">
        <v>36.8</v>
      </c>
      <c r="G106" s="34" t="n">
        <v>1098</v>
      </c>
      <c r="H106" s="34" t="n">
        <v>746.7</v>
      </c>
      <c r="I106" s="34" t="n">
        <v>90.12</v>
      </c>
      <c r="J106" s="34" t="n">
        <v>60.44</v>
      </c>
      <c r="K106" s="34" t="n">
        <v>742760</v>
      </c>
      <c r="L106" s="34" t="n">
        <v>0.945</v>
      </c>
      <c r="M106" s="34" t="n">
        <v>1002.9</v>
      </c>
      <c r="N106" s="34" t="n">
        <v>1044.1</v>
      </c>
      <c r="O106" s="34" t="n">
        <v>1074</v>
      </c>
      <c r="P106" s="34" t="n">
        <v>1002.9</v>
      </c>
      <c r="Q106" s="34" t="n">
        <v>1044.1</v>
      </c>
      <c r="R106" s="34" t="n">
        <v>1074</v>
      </c>
      <c r="S106" s="34" t="n">
        <v>10.82</v>
      </c>
      <c r="T106" s="34" t="n">
        <v>0.041</v>
      </c>
      <c r="U106" s="34" t="n">
        <v>1202.2</v>
      </c>
      <c r="V106" s="34" t="n">
        <v>616.6</v>
      </c>
    </row>
    <row r="107" customFormat="false" ht="15" hidden="false" customHeight="true" outlineLevel="0" collapsed="false">
      <c r="A107" s="34" t="s">
        <v>45</v>
      </c>
      <c r="B107" s="34" t="n">
        <v>1021.8</v>
      </c>
      <c r="C107" s="34" t="n">
        <v>1044.6</v>
      </c>
      <c r="D107" s="34" t="n">
        <v>1020.3</v>
      </c>
      <c r="E107" s="34" t="n">
        <v>-1.59</v>
      </c>
      <c r="F107" s="34" t="n">
        <v>31.48</v>
      </c>
      <c r="G107" s="34" t="n">
        <v>1074.9</v>
      </c>
      <c r="H107" s="34" t="n">
        <v>905.2</v>
      </c>
      <c r="I107" s="34" t="n">
        <v>50.66</v>
      </c>
      <c r="J107" s="34" t="n">
        <v>58.82</v>
      </c>
      <c r="K107" s="34" t="n">
        <v>1048380</v>
      </c>
      <c r="L107" s="34" t="n">
        <v>0.198</v>
      </c>
      <c r="M107" s="34" t="n">
        <v>969.92</v>
      </c>
      <c r="N107" s="34" t="n">
        <v>1001.18</v>
      </c>
      <c r="O107" s="34" t="n">
        <v>1038.3</v>
      </c>
      <c r="P107" s="34" t="n">
        <v>951.22</v>
      </c>
      <c r="Q107" s="34" t="n">
        <v>983.26</v>
      </c>
      <c r="R107" s="34" t="n">
        <v>1043.4</v>
      </c>
      <c r="S107" s="34" t="n">
        <v>4.94</v>
      </c>
      <c r="T107" s="34" t="n">
        <v>0.02</v>
      </c>
      <c r="U107" s="34" t="n">
        <v>1074.9</v>
      </c>
      <c r="V107" s="34" t="n">
        <v>823.8</v>
      </c>
    </row>
    <row r="108" customFormat="false" ht="15" hidden="false" customHeight="true" outlineLevel="0" collapsed="false">
      <c r="A108" s="34" t="s">
        <v>62</v>
      </c>
      <c r="B108" s="34" t="n">
        <v>1004.15</v>
      </c>
      <c r="C108" s="34" t="n">
        <v>1013.5</v>
      </c>
      <c r="D108" s="34" t="n">
        <v>996</v>
      </c>
      <c r="E108" s="34" t="n">
        <v>0.14</v>
      </c>
      <c r="F108" s="34" t="n">
        <v>24.45</v>
      </c>
      <c r="G108" s="34" t="n">
        <v>1013.5</v>
      </c>
      <c r="H108" s="34" t="n">
        <v>788.2</v>
      </c>
      <c r="I108" s="34" t="n">
        <v>150.12</v>
      </c>
      <c r="J108" s="34" t="n">
        <v>78.94</v>
      </c>
      <c r="K108" s="34" t="n">
        <v>350822</v>
      </c>
      <c r="L108" s="34" t="n">
        <v>0.606</v>
      </c>
      <c r="M108" s="34" t="n">
        <v>955.15</v>
      </c>
      <c r="N108" s="34" t="n">
        <v>979.95</v>
      </c>
      <c r="O108" s="34" t="n">
        <v>1002.75</v>
      </c>
      <c r="P108" s="34" t="n">
        <v>946.1</v>
      </c>
      <c r="Q108" s="34" t="n">
        <v>971.71</v>
      </c>
      <c r="R108" s="34" t="n">
        <v>1003</v>
      </c>
      <c r="S108" s="34" t="n">
        <v>5.27</v>
      </c>
      <c r="T108" s="34" t="n">
        <v>0.032</v>
      </c>
      <c r="U108" s="34" t="n">
        <v>1060</v>
      </c>
      <c r="V108" s="34" t="n">
        <v>700</v>
      </c>
    </row>
    <row r="109" customFormat="false" ht="15" hidden="false" customHeight="true" outlineLevel="0" collapsed="false">
      <c r="A109" s="34" t="s">
        <v>242</v>
      </c>
      <c r="B109" s="34" t="n">
        <v>1020.1</v>
      </c>
      <c r="C109" s="34" t="n">
        <v>1025</v>
      </c>
      <c r="D109" s="34" t="n">
        <v>965.2</v>
      </c>
      <c r="E109" s="34" t="n">
        <v>5.39</v>
      </c>
      <c r="F109" s="34" t="n">
        <v>42.29</v>
      </c>
      <c r="G109" s="34" t="n">
        <v>1025</v>
      </c>
      <c r="H109" s="34" t="n">
        <v>758</v>
      </c>
      <c r="I109" s="34" t="n">
        <v>191.24</v>
      </c>
      <c r="J109" s="34" t="n">
        <v>73.72</v>
      </c>
      <c r="K109" s="34" t="n">
        <v>7644511</v>
      </c>
      <c r="L109" s="34" t="n">
        <v>1.54</v>
      </c>
      <c r="M109" s="34" t="n">
        <v>910.57</v>
      </c>
      <c r="N109" s="34" t="n">
        <v>952.83</v>
      </c>
      <c r="O109" s="34" t="n">
        <v>967.9</v>
      </c>
      <c r="P109" s="34" t="n">
        <v>882.47</v>
      </c>
      <c r="Q109" s="34" t="n">
        <v>923.76</v>
      </c>
      <c r="R109" s="34" t="n">
        <v>971.45</v>
      </c>
      <c r="S109" s="34" t="n">
        <v>53.08</v>
      </c>
      <c r="T109" s="34" t="n">
        <v>0.028</v>
      </c>
      <c r="U109" s="34" t="n">
        <v>2174.1</v>
      </c>
      <c r="V109" s="34" t="n">
        <v>758</v>
      </c>
    </row>
    <row r="110" customFormat="false" ht="15" hidden="false" customHeight="true" outlineLevel="0" collapsed="false">
      <c r="A110" s="34" t="s">
        <v>263</v>
      </c>
      <c r="B110" s="34" t="n">
        <v>981.6</v>
      </c>
      <c r="C110" s="34" t="n">
        <v>985.8</v>
      </c>
      <c r="D110" s="34" t="n">
        <v>964.35</v>
      </c>
      <c r="E110" s="34" t="n">
        <v>1.37</v>
      </c>
      <c r="F110" s="34" t="n">
        <v>32.43</v>
      </c>
      <c r="G110" s="34" t="n">
        <v>985.8</v>
      </c>
      <c r="H110" s="34" t="n">
        <v>770</v>
      </c>
      <c r="I110" s="34" t="n">
        <v>244.4</v>
      </c>
      <c r="J110" s="34" t="n">
        <v>78.98</v>
      </c>
      <c r="K110" s="34" t="n">
        <v>2805420</v>
      </c>
      <c r="L110" s="34" t="n">
        <v>1.1</v>
      </c>
      <c r="M110" s="34" t="n">
        <v>910.34</v>
      </c>
      <c r="N110" s="34" t="n">
        <v>942.71</v>
      </c>
      <c r="O110" s="34" t="n">
        <v>968.3</v>
      </c>
      <c r="P110" s="34" t="n">
        <v>885.99</v>
      </c>
      <c r="Q110" s="34" t="n">
        <v>919.57</v>
      </c>
      <c r="R110" s="34" t="n">
        <v>966.4</v>
      </c>
      <c r="S110" s="34" t="n">
        <v>10.52</v>
      </c>
      <c r="T110" s="34" t="n">
        <v>0.03</v>
      </c>
      <c r="U110" s="34" t="n">
        <v>1097</v>
      </c>
      <c r="V110" s="34" t="n">
        <v>723.35</v>
      </c>
    </row>
    <row r="111" customFormat="false" ht="15" hidden="false" customHeight="true" outlineLevel="0" collapsed="false">
      <c r="A111" s="34" t="s">
        <v>163</v>
      </c>
      <c r="B111" s="34" t="n">
        <v>912</v>
      </c>
      <c r="C111" s="34" t="n">
        <v>919.8</v>
      </c>
      <c r="D111" s="34" t="n">
        <v>908.9</v>
      </c>
      <c r="E111" s="34" t="n">
        <v>0.071</v>
      </c>
      <c r="F111" s="34" t="n">
        <v>24.55</v>
      </c>
      <c r="G111" s="34" t="n">
        <v>930.65</v>
      </c>
      <c r="H111" s="34" t="n">
        <v>763.5</v>
      </c>
      <c r="I111" s="34" t="n">
        <v>96.55</v>
      </c>
      <c r="J111" s="34" t="n">
        <v>59.88</v>
      </c>
      <c r="K111" s="34" t="n">
        <v>769945</v>
      </c>
      <c r="L111" s="34" t="n">
        <v>0.975</v>
      </c>
      <c r="M111" s="34" t="n">
        <v>917.95</v>
      </c>
      <c r="N111" s="34" t="n">
        <v>889.08</v>
      </c>
      <c r="O111" s="34" t="n">
        <v>911.35</v>
      </c>
      <c r="P111" s="34" t="n">
        <v>917.95</v>
      </c>
      <c r="Q111" s="34" t="n">
        <v>878.33</v>
      </c>
      <c r="R111" s="34" t="n">
        <v>910</v>
      </c>
      <c r="S111" s="34" t="n">
        <v>2</v>
      </c>
      <c r="T111" s="34" t="n">
        <v>0.033</v>
      </c>
      <c r="U111" s="34" t="n">
        <v>930.65</v>
      </c>
      <c r="V111" s="34" t="n">
        <v>647.95</v>
      </c>
    </row>
    <row r="112" customFormat="false" ht="15" hidden="false" customHeight="true" outlineLevel="0" collapsed="false">
      <c r="A112" s="34" t="s">
        <v>238</v>
      </c>
      <c r="B112" s="34" t="n">
        <v>915.05</v>
      </c>
      <c r="C112" s="34" t="n">
        <v>934.75</v>
      </c>
      <c r="D112" s="34" t="n">
        <v>908.05</v>
      </c>
      <c r="E112" s="34" t="n">
        <v>0.467</v>
      </c>
      <c r="F112" s="34" t="n">
        <v>36.82</v>
      </c>
      <c r="G112" s="34" t="n">
        <v>981</v>
      </c>
      <c r="H112" s="34" t="n">
        <v>639.45</v>
      </c>
      <c r="I112" s="34" t="n">
        <v>30.61</v>
      </c>
      <c r="J112" s="34" t="n">
        <v>57.78</v>
      </c>
      <c r="K112" s="34" t="n">
        <v>2288113</v>
      </c>
      <c r="L112" s="34" t="n">
        <v>1.3</v>
      </c>
      <c r="M112" s="34" t="n">
        <v>846.36</v>
      </c>
      <c r="N112" s="34" t="n">
        <v>883.88</v>
      </c>
      <c r="O112" s="34" t="n">
        <v>910.8</v>
      </c>
      <c r="P112" s="34" t="n">
        <v>821.36</v>
      </c>
      <c r="Q112" s="34" t="n">
        <v>860.08</v>
      </c>
      <c r="R112" s="34" t="n">
        <v>912.1</v>
      </c>
      <c r="S112" s="34" t="n">
        <v>32.12</v>
      </c>
      <c r="T112" s="34" t="n">
        <v>0.042</v>
      </c>
      <c r="U112" s="34" t="n">
        <v>1348</v>
      </c>
      <c r="V112" s="34" t="n">
        <v>588</v>
      </c>
    </row>
    <row r="113" customFormat="false" ht="15" hidden="false" customHeight="true" outlineLevel="0" collapsed="false">
      <c r="A113" s="34" t="s">
        <v>109</v>
      </c>
      <c r="B113" s="34" t="n">
        <v>902.7</v>
      </c>
      <c r="C113" s="34" t="n">
        <v>907.55</v>
      </c>
      <c r="D113" s="34" t="n">
        <v>898.5</v>
      </c>
      <c r="E113" s="34" t="n">
        <v>-0.221</v>
      </c>
      <c r="F113" s="34" t="n">
        <v>19.44</v>
      </c>
      <c r="G113" s="34" t="n">
        <v>949.65</v>
      </c>
      <c r="H113" s="34" t="n">
        <v>795</v>
      </c>
      <c r="I113" s="34" t="n">
        <v>118.22</v>
      </c>
      <c r="J113" s="34" t="n">
        <v>64.31</v>
      </c>
      <c r="K113" s="34" t="n">
        <v>720221</v>
      </c>
      <c r="L113" s="34" t="n">
        <v>1.46</v>
      </c>
      <c r="M113" s="34" t="n">
        <v>860.95</v>
      </c>
      <c r="N113" s="34" t="n">
        <v>881.99</v>
      </c>
      <c r="O113" s="34" t="n">
        <v>904.7</v>
      </c>
      <c r="P113" s="34" t="n">
        <v>857.32</v>
      </c>
      <c r="Q113" s="34" t="n">
        <v>879.68</v>
      </c>
      <c r="R113" s="34" t="n">
        <v>902</v>
      </c>
      <c r="S113" s="34" t="n">
        <v>31.84</v>
      </c>
      <c r="T113" s="34" t="n">
        <v>0.014</v>
      </c>
      <c r="U113" s="34" t="n">
        <v>1324.3</v>
      </c>
      <c r="V113" s="34" t="n">
        <v>795</v>
      </c>
    </row>
    <row r="114" customFormat="false" ht="15" hidden="false" customHeight="true" outlineLevel="0" collapsed="false">
      <c r="A114" s="34" t="s">
        <v>169</v>
      </c>
      <c r="B114" s="34" t="n">
        <v>859.5</v>
      </c>
      <c r="C114" s="34" t="n">
        <v>860.95</v>
      </c>
      <c r="D114" s="34" t="n">
        <v>850.25</v>
      </c>
      <c r="E114" s="34" t="n">
        <v>0.833</v>
      </c>
      <c r="F114" s="34" t="n">
        <v>21.22</v>
      </c>
      <c r="G114" s="34" t="n">
        <v>875.4</v>
      </c>
      <c r="H114" s="34" t="n">
        <v>756</v>
      </c>
      <c r="I114" s="34" t="n">
        <v>93.59</v>
      </c>
      <c r="J114" s="34" t="n">
        <v>62.72</v>
      </c>
      <c r="K114" s="34" t="n">
        <v>549614</v>
      </c>
      <c r="L114" s="34" t="n">
        <v>0.746</v>
      </c>
      <c r="M114" s="34" t="n">
        <v>812.08</v>
      </c>
      <c r="N114" s="34" t="n">
        <v>833.84</v>
      </c>
      <c r="O114" s="34" t="n">
        <v>852.4</v>
      </c>
      <c r="P114" s="34" t="n">
        <v>854.67</v>
      </c>
      <c r="Q114" s="34" t="n">
        <v>823.31</v>
      </c>
      <c r="R114" s="34" t="n">
        <v>854.4</v>
      </c>
      <c r="S114" s="34" t="n">
        <v>31.09</v>
      </c>
      <c r="T114" s="34" t="n">
        <v>0.015</v>
      </c>
      <c r="U114" s="34" t="n">
        <v>1349</v>
      </c>
      <c r="V114" s="34" t="n">
        <v>756</v>
      </c>
    </row>
    <row r="115" customFormat="false" ht="15" hidden="false" customHeight="true" outlineLevel="0" collapsed="false">
      <c r="A115" s="34" t="s">
        <v>215</v>
      </c>
      <c r="B115" s="34" t="n">
        <v>852.35</v>
      </c>
      <c r="C115" s="34" t="n">
        <v>862.9</v>
      </c>
      <c r="D115" s="34" t="n">
        <v>847.7</v>
      </c>
      <c r="E115" s="34" t="n">
        <v>-0.566</v>
      </c>
      <c r="F115" s="34" t="n">
        <v>34.41</v>
      </c>
      <c r="G115" s="34" t="n">
        <v>912.75</v>
      </c>
      <c r="H115" s="34" t="n">
        <v>651.5</v>
      </c>
      <c r="I115" s="34" t="n">
        <v>-33.66</v>
      </c>
      <c r="J115" s="34" t="n">
        <v>49.78</v>
      </c>
      <c r="K115" s="34" t="n">
        <v>2916695</v>
      </c>
      <c r="L115" s="34" t="n">
        <v>0.481</v>
      </c>
      <c r="M115" s="34" t="n">
        <v>912.94</v>
      </c>
      <c r="N115" s="34" t="n">
        <v>873.67</v>
      </c>
      <c r="O115" s="34" t="n">
        <v>857.2</v>
      </c>
      <c r="P115" s="34" t="n">
        <v>912.94</v>
      </c>
      <c r="Q115" s="34" t="n">
        <v>873.67</v>
      </c>
      <c r="R115" s="34" t="n">
        <v>858.3</v>
      </c>
      <c r="S115" s="34" t="n">
        <v>19.81</v>
      </c>
      <c r="T115" s="34" t="n">
        <v>0.073</v>
      </c>
      <c r="U115" s="34" t="n">
        <v>1062.95</v>
      </c>
      <c r="V115" s="34" t="n">
        <v>339.05</v>
      </c>
    </row>
    <row r="116" customFormat="false" ht="15" hidden="false" customHeight="true" outlineLevel="0" collapsed="false">
      <c r="A116" s="34" t="s">
        <v>207</v>
      </c>
      <c r="B116" s="34" t="n">
        <v>857</v>
      </c>
      <c r="C116" s="34" t="n">
        <v>861.8</v>
      </c>
      <c r="D116" s="34" t="n">
        <v>839.05</v>
      </c>
      <c r="E116" s="34" t="n">
        <v>1.99</v>
      </c>
      <c r="F116" s="34" t="n">
        <v>22.69</v>
      </c>
      <c r="G116" s="34" t="n">
        <v>861.8</v>
      </c>
      <c r="H116" s="34" t="n">
        <v>715.3</v>
      </c>
      <c r="I116" s="34" t="n">
        <v>203.17</v>
      </c>
      <c r="J116" s="34" t="n">
        <v>76.29</v>
      </c>
      <c r="K116" s="34" t="n">
        <v>1998200</v>
      </c>
      <c r="L116" s="34" t="n">
        <v>1.61</v>
      </c>
      <c r="M116" s="34" t="n">
        <v>805.48</v>
      </c>
      <c r="N116" s="34" t="n">
        <v>827.95</v>
      </c>
      <c r="O116" s="34" t="n">
        <v>840.3</v>
      </c>
      <c r="P116" s="34" t="n">
        <v>786.2</v>
      </c>
      <c r="Q116" s="34" t="n">
        <v>808.64</v>
      </c>
      <c r="R116" s="34" t="n">
        <v>843</v>
      </c>
      <c r="S116" s="34" t="n">
        <v>29.87</v>
      </c>
      <c r="T116" s="34" t="n">
        <v>0.021</v>
      </c>
      <c r="U116" s="34" t="n">
        <v>1222</v>
      </c>
      <c r="V116" s="34" t="n">
        <v>715.3</v>
      </c>
    </row>
    <row r="117" customFormat="false" ht="15" hidden="false" customHeight="true" outlineLevel="0" collapsed="false">
      <c r="A117" s="34" t="s">
        <v>530</v>
      </c>
      <c r="B117" s="34" t="n">
        <v>912.85</v>
      </c>
      <c r="C117" s="34" t="n">
        <v>924.4</v>
      </c>
      <c r="D117" s="34" t="n">
        <v>811.1</v>
      </c>
      <c r="E117" s="34" t="n">
        <v>12.83</v>
      </c>
      <c r="F117" s="34" t="n">
        <v>45.63</v>
      </c>
      <c r="G117" s="34" t="n">
        <v>924.4</v>
      </c>
      <c r="H117" s="34" t="n">
        <v>654.55</v>
      </c>
      <c r="I117" s="34" t="n">
        <v>198.7</v>
      </c>
      <c r="J117" s="34" t="n">
        <v>86.03</v>
      </c>
      <c r="K117" s="34" t="n">
        <v>22502300</v>
      </c>
      <c r="L117" s="34" t="n">
        <v>7.52</v>
      </c>
      <c r="M117" s="34" t="n">
        <v>782.49</v>
      </c>
      <c r="N117" s="34" t="n">
        <v>825.12</v>
      </c>
      <c r="O117" s="34" t="n">
        <v>809.05</v>
      </c>
      <c r="P117" s="34" t="n">
        <v>742.13</v>
      </c>
      <c r="Q117" s="34" t="n">
        <v>776.68</v>
      </c>
      <c r="R117" s="34" t="n">
        <v>812</v>
      </c>
      <c r="S117" s="34" t="n">
        <v>51.88</v>
      </c>
      <c r="T117" s="34" t="n">
        <v>0.04</v>
      </c>
      <c r="U117" s="34" t="n">
        <v>1896.95</v>
      </c>
      <c r="V117" s="34" t="n">
        <v>654.55</v>
      </c>
    </row>
    <row r="118" customFormat="false" ht="15" hidden="false" customHeight="true" outlineLevel="0" collapsed="false">
      <c r="A118" s="34" t="s">
        <v>159</v>
      </c>
      <c r="B118" s="34" t="n">
        <v>792.1</v>
      </c>
      <c r="C118" s="34" t="n">
        <v>804</v>
      </c>
      <c r="D118" s="34" t="n">
        <v>791</v>
      </c>
      <c r="E118" s="34" t="n">
        <v>-1.94</v>
      </c>
      <c r="F118" s="34" t="n">
        <v>18.68</v>
      </c>
      <c r="G118" s="34" t="n">
        <v>835.5</v>
      </c>
      <c r="H118" s="34" t="n">
        <v>680</v>
      </c>
      <c r="I118" s="34" t="n">
        <v>-17.24</v>
      </c>
      <c r="J118" s="34" t="n">
        <v>48.67</v>
      </c>
      <c r="K118" s="34" t="n">
        <v>14733924</v>
      </c>
      <c r="L118" s="34" t="n">
        <v>0.864</v>
      </c>
      <c r="M118" s="34" t="n">
        <v>812.07</v>
      </c>
      <c r="N118" s="34" t="n">
        <v>782.57</v>
      </c>
      <c r="O118" s="34" t="n">
        <v>807.75</v>
      </c>
      <c r="P118" s="34" t="n">
        <v>812.07</v>
      </c>
      <c r="Q118" s="34" t="n">
        <v>782.57</v>
      </c>
      <c r="R118" s="34" t="n">
        <v>804</v>
      </c>
      <c r="S118" s="34" t="n">
        <v>13.15</v>
      </c>
      <c r="T118" s="34" t="n">
        <v>0.018</v>
      </c>
      <c r="U118" s="34" t="n">
        <v>912</v>
      </c>
      <c r="V118" s="34" t="n">
        <v>680</v>
      </c>
    </row>
    <row r="119" customFormat="false" ht="15" hidden="false" customHeight="true" outlineLevel="0" collapsed="false">
      <c r="A119" s="34" t="s">
        <v>157</v>
      </c>
      <c r="B119" s="34" t="n">
        <v>809.05</v>
      </c>
      <c r="C119" s="34" t="n">
        <v>815</v>
      </c>
      <c r="D119" s="34" t="n">
        <v>784</v>
      </c>
      <c r="E119" s="34" t="n">
        <v>2.97</v>
      </c>
      <c r="F119" s="34" t="n">
        <v>22.11</v>
      </c>
      <c r="G119" s="34" t="n">
        <v>815</v>
      </c>
      <c r="H119" s="34" t="n">
        <v>656</v>
      </c>
      <c r="I119" s="34" t="n">
        <v>191.46</v>
      </c>
      <c r="J119" s="34" t="n">
        <v>75.76</v>
      </c>
      <c r="K119" s="34" t="n">
        <v>3070129</v>
      </c>
      <c r="L119" s="34" t="n">
        <v>2.38</v>
      </c>
      <c r="M119" s="34" t="n">
        <v>755.92</v>
      </c>
      <c r="N119" s="34" t="n">
        <v>777.71</v>
      </c>
      <c r="O119" s="34" t="n">
        <v>785.7</v>
      </c>
      <c r="P119" s="34" t="n">
        <v>741.31</v>
      </c>
      <c r="Q119" s="34" t="n">
        <v>762.08</v>
      </c>
      <c r="R119" s="34" t="n">
        <v>785.7</v>
      </c>
      <c r="S119" s="34" t="n">
        <v>28.96</v>
      </c>
      <c r="T119" s="34" t="n">
        <v>0.026</v>
      </c>
      <c r="U119" s="34" t="n">
        <v>1138.9</v>
      </c>
      <c r="V119" s="34" t="n">
        <v>656</v>
      </c>
    </row>
    <row r="120" customFormat="false" ht="15" hidden="false" customHeight="true" outlineLevel="0" collapsed="false">
      <c r="A120" s="34" t="s">
        <v>150</v>
      </c>
      <c r="B120" s="34" t="n">
        <v>766.35</v>
      </c>
      <c r="C120" s="34" t="n">
        <v>770.8</v>
      </c>
      <c r="D120" s="34" t="n">
        <v>758.1</v>
      </c>
      <c r="E120" s="34" t="n">
        <v>0.262</v>
      </c>
      <c r="F120" s="34" t="n">
        <v>28.96</v>
      </c>
      <c r="G120" s="34" t="n">
        <v>858</v>
      </c>
      <c r="H120" s="34" t="n">
        <v>699</v>
      </c>
      <c r="I120" s="34" t="n">
        <v>-58.04</v>
      </c>
      <c r="J120" s="34" t="n">
        <v>47.41</v>
      </c>
      <c r="K120" s="34" t="n">
        <v>3423355</v>
      </c>
      <c r="L120" s="34" t="n">
        <v>0.887</v>
      </c>
      <c r="M120" s="34" t="n">
        <v>786.59</v>
      </c>
      <c r="N120" s="34" t="n">
        <v>736.14</v>
      </c>
      <c r="O120" s="34" t="n">
        <v>764.35</v>
      </c>
      <c r="P120" s="34" t="n">
        <v>786.59</v>
      </c>
      <c r="Q120" s="34" t="n">
        <v>736.14</v>
      </c>
      <c r="R120" s="34" t="n">
        <v>764.4</v>
      </c>
      <c r="S120" s="34" t="n">
        <v>14.36</v>
      </c>
      <c r="T120" s="34" t="n">
        <v>0.045</v>
      </c>
      <c r="U120" s="34" t="n">
        <v>894.9</v>
      </c>
      <c r="V120" s="34" t="n">
        <v>506.45</v>
      </c>
    </row>
    <row r="121" customFormat="false" ht="15" hidden="false" customHeight="true" outlineLevel="0" collapsed="false">
      <c r="A121" s="34" t="s">
        <v>47</v>
      </c>
      <c r="B121" s="34" t="n">
        <v>780.2</v>
      </c>
      <c r="C121" s="34" t="n">
        <v>785.5</v>
      </c>
      <c r="D121" s="34" t="n">
        <v>750</v>
      </c>
      <c r="E121" s="34" t="n">
        <v>-0.038</v>
      </c>
      <c r="F121" s="34" t="n">
        <v>30.68</v>
      </c>
      <c r="G121" s="34" t="n">
        <v>1040.65</v>
      </c>
      <c r="H121" s="34" t="n">
        <v>606</v>
      </c>
      <c r="I121" s="34" t="n">
        <v>-124.55</v>
      </c>
      <c r="J121" s="34" t="n">
        <v>36.21</v>
      </c>
      <c r="K121" s="34" t="n">
        <v>27168178</v>
      </c>
      <c r="L121" s="34" t="n">
        <v>3.7</v>
      </c>
      <c r="M121" s="34" t="n">
        <v>829.97</v>
      </c>
      <c r="N121" s="34" t="n">
        <v>798.86</v>
      </c>
      <c r="O121" s="34" t="n">
        <v>780.5</v>
      </c>
      <c r="P121" s="34" t="n">
        <v>831.49</v>
      </c>
      <c r="Q121" s="34" t="n">
        <v>800.87</v>
      </c>
      <c r="R121" s="34" t="n">
        <v>750</v>
      </c>
      <c r="S121" s="34" t="n">
        <v>49.66</v>
      </c>
      <c r="T121" s="34" t="n">
        <v>0.03</v>
      </c>
      <c r="U121" s="34" t="n">
        <v>1694.5</v>
      </c>
      <c r="V121" s="34" t="n">
        <v>606</v>
      </c>
    </row>
    <row r="122" customFormat="false" ht="15" hidden="false" customHeight="true" outlineLevel="0" collapsed="false">
      <c r="A122" s="34" t="s">
        <v>184</v>
      </c>
      <c r="B122" s="34" t="n">
        <v>750.55</v>
      </c>
      <c r="C122" s="34" t="n">
        <v>754</v>
      </c>
      <c r="D122" s="34" t="n">
        <v>747.05</v>
      </c>
      <c r="E122" s="34" t="n">
        <v>-0.086</v>
      </c>
      <c r="F122" s="34" t="n">
        <v>16.01</v>
      </c>
      <c r="G122" s="34" t="n">
        <v>754</v>
      </c>
      <c r="H122" s="34" t="n">
        <v>600.35</v>
      </c>
      <c r="I122" s="34" t="n">
        <v>147.3</v>
      </c>
      <c r="J122" s="34" t="n">
        <v>70.48</v>
      </c>
      <c r="K122" s="34" t="n">
        <v>1426234</v>
      </c>
      <c r="L122" s="34" t="n">
        <v>0.427</v>
      </c>
      <c r="M122" s="34" t="n">
        <v>717.55</v>
      </c>
      <c r="N122" s="34" t="n">
        <v>734.04</v>
      </c>
      <c r="O122" s="34" t="n">
        <v>751.2</v>
      </c>
      <c r="P122" s="34" t="n">
        <v>708.7</v>
      </c>
      <c r="Q122" s="34" t="n">
        <v>726.25</v>
      </c>
      <c r="R122" s="34" t="n">
        <v>750</v>
      </c>
      <c r="S122" s="34" t="n">
        <v>1.4</v>
      </c>
      <c r="T122" s="34" t="n">
        <v>0.044</v>
      </c>
      <c r="U122" s="34" t="n">
        <v>761.2</v>
      </c>
      <c r="V122" s="34" t="n">
        <v>511.4</v>
      </c>
    </row>
    <row r="123" customFormat="false" ht="15" hidden="false" customHeight="true" outlineLevel="0" collapsed="false">
      <c r="A123" s="34" t="s">
        <v>170</v>
      </c>
      <c r="B123" s="34" t="n">
        <v>730.7</v>
      </c>
      <c r="C123" s="34" t="n">
        <v>742</v>
      </c>
      <c r="D123" s="34" t="n">
        <v>725.55</v>
      </c>
      <c r="E123" s="34" t="n">
        <v>0.357</v>
      </c>
      <c r="F123" s="34" t="n">
        <v>25.09</v>
      </c>
      <c r="G123" s="34" t="n">
        <v>742</v>
      </c>
      <c r="H123" s="34" t="n">
        <v>535.75</v>
      </c>
      <c r="I123" s="34" t="n">
        <v>154.67</v>
      </c>
      <c r="J123" s="34" t="n">
        <v>72.14</v>
      </c>
      <c r="K123" s="34" t="n">
        <v>20631512</v>
      </c>
      <c r="L123" s="34" t="n">
        <v>0.721</v>
      </c>
      <c r="M123" s="34" t="n">
        <v>684.25</v>
      </c>
      <c r="N123" s="34" t="n">
        <v>709.01</v>
      </c>
      <c r="O123" s="34" t="n">
        <v>728.1</v>
      </c>
      <c r="P123" s="34" t="n">
        <v>670.84</v>
      </c>
      <c r="Q123" s="34" t="n">
        <v>696.22</v>
      </c>
      <c r="R123" s="34" t="n">
        <v>730</v>
      </c>
      <c r="S123" s="34" t="n">
        <v>38.02</v>
      </c>
      <c r="T123" s="34" t="n">
        <v>0.039</v>
      </c>
      <c r="U123" s="34" t="n">
        <v>1179</v>
      </c>
      <c r="V123" s="34" t="n">
        <v>535.75</v>
      </c>
    </row>
    <row r="124" customFormat="false" ht="15" hidden="false" customHeight="true" outlineLevel="0" collapsed="false">
      <c r="A124" s="34" t="s">
        <v>458</v>
      </c>
      <c r="B124" s="34" t="n">
        <v>750.9</v>
      </c>
      <c r="C124" s="34" t="n">
        <v>754.2</v>
      </c>
      <c r="D124" s="34" t="n">
        <v>721.5</v>
      </c>
      <c r="E124" s="34" t="n">
        <v>4.29</v>
      </c>
      <c r="F124" s="34" t="n">
        <v>23.19</v>
      </c>
      <c r="G124" s="34" t="n">
        <v>754.2</v>
      </c>
      <c r="H124" s="34" t="n">
        <v>597</v>
      </c>
      <c r="I124" s="34" t="n">
        <v>149.1</v>
      </c>
      <c r="J124" s="34" t="n">
        <v>80.2</v>
      </c>
      <c r="K124" s="34" t="n">
        <v>3928300</v>
      </c>
      <c r="L124" s="34" t="n">
        <v>1.5</v>
      </c>
      <c r="M124" s="34" t="n">
        <v>691.16</v>
      </c>
      <c r="N124" s="34" t="n">
        <v>714.5</v>
      </c>
      <c r="O124" s="34" t="n">
        <v>720</v>
      </c>
      <c r="P124" s="34" t="n">
        <v>671.75</v>
      </c>
      <c r="Q124" s="34" t="n">
        <v>693.89</v>
      </c>
      <c r="R124" s="34" t="n">
        <v>724</v>
      </c>
      <c r="S124" s="34" t="n">
        <v>33.9</v>
      </c>
      <c r="T124" s="34" t="n">
        <v>0.03</v>
      </c>
      <c r="V124" s="34" t="n">
        <v>597</v>
      </c>
    </row>
    <row r="125" customFormat="false" ht="15" hidden="false" customHeight="true" outlineLevel="0" collapsed="false">
      <c r="A125" s="34" t="s">
        <v>63</v>
      </c>
      <c r="B125" s="34" t="n">
        <v>724.4</v>
      </c>
      <c r="C125" s="34" t="n">
        <v>729.9</v>
      </c>
      <c r="D125" s="34" t="n">
        <v>716.1</v>
      </c>
      <c r="E125" s="34" t="n">
        <v>0.527</v>
      </c>
      <c r="F125" s="34" t="n">
        <v>16.77</v>
      </c>
      <c r="G125" s="34" t="n">
        <v>740.2</v>
      </c>
      <c r="H125" s="34" t="n">
        <v>577.85</v>
      </c>
      <c r="I125" s="34" t="n">
        <v>49.98</v>
      </c>
      <c r="J125" s="34" t="n">
        <v>54.22</v>
      </c>
      <c r="K125" s="34" t="n">
        <v>1909374</v>
      </c>
      <c r="L125" s="34" t="n">
        <v>0.443</v>
      </c>
      <c r="M125" s="34" t="n">
        <v>694.54</v>
      </c>
      <c r="N125" s="34" t="n">
        <v>713.75</v>
      </c>
      <c r="O125" s="34" t="n">
        <v>720.6</v>
      </c>
      <c r="P125" s="34" t="n">
        <v>694.54</v>
      </c>
      <c r="Q125" s="34" t="n">
        <v>713.75</v>
      </c>
      <c r="R125" s="34" t="n">
        <v>721</v>
      </c>
      <c r="S125" s="34" t="n">
        <v>2.13</v>
      </c>
      <c r="T125" s="34" t="n">
        <v>0.028</v>
      </c>
      <c r="U125" s="34" t="n">
        <v>740.2</v>
      </c>
      <c r="V125" s="34" t="n">
        <v>577.85</v>
      </c>
    </row>
    <row r="126" customFormat="false" ht="15" hidden="false" customHeight="true" outlineLevel="0" collapsed="false">
      <c r="A126" s="34" t="s">
        <v>60</v>
      </c>
      <c r="B126" s="34" t="n">
        <v>715.9</v>
      </c>
      <c r="C126" s="34" t="n">
        <v>723.2</v>
      </c>
      <c r="D126" s="34" t="n">
        <v>705.05</v>
      </c>
      <c r="E126" s="34" t="n">
        <v>0.966</v>
      </c>
      <c r="F126" s="34" t="n">
        <v>24.62</v>
      </c>
      <c r="G126" s="34" t="n">
        <v>723.2</v>
      </c>
      <c r="H126" s="34" t="n">
        <v>601.2</v>
      </c>
      <c r="I126" s="34" t="n">
        <v>199.64</v>
      </c>
      <c r="J126" s="34" t="n">
        <v>68.08</v>
      </c>
      <c r="K126" s="34" t="n">
        <v>4045149</v>
      </c>
      <c r="L126" s="34" t="n">
        <v>1.14</v>
      </c>
      <c r="M126" s="34" t="n">
        <v>665.11</v>
      </c>
      <c r="N126" s="34" t="n">
        <v>689.62</v>
      </c>
      <c r="O126" s="34" t="n">
        <v>709.05</v>
      </c>
      <c r="P126" s="34" t="n">
        <v>648.82</v>
      </c>
      <c r="Q126" s="34" t="n">
        <v>674.04</v>
      </c>
      <c r="R126" s="34" t="n">
        <v>711</v>
      </c>
      <c r="S126" s="34" t="n">
        <v>22.94</v>
      </c>
      <c r="T126" s="34" t="n">
        <v>0.025</v>
      </c>
      <c r="U126" s="34" t="n">
        <v>967.6</v>
      </c>
      <c r="V126" s="34" t="n">
        <v>601.2</v>
      </c>
    </row>
    <row r="127" customFormat="false" ht="15" hidden="false" customHeight="true" outlineLevel="0" collapsed="false">
      <c r="A127" s="34" t="s">
        <v>152</v>
      </c>
      <c r="B127" s="34" t="n">
        <v>730.5</v>
      </c>
      <c r="C127" s="34" t="n">
        <v>734</v>
      </c>
      <c r="D127" s="34" t="n">
        <v>689.55</v>
      </c>
      <c r="E127" s="34" t="n">
        <v>5.83</v>
      </c>
      <c r="F127" s="34" t="n">
        <v>22.92</v>
      </c>
      <c r="G127" s="34" t="n">
        <v>734</v>
      </c>
      <c r="H127" s="34" t="n">
        <v>601.25</v>
      </c>
      <c r="I127" s="34" t="n">
        <v>151.95</v>
      </c>
      <c r="J127" s="34" t="n">
        <v>73.34</v>
      </c>
      <c r="K127" s="34" t="n">
        <v>10905549</v>
      </c>
      <c r="L127" s="34" t="n">
        <v>4.38</v>
      </c>
      <c r="M127" s="34" t="n">
        <v>667.03</v>
      </c>
      <c r="N127" s="34" t="n">
        <v>689.4</v>
      </c>
      <c r="O127" s="34" t="n">
        <v>690.25</v>
      </c>
      <c r="P127" s="34" t="n">
        <v>691.95</v>
      </c>
      <c r="Q127" s="34" t="n">
        <v>674</v>
      </c>
      <c r="R127" s="34" t="n">
        <v>696.7</v>
      </c>
      <c r="S127" s="34" t="n">
        <v>38.09</v>
      </c>
      <c r="T127" s="34" t="n">
        <v>0.026</v>
      </c>
      <c r="U127" s="34" t="n">
        <v>1180</v>
      </c>
      <c r="V127" s="34" t="n">
        <v>601.25</v>
      </c>
    </row>
    <row r="128" customFormat="false" ht="15" hidden="false" customHeight="true" outlineLevel="0" collapsed="false">
      <c r="A128" s="34" t="s">
        <v>174</v>
      </c>
      <c r="B128" s="34" t="n">
        <v>684.85</v>
      </c>
      <c r="C128" s="34" t="n">
        <v>693.6</v>
      </c>
      <c r="D128" s="34" t="n">
        <v>683.05</v>
      </c>
      <c r="E128" s="34" t="n">
        <v>-0.761</v>
      </c>
      <c r="F128" s="34" t="n">
        <v>18.12</v>
      </c>
      <c r="G128" s="34" t="n">
        <v>713</v>
      </c>
      <c r="H128" s="34" t="n">
        <v>478.35</v>
      </c>
      <c r="I128" s="34" t="n">
        <v>43.8</v>
      </c>
      <c r="J128" s="34" t="n">
        <v>54.7</v>
      </c>
      <c r="K128" s="34" t="n">
        <v>723860</v>
      </c>
      <c r="L128" s="34" t="n">
        <v>0.498</v>
      </c>
      <c r="M128" s="34" t="n">
        <v>655.41</v>
      </c>
      <c r="N128" s="34" t="n">
        <v>678.2</v>
      </c>
      <c r="O128" s="34" t="n">
        <v>690.1</v>
      </c>
      <c r="P128" s="34" t="n">
        <v>655.41</v>
      </c>
      <c r="Q128" s="34" t="n">
        <v>678.2</v>
      </c>
      <c r="R128" s="34" t="n">
        <v>692.7</v>
      </c>
      <c r="S128" s="34" t="n">
        <v>9.34</v>
      </c>
      <c r="T128" s="34" t="n">
        <v>0.044</v>
      </c>
      <c r="U128" s="34" t="n">
        <v>813.4</v>
      </c>
      <c r="V128" s="34" t="n">
        <v>478.35</v>
      </c>
    </row>
    <row r="129" customFormat="false" ht="15" hidden="false" customHeight="true" outlineLevel="0" collapsed="false">
      <c r="A129" s="34" t="s">
        <v>224</v>
      </c>
      <c r="B129" s="34" t="n">
        <v>696.45</v>
      </c>
      <c r="C129" s="34" t="n">
        <v>703.7</v>
      </c>
      <c r="D129" s="34" t="n">
        <v>676</v>
      </c>
      <c r="E129" s="34" t="n">
        <v>2.69</v>
      </c>
      <c r="F129" s="34" t="n">
        <v>27.65</v>
      </c>
      <c r="G129" s="34" t="n">
        <v>703.7</v>
      </c>
      <c r="H129" s="34" t="n">
        <v>517.7</v>
      </c>
      <c r="I129" s="34" t="n">
        <v>200.01</v>
      </c>
      <c r="J129" s="34" t="n">
        <v>79.69</v>
      </c>
      <c r="K129" s="34" t="n">
        <v>3577737</v>
      </c>
      <c r="L129" s="34" t="n">
        <v>1.09</v>
      </c>
      <c r="M129" s="34" t="n">
        <v>634.83</v>
      </c>
      <c r="N129" s="34" t="n">
        <v>662.34</v>
      </c>
      <c r="O129" s="34" t="n">
        <v>678.2</v>
      </c>
      <c r="P129" s="34" t="n">
        <v>617.87</v>
      </c>
      <c r="Q129" s="34" t="n">
        <v>645.36</v>
      </c>
      <c r="R129" s="34" t="n">
        <v>684</v>
      </c>
      <c r="S129" s="34" t="n">
        <v>20.38</v>
      </c>
      <c r="T129" s="34" t="n">
        <v>0.041</v>
      </c>
      <c r="U129" s="34" t="n">
        <v>874.7</v>
      </c>
      <c r="V129" s="34" t="n">
        <v>517.7</v>
      </c>
    </row>
    <row r="130" customFormat="false" ht="15" hidden="false" customHeight="true" outlineLevel="0" collapsed="false">
      <c r="A130" s="34" t="s">
        <v>145</v>
      </c>
      <c r="B130" s="34" t="n">
        <v>674.3</v>
      </c>
      <c r="C130" s="34" t="n">
        <v>687.1</v>
      </c>
      <c r="D130" s="34" t="n">
        <v>670.45</v>
      </c>
      <c r="E130" s="34" t="n">
        <v>-1.38</v>
      </c>
      <c r="F130" s="34" t="n">
        <v>24.81</v>
      </c>
      <c r="G130" s="34" t="n">
        <v>727.95</v>
      </c>
      <c r="H130" s="34" t="n">
        <v>575.05</v>
      </c>
      <c r="I130" s="34" t="n">
        <v>-153.06</v>
      </c>
      <c r="J130" s="34" t="n">
        <v>37.58</v>
      </c>
      <c r="K130" s="34" t="n">
        <v>2571220</v>
      </c>
      <c r="L130" s="34" t="n">
        <v>0.334</v>
      </c>
      <c r="M130" s="34" t="n">
        <v>709.86</v>
      </c>
      <c r="N130" s="34" t="n">
        <v>703.08</v>
      </c>
      <c r="O130" s="34" t="n">
        <v>683.75</v>
      </c>
      <c r="P130" s="34" t="n">
        <v>709.86</v>
      </c>
      <c r="Q130" s="34" t="n">
        <v>676.58</v>
      </c>
      <c r="R130" s="34" t="n">
        <v>684.3</v>
      </c>
      <c r="S130" s="34" t="n">
        <v>15.37</v>
      </c>
      <c r="T130" s="34" t="n">
        <v>0.047</v>
      </c>
      <c r="U130" s="34" t="n">
        <v>796.75</v>
      </c>
      <c r="V130" s="34" t="n">
        <v>463.1</v>
      </c>
    </row>
    <row r="131" customFormat="false" ht="15" hidden="false" customHeight="true" outlineLevel="0" collapsed="false">
      <c r="A131" s="34" t="s">
        <v>210</v>
      </c>
      <c r="B131" s="34" t="n">
        <v>681.6</v>
      </c>
      <c r="C131" s="34" t="n">
        <v>689.5</v>
      </c>
      <c r="D131" s="34" t="n">
        <v>661.5</v>
      </c>
      <c r="E131" s="34" t="n">
        <v>3.21</v>
      </c>
      <c r="F131" s="34" t="n">
        <v>25.98</v>
      </c>
      <c r="G131" s="34" t="n">
        <v>689.5</v>
      </c>
      <c r="H131" s="34" t="n">
        <v>532.6</v>
      </c>
      <c r="I131" s="34" t="n">
        <v>196.87</v>
      </c>
      <c r="J131" s="34" t="n">
        <v>72.69</v>
      </c>
      <c r="K131" s="34" t="n">
        <v>2828190</v>
      </c>
      <c r="L131" s="34" t="n">
        <v>3.4</v>
      </c>
      <c r="M131" s="34" t="n">
        <v>623.82</v>
      </c>
      <c r="N131" s="34" t="n">
        <v>649.66</v>
      </c>
      <c r="O131" s="34" t="n">
        <v>660.4</v>
      </c>
      <c r="P131" s="34" t="n">
        <v>605.02</v>
      </c>
      <c r="Q131" s="34" t="n">
        <v>630.5</v>
      </c>
      <c r="R131" s="34" t="n">
        <v>661.5</v>
      </c>
      <c r="S131" s="34" t="n">
        <v>42.72</v>
      </c>
      <c r="T131" s="34" t="n">
        <v>0.035</v>
      </c>
      <c r="U131" s="34" t="n">
        <v>1259.4</v>
      </c>
      <c r="V131" s="34" t="n">
        <v>532.6</v>
      </c>
    </row>
    <row r="132" customFormat="false" ht="15" hidden="false" customHeight="true" outlineLevel="0" collapsed="false">
      <c r="A132" s="34" t="s">
        <v>70</v>
      </c>
      <c r="B132" s="34" t="n">
        <v>665.5</v>
      </c>
      <c r="C132" s="34" t="n">
        <v>674.8</v>
      </c>
      <c r="D132" s="34" t="n">
        <v>660.05</v>
      </c>
      <c r="E132" s="34" t="n">
        <v>-1.38</v>
      </c>
      <c r="F132" s="34" t="n">
        <v>25.6</v>
      </c>
      <c r="G132" s="34" t="n">
        <v>717.5</v>
      </c>
      <c r="H132" s="34" t="n">
        <v>589.25</v>
      </c>
      <c r="I132" s="34" t="n">
        <v>40.14</v>
      </c>
      <c r="J132" s="34" t="n">
        <v>59.83</v>
      </c>
      <c r="K132" s="34" t="n">
        <v>5415727</v>
      </c>
      <c r="L132" s="34" t="n">
        <v>0.552</v>
      </c>
      <c r="M132" s="34" t="n">
        <v>615.65</v>
      </c>
      <c r="N132" s="34" t="n">
        <v>641.54</v>
      </c>
      <c r="O132" s="34" t="n">
        <v>674.8</v>
      </c>
      <c r="P132" s="34" t="n">
        <v>607.8</v>
      </c>
      <c r="Q132" s="34" t="n">
        <v>634.92</v>
      </c>
      <c r="R132" s="34" t="n">
        <v>674</v>
      </c>
      <c r="S132" s="34" t="n">
        <v>8.89</v>
      </c>
      <c r="T132" s="34" t="n">
        <v>0.056</v>
      </c>
      <c r="U132" s="34" t="n">
        <v>730.45</v>
      </c>
      <c r="V132" s="34" t="n">
        <v>438.6</v>
      </c>
    </row>
    <row r="133" customFormat="false" ht="15" hidden="false" customHeight="true" outlineLevel="0" collapsed="false">
      <c r="A133" s="34" t="s">
        <v>72</v>
      </c>
      <c r="B133" s="34" t="n">
        <v>657.55</v>
      </c>
      <c r="C133" s="34" t="n">
        <v>662.95</v>
      </c>
      <c r="D133" s="34" t="n">
        <v>654.35</v>
      </c>
      <c r="E133" s="34" t="n">
        <v>-0.575</v>
      </c>
      <c r="F133" s="34" t="n">
        <v>17.7</v>
      </c>
      <c r="G133" s="34" t="n">
        <v>715</v>
      </c>
      <c r="H133" s="34" t="n">
        <v>546.45</v>
      </c>
      <c r="I133" s="34" t="n">
        <v>180.03</v>
      </c>
      <c r="J133" s="34" t="n">
        <v>63.49</v>
      </c>
      <c r="K133" s="34" t="n">
        <v>2701320</v>
      </c>
      <c r="L133" s="34" t="n">
        <v>0.379</v>
      </c>
      <c r="M133" s="34" t="n">
        <v>622.62</v>
      </c>
      <c r="N133" s="34" t="n">
        <v>640.64</v>
      </c>
      <c r="O133" s="34" t="n">
        <v>661.35</v>
      </c>
      <c r="P133" s="34" t="n">
        <v>616.86</v>
      </c>
      <c r="Q133" s="34" t="n">
        <v>635.92</v>
      </c>
      <c r="R133" s="34" t="n">
        <v>659.5</v>
      </c>
      <c r="S133" s="34" t="n">
        <v>14.9</v>
      </c>
      <c r="T133" s="34" t="n">
        <v>0.027</v>
      </c>
      <c r="U133" s="34" t="n">
        <v>772.65</v>
      </c>
      <c r="V133" s="34" t="n">
        <v>546.45</v>
      </c>
    </row>
    <row r="134" customFormat="false" ht="15" hidden="false" customHeight="true" outlineLevel="0" collapsed="false">
      <c r="A134" s="34" t="s">
        <v>239</v>
      </c>
      <c r="B134" s="34" t="n">
        <v>663.1</v>
      </c>
      <c r="C134" s="34" t="n">
        <v>665.5</v>
      </c>
      <c r="D134" s="34" t="n">
        <v>649.35</v>
      </c>
      <c r="E134" s="34" t="n">
        <v>2.15</v>
      </c>
      <c r="F134" s="34" t="n">
        <v>22.43</v>
      </c>
      <c r="G134" s="34" t="n">
        <v>665.5</v>
      </c>
      <c r="H134" s="34" t="n">
        <v>496.6</v>
      </c>
      <c r="I134" s="34" t="n">
        <v>196.75</v>
      </c>
      <c r="J134" s="34" t="n">
        <v>82.21</v>
      </c>
      <c r="K134" s="34" t="n">
        <v>558685</v>
      </c>
      <c r="L134" s="34" t="n">
        <v>0.613</v>
      </c>
      <c r="M134" s="34" t="n">
        <v>612.84</v>
      </c>
      <c r="N134" s="34" t="n">
        <v>635.13</v>
      </c>
      <c r="O134" s="34" t="n">
        <v>649.15</v>
      </c>
      <c r="P134" s="34" t="n">
        <v>608.32</v>
      </c>
      <c r="Q134" s="34" t="n">
        <v>631.27</v>
      </c>
      <c r="R134" s="34" t="n">
        <v>655</v>
      </c>
      <c r="S134" s="34" t="n">
        <v>21.8</v>
      </c>
      <c r="T134" s="34" t="n">
        <v>0.042</v>
      </c>
      <c r="U134" s="34" t="n">
        <v>848</v>
      </c>
      <c r="V134" s="34" t="n">
        <v>496.6</v>
      </c>
    </row>
    <row r="135" customFormat="false" ht="15" hidden="false" customHeight="true" outlineLevel="0" collapsed="false">
      <c r="A135" s="34" t="s">
        <v>181</v>
      </c>
      <c r="B135" s="34" t="n">
        <v>644.2</v>
      </c>
      <c r="C135" s="34" t="n">
        <v>648.5</v>
      </c>
      <c r="D135" s="34" t="n">
        <v>638.75</v>
      </c>
      <c r="E135" s="34" t="n">
        <v>-0.07</v>
      </c>
      <c r="F135" s="34" t="n">
        <v>22.03</v>
      </c>
      <c r="G135" s="34" t="n">
        <v>699.45</v>
      </c>
      <c r="H135" s="34" t="n">
        <v>588.85</v>
      </c>
      <c r="I135" s="34" t="n">
        <v>-141.89</v>
      </c>
      <c r="J135" s="34" t="n">
        <v>39.02</v>
      </c>
      <c r="K135" s="34" t="n">
        <v>1281093</v>
      </c>
      <c r="L135" s="34" t="n">
        <v>0.548</v>
      </c>
      <c r="M135" s="34" t="n">
        <v>687.74</v>
      </c>
      <c r="N135" s="34" t="n">
        <v>664.77</v>
      </c>
      <c r="O135" s="34" t="n">
        <v>644.65</v>
      </c>
      <c r="P135" s="34" t="n">
        <v>688.57</v>
      </c>
      <c r="Q135" s="34" t="n">
        <v>664.77</v>
      </c>
      <c r="R135" s="34" t="n">
        <v>646</v>
      </c>
      <c r="S135" s="34" t="n">
        <v>7.9</v>
      </c>
      <c r="T135" s="34" t="n">
        <v>0.041</v>
      </c>
      <c r="U135" s="34" t="n">
        <v>699.45</v>
      </c>
      <c r="V135" s="34" t="n">
        <v>478</v>
      </c>
    </row>
    <row r="136" customFormat="false" ht="15" hidden="false" customHeight="true" outlineLevel="0" collapsed="false">
      <c r="A136" s="34" t="s">
        <v>51</v>
      </c>
      <c r="B136" s="34" t="n">
        <v>645.4</v>
      </c>
      <c r="C136" s="34" t="n">
        <v>649.7</v>
      </c>
      <c r="D136" s="34" t="n">
        <v>633.3</v>
      </c>
      <c r="E136" s="34" t="n">
        <v>1.1</v>
      </c>
      <c r="F136" s="34" t="n">
        <v>16.5</v>
      </c>
      <c r="G136" s="34" t="n">
        <v>760</v>
      </c>
      <c r="H136" s="34" t="n">
        <v>599.55</v>
      </c>
      <c r="I136" s="34" t="n">
        <v>-14.97</v>
      </c>
      <c r="J136" s="34" t="n">
        <v>56.31</v>
      </c>
      <c r="K136" s="34" t="n">
        <v>1427711</v>
      </c>
      <c r="L136" s="34" t="n">
        <v>3.47</v>
      </c>
      <c r="M136" s="34" t="n">
        <v>649.49</v>
      </c>
      <c r="N136" s="34" t="n">
        <v>623.64</v>
      </c>
      <c r="O136" s="34" t="n">
        <v>638.35</v>
      </c>
      <c r="P136" s="34" t="n">
        <v>649.49</v>
      </c>
      <c r="Q136" s="34" t="n">
        <v>620.86</v>
      </c>
      <c r="R136" s="34" t="n">
        <v>639.1</v>
      </c>
      <c r="S136" s="34" t="n">
        <v>32.81</v>
      </c>
      <c r="T136" s="34" t="n">
        <v>0.012</v>
      </c>
      <c r="U136" s="34" t="n">
        <v>960.6</v>
      </c>
      <c r="V136" s="34" t="n">
        <v>599.55</v>
      </c>
    </row>
    <row r="137" customFormat="false" ht="15" hidden="false" customHeight="true" outlineLevel="0" collapsed="false">
      <c r="A137" s="34" t="s">
        <v>103</v>
      </c>
      <c r="B137" s="34" t="n">
        <v>632.1</v>
      </c>
      <c r="C137" s="34" t="n">
        <v>643.1</v>
      </c>
      <c r="D137" s="34" t="n">
        <v>628.4</v>
      </c>
      <c r="E137" s="34" t="n">
        <v>-0.629</v>
      </c>
      <c r="F137" s="34" t="n">
        <v>26.29</v>
      </c>
      <c r="G137" s="34" t="n">
        <v>742.2</v>
      </c>
      <c r="H137" s="34" t="n">
        <v>527.4</v>
      </c>
      <c r="I137" s="34" t="n">
        <v>-205.97</v>
      </c>
      <c r="J137" s="34" t="n">
        <v>23.96</v>
      </c>
      <c r="K137" s="34" t="n">
        <v>1744110</v>
      </c>
      <c r="L137" s="34" t="n">
        <v>0.663</v>
      </c>
      <c r="M137" s="34" t="n">
        <v>687.7</v>
      </c>
      <c r="N137" s="34" t="n">
        <v>661.72</v>
      </c>
      <c r="O137" s="34" t="n">
        <v>636.1</v>
      </c>
      <c r="P137" s="34" t="n">
        <v>695.88</v>
      </c>
      <c r="Q137" s="34" t="n">
        <v>668.65</v>
      </c>
      <c r="R137" s="34" t="n">
        <v>637</v>
      </c>
      <c r="S137" s="34" t="n">
        <v>14.83</v>
      </c>
      <c r="T137" s="34" t="n">
        <v>0.075</v>
      </c>
      <c r="U137" s="34" t="n">
        <v>742.2</v>
      </c>
      <c r="V137" s="34" t="n">
        <v>333.4</v>
      </c>
    </row>
    <row r="138" customFormat="false" ht="15" hidden="false" customHeight="true" outlineLevel="0" collapsed="false">
      <c r="A138" s="34" t="s">
        <v>186</v>
      </c>
      <c r="B138" s="34" t="n">
        <v>615.6</v>
      </c>
      <c r="C138" s="34" t="n">
        <v>617.9</v>
      </c>
      <c r="D138" s="34" t="n">
        <v>609.8</v>
      </c>
      <c r="E138" s="34" t="n">
        <v>0.424</v>
      </c>
      <c r="F138" s="34" t="n">
        <v>14.61</v>
      </c>
      <c r="G138" s="34" t="n">
        <v>621.9</v>
      </c>
      <c r="H138" s="34" t="n">
        <v>525.8</v>
      </c>
      <c r="I138" s="34" t="n">
        <v>127.71</v>
      </c>
      <c r="J138" s="34" t="n">
        <v>67.54</v>
      </c>
      <c r="K138" s="34" t="n">
        <v>403861</v>
      </c>
      <c r="L138" s="34" t="n">
        <v>0.535</v>
      </c>
      <c r="M138" s="34" t="n">
        <v>583.21</v>
      </c>
      <c r="N138" s="34" t="n">
        <v>598.53</v>
      </c>
      <c r="O138" s="34" t="n">
        <v>613</v>
      </c>
      <c r="P138" s="34" t="n">
        <v>576.33</v>
      </c>
      <c r="Q138" s="34" t="n">
        <v>590</v>
      </c>
      <c r="R138" s="34" t="n">
        <v>615</v>
      </c>
      <c r="S138" s="34" t="n">
        <v>22.74</v>
      </c>
      <c r="T138" s="34" t="n">
        <v>0.028</v>
      </c>
      <c r="U138" s="34" t="n">
        <v>796.8</v>
      </c>
      <c r="V138" s="34" t="n">
        <v>515.45</v>
      </c>
    </row>
    <row r="139" customFormat="false" ht="15" hidden="false" customHeight="true" outlineLevel="0" collapsed="false">
      <c r="A139" s="34" t="s">
        <v>164</v>
      </c>
      <c r="B139" s="34" t="n">
        <v>621.1</v>
      </c>
      <c r="C139" s="34" t="n">
        <v>635</v>
      </c>
      <c r="D139" s="34" t="n">
        <v>608.35</v>
      </c>
      <c r="E139" s="34" t="n">
        <v>-0.616</v>
      </c>
      <c r="F139" s="34" t="n">
        <v>21.94</v>
      </c>
      <c r="G139" s="34" t="n">
        <v>635</v>
      </c>
      <c r="H139" s="34" t="n">
        <v>483.7</v>
      </c>
      <c r="I139" s="34" t="n">
        <v>138.78</v>
      </c>
      <c r="J139" s="34" t="n">
        <v>63.7</v>
      </c>
      <c r="K139" s="34" t="n">
        <v>7031785</v>
      </c>
      <c r="L139" s="34" t="n">
        <v>1.51</v>
      </c>
      <c r="M139" s="34" t="n">
        <v>579</v>
      </c>
      <c r="N139" s="34" t="n">
        <v>600.34</v>
      </c>
      <c r="O139" s="34" t="n">
        <v>624.95</v>
      </c>
      <c r="P139" s="34" t="n">
        <v>578.56</v>
      </c>
      <c r="Q139" s="34" t="n">
        <v>599.3</v>
      </c>
      <c r="R139" s="34" t="n">
        <v>634</v>
      </c>
      <c r="S139" s="34" t="n">
        <v>24.87</v>
      </c>
      <c r="T139" s="34" t="n">
        <v>0.037</v>
      </c>
      <c r="U139" s="34" t="n">
        <v>826.75</v>
      </c>
      <c r="V139" s="34" t="n">
        <v>483.7</v>
      </c>
    </row>
    <row r="140" customFormat="false" ht="15" hidden="false" customHeight="true" outlineLevel="0" collapsed="false">
      <c r="A140" s="34" t="s">
        <v>138</v>
      </c>
      <c r="B140" s="34" t="n">
        <v>603.05</v>
      </c>
      <c r="C140" s="34" t="n">
        <v>609.95</v>
      </c>
      <c r="D140" s="34" t="n">
        <v>600.6</v>
      </c>
      <c r="E140" s="34" t="n">
        <v>-0.108</v>
      </c>
      <c r="F140" s="34" t="n">
        <v>18.02</v>
      </c>
      <c r="G140" s="34" t="n">
        <v>660.9</v>
      </c>
      <c r="H140" s="34" t="n">
        <v>517.65</v>
      </c>
      <c r="I140" s="34" t="n">
        <v>-52.67</v>
      </c>
      <c r="J140" s="34" t="n">
        <v>47.19</v>
      </c>
      <c r="K140" s="34" t="n">
        <v>1493164</v>
      </c>
      <c r="L140" s="34" t="n">
        <v>1.04</v>
      </c>
      <c r="M140" s="34" t="n">
        <v>625</v>
      </c>
      <c r="N140" s="34" t="n">
        <v>586.58</v>
      </c>
      <c r="O140" s="34" t="n">
        <v>603.7</v>
      </c>
      <c r="P140" s="34" t="n">
        <v>625</v>
      </c>
      <c r="Q140" s="34" t="n">
        <v>586.58</v>
      </c>
      <c r="R140" s="34" t="n">
        <v>607.1</v>
      </c>
      <c r="S140" s="34" t="n">
        <v>8.75</v>
      </c>
      <c r="T140" s="34" t="n">
        <v>0.063</v>
      </c>
      <c r="U140" s="34" t="n">
        <v>660.9</v>
      </c>
      <c r="V140" s="34" t="n">
        <v>385.45</v>
      </c>
    </row>
    <row r="141" customFormat="false" ht="15" hidden="false" customHeight="true" outlineLevel="0" collapsed="false">
      <c r="A141" s="34" t="s">
        <v>225</v>
      </c>
      <c r="B141" s="34" t="n">
        <v>594.55</v>
      </c>
      <c r="C141" s="34" t="n">
        <v>598.4</v>
      </c>
      <c r="D141" s="34" t="n">
        <v>588</v>
      </c>
      <c r="E141" s="34" t="n">
        <v>0.959</v>
      </c>
      <c r="F141" s="34" t="n">
        <v>17.13</v>
      </c>
      <c r="G141" s="34" t="n">
        <v>599.9</v>
      </c>
      <c r="H141" s="34" t="n">
        <v>478</v>
      </c>
      <c r="I141" s="34" t="n">
        <v>145.64</v>
      </c>
      <c r="J141" s="34" t="n">
        <v>71.05</v>
      </c>
      <c r="K141" s="34" t="n">
        <v>2098607</v>
      </c>
      <c r="L141" s="34" t="n">
        <v>1.32</v>
      </c>
      <c r="M141" s="34" t="n">
        <v>557.92</v>
      </c>
      <c r="N141" s="34" t="n">
        <v>575.56</v>
      </c>
      <c r="O141" s="34" t="n">
        <v>588.9</v>
      </c>
      <c r="P141" s="34" t="n">
        <v>550.39</v>
      </c>
      <c r="Q141" s="34" t="n">
        <v>565.78</v>
      </c>
      <c r="R141" s="34" t="n">
        <v>588</v>
      </c>
      <c r="S141" s="34" t="n">
        <v>6.03</v>
      </c>
      <c r="T141" s="34" t="n">
        <v>0.036</v>
      </c>
      <c r="U141" s="34" t="n">
        <v>632.7</v>
      </c>
      <c r="V141" s="34" t="n">
        <v>473.9</v>
      </c>
    </row>
    <row r="142" customFormat="false" ht="15" hidden="false" customHeight="true" outlineLevel="0" collapsed="false">
      <c r="A142" s="34" t="s">
        <v>216</v>
      </c>
      <c r="B142" s="34" t="n">
        <v>560.4</v>
      </c>
      <c r="C142" s="34" t="n">
        <v>565</v>
      </c>
      <c r="D142" s="34" t="n">
        <v>551</v>
      </c>
      <c r="E142" s="34" t="n">
        <v>1.54</v>
      </c>
      <c r="F142" s="34" t="n">
        <v>19.45</v>
      </c>
      <c r="G142" s="34" t="n">
        <v>565</v>
      </c>
      <c r="H142" s="34" t="n">
        <v>399.4</v>
      </c>
      <c r="I142" s="34" t="n">
        <v>165.58</v>
      </c>
      <c r="J142" s="34" t="n">
        <v>70.03</v>
      </c>
      <c r="K142" s="34" t="n">
        <v>3764160</v>
      </c>
      <c r="L142" s="34" t="n">
        <v>1.4</v>
      </c>
      <c r="M142" s="34" t="n">
        <v>517.73</v>
      </c>
      <c r="N142" s="34" t="n">
        <v>537.86</v>
      </c>
      <c r="O142" s="34" t="n">
        <v>551.9</v>
      </c>
      <c r="P142" s="34" t="n">
        <v>512.03</v>
      </c>
      <c r="Q142" s="34" t="n">
        <v>534.26</v>
      </c>
      <c r="R142" s="34" t="n">
        <v>554.7</v>
      </c>
      <c r="S142" s="34" t="n">
        <v>29.54</v>
      </c>
      <c r="T142" s="34" t="n">
        <v>0.075</v>
      </c>
      <c r="U142" s="34" t="n">
        <v>795.4</v>
      </c>
      <c r="V142" s="34" t="n">
        <v>336.05</v>
      </c>
    </row>
    <row r="143" customFormat="false" ht="15" hidden="false" customHeight="true" outlineLevel="0" collapsed="false">
      <c r="A143" s="34" t="s">
        <v>143</v>
      </c>
      <c r="B143" s="34" t="n">
        <v>563.5</v>
      </c>
      <c r="C143" s="34" t="n">
        <v>565.9</v>
      </c>
      <c r="D143" s="34" t="n">
        <v>547.15</v>
      </c>
      <c r="E143" s="34" t="n">
        <v>2.91</v>
      </c>
      <c r="F143" s="34" t="n">
        <v>14.36</v>
      </c>
      <c r="G143" s="34" t="n">
        <v>584.8</v>
      </c>
      <c r="H143" s="34" t="n">
        <v>455</v>
      </c>
      <c r="I143" s="34" t="n">
        <v>46.63</v>
      </c>
      <c r="J143" s="34" t="n">
        <v>70.12</v>
      </c>
      <c r="K143" s="34" t="n">
        <v>3560785</v>
      </c>
      <c r="L143" s="34" t="n">
        <v>0.967</v>
      </c>
      <c r="M143" s="34" t="n">
        <v>527.23</v>
      </c>
      <c r="N143" s="34" t="n">
        <v>541.88</v>
      </c>
      <c r="O143" s="34" t="n">
        <v>547.55</v>
      </c>
      <c r="P143" s="34" t="n">
        <v>552.77</v>
      </c>
      <c r="Q143" s="34" t="n">
        <v>529.91</v>
      </c>
      <c r="R143" s="34" t="n">
        <v>548.2</v>
      </c>
      <c r="S143" s="34" t="n">
        <v>20.29</v>
      </c>
      <c r="T143" s="34" t="n">
        <v>0.037</v>
      </c>
      <c r="U143" s="34" t="n">
        <v>706.95</v>
      </c>
      <c r="V143" s="34" t="n">
        <v>453.05</v>
      </c>
    </row>
    <row r="144" customFormat="false" ht="15" hidden="false" customHeight="true" outlineLevel="0" collapsed="false">
      <c r="A144" s="34" t="s">
        <v>250</v>
      </c>
      <c r="B144" s="34" t="n">
        <v>542.85</v>
      </c>
      <c r="C144" s="34" t="n">
        <v>545.35</v>
      </c>
      <c r="D144" s="34" t="n">
        <v>528.5</v>
      </c>
      <c r="E144" s="34" t="n">
        <v>1.7</v>
      </c>
      <c r="F144" s="34" t="n">
        <v>18.85</v>
      </c>
      <c r="G144" s="34" t="n">
        <v>545.35</v>
      </c>
      <c r="H144" s="34" t="n">
        <v>380</v>
      </c>
      <c r="I144" s="34" t="n">
        <v>136.67</v>
      </c>
      <c r="J144" s="34" t="n">
        <v>73.61</v>
      </c>
      <c r="K144" s="34" t="n">
        <v>801979</v>
      </c>
      <c r="L144" s="34" t="n">
        <v>0.944</v>
      </c>
      <c r="M144" s="34" t="n">
        <v>498.53</v>
      </c>
      <c r="N144" s="34" t="n">
        <v>517.73</v>
      </c>
      <c r="O144" s="34" t="n">
        <v>533.75</v>
      </c>
      <c r="P144" s="34" t="n">
        <v>489.23</v>
      </c>
      <c r="Q144" s="34" t="n">
        <v>508.69</v>
      </c>
      <c r="R144" s="34" t="n">
        <v>533.75</v>
      </c>
      <c r="S144" s="34" t="n">
        <v>29.38</v>
      </c>
      <c r="T144" s="34" t="n">
        <v>0.059</v>
      </c>
      <c r="U144" s="34" t="n">
        <v>768.65</v>
      </c>
      <c r="V144" s="34" t="n">
        <v>380</v>
      </c>
    </row>
    <row r="145" customFormat="false" ht="15" hidden="false" customHeight="true" outlineLevel="0" collapsed="false">
      <c r="A145" s="34" t="s">
        <v>219</v>
      </c>
      <c r="B145" s="34" t="n">
        <v>501.65</v>
      </c>
      <c r="C145" s="34" t="n">
        <v>507.3</v>
      </c>
      <c r="D145" s="34" t="n">
        <v>498</v>
      </c>
      <c r="E145" s="34" t="n">
        <v>-0.977</v>
      </c>
      <c r="F145" s="34" t="n">
        <v>16.71</v>
      </c>
      <c r="G145" s="34" t="n">
        <v>568.5</v>
      </c>
      <c r="H145" s="34" t="n">
        <v>419.55</v>
      </c>
      <c r="I145" s="34" t="n">
        <v>-93.33</v>
      </c>
      <c r="J145" s="34" t="n">
        <v>38.41</v>
      </c>
      <c r="K145" s="34" t="n">
        <v>9603273</v>
      </c>
      <c r="L145" s="34" t="n">
        <v>1.01</v>
      </c>
      <c r="M145" s="34" t="n">
        <v>527.84</v>
      </c>
      <c r="N145" s="34" t="n">
        <v>492.83</v>
      </c>
      <c r="O145" s="34" t="n">
        <v>506.6</v>
      </c>
      <c r="P145" s="34" t="n">
        <v>527.84</v>
      </c>
      <c r="Q145" s="34" t="n">
        <v>492.83</v>
      </c>
      <c r="R145" s="34" t="n">
        <v>506.65</v>
      </c>
      <c r="S145" s="34" t="n">
        <v>26.35</v>
      </c>
      <c r="T145" s="34" t="n">
        <v>0.033</v>
      </c>
      <c r="U145" s="34" t="n">
        <v>681.12</v>
      </c>
      <c r="V145" s="34" t="n">
        <v>419.55</v>
      </c>
    </row>
    <row r="146" customFormat="false" ht="15" hidden="false" customHeight="true" outlineLevel="0" collapsed="false">
      <c r="A146" s="34" t="s">
        <v>194</v>
      </c>
      <c r="B146" s="34" t="n">
        <v>505.6</v>
      </c>
      <c r="C146" s="34" t="n">
        <v>508.75</v>
      </c>
      <c r="D146" s="34" t="n">
        <v>497</v>
      </c>
      <c r="E146" s="34" t="n">
        <v>0.627</v>
      </c>
      <c r="F146" s="34" t="n">
        <v>17.66</v>
      </c>
      <c r="G146" s="34" t="n">
        <v>517.45</v>
      </c>
      <c r="H146" s="34" t="n">
        <v>422</v>
      </c>
      <c r="I146" s="34" t="n">
        <v>171.72</v>
      </c>
      <c r="J146" s="34" t="n">
        <v>76.9</v>
      </c>
      <c r="K146" s="34" t="n">
        <v>1244379</v>
      </c>
      <c r="L146" s="34" t="n">
        <v>0.871</v>
      </c>
      <c r="M146" s="34" t="n">
        <v>467.41</v>
      </c>
      <c r="N146" s="34" t="n">
        <v>485.14</v>
      </c>
      <c r="O146" s="34" t="n">
        <v>502.45</v>
      </c>
      <c r="P146" s="34" t="n">
        <v>458.78</v>
      </c>
      <c r="Q146" s="34" t="n">
        <v>477.18</v>
      </c>
      <c r="R146" s="34" t="n">
        <v>504</v>
      </c>
      <c r="S146" s="34" t="n">
        <v>29.88</v>
      </c>
      <c r="T146" s="34" t="n">
        <v>0.047</v>
      </c>
      <c r="U146" s="34" t="n">
        <v>721</v>
      </c>
      <c r="V146" s="34" t="n">
        <v>401.25</v>
      </c>
    </row>
    <row r="147" customFormat="false" ht="15" hidden="false" customHeight="true" outlineLevel="0" collapsed="false">
      <c r="A147" s="34" t="s">
        <v>86</v>
      </c>
      <c r="B147" s="34" t="n">
        <v>494.25</v>
      </c>
      <c r="C147" s="34" t="n">
        <v>509.8</v>
      </c>
      <c r="D147" s="34" t="n">
        <v>483.5</v>
      </c>
      <c r="E147" s="34" t="n">
        <v>2.87</v>
      </c>
      <c r="F147" s="34" t="n">
        <v>17.89</v>
      </c>
      <c r="G147" s="34" t="n">
        <v>509.8</v>
      </c>
      <c r="H147" s="34" t="n">
        <v>370.9</v>
      </c>
      <c r="I147" s="34" t="n">
        <v>143.16</v>
      </c>
      <c r="J147" s="34" t="n">
        <v>66.04</v>
      </c>
      <c r="K147" s="34" t="n">
        <v>4576474</v>
      </c>
      <c r="L147" s="34" t="n">
        <v>1.19</v>
      </c>
      <c r="M147" s="34" t="n">
        <v>462.24</v>
      </c>
      <c r="N147" s="34" t="n">
        <v>479.45</v>
      </c>
      <c r="O147" s="34" t="n">
        <v>480.45</v>
      </c>
      <c r="P147" s="34" t="n">
        <v>461.07</v>
      </c>
      <c r="Q147" s="34" t="n">
        <v>487.63</v>
      </c>
      <c r="R147" s="34" t="n">
        <v>487</v>
      </c>
      <c r="S147" s="34" t="n">
        <v>15.5</v>
      </c>
      <c r="T147" s="34" t="n">
        <v>0.053</v>
      </c>
      <c r="U147" s="34" t="n">
        <v>584.9</v>
      </c>
      <c r="V147" s="34" t="n">
        <v>370.9</v>
      </c>
    </row>
    <row r="148" customFormat="false" ht="15" hidden="false" customHeight="true" outlineLevel="0" collapsed="false">
      <c r="A148" s="34" t="s">
        <v>248</v>
      </c>
      <c r="B148" s="34" t="n">
        <v>503.85</v>
      </c>
      <c r="C148" s="34" t="n">
        <v>506.65</v>
      </c>
      <c r="D148" s="34" t="n">
        <v>481.85</v>
      </c>
      <c r="E148" s="34" t="n">
        <v>3.38</v>
      </c>
      <c r="F148" s="34" t="n">
        <v>18.36</v>
      </c>
      <c r="G148" s="34" t="n">
        <v>579</v>
      </c>
      <c r="H148" s="34" t="n">
        <v>441</v>
      </c>
      <c r="I148" s="34" t="n">
        <v>56.24</v>
      </c>
      <c r="J148" s="34" t="n">
        <v>67.83</v>
      </c>
      <c r="K148" s="34" t="n">
        <v>9886859</v>
      </c>
      <c r="L148" s="34" t="n">
        <v>1.9</v>
      </c>
      <c r="M148" s="34" t="n">
        <v>456.98</v>
      </c>
      <c r="N148" s="34" t="n">
        <v>475.61</v>
      </c>
      <c r="O148" s="34" t="n">
        <v>487.4</v>
      </c>
      <c r="P148" s="34" t="n">
        <v>492.18</v>
      </c>
      <c r="Q148" s="34" t="n">
        <v>466.35</v>
      </c>
      <c r="R148" s="34" t="n">
        <v>490</v>
      </c>
      <c r="S148" s="34" t="n">
        <v>37.4</v>
      </c>
      <c r="T148" s="34" t="n">
        <v>0.036</v>
      </c>
      <c r="U148" s="34" t="n">
        <v>804.9</v>
      </c>
      <c r="V148" s="34" t="n">
        <v>418.75</v>
      </c>
    </row>
    <row r="149" customFormat="false" ht="15" hidden="false" customHeight="true" outlineLevel="0" collapsed="false">
      <c r="A149" s="34" t="s">
        <v>126</v>
      </c>
      <c r="B149" s="34" t="n">
        <v>476.65</v>
      </c>
      <c r="C149" s="34" t="n">
        <v>477.4</v>
      </c>
      <c r="D149" s="34" t="n">
        <v>467.3</v>
      </c>
      <c r="E149" s="34" t="n">
        <v>1.63</v>
      </c>
      <c r="F149" s="34" t="n">
        <v>9.7</v>
      </c>
      <c r="G149" s="34" t="n">
        <v>519.45</v>
      </c>
      <c r="H149" s="34" t="n">
        <v>433.3</v>
      </c>
      <c r="I149" s="34" t="n">
        <v>-55.79</v>
      </c>
      <c r="J149" s="34" t="n">
        <v>52.64</v>
      </c>
      <c r="K149" s="34" t="n">
        <v>2431240</v>
      </c>
      <c r="L149" s="34" t="n">
        <v>0.887</v>
      </c>
      <c r="M149" s="34" t="n">
        <v>484.43</v>
      </c>
      <c r="N149" s="34" t="n">
        <v>464.76</v>
      </c>
      <c r="O149" s="34" t="n">
        <v>469</v>
      </c>
      <c r="P149" s="34" t="n">
        <v>484.43</v>
      </c>
      <c r="Q149" s="34" t="n">
        <v>464.76</v>
      </c>
      <c r="R149" s="34" t="n">
        <v>471.2</v>
      </c>
      <c r="S149" s="34" t="n">
        <v>29.07</v>
      </c>
      <c r="T149" s="34" t="n">
        <v>0.019</v>
      </c>
      <c r="U149" s="34" t="n">
        <v>672</v>
      </c>
      <c r="V149" s="34" t="n">
        <v>433.3</v>
      </c>
    </row>
    <row r="150" customFormat="false" ht="15" hidden="false" customHeight="true" outlineLevel="0" collapsed="false">
      <c r="A150" s="34" t="s">
        <v>172</v>
      </c>
      <c r="B150" s="34" t="n">
        <v>474.65</v>
      </c>
      <c r="C150" s="34" t="n">
        <v>476.7</v>
      </c>
      <c r="D150" s="34" t="n">
        <v>461.45</v>
      </c>
      <c r="E150" s="34" t="n">
        <v>2.3</v>
      </c>
      <c r="F150" s="34" t="n">
        <v>17.72</v>
      </c>
      <c r="G150" s="34" t="n">
        <v>476.7</v>
      </c>
      <c r="H150" s="34" t="n">
        <v>344.2</v>
      </c>
      <c r="I150" s="34" t="n">
        <v>127.86</v>
      </c>
      <c r="J150" s="34" t="n">
        <v>71.44</v>
      </c>
      <c r="K150" s="34" t="n">
        <v>2240283</v>
      </c>
      <c r="L150" s="34" t="n">
        <v>1.48</v>
      </c>
      <c r="M150" s="34" t="n">
        <v>433.09</v>
      </c>
      <c r="N150" s="34" t="n">
        <v>451.08</v>
      </c>
      <c r="O150" s="34" t="n">
        <v>464</v>
      </c>
      <c r="P150" s="34" t="n">
        <v>429.55</v>
      </c>
      <c r="Q150" s="34" t="n">
        <v>447.85</v>
      </c>
      <c r="R150" s="34" t="n">
        <v>464.1</v>
      </c>
      <c r="S150" s="34" t="n">
        <v>37.99</v>
      </c>
      <c r="T150" s="34" t="n">
        <v>0.06</v>
      </c>
      <c r="U150" s="34" t="n">
        <v>769.25</v>
      </c>
      <c r="V150" s="34" t="n">
        <v>344.2</v>
      </c>
    </row>
    <row r="151" customFormat="false" ht="15" hidden="false" customHeight="true" outlineLevel="0" collapsed="false">
      <c r="A151" s="34" t="s">
        <v>110</v>
      </c>
      <c r="B151" s="34" t="n">
        <v>441.2</v>
      </c>
      <c r="C151" s="34" t="n">
        <v>444.7</v>
      </c>
      <c r="D151" s="34" t="n">
        <v>439.7</v>
      </c>
      <c r="E151" s="34" t="n">
        <v>-0.586</v>
      </c>
      <c r="F151" s="34" t="n">
        <v>11.61</v>
      </c>
      <c r="G151" s="34" t="n">
        <v>476.05</v>
      </c>
      <c r="H151" s="34" t="n">
        <v>363</v>
      </c>
      <c r="I151" s="34" t="n">
        <v>149.77</v>
      </c>
      <c r="J151" s="34" t="n">
        <v>69.22</v>
      </c>
      <c r="K151" s="34" t="n">
        <v>5525660</v>
      </c>
      <c r="L151" s="34" t="n">
        <v>0.777</v>
      </c>
      <c r="M151" s="34" t="n">
        <v>418.67</v>
      </c>
      <c r="N151" s="34" t="n">
        <v>431.52</v>
      </c>
      <c r="O151" s="34" t="n">
        <v>443.8</v>
      </c>
      <c r="P151" s="34" t="n">
        <v>418.67</v>
      </c>
      <c r="Q151" s="34" t="n">
        <v>431.52</v>
      </c>
      <c r="R151" s="34" t="n">
        <v>443.8</v>
      </c>
      <c r="S151" s="34" t="n">
        <v>16.27</v>
      </c>
      <c r="T151" s="34" t="n">
        <v>0.042</v>
      </c>
      <c r="U151" s="34" t="n">
        <v>526.95</v>
      </c>
      <c r="V151" s="34" t="n">
        <v>363</v>
      </c>
    </row>
    <row r="152" customFormat="false" ht="15" hidden="false" customHeight="true" outlineLevel="0" collapsed="false">
      <c r="A152" s="34" t="s">
        <v>371</v>
      </c>
      <c r="B152" s="34" t="n">
        <v>442.3</v>
      </c>
      <c r="C152" s="34" t="n">
        <v>445</v>
      </c>
      <c r="D152" s="34" t="n">
        <v>439.45</v>
      </c>
      <c r="E152" s="34" t="n">
        <v>0.352</v>
      </c>
      <c r="F152" s="34" t="n">
        <v>13.2</v>
      </c>
      <c r="G152" s="34" t="n">
        <v>477.8</v>
      </c>
      <c r="H152" s="34" t="n">
        <v>378.15</v>
      </c>
      <c r="I152" s="34" t="n">
        <v>32.6</v>
      </c>
      <c r="J152" s="34" t="n">
        <v>59.88</v>
      </c>
      <c r="K152" s="34" t="n">
        <v>1416732</v>
      </c>
      <c r="L152" s="34" t="n">
        <v>0.679</v>
      </c>
      <c r="M152" s="34" t="n">
        <v>414.23</v>
      </c>
      <c r="N152" s="34" t="n">
        <v>428.23</v>
      </c>
      <c r="O152" s="34" t="n">
        <v>440.75</v>
      </c>
      <c r="P152" s="34" t="n">
        <v>411.01</v>
      </c>
      <c r="Q152" s="34" t="n">
        <v>425.94</v>
      </c>
      <c r="R152" s="34" t="n">
        <v>442.9</v>
      </c>
      <c r="S152" s="34" t="n">
        <v>45.24</v>
      </c>
      <c r="T152" s="34" t="n">
        <v>0.035</v>
      </c>
      <c r="U152" s="34" t="n">
        <v>807.7</v>
      </c>
      <c r="V152" s="34" t="n">
        <v>378.15</v>
      </c>
    </row>
    <row r="153" customFormat="false" ht="15" hidden="false" customHeight="true" outlineLevel="0" collapsed="false">
      <c r="A153" s="34" t="s">
        <v>178</v>
      </c>
      <c r="B153" s="34" t="n">
        <v>435.7</v>
      </c>
      <c r="C153" s="34" t="n">
        <v>436.2</v>
      </c>
      <c r="D153" s="34" t="n">
        <v>432.1</v>
      </c>
      <c r="E153" s="34" t="n">
        <v>0.705</v>
      </c>
      <c r="F153" s="34" t="n">
        <v>7.92</v>
      </c>
      <c r="G153" s="34" t="n">
        <v>439.65</v>
      </c>
      <c r="H153" s="34" t="n">
        <v>390.15</v>
      </c>
      <c r="I153" s="34" t="n">
        <v>111.09</v>
      </c>
      <c r="J153" s="34" t="n">
        <v>60.41</v>
      </c>
      <c r="K153" s="34" t="n">
        <v>16402035</v>
      </c>
      <c r="L153" s="34" t="n">
        <v>0.676</v>
      </c>
      <c r="M153" s="34" t="n">
        <v>420.99</v>
      </c>
      <c r="N153" s="34" t="n">
        <v>426.21</v>
      </c>
      <c r="O153" s="34" t="n">
        <v>432.65</v>
      </c>
      <c r="P153" s="34" t="n">
        <v>420.99</v>
      </c>
      <c r="Q153" s="34" t="n">
        <v>424.12</v>
      </c>
      <c r="R153" s="34" t="n">
        <v>434.9</v>
      </c>
      <c r="S153" s="34" t="n">
        <v>17.56</v>
      </c>
      <c r="T153" s="34" t="n">
        <v>0.025</v>
      </c>
      <c r="U153" s="34" t="n">
        <v>528.5</v>
      </c>
      <c r="V153" s="34" t="n">
        <v>390.15</v>
      </c>
    </row>
    <row r="154" customFormat="false" ht="15" hidden="false" customHeight="true" outlineLevel="0" collapsed="false">
      <c r="A154" s="34" t="s">
        <v>168</v>
      </c>
      <c r="B154" s="34" t="n">
        <v>429.7</v>
      </c>
      <c r="C154" s="34" t="n">
        <v>434.75</v>
      </c>
      <c r="D154" s="34" t="n">
        <v>428.2</v>
      </c>
      <c r="E154" s="34" t="n">
        <v>0.35</v>
      </c>
      <c r="F154" s="34" t="n">
        <v>13.2</v>
      </c>
      <c r="G154" s="34" t="n">
        <v>445.9</v>
      </c>
      <c r="H154" s="34" t="n">
        <v>331</v>
      </c>
      <c r="I154" s="34" t="n">
        <v>176.44</v>
      </c>
      <c r="J154" s="34" t="n">
        <v>77.39</v>
      </c>
      <c r="K154" s="34" t="n">
        <v>1367781</v>
      </c>
      <c r="L154" s="34" t="n">
        <v>0.905</v>
      </c>
      <c r="M154" s="34" t="n">
        <v>404.5</v>
      </c>
      <c r="N154" s="34" t="n">
        <v>417.99</v>
      </c>
      <c r="O154" s="34" t="n">
        <v>428.2</v>
      </c>
      <c r="P154" s="34" t="n">
        <v>398.01</v>
      </c>
      <c r="Q154" s="34" t="n">
        <v>412.27</v>
      </c>
      <c r="R154" s="34" t="n">
        <v>430</v>
      </c>
      <c r="S154" s="34" t="n">
        <v>43.49</v>
      </c>
      <c r="T154" s="34" t="n">
        <v>0.059</v>
      </c>
      <c r="U154" s="34" t="n">
        <v>861.85</v>
      </c>
      <c r="V154" s="34" t="n">
        <v>331</v>
      </c>
    </row>
    <row r="155" customFormat="false" ht="15" hidden="false" customHeight="true" outlineLevel="0" collapsed="false">
      <c r="A155" s="34" t="s">
        <v>236</v>
      </c>
      <c r="B155" s="34" t="n">
        <v>423.9</v>
      </c>
      <c r="C155" s="34" t="n">
        <v>428.85</v>
      </c>
      <c r="D155" s="34" t="n">
        <v>420.75</v>
      </c>
      <c r="E155" s="34" t="n">
        <v>0.331</v>
      </c>
      <c r="F155" s="34" t="n">
        <v>14.25</v>
      </c>
      <c r="G155" s="34" t="n">
        <v>428.85</v>
      </c>
      <c r="H155" s="34" t="n">
        <v>325</v>
      </c>
      <c r="I155" s="34" t="n">
        <v>177.85</v>
      </c>
      <c r="J155" s="34" t="n">
        <v>68.33</v>
      </c>
      <c r="K155" s="34" t="n">
        <v>2335295</v>
      </c>
      <c r="L155" s="34" t="n">
        <v>0.985</v>
      </c>
      <c r="M155" s="34" t="n">
        <v>395.83</v>
      </c>
      <c r="N155" s="34" t="n">
        <v>410.32</v>
      </c>
      <c r="O155" s="34" t="n">
        <v>422.5</v>
      </c>
      <c r="P155" s="34" t="n">
        <v>388.11</v>
      </c>
      <c r="Q155" s="34" t="n">
        <v>403.31</v>
      </c>
      <c r="R155" s="34" t="n">
        <v>422.5</v>
      </c>
      <c r="S155" s="34" t="n">
        <v>44.8</v>
      </c>
      <c r="T155" s="34" t="n">
        <v>0.057</v>
      </c>
      <c r="U155" s="34" t="n">
        <v>767.9</v>
      </c>
      <c r="V155" s="34" t="n">
        <v>325</v>
      </c>
    </row>
    <row r="156" customFormat="false" ht="15" hidden="false" customHeight="true" outlineLevel="0" collapsed="false">
      <c r="A156" s="34" t="s">
        <v>309</v>
      </c>
      <c r="B156" s="34" t="n">
        <v>413.95</v>
      </c>
      <c r="C156" s="34" t="n">
        <v>416.25</v>
      </c>
      <c r="D156" s="34" t="n">
        <v>407.6</v>
      </c>
      <c r="E156" s="34" t="n">
        <v>0.583</v>
      </c>
      <c r="F156" s="34" t="n">
        <v>16.79</v>
      </c>
      <c r="G156" s="34" t="n">
        <v>417.9</v>
      </c>
      <c r="H156" s="34" t="n">
        <v>279.8</v>
      </c>
      <c r="I156" s="34" t="n">
        <v>155.6</v>
      </c>
      <c r="J156" s="34" t="n">
        <v>77.48</v>
      </c>
      <c r="K156" s="34" t="n">
        <v>920817</v>
      </c>
      <c r="L156" s="34" t="n">
        <v>0.586</v>
      </c>
      <c r="M156" s="34" t="n">
        <v>377.86</v>
      </c>
      <c r="N156" s="34" t="n">
        <v>394.89</v>
      </c>
      <c r="O156" s="34" t="n">
        <v>411.55</v>
      </c>
      <c r="P156" s="34" t="n">
        <v>376.87</v>
      </c>
      <c r="Q156" s="34" t="n">
        <v>394.84</v>
      </c>
      <c r="R156" s="34" t="n">
        <v>411.9</v>
      </c>
      <c r="S156" s="34" t="n">
        <v>26.16</v>
      </c>
      <c r="T156" s="34" t="n">
        <v>0.085</v>
      </c>
      <c r="U156" s="34" t="n">
        <v>672.95</v>
      </c>
      <c r="V156" s="34" t="n">
        <v>279.8</v>
      </c>
    </row>
    <row r="157" customFormat="false" ht="15" hidden="false" customHeight="true" outlineLevel="0" collapsed="false">
      <c r="A157" s="34" t="s">
        <v>201</v>
      </c>
      <c r="B157" s="34" t="n">
        <v>417.75</v>
      </c>
      <c r="C157" s="34" t="n">
        <v>423.2</v>
      </c>
      <c r="D157" s="34" t="n">
        <v>407.5</v>
      </c>
      <c r="E157" s="34" t="n">
        <v>2.62</v>
      </c>
      <c r="F157" s="34" t="n">
        <v>14.67</v>
      </c>
      <c r="G157" s="34" t="n">
        <v>444.1</v>
      </c>
      <c r="H157" s="34" t="n">
        <v>360.65</v>
      </c>
      <c r="I157" s="34" t="n">
        <v>12.99</v>
      </c>
      <c r="J157" s="34" t="n">
        <v>59.08</v>
      </c>
      <c r="K157" s="34" t="n">
        <v>13040115</v>
      </c>
      <c r="L157" s="34" t="n">
        <v>1.42</v>
      </c>
      <c r="M157" s="34" t="n">
        <v>385.74</v>
      </c>
      <c r="N157" s="34" t="n">
        <v>400.55</v>
      </c>
      <c r="O157" s="34" t="n">
        <v>407.1</v>
      </c>
      <c r="P157" s="34" t="n">
        <v>415.99</v>
      </c>
      <c r="Q157" s="34" t="n">
        <v>397.34</v>
      </c>
      <c r="R157" s="34" t="n">
        <v>408</v>
      </c>
      <c r="S157" s="34" t="n">
        <v>27.97</v>
      </c>
      <c r="T157" s="34" t="n">
        <v>0.036</v>
      </c>
      <c r="U157" s="34" t="n">
        <v>580</v>
      </c>
      <c r="V157" s="34" t="n">
        <v>357.25</v>
      </c>
    </row>
    <row r="158" customFormat="false" ht="15" hidden="false" customHeight="true" outlineLevel="0" collapsed="false">
      <c r="A158" s="34" t="s">
        <v>161</v>
      </c>
      <c r="B158" s="34" t="n">
        <v>404.8</v>
      </c>
      <c r="C158" s="34" t="n">
        <v>409</v>
      </c>
      <c r="D158" s="34" t="n">
        <v>403.6</v>
      </c>
      <c r="E158" s="34" t="n">
        <v>0.037</v>
      </c>
      <c r="F158" s="34" t="n">
        <v>9.01</v>
      </c>
      <c r="G158" s="34" t="n">
        <v>411.8</v>
      </c>
      <c r="H158" s="34" t="n">
        <v>352.4</v>
      </c>
      <c r="I158" s="34" t="n">
        <v>126.5</v>
      </c>
      <c r="J158" s="34" t="n">
        <v>71.68</v>
      </c>
      <c r="K158" s="34" t="n">
        <v>4703603</v>
      </c>
      <c r="L158" s="34" t="n">
        <v>0.448</v>
      </c>
      <c r="M158" s="34" t="n">
        <v>387.66</v>
      </c>
      <c r="N158" s="34" t="n">
        <v>396.98</v>
      </c>
      <c r="O158" s="34" t="n">
        <v>404.65</v>
      </c>
      <c r="P158" s="34" t="n">
        <v>383.49</v>
      </c>
      <c r="Q158" s="34" t="n">
        <v>393.24</v>
      </c>
      <c r="R158" s="34" t="n">
        <v>406</v>
      </c>
      <c r="S158" s="34" t="n">
        <v>25.53</v>
      </c>
      <c r="T158" s="34" t="n">
        <v>0.035</v>
      </c>
      <c r="U158" s="34" t="n">
        <v>543.55</v>
      </c>
      <c r="V158" s="34" t="n">
        <v>349.25</v>
      </c>
    </row>
    <row r="159" customFormat="false" ht="15" hidden="false" customHeight="true" outlineLevel="0" collapsed="false">
      <c r="A159" s="34" t="s">
        <v>193</v>
      </c>
      <c r="B159" s="34" t="n">
        <v>410.05</v>
      </c>
      <c r="C159" s="34" t="n">
        <v>411.2</v>
      </c>
      <c r="D159" s="34" t="n">
        <v>402.65</v>
      </c>
      <c r="E159" s="34" t="n">
        <v>1.83</v>
      </c>
      <c r="F159" s="34" t="n">
        <v>12.09</v>
      </c>
      <c r="G159" s="34" t="n">
        <v>414</v>
      </c>
      <c r="H159" s="34" t="n">
        <v>287.55</v>
      </c>
      <c r="I159" s="34" t="n">
        <v>174.82</v>
      </c>
      <c r="J159" s="34" t="n">
        <v>70.47</v>
      </c>
      <c r="K159" s="34" t="n">
        <v>5353538</v>
      </c>
      <c r="L159" s="34" t="n">
        <v>0.919</v>
      </c>
      <c r="M159" s="34" t="n">
        <v>381.66</v>
      </c>
      <c r="N159" s="34" t="n">
        <v>394.29</v>
      </c>
      <c r="O159" s="34" t="n">
        <v>402.7</v>
      </c>
      <c r="P159" s="34" t="n">
        <v>376.33</v>
      </c>
      <c r="Q159" s="34" t="n">
        <v>389.41</v>
      </c>
      <c r="R159" s="34" t="n">
        <v>404.45</v>
      </c>
      <c r="S159" s="34" t="n">
        <v>10.3</v>
      </c>
      <c r="T159" s="34" t="n">
        <v>0.077</v>
      </c>
      <c r="U159" s="34" t="n">
        <v>457.15</v>
      </c>
      <c r="V159" s="34" t="n">
        <v>287.55</v>
      </c>
    </row>
    <row r="160" customFormat="false" ht="15" hidden="false" customHeight="true" outlineLevel="0" collapsed="false">
      <c r="A160" s="34" t="s">
        <v>92</v>
      </c>
      <c r="B160" s="34" t="n">
        <v>405.8</v>
      </c>
      <c r="C160" s="34" t="n">
        <v>409.8</v>
      </c>
      <c r="D160" s="34" t="n">
        <v>397.65</v>
      </c>
      <c r="E160" s="34" t="n">
        <v>1.97</v>
      </c>
      <c r="F160" s="34" t="n">
        <v>12.78</v>
      </c>
      <c r="G160" s="34" t="n">
        <v>409.8</v>
      </c>
      <c r="H160" s="34" t="n">
        <v>331.85</v>
      </c>
      <c r="I160" s="34" t="n">
        <v>158.38</v>
      </c>
      <c r="J160" s="34" t="n">
        <v>71.57</v>
      </c>
      <c r="K160" s="34" t="n">
        <v>13234846</v>
      </c>
      <c r="L160" s="34" t="n">
        <v>0.702</v>
      </c>
      <c r="M160" s="34" t="n">
        <v>378.18</v>
      </c>
      <c r="N160" s="34" t="n">
        <v>390.95</v>
      </c>
      <c r="O160" s="34" t="n">
        <v>397.95</v>
      </c>
      <c r="P160" s="34" t="n">
        <v>372.64</v>
      </c>
      <c r="Q160" s="34" t="n">
        <v>385.48</v>
      </c>
      <c r="R160" s="34" t="n">
        <v>397.95</v>
      </c>
      <c r="S160" s="34" t="n">
        <v>18</v>
      </c>
      <c r="T160" s="34" t="n">
        <v>0.052</v>
      </c>
      <c r="U160" s="34" t="n">
        <v>494.85</v>
      </c>
      <c r="V160" s="34" t="n">
        <v>326.35</v>
      </c>
    </row>
    <row r="161" customFormat="false" ht="15" hidden="false" customHeight="true" outlineLevel="0" collapsed="false">
      <c r="A161" s="34" t="s">
        <v>190</v>
      </c>
      <c r="B161" s="34" t="n">
        <v>400.45</v>
      </c>
      <c r="C161" s="34" t="n">
        <v>407.35</v>
      </c>
      <c r="D161" s="34" t="n">
        <v>396.1</v>
      </c>
      <c r="E161" s="34" t="n">
        <v>0.882</v>
      </c>
      <c r="F161" s="34" t="n">
        <v>11.47</v>
      </c>
      <c r="G161" s="34" t="n">
        <v>421.5</v>
      </c>
      <c r="H161" s="34" t="n">
        <v>312.75</v>
      </c>
      <c r="I161" s="34" t="n">
        <v>50.6</v>
      </c>
      <c r="J161" s="34" t="n">
        <v>63.2</v>
      </c>
      <c r="K161" s="34" t="n">
        <v>5908953</v>
      </c>
      <c r="L161" s="34" t="n">
        <v>0.811</v>
      </c>
      <c r="M161" s="34" t="n">
        <v>408.16</v>
      </c>
      <c r="N161" s="34" t="n">
        <v>389.86</v>
      </c>
      <c r="O161" s="34" t="n">
        <v>396.95</v>
      </c>
      <c r="P161" s="34" t="n">
        <v>408.16</v>
      </c>
      <c r="Q161" s="34" t="n">
        <v>383.92</v>
      </c>
      <c r="R161" s="34" t="n">
        <v>397.7</v>
      </c>
      <c r="S161" s="34" t="n">
        <v>13.01</v>
      </c>
      <c r="T161" s="34" t="n">
        <v>0.069</v>
      </c>
      <c r="U161" s="34" t="n">
        <v>460.35</v>
      </c>
      <c r="V161" s="34" t="n">
        <v>292</v>
      </c>
    </row>
    <row r="162" customFormat="false" ht="15" hidden="false" customHeight="true" outlineLevel="0" collapsed="false">
      <c r="A162" s="34" t="s">
        <v>196</v>
      </c>
      <c r="B162" s="34" t="n">
        <v>406.45</v>
      </c>
      <c r="C162" s="34" t="n">
        <v>409.65</v>
      </c>
      <c r="D162" s="34" t="n">
        <v>395.1</v>
      </c>
      <c r="E162" s="34" t="n">
        <v>3.07</v>
      </c>
      <c r="F162" s="34" t="n">
        <v>16.92</v>
      </c>
      <c r="G162" s="34" t="n">
        <v>450</v>
      </c>
      <c r="H162" s="34" t="n">
        <v>357.35</v>
      </c>
      <c r="I162" s="34" t="n">
        <v>-61.34</v>
      </c>
      <c r="J162" s="34" t="n">
        <v>50.47</v>
      </c>
      <c r="K162" s="34" t="n">
        <v>14416578</v>
      </c>
      <c r="L162" s="34" t="n">
        <v>1.15</v>
      </c>
      <c r="M162" s="34" t="n">
        <v>420.86</v>
      </c>
      <c r="N162" s="34" t="n">
        <v>388.95</v>
      </c>
      <c r="O162" s="34" t="n">
        <v>394.35</v>
      </c>
      <c r="P162" s="34" t="n">
        <v>420.86</v>
      </c>
      <c r="Q162" s="34" t="n">
        <v>388.95</v>
      </c>
      <c r="R162" s="34" t="n">
        <v>395.1</v>
      </c>
      <c r="S162" s="34" t="n">
        <v>37.85</v>
      </c>
      <c r="T162" s="34" t="n">
        <v>0.031</v>
      </c>
      <c r="U162" s="34" t="n">
        <v>654</v>
      </c>
      <c r="V162" s="34" t="n">
        <v>357.35</v>
      </c>
    </row>
    <row r="163" customFormat="false" ht="15" hidden="false" customHeight="true" outlineLevel="0" collapsed="false">
      <c r="A163" s="34" t="s">
        <v>245</v>
      </c>
      <c r="B163" s="34" t="n">
        <v>395.15</v>
      </c>
      <c r="C163" s="34" t="n">
        <v>397.1</v>
      </c>
      <c r="D163" s="34" t="n">
        <v>388.8</v>
      </c>
      <c r="E163" s="34" t="n">
        <v>1.35</v>
      </c>
      <c r="F163" s="34" t="n">
        <v>12.95</v>
      </c>
      <c r="G163" s="34" t="n">
        <v>416.75</v>
      </c>
      <c r="H163" s="34" t="n">
        <v>267.2</v>
      </c>
      <c r="I163" s="34" t="n">
        <v>67.99</v>
      </c>
      <c r="J163" s="34" t="n">
        <v>63.65</v>
      </c>
      <c r="K163" s="34" t="n">
        <v>1189354</v>
      </c>
      <c r="L163" s="34" t="n">
        <v>1.18</v>
      </c>
      <c r="M163" s="34" t="n">
        <v>399.15</v>
      </c>
      <c r="N163" s="34" t="n">
        <v>379.49</v>
      </c>
      <c r="O163" s="34" t="n">
        <v>389.9</v>
      </c>
      <c r="P163" s="34" t="n">
        <v>399.15</v>
      </c>
      <c r="Q163" s="34" t="n">
        <v>378.46</v>
      </c>
      <c r="R163" s="34" t="n">
        <v>391</v>
      </c>
      <c r="S163" s="34" t="n">
        <v>16.35</v>
      </c>
      <c r="T163" s="34" t="n">
        <v>0.086</v>
      </c>
      <c r="U163" s="34" t="n">
        <v>519.7</v>
      </c>
      <c r="V163" s="34" t="n">
        <v>267.2</v>
      </c>
    </row>
    <row r="164" customFormat="false" ht="15" hidden="false" customHeight="true" outlineLevel="0" collapsed="false">
      <c r="A164" s="34" t="s">
        <v>98</v>
      </c>
      <c r="B164" s="34" t="n">
        <v>393.05</v>
      </c>
      <c r="C164" s="34" t="n">
        <v>395.45</v>
      </c>
      <c r="D164" s="34" t="n">
        <v>384.35</v>
      </c>
      <c r="E164" s="34" t="n">
        <v>2.4</v>
      </c>
      <c r="F164" s="34" t="n">
        <v>12.44</v>
      </c>
      <c r="G164" s="34" t="n">
        <v>395.45</v>
      </c>
      <c r="H164" s="34" t="n">
        <v>328</v>
      </c>
      <c r="I164" s="34" t="n">
        <v>150.06</v>
      </c>
      <c r="J164" s="34" t="n">
        <v>70.13</v>
      </c>
      <c r="K164" s="34" t="n">
        <v>3088602</v>
      </c>
      <c r="L164" s="34" t="n">
        <v>1.35</v>
      </c>
      <c r="M164" s="34" t="n">
        <v>364.45</v>
      </c>
      <c r="N164" s="34" t="n">
        <v>377.18</v>
      </c>
      <c r="O164" s="34" t="n">
        <v>383.85</v>
      </c>
      <c r="P164" s="34" t="n">
        <v>384.06</v>
      </c>
      <c r="Q164" s="34" t="n">
        <v>371.35</v>
      </c>
      <c r="R164" s="34" t="n">
        <v>387</v>
      </c>
      <c r="S164" s="34" t="n">
        <v>36.64</v>
      </c>
      <c r="T164" s="34" t="n">
        <v>0.045</v>
      </c>
      <c r="U164" s="34" t="n">
        <v>620.35</v>
      </c>
      <c r="V164" s="34" t="n">
        <v>328</v>
      </c>
    </row>
    <row r="165" customFormat="false" ht="15" hidden="false" customHeight="true" outlineLevel="0" collapsed="false">
      <c r="A165" s="34" t="s">
        <v>160</v>
      </c>
      <c r="B165" s="34" t="n">
        <v>363.9</v>
      </c>
      <c r="C165" s="34" t="n">
        <v>371.15</v>
      </c>
      <c r="D165" s="34" t="n">
        <v>349.6</v>
      </c>
      <c r="E165" s="34" t="n">
        <v>3.85</v>
      </c>
      <c r="F165" s="34" t="n">
        <v>12.12</v>
      </c>
      <c r="G165" s="34" t="n">
        <v>371.15</v>
      </c>
      <c r="H165" s="34" t="n">
        <v>243.5</v>
      </c>
      <c r="I165" s="34" t="n">
        <v>244.52</v>
      </c>
      <c r="J165" s="34" t="n">
        <v>89.61</v>
      </c>
      <c r="K165" s="34" t="n">
        <v>68855818</v>
      </c>
      <c r="L165" s="34" t="n">
        <v>1.91</v>
      </c>
      <c r="M165" s="34" t="n">
        <v>337.34</v>
      </c>
      <c r="N165" s="34" t="n">
        <v>348.86</v>
      </c>
      <c r="O165" s="34" t="n">
        <v>350.4</v>
      </c>
      <c r="P165" s="34" t="n">
        <v>325.09</v>
      </c>
      <c r="Q165" s="34" t="n">
        <v>335.5</v>
      </c>
      <c r="R165" s="34" t="n">
        <v>351.6</v>
      </c>
      <c r="S165" s="34" t="n">
        <v>1.95</v>
      </c>
      <c r="T165" s="34" t="n">
        <v>0.116</v>
      </c>
      <c r="U165" s="34" t="n">
        <v>371.15</v>
      </c>
      <c r="V165" s="34" t="n">
        <v>230</v>
      </c>
    </row>
    <row r="166" customFormat="false" ht="15" hidden="false" customHeight="true" outlineLevel="0" collapsed="false">
      <c r="A166" s="34" t="s">
        <v>74</v>
      </c>
      <c r="B166" s="34" t="n">
        <v>343.1</v>
      </c>
      <c r="C166" s="34" t="n">
        <v>347.6</v>
      </c>
      <c r="D166" s="34" t="n">
        <v>342</v>
      </c>
      <c r="E166" s="34" t="n">
        <v>0.336</v>
      </c>
      <c r="F166" s="34" t="n">
        <v>8.63</v>
      </c>
      <c r="G166" s="34" t="n">
        <v>371.45</v>
      </c>
      <c r="H166" s="34" t="n">
        <v>306.55</v>
      </c>
      <c r="I166" s="34" t="n">
        <v>-50.96</v>
      </c>
      <c r="J166" s="34" t="n">
        <v>46.2</v>
      </c>
      <c r="K166" s="34" t="n">
        <v>6921903</v>
      </c>
      <c r="L166" s="34" t="n">
        <v>0.16</v>
      </c>
      <c r="M166" s="34" t="n">
        <v>351.82</v>
      </c>
      <c r="N166" s="34" t="n">
        <v>336.05</v>
      </c>
      <c r="O166" s="34" t="n">
        <v>341.95</v>
      </c>
      <c r="P166" s="34" t="n">
        <v>351.82</v>
      </c>
      <c r="Q166" s="34" t="n">
        <v>335.98</v>
      </c>
      <c r="R166" s="34" t="n">
        <v>343</v>
      </c>
      <c r="S166" s="34" t="n">
        <v>23.49</v>
      </c>
      <c r="T166" s="34" t="n">
        <v>0.044</v>
      </c>
      <c r="U166" s="34" t="n">
        <v>448.45</v>
      </c>
      <c r="V166" s="34" t="n">
        <v>292.8</v>
      </c>
    </row>
    <row r="167" customFormat="false" ht="15" hidden="false" customHeight="true" outlineLevel="0" collapsed="false">
      <c r="A167" s="34" t="s">
        <v>91</v>
      </c>
      <c r="B167" s="34" t="n">
        <v>339.4</v>
      </c>
      <c r="C167" s="34" t="n">
        <v>344.4</v>
      </c>
      <c r="D167" s="34" t="n">
        <v>338.6</v>
      </c>
      <c r="E167" s="34" t="n">
        <v>0.236</v>
      </c>
      <c r="F167" s="34" t="n">
        <v>11.04</v>
      </c>
      <c r="G167" s="34" t="n">
        <v>357.4</v>
      </c>
      <c r="H167" s="34" t="n">
        <v>291</v>
      </c>
      <c r="I167" s="34" t="n">
        <v>102.88</v>
      </c>
      <c r="J167" s="34" t="n">
        <v>60.56</v>
      </c>
      <c r="K167" s="34" t="n">
        <v>1989564</v>
      </c>
      <c r="L167" s="34" t="n">
        <v>0.625</v>
      </c>
      <c r="M167" s="34" t="n">
        <v>319.09</v>
      </c>
      <c r="N167" s="34" t="n">
        <v>340.04</v>
      </c>
      <c r="O167" s="34" t="n">
        <v>338.6</v>
      </c>
      <c r="P167" s="34" t="n">
        <v>319.09</v>
      </c>
      <c r="Q167" s="34" t="n">
        <v>340.04</v>
      </c>
      <c r="R167" s="34" t="n">
        <v>342</v>
      </c>
      <c r="S167" s="34" t="n">
        <v>16.14</v>
      </c>
      <c r="T167" s="34" t="n">
        <v>0.065</v>
      </c>
      <c r="U167" s="34" t="n">
        <v>404.7</v>
      </c>
      <c r="V167" s="34" t="n">
        <v>269.55</v>
      </c>
    </row>
    <row r="168" customFormat="false" ht="15" hidden="false" customHeight="true" outlineLevel="0" collapsed="false">
      <c r="A168" s="34" t="s">
        <v>205</v>
      </c>
      <c r="B168" s="34" t="n">
        <v>351.25</v>
      </c>
      <c r="C168" s="34" t="n">
        <v>353.4</v>
      </c>
      <c r="D168" s="34" t="n">
        <v>338.3</v>
      </c>
      <c r="E168" s="34" t="n">
        <v>7.28</v>
      </c>
      <c r="F168" s="34" t="n">
        <v>13.17</v>
      </c>
      <c r="G168" s="34" t="n">
        <v>367.5</v>
      </c>
      <c r="H168" s="34" t="n">
        <v>301</v>
      </c>
      <c r="I168" s="34" t="n">
        <v>158.77</v>
      </c>
      <c r="J168" s="34" t="n">
        <v>67.16</v>
      </c>
      <c r="K168" s="34" t="n">
        <v>21436042</v>
      </c>
      <c r="L168" s="34" t="n">
        <v>4.22</v>
      </c>
      <c r="M168" s="34" t="n">
        <v>320.45</v>
      </c>
      <c r="N168" s="34" t="n">
        <v>333.15</v>
      </c>
      <c r="O168" s="34" t="n">
        <v>327.4</v>
      </c>
      <c r="P168" s="34" t="n">
        <v>343.46</v>
      </c>
      <c r="Q168" s="34" t="n">
        <v>322.22</v>
      </c>
      <c r="R168" s="34" t="n">
        <v>339.35</v>
      </c>
      <c r="S168" s="34" t="n">
        <v>27.43</v>
      </c>
      <c r="T168" s="34" t="n">
        <v>0.044</v>
      </c>
      <c r="U168" s="34" t="n">
        <v>484</v>
      </c>
      <c r="V168" s="34" t="n">
        <v>301</v>
      </c>
    </row>
    <row r="169" customFormat="false" ht="15" hidden="false" customHeight="true" outlineLevel="0" collapsed="false">
      <c r="A169" s="34" t="s">
        <v>247</v>
      </c>
      <c r="B169" s="34" t="n">
        <v>320.85</v>
      </c>
      <c r="C169" s="34" t="n">
        <v>328.15</v>
      </c>
      <c r="D169" s="34" t="n">
        <v>320.05</v>
      </c>
      <c r="E169" s="34" t="n">
        <v>-1</v>
      </c>
      <c r="F169" s="34" t="n">
        <v>8.76</v>
      </c>
      <c r="G169" s="34" t="n">
        <v>328.15</v>
      </c>
      <c r="H169" s="34" t="n">
        <v>236.53</v>
      </c>
      <c r="I169" s="34" t="n">
        <v>149.92</v>
      </c>
      <c r="J169" s="34" t="n">
        <v>71.34</v>
      </c>
      <c r="K169" s="34" t="n">
        <v>2114291</v>
      </c>
      <c r="L169" s="34" t="n">
        <v>0.922</v>
      </c>
      <c r="M169" s="34" t="n">
        <v>306.01</v>
      </c>
      <c r="N169" s="34" t="n">
        <v>315.27</v>
      </c>
      <c r="O169" s="34" t="n">
        <v>324.1</v>
      </c>
      <c r="P169" s="34" t="n">
        <v>306.01</v>
      </c>
      <c r="Q169" s="34" t="n">
        <v>315.27</v>
      </c>
      <c r="R169" s="34" t="n">
        <v>326.9</v>
      </c>
      <c r="S169" s="34" t="n">
        <v>28.33</v>
      </c>
      <c r="T169" s="34" t="n">
        <v>0.086</v>
      </c>
      <c r="U169" s="34" t="n">
        <v>488</v>
      </c>
      <c r="V169" s="34" t="n">
        <v>236.53</v>
      </c>
    </row>
    <row r="170" customFormat="false" ht="15" hidden="false" customHeight="true" outlineLevel="0" collapsed="false">
      <c r="A170" s="34" t="s">
        <v>189</v>
      </c>
      <c r="B170" s="34" t="n">
        <v>320.6</v>
      </c>
      <c r="C170" s="34" t="n">
        <v>323.25</v>
      </c>
      <c r="D170" s="34" t="n">
        <v>316.7</v>
      </c>
      <c r="E170" s="34" t="n">
        <v>0.25</v>
      </c>
      <c r="F170" s="34" t="n">
        <v>9.09</v>
      </c>
      <c r="G170" s="34" t="n">
        <v>326.5</v>
      </c>
      <c r="H170" s="34" t="n">
        <v>269.6</v>
      </c>
      <c r="I170" s="34" t="n">
        <v>158.51</v>
      </c>
      <c r="J170" s="34" t="n">
        <v>72.18</v>
      </c>
      <c r="K170" s="34" t="n">
        <v>1294322</v>
      </c>
      <c r="L170" s="34" t="n">
        <v>0.267</v>
      </c>
      <c r="M170" s="34" t="n">
        <v>301.73</v>
      </c>
      <c r="N170" s="34" t="n">
        <v>310.85</v>
      </c>
      <c r="O170" s="34" t="n">
        <v>319.8</v>
      </c>
      <c r="P170" s="34" t="n">
        <v>301.23</v>
      </c>
      <c r="Q170" s="34" t="n">
        <v>310.64</v>
      </c>
      <c r="R170" s="34" t="n">
        <v>321</v>
      </c>
      <c r="S170" s="34" t="n">
        <v>16.55</v>
      </c>
      <c r="T170" s="34" t="n">
        <v>0.068</v>
      </c>
      <c r="U170" s="34" t="n">
        <v>384.2</v>
      </c>
      <c r="V170" s="34" t="n">
        <v>253.4</v>
      </c>
    </row>
    <row r="171" customFormat="false" ht="15" hidden="false" customHeight="true" outlineLevel="0" collapsed="false">
      <c r="A171" s="34" t="s">
        <v>198</v>
      </c>
      <c r="B171" s="34" t="n">
        <v>320.1</v>
      </c>
      <c r="C171" s="34" t="n">
        <v>321</v>
      </c>
      <c r="D171" s="34" t="n">
        <v>315.8</v>
      </c>
      <c r="E171" s="34" t="n">
        <v>0.978</v>
      </c>
      <c r="F171" s="34" t="n">
        <v>8.57</v>
      </c>
      <c r="G171" s="34" t="n">
        <v>325.85</v>
      </c>
      <c r="H171" s="34" t="n">
        <v>234.01</v>
      </c>
      <c r="I171" s="34" t="n">
        <v>114.98</v>
      </c>
      <c r="J171" s="34" t="n">
        <v>67.28</v>
      </c>
      <c r="K171" s="34" t="n">
        <v>6861786</v>
      </c>
      <c r="L171" s="34" t="n">
        <v>0.973</v>
      </c>
      <c r="M171" s="34" t="n">
        <v>300.74</v>
      </c>
      <c r="N171" s="34" t="n">
        <v>309.53</v>
      </c>
      <c r="O171" s="34" t="n">
        <v>317</v>
      </c>
      <c r="P171" s="34" t="n">
        <v>300.74</v>
      </c>
      <c r="Q171" s="34" t="n">
        <v>307.57</v>
      </c>
      <c r="R171" s="34" t="n">
        <v>316</v>
      </c>
      <c r="S171" s="34" t="n">
        <v>14.87</v>
      </c>
      <c r="T171" s="34" t="n">
        <v>0.088</v>
      </c>
      <c r="U171" s="34" t="n">
        <v>376</v>
      </c>
      <c r="V171" s="34" t="n">
        <v>234.01</v>
      </c>
    </row>
    <row r="172" customFormat="false" ht="15" hidden="false" customHeight="true" outlineLevel="0" collapsed="false">
      <c r="A172" s="34" t="s">
        <v>80</v>
      </c>
      <c r="B172" s="34" t="n">
        <v>300.2</v>
      </c>
      <c r="C172" s="34" t="n">
        <v>302.2</v>
      </c>
      <c r="D172" s="34" t="n">
        <v>295.5</v>
      </c>
      <c r="E172" s="34" t="n">
        <v>0.184</v>
      </c>
      <c r="F172" s="34" t="n">
        <v>8.72</v>
      </c>
      <c r="G172" s="34" t="n">
        <v>322</v>
      </c>
      <c r="H172" s="34" t="n">
        <v>247.3</v>
      </c>
      <c r="I172" s="34" t="n">
        <v>-114.78</v>
      </c>
      <c r="J172" s="34" t="n">
        <v>45.12</v>
      </c>
      <c r="K172" s="34" t="n">
        <v>16764068</v>
      </c>
      <c r="L172" s="34" t="n">
        <v>0.74</v>
      </c>
      <c r="M172" s="34" t="n">
        <v>313.51</v>
      </c>
      <c r="N172" s="34" t="n">
        <v>304.62</v>
      </c>
      <c r="O172" s="34" t="n">
        <v>299.65</v>
      </c>
      <c r="P172" s="34" t="n">
        <v>313.51</v>
      </c>
      <c r="Q172" s="34" t="n">
        <v>304.62</v>
      </c>
      <c r="R172" s="34" t="n">
        <v>300</v>
      </c>
      <c r="S172" s="34" t="n">
        <v>18.03</v>
      </c>
      <c r="T172" s="34" t="n">
        <v>0.06</v>
      </c>
      <c r="U172" s="34" t="n">
        <v>366.25</v>
      </c>
      <c r="V172" s="34" t="n">
        <v>247.3</v>
      </c>
    </row>
    <row r="173" customFormat="false" ht="15" hidden="false" customHeight="true" outlineLevel="0" collapsed="false">
      <c r="A173" s="34" t="s">
        <v>44</v>
      </c>
      <c r="B173" s="34" t="n">
        <v>278.1</v>
      </c>
      <c r="C173" s="34" t="n">
        <v>284.4</v>
      </c>
      <c r="D173" s="34" t="n">
        <v>277</v>
      </c>
      <c r="E173" s="34" t="n">
        <v>0.252</v>
      </c>
      <c r="F173" s="34" t="n">
        <v>9.34</v>
      </c>
      <c r="G173" s="34" t="n">
        <v>284.4</v>
      </c>
      <c r="H173" s="34" t="n">
        <v>231.3</v>
      </c>
      <c r="I173" s="34" t="n">
        <v>153.81</v>
      </c>
      <c r="J173" s="34" t="n">
        <v>66.06</v>
      </c>
      <c r="K173" s="34" t="n">
        <v>4806208</v>
      </c>
      <c r="L173" s="34" t="n">
        <v>2.08</v>
      </c>
      <c r="M173" s="34" t="n">
        <v>261.97</v>
      </c>
      <c r="N173" s="34" t="n">
        <v>271.33</v>
      </c>
      <c r="O173" s="34" t="n">
        <v>277.4</v>
      </c>
      <c r="P173" s="34" t="n">
        <v>258.13</v>
      </c>
      <c r="Q173" s="34" t="n">
        <v>267.71</v>
      </c>
      <c r="R173" s="34" t="n">
        <v>277.95</v>
      </c>
      <c r="S173" s="34" t="n">
        <v>23.68</v>
      </c>
      <c r="T173" s="34" t="n">
        <v>0.065</v>
      </c>
      <c r="U173" s="34" t="n">
        <v>364.4</v>
      </c>
      <c r="V173" s="34" t="n">
        <v>231.3</v>
      </c>
    </row>
    <row r="174" customFormat="false" ht="15" hidden="false" customHeight="true" outlineLevel="0" collapsed="false">
      <c r="A174" s="34" t="s">
        <v>217</v>
      </c>
      <c r="B174" s="34" t="n">
        <v>277</v>
      </c>
      <c r="C174" s="34" t="n">
        <v>277.95</v>
      </c>
      <c r="D174" s="34" t="n">
        <v>273.05</v>
      </c>
      <c r="E174" s="34" t="n">
        <v>1.21</v>
      </c>
      <c r="F174" s="34" t="n">
        <v>8.04</v>
      </c>
      <c r="G174" s="34" t="n">
        <v>277.95</v>
      </c>
      <c r="H174" s="34" t="n">
        <v>198.65</v>
      </c>
      <c r="I174" s="34" t="n">
        <v>195.48</v>
      </c>
      <c r="J174" s="34" t="n">
        <v>76.7</v>
      </c>
      <c r="K174" s="34" t="n">
        <v>13449060</v>
      </c>
      <c r="L174" s="34" t="n">
        <v>0.83</v>
      </c>
      <c r="M174" s="34" t="n">
        <v>259.33</v>
      </c>
      <c r="N174" s="34" t="n">
        <v>267.42</v>
      </c>
      <c r="O174" s="34" t="n">
        <v>273.7</v>
      </c>
      <c r="P174" s="34" t="n">
        <v>253.18</v>
      </c>
      <c r="Q174" s="34" t="n">
        <v>261.61</v>
      </c>
      <c r="R174" s="34" t="n">
        <v>274.1</v>
      </c>
      <c r="S174" s="34" t="n">
        <v>26.33</v>
      </c>
      <c r="T174" s="34" t="n">
        <v>0.11</v>
      </c>
      <c r="U174" s="34" t="n">
        <v>394.7</v>
      </c>
      <c r="V174" s="34" t="n">
        <v>198.65</v>
      </c>
    </row>
    <row r="175" customFormat="false" ht="15" hidden="false" customHeight="true" outlineLevel="0" collapsed="false">
      <c r="A175" s="34" t="s">
        <v>116</v>
      </c>
      <c r="B175" s="34" t="n">
        <v>266.95</v>
      </c>
      <c r="C175" s="34" t="n">
        <v>268.75</v>
      </c>
      <c r="D175" s="34" t="n">
        <v>264.6</v>
      </c>
      <c r="E175" s="34" t="n">
        <v>0.603</v>
      </c>
      <c r="F175" s="34" t="n">
        <v>8.19</v>
      </c>
      <c r="G175" s="34" t="n">
        <v>296</v>
      </c>
      <c r="H175" s="34" t="n">
        <v>237.95</v>
      </c>
      <c r="I175" s="34" t="n">
        <v>38.35</v>
      </c>
      <c r="J175" s="34" t="n">
        <v>61.11</v>
      </c>
      <c r="K175" s="34" t="n">
        <v>1326473</v>
      </c>
      <c r="L175" s="34" t="n">
        <v>0.573</v>
      </c>
      <c r="M175" s="34" t="n">
        <v>250.32</v>
      </c>
      <c r="N175" s="34" t="n">
        <v>258.5</v>
      </c>
      <c r="O175" s="34" t="n">
        <v>265.35</v>
      </c>
      <c r="P175" s="34" t="n">
        <v>244.8</v>
      </c>
      <c r="Q175" s="34" t="n">
        <v>253.42</v>
      </c>
      <c r="R175" s="34" t="n">
        <v>266.35</v>
      </c>
      <c r="S175" s="34" t="n">
        <v>22.17</v>
      </c>
      <c r="T175" s="34" t="n">
        <v>0.043</v>
      </c>
      <c r="U175" s="34" t="n">
        <v>343</v>
      </c>
      <c r="V175" s="34" t="n">
        <v>237.95</v>
      </c>
    </row>
    <row r="176" customFormat="false" ht="15" hidden="false" customHeight="true" outlineLevel="0" collapsed="false">
      <c r="A176" s="34" t="s">
        <v>48</v>
      </c>
      <c r="B176" s="34" t="n">
        <v>254.31</v>
      </c>
      <c r="C176" s="34" t="n">
        <v>257</v>
      </c>
      <c r="D176" s="34" t="n">
        <v>253.53</v>
      </c>
      <c r="E176" s="34" t="n">
        <v>-0.881</v>
      </c>
      <c r="F176" s="34" t="n">
        <v>6.38</v>
      </c>
      <c r="G176" s="34" t="n">
        <v>294</v>
      </c>
      <c r="H176" s="34" t="n">
        <v>228</v>
      </c>
      <c r="I176" s="34" t="n">
        <v>149.72</v>
      </c>
      <c r="J176" s="34" t="n">
        <v>61.99</v>
      </c>
      <c r="K176" s="34" t="n">
        <v>6640387</v>
      </c>
      <c r="L176" s="34" t="n">
        <v>0.549</v>
      </c>
      <c r="M176" s="34" t="n">
        <v>242.12</v>
      </c>
      <c r="N176" s="34" t="n">
        <v>248.69</v>
      </c>
      <c r="O176" s="34" t="n">
        <v>256.57</v>
      </c>
      <c r="P176" s="34" t="n">
        <v>240.03</v>
      </c>
      <c r="Q176" s="34" t="n">
        <v>246.94</v>
      </c>
      <c r="R176" s="34" t="n">
        <v>257</v>
      </c>
      <c r="S176" s="34" t="n">
        <v>21.65</v>
      </c>
      <c r="T176" s="34" t="n">
        <v>0.074</v>
      </c>
      <c r="U176" s="34" t="n">
        <v>324.6</v>
      </c>
      <c r="V176" s="34" t="n">
        <v>208.5</v>
      </c>
    </row>
    <row r="177" customFormat="false" ht="15" hidden="false" customHeight="true" outlineLevel="0" collapsed="false">
      <c r="A177" s="34" t="s">
        <v>166</v>
      </c>
      <c r="B177" s="34" t="n">
        <v>247.27</v>
      </c>
      <c r="C177" s="34" t="n">
        <v>249.39</v>
      </c>
      <c r="D177" s="34" t="n">
        <v>246.2</v>
      </c>
      <c r="E177" s="34" t="n">
        <v>-0.137</v>
      </c>
      <c r="F177" s="34" t="n">
        <v>6.5</v>
      </c>
      <c r="G177" s="34" t="n">
        <v>254.9</v>
      </c>
      <c r="H177" s="34" t="n">
        <v>205</v>
      </c>
      <c r="I177" s="34" t="n">
        <v>62.57</v>
      </c>
      <c r="J177" s="34" t="n">
        <v>61.22</v>
      </c>
      <c r="K177" s="34" t="n">
        <v>8035539</v>
      </c>
      <c r="L177" s="34" t="n">
        <v>0.478</v>
      </c>
      <c r="M177" s="34" t="n">
        <v>234.37</v>
      </c>
      <c r="N177" s="34" t="n">
        <v>241.08</v>
      </c>
      <c r="O177" s="34" t="n">
        <v>247.61</v>
      </c>
      <c r="P177" s="34" t="n">
        <v>231.4</v>
      </c>
      <c r="Q177" s="34" t="n">
        <v>238.51</v>
      </c>
      <c r="R177" s="34" t="n">
        <v>247.06</v>
      </c>
      <c r="S177" s="34" t="n">
        <v>28.33</v>
      </c>
      <c r="T177" s="34" t="n">
        <v>0.072</v>
      </c>
      <c r="U177" s="34" t="n">
        <v>345</v>
      </c>
      <c r="V177" s="34" t="n">
        <v>205</v>
      </c>
    </row>
    <row r="178" customFormat="false" ht="15" hidden="false" customHeight="true" outlineLevel="0" collapsed="false">
      <c r="A178" s="34" t="s">
        <v>107</v>
      </c>
      <c r="B178" s="34" t="n">
        <v>250.35</v>
      </c>
      <c r="C178" s="34" t="n">
        <v>259.99</v>
      </c>
      <c r="D178" s="34" t="n">
        <v>244.16</v>
      </c>
      <c r="E178" s="34" t="n">
        <v>1.9</v>
      </c>
      <c r="F178" s="34" t="n">
        <v>10.37</v>
      </c>
      <c r="G178" s="34" t="n">
        <v>259.99</v>
      </c>
      <c r="H178" s="34" t="n">
        <v>176</v>
      </c>
      <c r="I178" s="34" t="n">
        <v>253.59</v>
      </c>
      <c r="J178" s="34" t="n">
        <v>75.95</v>
      </c>
      <c r="K178" s="34" t="n">
        <v>50239674</v>
      </c>
      <c r="L178" s="34" t="n">
        <v>3.11</v>
      </c>
      <c r="M178" s="34" t="n">
        <v>232.16</v>
      </c>
      <c r="N178" s="34" t="n">
        <v>242.12</v>
      </c>
      <c r="O178" s="34" t="n">
        <v>245.68</v>
      </c>
      <c r="P178" s="34" t="n">
        <v>224.02</v>
      </c>
      <c r="Q178" s="34" t="n">
        <v>233.33</v>
      </c>
      <c r="R178" s="34" t="n">
        <v>247.8</v>
      </c>
      <c r="S178" s="34" t="n">
        <v>25.35</v>
      </c>
      <c r="T178" s="34" t="n">
        <v>0.133</v>
      </c>
      <c r="U178" s="34" t="n">
        <v>335.35</v>
      </c>
      <c r="V178" s="34" t="n">
        <v>176</v>
      </c>
    </row>
    <row r="179" customFormat="false" ht="15" hidden="false" customHeight="true" outlineLevel="0" collapsed="false">
      <c r="A179" s="34" t="s">
        <v>656</v>
      </c>
      <c r="B179" s="34" t="n">
        <v>245.76</v>
      </c>
      <c r="C179" s="34" t="n">
        <v>246.94</v>
      </c>
      <c r="D179" s="34" t="n">
        <v>242</v>
      </c>
      <c r="E179" s="34" t="n">
        <v>1.31</v>
      </c>
      <c r="F179" s="34" t="n">
        <v>8.9</v>
      </c>
      <c r="G179" s="34" t="n">
        <v>246.94</v>
      </c>
      <c r="H179" s="34" t="n">
        <v>194.8</v>
      </c>
      <c r="I179" s="34" t="n">
        <v>192.1</v>
      </c>
      <c r="J179" s="34" t="n">
        <v>65.57</v>
      </c>
      <c r="K179" s="34" t="n">
        <v>30854384</v>
      </c>
      <c r="L179" s="34" t="n">
        <v>0.765</v>
      </c>
      <c r="M179" s="34" t="n">
        <v>226.44</v>
      </c>
      <c r="N179" s="34" t="n">
        <v>235.45</v>
      </c>
      <c r="O179" s="34" t="n">
        <v>242.59</v>
      </c>
      <c r="P179" s="34" t="n">
        <v>221.11</v>
      </c>
      <c r="Q179" s="34" t="n">
        <v>230.06</v>
      </c>
      <c r="R179" s="34" t="n">
        <v>242.6</v>
      </c>
      <c r="S179" s="34" t="n">
        <v>19.34</v>
      </c>
      <c r="T179" s="34" t="n">
        <v>0.175</v>
      </c>
      <c r="U179" s="34" t="n">
        <v>304.7</v>
      </c>
      <c r="V179" s="34" t="n">
        <v>146.3</v>
      </c>
    </row>
    <row r="180" customFormat="false" ht="15" hidden="false" customHeight="true" outlineLevel="0" collapsed="false">
      <c r="A180" s="34" t="s">
        <v>175</v>
      </c>
      <c r="B180" s="34" t="n">
        <v>237.33</v>
      </c>
      <c r="C180" s="34" t="n">
        <v>241.29</v>
      </c>
      <c r="D180" s="34" t="n">
        <v>236.57</v>
      </c>
      <c r="E180" s="34" t="n">
        <v>-0.848</v>
      </c>
      <c r="F180" s="34" t="n">
        <v>6.17</v>
      </c>
      <c r="G180" s="34" t="n">
        <v>241.29</v>
      </c>
      <c r="H180" s="34" t="n">
        <v>191.86</v>
      </c>
      <c r="I180" s="34" t="n">
        <v>173.83</v>
      </c>
      <c r="J180" s="34" t="n">
        <v>67.86</v>
      </c>
      <c r="K180" s="34" t="n">
        <v>6823332</v>
      </c>
      <c r="L180" s="34" t="n">
        <v>1.35</v>
      </c>
      <c r="M180" s="34" t="n">
        <v>226.48</v>
      </c>
      <c r="N180" s="34" t="n">
        <v>232.7</v>
      </c>
      <c r="O180" s="34" t="n">
        <v>239.36</v>
      </c>
      <c r="P180" s="34" t="n">
        <v>224.12</v>
      </c>
      <c r="Q180" s="34" t="n">
        <v>230.51</v>
      </c>
      <c r="R180" s="34" t="n">
        <v>240</v>
      </c>
      <c r="S180" s="34" t="n">
        <v>10.32</v>
      </c>
      <c r="T180" s="34" t="n">
        <v>0.085</v>
      </c>
      <c r="U180" s="34" t="n">
        <v>264.65</v>
      </c>
      <c r="V180" s="34" t="n">
        <v>191.86</v>
      </c>
    </row>
    <row r="181" customFormat="false" ht="15" hidden="false" customHeight="true" outlineLevel="0" collapsed="false">
      <c r="A181" s="34" t="s">
        <v>111</v>
      </c>
      <c r="B181" s="34" t="n">
        <v>236.92</v>
      </c>
      <c r="C181" s="34" t="n">
        <v>238</v>
      </c>
      <c r="D181" s="34" t="n">
        <v>234.82</v>
      </c>
      <c r="E181" s="34" t="n">
        <v>1.08</v>
      </c>
      <c r="F181" s="34" t="n">
        <v>7.04</v>
      </c>
      <c r="G181" s="34" t="n">
        <v>259.44</v>
      </c>
      <c r="H181" s="34" t="n">
        <v>190.7</v>
      </c>
      <c r="I181" s="34" t="n">
        <v>-23.47</v>
      </c>
      <c r="J181" s="34" t="n">
        <v>55.9</v>
      </c>
      <c r="K181" s="34" t="n">
        <v>5561152</v>
      </c>
      <c r="L181" s="34" t="n">
        <v>0.875</v>
      </c>
      <c r="M181" s="34" t="n">
        <v>221.96</v>
      </c>
      <c r="N181" s="34" t="n">
        <v>229.18</v>
      </c>
      <c r="O181" s="34" t="n">
        <v>234.38</v>
      </c>
      <c r="P181" s="34" t="n">
        <v>219.12</v>
      </c>
      <c r="Q181" s="34" t="n">
        <v>226.75</v>
      </c>
      <c r="R181" s="34" t="n">
        <v>234.9</v>
      </c>
      <c r="S181" s="34" t="n">
        <v>20.95</v>
      </c>
      <c r="T181" s="34" t="n">
        <v>0.087</v>
      </c>
      <c r="U181" s="34" t="n">
        <v>299.7</v>
      </c>
      <c r="V181" s="34" t="n">
        <v>190.7</v>
      </c>
    </row>
    <row r="182" customFormat="false" ht="15" hidden="false" customHeight="true" outlineLevel="0" collapsed="false">
      <c r="A182" s="34" t="s">
        <v>97</v>
      </c>
      <c r="B182" s="34" t="n">
        <v>229.48</v>
      </c>
      <c r="C182" s="34" t="n">
        <v>230.1</v>
      </c>
      <c r="D182" s="34" t="n">
        <v>228.64</v>
      </c>
      <c r="E182" s="34" t="n">
        <v>0.052</v>
      </c>
      <c r="F182" s="34" t="n">
        <v>4.08</v>
      </c>
      <c r="G182" s="34" t="n">
        <v>247.6</v>
      </c>
      <c r="H182" s="34" t="n">
        <v>194.51</v>
      </c>
      <c r="I182" s="34" t="n">
        <v>-43.04</v>
      </c>
      <c r="J182" s="34" t="n">
        <v>47.33</v>
      </c>
      <c r="K182" s="34" t="n">
        <v>2700695</v>
      </c>
      <c r="L182" s="34" t="n">
        <v>0.546</v>
      </c>
      <c r="M182" s="34" t="n">
        <v>222.63</v>
      </c>
      <c r="N182" s="34" t="n">
        <v>227.51</v>
      </c>
      <c r="O182" s="34" t="n">
        <v>229.36</v>
      </c>
      <c r="P182" s="34" t="n">
        <v>222.63</v>
      </c>
      <c r="Q182" s="34" t="n">
        <v>227.51</v>
      </c>
      <c r="R182" s="34" t="n">
        <v>229.94</v>
      </c>
      <c r="S182" s="34" t="n">
        <v>7.32</v>
      </c>
      <c r="T182" s="34" t="n">
        <v>0.175</v>
      </c>
      <c r="U182" s="34" t="n">
        <v>247.6</v>
      </c>
      <c r="V182" s="34" t="n">
        <v>138.35</v>
      </c>
    </row>
    <row r="183" customFormat="false" ht="15" hidden="false" customHeight="true" outlineLevel="0" collapsed="false">
      <c r="A183" s="34" t="s">
        <v>41</v>
      </c>
      <c r="B183" s="34" t="n">
        <v>226</v>
      </c>
      <c r="C183" s="34" t="n">
        <v>231</v>
      </c>
      <c r="D183" s="34" t="n">
        <v>225.3</v>
      </c>
      <c r="E183" s="34" t="n">
        <v>-0.781</v>
      </c>
      <c r="F183" s="34" t="n">
        <v>9.25</v>
      </c>
      <c r="G183" s="34" t="n">
        <v>240.75</v>
      </c>
      <c r="H183" s="34" t="n">
        <v>183.82</v>
      </c>
      <c r="I183" s="34" t="n">
        <v>102.98</v>
      </c>
      <c r="J183" s="34" t="n">
        <v>59.05</v>
      </c>
      <c r="K183" s="34" t="n">
        <v>4826694</v>
      </c>
      <c r="L183" s="34" t="n">
        <v>0.651</v>
      </c>
      <c r="M183" s="34" t="n">
        <v>210.76</v>
      </c>
      <c r="N183" s="34" t="n">
        <v>220.51</v>
      </c>
      <c r="O183" s="34" t="n">
        <v>227.78</v>
      </c>
      <c r="P183" s="34" t="n">
        <v>210.76</v>
      </c>
      <c r="Q183" s="34" t="n">
        <v>220.51</v>
      </c>
      <c r="R183" s="34" t="n">
        <v>228.37</v>
      </c>
      <c r="S183" s="34" t="n">
        <v>45.65</v>
      </c>
      <c r="T183" s="34" t="n">
        <v>0.088</v>
      </c>
      <c r="U183" s="34" t="n">
        <v>415.8</v>
      </c>
      <c r="V183" s="34" t="n">
        <v>183.82</v>
      </c>
    </row>
    <row r="184" customFormat="false" ht="15" hidden="false" customHeight="true" outlineLevel="0" collapsed="false">
      <c r="A184" s="34" t="s">
        <v>212</v>
      </c>
      <c r="B184" s="34" t="n">
        <v>233.86</v>
      </c>
      <c r="C184" s="34" t="n">
        <v>234.59</v>
      </c>
      <c r="D184" s="34" t="n">
        <v>221.74</v>
      </c>
      <c r="E184" s="34" t="n">
        <v>5.48</v>
      </c>
      <c r="F184" s="34" t="n">
        <v>9.69</v>
      </c>
      <c r="G184" s="34" t="n">
        <v>243.46</v>
      </c>
      <c r="H184" s="34" t="n">
        <v>158.85</v>
      </c>
      <c r="I184" s="34" t="n">
        <v>76.95</v>
      </c>
      <c r="J184" s="34" t="n">
        <v>66.52</v>
      </c>
      <c r="K184" s="34" t="n">
        <v>17343569</v>
      </c>
      <c r="L184" s="34" t="n">
        <v>2.94</v>
      </c>
      <c r="M184" s="34" t="n">
        <v>208.91</v>
      </c>
      <c r="N184" s="34" t="n">
        <v>218.54</v>
      </c>
      <c r="O184" s="34" t="n">
        <v>221.72</v>
      </c>
      <c r="P184" s="34" t="n">
        <v>226.27</v>
      </c>
      <c r="Q184" s="34" t="n">
        <v>212.47</v>
      </c>
      <c r="R184" s="34" t="n">
        <v>223</v>
      </c>
      <c r="S184" s="34" t="n">
        <v>33.88</v>
      </c>
      <c r="T184" s="34" t="n">
        <v>0.149</v>
      </c>
      <c r="U184" s="34" t="n">
        <v>353.7</v>
      </c>
      <c r="V184" s="34" t="n">
        <v>158.85</v>
      </c>
    </row>
    <row r="185" customFormat="false" ht="15" hidden="false" customHeight="true" outlineLevel="0" collapsed="false">
      <c r="A185" s="34" t="s">
        <v>223</v>
      </c>
      <c r="B185" s="34" t="n">
        <v>227.19</v>
      </c>
      <c r="C185" s="34" t="n">
        <v>230.8</v>
      </c>
      <c r="D185" s="34" t="n">
        <v>221</v>
      </c>
      <c r="E185" s="34" t="n">
        <v>-0.985</v>
      </c>
      <c r="F185" s="34" t="n">
        <v>8.45</v>
      </c>
      <c r="G185" s="34" t="n">
        <v>230.93</v>
      </c>
      <c r="H185" s="34" t="n">
        <v>170.05</v>
      </c>
      <c r="I185" s="34" t="n">
        <v>134.48</v>
      </c>
      <c r="J185" s="34" t="n">
        <v>63.3</v>
      </c>
      <c r="K185" s="34" t="n">
        <v>21023233</v>
      </c>
      <c r="L185" s="34" t="n">
        <v>3.23</v>
      </c>
      <c r="M185" s="34" t="n">
        <v>211.05</v>
      </c>
      <c r="N185" s="34" t="n">
        <v>219.29</v>
      </c>
      <c r="O185" s="34" t="n">
        <v>229.45</v>
      </c>
      <c r="P185" s="34" t="n">
        <v>211.05</v>
      </c>
      <c r="Q185" s="34" t="n">
        <v>219.29</v>
      </c>
      <c r="R185" s="34" t="n">
        <v>227</v>
      </c>
      <c r="S185" s="34" t="n">
        <v>37.67</v>
      </c>
      <c r="T185" s="34" t="n">
        <v>0.119</v>
      </c>
      <c r="U185" s="34" t="n">
        <v>364.5</v>
      </c>
      <c r="V185" s="34" t="n">
        <v>170.05</v>
      </c>
    </row>
    <row r="186" customFormat="false" ht="15" hidden="false" customHeight="true" outlineLevel="0" collapsed="false">
      <c r="A186" s="34" t="s">
        <v>69</v>
      </c>
      <c r="B186" s="34" t="n">
        <v>218.24</v>
      </c>
      <c r="C186" s="34" t="n">
        <v>218.95</v>
      </c>
      <c r="D186" s="34" t="n">
        <v>214.47</v>
      </c>
      <c r="E186" s="34" t="n">
        <v>1.32</v>
      </c>
      <c r="F186" s="34" t="n">
        <v>8.13</v>
      </c>
      <c r="G186" s="34" t="n">
        <v>219.99</v>
      </c>
      <c r="H186" s="34" t="n">
        <v>149.85</v>
      </c>
      <c r="I186" s="34" t="n">
        <v>187.4</v>
      </c>
      <c r="J186" s="34" t="n">
        <v>70.75</v>
      </c>
      <c r="K186" s="34" t="n">
        <v>5702870</v>
      </c>
      <c r="L186" s="34" t="n">
        <v>0.845</v>
      </c>
      <c r="M186" s="34" t="n">
        <v>200.82</v>
      </c>
      <c r="N186" s="34" t="n">
        <v>208.77</v>
      </c>
      <c r="O186" s="34" t="n">
        <v>215.4</v>
      </c>
      <c r="P186" s="34" t="n">
        <v>198.84</v>
      </c>
      <c r="Q186" s="34" t="n">
        <v>207.17</v>
      </c>
      <c r="R186" s="34" t="n">
        <v>217.4</v>
      </c>
      <c r="S186" s="34" t="n">
        <v>11.61</v>
      </c>
      <c r="T186" s="34" t="n">
        <v>0.159</v>
      </c>
      <c r="U186" s="34" t="n">
        <v>246.9</v>
      </c>
      <c r="V186" s="34" t="n">
        <v>149.01</v>
      </c>
    </row>
    <row r="187" customFormat="false" ht="15" hidden="false" customHeight="true" outlineLevel="0" collapsed="false">
      <c r="A187" s="34" t="s">
        <v>112</v>
      </c>
      <c r="B187" s="34" t="n">
        <v>212.68</v>
      </c>
      <c r="C187" s="34" t="n">
        <v>214.95</v>
      </c>
      <c r="D187" s="34" t="n">
        <v>209.4</v>
      </c>
      <c r="E187" s="34" t="n">
        <v>1.46</v>
      </c>
      <c r="F187" s="34" t="n">
        <v>7.82</v>
      </c>
      <c r="G187" s="34" t="n">
        <v>214.95</v>
      </c>
      <c r="H187" s="34" t="n">
        <v>150.6</v>
      </c>
      <c r="I187" s="34" t="n">
        <v>135.72</v>
      </c>
      <c r="J187" s="34" t="n">
        <v>71.89</v>
      </c>
      <c r="K187" s="34" t="n">
        <v>7095013</v>
      </c>
      <c r="L187" s="34" t="n">
        <v>1.78</v>
      </c>
      <c r="M187" s="34" t="n">
        <v>196.19</v>
      </c>
      <c r="N187" s="34" t="n">
        <v>204.18</v>
      </c>
      <c r="O187" s="34" t="n">
        <v>209.61</v>
      </c>
      <c r="P187" s="34" t="n">
        <v>193.04</v>
      </c>
      <c r="Q187" s="34" t="n">
        <v>201.31</v>
      </c>
      <c r="R187" s="34" t="n">
        <v>210.2</v>
      </c>
      <c r="S187" s="34" t="n">
        <v>21.34</v>
      </c>
      <c r="T187" s="34" t="n">
        <v>0.154</v>
      </c>
      <c r="U187" s="34" t="n">
        <v>300.7</v>
      </c>
      <c r="V187" s="34" t="n">
        <v>146.1</v>
      </c>
    </row>
    <row r="188" customFormat="false" ht="15" hidden="false" customHeight="true" outlineLevel="0" collapsed="false">
      <c r="A188" s="34" t="s">
        <v>151</v>
      </c>
      <c r="B188" s="34" t="n">
        <v>209.2</v>
      </c>
      <c r="C188" s="34" t="n">
        <v>210.9</v>
      </c>
      <c r="D188" s="34" t="n">
        <v>205.04</v>
      </c>
      <c r="E188" s="34" t="n">
        <v>2.11</v>
      </c>
      <c r="F188" s="34" t="n">
        <v>6.83</v>
      </c>
      <c r="G188" s="34" t="n">
        <v>210.9</v>
      </c>
      <c r="H188" s="34" t="n">
        <v>172</v>
      </c>
      <c r="I188" s="34" t="n">
        <v>99.61</v>
      </c>
      <c r="J188" s="34" t="n">
        <v>70.26</v>
      </c>
      <c r="K188" s="34" t="n">
        <v>3908780</v>
      </c>
      <c r="L188" s="34" t="n">
        <v>2.4</v>
      </c>
      <c r="M188" s="34" t="n">
        <v>193.75</v>
      </c>
      <c r="N188" s="34" t="n">
        <v>200.86</v>
      </c>
      <c r="O188" s="34" t="n">
        <v>204.87</v>
      </c>
      <c r="P188" s="34" t="n">
        <v>189.89</v>
      </c>
      <c r="Q188" s="34" t="n">
        <v>197.89</v>
      </c>
      <c r="R188" s="34" t="n">
        <v>206</v>
      </c>
      <c r="S188" s="34" t="n">
        <v>26.64</v>
      </c>
      <c r="T188" s="34" t="n">
        <v>0.133</v>
      </c>
      <c r="U188" s="34" t="n">
        <v>285.18</v>
      </c>
      <c r="V188" s="34" t="n">
        <v>153.05</v>
      </c>
    </row>
    <row r="189" customFormat="false" ht="15" hidden="false" customHeight="true" outlineLevel="0" collapsed="false">
      <c r="A189" s="34" t="s">
        <v>155</v>
      </c>
      <c r="B189" s="34" t="n">
        <v>199.03</v>
      </c>
      <c r="C189" s="34" t="n">
        <v>201.55</v>
      </c>
      <c r="D189" s="34" t="n">
        <v>198.12</v>
      </c>
      <c r="E189" s="34" t="n">
        <v>0.096</v>
      </c>
      <c r="F189" s="34" t="n">
        <v>4.97</v>
      </c>
      <c r="G189" s="34" t="n">
        <v>205.5</v>
      </c>
      <c r="H189" s="34" t="n">
        <v>172.66</v>
      </c>
      <c r="I189" s="34" t="n">
        <v>53.06</v>
      </c>
      <c r="J189" s="34" t="n">
        <v>62.12</v>
      </c>
      <c r="K189" s="34" t="n">
        <v>3753746</v>
      </c>
      <c r="L189" s="34" t="n">
        <v>1.09</v>
      </c>
      <c r="M189" s="34" t="n">
        <v>189.58</v>
      </c>
      <c r="N189" s="34" t="n">
        <v>194.71</v>
      </c>
      <c r="O189" s="34" t="n">
        <v>198.84</v>
      </c>
      <c r="P189" s="34" t="n">
        <v>187.96</v>
      </c>
      <c r="Q189" s="34" t="n">
        <v>193.27</v>
      </c>
      <c r="R189" s="34" t="n">
        <v>199.5</v>
      </c>
      <c r="S189" s="34" t="n">
        <v>8.28</v>
      </c>
      <c r="T189" s="34" t="n">
        <v>0.135</v>
      </c>
      <c r="U189" s="34" t="n">
        <v>217</v>
      </c>
      <c r="V189" s="34" t="n">
        <v>148</v>
      </c>
    </row>
    <row r="190" customFormat="false" ht="15" hidden="false" customHeight="true" outlineLevel="0" collapsed="false">
      <c r="A190" s="34" t="s">
        <v>243</v>
      </c>
      <c r="B190" s="34" t="n">
        <v>201.8</v>
      </c>
      <c r="C190" s="34" t="n">
        <v>202.75</v>
      </c>
      <c r="D190" s="34" t="n">
        <v>197</v>
      </c>
      <c r="E190" s="34" t="n">
        <v>2.27</v>
      </c>
      <c r="F190" s="34" t="n">
        <v>5.91</v>
      </c>
      <c r="G190" s="34" t="n">
        <v>204.45</v>
      </c>
      <c r="H190" s="34" t="n">
        <v>154.9</v>
      </c>
      <c r="I190" s="34" t="n">
        <v>157.35</v>
      </c>
      <c r="J190" s="34" t="n">
        <v>73.44</v>
      </c>
      <c r="K190" s="34" t="n">
        <v>11944254</v>
      </c>
      <c r="L190" s="34" t="n">
        <v>1.63</v>
      </c>
      <c r="M190" s="34" t="n">
        <v>188.05</v>
      </c>
      <c r="N190" s="34" t="n">
        <v>194.28</v>
      </c>
      <c r="O190" s="34" t="n">
        <v>197.32</v>
      </c>
      <c r="P190" s="34" t="n">
        <v>188.05</v>
      </c>
      <c r="Q190" s="34" t="n">
        <v>194.28</v>
      </c>
      <c r="R190" s="34" t="n">
        <v>197</v>
      </c>
      <c r="S190" s="34" t="n">
        <v>12.18</v>
      </c>
      <c r="T190" s="34" t="n">
        <v>0.132</v>
      </c>
      <c r="U190" s="34" t="n">
        <v>229.8</v>
      </c>
      <c r="V190" s="34" t="n">
        <v>149.75</v>
      </c>
    </row>
    <row r="191" customFormat="false" ht="15" hidden="false" customHeight="true" outlineLevel="0" collapsed="false">
      <c r="A191" s="34" t="s">
        <v>76</v>
      </c>
      <c r="B191" s="34" t="n">
        <v>199.86</v>
      </c>
      <c r="C191" s="34" t="n">
        <v>201</v>
      </c>
      <c r="D191" s="34" t="n">
        <v>194.76</v>
      </c>
      <c r="E191" s="34" t="n">
        <v>1.21</v>
      </c>
      <c r="F191" s="34" t="n">
        <v>6.25</v>
      </c>
      <c r="G191" s="34" t="n">
        <v>201.35</v>
      </c>
      <c r="H191" s="34" t="n">
        <v>151</v>
      </c>
      <c r="I191" s="34" t="n">
        <v>154.72</v>
      </c>
      <c r="J191" s="34" t="n">
        <v>69.44</v>
      </c>
      <c r="K191" s="34" t="n">
        <v>7133761</v>
      </c>
      <c r="L191" s="34" t="n">
        <v>1.46</v>
      </c>
      <c r="M191" s="34" t="n">
        <v>185.96</v>
      </c>
      <c r="N191" s="34" t="n">
        <v>192.27</v>
      </c>
      <c r="O191" s="34" t="n">
        <v>197.48</v>
      </c>
      <c r="P191" s="34" t="n">
        <v>185.96</v>
      </c>
      <c r="Q191" s="34" t="n">
        <v>192.27</v>
      </c>
      <c r="R191" s="34" t="n">
        <v>196.79</v>
      </c>
      <c r="S191" s="34" t="n">
        <v>18.22</v>
      </c>
      <c r="T191" s="34" t="n">
        <v>0.171</v>
      </c>
      <c r="U191" s="34" t="n">
        <v>244.4</v>
      </c>
      <c r="V191" s="34" t="n">
        <v>134.15</v>
      </c>
    </row>
    <row r="192" customFormat="false" ht="15" hidden="false" customHeight="true" outlineLevel="0" collapsed="false">
      <c r="A192" s="34" t="s">
        <v>180</v>
      </c>
      <c r="B192" s="34" t="n">
        <v>186.28</v>
      </c>
      <c r="C192" s="34" t="n">
        <v>187.5</v>
      </c>
      <c r="D192" s="34" t="n">
        <v>184.38</v>
      </c>
      <c r="E192" s="34" t="n">
        <v>0.681</v>
      </c>
      <c r="F192" s="34" t="n">
        <v>5.61</v>
      </c>
      <c r="G192" s="34" t="n">
        <v>197</v>
      </c>
      <c r="H192" s="34" t="n">
        <v>150.52</v>
      </c>
      <c r="I192" s="34" t="n">
        <v>-61.52</v>
      </c>
      <c r="J192" s="34" t="n">
        <v>50.63</v>
      </c>
      <c r="K192" s="34" t="n">
        <v>17089599</v>
      </c>
      <c r="L192" s="34" t="n">
        <v>1.19</v>
      </c>
      <c r="M192" s="34" t="n">
        <v>180.58</v>
      </c>
      <c r="N192" s="34" t="n">
        <v>181.01</v>
      </c>
      <c r="O192" s="34" t="n">
        <v>185.02</v>
      </c>
      <c r="P192" s="34" t="n">
        <v>180.58</v>
      </c>
      <c r="Q192" s="34" t="n">
        <v>181.01</v>
      </c>
      <c r="R192" s="34" t="n">
        <v>184.95</v>
      </c>
      <c r="S192" s="34" t="n">
        <v>24.37</v>
      </c>
      <c r="T192" s="34" t="n">
        <v>0.105</v>
      </c>
      <c r="U192" s="34" t="n">
        <v>246.3</v>
      </c>
      <c r="V192" s="34" t="n">
        <v>150.52</v>
      </c>
    </row>
    <row r="193" customFormat="false" ht="15" hidden="false" customHeight="true" outlineLevel="0" collapsed="false">
      <c r="A193" s="34" t="s">
        <v>439</v>
      </c>
      <c r="B193" s="34" t="n">
        <v>179.82</v>
      </c>
      <c r="C193" s="34" t="n">
        <v>182.66</v>
      </c>
      <c r="D193" s="34" t="n">
        <v>179</v>
      </c>
      <c r="E193" s="34" t="n">
        <v>0.932</v>
      </c>
      <c r="F193" s="34" t="n">
        <v>7.42</v>
      </c>
      <c r="G193" s="34" t="n">
        <v>183</v>
      </c>
      <c r="H193" s="34" t="n">
        <v>136.5</v>
      </c>
      <c r="I193" s="34" t="n">
        <v>154.38</v>
      </c>
      <c r="J193" s="34" t="n">
        <v>66.62</v>
      </c>
      <c r="K193" s="34" t="n">
        <v>7052407</v>
      </c>
      <c r="L193" s="34" t="n">
        <v>1.19</v>
      </c>
      <c r="M193" s="34" t="n">
        <v>165.46</v>
      </c>
      <c r="N193" s="34" t="n">
        <v>173.15</v>
      </c>
      <c r="O193" s="34" t="n">
        <v>178.16</v>
      </c>
      <c r="P193" s="34" t="n">
        <v>160.13</v>
      </c>
      <c r="Q193" s="34" t="n">
        <v>168.17</v>
      </c>
      <c r="R193" s="34" t="n">
        <v>180</v>
      </c>
      <c r="S193" s="34" t="n">
        <v>31.34</v>
      </c>
      <c r="T193" s="34" t="n">
        <v>0.189</v>
      </c>
      <c r="U193" s="34" t="n">
        <v>261.9</v>
      </c>
      <c r="V193" s="34" t="n">
        <v>124.25</v>
      </c>
    </row>
    <row r="194" customFormat="false" ht="15" hidden="false" customHeight="true" outlineLevel="0" collapsed="false">
      <c r="A194" s="34" t="s">
        <v>39</v>
      </c>
      <c r="B194" s="34" t="n">
        <v>177.19</v>
      </c>
      <c r="C194" s="34" t="n">
        <v>179.6</v>
      </c>
      <c r="D194" s="34" t="n">
        <v>176.1</v>
      </c>
      <c r="E194" s="34" t="n">
        <v>-0.767</v>
      </c>
      <c r="F194" s="34" t="n">
        <v>6.88</v>
      </c>
      <c r="G194" s="34" t="n">
        <v>196.96</v>
      </c>
      <c r="H194" s="34" t="n">
        <v>137.75</v>
      </c>
      <c r="I194" s="34" t="n">
        <v>205.58</v>
      </c>
      <c r="J194" s="34" t="n">
        <v>70.2</v>
      </c>
      <c r="K194" s="34" t="n">
        <v>9072541</v>
      </c>
      <c r="L194" s="34" t="n">
        <v>0.379</v>
      </c>
      <c r="M194" s="34" t="n">
        <v>164.16</v>
      </c>
      <c r="N194" s="34" t="n">
        <v>171.01</v>
      </c>
      <c r="O194" s="34" t="n">
        <v>178.56</v>
      </c>
      <c r="P194" s="34" t="n">
        <v>162.07</v>
      </c>
      <c r="Q194" s="34" t="n">
        <v>169.28</v>
      </c>
      <c r="R194" s="34" t="n">
        <v>178</v>
      </c>
      <c r="S194" s="34" t="n">
        <v>32.62</v>
      </c>
      <c r="T194" s="34" t="n">
        <v>0.138</v>
      </c>
      <c r="U194" s="34" t="n">
        <v>262.99</v>
      </c>
      <c r="V194" s="34" t="n">
        <v>137.75</v>
      </c>
    </row>
    <row r="195" customFormat="false" ht="15" hidden="false" customHeight="true" outlineLevel="0" collapsed="false">
      <c r="A195" s="34" t="s">
        <v>118</v>
      </c>
      <c r="B195" s="34" t="n">
        <v>174.87</v>
      </c>
      <c r="C195" s="34" t="n">
        <v>180</v>
      </c>
      <c r="D195" s="34" t="n">
        <v>174.5</v>
      </c>
      <c r="E195" s="34" t="n">
        <v>-1.77</v>
      </c>
      <c r="F195" s="34" t="n">
        <v>5.88</v>
      </c>
      <c r="G195" s="34" t="n">
        <v>182.14</v>
      </c>
      <c r="H195" s="34" t="n">
        <v>132.58</v>
      </c>
      <c r="I195" s="34" t="n">
        <v>95.53</v>
      </c>
      <c r="J195" s="34" t="n">
        <v>61.24</v>
      </c>
      <c r="K195" s="34" t="n">
        <v>11126388</v>
      </c>
      <c r="L195" s="34" t="n">
        <v>0.986</v>
      </c>
      <c r="M195" s="34" t="n">
        <v>165.45</v>
      </c>
      <c r="N195" s="34" t="n">
        <v>171.35</v>
      </c>
      <c r="O195" s="34" t="n">
        <v>178.03</v>
      </c>
      <c r="P195" s="34" t="n">
        <v>164.14</v>
      </c>
      <c r="Q195" s="34" t="n">
        <v>170.08</v>
      </c>
      <c r="R195" s="34" t="n">
        <v>178.58</v>
      </c>
      <c r="S195" s="34" t="n">
        <v>9.98</v>
      </c>
      <c r="T195" s="34" t="n">
        <v>0.157</v>
      </c>
      <c r="U195" s="34" t="n">
        <v>194.25</v>
      </c>
      <c r="V195" s="34" t="n">
        <v>129.2</v>
      </c>
    </row>
    <row r="196" customFormat="false" ht="15" hidden="false" customHeight="true" outlineLevel="0" collapsed="false">
      <c r="A196" s="34" t="s">
        <v>67</v>
      </c>
      <c r="B196" s="34" t="n">
        <v>170.09</v>
      </c>
      <c r="C196" s="34" t="n">
        <v>170.89</v>
      </c>
      <c r="D196" s="34" t="n">
        <v>168.25</v>
      </c>
      <c r="E196" s="34" t="n">
        <v>0.651</v>
      </c>
      <c r="F196" s="34" t="n">
        <v>5.38</v>
      </c>
      <c r="G196" s="34" t="n">
        <v>173.43</v>
      </c>
      <c r="H196" s="34" t="n">
        <v>134.06</v>
      </c>
      <c r="I196" s="34" t="n">
        <v>102.02</v>
      </c>
      <c r="J196" s="34" t="n">
        <v>67.72</v>
      </c>
      <c r="K196" s="34" t="n">
        <v>4096530</v>
      </c>
      <c r="L196" s="34" t="n">
        <v>0.523</v>
      </c>
      <c r="M196" s="34" t="n">
        <v>158.43</v>
      </c>
      <c r="N196" s="34" t="n">
        <v>164</v>
      </c>
      <c r="O196" s="34" t="n">
        <v>168.99</v>
      </c>
      <c r="P196" s="34" t="n">
        <v>156.13</v>
      </c>
      <c r="Q196" s="34" t="n">
        <v>162.02</v>
      </c>
      <c r="R196" s="34" t="n">
        <v>168.9</v>
      </c>
      <c r="S196" s="34" t="n">
        <v>23.49</v>
      </c>
      <c r="T196" s="34" t="n">
        <v>0.152</v>
      </c>
      <c r="U196" s="34" t="n">
        <v>263.1</v>
      </c>
      <c r="V196" s="34" t="n">
        <v>128.16</v>
      </c>
    </row>
    <row r="197" customFormat="false" ht="15" hidden="false" customHeight="true" outlineLevel="0" collapsed="false">
      <c r="A197" s="34" t="s">
        <v>382</v>
      </c>
      <c r="B197" s="34" t="n">
        <v>173.29</v>
      </c>
      <c r="C197" s="34" t="n">
        <v>175.98</v>
      </c>
      <c r="D197" s="34" t="n">
        <v>167.02</v>
      </c>
      <c r="E197" s="34" t="n">
        <v>3.92</v>
      </c>
      <c r="F197" s="34" t="n">
        <v>6.49</v>
      </c>
      <c r="G197" s="34" t="n">
        <v>183.2</v>
      </c>
      <c r="H197" s="34" t="n">
        <v>137.01</v>
      </c>
      <c r="I197" s="34" t="n">
        <v>54.78</v>
      </c>
      <c r="J197" s="34" t="n">
        <v>65.44</v>
      </c>
      <c r="K197" s="34" t="n">
        <v>24274411</v>
      </c>
      <c r="L197" s="34" t="n">
        <v>1.64</v>
      </c>
      <c r="M197" s="34" t="n">
        <v>158.34</v>
      </c>
      <c r="N197" s="34" t="n">
        <v>164.92</v>
      </c>
      <c r="O197" s="34" t="n">
        <v>166.75</v>
      </c>
      <c r="P197" s="34" t="n">
        <v>168.69</v>
      </c>
      <c r="Q197" s="34" t="n">
        <v>161.77</v>
      </c>
      <c r="R197" s="34" t="n">
        <v>167.5</v>
      </c>
      <c r="S197" s="34" t="n">
        <v>44.1</v>
      </c>
      <c r="T197" s="34" t="n">
        <v>0.128</v>
      </c>
      <c r="V197" s="34" t="n">
        <v>137.01</v>
      </c>
    </row>
    <row r="198" customFormat="false" ht="15" hidden="false" customHeight="true" outlineLevel="0" collapsed="false">
      <c r="A198" s="34" t="s">
        <v>244</v>
      </c>
      <c r="B198" s="34" t="n">
        <v>165.19</v>
      </c>
      <c r="C198" s="34" t="n">
        <v>167.7</v>
      </c>
      <c r="D198" s="34" t="n">
        <v>161.78</v>
      </c>
      <c r="E198" s="34" t="n">
        <v>1.29</v>
      </c>
      <c r="F198" s="34" t="n">
        <v>6.16</v>
      </c>
      <c r="G198" s="34" t="n">
        <v>169</v>
      </c>
      <c r="H198" s="34" t="n">
        <v>126.78</v>
      </c>
      <c r="I198" s="34" t="n">
        <v>95.01</v>
      </c>
      <c r="J198" s="34" t="n">
        <v>56.05</v>
      </c>
      <c r="K198" s="34" t="n">
        <v>5180790</v>
      </c>
      <c r="L198" s="34" t="n">
        <v>0.355</v>
      </c>
      <c r="M198" s="34" t="n">
        <v>154.32</v>
      </c>
      <c r="N198" s="34" t="n">
        <v>160.01</v>
      </c>
      <c r="O198" s="34" t="n">
        <v>163.08</v>
      </c>
      <c r="P198" s="34" t="n">
        <v>154.32</v>
      </c>
      <c r="Q198" s="34" t="n">
        <v>160.01</v>
      </c>
      <c r="R198" s="34" t="n">
        <v>163.5</v>
      </c>
      <c r="S198" s="34" t="n">
        <v>22.26</v>
      </c>
      <c r="T198" s="34" t="n">
        <v>0.174</v>
      </c>
      <c r="U198" s="34" t="n">
        <v>212.49</v>
      </c>
      <c r="V198" s="34" t="n">
        <v>119</v>
      </c>
    </row>
    <row r="199" customFormat="false" ht="15" hidden="false" customHeight="true" outlineLevel="0" collapsed="false">
      <c r="A199" s="34" t="s">
        <v>61</v>
      </c>
      <c r="B199" s="34" t="n">
        <v>157.55</v>
      </c>
      <c r="C199" s="34" t="n">
        <v>158.15</v>
      </c>
      <c r="D199" s="34" t="n">
        <v>157</v>
      </c>
      <c r="E199" s="34" t="n">
        <v>0.127</v>
      </c>
      <c r="F199" s="34" t="n">
        <v>4.23</v>
      </c>
      <c r="G199" s="34" t="n">
        <v>160.1</v>
      </c>
      <c r="H199" s="34" t="n">
        <v>125.3</v>
      </c>
      <c r="I199" s="34" t="n">
        <v>185.2</v>
      </c>
      <c r="J199" s="34" t="n">
        <v>77.43</v>
      </c>
      <c r="K199" s="34" t="n">
        <v>22884754</v>
      </c>
      <c r="L199" s="34" t="n">
        <v>0.401</v>
      </c>
      <c r="M199" s="34" t="n">
        <v>149.01</v>
      </c>
      <c r="N199" s="34" t="n">
        <v>153.29</v>
      </c>
      <c r="O199" s="34" t="n">
        <v>157.35</v>
      </c>
      <c r="P199" s="34" t="n">
        <v>146.8</v>
      </c>
      <c r="Q199" s="34" t="n">
        <v>151.44</v>
      </c>
      <c r="R199" s="34" t="n">
        <v>157.35</v>
      </c>
      <c r="S199" s="34" t="n">
        <v>14.65</v>
      </c>
      <c r="T199" s="34" t="n">
        <v>0.153</v>
      </c>
      <c r="U199" s="34" t="n">
        <v>184.6</v>
      </c>
      <c r="V199" s="34" t="n">
        <v>122.62</v>
      </c>
    </row>
    <row r="200" customFormat="false" ht="15" hidden="false" customHeight="true" outlineLevel="0" collapsed="false">
      <c r="A200" s="34" t="s">
        <v>182</v>
      </c>
      <c r="B200" s="34" t="n">
        <v>144.72</v>
      </c>
      <c r="C200" s="34" t="n">
        <v>146.85</v>
      </c>
      <c r="D200" s="34" t="n">
        <v>144.43</v>
      </c>
      <c r="E200" s="34" t="n">
        <v>-0.193</v>
      </c>
      <c r="F200" s="34" t="n">
        <v>3.64</v>
      </c>
      <c r="G200" s="34" t="n">
        <v>149.8</v>
      </c>
      <c r="H200" s="34" t="n">
        <v>110.72</v>
      </c>
      <c r="I200" s="34" t="n">
        <v>95.2</v>
      </c>
      <c r="J200" s="34" t="n">
        <v>62.85</v>
      </c>
      <c r="K200" s="34" t="n">
        <v>14529129</v>
      </c>
      <c r="L200" s="34" t="n">
        <v>1.43</v>
      </c>
      <c r="M200" s="34" t="n">
        <v>139.07</v>
      </c>
      <c r="N200" s="34" t="n">
        <v>141.89</v>
      </c>
      <c r="O200" s="34" t="n">
        <v>145</v>
      </c>
      <c r="P200" s="34" t="n">
        <v>139.07</v>
      </c>
      <c r="Q200" s="34" t="n">
        <v>140.89</v>
      </c>
      <c r="R200" s="34" t="n">
        <v>145</v>
      </c>
      <c r="S200" s="34" t="n">
        <v>22.18</v>
      </c>
      <c r="T200" s="34" t="n">
        <v>0.167</v>
      </c>
      <c r="U200" s="34" t="n">
        <v>196.8</v>
      </c>
      <c r="V200" s="34" t="n">
        <v>110.72</v>
      </c>
    </row>
    <row r="201" customFormat="false" ht="15" hidden="false" customHeight="true" outlineLevel="0" collapsed="false">
      <c r="A201" s="34" t="s">
        <v>68</v>
      </c>
      <c r="B201" s="34" t="n">
        <v>147.04</v>
      </c>
      <c r="C201" s="34" t="n">
        <v>147.35</v>
      </c>
      <c r="D201" s="34" t="n">
        <v>143.51</v>
      </c>
      <c r="E201" s="34" t="n">
        <v>2.33</v>
      </c>
      <c r="F201" s="34" t="n">
        <v>5.28</v>
      </c>
      <c r="G201" s="34" t="n">
        <v>147.35</v>
      </c>
      <c r="H201" s="34" t="n">
        <v>107.25</v>
      </c>
      <c r="I201" s="34" t="n">
        <v>148.39</v>
      </c>
      <c r="J201" s="34" t="n">
        <v>67.83</v>
      </c>
      <c r="K201" s="34" t="n">
        <v>10557677</v>
      </c>
      <c r="L201" s="34" t="n">
        <v>1.04</v>
      </c>
      <c r="M201" s="34" t="n">
        <v>134.7</v>
      </c>
      <c r="N201" s="34" t="n">
        <v>140.07</v>
      </c>
      <c r="O201" s="34" t="n">
        <v>143.69</v>
      </c>
      <c r="P201" s="34" t="n">
        <v>131.82</v>
      </c>
      <c r="Q201" s="34" t="n">
        <v>137.72</v>
      </c>
      <c r="R201" s="34" t="n">
        <v>144.19</v>
      </c>
      <c r="S201" s="34" t="n">
        <v>32.24</v>
      </c>
      <c r="T201" s="34" t="n">
        <v>0.195</v>
      </c>
      <c r="U201" s="34" t="n">
        <v>216.99</v>
      </c>
      <c r="V201" s="34" t="n">
        <v>107.25</v>
      </c>
    </row>
    <row r="202" customFormat="false" ht="15" hidden="false" customHeight="true" outlineLevel="0" collapsed="false">
      <c r="A202" s="34" t="s">
        <v>213</v>
      </c>
      <c r="B202" s="34" t="n">
        <v>133.02</v>
      </c>
      <c r="C202" s="34" t="n">
        <v>134.08</v>
      </c>
      <c r="D202" s="34" t="n">
        <v>132.12</v>
      </c>
      <c r="E202" s="34" t="n">
        <v>0.643</v>
      </c>
      <c r="F202" s="34" t="n">
        <v>4.5</v>
      </c>
      <c r="G202" s="34" t="n">
        <v>135.16</v>
      </c>
      <c r="H202" s="34" t="n">
        <v>107.6</v>
      </c>
      <c r="I202" s="34" t="n">
        <v>127.41</v>
      </c>
      <c r="J202" s="34" t="n">
        <v>64.53</v>
      </c>
      <c r="K202" s="34" t="n">
        <v>7501634</v>
      </c>
      <c r="L202" s="34" t="n">
        <v>0.533</v>
      </c>
      <c r="M202" s="34" t="n">
        <v>123.9</v>
      </c>
      <c r="N202" s="34" t="n">
        <v>128.5</v>
      </c>
      <c r="O202" s="34" t="n">
        <v>132.17</v>
      </c>
      <c r="P202" s="34" t="n">
        <v>123.5</v>
      </c>
      <c r="Q202" s="34" t="n">
        <v>128.4</v>
      </c>
      <c r="R202" s="34" t="n">
        <v>132.9</v>
      </c>
      <c r="S202" s="34" t="n">
        <v>22.89</v>
      </c>
      <c r="T202" s="34" t="n">
        <v>0.192</v>
      </c>
      <c r="U202" s="34" t="n">
        <v>172.5</v>
      </c>
      <c r="V202" s="34" t="n">
        <v>100.81</v>
      </c>
    </row>
    <row r="203" customFormat="false" ht="15" hidden="false" customHeight="true" outlineLevel="0" collapsed="false">
      <c r="A203" s="34" t="s">
        <v>230</v>
      </c>
      <c r="B203" s="34" t="n">
        <v>138.61</v>
      </c>
      <c r="C203" s="34" t="n">
        <v>140.22</v>
      </c>
      <c r="D203" s="34" t="n">
        <v>130</v>
      </c>
      <c r="E203" s="34" t="n">
        <v>6.43</v>
      </c>
      <c r="F203" s="34" t="n">
        <v>5.32</v>
      </c>
      <c r="G203" s="34" t="n">
        <v>140.22</v>
      </c>
      <c r="H203" s="34" t="n">
        <v>108.04</v>
      </c>
      <c r="I203" s="34" t="n">
        <v>146.51</v>
      </c>
      <c r="J203" s="34" t="n">
        <v>77.03</v>
      </c>
      <c r="K203" s="34" t="n">
        <v>85471529</v>
      </c>
      <c r="L203" s="34" t="n">
        <v>3.63</v>
      </c>
      <c r="M203" s="34" t="n">
        <v>124.87</v>
      </c>
      <c r="N203" s="34" t="n">
        <v>129.99</v>
      </c>
      <c r="O203" s="34" t="n">
        <v>130.24</v>
      </c>
      <c r="P203" s="34" t="n">
        <v>121.48</v>
      </c>
      <c r="Q203" s="34" t="n">
        <v>126.03</v>
      </c>
      <c r="R203" s="34" t="n">
        <v>130.8</v>
      </c>
      <c r="S203" s="34" t="n">
        <v>39.47</v>
      </c>
      <c r="T203" s="34" t="n">
        <v>0.182</v>
      </c>
      <c r="U203" s="34" t="n">
        <v>229</v>
      </c>
      <c r="V203" s="34" t="n">
        <v>108.04</v>
      </c>
    </row>
    <row r="204" customFormat="false" ht="15" hidden="false" customHeight="true" outlineLevel="0" collapsed="false">
      <c r="A204" s="34" t="s">
        <v>88</v>
      </c>
      <c r="B204" s="34" t="n">
        <v>122.48</v>
      </c>
      <c r="C204" s="34" t="n">
        <v>123.54</v>
      </c>
      <c r="D204" s="34" t="n">
        <v>121.56</v>
      </c>
      <c r="E204" s="34" t="n">
        <v>-0.179</v>
      </c>
      <c r="F204" s="34" t="n">
        <v>4.22</v>
      </c>
      <c r="G204" s="34" t="n">
        <v>123.65</v>
      </c>
      <c r="H204" s="34" t="n">
        <v>101.13</v>
      </c>
      <c r="I204" s="34" t="n">
        <v>179.21</v>
      </c>
      <c r="J204" s="34" t="n">
        <v>67.53</v>
      </c>
      <c r="K204" s="34" t="n">
        <v>12477102</v>
      </c>
      <c r="L204" s="34" t="n">
        <v>0.787</v>
      </c>
      <c r="M204" s="34" t="n">
        <v>114.03</v>
      </c>
      <c r="N204" s="34" t="n">
        <v>118.29</v>
      </c>
      <c r="O204" s="34" t="n">
        <v>122.7</v>
      </c>
      <c r="P204" s="34" t="n">
        <v>113.63</v>
      </c>
      <c r="Q204" s="34" t="n">
        <v>118.14</v>
      </c>
      <c r="R204" s="34" t="n">
        <v>122.6</v>
      </c>
      <c r="S204" s="34" t="n">
        <v>30.15</v>
      </c>
      <c r="T204" s="34" t="n">
        <v>0.17</v>
      </c>
      <c r="U204" s="34" t="n">
        <v>175.35</v>
      </c>
      <c r="V204" s="34" t="n">
        <v>99.15</v>
      </c>
    </row>
    <row r="205" customFormat="false" ht="15" hidden="false" customHeight="true" outlineLevel="0" collapsed="false">
      <c r="A205" s="34" t="s">
        <v>227</v>
      </c>
      <c r="B205" s="34" t="n">
        <v>114.33</v>
      </c>
      <c r="C205" s="34" t="n">
        <v>115.35</v>
      </c>
      <c r="D205" s="34" t="n">
        <v>114.1</v>
      </c>
      <c r="E205" s="34" t="n">
        <v>0.245</v>
      </c>
      <c r="F205" s="34" t="n">
        <v>3.89</v>
      </c>
      <c r="G205" s="34" t="n">
        <v>121.65</v>
      </c>
      <c r="H205" s="34" t="n">
        <v>92.66</v>
      </c>
      <c r="I205" s="34" t="n">
        <v>-4.26</v>
      </c>
      <c r="J205" s="34" t="n">
        <v>58.24</v>
      </c>
      <c r="K205" s="34" t="n">
        <v>8369095</v>
      </c>
      <c r="L205" s="34" t="n">
        <v>1.26</v>
      </c>
      <c r="M205" s="34" t="n">
        <v>116.96</v>
      </c>
      <c r="N205" s="34" t="n">
        <v>110.71</v>
      </c>
      <c r="O205" s="34" t="n">
        <v>114.05</v>
      </c>
      <c r="P205" s="34" t="n">
        <v>116.96</v>
      </c>
      <c r="Q205" s="34" t="n">
        <v>109.54</v>
      </c>
      <c r="R205" s="34" t="n">
        <v>114.7</v>
      </c>
      <c r="S205" s="34" t="n">
        <v>16.82</v>
      </c>
      <c r="T205" s="34" t="n">
        <v>0.195</v>
      </c>
      <c r="U205" s="34" t="n">
        <v>157.95</v>
      </c>
      <c r="V205" s="34" t="n">
        <v>90.05</v>
      </c>
    </row>
    <row r="206" customFormat="false" ht="15" hidden="false" customHeight="true" outlineLevel="0" collapsed="false">
      <c r="A206" s="34" t="s">
        <v>261</v>
      </c>
      <c r="B206" s="34" t="n">
        <v>111.08</v>
      </c>
      <c r="C206" s="34" t="n">
        <v>113.2</v>
      </c>
      <c r="D206" s="34" t="n">
        <v>106.55</v>
      </c>
      <c r="E206" s="34" t="n">
        <v>4.09</v>
      </c>
      <c r="F206" s="34" t="n">
        <v>4.69</v>
      </c>
      <c r="G206" s="34" t="n">
        <v>113.2</v>
      </c>
      <c r="H206" s="34" t="n">
        <v>70.8</v>
      </c>
      <c r="I206" s="34" t="n">
        <v>226.34</v>
      </c>
      <c r="J206" s="34" t="n">
        <v>79.32</v>
      </c>
      <c r="K206" s="34" t="n">
        <v>27425801</v>
      </c>
      <c r="L206" s="34" t="n">
        <v>1.5</v>
      </c>
      <c r="M206" s="34" t="n">
        <v>100.76</v>
      </c>
      <c r="N206" s="34" t="n">
        <v>105.32</v>
      </c>
      <c r="O206" s="34" t="n">
        <v>106.72</v>
      </c>
      <c r="P206" s="34" t="n">
        <v>98.78</v>
      </c>
      <c r="Q206" s="34" t="n">
        <v>103.1</v>
      </c>
      <c r="R206" s="34" t="n">
        <v>107.16</v>
      </c>
      <c r="S206" s="34" t="n">
        <v>20.56</v>
      </c>
      <c r="T206" s="34" t="n">
        <v>0.381</v>
      </c>
      <c r="U206" s="34" t="n">
        <v>139.83</v>
      </c>
      <c r="V206" s="34" t="n">
        <v>70.8</v>
      </c>
    </row>
    <row r="207" customFormat="false" ht="15" hidden="false" customHeight="true" outlineLevel="0" collapsed="false">
      <c r="A207" s="34" t="s">
        <v>104</v>
      </c>
      <c r="B207" s="34" t="n">
        <v>107.76</v>
      </c>
      <c r="C207" s="34" t="n">
        <v>108.59</v>
      </c>
      <c r="D207" s="34" t="n">
        <v>105.5</v>
      </c>
      <c r="E207" s="34" t="n">
        <v>2.47</v>
      </c>
      <c r="F207" s="34" t="n">
        <v>3.32</v>
      </c>
      <c r="G207" s="34" t="n">
        <v>108.59</v>
      </c>
      <c r="H207" s="34" t="n">
        <v>78.6</v>
      </c>
      <c r="I207" s="34" t="n">
        <v>181.34</v>
      </c>
      <c r="J207" s="34" t="n">
        <v>78.7</v>
      </c>
      <c r="K207" s="34" t="n">
        <v>33168653</v>
      </c>
      <c r="L207" s="34" t="n">
        <v>1.47</v>
      </c>
      <c r="M207" s="34" t="n">
        <v>100.42</v>
      </c>
      <c r="N207" s="34" t="n">
        <v>103.73</v>
      </c>
      <c r="O207" s="34" t="n">
        <v>105.16</v>
      </c>
      <c r="P207" s="34" t="n">
        <v>98.74</v>
      </c>
      <c r="Q207" s="34" t="n">
        <v>102.09</v>
      </c>
      <c r="R207" s="34" t="n">
        <v>105.5</v>
      </c>
      <c r="S207" s="34" t="n">
        <v>16.4</v>
      </c>
      <c r="T207" s="34" t="n">
        <v>0.271</v>
      </c>
      <c r="U207" s="34" t="n">
        <v>128.9</v>
      </c>
      <c r="V207" s="34" t="n">
        <v>78.6</v>
      </c>
    </row>
    <row r="208" customFormat="false" ht="15" hidden="false" customHeight="true" outlineLevel="0" collapsed="false">
      <c r="A208" s="34" t="s">
        <v>113</v>
      </c>
      <c r="B208" s="34" t="n">
        <v>98.91</v>
      </c>
      <c r="C208" s="34" t="n">
        <v>99.55</v>
      </c>
      <c r="D208" s="34" t="n">
        <v>98.55</v>
      </c>
      <c r="E208" s="34" t="n">
        <v>0.6</v>
      </c>
      <c r="F208" s="34" t="n">
        <v>2.61</v>
      </c>
      <c r="G208" s="34" t="n">
        <v>104.95</v>
      </c>
      <c r="H208" s="34" t="n">
        <v>85.46</v>
      </c>
      <c r="I208" s="34" t="n">
        <v>1.59</v>
      </c>
      <c r="J208" s="34" t="n">
        <v>59.43</v>
      </c>
      <c r="K208" s="34" t="n">
        <v>15230863</v>
      </c>
      <c r="L208" s="34" t="n">
        <v>1.02</v>
      </c>
      <c r="M208" s="34" t="n">
        <v>93.6</v>
      </c>
      <c r="N208" s="34" t="n">
        <v>96.32</v>
      </c>
      <c r="O208" s="34" t="n">
        <v>98.32</v>
      </c>
      <c r="P208" s="34" t="n">
        <v>92.32</v>
      </c>
      <c r="Q208" s="34" t="n">
        <v>95.22</v>
      </c>
      <c r="R208" s="34" t="n">
        <v>98.7</v>
      </c>
      <c r="S208" s="34" t="n">
        <v>28.64</v>
      </c>
      <c r="T208" s="34" t="n">
        <v>0.144</v>
      </c>
      <c r="U208" s="34" t="n">
        <v>142.9</v>
      </c>
      <c r="V208" s="34" t="n">
        <v>85.46</v>
      </c>
    </row>
    <row r="209" customFormat="false" ht="15" hidden="false" customHeight="true" outlineLevel="0" collapsed="false">
      <c r="A209" s="34" t="s">
        <v>220</v>
      </c>
      <c r="B209" s="34" t="n">
        <v>104.2</v>
      </c>
      <c r="C209" s="34" t="n">
        <v>105.45</v>
      </c>
      <c r="D209" s="34" t="n">
        <v>98.44</v>
      </c>
      <c r="E209" s="34" t="n">
        <v>5.95</v>
      </c>
      <c r="F209" s="34" t="n">
        <v>4.03</v>
      </c>
      <c r="G209" s="34" t="n">
        <v>105.45</v>
      </c>
      <c r="H209" s="34" t="n">
        <v>80.54</v>
      </c>
      <c r="I209" s="34" t="n">
        <v>169.79</v>
      </c>
      <c r="J209" s="34" t="n">
        <v>75.49</v>
      </c>
      <c r="K209" s="34" t="n">
        <v>25349996</v>
      </c>
      <c r="L209" s="34" t="n">
        <v>4.3</v>
      </c>
      <c r="M209" s="34" t="n">
        <v>94.06</v>
      </c>
      <c r="N209" s="34" t="n">
        <v>98</v>
      </c>
      <c r="O209" s="34" t="n">
        <v>98.35</v>
      </c>
      <c r="P209" s="34" t="n">
        <v>91.31</v>
      </c>
      <c r="Q209" s="34" t="n">
        <v>94.9</v>
      </c>
      <c r="R209" s="34" t="n">
        <v>98.6</v>
      </c>
      <c r="S209" s="34" t="n">
        <v>34.73</v>
      </c>
      <c r="T209" s="34" t="n">
        <v>0.247</v>
      </c>
      <c r="U209" s="34" t="n">
        <v>170.5</v>
      </c>
      <c r="V209" s="34" t="n">
        <v>80.54</v>
      </c>
    </row>
    <row r="210" customFormat="false" ht="15" hidden="false" customHeight="true" outlineLevel="0" collapsed="false">
      <c r="A210" s="34" t="s">
        <v>297</v>
      </c>
      <c r="B210" s="34" t="n">
        <v>91.07</v>
      </c>
      <c r="C210" s="34" t="n">
        <v>91.75</v>
      </c>
      <c r="D210" s="34" t="n">
        <v>88.51</v>
      </c>
      <c r="E210" s="34" t="n">
        <v>2.17</v>
      </c>
      <c r="F210" s="34" t="n">
        <v>2.74</v>
      </c>
      <c r="G210" s="34" t="n">
        <v>91.75</v>
      </c>
      <c r="H210" s="34" t="n">
        <v>67.75</v>
      </c>
      <c r="I210" s="34" t="n">
        <v>196.12</v>
      </c>
      <c r="J210" s="34" t="n">
        <v>69.83</v>
      </c>
      <c r="K210" s="34" t="n">
        <v>17512752</v>
      </c>
      <c r="L210" s="34" t="n">
        <v>1.74</v>
      </c>
      <c r="M210" s="34" t="n">
        <v>84.65</v>
      </c>
      <c r="N210" s="34" t="n">
        <v>87.39</v>
      </c>
      <c r="O210" s="34" t="n">
        <v>89.14</v>
      </c>
      <c r="P210" s="34" t="n">
        <v>83.7</v>
      </c>
      <c r="Q210" s="34" t="n">
        <v>86.11</v>
      </c>
      <c r="R210" s="34" t="n">
        <v>90.1</v>
      </c>
      <c r="S210" s="34" t="n">
        <v>12.22</v>
      </c>
      <c r="T210" s="34" t="n">
        <v>0.295</v>
      </c>
      <c r="U210" s="34" t="n">
        <v>103.75</v>
      </c>
      <c r="V210" s="34" t="n">
        <v>67.75</v>
      </c>
    </row>
    <row r="211" customFormat="false" ht="15" hidden="false" customHeight="true" outlineLevel="0" collapsed="false">
      <c r="A211" s="34" t="s">
        <v>218</v>
      </c>
      <c r="B211" s="34" t="n">
        <v>88.43</v>
      </c>
      <c r="C211" s="34" t="n">
        <v>91.23</v>
      </c>
      <c r="D211" s="34" t="n">
        <v>88.05</v>
      </c>
      <c r="E211" s="34" t="n">
        <v>-1.83</v>
      </c>
      <c r="F211" s="34" t="n">
        <v>3.83</v>
      </c>
      <c r="G211" s="34" t="n">
        <v>91.23</v>
      </c>
      <c r="H211" s="34" t="n">
        <v>71.6</v>
      </c>
      <c r="I211" s="34" t="n">
        <v>145.81</v>
      </c>
      <c r="J211" s="34" t="n">
        <v>67.85</v>
      </c>
      <c r="K211" s="34" t="n">
        <v>29069076</v>
      </c>
      <c r="L211" s="34" t="n">
        <v>0.95</v>
      </c>
      <c r="M211" s="34" t="n">
        <v>82.13</v>
      </c>
      <c r="N211" s="34" t="n">
        <v>85.88</v>
      </c>
      <c r="O211" s="34" t="n">
        <v>90.08</v>
      </c>
      <c r="P211" s="34" t="n">
        <v>80.55</v>
      </c>
      <c r="Q211" s="34" t="n">
        <v>84.37</v>
      </c>
      <c r="R211" s="34" t="n">
        <v>90.8</v>
      </c>
      <c r="S211" s="34" t="n">
        <v>48.29</v>
      </c>
      <c r="T211" s="34" t="n">
        <v>0.249</v>
      </c>
      <c r="U211" s="34" t="n">
        <v>171</v>
      </c>
      <c r="V211" s="34" t="n">
        <v>71.6</v>
      </c>
    </row>
    <row r="212" customFormat="false" ht="15" hidden="false" customHeight="true" outlineLevel="0" collapsed="false">
      <c r="A212" s="34" t="s">
        <v>231</v>
      </c>
      <c r="B212" s="34" t="n">
        <v>89.71</v>
      </c>
      <c r="C212" s="34" t="n">
        <v>90.78</v>
      </c>
      <c r="D212" s="34" t="n">
        <v>87.08</v>
      </c>
      <c r="E212" s="34" t="n">
        <v>3.17</v>
      </c>
      <c r="F212" s="34" t="n">
        <v>3.15</v>
      </c>
      <c r="G212" s="34" t="n">
        <v>91.49</v>
      </c>
      <c r="H212" s="34" t="n">
        <v>71</v>
      </c>
      <c r="I212" s="34" t="n">
        <v>103.39</v>
      </c>
      <c r="J212" s="34" t="n">
        <v>69.86</v>
      </c>
      <c r="K212" s="34" t="n">
        <v>40214461</v>
      </c>
      <c r="L212" s="34" t="n">
        <v>2.28</v>
      </c>
      <c r="M212" s="34" t="n">
        <v>82.71</v>
      </c>
      <c r="N212" s="34" t="n">
        <v>85.82</v>
      </c>
      <c r="O212" s="34" t="n">
        <v>86.95</v>
      </c>
      <c r="P212" s="34" t="n">
        <v>80.57</v>
      </c>
      <c r="Q212" s="34" t="n">
        <v>83.6</v>
      </c>
      <c r="R212" s="34" t="n">
        <v>87.08</v>
      </c>
      <c r="S212" s="34" t="n">
        <v>24.23</v>
      </c>
      <c r="T212" s="34" t="n">
        <v>0.256</v>
      </c>
      <c r="U212" s="34" t="n">
        <v>118.4</v>
      </c>
      <c r="V212" s="34" t="n">
        <v>71</v>
      </c>
    </row>
    <row r="213" customFormat="false" ht="15" hidden="false" customHeight="true" outlineLevel="0" collapsed="false">
      <c r="A213" s="34" t="s">
        <v>64</v>
      </c>
      <c r="B213" s="34" t="n">
        <v>70.27</v>
      </c>
      <c r="C213" s="34" t="n">
        <v>70.85</v>
      </c>
      <c r="D213" s="34" t="n">
        <v>69.72</v>
      </c>
      <c r="E213" s="34" t="n">
        <v>0.3</v>
      </c>
      <c r="F213" s="34" t="n">
        <v>2.21</v>
      </c>
      <c r="G213" s="34" t="n">
        <v>70.98</v>
      </c>
      <c r="H213" s="34" t="n">
        <v>59.53</v>
      </c>
      <c r="I213" s="34" t="n">
        <v>151.18</v>
      </c>
      <c r="J213" s="34" t="n">
        <v>69.74</v>
      </c>
      <c r="K213" s="34" t="n">
        <v>12160612</v>
      </c>
      <c r="L213" s="34" t="n">
        <v>0.5</v>
      </c>
      <c r="M213" s="34" t="n">
        <v>65.8</v>
      </c>
      <c r="N213" s="34" t="n">
        <v>68.04</v>
      </c>
      <c r="O213" s="34" t="n">
        <v>70.06</v>
      </c>
      <c r="P213" s="34" t="n">
        <v>65.36</v>
      </c>
      <c r="Q213" s="34" t="n">
        <v>67.73</v>
      </c>
      <c r="R213" s="34" t="n">
        <v>70.06</v>
      </c>
      <c r="S213" s="34" t="n">
        <v>26.38</v>
      </c>
      <c r="T213" s="34" t="n">
        <v>0.231</v>
      </c>
      <c r="U213" s="34" t="n">
        <v>95.45</v>
      </c>
      <c r="V213" s="34" t="n">
        <v>59.53</v>
      </c>
    </row>
    <row r="214" customFormat="false" ht="15" hidden="false" customHeight="true" outlineLevel="0" collapsed="false">
      <c r="A214" s="34" t="s">
        <v>106</v>
      </c>
      <c r="B214" s="34" t="n">
        <v>69.26</v>
      </c>
      <c r="C214" s="34" t="n">
        <v>70.17</v>
      </c>
      <c r="D214" s="34" t="n">
        <v>69.06</v>
      </c>
      <c r="E214" s="34" t="n">
        <v>-0.317</v>
      </c>
      <c r="F214" s="34" t="n">
        <v>1.87</v>
      </c>
      <c r="G214" s="34" t="n">
        <v>70.17</v>
      </c>
      <c r="H214" s="34" t="n">
        <v>52.46</v>
      </c>
      <c r="I214" s="34" t="n">
        <v>121.63</v>
      </c>
      <c r="J214" s="34" t="n">
        <v>67.58</v>
      </c>
      <c r="K214" s="34" t="n">
        <v>15263099</v>
      </c>
      <c r="L214" s="34" t="n">
        <v>0.767</v>
      </c>
      <c r="M214" s="34" t="n">
        <v>65.68</v>
      </c>
      <c r="N214" s="34" t="n">
        <v>67.65</v>
      </c>
      <c r="O214" s="34" t="n">
        <v>69.48</v>
      </c>
      <c r="P214" s="34" t="n">
        <v>65.31</v>
      </c>
      <c r="Q214" s="34" t="n">
        <v>67.37</v>
      </c>
      <c r="R214" s="34" t="n">
        <v>69.45</v>
      </c>
      <c r="S214" s="34" t="n">
        <v>18.04</v>
      </c>
      <c r="T214" s="34" t="n">
        <v>0.357</v>
      </c>
      <c r="U214" s="34" t="n">
        <v>92.45</v>
      </c>
      <c r="V214" s="34" t="n">
        <v>52.46</v>
      </c>
    </row>
    <row r="215" customFormat="false" ht="15" hidden="false" customHeight="true" outlineLevel="0" collapsed="false">
      <c r="A215" s="34" t="s">
        <v>221</v>
      </c>
      <c r="B215" s="34" t="n">
        <v>51.21</v>
      </c>
      <c r="C215" s="34" t="n">
        <v>51.48</v>
      </c>
      <c r="D215" s="34" t="n">
        <v>50.61</v>
      </c>
      <c r="E215" s="34" t="n">
        <v>0.313</v>
      </c>
      <c r="F215" s="34" t="n">
        <v>1.72</v>
      </c>
      <c r="G215" s="34" t="n">
        <v>51.59</v>
      </c>
      <c r="H215" s="34" t="n">
        <v>40.96</v>
      </c>
      <c r="I215" s="34" t="n">
        <v>181.07</v>
      </c>
      <c r="J215" s="34" t="n">
        <v>80.74</v>
      </c>
      <c r="K215" s="34" t="n">
        <v>15123949</v>
      </c>
      <c r="L215" s="34" t="n">
        <v>0.595</v>
      </c>
      <c r="M215" s="34" t="n">
        <v>47.61</v>
      </c>
      <c r="N215" s="34" t="n">
        <v>49.33</v>
      </c>
      <c r="O215" s="34" t="n">
        <v>51.05</v>
      </c>
      <c r="P215" s="34" t="n">
        <v>46.88</v>
      </c>
      <c r="Q215" s="34" t="n">
        <v>48.69</v>
      </c>
      <c r="R215" s="34" t="n">
        <v>51.41</v>
      </c>
      <c r="S215" s="34" t="n">
        <v>34.47</v>
      </c>
      <c r="T215" s="34" t="n">
        <v>0.435</v>
      </c>
      <c r="U215" s="34" t="n">
        <v>78.15</v>
      </c>
      <c r="V215" s="34" t="n">
        <v>40.96</v>
      </c>
    </row>
    <row r="216" customFormat="false" ht="15" hidden="false" customHeight="true" outlineLevel="0" collapsed="false">
      <c r="A216" s="34" t="s">
        <v>234</v>
      </c>
      <c r="B216" s="34" t="n">
        <v>21.55</v>
      </c>
      <c r="C216" s="34" t="n">
        <v>21.95</v>
      </c>
      <c r="D216" s="34" t="n">
        <v>21.25</v>
      </c>
      <c r="E216" s="34" t="n">
        <v>0.186</v>
      </c>
      <c r="F216" s="34" t="n">
        <v>0.912</v>
      </c>
      <c r="G216" s="34" t="n">
        <v>21.95</v>
      </c>
      <c r="H216" s="34" t="n">
        <v>16.02</v>
      </c>
      <c r="I216" s="34" t="n">
        <v>156.72</v>
      </c>
      <c r="J216" s="34" t="n">
        <v>90.9</v>
      </c>
      <c r="K216" s="34" t="n">
        <v>193430172</v>
      </c>
      <c r="L216" s="34" t="n">
        <v>0.731</v>
      </c>
      <c r="M216" s="34" t="n">
        <v>19.86</v>
      </c>
      <c r="N216" s="34" t="n">
        <v>20.73</v>
      </c>
      <c r="O216" s="34" t="n">
        <v>21.51</v>
      </c>
      <c r="P216" s="34" t="n">
        <v>19.55</v>
      </c>
      <c r="Q216" s="34" t="n">
        <v>20.44</v>
      </c>
      <c r="R216" s="34" t="n">
        <v>21.5</v>
      </c>
      <c r="S216" s="34" t="n">
        <v>21.46</v>
      </c>
      <c r="T216" s="34" t="n">
        <v>1.27</v>
      </c>
      <c r="U216" s="34" t="n">
        <v>32.85</v>
      </c>
      <c r="V216" s="34" t="n">
        <v>16.02</v>
      </c>
    </row>
    <row r="217" customFormat="false" ht="15" hidden="false" customHeight="true" outlineLevel="0" collapsed="false">
      <c r="A217" s="34" t="s">
        <v>353</v>
      </c>
      <c r="B217" s="34" t="n">
        <v>7.37</v>
      </c>
      <c r="C217" s="34" t="n">
        <v>7.55</v>
      </c>
      <c r="D217" s="34" t="n">
        <v>7.22</v>
      </c>
      <c r="E217" s="34" t="n">
        <v>1.94</v>
      </c>
      <c r="F217" s="34" t="n">
        <v>0.283</v>
      </c>
      <c r="G217" s="34" t="n">
        <v>8.56</v>
      </c>
      <c r="H217" s="34" t="n">
        <v>6.47</v>
      </c>
      <c r="I217" s="34" t="n">
        <v>18.53</v>
      </c>
      <c r="J217" s="34" t="n">
        <v>62.36</v>
      </c>
      <c r="K217" s="34" t="n">
        <v>680691068</v>
      </c>
      <c r="L217" s="34" t="n">
        <v>0.939</v>
      </c>
      <c r="M217" s="34" t="n">
        <v>6.79</v>
      </c>
      <c r="N217" s="34" t="n">
        <v>7.09</v>
      </c>
      <c r="O217" s="34" t="n">
        <v>7.23</v>
      </c>
      <c r="P217" s="34" t="n">
        <v>7.25</v>
      </c>
      <c r="Q217" s="34" t="n">
        <v>6.84</v>
      </c>
      <c r="R217" s="34" t="n">
        <v>7.32</v>
      </c>
      <c r="S217" s="34" t="n">
        <v>61.57</v>
      </c>
      <c r="T217" s="34" t="n">
        <v>1.78</v>
      </c>
      <c r="U217" s="34" t="n">
        <v>19.18</v>
      </c>
      <c r="V217" s="34" t="n">
        <v>6.47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LibreOffice/25.2.5.2$Windows_X86_64 LibreOffice_project/03d19516eb2e1dd5d4ccd751a0d6f35f35e08022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2024-03-21T15:02:25Z</dcterms:created>
  <dc:creator>HP-</dc:creator>
  <dc:description/>
  <dc:language>en-IN</dc:language>
  <cp:lastModifiedBy/>
  <cp:lastPrinted>2024-05-18T04:01:42Z</cp:lastPrinted>
  <dcterms:modified xsi:type="dcterms:W3CDTF">2025-08-22T18:13:20Z</dcterms:modified>
  <cp:revision>1320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